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2A4A"/>
      <sz val="8"/>
    </font>
    <font>
      <name val="Arial"/>
      <i val="1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B2A4A"/>
      <sz val="9"/>
    </font>
    <font>
      <name val="Arial"/>
      <color rgb="000000FF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B2A4A"/>
      <sz val="10"/>
    </font>
    <font>
      <name val="Arial"/>
      <b val="1"/>
      <sz val="11"/>
    </font>
    <font>
      <name val="Arial"/>
      <color rgb="00008000"/>
      <sz val="9"/>
    </font>
    <font>
      <name val="Arial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ADCFC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A07D10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2" fontId="8" fillId="5" borderId="0" applyAlignment="1" pivotButton="0" quotePrefix="0" xfId="0">
      <alignment horizontal="center" vertical="center"/>
    </xf>
    <xf numFmtId="166" fontId="8" fillId="5" borderId="0" applyAlignment="1" pivotButton="0" quotePrefix="0" xfId="0">
      <alignment horizontal="center" vertical="center"/>
    </xf>
    <xf numFmtId="10" fontId="8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" fontId="7" fillId="6" borderId="0" applyAlignment="1" pivotButton="0" quotePrefix="0" xfId="0">
      <alignment horizontal="center" vertical="center"/>
    </xf>
    <xf numFmtId="2" fontId="7" fillId="6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0" borderId="0" applyAlignment="1" pivotButton="0" quotePrefix="0" xfId="0">
      <alignment horizontal="left" vertical="center"/>
    </xf>
    <xf numFmtId="2" fontId="11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10" fontId="7" fillId="0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164" fontId="8" fillId="5" borderId="0" applyAlignment="1" pivotButton="0" quotePrefix="0" xfId="0">
      <alignment horizontal="center" vertical="center"/>
    </xf>
    <xf numFmtId="49" fontId="8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10" fontId="7" fillId="6" borderId="0" applyAlignment="1" pivotButton="0" quotePrefix="0" xfId="0">
      <alignment horizontal="center" vertical="center"/>
    </xf>
    <xf numFmtId="2" fontId="12" fillId="6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0" fillId="1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8" customWidth="1" min="4" max="4"/>
    <col width="9" customWidth="1" min="5" max="5"/>
    <col width="11" customWidth="1" min="6" max="6"/>
    <col width="14" customWidth="1" min="7" max="7"/>
    <col width="14" customWidth="1" min="8" max="8"/>
    <col width="12" customWidth="1" min="9" max="9"/>
    <col width="14" customWidth="1" min="10" max="10"/>
    <col width="13" customWidth="1" min="11" max="11"/>
  </cols>
  <sheetData>
    <row r="1" ht="34" customHeight="1">
      <c r="A1" s="1" t="inlineStr">
        <is>
          <t>BUS 331 — BOND PORTFOLIO DURATION &amp; RATE SHOCK ACTIVITY</t>
        </is>
      </c>
    </row>
    <row r="2" ht="16" customHeight="1">
      <c r="A2" s="2" t="inlineStr">
        <is>
          <t>Ch. 14–16: Bond Valuation, Duration, Convexity  |  6-Bond Portfolio  |  Total Value: $500,000</t>
        </is>
      </c>
    </row>
    <row r="3" ht="24" customHeight="1">
      <c r="A3" s="3" t="inlineStr">
        <is>
          <t>KEY INSIGHT:  Duration measures a bond's price sensitivity to interest rate changes — it is the weighted average time to receive cash flows. Modified Duration ≈ % price change per 1% move in rates. Portfolio Duration = weighted average of individual bond durations.</t>
        </is>
      </c>
    </row>
    <row r="4" ht="6" customHeight="1"/>
    <row r="5" ht="20" customHeight="1">
      <c r="A5" s="4" t="inlineStr">
        <is>
          <t xml:space="preserve">  SECTION A — BOND PORTFOLIO: Given Data &amp; Duration Calculations</t>
        </is>
      </c>
    </row>
    <row r="6" ht="30" customHeight="1">
      <c r="A6" s="5" t="inlineStr">
        <is>
          <t>Bond</t>
        </is>
      </c>
      <c r="B6" s="5" t="inlineStr">
        <is>
          <t>Face
Value ($)</t>
        </is>
      </c>
      <c r="C6" s="5" t="inlineStr">
        <is>
          <t>Annual
Coupon (%)</t>
        </is>
      </c>
      <c r="D6" s="5" t="inlineStr">
        <is>
          <t>YTM
(%)</t>
        </is>
      </c>
      <c r="E6" s="5" t="inlineStr">
        <is>
          <t>Maturity
(Years)</t>
        </is>
      </c>
      <c r="F6" s="5" t="inlineStr">
        <is>
          <t>Market
Value ($)</t>
        </is>
      </c>
      <c r="G6" s="5" t="inlineStr">
        <is>
          <t>Portfolio
Weight</t>
        </is>
      </c>
      <c r="H6" s="5" t="inlineStr">
        <is>
          <t>Macaulay
Duration (yrs)</t>
        </is>
      </c>
      <c r="I6" s="5" t="inlineStr">
        <is>
          <t>Modified
Duration</t>
        </is>
      </c>
      <c r="J6" s="5" t="inlineStr">
        <is>
          <t>DV01
($/bp)</t>
        </is>
      </c>
      <c r="K6" s="5" t="inlineStr">
        <is>
          <t>Wtd. Mod.
Duration</t>
        </is>
      </c>
    </row>
    <row r="7" ht="17" customHeight="1">
      <c r="A7" s="6" t="inlineStr">
        <is>
          <t>US 2-Year T-Note</t>
        </is>
      </c>
      <c r="B7" s="7" t="n">
        <v>1000</v>
      </c>
      <c r="C7" s="8" t="n">
        <v>0.049</v>
      </c>
      <c r="D7" s="8" t="n">
        <v>0.049</v>
      </c>
      <c r="E7" s="9" t="n">
        <v>2</v>
      </c>
      <c r="F7" s="7" t="n">
        <v>98000</v>
      </c>
      <c r="G7" s="10" t="n"/>
      <c r="H7" s="11" t="n">
        <v>1.95</v>
      </c>
      <c r="I7" s="12" t="n"/>
      <c r="J7" s="13" t="n"/>
      <c r="K7" s="14" t="n"/>
    </row>
    <row r="8" ht="17" customHeight="1">
      <c r="A8" s="15" t="inlineStr">
        <is>
          <t>US 5-Year T-Note</t>
        </is>
      </c>
      <c r="B8" s="16" t="n">
        <v>1000</v>
      </c>
      <c r="C8" s="17" t="n">
        <v>0.043</v>
      </c>
      <c r="D8" s="17" t="n">
        <v>0.044</v>
      </c>
      <c r="E8" s="18" t="n">
        <v>5</v>
      </c>
      <c r="F8" s="16" t="n">
        <v>96500</v>
      </c>
      <c r="G8" s="10" t="n"/>
      <c r="H8" s="19" t="n">
        <v>4.64</v>
      </c>
      <c r="I8" s="12" t="n"/>
      <c r="J8" s="13" t="n"/>
      <c r="K8" s="14" t="n"/>
    </row>
    <row r="9" ht="17" customHeight="1">
      <c r="A9" s="6" t="inlineStr">
        <is>
          <t>US 10-Year T-Bond</t>
        </is>
      </c>
      <c r="B9" s="7" t="n">
        <v>1000</v>
      </c>
      <c r="C9" s="8" t="n">
        <v>0.045</v>
      </c>
      <c r="D9" s="8" t="n">
        <v>0.047</v>
      </c>
      <c r="E9" s="9" t="n">
        <v>10</v>
      </c>
      <c r="F9" s="7" t="n">
        <v>85000</v>
      </c>
      <c r="G9" s="10" t="n"/>
      <c r="H9" s="11" t="n">
        <v>8.210000000000001</v>
      </c>
      <c r="I9" s="12" t="n"/>
      <c r="J9" s="13" t="n"/>
      <c r="K9" s="14" t="n"/>
    </row>
    <row r="10" ht="17" customHeight="1">
      <c r="A10" s="15" t="inlineStr">
        <is>
          <t>US 30-Year T-Bond</t>
        </is>
      </c>
      <c r="B10" s="16" t="n">
        <v>1000</v>
      </c>
      <c r="C10" s="17" t="n">
        <v>0.048</v>
      </c>
      <c r="D10" s="17" t="n">
        <v>0.051</v>
      </c>
      <c r="E10" s="18" t="n">
        <v>30</v>
      </c>
      <c r="F10" s="16" t="n">
        <v>61000</v>
      </c>
      <c r="G10" s="10" t="n"/>
      <c r="H10" s="19" t="n">
        <v>17.82</v>
      </c>
      <c r="I10" s="12" t="n"/>
      <c r="J10" s="13" t="n"/>
      <c r="K10" s="14" t="n"/>
    </row>
    <row r="11" ht="17" customHeight="1">
      <c r="A11" s="6" t="inlineStr">
        <is>
          <t>AAPL Corp Bond</t>
        </is>
      </c>
      <c r="B11" s="7" t="n">
        <v>1000</v>
      </c>
      <c r="C11" s="8" t="n">
        <v>0.038</v>
      </c>
      <c r="D11" s="8" t="n">
        <v>0.055</v>
      </c>
      <c r="E11" s="9" t="n">
        <v>7</v>
      </c>
      <c r="F11" s="7" t="n">
        <v>74500</v>
      </c>
      <c r="G11" s="10" t="n"/>
      <c r="H11" s="11" t="n">
        <v>6.43</v>
      </c>
      <c r="I11" s="12" t="n"/>
      <c r="J11" s="13" t="n"/>
      <c r="K11" s="14" t="n"/>
    </row>
    <row r="12" ht="17" customHeight="1">
      <c r="A12" s="15" t="inlineStr">
        <is>
          <t>IG Corp Bond ETF (LQD)</t>
        </is>
      </c>
      <c r="B12" s="16" t="n">
        <v>1000</v>
      </c>
      <c r="C12" s="17" t="n">
        <v>0.042</v>
      </c>
      <c r="D12" s="17" t="n">
        <v>0.052</v>
      </c>
      <c r="E12" s="18" t="n">
        <v>12</v>
      </c>
      <c r="F12" s="16" t="n">
        <v>85000</v>
      </c>
      <c r="G12" s="10" t="n"/>
      <c r="H12" s="19" t="n">
        <v>10.31</v>
      </c>
      <c r="I12" s="12" t="n"/>
      <c r="J12" s="13" t="n"/>
      <c r="K12" s="14" t="n"/>
    </row>
    <row r="13" ht="18" customHeight="1">
      <c r="A13" s="20" t="inlineStr">
        <is>
          <t>PORTFOLIO TOTALS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</row>
    <row r="14" ht="20" customHeight="1">
      <c r="A14" s="22" t="inlineStr">
        <is>
          <t>▶  Portfolio Modified Duration (weighted average) — This is the KEY number for rate sensitivity</t>
        </is>
      </c>
      <c r="H14" s="23" t="n"/>
    </row>
    <row r="15" ht="10" customHeight="1"/>
    <row r="16" ht="20" customHeight="1">
      <c r="A16" s="4" t="inlineStr">
        <is>
          <t xml:space="preserve">  SECTION B — RATE SHOCK SCENARIOS: Estimated Price Impact of Rate Changes</t>
        </is>
      </c>
    </row>
    <row r="17" ht="20" customHeight="1">
      <c r="A17" s="24" t="inlineStr">
        <is>
          <t>FORMULA:  ΔPrice% ≈ −Modified Duration × Δyield  (convexity adjustment: + ½ × Convexity × Δyield²  — see convexity col)  This is the first-order (duration) approximation — same concept as bond pricing from Ch. 14.</t>
        </is>
      </c>
    </row>
    <row r="18" ht="30" customHeight="1">
      <c r="A18" s="5" t="inlineStr">
        <is>
          <t>Scenario</t>
        </is>
      </c>
      <c r="B18" s="5" t="inlineStr">
        <is>
          <t>Rate
Change (Δy)</t>
        </is>
      </c>
      <c r="C18" s="5" t="inlineStr">
        <is>
          <t>Portfolio
Mod. Duration</t>
        </is>
      </c>
      <c r="D18" s="5" t="inlineStr">
        <is>
          <t>Est. % Price
Change (Duration)</t>
        </is>
      </c>
      <c r="E18" s="5" t="inlineStr">
        <is>
          <t>Est. $ P&amp;L
($500K portfolio)</t>
        </is>
      </c>
      <c r="F18" s="5" t="inlineStr">
        <is>
          <t>Direction</t>
        </is>
      </c>
      <c r="G18" s="5" t="inlineStr">
        <is>
          <t>Convexity
Adjustment Note</t>
        </is>
      </c>
    </row>
    <row r="19" ht="16" customHeight="1">
      <c r="A19" s="25" t="inlineStr">
        <is>
          <t>+25bps (mild hike)</t>
        </is>
      </c>
      <c r="B19" s="26" t="n">
        <v>0.0025</v>
      </c>
      <c r="C19" s="27">
        <f>$H$14</f>
        <v/>
      </c>
      <c r="D19" s="14" t="n"/>
      <c r="E19" s="28" t="n"/>
      <c r="F19" s="29" t="n"/>
      <c r="G19" s="30" t="inlineStr">
        <is>
          <t>Convexity softens price decline — actual loss &lt; duration estimate</t>
        </is>
      </c>
    </row>
    <row r="20" ht="16" customHeight="1">
      <c r="A20" s="31" t="inlineStr">
        <is>
          <t>+100bps (1% hike)</t>
        </is>
      </c>
      <c r="B20" s="32" t="n">
        <v>0.01</v>
      </c>
      <c r="C20" s="33">
        <f>$H$14</f>
        <v/>
      </c>
      <c r="D20" s="14" t="n"/>
      <c r="E20" s="28" t="n"/>
      <c r="F20" s="29" t="n"/>
      <c r="G20" s="34" t="inlineStr">
        <is>
          <t>Convexity softens price decline — actual loss &lt; duration estimate</t>
        </is>
      </c>
    </row>
    <row r="21" ht="16" customHeight="1">
      <c r="A21" s="25" t="inlineStr">
        <is>
          <t>+200bps (shock)</t>
        </is>
      </c>
      <c r="B21" s="26" t="n">
        <v>0.02</v>
      </c>
      <c r="C21" s="27">
        <f>$H$14</f>
        <v/>
      </c>
      <c r="D21" s="14" t="n"/>
      <c r="E21" s="28" t="n"/>
      <c r="F21" s="29" t="n"/>
      <c r="G21" s="30" t="inlineStr">
        <is>
          <t>Convexity softens price decline — actual loss &lt; duration estimate</t>
        </is>
      </c>
    </row>
    <row r="22" ht="16" customHeight="1">
      <c r="A22" s="31" t="inlineStr">
        <is>
          <t>−25bps (mild cut)</t>
        </is>
      </c>
      <c r="B22" s="32" t="n">
        <v>-0.0025</v>
      </c>
      <c r="C22" s="33">
        <f>$H$14</f>
        <v/>
      </c>
      <c r="D22" s="14" t="n"/>
      <c r="E22" s="28" t="n"/>
      <c r="F22" s="29" t="n"/>
      <c r="G22" s="34" t="inlineStr">
        <is>
          <t>Convexity amplifies price gain — actual gain &gt; duration estimate</t>
        </is>
      </c>
    </row>
    <row r="23" ht="16" customHeight="1">
      <c r="A23" s="25" t="inlineStr">
        <is>
          <t>−100bps (1% cut)</t>
        </is>
      </c>
      <c r="B23" s="26" t="n">
        <v>-0.01</v>
      </c>
      <c r="C23" s="27">
        <f>$H$14</f>
        <v/>
      </c>
      <c r="D23" s="14" t="n"/>
      <c r="E23" s="28" t="n"/>
      <c r="F23" s="29" t="n"/>
      <c r="G23" s="30" t="inlineStr">
        <is>
          <t>Convexity amplifies price gain — actual gain &gt; duration estimate</t>
        </is>
      </c>
    </row>
    <row r="24" ht="16" customHeight="1">
      <c r="A24" s="31" t="inlineStr">
        <is>
          <t>−200bps (shock cut)</t>
        </is>
      </c>
      <c r="B24" s="32" t="n">
        <v>-0.02</v>
      </c>
      <c r="C24" s="33">
        <f>$H$14</f>
        <v/>
      </c>
      <c r="D24" s="14" t="n"/>
      <c r="E24" s="28" t="n"/>
      <c r="F24" s="29" t="n"/>
      <c r="G24" s="34" t="inlineStr">
        <is>
          <t>Convexity amplifies price gain — actual gain &gt; duration estimate</t>
        </is>
      </c>
    </row>
    <row r="25" ht="8" customHeight="1"/>
    <row r="26" ht="20" customHeight="1">
      <c r="A26" s="4" t="inlineStr">
        <is>
          <t xml:space="preserve">  SECTION C — INDIVIDUAL BOND SENSITIVITY: Which Bond Hurts Most in a Rate Hike?</t>
        </is>
      </c>
    </row>
    <row r="27" ht="30" customHeight="1">
      <c r="A27" s="5" t="inlineStr">
        <is>
          <t>Bond</t>
        </is>
      </c>
      <c r="B27" s="5" t="inlineStr">
        <is>
          <t>Mod.
Duration</t>
        </is>
      </c>
      <c r="C27" s="5" t="inlineStr">
        <is>
          <t>Shock +100bps
% ΔPrice</t>
        </is>
      </c>
      <c r="D27" s="5" t="inlineStr">
        <is>
          <t>Shock +100bps
$ Loss</t>
        </is>
      </c>
      <c r="E27" s="5" t="inlineStr">
        <is>
          <t>Shock +200bps
% ΔPrice</t>
        </is>
      </c>
      <c r="F27" s="5" t="inlineStr">
        <is>
          <t>Shock +200bps
$ Loss</t>
        </is>
      </c>
    </row>
    <row r="28" ht="16" customHeight="1">
      <c r="A28" s="6" t="inlineStr">
        <is>
          <t>US 2-Year T-Note</t>
        </is>
      </c>
      <c r="B28" s="27">
        <f>I7</f>
        <v/>
      </c>
      <c r="C28" s="14" t="n"/>
      <c r="D28" s="28" t="n"/>
      <c r="E28" s="14" t="n"/>
      <c r="F28" s="28" t="n"/>
    </row>
    <row r="29" ht="16" customHeight="1">
      <c r="A29" s="15" t="inlineStr">
        <is>
          <t>US 5-Year T-Note</t>
        </is>
      </c>
      <c r="B29" s="33">
        <f>I8</f>
        <v/>
      </c>
      <c r="C29" s="14" t="n"/>
      <c r="D29" s="28" t="n"/>
      <c r="E29" s="14" t="n"/>
      <c r="F29" s="28" t="n"/>
    </row>
    <row r="30" ht="16" customHeight="1">
      <c r="A30" s="6" t="inlineStr">
        <is>
          <t>US 10-Year T-Bond</t>
        </is>
      </c>
      <c r="B30" s="27">
        <f>I9</f>
        <v/>
      </c>
      <c r="C30" s="14" t="n"/>
      <c r="D30" s="28" t="n"/>
      <c r="E30" s="14" t="n"/>
      <c r="F30" s="28" t="n"/>
    </row>
    <row r="31" ht="16" customHeight="1">
      <c r="A31" s="15" t="inlineStr">
        <is>
          <t>US 30-Year T-Bond</t>
        </is>
      </c>
      <c r="B31" s="33">
        <f>I10</f>
        <v/>
      </c>
      <c r="C31" s="14" t="n"/>
      <c r="D31" s="28" t="n"/>
      <c r="E31" s="14" t="n"/>
      <c r="F31" s="28" t="n"/>
    </row>
    <row r="32" ht="16" customHeight="1">
      <c r="A32" s="6" t="inlineStr">
        <is>
          <t>AAPL Corp Bond</t>
        </is>
      </c>
      <c r="B32" s="27">
        <f>I11</f>
        <v/>
      </c>
      <c r="C32" s="14" t="n"/>
      <c r="D32" s="28" t="n"/>
      <c r="E32" s="14" t="n"/>
      <c r="F32" s="28" t="n"/>
    </row>
    <row r="33" ht="16" customHeight="1">
      <c r="A33" s="15" t="inlineStr">
        <is>
          <t>IG Corp Bond ETF (LQD)</t>
        </is>
      </c>
      <c r="B33" s="33">
        <f>I12</f>
        <v/>
      </c>
      <c r="C33" s="14" t="n"/>
      <c r="D33" s="28" t="n"/>
      <c r="E33" s="14" t="n"/>
      <c r="F33" s="28" t="n"/>
    </row>
    <row r="34" ht="8" customHeight="1"/>
    <row r="35" ht="20" customHeight="1">
      <c r="A35" s="4" t="inlineStr">
        <is>
          <t xml:space="preserve">  DISCUSSION QUESTIONS</t>
        </is>
      </c>
    </row>
    <row r="36" ht="28" customHeight="1">
      <c r="A36" s="35" t="inlineStr">
        <is>
          <t>Q1</t>
        </is>
      </c>
      <c r="B36" s="36" t="inlineStr">
        <is>
          <t>Which bond in the portfolio is most sensitive to a 100bps rate hike? Why? How does maturity interact with coupon rate to determine duration?</t>
        </is>
      </c>
    </row>
    <row r="37" ht="16" customHeight="1">
      <c r="A37" s="37" t="n"/>
      <c r="B37" s="38" t="n"/>
    </row>
    <row r="38" ht="16" customHeight="1">
      <c r="A38" s="37" t="n"/>
      <c r="B38" s="38" t="n"/>
    </row>
    <row r="39" ht="16" customHeight="1">
      <c r="A39" s="37" t="n"/>
      <c r="B39" s="38" t="n"/>
    </row>
    <row r="40" ht="28" customHeight="1">
      <c r="A40" s="35" t="inlineStr">
        <is>
          <t>Q2</t>
        </is>
      </c>
      <c r="B40" s="36" t="inlineStr">
        <is>
          <t>The +200bps shock scenario uses only the duration approximation. In reality, would the actual loss be MORE or LESS than your estimate? Explain using convexity.</t>
        </is>
      </c>
    </row>
    <row r="41" ht="16" customHeight="1">
      <c r="A41" s="37" t="n"/>
      <c r="B41" s="38" t="n"/>
    </row>
    <row r="42" ht="16" customHeight="1">
      <c r="A42" s="37" t="n"/>
      <c r="B42" s="38" t="n"/>
    </row>
    <row r="43" ht="16" customHeight="1">
      <c r="A43" s="37" t="n"/>
      <c r="B43" s="38" t="n"/>
    </row>
    <row r="44" ht="28" customHeight="1">
      <c r="A44" s="35" t="inlineStr">
        <is>
          <t>Q3</t>
        </is>
      </c>
      <c r="B44" s="36" t="inlineStr">
        <is>
          <t>If you expected rates to FALL by 100bps next year, which bond would you OVERWEIGHT to maximize gains? Show the math using your duration estimates.</t>
        </is>
      </c>
    </row>
    <row r="45" ht="16" customHeight="1">
      <c r="A45" s="37" t="n"/>
      <c r="B45" s="38" t="n"/>
    </row>
    <row r="46" ht="16" customHeight="1">
      <c r="A46" s="37" t="n"/>
      <c r="B46" s="38" t="n"/>
    </row>
    <row r="47" ht="16" customHeight="1">
      <c r="A47" s="37" t="n"/>
      <c r="B47" s="38" t="n"/>
    </row>
    <row r="48" ht="28" customHeight="1">
      <c r="A48" s="35" t="inlineStr">
        <is>
          <t>Q4</t>
        </is>
      </c>
      <c r="B48" s="36" t="inlineStr">
        <is>
          <t>A pension fund must pay $500,000 in 8 years. If the current portfolio duration is lower than 8 years, is the fund exposed to reinvestment risk or price risk? Explain.</t>
        </is>
      </c>
    </row>
    <row r="49" ht="16" customHeight="1">
      <c r="A49" s="37" t="n"/>
      <c r="B49" s="38" t="n"/>
    </row>
    <row r="50" ht="16" customHeight="1">
      <c r="A50" s="37" t="n"/>
      <c r="B50" s="38" t="n"/>
    </row>
    <row r="51" ht="16" customHeight="1">
      <c r="A51" s="37" t="n"/>
      <c r="B51" s="38" t="n"/>
    </row>
  </sheetData>
  <mergeCells count="31">
    <mergeCell ref="A14:G14"/>
    <mergeCell ref="G21:K21"/>
    <mergeCell ref="B49:K49"/>
    <mergeCell ref="B40:K40"/>
    <mergeCell ref="B51:K51"/>
    <mergeCell ref="G23:K23"/>
    <mergeCell ref="A1:K1"/>
    <mergeCell ref="B36:K36"/>
    <mergeCell ref="B45:K45"/>
    <mergeCell ref="B41:K41"/>
    <mergeCell ref="B50:K50"/>
    <mergeCell ref="A16:K16"/>
    <mergeCell ref="G19:K19"/>
    <mergeCell ref="B47:K47"/>
    <mergeCell ref="B46:K46"/>
    <mergeCell ref="A3:K3"/>
    <mergeCell ref="A26:K26"/>
    <mergeCell ref="G24:K24"/>
    <mergeCell ref="A2:K2"/>
    <mergeCell ref="B43:K43"/>
    <mergeCell ref="B39:K39"/>
    <mergeCell ref="B48:K48"/>
    <mergeCell ref="A5:K5"/>
    <mergeCell ref="A17:K17"/>
    <mergeCell ref="B42:K42"/>
    <mergeCell ref="A35:K35"/>
    <mergeCell ref="G20:K20"/>
    <mergeCell ref="B44:K44"/>
    <mergeCell ref="B38:K38"/>
    <mergeCell ref="G22:K22"/>
    <mergeCell ref="B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2026-06-07T01:58:09Z</dcterms:created>
  <dcterms:modified xmlns:dcterms="http://purl.org/dc/terms/" xmlns:xsi="http://www.w3.org/2001/XMLSchema-instance" xsi:type="dcterms:W3CDTF">2026-06-07T01:58:09Z</dcterms:modified>
</cp:coreProperties>
</file>