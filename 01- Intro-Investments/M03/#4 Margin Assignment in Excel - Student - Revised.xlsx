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1.xml" ContentType="application/vnd.openxmlformats-officedocument.spreadsheetml.comments+xml"/>
  <Override PartName="/xl/worksheets/sheet5.xml" ContentType="application/vnd.openxmlformats-officedocument.spreadsheetml.worksheet+xml"/>
  <Override PartName="/xl/comments2.xml" ContentType="application/vnd.openxmlformats-officedocument.spreadsheetml.comments+xml"/>
  <Override PartName="/xl/worksheets/sheet6.xml" ContentType="application/vnd.openxmlformats-officedocument.spreadsheetml.worksheet+xml"/>
  <Override PartName="/xl/comments3.xml" ContentType="application/vnd.openxmlformats-officedocument.spreadsheetml.comments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a936edb74e44b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2" r:id="R10148ca247ed4cc0"/>
    <x:sheet xmlns:r="http://schemas.openxmlformats.org/officeDocument/2006/relationships" name="Part 1 Initial Margin" sheetId="3" r:id="R0cc60b2caa2d4b22"/>
    <x:sheet xmlns:r="http://schemas.openxmlformats.org/officeDocument/2006/relationships" name="Part 2 Maintenance Margin" sheetId="4" r:id="R9f150d9493a945f9"/>
    <x:sheet xmlns:r="http://schemas.openxmlformats.org/officeDocument/2006/relationships" name="Part 3 Margin Call" sheetId="5" r:id="R1725cca9ff054ccb"/>
    <x:sheet xmlns:r="http://schemas.openxmlformats.org/officeDocument/2006/relationships" name="Part 4 Portfolio" sheetId="6" r:id="R9254ed46d1594c50"/>
    <x:sheet xmlns:r="http://schemas.openxmlformats.org/officeDocument/2006/relationships" name="Final Score" sheetId="7" r:id="Rcc6d4ba5faff410d"/>
  </x:sheets>
</x:workbook>
</file>

<file path=xl/comments1.xml><?xml version="1.0" encoding="utf-8"?>
<x:comments xmlns:x="http://schemas.openxmlformats.org/spreadsheetml/2006/main">
  <x:authors>
    <x:author>Author</x:author>
  </x:authors>
  <x:commentList>
    <x:comment ref="A19" authorId="0">
      <x:text>
        <x:r>
          <x:t>Author:
A broker may liquidate positions before equity reaches zero; $112.50 is the mathematical zero-equity price, not a guaranteed liquidation threshold.</x:t>
        </x:r>
      </x:text>
    </x:comment>
  </x:commentList>
</x:comments>
</file>

<file path=xl/comments2.xml><?xml version="1.0" encoding="utf-8"?>
<x:comments xmlns:x="http://schemas.openxmlformats.org/spreadsheetml/2006/main">
  <x:authors>
    <x:author>Author</x:author>
  </x:authors>
  <x:commentList>
    <x:comment ref="C22" authorId="0">
      <x:text>
        <x:r>
          <x:t>Author:
Prevents a blank answer from being treated as zero and receiving automatic credit.</x:t>
        </x:r>
      </x:text>
    </x:comment>
  </x:commentList>
</x:comments>
</file>

<file path=xl/comments3.xml><?xml version="1.0" encoding="utf-8"?>
<x:comments xmlns:x="http://schemas.openxmlformats.org/spreadsheetml/2006/main">
  <x:authors>
    <x:author>Author</x:author>
  </x:authors>
  <x:commentList>
    <x:comment ref="A24" authorId="0">
      <x:text>
        <x:r>
          <x:t>Author:
Broker-dealers may impose house maintenance requirements above FINRA's general minimum.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<x:sst xmlns:x="http://schemas.openxmlformats.org/spreadsheetml/2006/main">
  <x:si>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MARGIN TRADING CHALLENGE</x:t>
  </x:si>
  <x:si>
    <x:t xml:space="preserve">SCENARIO</x:t>
  </x:si>
  <x:si>
    <x:t xml:space="preserve">CHALLENGE RULES</x:t>
  </x:si>
  <x:si>
    <x:t xml:space="preserve">STOCKS YOU WILL WORK WITH</x:t>
  </x:si>
  <x:si>
    <x:t xml:space="preserve">Ticker</x:t>
  </x:si>
  <x:si>
    <x:t xml:space="preserve">Company</x:t>
  </x:si>
  <x:si>
    <x:t xml:space="preserve">Initial Price</x:t>
  </x:si>
  <x:si>
    <x:t xml:space="preserve">AAPL</x:t>
  </x:si>
  <x:si>
    <x:t xml:space="preserve">Apple Inc.</x:t>
  </x:si>
  <x:si>
    <x:t xml:space="preserve">TSLA</x:t>
  </x:si>
  <x:si>
    <x:t xml:space="preserve">Tesla Inc.</x:t>
  </x:si>
  <x:si>
    <x:t xml:space="preserve">NVDA</x:t>
  </x:si>
  <x:si>
    <x:t xml:space="preserve">NVIDIA Corp.</x:t>
  </x:si>
  <x:si>
    <x:t xml:space="preserve">GRADING SCALE</x:t>
  </x:si>
  <x:si>
    <x:t xml:space="preserve">A</x:t>
  </x:si>
  <x:si>
    <x:t xml:space="preserve">90-100 points</x:t>
  </x:si>
  <x:si>
    <x:t xml:space="preserve">B</x:t>
  </x:si>
  <x:si>
    <x:t xml:space="preserve">80-89 points</x:t>
  </x:si>
  <x:si>
    <x:t xml:space="preserve">C</x:t>
  </x:si>
  <x:si>
    <x:t xml:space="preserve">70-79 points</x:t>
  </x:si>
  <x:si>
    <x:t xml:space="preserve">D</x:t>
  </x:si>
  <x:si>
    <x:t xml:space="preserve">60-69 points</x:t>
  </x:si>
  <x:si>
    <x:t xml:space="preserve">F</x:t>
  </x:si>
  <x:si>
    <x:t xml:space="preserve">Below 60 points</x:t>
  </x:si>
  <x:si>
    <x:t xml:space="preserve">PART 1 - Initial Margin Purchase</x:t>
  </x:si>
  <x:si>
    <x:t xml:space="preserve">Given Information</x:t>
  </x:si>
  <x:si>
    <x:t xml:space="preserve">Number of shares:</x:t>
  </x:si>
  <x:si>
    <x:t xml:space="preserve">Share price:</x:t>
  </x:si>
  <x:si>
    <x:t xml:space="preserve">Initial margin requirement:</x:t>
  </x:si>
  <x:si>
    <x:t xml:space="preserve">Your Calculations</x:t>
  </x:si>
  <x:si>
    <x:t xml:space="preserve">Your Answer</x:t>
  </x:si>
  <x:si>
    <x:t xml:space="preserve">Feedback</x:t>
  </x:si>
  <x:si>
    <x:t xml:space="preserve">Points</x:t>
  </x:si>
  <x:si>
    <x:t xml:space="preserve">1. Total purchase price</x:t>
  </x:si>
  <x:si>
    <x:t xml:space="preserve">2. Initial margin required (cash needed)</x:t>
  </x:si>
  <x:si>
    <x:t xml:space="preserve">3. Borrowed amount</x:t>
  </x:si>
  <x:si>
    <x:t xml:space="preserve">4. Initial equity percentage</x:t>
  </x:si>
  <x:si>
    <x:t xml:space="preserve">Total Points for Part 1</x:t>
  </x:si>
  <x:si>
    <x:t xml:space="preserve">PART 2 - Maintenance Margin Alert</x:t>
  </x:si>
  <x:si>
    <x:t xml:space="preserve">New share price:</x:t>
  </x:si>
  <x:si>
    <x:t xml:space="preserve">Borrowed amount:</x:t>
  </x:si>
  <x:si>
    <x:t xml:space="preserve">Broker house maintenance margin requirement:</x:t>
  </x:si>
  <x:si>
    <x:t xml:space="preserve">1. Current market value of position</x:t>
  </x:si>
  <x:si>
    <x:t xml:space="preserve">2. Current equity (market value - loan)</x:t>
  </x:si>
  <x:si>
    <x:t xml:space="preserve">3. Current equity percentage</x:t>
  </x:si>
  <x:si>
    <x:t xml:space="preserve">4. Is maintenance margin met? (YES or NO)</x:t>
  </x:si>
  <x:si>
    <x:t xml:space="preserve">5. Maintenance margin requirement ($)</x:t>
  </x:si>
  <x:si>
    <x:t xml:space="preserve">Total Points for Part 2</x:t>
  </x:si>
  <x:si>
    <x:t xml:space="preserve">PART 3 - Margin Call Calculation</x:t>
  </x:si>
  <x:si>
    <x:t xml:space="preserve">1. Current equity percentage</x:t>
  </x:si>
  <x:si>
    <x:t xml:space="preserve">4. Price at which account equity reaches $0 (ignoring forced liquidation)</x:t>
  </x:si>
  <x:si>
    <x:t xml:space="preserve">Total Points for Part 3</x:t>
  </x:si>
  <x:si>
    <x:t xml:space="preserve">PART 4 - Multi-Stock Portfolio Challenge</x:t>
  </x:si>
  <x:si>
    <x:t xml:space="preserve">Stock</x:t>
  </x:si>
  <x:si>
    <x:t xml:space="preserve">Shares</x:t>
  </x:si>
  <x:si>
    <x:t xml:space="preserve">Purchase Price</x:t>
  </x:si>
  <x:si>
    <x:t xml:space="preserve">Current Price</x:t>
  </x:si>
  <x:si>
    <x:t xml:space="preserve">Initial Value</x:t>
  </x:si>
  <x:si>
    <x:t xml:space="preserve">Current Value</x:t>
  </x:si>
  <x:si>
    <x:t xml:space="preserve">TOTAL</x:t>
  </x:si>
  <x:si>
    <x:t xml:space="preserve">Portfolio Parameters</x:t>
  </x:si>
  <x:si>
    <x:t xml:space="preserve">1. Total portfolio value at purchase</x:t>
  </x:si>
  <x:si>
    <x:t xml:space="preserve">2. Total borrowed amount</x:t>
  </x:si>
  <x:si>
    <x:t xml:space="preserve">3. Portfolio value after decline</x:t>
  </x:si>
  <x:si>
    <x:t xml:space="preserve">4. Portfolio equity % after decline</x:t>
  </x:si>
  <x:si>
    <x:t xml:space="preserve">5. Total margin call amount needed</x:t>
  </x:si>
  <x:si>
    <x:t xml:space="preserve">Total Points for Part 4</x:t>
  </x:si>
  <x:si>
    <x:t xml:space="preserve">Section</x:t>
  </x:si>
  <x:si>
    <x:t xml:space="preserve">Points Earned</x:t>
  </x:si>
  <x:si>
    <x:t xml:space="preserve">Points Possible</x:t>
  </x:si>
  <x:si>
    <x:t xml:space="preserve">Part 1: Initial Margin Purchase</x:t>
  </x:si>
  <x:si>
    <x:t xml:space="preserve">Part 2: Maintenance Margin Alert</x:t>
  </x:si>
  <x:si>
    <x:t xml:space="preserve">Part 3: Margin Call Calculation</x:t>
  </x:si>
  <x:si>
    <x:t xml:space="preserve">Part 4: Multi-Stock Portfolio</x:t>
  </x:si>
  <x:si>
    <x:t xml:space="preserve">TOTAL SCORE</x:t>
  </x:si>
  <x:si>
    <x:t xml:space="preserve">PERFORMANCE FEEDBACK</x:t>
  </x:si>
  <x:si>
    <x:t xml:space="preserve">DETAILED BREAKDOWN</x:t>
  </x:si>
  <x:si>
    <x:t xml:space="preserve">KEY LEARNING POINTS</x:t>
  </x:si>
  <x:si>
    <x:t xml:space="preserve">Check: Equity = Market Value - Borrowed Amount</x:t>
  </x:si>
  <x:si>
    <x:t xml:space="preserve">Check: Equity % = Equity divided by Market Value</x:t>
  </x:si>
</x:sst>
</file>

<file path=xl/styles.xml><?xml version="1.0" encoding="utf-8"?>
<x:styleSheet xmlns:x="http://schemas.openxmlformats.org/spreadsheetml/2006/main">
  <x:numFmts count="5">
    <x:numFmt numFmtId="6" formatCode="&quot;$&quot;#,##0_);[Red]\(&quot;$&quot;#,##0\)"/>
    <x:numFmt numFmtId="8" formatCode="&quot;$&quot;#,##0.00_);[Red]\(&quot;$&quot;#,##0.00\)"/>
    <x:numFmt numFmtId="200" formatCode="#,##0.00;(#,##0.00);&quot;-&quot;"/>
    <x:numFmt numFmtId="201" formatCode="0.00%"/>
    <x:numFmt numFmtId="202" formatCode="#,##0.00"/>
  </x:numFmts>
  <x:fonts count="17">
    <x:font>
      <x:sz val="11"/>
      <x:color theme="1"/>
      <x:name val="Calibri"/>
    </x:font>
    <x:font>
      <x:b/>
      <x:sz val="24"/>
      <x:color rgb="FF1F4E78"/>
      <x:name val="Calibri"/>
    </x:font>
    <x:font>
      <x:sz val="16"/>
      <x:color rgb="FFC00000"/>
      <x:name val="Calibri"/>
    </x:font>
    <x:font>
      <x:b/>
      <x:sz val="11"/>
      <x:color theme="1"/>
      <x:name val="Calibri"/>
    </x:font>
    <x:font>
      <x:b/>
      <x:sz val="14"/>
      <x:color theme="1"/>
      <x:name val="Calibri"/>
    </x:font>
    <x:font>
      <x:b/>
      <x:sz val="11"/>
      <x:color rgb="FFFFFFFF"/>
      <x:name val="Calibri"/>
    </x:font>
    <x:font>
      <x:i/>
      <x:sz val="11"/>
      <x:color rgb="FF1F4E78"/>
      <x:name val="Calibri"/>
    </x:font>
    <x:font>
      <x:b/>
      <x:sz val="18"/>
      <x:color rgb="FF1F4E78"/>
      <x:name val="Calibri"/>
    </x:font>
    <x:font>
      <x:b/>
      <x:sz val="12"/>
      <x:color theme="1"/>
      <x:name val="Calibri"/>
    </x:font>
    <x:font>
      <x:b/>
      <x:sz val="16"/>
      <x:color theme="1"/>
      <x:name val="Calibri"/>
    </x:font>
    <x:font>
      <x:i/>
      <x:sz val="11"/>
      <x:color rgb="FF7F7F7F"/>
      <x:name val="Calibri"/>
    </x:font>
    <x:font>
      <x:b/>
      <x:sz val="18"/>
      <x:color rgb="FFC00000"/>
      <x:name val="Calibri"/>
    </x:font>
    <x:font>
      <x:b/>
      <x:sz val="20"/>
      <x:color rgb="FF1F4E78"/>
      <x:name val="Calibri"/>
    </x:font>
    <x:font>
      <x:b/>
      <x:sz val="24"/>
      <x:color rgb="FFC00000"/>
      <x:name val="Calibri"/>
    </x:font>
    <x:font>
      <x:i/>
      <x:sz val="12"/>
      <x:color rgb="FF1F4E78"/>
      <x:name val="Calibri"/>
    </x:font>
    <x:font>
      <x:sz val="10"/>
      <x:color rgb="FF000000"/>
      <x:name val="Tahoma"/>
    </x:font>
    <x:font>
      <x:b/>
      <x:sz val="10"/>
      <x:color rgb="FF000000"/>
      <x:name val="Tahoma"/>
    </x:font>
  </x:fonts>
  <x:fills count="6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1F2"/>
      </x:patternFill>
    </x:fill>
    <x:fill>
      <x:patternFill patternType="solid">
        <x:fgColor rgb="FFC00000"/>
      </x:patternFill>
    </x:fill>
    <x:fill>
      <x:patternFill patternType="solid">
        <x:fgColor rgb="FFFFF2CC"/>
      </x:patternFill>
    </x:fill>
  </x:fills>
  <x:borders count="9">
    <x:border/>
    <x:border>
      <x:top style="thin">
        <x:color auto="1"/>
      </x:top>
    </x:border>
    <x:border>
      <x:bottom style="thin">
        <x:color auto="1"/>
      </x:bottom>
    </x:border>
    <x:border>
      <x:left style="thin">
        <x:color auto="1"/>
      </x:left>
      <x:top style="thin">
        <x:color auto="1"/>
      </x:top>
    </x:border>
    <x:border>
      <x:left style="thin">
        <x:color auto="1"/>
      </x:left>
    </x:border>
    <x:border>
      <x:left style="thin">
        <x:color auto="1"/>
      </x:left>
      <x:bottom style="thin">
        <x:color auto="1"/>
      </x:bottom>
    </x:border>
    <x:border>
      <x:right style="thin">
        <x:color auto="1"/>
      </x:right>
      <x:top style="thin">
        <x:color auto="1"/>
      </x:top>
    </x:border>
    <x:border>
      <x:right style="thin">
        <x:color auto="1"/>
      </x:right>
    </x:border>
    <x:border>
      <x:right style="thin">
        <x:color auto="1"/>
      </x:right>
      <x:bottom style="thin">
        <x:color auto="1"/>
      </x:bottom>
    </x:border>
  </x:borders>
  <x:cellStyleXfs count="1">
    <x:xf numFmtId="0" fontId="0" fillId="0" borderId="0"/>
  </x:cellStyleXfs>
  <x:cellXfs count="72">
    <x:xf numFmtId="0" fontId="0" fillId="0" borderId="0" xfId="0"/>
    <x:xf numFmtId="0" fontId="1" fillId="0" borderId="0" xfId="0" applyFont="1"/>
    <x:xf numFmtId="0" fontId="2" fillId="0" borderId="0" xfId="0" applyFont="1"/>
    <x:xf numFmtId="0" fontId="3" fillId="0" borderId="0" xfId="0" applyFont="1"/>
    <x:xf numFmtId="0" fontId="4" fillId="0" borderId="0" xfId="0" applyFont="1"/>
    <x:xf numFmtId="0" fontId="5" fillId="2" borderId="0" xfId="0" applyFont="1" applyFill="1"/>
    <x:xf numFmtId="8" fontId="0" fillId="0" borderId="0" xfId="0" applyNumberFormat="1"/>
    <x:xf numFmtId="0" fontId="0" fillId="0" borderId="1" xfId="0" applyBorder="1"/>
    <x:xf numFmtId="0" fontId="0" fillId="0" borderId="2" xfId="0" applyBorder="1"/>
    <x:xf numFmtId="0" fontId="0" fillId="0" borderId="3" xfId="0" applyBorder="1"/>
    <x:xf numFmtId="0" fontId="0" fillId="0" borderId="4" xfId="0" applyBorder="1"/>
    <x:xf numFmtId="0" fontId="0" fillId="0" borderId="5" xfId="0" applyBorder="1"/>
    <x:xf numFmtId="8" fontId="0" fillId="0" borderId="6" xfId="0" applyNumberFormat="1" applyBorder="1"/>
    <x:xf numFmtId="8" fontId="0" fillId="0" borderId="7" xfId="0" applyNumberFormat="1" applyBorder="1"/>
    <x:xf numFmtId="8" fontId="0" fillId="0" borderId="8" xfId="0" applyNumberFormat="1" applyBorder="1"/>
    <x:xf numFmtId="0" fontId="6" fillId="0" borderId="0" xfId="0" applyFont="1"/>
    <x:xf numFmtId="0" fontId="7" fillId="0" borderId="0" xfId="0" applyFont="1"/>
    <x:xf numFmtId="0" fontId="8" fillId="0" borderId="0" xfId="0" applyFont="1"/>
    <x:xf numFmtId="9" fontId="0" fillId="0" borderId="0" xfId="0" applyNumberFormat="1"/>
    <x:xf numFmtId="0" fontId="9" fillId="0" borderId="0" xfId="0" applyFont="1"/>
    <x:xf numFmtId="0" fontId="10" fillId="0" borderId="0" xfId="0" applyFont="1"/>
    <x:xf numFmtId="0" fontId="3" fillId="3" borderId="0" xfId="0" applyFont="1" applyFill="1"/>
    <x:xf numFmtId="6" fontId="0" fillId="0" borderId="0" xfId="0" applyNumberFormat="1"/>
    <x:xf numFmtId="0" fontId="11" fillId="0" borderId="0" xfId="0" applyFont="1"/>
    <x:xf numFmtId="0" fontId="5" fillId="4" borderId="0" xfId="0" applyFont="1" applyFill="1"/>
    <x:xf numFmtId="0" fontId="12" fillId="0" borderId="0" xfId="0" applyFont="1"/>
    <x:xf numFmtId="0" fontId="4" fillId="3" borderId="0" xfId="0" applyFont="1" applyFill="1"/>
    <x:xf numFmtId="0" fontId="13" fillId="0" borderId="0" xfId="0" applyFont="1"/>
    <x:xf numFmtId="0" fontId="0" fillId="0" borderId="0" xfId="0" applyAlignment="1">
      <x:alignment wrapText="1"/>
    </x:xf>
    <x:xf numFmtId="0" fontId="14" fillId="0" borderId="0" xfId="0" applyFont="1"/>
    <x:xf numFmtId="0" fontId="1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8" fontId="0" fillId="0" borderId="6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8" fontId="0" fillId="0" borderId="7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8" fontId="0" fillId="0" borderId="8" xfId="0" applyNumberFormat="1" applyFont="1" applyFill="1" applyBorder="1" applyAlignment="1">
      <x:alignment wrapText="1"/>
    </x:xf>
    <x:xf numFmtId="0" fontId="6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8" fontId="0" fillId="0" borderId="0" xfId="0" applyNumberFormat="1" applyFont="1" applyFill="1" applyBorder="1" applyAlignment="1">
      <x:alignment wrapText="1"/>
    </x:xf>
    <x:xf numFmtId="9" fontId="0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3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5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201" fontId="0" fillId="5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0" fillId="5" borderId="0" xfId="0" applyNumberFormat="1" applyFont="1" applyFill="1" applyBorder="1" applyAlignment="1">
      <x:alignment wrapText="1"/>
    </x:xf>
    <x:xf numFmtId="6" fontId="0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5" fillId="4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wrapText="1"/>
    </x:xf>
    <x:xf numFmtId="202" fontId="0" fillId="5" borderId="0" xfId="0" applyNumberFormat="1" applyFont="1" applyFill="1" applyBorder="1" applyAlignment="1">
      <x:alignment wrapText="1"/>
    </x:xf>
    <x:xf numFmtId="202" fontId="3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/>
    <x:xf numFmtId="200" fontId="0" fillId="5" borderId="0" xfId="0" applyNumberFormat="1" applyFont="1" applyFill="1" applyBorder="1"/>
    <x:xf numFmtId="201" fontId="0" fillId="0" borderId="0" xfId="0" applyNumberFormat="1" applyFont="1" applyFill="1" applyBorder="1"/>
    <x:xf numFmtId="201" fontId="0" fillId="5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0" fontId="14" fillId="0" borderId="0" xfId="0" applyNumberFormat="1" applyFont="1" applyFill="1" applyBorder="1" applyAlignment="1">
      <x:alignment wrapText="1"/>
    </x:xf>
  </x:cellXfs>
  <x:cellStyles count="1">
    <x:cellStyle name="Normal" xfId="0"/>
  </x:cellStyles>
  <x:dxfs count="22"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  <x:dxf>
      <x:font>
        <x:color rgb="FF19634A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71c8db589ff433f" /><Relationship Type="http://schemas.openxmlformats.org/officeDocument/2006/relationships/theme" Target="/xl/theme/theme1.xml" Id="Ra2a4b2ce96ce4db2" /><Relationship Type="http://schemas.openxmlformats.org/officeDocument/2006/relationships/sharedStrings" Target="/xl/sharedStrings.xml" Id="Rda860d2982cc4a27" /><Relationship Type="http://schemas.openxmlformats.org/officeDocument/2006/relationships/worksheet" Target="/xl/worksheets/sheet1.xml" Id="R10148ca247ed4cc0" /><Relationship Type="http://schemas.openxmlformats.org/officeDocument/2006/relationships/worksheet" Target="/xl/worksheets/sheet2.xml" Id="R0cc60b2caa2d4b22" /><Relationship Type="http://schemas.openxmlformats.org/officeDocument/2006/relationships/worksheet" Target="/xl/worksheets/sheet3.xml" Id="R9f150d9493a945f9" /><Relationship Type="http://schemas.openxmlformats.org/officeDocument/2006/relationships/worksheet" Target="/xl/worksheets/sheet4.xml" Id="R1725cca9ff054ccb" /><Relationship Type="http://schemas.openxmlformats.org/officeDocument/2006/relationships/worksheet" Target="/xl/worksheets/sheet5.xml" Id="R9254ed46d1594c50" /><Relationship Type="http://schemas.openxmlformats.org/officeDocument/2006/relationships/worksheet" Target="/xl/worksheets/sheet6.xml" Id="Rcc6d4ba5faff410d" /><Relationship Type="http://schemas.microsoft.com/office/2017/10/relationships/person" Target="/xl/persons/person.xml" Id="R84331519831a400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7a7efa3ea7341dc" /></Relationships>
</file>

<file path=xl/drawings/charts/chart1.xml><?xml version="1.0" encoding="utf-8"?>
<c:chartSpace xmlns:mc="http://schemas.openxmlformats.org/markup-compatibility/2006" xmlns:c14="http://schemas.microsoft.com/office/drawing/2007/8/2/chart" xmlns:c="http://schemas.openxmlformats.org/drawingml/2006/chart" mc:Ignorable="c14"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400" b="0" i="0" u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rPr>
              <a:t>Performance by Section</a:t>
            </a:r>
          </a:p>
        </c:rich>
      </c:tx>
      <c:overlay val="0"/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1400" b="0" i="0" u="none" spc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'Final Score'!$B$3</c:f>
              <c:strCache>
                <c:ptCount val="1"/>
                <c:pt idx="0">
                  <c:v>Points Earned</c:v>
                </c:pt>
              </c:strCache>
            </c:strRef>
          </c:tx>
          <c: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</a:ln>
          </c:spPr>
          <c:cat>
            <c:strRef>
              <c:f>'Final Score'!$A$4:$A$7</c:f>
              <c:strCache>
                <c:ptCount val="4"/>
                <c:pt idx="0">
                  <c:v>Part 1: Initial Margin Purchase</c:v>
                </c:pt>
                <c:pt idx="1">
                  <c:v>Part 2: Maintenance Margin Alert</c:v>
                </c:pt>
                <c:pt idx="2">
                  <c:v>Part 3: Margin Call Calculation</c:v>
                </c:pt>
                <c:pt idx="3">
                  <c:v>Part 4: Multi-Stock Portfolio</c:v>
                </c:pt>
              </c:strCache>
            </c:strRef>
          </c:cat>
          <c:val>
            <c:numRef>
              <c:f>'Final Score'!$B$4:$B$7</c:f>
              <c:numCache>
                <c:formatCode>General</c:formatCode>
                <c:ptCount val="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066480136"/>
        <c:axId val="2066883592"/>
      </c:barChart>
      <c:catAx>
        <c:axId val="2066480136"/>
        <c:scaling>
          <c:orientation val="minMax"/>
        </c:scaling>
        <c:delete val="0"/>
        <c:axPos val="b"/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Section</a:t>
                </a:r>
              </a:p>
            </c:rich>
          </c:tx>
          <c:overlay val="0"/>
          <c:txPr>
            <a:bodyPr xmlns:a="http://schemas.openxmlformats.org/drawingml/2006/main" rot="0" spcFirstLastPara="1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 w="9525" cmpd="sng">
            <a:solidFill>
              <a:schemeClr val="tx1">
                <a:lumMod val="15000"/>
                <a:lumOff val="85000"/>
              </a:schemeClr>
            </a:solidFill>
          </a:ln>
        </c:spPr>
        <c:txPr>
          <a:bodyPr xmlns:a="http://schemas.openxmlformats.org/drawingml/2006/main" rot="-60000000" spcFirstLastPara="1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2066883592"/>
        <c:crosses val="autoZero"/>
        <c:lblOffset val="100"/>
      </c:catAx>
      <c:valAx>
        <c:axId val="2066883592"/>
        <c:scaling>
          <c:orientation val="minMax"/>
        </c:scaling>
        <c:delete val="0"/>
        <c:axPos val="l"/>
        <c:majorGridlines>
          <c:spPr>
            <a:ln xmlns:a="http://schemas.openxmlformats.org/drawingml/2006/main" w="9525" cmpd="sng">
              <a:solidFill>
                <a:schemeClr val="tx1">
                  <a:lumMod val="15000"/>
                  <a:lumOff val="85000"/>
                </a:schemeClr>
              </a:solidFill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rPr sz="1000" b="0" i="0" u="none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lt"/>
                    <a:cs typeface="+mn-lt"/>
                  </a:rPr>
                  <a:t>Points Earned</a:t>
                </a:r>
              </a:p>
            </c:rich>
          </c:tx>
          <c:overlay val="0"/>
          <c:txPr>
            <a:bodyPr xmlns:a="http://schemas.openxmlformats.org/drawingml/2006/main" rot="-5400000" spcFirstLastPara="1" vert="horz" wrap="square" anchor="ctr" anchorCtr="1"/>
            <a:lstStyle xmlns:a="http://schemas.openxmlformats.org/drawingml/2006/main"/>
            <a:p xmlns:a="http://schemas.openxmlformats.org/drawingml/2006/main">
              <a:pPr>
                <a:defRPr sz="1000" b="0" i="0" u="none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lt"/>
                  <a:cs typeface="+mn-lt"/>
                </a:defRPr>
              </a:pPr>
            </a:p>
          </c:txPr>
        </c:title>
        <c:numFmt formatCode="General" sourceLinked="1"/>
        <c:majorTickMark val="none"/>
        <c:minorTickMark val="none"/>
        <c:tickLblPos val="nextTo"/>
        <c:spPr>
          <a:ln xmlns:a="http://schemas.openxmlformats.org/drawingml/2006/main">
            <a:noFill/>
          </a:ln>
        </c:spPr>
        <c:txPr>
          <a:bodyPr xmlns:a="http://schemas.openxmlformats.org/drawingml/2006/main" rot="-60000000" vert="horz" anchor="ctr" anchorCtr="1"/>
          <a:lstStyle xmlns:a="http://schemas.openxmlformats.org/drawingml/2006/main"/>
          <a:p xmlns:a="http://schemas.openxmlformats.org/drawingml/2006/main">
            <a:pPr>
              <a:defRPr sz="900" b="0" i="0" u="none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lt"/>
                <a:cs typeface="+mn-lt"/>
              </a:defRPr>
            </a:pPr>
          </a:p>
        </c:txPr>
        <c:crossAx val="2066480136"/>
        <c:crosses val="autoZero"/>
        <c:crossBetween val="between"/>
      </c:valAx>
      <c:spPr>
        <a:noFill xmlns:a="http://schemas.openxmlformats.org/drawingml/2006/main"/>
        <a:ln xmlns:a="http://schemas.openxmlformats.org/drawingml/2006/main">
          <a:noFill/>
        </a:ln>
      </c:spPr>
    </c:plotArea>
    <c:legend>
      <c:legendPos val="r"/>
      <c:overlay val="0"/>
      <c:spPr>
        <a:noFill xmlns:a="http://schemas.openxmlformats.org/drawingml/2006/main"/>
      </c:spPr>
      <c:txPr>
        <a:bodyPr xmlns:a="http://schemas.openxmlformats.org/drawingml/2006/main" rot="0" vert="horz" anchor="ctr" anchorCtr="1"/>
        <a:lstStyle xmlns:a="http://schemas.openxmlformats.org/drawingml/2006/main"/>
        <a:p xmlns:a="http://schemas.openxmlformats.org/drawingml/2006/main">
          <a:pPr>
            <a:defRPr sz="900" b="0" i="0" u="none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lt"/>
              <a:cs typeface="+mn-lt"/>
            </a:defRPr>
          </a:pPr>
        </a:p>
      </c:txPr>
    </c:legend>
    <c:plotVisOnly val="1"/>
  </c:chart>
  <c:spPr>
    <a:solidFill xmlns:a="http://schemas.openxmlformats.org/drawingml/2006/main">
      <a:schemeClr val="bg1"/>
    </a:solidFill>
    <a:ln xmlns:a="http://schemas.openxmlformats.org/drawingml/2006/main" w="9525" cmpd="sng">
      <a:solidFill>
        <a:schemeClr val="tx1">
          <a:lumMod val="15000"/>
          <a:lumOff val="85000"/>
        </a:schemeClr>
      </a:solidFill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2</xdr:row>
      <xdr:rowOff>0</xdr:rowOff>
    </xdr:from>
    <xdr:to>
      <xdr:col>11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a7efa3ea7341dc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Author" id="{CBA2F92C-1B88-5A13-F16C-AD444EEDB74F}"/>
  <xltc:person displayName="Author" id="{D1381AF6-C6CD-DFC7-13F4-11093397B761}"/>
  <xltc:person displayName="Author" id="{70598B7F-7738-C034-AF86-4247F62CA169}"/>
</xltc: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4.xml.rels>&#65279;<?xml version="1.0" encoding="utf-8"?><Relationships xmlns="http://schemas.openxmlformats.org/package/2006/relationships"><Relationship Type="http://schemas.openxmlformats.org/officeDocument/2006/relationships/comments" Target="/xl/comments1.xml" Id="R53c375b9f9cc4372" /><Relationship Type="http://schemas.openxmlformats.org/officeDocument/2006/relationships/vmlDrawing" Target="/xl/drawings/vmldrawing.vml" Id="Ra43108b181754bee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comments" Target="/xl/comments2.xml" Id="R1d6b0aaba7bb4614" /><Relationship Type="http://schemas.openxmlformats.org/officeDocument/2006/relationships/vmlDrawing" Target="/xl/drawings/vmldrawing2.vml" Id="R4bdd75d5f28a40e1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comments" Target="/xl/comments3.xml" Id="R7057f5770ebc4fe1" /><Relationship Type="http://schemas.openxmlformats.org/officeDocument/2006/relationships/vmlDrawing" Target="/xl/drawings/vmldrawing3.vml" Id="Rd766b693d09343f9" /><Relationship Type="http://schemas.openxmlformats.org/officeDocument/2006/relationships/drawing" Target="/xl/drawings/drawing1.xml" Id="Raa5c240801dc430e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8.83203125" defaultRowHeight="15"/>
  <x:cols>
    <x:col min="1" max="1" width="69" hidden="0" customWidth="1"/>
    <x:col min="2" max="2" width="23" hidden="0" customWidth="1"/>
    <x:col min="3" max="3" width="31" hidden="0" customWidth="1"/>
    <x:col min="4" max="4" width="12" hidden="0" customWidth="1"/>
    <x:col min="5" max="5" width="48" hidden="0" customWidth="1"/>
    <x:col min="6" max="6" width="20" hidden="0" customWidth="1"/>
  </x:cols>
  <x:sheetData>
    <x:row r="1" ht="42" customHeight="1">
      <x:c r="A1" s="30" t="s">
        <x:v>0</x:v>
      </x:c>
      <x:c r="B1" s="31"/>
      <x:c r="C1" s="31"/>
    </x:row>
    <x:row r="2" ht="34" customHeight="1">
      <x:c r="A2" s="32" t="str">
        <x:v>Predict → build formulas → explain the decision</x:v>
      </x:c>
      <x:c r="B2" s="31"/>
      <x:c r="C2" s="31"/>
      <x:c r="D2" s="31"/>
    </x:row>
    <x:row r="3" ht="30" customHeight="1">
      <x:c r="A3" s="31"/>
      <x:c r="B3" s="31"/>
      <x:c r="C3" s="31"/>
    </x:row>
    <x:row r="4" ht="30" customHeight="1">
      <x:c r="A4" s="33" t="s">
        <x:v>1</x:v>
      </x:c>
      <x:c r="B4" s="31"/>
      <x:c r="C4" s="31"/>
    </x:row>
    <x:row r="5" ht="42" customHeight="1">
      <x:c r="A5" s="31" t="str">
        <x:v>Hypothetical price scenarios using real company names; these are not historical Q4 2024 quotes.</x:v>
      </x:c>
      <x:c r="B5" s="31"/>
      <x:c r="C5" s="31"/>
      <x:c r="D5" s="31"/>
    </x:row>
    <x:row r="6" ht="42" customHeight="1">
      <x:c r="A6" s="31" t="str">
        <x:v>Outcome: distinguish initial equity, maintenance deficiency and the theoretical zero-equity price.</x:v>
      </x:c>
      <x:c r="B6" s="31"/>
      <x:c r="C6" s="31"/>
      <x:c r="D6" s="31"/>
    </x:row>
    <x:row r="7" ht="30" customHeight="1">
      <x:c r="A7" s="31"/>
      <x:c r="B7" s="31"/>
      <x:c r="C7" s="31"/>
    </x:row>
    <x:row r="8" ht="30" customHeight="1">
      <x:c r="A8" s="33" t="s">
        <x:v>2</x:v>
      </x:c>
      <x:c r="B8" s="31"/>
      <x:c r="C8" s="31"/>
    </x:row>
    <x:row r="9" ht="30" customHeight="1">
      <x:c r="A9" s="31"/>
      <x:c r="B9" s="31"/>
      <x:c r="C9" s="31"/>
    </x:row>
    <x:row r="10" ht="42" customHeight="1">
      <x:c r="A10" s="31" t="str">
        <x:v>Use cell references in every numerical answer. Enter percentages as 50% or 0.50, never 50.</x:v>
      </x:c>
      <x:c r="B10" s="31"/>
      <x:c r="C10" s="31"/>
      <x:c r="D10" s="31"/>
    </x:row>
    <x:row r="11" ht="42" customHeight="1">
      <x:c r="A11" s="31" t="str">
        <x:v>100 practice points. A formula and a correct result are required; your instructor also reviews references and reasoning.</x:v>
      </x:c>
      <x:c r="B11" s="31"/>
      <x:c r="C11" s="31"/>
      <x:c r="D11" s="31"/>
    </x:row>
    <x:row r="12" ht="42" customHeight="1">
      <x:c r="A12" s="31" t="str">
        <x:v>Feedback: Not started / Use a formula / Correct / Review calculation. Feedback is for practice, not a secure exam.</x:v>
      </x:c>
      <x:c r="B12" s="31"/>
      <x:c r="C12" s="31"/>
      <x:c r="D12" s="31"/>
    </x:row>
    <x:row r="13" ht="30" customHeight="1">
      <x:c r="A13" s="31"/>
      <x:c r="B13" s="31"/>
      <x:c r="C13" s="31"/>
    </x:row>
    <x:row r="14" ht="30" customHeight="1">
      <x:c r="A14" s="31"/>
      <x:c r="B14" s="31"/>
      <x:c r="C14" s="31"/>
    </x:row>
    <x:row r="15" ht="30" customHeight="1">
      <x:c r="A15" s="33" t="s">
        <x:v>3</x:v>
      </x:c>
      <x:c r="B15" s="31"/>
      <x:c r="C15" s="31"/>
    </x:row>
    <x:row r="16" ht="30" customHeight="1">
      <x:c r="A16" s="34" t="s">
        <x:v>4</x:v>
      </x:c>
      <x:c r="B16" s="34" t="s">
        <x:v>5</x:v>
      </x:c>
      <x:c r="C16" s="34" t="s">
        <x:v>6</x:v>
      </x:c>
    </x:row>
    <x:row r="17" ht="30" customHeight="1">
      <x:c r="A17" s="35" t="s">
        <x:v>7</x:v>
      </x:c>
      <x:c r="B17" s="36" t="s">
        <x:v>8</x:v>
      </x:c>
      <x:c r="C17" s="37">
        <x:v>225</x:v>
      </x:c>
    </x:row>
    <x:row r="18" ht="30" customHeight="1">
      <x:c r="A18" s="38" t="s">
        <x:v>9</x:v>
      </x:c>
      <x:c r="B18" s="31" t="s">
        <x:v>10</x:v>
      </x:c>
      <x:c r="C18" s="39">
        <x:v>350</x:v>
      </x:c>
    </x:row>
    <x:row r="19" ht="30" customHeight="1">
      <x:c r="A19" s="40" t="s">
        <x:v>11</x:v>
      </x:c>
      <x:c r="B19" s="41" t="s">
        <x:v>12</x:v>
      </x:c>
      <x:c r="C19" s="42">
        <x:v>500</x:v>
      </x:c>
    </x:row>
    <x:row r="20" ht="30" customHeight="1">
      <x:c r="A20" s="31"/>
      <x:c r="B20" s="31"/>
      <x:c r="C20" s="31"/>
    </x:row>
    <x:row r="21" ht="30" customHeight="1">
      <x:c r="A21" s="33" t="s">
        <x:v>13</x:v>
      </x:c>
      <x:c r="B21" s="31"/>
      <x:c r="C21" s="31"/>
    </x:row>
    <x:row r="22" ht="30" customHeight="1">
      <x:c r="A22" s="31" t="s">
        <x:v>14</x:v>
      </x:c>
      <x:c r="B22" s="31" t="s">
        <x:v>15</x:v>
      </x:c>
      <x:c r="C22" s="31"/>
    </x:row>
    <x:row r="23" ht="30" customHeight="1">
      <x:c r="A23" s="31" t="s">
        <x:v>16</x:v>
      </x:c>
      <x:c r="B23" s="31" t="s">
        <x:v>17</x:v>
      </x:c>
      <x:c r="C23" s="31"/>
    </x:row>
    <x:row r="24" ht="30" customHeight="1">
      <x:c r="A24" s="31" t="s">
        <x:v>18</x:v>
      </x:c>
      <x:c r="B24" s="31" t="s">
        <x:v>19</x:v>
      </x:c>
      <x:c r="C24" s="31"/>
    </x:row>
    <x:row r="25" ht="30" customHeight="1">
      <x:c r="A25" s="31" t="s">
        <x:v>20</x:v>
      </x:c>
      <x:c r="B25" s="31" t="s">
        <x:v>21</x:v>
      </x:c>
      <x:c r="C25" s="31"/>
    </x:row>
    <x:row r="26" ht="30" customHeight="1">
      <x:c r="A26" s="31" t="s">
        <x:v>22</x:v>
      </x:c>
      <x:c r="B26" s="31" t="s">
        <x:v>23</x:v>
      </x:c>
      <x:c r="C26" s="31"/>
    </x:row>
    <x:row r="27" ht="30" customHeight="1">
      <x:c r="A27" s="31"/>
      <x:c r="B27" s="31"/>
      <x:c r="C27" s="31"/>
    </x:row>
    <x:row r="28" ht="42" customHeight="1">
      <x:c r="A28" s="43" t="str">
        <x:v>Pairs: 1 minute predict; 4 minutes Part 1; 5 minutes Part 2; 6 minutes Part 3; 10 minutes Part 4; 3 minutes debrief.</x:v>
      </x:c>
      <x:c r="B28" s="31"/>
      <x:c r="C28" s="31"/>
      <x:c r="D28" s="31"/>
    </x:row>
    <x:row r="30" ht="42" customHeight="1">
      <x:c r="A30" s="31" t="str">
        <x:v>Assumptions: long stocks; 50% initial equity; 30% house maintenance; no interest, fees or dividends.</x:v>
      </x:c>
      <x:c r="B30" s="31"/>
      <x:c r="C30" s="31"/>
      <x:c r="D30" s="31"/>
    </x:row>
    <x:row r="31" ht="42" customHeight="1">
      <x:c r="A31" s="31" t="str">
        <x:v>Cash to meet maintenance is applied to reduce the loan. Ignore forced liquidation in the calculations; brokers can sell earlier without notice.</x:v>
      </x:c>
      <x:c r="B31" s="31"/>
      <x:c r="C31" s="31"/>
      <x:c r="D31" s="31"/>
    </x:row>
    <x:row r="32" ht="42" customHeight="1">
      <x:c r="A32" s="31" t="str">
        <x:v>Deliverable: one completed workbook per pair, referenced formulas, and written explanations. Keep the original inputs for your submission.</x:v>
      </x:c>
      <x:c r="B32" s="31"/>
      <x:c r="C32" s="31"/>
      <x:c r="D32" s="31"/>
    </x:row>
    <x:row r="34" ht="42" customHeight="1">
      <x:c r="A34" s="31" t="str">
        <x:v>Margin rules: https://www.finra.org/rules-guidance/key-topics/margin-accounts</x:v>
      </x:c>
      <x:c r="B34" s="31"/>
      <x:c r="C34" s="31"/>
      <x:c r="D34" s="31"/>
    </x:row>
    <x:row r="35" ht="42" customHeight="1">
      <x:c r="A35" s="31" t="str">
        <x:v>Liquidation: https://www.finra.org/rules-guidance/rulebooks/finra-rules/2264</x:v>
      </x:c>
      <x:c r="B35" s="31"/>
      <x:c r="C35" s="31"/>
      <x:c r="D35" s="31"/>
    </x:row>
  </x:sheetData>
  <x:mergeCells>
    <x:mergeCell ref="A2:D2"/>
    <x:mergeCell ref="A5:D5"/>
    <x:mergeCell ref="A6:D6"/>
    <x:mergeCell ref="A10:D10"/>
    <x:mergeCell ref="A11:D11"/>
    <x:mergeCell ref="A12:D12"/>
    <x:mergeCell ref="A28:D28"/>
    <x:mergeCell ref="A30:D30"/>
    <x:mergeCell ref="A31:D31"/>
    <x:mergeCell ref="A32:D32"/>
    <x:mergeCell ref="A34:D34"/>
    <x:mergeCell ref="A35:D35"/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8.83203125" defaultRowHeight="15"/>
  <x:cols>
    <x:col min="1" max="1" width="69" hidden="0" customWidth="1"/>
    <x:col min="2" max="2" width="23" hidden="0" customWidth="1"/>
    <x:col min="3" max="3" width="31" hidden="0" customWidth="1"/>
    <x:col min="4" max="4" width="12" hidden="0" customWidth="1"/>
    <x:col min="5" max="5" width="48" hidden="0" customWidth="1"/>
    <x:col min="6" max="6" width="20" hidden="0" customWidth="1"/>
  </x:cols>
  <x:sheetData>
    <x:row r="1" ht="42" customHeight="1">
      <x:c r="A1" s="44" t="s">
        <x:v>24</x:v>
      </x:c>
      <x:c r="B1" s="31"/>
      <x:c r="C1" s="31"/>
      <x:c r="D1" s="31"/>
    </x:row>
    <x:row r="2" ht="30" customHeight="1">
      <x:c r="A2" s="31"/>
      <x:c r="B2" s="31"/>
      <x:c r="C2" s="31"/>
      <x:c r="D2" s="31"/>
    </x:row>
    <x:row r="3" ht="30" customHeight="1">
      <x:c r="A3" s="45" t="s">
        <x:v>1</x:v>
      </x:c>
      <x:c r="B3" s="31"/>
      <x:c r="C3" s="31"/>
      <x:c r="D3" s="31"/>
    </x:row>
    <x:row r="4" ht="42" customHeight="1">
      <x:c r="A4" s="31" t="str">
        <x:v>Buy 500 AAPL shares at $225. Use the input cells below if testing a different scenario.</x:v>
      </x:c>
      <x:c r="B4" s="31"/>
      <x:c r="C4" s="31"/>
      <x:c r="D4" s="31"/>
    </x:row>
    <x:row r="5" ht="42" customHeight="1">
      <x:c r="A5" s="31" t="str">
        <x:v>Predict before calculating: what portion belongs to the investor and what portion is borrowed?</x:v>
      </x:c>
      <x:c r="B5" s="31"/>
      <x:c r="C5" s="31"/>
      <x:c r="D5" s="31"/>
    </x:row>
    <x:row r="6" ht="30" customHeight="1">
      <x:c r="A6" s="31"/>
      <x:c r="B6" s="31"/>
      <x:c r="C6" s="31"/>
      <x:c r="D6" s="31"/>
    </x:row>
    <x:row r="7" ht="30" customHeight="1">
      <x:c r="A7" s="34" t="s">
        <x:v>25</x:v>
      </x:c>
      <x:c r="B7" s="34"/>
      <x:c r="C7" s="34"/>
      <x:c r="D7" s="31"/>
    </x:row>
    <x:row r="8" ht="30" customHeight="1">
      <x:c r="A8" s="31" t="s">
        <x:v>26</x:v>
      </x:c>
      <x:c r="B8" s="31">
        <x:v>500</x:v>
      </x:c>
      <x:c r="C8" s="31"/>
      <x:c r="D8" s="31"/>
    </x:row>
    <x:row r="9" ht="30" customHeight="1">
      <x:c r="A9" s="31" t="s">
        <x:v>27</x:v>
      </x:c>
      <x:c r="B9" s="46">
        <x:v>225</x:v>
      </x:c>
      <x:c r="C9" s="31"/>
      <x:c r="D9" s="31"/>
    </x:row>
    <x:row r="10" ht="30" customHeight="1">
      <x:c r="A10" s="31" t="s">
        <x:v>28</x:v>
      </x:c>
      <x:c r="B10" s="47">
        <x:v>0.5</x:v>
      </x:c>
      <x:c r="C10" s="31"/>
      <x:c r="D10" s="31"/>
    </x:row>
    <x:row r="11" ht="30" customHeight="1">
      <x:c r="A11" s="31"/>
      <x:c r="B11" s="31"/>
      <x:c r="C11" s="31"/>
      <x:c r="D11" s="31"/>
    </x:row>
    <x:row r="12" ht="30" customHeight="1">
      <x:c r="A12" s="31"/>
      <x:c r="B12" s="31"/>
      <x:c r="C12" s="31"/>
      <x:c r="D12" s="31"/>
    </x:row>
    <x:row r="13" ht="30" customHeight="1">
      <x:c r="A13" s="34" t="s">
        <x:v>29</x:v>
      </x:c>
      <x:c r="B13" s="34" t="s">
        <x:v>30</x:v>
      </x:c>
      <x:c r="C13" s="34" t="s">
        <x:v>31</x:v>
      </x:c>
      <x:c r="D13" s="34" t="s">
        <x:v>32</x:v>
      </x:c>
    </x:row>
    <x:row r="14" ht="30" customHeight="1">
      <x:c r="A14" s="31" t="s">
        <x:v>33</x:v>
      </x:c>
      <x:c r="B14" s="53"/>
      <x:c r="C14" s="48" t="str">
        <x:f>IF(ISBLANK(B14),"Not started",IFERROR(IF(NOT(_xlfn.ISFORMULA(B14)),"Use a formula",IF(ABS(B14-(B8*B9))&lt;=0.005,"Correct","Review calculation")),"Check formula"))</x:f>
        <x:v>Not started</x:v>
      </x:c>
      <x:c r="D14" s="31" t="n">
        <x:f>IF(C14="Correct",5,0)</x:f>
        <x:v>0</x:v>
      </x:c>
    </x:row>
    <x:row r="15" ht="30" customHeight="1">
      <x:c r="A15" s="31" t="s">
        <x:v>34</x:v>
      </x:c>
      <x:c r="B15" s="53"/>
      <x:c r="C15" s="48" t="str">
        <x:f>IF(ISBLANK(B15),"Not started",IFERROR(IF(NOT(_xlfn.ISFORMULA(B15)),"Use a formula",IF(ABS(B15-(B8*B9*B10))&lt;=0.005,"Correct","Review calculation")),"Check formula"))</x:f>
        <x:v>Not started</x:v>
      </x:c>
      <x:c r="D15" s="31" t="n">
        <x:f>IF(C15="Correct",5,0)</x:f>
        <x:v>0</x:v>
      </x:c>
    </x:row>
    <x:row r="16" ht="30" customHeight="1">
      <x:c r="A16" s="31" t="s">
        <x:v>35</x:v>
      </x:c>
      <x:c r="B16" s="53"/>
      <x:c r="C16" s="48" t="str">
        <x:f>IF(ISBLANK(B16),"Not started",IFERROR(IF(NOT(_xlfn.ISFORMULA(B16)),"Use a formula",IF(ABS(B16-(B8*B9*(1-B10)))&lt;=0.005,"Correct","Review calculation")),"Check formula"))</x:f>
        <x:v>Not started</x:v>
      </x:c>
      <x:c r="D16" s="31" t="n">
        <x:f>IF(C16="Correct",5,0)</x:f>
        <x:v>0</x:v>
      </x:c>
    </x:row>
    <x:row r="17" ht="30" customHeight="1">
      <x:c r="A17" s="31" t="s">
        <x:v>36</x:v>
      </x:c>
      <x:c r="B17" s="55"/>
      <x:c r="C17" s="48" t="str">
        <x:f>IF(ISBLANK(B17),"Not started",IFERROR(IF(NOT(_xlfn.ISFORMULA(B17)),"Use a formula",IF(ABS(B17-(B10))&lt;=0.00005,"Correct","Review calculation")),"Check formula"))</x:f>
        <x:v>Not started</x:v>
      </x:c>
      <x:c r="D17" s="31" t="n">
        <x:f>IF(C17="Correct",5,0)</x:f>
        <x:v>0</x:v>
      </x:c>
    </x:row>
    <x:row r="18" ht="30" customHeight="1">
      <x:c r="A18" s="31"/>
      <x:c r="B18" s="31"/>
      <x:c r="C18" s="31"/>
      <x:c r="D18" s="31"/>
    </x:row>
    <x:row r="19" ht="42" customHeight="1">
      <x:c r="A19" s="49" t="str">
        <x:v>Use input references. A correct typed number is not evidence of a reusable Excel model.</x:v>
      </x:c>
      <x:c r="B19" s="31"/>
      <x:c r="C19" s="31"/>
      <x:c r="D19" s="31"/>
    </x:row>
    <x:row r="20" ht="30" customHeight="1">
      <x:c r="A20" s="31"/>
      <x:c r="B20" s="31"/>
      <x:c r="C20" s="31"/>
      <x:c r="D20" s="31"/>
    </x:row>
    <x:row r="21" ht="30" customHeight="1">
      <x:c r="A21" s="50" t="s">
        <x:v>37</x:v>
      </x:c>
      <x:c r="B21" s="51" t="n">
        <x:f>SUM(D14:D17)</x:f>
        <x:v>0</x:v>
      </x:c>
      <x:c r="C21" s="31"/>
      <x:c r="D21" s="31"/>
    </x:row>
    <x:row r="23" ht="42" customHeight="1">
      <x:c r="A23" s="31" t="str">
        <x:v>Explain: if the stock price falls, why does the original loan not fall with it?</x:v>
      </x:c>
      <x:c r="B23" s="31"/>
      <x:c r="C23" s="31"/>
      <x:c r="D23" s="31"/>
    </x:row>
    <x:row r="24" ht="34" customHeight="1">
      <x:c r="A24" s="31" t="str">
        <x:v>Your explanation:</x:v>
      </x:c>
      <x:c r="B24" s="31"/>
      <x:c r="C24" s="31"/>
      <x:c r="D24" s="31"/>
    </x:row>
    <x:row r="25">
      <x:c r="A25" s="57"/>
      <x:c r="B25" s="57"/>
      <x:c r="C25" s="57"/>
      <x:c r="D25" s="57"/>
    </x:row>
    <x:row r="26">
      <x:c r="A26" s="57"/>
      <x:c r="B26" s="57"/>
      <x:c r="C26" s="57"/>
      <x:c r="D26" s="57"/>
    </x:row>
  </x:sheetData>
  <x:mergeCells>
    <x:mergeCell ref="A4:D4"/>
    <x:mergeCell ref="A5:D5"/>
    <x:mergeCell ref="A19:D19"/>
    <x:mergeCell ref="A23:D23"/>
    <x:mergeCell ref="A24:D24"/>
    <x:mergeCell ref="A25:D26"/>
    <x:mergeCell ref="A1:D1"/>
  </x:mergeCells>
  <x:conditionalFormatting sqref="C14:C14">
    <x:cfRule type="containsText" dxfId="0" priority="1" operator="containsText" text="Correct"/>
  </x:conditionalFormatting>
  <x:conditionalFormatting sqref="C15:C15">
    <x:cfRule type="containsText" dxfId="1" priority="2" operator="containsText" text="Correct"/>
  </x:conditionalFormatting>
  <x:conditionalFormatting sqref="C16:C16">
    <x:cfRule type="containsText" dxfId="2" priority="3" operator="containsText" text="Correct"/>
  </x:conditionalFormatting>
  <x:conditionalFormatting sqref="C17:C17">
    <x:cfRule type="containsText" dxfId="3" priority="4" operator="containsText" text="Correct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8.83203125" defaultRowHeight="15"/>
  <x:cols>
    <x:col min="1" max="1" width="69" hidden="0" customWidth="1"/>
    <x:col min="2" max="2" width="23" hidden="0" customWidth="1"/>
    <x:col min="3" max="3" width="31" hidden="0" customWidth="1"/>
    <x:col min="4" max="4" width="12" hidden="0" customWidth="1"/>
    <x:col min="5" max="5" width="48" hidden="0" customWidth="1"/>
    <x:col min="6" max="6" width="20" hidden="0" customWidth="1"/>
  </x:cols>
  <x:sheetData>
    <x:row r="1" ht="42" customHeight="1">
      <x:c r="A1" s="44" t="s">
        <x:v>38</x:v>
      </x:c>
      <x:c r="B1" s="31"/>
      <x:c r="C1" s="31"/>
      <x:c r="D1" s="31"/>
    </x:row>
    <x:row r="2" ht="30" customHeight="1">
      <x:c r="A2" s="31"/>
      <x:c r="B2" s="31"/>
      <x:c r="C2" s="31"/>
      <x:c r="D2" s="31"/>
    </x:row>
    <x:row r="3" ht="30" customHeight="1">
      <x:c r="A3" s="45" t="s">
        <x:v>1</x:v>
      </x:c>
      <x:c r="B3" s="31"/>
      <x:c r="C3" s="31"/>
      <x:c r="D3" s="31"/>
    </x:row>
    <x:row r="4" ht="42" customHeight="1">
      <x:c r="A4" s="31" t="str">
        <x:v>AAPL falls to $180. Predict the stock loss and the loss as a percentage of initial equity.</x:v>
      </x:c>
      <x:c r="B4" s="31"/>
      <x:c r="C4" s="31"/>
      <x:c r="D4" s="31"/>
    </x:row>
    <x:row r="5" ht="42" customHeight="1">
      <x:c r="A5" s="31" t="str">
        <x:v>House maintenance: 30%. Regulatory minimum and house requirement are different concepts.</x:v>
      </x:c>
      <x:c r="B5" s="31"/>
      <x:c r="C5" s="31"/>
      <x:c r="D5" s="31"/>
    </x:row>
    <x:row r="6" ht="42" customHeight="1">
      <x:c r="A6" s="31" t="str">
        <x:v>The shares and original loan link to Part 1; no interest or cash flows are assumed.</x:v>
      </x:c>
      <x:c r="B6" s="31"/>
      <x:c r="C6" s="31"/>
      <x:c r="D6" s="31"/>
    </x:row>
    <x:row r="7" ht="30" customHeight="1">
      <x:c r="A7" s="31"/>
      <x:c r="B7" s="31"/>
      <x:c r="C7" s="31"/>
      <x:c r="D7" s="31"/>
    </x:row>
    <x:row r="8" ht="30" customHeight="1">
      <x:c r="A8" s="34" t="s">
        <x:v>25</x:v>
      </x:c>
      <x:c r="B8" s="34"/>
      <x:c r="C8" s="34"/>
      <x:c r="D8" s="31"/>
    </x:row>
    <x:row r="9" ht="30" customHeight="1">
      <x:c r="A9" s="31" t="s">
        <x:v>26</x:v>
      </x:c>
      <x:c r="B9" s="31" t="n">
        <x:f>'Part 1 Initial Margin'!B8</x:f>
        <x:v>500</x:v>
      </x:c>
      <x:c r="C9" s="31"/>
      <x:c r="D9" s="31"/>
    </x:row>
    <x:row r="10" ht="30" customHeight="1">
      <x:c r="A10" s="31" t="s">
        <x:v>39</x:v>
      </x:c>
      <x:c r="B10" s="46">
        <x:v>180</x:v>
      </x:c>
      <x:c r="C10" s="31"/>
      <x:c r="D10" s="31"/>
    </x:row>
    <x:row r="11" ht="30" customHeight="1">
      <x:c r="A11" s="31" t="s">
        <x:v>40</x:v>
      </x:c>
      <x:c r="B11" s="58" t="n">
        <x:f>'Part 1 Initial Margin'!B8*'Part 1 Initial Margin'!B9*(1-'Part 1 Initial Margin'!B10)</x:f>
        <x:v>56250</x:v>
      </x:c>
      <x:c r="C11" s="31"/>
      <x:c r="D11" s="31"/>
    </x:row>
    <x:row r="12" ht="30" customHeight="1">
      <x:c r="A12" s="31" t="s">
        <x:v>41</x:v>
      </x:c>
      <x:c r="B12" s="47">
        <x:v>0.3</x:v>
      </x:c>
      <x:c r="C12" s="31"/>
      <x:c r="D12" s="31"/>
    </x:row>
    <x:row r="13" ht="30" customHeight="1">
      <x:c r="A13" s="31"/>
      <x:c r="B13" s="31"/>
      <x:c r="C13" s="31"/>
      <x:c r="D13" s="31"/>
    </x:row>
    <x:row r="14" ht="30" customHeight="1">
      <x:c r="A14" s="31"/>
      <x:c r="B14" s="31"/>
      <x:c r="C14" s="31"/>
      <x:c r="D14" s="31"/>
    </x:row>
    <x:row r="15" ht="30" customHeight="1">
      <x:c r="A15" s="34" t="s">
        <x:v>29</x:v>
      </x:c>
      <x:c r="B15" s="34" t="s">
        <x:v>30</x:v>
      </x:c>
      <x:c r="C15" s="34" t="s">
        <x:v>31</x:v>
      </x:c>
      <x:c r="D15" s="34" t="s">
        <x:v>32</x:v>
      </x:c>
    </x:row>
    <x:row r="16" ht="30" customHeight="1">
      <x:c r="A16" s="31" t="s">
        <x:v>42</x:v>
      </x:c>
      <x:c r="B16" s="53"/>
      <x:c r="C16" s="48" t="str">
        <x:f>IF(ISBLANK(B16),"Not started",IFERROR(IF(NOT(_xlfn.ISFORMULA(B16)),"Use a formula",IF(ABS(B16-(B9*B10))&lt;=0.005,"Correct","Review calculation")),"Check formula"))</x:f>
        <x:v>Not started</x:v>
      </x:c>
      <x:c r="D16" s="31" t="n">
        <x:f>IF(C16="Correct",5,0)</x:f>
        <x:v>0</x:v>
      </x:c>
    </x:row>
    <x:row r="17" ht="30" customHeight="1">
      <x:c r="A17" s="31" t="s">
        <x:v>43</x:v>
      </x:c>
      <x:c r="B17" s="53"/>
      <x:c r="C17" s="48" t="str">
        <x:f>IF(ISBLANK(B17),"Not started",IFERROR(IF(NOT(_xlfn.ISFORMULA(B17)),"Use a formula",IF(ABS(B17-(B9*B10-B11))&lt;=0.005,"Correct","Review calculation")),"Check formula"))</x:f>
        <x:v>Not started</x:v>
      </x:c>
      <x:c r="D17" s="31" t="n">
        <x:f>IF(C17="Correct",5,0)</x:f>
        <x:v>0</x:v>
      </x:c>
    </x:row>
    <x:row r="18" ht="30" customHeight="1">
      <x:c r="A18" s="31" t="s">
        <x:v>44</x:v>
      </x:c>
      <x:c r="B18" s="55"/>
      <x:c r="C18" s="48" t="str">
        <x:f>IF(ISBLANK(B18),"Not started",IFERROR(IF(NOT(_xlfn.ISFORMULA(B18)),"Use a formula",IF(ABS(B18-((B9*B10-B11)/(B9*B10)))&lt;=0.00005,"Correct","Review calculation")),"Check formula"))</x:f>
        <x:v>Not started</x:v>
      </x:c>
      <x:c r="D18" s="31" t="n">
        <x:f>IF(C18="Correct",5,0)</x:f>
        <x:v>0</x:v>
      </x:c>
    </x:row>
    <x:row r="19" ht="30" customHeight="1">
      <x:c r="A19" s="31" t="s">
        <x:v>45</x:v>
      </x:c>
      <x:c r="B19" s="31"/>
      <x:c r="C19" s="48" t="str">
        <x:f>IF(B19="","Not started",IF(UPPER(TRIM(B19))=IF((B9*B10-B11)/(B9*B10)&gt;=B12,"YES","NO"),"Correct","Review decision"))</x:f>
        <x:v>Not started</x:v>
      </x:c>
      <x:c r="D19" s="31" t="n">
        <x:f>IF(C19="Correct",5,0)</x:f>
        <x:v>0</x:v>
      </x:c>
    </x:row>
    <x:row r="20" ht="30" customHeight="1">
      <x:c r="A20" s="31" t="s">
        <x:v>46</x:v>
      </x:c>
      <x:c r="B20" s="53"/>
      <x:c r="C20" s="48" t="str">
        <x:f>IF(ISBLANK(B20),"Not started",IFERROR(IF(NOT(_xlfn.ISFORMULA(B20)),"Use a formula",IF(ABS(B20-(B9*B10*B12))&lt;=0.005,"Correct","Review calculation")),"Check formula"))</x:f>
        <x:v>Not started</x:v>
      </x:c>
      <x:c r="D20" s="31" t="n">
        <x:f>IF(C20="Correct",5,0)</x:f>
        <x:v>0</x:v>
      </x:c>
    </x:row>
    <x:row r="21" ht="30" customHeight="1">
      <x:c r="A21" s="31"/>
      <x:c r="B21" s="31"/>
      <x:c r="C21" s="31"/>
      <x:c r="D21" s="31"/>
    </x:row>
    <x:row r="22" ht="42" customHeight="1">
      <x:c r="A22" s="49" t="str">
        <x:v>Maintenance is met at or above the threshold. This does not mean the investment is safe.</x:v>
      </x:c>
      <x:c r="B22" s="31"/>
      <x:c r="C22" s="31"/>
      <x:c r="D22" s="31"/>
    </x:row>
    <x:row r="23" ht="30" customHeight="1">
      <x:c r="A23" s="31"/>
      <x:c r="B23" s="31"/>
      <x:c r="C23" s="31"/>
      <x:c r="D23" s="31"/>
    </x:row>
    <x:row r="24" ht="30" customHeight="1">
      <x:c r="A24" s="50" t="s">
        <x:v>47</x:v>
      </x:c>
      <x:c r="B24" s="51" t="n">
        <x:f>SUM(D16:D20)</x:f>
        <x:v>0</x:v>
      </x:c>
      <x:c r="C24" s="31"/>
      <x:c r="D24" s="31"/>
    </x:row>
    <x:row r="26" ht="42" customHeight="1">
      <x:c r="A26" s="31" t="str">
        <x:v>Explain: compare the percentage loss on the stock with the percentage loss of your initial equity.</x:v>
      </x:c>
      <x:c r="B26" s="31"/>
      <x:c r="C26" s="31"/>
      <x:c r="D26" s="31"/>
    </x:row>
    <x:row r="27" ht="34" customHeight="1">
      <x:c r="A27" s="31" t="str">
        <x:v>Your explanation:</x:v>
      </x:c>
      <x:c r="B27" s="31"/>
      <x:c r="C27" s="31"/>
      <x:c r="D27" s="31"/>
    </x:row>
    <x:row r="28">
      <x:c r="A28" s="57"/>
      <x:c r="B28" s="57"/>
      <x:c r="C28" s="57"/>
      <x:c r="D28" s="57"/>
    </x:row>
    <x:row r="29">
      <x:c r="A29" s="57"/>
      <x:c r="B29" s="57"/>
      <x:c r="C29" s="57"/>
      <x:c r="D29" s="57"/>
    </x:row>
  </x:sheetData>
  <x:mergeCells>
    <x:mergeCell ref="A4:D4"/>
    <x:mergeCell ref="A5:D5"/>
    <x:mergeCell ref="A6:D6"/>
    <x:mergeCell ref="A22:D22"/>
    <x:mergeCell ref="A26:D26"/>
    <x:mergeCell ref="A27:D27"/>
    <x:mergeCell ref="A28:D29"/>
    <x:mergeCell ref="A1:D1"/>
  </x:mergeCells>
  <x:conditionalFormatting sqref="C16:C16">
    <x:cfRule type="containsText" dxfId="4" priority="1" operator="containsText" text="Correct"/>
  </x:conditionalFormatting>
  <x:conditionalFormatting sqref="C17:C17">
    <x:cfRule type="containsText" dxfId="5" priority="2" operator="containsText" text="Correct"/>
  </x:conditionalFormatting>
  <x:conditionalFormatting sqref="C18:C18">
    <x:cfRule type="containsText" dxfId="6" priority="3" operator="containsText" text="Correct"/>
  </x:conditionalFormatting>
  <x:conditionalFormatting sqref="C20:C20">
    <x:cfRule type="containsText" dxfId="7" priority="4" operator="containsText" text="Correct"/>
  </x:conditionalFormatting>
  <x:dataValidations count="1">
    <x:dataValidation type="list" sqref="B19">
      <x:formula1>"YES,NO"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8.83203125" defaultRowHeight="15"/>
  <x:cols>
    <x:col min="1" max="1" width="69" hidden="0" customWidth="1"/>
    <x:col min="2" max="2" width="23" hidden="0" customWidth="1"/>
    <x:col min="3" max="3" width="31" hidden="0" customWidth="1"/>
    <x:col min="4" max="4" width="12" hidden="0" customWidth="1"/>
    <x:col min="5" max="5" width="48" hidden="0" customWidth="1"/>
    <x:col min="6" max="6" width="20" hidden="0" customWidth="1"/>
  </x:cols>
  <x:sheetData>
    <x:row r="1" ht="42" customHeight="1">
      <x:c r="A1" s="59" t="s">
        <x:v>48</x:v>
      </x:c>
      <x:c r="B1" s="31"/>
      <x:c r="C1" s="31"/>
      <x:c r="D1" s="31"/>
    </x:row>
    <x:row r="2" ht="30" customHeight="1">
      <x:c r="A2" s="31"/>
      <x:c r="B2" s="31"/>
      <x:c r="C2" s="31"/>
      <x:c r="D2" s="31"/>
    </x:row>
    <x:row r="3" ht="30" customHeight="1">
      <x:c r="A3" s="45" t="s">
        <x:v>1</x:v>
      </x:c>
      <x:c r="B3" s="31"/>
      <x:c r="C3" s="31"/>
      <x:c r="D3" s="31"/>
    </x:row>
    <x:row r="4" ht="42" customHeight="1">
      <x:c r="A4" s="31" t="str">
        <x:v>AAPL falls to $155. Predict whether maintenance is still met before calculating.</x:v>
      </x:c>
      <x:c r="B4" s="31"/>
      <x:c r="C4" s="31"/>
      <x:c r="D4" s="31"/>
    </x:row>
    <x:row r="5" ht="34" customHeight="1">
      <x:c r="A5" s="31" t="str">
        <x:v>The house maintenance requirement links to Part 2.</x:v>
      </x:c>
      <x:c r="B5" s="31"/>
      <x:c r="C5" s="31"/>
      <x:c r="D5" s="31"/>
    </x:row>
    <x:row r="6" ht="34" customHeight="1">
      <x:c r="A6" s="31" t="str">
        <x:v>Assume no interest, fees, dividends or intervening forced liquidation.</x:v>
      </x:c>
      <x:c r="B6" s="31"/>
      <x:c r="C6" s="31"/>
      <x:c r="D6" s="31"/>
    </x:row>
    <x:row r="7" ht="30" customHeight="1">
      <x:c r="A7" s="31"/>
      <x:c r="B7" s="31"/>
      <x:c r="C7" s="31"/>
      <x:c r="D7" s="31"/>
    </x:row>
    <x:row r="8" ht="30" customHeight="1">
      <x:c r="A8" s="60" t="s">
        <x:v>25</x:v>
      </x:c>
      <x:c r="B8" s="60"/>
      <x:c r="C8" s="60"/>
      <x:c r="D8" s="31"/>
    </x:row>
    <x:row r="9" ht="30" customHeight="1">
      <x:c r="A9" s="31" t="s">
        <x:v>26</x:v>
      </x:c>
      <x:c r="B9" s="31" t="n">
        <x:f>'Part 1 Initial Margin'!B8</x:f>
        <x:v>500</x:v>
      </x:c>
      <x:c r="C9" s="31"/>
      <x:c r="D9" s="31"/>
    </x:row>
    <x:row r="10" ht="30" customHeight="1">
      <x:c r="A10" s="31" t="s">
        <x:v>39</x:v>
      </x:c>
      <x:c r="B10" s="46" t="n">
        <x:v>155</x:v>
      </x:c>
      <x:c r="C10" s="31"/>
      <x:c r="D10" s="31"/>
    </x:row>
    <x:row r="11" ht="30" customHeight="1">
      <x:c r="A11" s="31" t="s">
        <x:v>40</x:v>
      </x:c>
      <x:c r="B11" s="58" t="n">
        <x:f>'Part 2 Maintenance Margin'!B11</x:f>
        <x:v>56250</x:v>
      </x:c>
      <x:c r="C11" s="31"/>
      <x:c r="D11" s="31"/>
    </x:row>
    <x:row r="12" ht="30" customHeight="1">
      <x:c r="A12" s="31" t="s">
        <x:v>41</x:v>
      </x:c>
      <x:c r="B12" s="47" t="n">
        <x:f>'Part 2 Maintenance Margin'!B12</x:f>
        <x:v>0.3</x:v>
      </x:c>
      <x:c r="C12" s="31"/>
      <x:c r="D12" s="31"/>
    </x:row>
    <x:row r="13" ht="30" customHeight="1">
      <x:c r="A13" s="31"/>
      <x:c r="B13" s="31"/>
      <x:c r="C13" s="31"/>
      <x:c r="D13" s="31"/>
    </x:row>
    <x:row r="14" ht="30" customHeight="1">
      <x:c r="A14" s="31"/>
      <x:c r="B14" s="31"/>
      <x:c r="C14" s="31"/>
      <x:c r="D14" s="31"/>
    </x:row>
    <x:row r="15" ht="30" customHeight="1">
      <x:c r="A15" s="60" t="s">
        <x:v>29</x:v>
      </x:c>
      <x:c r="B15" s="60" t="s">
        <x:v>30</x:v>
      </x:c>
      <x:c r="C15" s="60" t="s">
        <x:v>31</x:v>
      </x:c>
      <x:c r="D15" s="60" t="s">
        <x:v>32</x:v>
      </x:c>
    </x:row>
    <x:row r="16" ht="30" customHeight="1">
      <x:c r="A16" s="31" t="s">
        <x:v>49</x:v>
      </x:c>
      <x:c r="B16" s="55"/>
      <x:c r="C16" s="48" t="str">
        <x:f>IF(ISBLANK(B16),"Not started",IFERROR(IF(NOT(_xlfn.ISFORMULA(B16)),"Use a formula",IF(ABS(B16-((B9*B10-B11)/(B9*B10)))&lt;=0.00005,"Correct","Review calculation")),"Check formula"))</x:f>
        <x:v>Not started</x:v>
      </x:c>
      <x:c r="D16" s="31" t="n">
        <x:f>IF(C16="Correct",5,0)</x:f>
        <x:v>0</x:v>
      </x:c>
    </x:row>
    <x:row r="17" ht="30" customHeight="1">
      <x:c r="A17" s="31" t="str">
        <x:v>2. Cash deficiency to restore house maintenance ($)</x:v>
      </x:c>
      <x:c r="B17" s="53"/>
      <x:c r="C17" s="48" t="str">
        <x:f>IF(ISBLANK(B17),"Not started",IFERROR(IF(NOT(_xlfn.ISFORMULA(B17)),"Use a formula",IF(ABS(B17-(MAX(0,B9*B10*B12-(B9*B10-B11))))&lt;=0.005,"Correct","Review calculation")),"Check formula"))</x:f>
        <x:v>Not started</x:v>
      </x:c>
      <x:c r="D17" s="31" t="n">
        <x:f>IF(C17="Correct",5,0)</x:f>
        <x:v>0</x:v>
      </x:c>
    </x:row>
    <x:row r="18" ht="30" customHeight="1">
      <x:c r="A18" s="31" t="str">
        <x:v>3. Maintenance threshold price (deficiency below this)</x:v>
      </x:c>
      <x:c r="B18" s="53"/>
      <x:c r="C18" s="48" t="str">
        <x:f>IF(ISBLANK(B18),"Not started",IFERROR(IF(NOT(_xlfn.ISFORMULA(B18)),"Use a formula",IF(ABS(B18-(B11/(B9*(1-B12))))&lt;=0.005,"Correct","Review calculation")),"Check formula"))</x:f>
        <x:v>Not started</x:v>
      </x:c>
      <x:c r="D18" s="31" t="n">
        <x:f>IF(C18="Correct",5,0)</x:f>
        <x:v>0</x:v>
      </x:c>
    </x:row>
    <x:row r="19" ht="30" customHeight="1">
      <x:c r="A19" s="31" t="s">
        <x:v>50</x:v>
      </x:c>
      <x:c r="B19" s="53"/>
      <x:c r="C19" s="48" t="str">
        <x:f>IF(ISBLANK(B19),"Not started",IFERROR(IF(NOT(_xlfn.ISFORMULA(B19)),"Use a formula",IF(ABS(B19-(B11/B9))&lt;=0.005,"Correct","Review calculation")),"Check formula"))</x:f>
        <x:v>Not started</x:v>
      </x:c>
      <x:c r="D19" s="31" t="n">
        <x:f>IF(C19="Correct",5,0)</x:f>
        <x:v>0</x:v>
      </x:c>
    </x:row>
    <x:row r="20" ht="30" customHeight="1">
      <x:c r="A20" s="31"/>
      <x:c r="B20" s="31"/>
      <x:c r="C20" s="31"/>
      <x:c r="D20" s="31"/>
    </x:row>
    <x:row r="21" ht="42" customHeight="1">
      <x:c r="A21" s="49" t="str">
        <x:v>Cash is applied to reduce the loan: deficiency = MAX(0, required equity − current equity).</x:v>
      </x:c>
      <x:c r="B21" s="31"/>
      <x:c r="C21" s="31"/>
      <x:c r="D21" s="31"/>
    </x:row>
    <x:row r="22" ht="42" customHeight="1">
      <x:c r="A22" s="49" t="str">
        <x:v>Keep full precision in formulas; display prices to cents and percentages to two decimals.</x:v>
      </x:c>
      <x:c r="B22" s="31"/>
      <x:c r="C22" s="31"/>
      <x:c r="D22" s="31"/>
    </x:row>
    <x:row r="23" ht="30" customHeight="1">
      <x:c r="A23" s="31"/>
      <x:c r="B23" s="31"/>
      <x:c r="C23" s="31"/>
      <x:c r="D23" s="31"/>
    </x:row>
    <x:row r="24" ht="30" customHeight="1">
      <x:c r="A24" s="50" t="s">
        <x:v>51</x:v>
      </x:c>
      <x:c r="B24" s="51" t="n">
        <x:f>SUM(D16:D19)</x:f>
        <x:v>0</x:v>
      </x:c>
      <x:c r="C24" s="31"/>
      <x:c r="D24" s="31"/>
    </x:row>
    <x:row r="26" ht="42" customHeight="1">
      <x:c r="A26" s="31" t="str">
        <x:v>Explain: why is the zero-equity price not the price at which the broker must liquidate?</x:v>
      </x:c>
      <x:c r="B26" s="31"/>
      <x:c r="C26" s="31"/>
      <x:c r="D26" s="31"/>
    </x:row>
    <x:row r="27" ht="34" customHeight="1">
      <x:c r="A27" s="31" t="str">
        <x:v>Your explanation:</x:v>
      </x:c>
      <x:c r="B27" s="31"/>
      <x:c r="C27" s="31"/>
      <x:c r="D27" s="31"/>
    </x:row>
    <x:row r="28">
      <x:c r="A28" s="57"/>
      <x:c r="B28" s="57"/>
      <x:c r="C28" s="57"/>
      <x:c r="D28" s="57"/>
    </x:row>
    <x:row r="29">
      <x:c r="A29" s="57"/>
      <x:c r="B29" s="57"/>
      <x:c r="C29" s="57"/>
      <x:c r="D29" s="57"/>
    </x:row>
  </x:sheetData>
  <x:mergeCells>
    <x:mergeCell ref="A4:D4"/>
    <x:mergeCell ref="A5:D5"/>
    <x:mergeCell ref="A6:D6"/>
    <x:mergeCell ref="A21:D21"/>
    <x:mergeCell ref="A22:D22"/>
    <x:mergeCell ref="A26:D26"/>
    <x:mergeCell ref="A27:D27"/>
    <x:mergeCell ref="A28:D29"/>
    <x:mergeCell ref="A1:D1"/>
  </x:mergeCells>
  <x:conditionalFormatting sqref="C16:C16">
    <x:cfRule type="containsText" dxfId="8" priority="1" operator="containsText" text="Correct"/>
  </x:conditionalFormatting>
  <x:conditionalFormatting sqref="C17:C17">
    <x:cfRule type="containsText" dxfId="9" priority="2" operator="containsText" text="Correct"/>
  </x:conditionalFormatting>
  <x:conditionalFormatting sqref="C18:C18">
    <x:cfRule type="containsText" dxfId="10" priority="3" operator="containsText" text="Correct"/>
  </x:conditionalFormatting>
  <x:conditionalFormatting sqref="C19:C19">
    <x:cfRule type="containsText" dxfId="11" priority="4" operator="containsText" text="Correct"/>
  </x:conditionalFormatting>
  <x:pageMargins left="0.7" right="0.7" top="0.75" bottom="0.75" header="0.3" footer="0.3"/>
  <x:legacyDrawing xmlns:r="http://schemas.openxmlformats.org/officeDocument/2006/relationships" r:id="Ra43108b181754bee"/>
</x:worksheet>
</file>

<file path=xl/worksheets/sheet5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8.83203125" defaultRowHeight="15"/>
  <x:cols>
    <x:col min="1" max="1" width="69" hidden="0" customWidth="1"/>
    <x:col min="2" max="2" width="23" hidden="0" customWidth="1"/>
    <x:col min="3" max="3" width="31" hidden="0" customWidth="1"/>
    <x:col min="4" max="4" width="12" hidden="0" customWidth="1"/>
    <x:col min="5" max="5" width="48" hidden="0" customWidth="1"/>
    <x:col min="6" max="6" width="20" hidden="0" customWidth="1"/>
  </x:cols>
  <x:sheetData>
    <x:row r="1" ht="42" customHeight="1">
      <x:c r="A1" s="44" t="s">
        <x:v>52</x:v>
      </x:c>
      <x:c r="B1" s="31"/>
      <x:c r="C1" s="31"/>
      <x:c r="D1" s="31"/>
      <x:c r="E1" s="31"/>
      <x:c r="F1" s="31"/>
    </x:row>
    <x:row r="2" ht="30" customHeight="1">
      <x:c r="A2" s="31"/>
      <x:c r="B2" s="31"/>
      <x:c r="C2" s="31"/>
      <x:c r="D2" s="31"/>
      <x:c r="E2" s="31"/>
      <x:c r="F2" s="31"/>
    </x:row>
    <x:row r="3" ht="30" customHeight="1">
      <x:c r="A3" s="45" t="s">
        <x:v>1</x:v>
      </x:c>
      <x:c r="B3" s="31"/>
      <x:c r="C3" s="31"/>
      <x:c r="D3" s="31"/>
      <x:c r="E3" s="31"/>
      <x:c r="F3" s="31"/>
    </x:row>
    <x:row r="4" ht="42" customHeight="1">
      <x:c r="A4" s="31" t="str">
        <x:v>Independent portfolio scenario: three technology-related stocks. This does not establish broad diversification.</x:v>
      </x:c>
      <x:c r="B4" s="31"/>
      <x:c r="C4" s="31"/>
      <x:c r="D4" s="31"/>
      <x:c r="E4" s="31"/>
      <x:c r="F4" s="31"/>
    </x:row>
    <x:row r="5" ht="42" customHeight="1">
      <x:c r="A5" s="31" t="str">
        <x:v>Calculate aggregate margin, then compare with an AAPL-only portfolio under the SAME inputs and scenario.</x:v>
      </x:c>
      <x:c r="B5" s="31"/>
      <x:c r="C5" s="31"/>
      <x:c r="D5" s="31"/>
      <x:c r="E5" s="31"/>
      <x:c r="F5" s="31"/>
    </x:row>
    <x:row r="6" ht="30" customHeight="1">
      <x:c r="A6" s="31"/>
      <x:c r="B6" s="31"/>
      <x:c r="C6" s="31"/>
      <x:c r="D6" s="31"/>
      <x:c r="E6" s="31"/>
      <x:c r="F6" s="31"/>
    </x:row>
    <x:row r="7" ht="30" customHeight="1">
      <x:c r="A7" s="34" t="s">
        <x:v>53</x:v>
      </x:c>
      <x:c r="B7" s="34" t="s">
        <x:v>54</x:v>
      </x:c>
      <x:c r="C7" s="34" t="s">
        <x:v>55</x:v>
      </x:c>
      <x:c r="D7" s="34" t="s">
        <x:v>56</x:v>
      </x:c>
      <x:c r="E7" s="34" t="s">
        <x:v>57</x:v>
      </x:c>
      <x:c r="F7" s="34" t="s">
        <x:v>58</x:v>
      </x:c>
    </x:row>
    <x:row r="8" ht="30" customHeight="1">
      <x:c r="A8" s="31" t="s">
        <x:v>7</x:v>
      </x:c>
      <x:c r="B8" s="31">
        <x:v>500</x:v>
      </x:c>
      <x:c r="C8" s="46">
        <x:v>225</x:v>
      </x:c>
      <x:c r="D8" s="46">
        <x:v>195</x:v>
      </x:c>
      <x:c r="E8" s="62"/>
      <x:c r="F8" s="62"/>
    </x:row>
    <x:row r="9" ht="30" customHeight="1">
      <x:c r="A9" s="31" t="s">
        <x:v>9</x:v>
      </x:c>
      <x:c r="B9" s="31">
        <x:v>200</x:v>
      </x:c>
      <x:c r="C9" s="46">
        <x:v>350</x:v>
      </x:c>
      <x:c r="D9" s="46">
        <x:v>280</x:v>
      </x:c>
      <x:c r="E9" s="62"/>
      <x:c r="F9" s="62"/>
    </x:row>
    <x:row r="10" ht="30" customHeight="1">
      <x:c r="A10" s="31" t="s">
        <x:v>11</x:v>
      </x:c>
      <x:c r="B10" s="31">
        <x:v>300</x:v>
      </x:c>
      <x:c r="C10" s="46">
        <x:v>500</x:v>
      </x:c>
      <x:c r="D10" s="46">
        <x:v>420</x:v>
      </x:c>
      <x:c r="E10" s="62"/>
      <x:c r="F10" s="62"/>
    </x:row>
    <x:row r="11" ht="30" customHeight="1">
      <x:c r="A11" s="51" t="s">
        <x:v>59</x:v>
      </x:c>
      <x:c r="B11" s="51"/>
      <x:c r="C11" s="51"/>
      <x:c r="D11" s="51"/>
      <x:c r="E11" s="63"/>
      <x:c r="F11" s="63"/>
    </x:row>
    <x:row r="12" ht="30" customHeight="1">
      <x:c r="A12" s="31"/>
      <x:c r="B12" s="31"/>
      <x:c r="C12" s="31"/>
      <x:c r="D12" s="31"/>
      <x:c r="E12" s="31"/>
      <x:c r="F12" s="31"/>
    </x:row>
    <x:row r="13" ht="30" customHeight="1">
      <x:c r="A13" s="50" t="s">
        <x:v>60</x:v>
      </x:c>
      <x:c r="B13" s="31"/>
      <x:c r="C13" s="31"/>
      <x:c r="D13" s="31"/>
      <x:c r="E13" s="31"/>
      <x:c r="F13" s="31"/>
    </x:row>
    <x:row r="14" ht="30" customHeight="1">
      <x:c r="A14" s="31" t="s">
        <x:v>28</x:v>
      </x:c>
      <x:c r="B14" s="47">
        <x:v>0.5</x:v>
      </x:c>
      <x:c r="C14" s="31"/>
      <x:c r="D14" s="31"/>
      <x:c r="E14" s="31"/>
      <x:c r="F14" s="31"/>
    </x:row>
    <x:row r="15" ht="30" customHeight="1">
      <x:c r="A15" s="31" t="s">
        <x:v>41</x:v>
      </x:c>
      <x:c r="B15" s="47">
        <x:v>0.3</x:v>
      </x:c>
      <x:c r="C15" s="31"/>
      <x:c r="D15" s="31"/>
      <x:c r="E15" s="31"/>
      <x:c r="F15" s="31"/>
    </x:row>
    <x:row r="16" ht="30" customHeight="1">
      <x:c r="A16" s="31"/>
      <x:c r="B16" s="31"/>
      <x:c r="C16" s="31"/>
      <x:c r="D16" s="31"/>
      <x:c r="E16" s="31"/>
      <x:c r="F16" s="31"/>
    </x:row>
    <x:row r="17" ht="30" customHeight="1">
      <x:c r="A17" s="34" t="s">
        <x:v>29</x:v>
      </x:c>
      <x:c r="B17" s="34" t="s">
        <x:v>30</x:v>
      </x:c>
      <x:c r="C17" s="34" t="s">
        <x:v>31</x:v>
      </x:c>
      <x:c r="D17" s="34" t="s">
        <x:v>32</x:v>
      </x:c>
      <x:c r="E17" s="31"/>
      <x:c r="F17" s="31"/>
    </x:row>
    <x:row r="18" ht="30" customHeight="1">
      <x:c r="A18" s="31" t="s">
        <x:v>61</x:v>
      </x:c>
      <x:c r="B18" s="53"/>
      <x:c r="C18" s="48" t="str">
        <x:f>IF(ISBLANK(B18),"Not started",IFERROR(IF(NOT(_xlfn.ISFORMULA(B18)),"Use a formula",IF(ABS(B18-(SUMPRODUCT(B8:B10,C8:C10)))&lt;=0.005,"Correct","Review calculation")),"Check formula"))</x:f>
        <x:v>Not started</x:v>
      </x:c>
      <x:c r="D18" s="31" t="n">
        <x:f>IF(C18="Correct",7,0)</x:f>
        <x:v>0</x:v>
      </x:c>
      <x:c r="E18" s="31"/>
      <x:c r="F18" s="31"/>
    </x:row>
    <x:row r="19" ht="30" customHeight="1">
      <x:c r="A19" s="31" t="s">
        <x:v>62</x:v>
      </x:c>
      <x:c r="B19" s="53"/>
      <x:c r="C19" s="48" t="str">
        <x:f>IF(ISBLANK(B19),"Not started",IFERROR(IF(NOT(_xlfn.ISFORMULA(B19)),"Use a formula",IF(ABS(B19-(SUMPRODUCT(B8:B10,C8:C10)*(1-B14)))&lt;=0.005,"Correct","Review calculation")),"Check formula"))</x:f>
        <x:v>Not started</x:v>
      </x:c>
      <x:c r="D19" s="31" t="n">
        <x:f>IF(C19="Correct",7,0)</x:f>
        <x:v>0</x:v>
      </x:c>
      <x:c r="E19" s="31"/>
      <x:c r="F19" s="31"/>
    </x:row>
    <x:row r="20" ht="30" customHeight="1">
      <x:c r="A20" s="31" t="s">
        <x:v>63</x:v>
      </x:c>
      <x:c r="B20" s="53"/>
      <x:c r="C20" s="48" t="str">
        <x:f>IF(ISBLANK(B20),"Not started",IFERROR(IF(NOT(_xlfn.ISFORMULA(B20)),"Use a formula",IF(ABS(B20-(SUMPRODUCT(B8:B10,D8:D10)))&lt;=0.005,"Correct","Review calculation")),"Check formula"))</x:f>
        <x:v>Not started</x:v>
      </x:c>
      <x:c r="D20" s="31" t="n">
        <x:f>IF(C20="Correct",7,0)</x:f>
        <x:v>0</x:v>
      </x:c>
      <x:c r="E20" s="31"/>
      <x:c r="F20" s="31"/>
    </x:row>
    <x:row r="21" ht="30" customHeight="1">
      <x:c r="A21" s="31" t="s">
        <x:v>64</x:v>
      </x:c>
      <x:c r="B21" s="55"/>
      <x:c r="C21" s="48" t="str">
        <x:f>IF(ISBLANK(B21),"Not started",IFERROR(IF(NOT(_xlfn.ISFORMULA(B21)),"Use a formula",IF(ABS(B21-((SUMPRODUCT(B8:B10,D8:D10)-SUMPRODUCT(B8:B10,C8:C10)*(1-B14))/SUMPRODUCT(B8:B10,D8:D10)))&lt;=0.00005,"Correct","Review calculation")),"Check formula"))</x:f>
        <x:v>Not started</x:v>
      </x:c>
      <x:c r="D21" s="31" t="n">
        <x:f>IF(C21="Correct",7,0)</x:f>
        <x:v>0</x:v>
      </x:c>
      <x:c r="E21" s="31"/>
      <x:c r="F21" s="31"/>
    </x:row>
    <x:row r="22" ht="30" customHeight="1">
      <x:c r="A22" s="31" t="s">
        <x:v>65</x:v>
      </x:c>
      <x:c r="B22" s="53"/>
      <x:c r="C22" s="48" t="str">
        <x:f>IF(ISBLANK(B22),"Not started",IFERROR(IF(NOT(_xlfn.ISFORMULA(B22)),"Use a formula",IF(ABS(B22-(MAX(0,SUMPRODUCT(B8:B10,D8:D10)*B15-(SUMPRODUCT(B8:B10,D8:D10)-SUMPRODUCT(B8:B10,C8:C10)*(1-B14)))))&lt;=0.005,"Correct","Review calculation")),"Check formula"))</x:f>
        <x:v>Not started</x:v>
      </x:c>
      <x:c r="D22" s="31" t="n">
        <x:f>IF(C22="Correct",7,0)</x:f>
        <x:v>0</x:v>
      </x:c>
      <x:c r="E22" s="31"/>
      <x:c r="F22" s="31"/>
    </x:row>
    <x:row r="23" ht="30" customHeight="1">
      <x:c r="A23" s="31"/>
      <x:c r="B23" s="31"/>
      <x:c r="C23" s="31"/>
      <x:c r="D23" s="31"/>
      <x:c r="E23" s="31"/>
      <x:c r="F23" s="31"/>
    </x:row>
    <x:row r="24" ht="42" customHeight="1">
      <x:c r="A24" s="49" t="str">
        <x:v>First calculate each row value in E8:F10 and totals in E11:F11. Do not infer diversification benefits from a no-call result.</x:v>
      </x:c>
      <x:c r="B24" s="31"/>
      <x:c r="C24" s="31"/>
      <x:c r="D24" s="31"/>
      <x:c r="E24" s="31"/>
      <x:c r="F24" s="31"/>
    </x:row>
    <x:row r="25" ht="30" customHeight="1">
      <x:c r="A25" s="31"/>
      <x:c r="B25" s="31"/>
      <x:c r="C25" s="31"/>
      <x:c r="D25" s="31"/>
      <x:c r="E25" s="31"/>
      <x:c r="F25" s="31"/>
    </x:row>
    <x:row r="26" ht="30" customHeight="1">
      <x:c r="A26" s="50" t="s">
        <x:v>66</x:v>
      </x:c>
      <x:c r="B26" s="51" t="n">
        <x:f>SUM(D18:D22)</x:f>
        <x:v>0</x:v>
      </x:c>
      <x:c r="C26" s="31"/>
      <x:c r="D26" s="31"/>
      <x:c r="E26" s="31"/>
      <x:c r="F26" s="31"/>
    </x:row>
    <x:row r="28" ht="42" customHeight="1">
      <x:c r="A28" s="31" t="str">
        <x:v>Fair comparison • Same initial value, initial equity percentage, loan and end-date prices; allow fractional AAPL shares.</x:v>
      </x:c>
      <x:c r="B28" s="31"/>
      <x:c r="C28" s="31"/>
      <x:c r="D28" s="31"/>
      <x:c r="E28" s="31"/>
      <x:c r="F28" s="31"/>
    </x:row>
    <x:row r="30">
      <x:c r="A30" t="str">
        <x:v>AAPL-only comparison</x:v>
      </x:c>
      <x:c r="B30" t="str">
        <x:v>Your formula result</x:v>
      </x:c>
      <x:c r="C30" t="str">
        <x:v>Practice feedback</x:v>
      </x:c>
    </x:row>
    <x:row r="31">
      <x:c r="A31" t="str">
        <x:v>AAPL shares for the same initial value</x:v>
      </x:c>
      <x:c r="B31" s="65"/>
      <x:c r="C31" t="str">
        <x:f>IF(ISBLANK(B31),"Not started",IFERROR(IF(NOT(_xlfn.ISFORMULA(B31)),"Use a formula",IF(ABS(B31-(SUMPRODUCT(B8:B10,C8:C10)/C8))&lt;=0.005,"Correct","Review calculation")),"Check formula"))</x:f>
        <x:v>Not started</x:v>
      </x:c>
      <x:c r="D31"/>
    </x:row>
    <x:row r="32">
      <x:c r="A32" t="str">
        <x:v>AAPL-only current market value</x:v>
      </x:c>
      <x:c r="B32" s="65"/>
      <x:c r="C32" t="str">
        <x:f>IF(ISBLANK(B32),"Not started",IFERROR(IF(NOT(_xlfn.ISFORMULA(B32)),"Use a formula",IF(ABS(B32-(SUMPRODUCT(B8:B10,C8:C10)/C8*D8))&lt;=0.005,"Correct","Review calculation")),"Check formula"))</x:f>
        <x:v>Not started</x:v>
      </x:c>
      <x:c r="D32"/>
    </x:row>
    <x:row r="33">
      <x:c r="A33" t="str">
        <x:v>AAPL-only equity percentage</x:v>
      </x:c>
      <x:c r="B33" s="67"/>
      <x:c r="C33" t="str">
        <x:f>IF(ISBLANK(B33),"Not started",IFERROR(IF(NOT(_xlfn.ISFORMULA(B33)),"Use a formula",IF(ABS(B33-(1-(SUMPRODUCT(B8:B10,C8:C10)*(1-B14))/(SUMPRODUCT(B8:B10,C8:C10)/C8*D8)))&lt;=0.00005,"Correct","Review calculation")),"Check formula"))</x:f>
        <x:v>Not started</x:v>
      </x:c>
      <x:c r="D33"/>
    </x:row>
    <x:row r="34">
      <x:c r="A34" t="str">
        <x:v>AAPL-only cash deficiency</x:v>
      </x:c>
      <x:c r="B34" s="65"/>
      <x:c r="C34" t="str">
        <x:f>IF(ISBLANK(B34),"Not started",IFERROR(IF(NOT(_xlfn.ISFORMULA(B34)),"Use a formula",IF(ABS(B34-(MAX(0,(SUMPRODUCT(B8:B10,C8:C10)/C8*D8)*B15-((SUMPRODUCT(B8:B10,C8:C10)/C8*D8)-SUMPRODUCT(B8:B10,C8:C10)*(1-B14)))))&lt;=0.005,"Correct","Review calculation")),"Check formula"))</x:f>
        <x:v>Not started</x:v>
      </x:c>
      <x:c r="D34"/>
    </x:row>
    <x:row r="35">
      <x:c r="A35" t="str">
        <x:v>Mixed portfolio minus AAPL-only equity ratio</x:v>
      </x:c>
      <x:c r="B35" s="67"/>
      <x:c r="C35" t="str">
        <x:f>IF(ISBLANK(B35),"Not started",IFERROR(IF(NOT(_xlfn.ISFORMULA(B35)),"Use a formula",IF(ABS(B35-((1-SUMPRODUCT(B8:B10,C8:C10)*(1-B14)/SUMPRODUCT(B8:B10,D8:D10))-(1-(1-B14)*C8/D8)))&lt;=0.00005,"Correct","Review calculation")),"Check formula"))</x:f>
        <x:v>Not started</x:v>
      </x:c>
      <x:c r="D35"/>
    </x:row>
    <x:row r="37" ht="42" customHeight="1">
      <x:c r="A37" s="31" t="str">
        <x:v>Explain: which portfolio retained the higher equity ratio? Does this single scenario prove that diversification always helps?</x:v>
      </x:c>
      <x:c r="B37" s="31"/>
      <x:c r="C37" s="31"/>
      <x:c r="D37" s="31"/>
      <x:c r="E37" s="31"/>
      <x:c r="F37" s="31"/>
    </x:row>
    <x:row r="38" ht="34" customHeight="1">
      <x:c r="A38" s="31" t="str">
        <x:v>Your explanation:</x:v>
      </x:c>
      <x:c r="B38" s="31"/>
      <x:c r="C38" s="31"/>
      <x:c r="D38" s="31"/>
      <x:c r="E38" s="31"/>
      <x:c r="F38" s="31"/>
    </x:row>
    <x:row r="39">
      <x:c r="A39" s="57"/>
      <x:c r="B39" s="57"/>
      <x:c r="C39" s="57"/>
      <x:c r="D39" s="57"/>
      <x:c r="E39" s="57"/>
      <x:c r="F39" s="57"/>
    </x:row>
    <x:row r="40">
      <x:c r="A40" s="57"/>
      <x:c r="B40" s="57"/>
      <x:c r="C40" s="57"/>
      <x:c r="D40" s="57"/>
      <x:c r="E40" s="57"/>
      <x:c r="F40" s="57"/>
    </x:row>
  </x:sheetData>
  <x:mergeCells>
    <x:mergeCell ref="A4:F4"/>
    <x:mergeCell ref="A5:F5"/>
    <x:mergeCell ref="A24:F24"/>
    <x:mergeCell ref="A28:F28"/>
    <x:mergeCell ref="A37:F37"/>
    <x:mergeCell ref="A38:F38"/>
    <x:mergeCell ref="A39:F40"/>
    <x:mergeCell ref="A1:D1"/>
  </x:mergeCells>
  <x:conditionalFormatting sqref="C18:C18">
    <x:cfRule type="containsText" dxfId="12" priority="1" operator="containsText" text="Correct"/>
  </x:conditionalFormatting>
  <x:conditionalFormatting sqref="C19:C19">
    <x:cfRule type="containsText" dxfId="13" priority="2" operator="containsText" text="Correct"/>
  </x:conditionalFormatting>
  <x:conditionalFormatting sqref="C20:C20">
    <x:cfRule type="containsText" dxfId="14" priority="3" operator="containsText" text="Correct"/>
  </x:conditionalFormatting>
  <x:conditionalFormatting sqref="C21:C21">
    <x:cfRule type="containsText" dxfId="15" priority="4" operator="containsText" text="Correct"/>
  </x:conditionalFormatting>
  <x:conditionalFormatting sqref="C22:C22">
    <x:cfRule type="containsText" dxfId="16" priority="5" operator="containsText" text="Correct"/>
  </x:conditionalFormatting>
  <x:conditionalFormatting sqref="C31:C31">
    <x:cfRule type="containsText" dxfId="17" priority="6" operator="containsText" text="Correct"/>
  </x:conditionalFormatting>
  <x:conditionalFormatting sqref="C32:C32">
    <x:cfRule type="containsText" dxfId="18" priority="7" operator="containsText" text="Correct"/>
  </x:conditionalFormatting>
  <x:conditionalFormatting sqref="C33:C33">
    <x:cfRule type="containsText" dxfId="19" priority="8" operator="containsText" text="Correct"/>
  </x:conditionalFormatting>
  <x:conditionalFormatting sqref="C34:C34">
    <x:cfRule type="containsText" dxfId="20" priority="9" operator="containsText" text="Correct"/>
  </x:conditionalFormatting>
  <x:conditionalFormatting sqref="C35:C35">
    <x:cfRule type="containsText" dxfId="21" priority="10" operator="containsText" text="Correct"/>
  </x:conditionalFormatting>
  <x:pageMargins left="0.7" right="0.7" top="0.75" bottom="0.75" header="0.3" footer="0.3"/>
  <x:legacyDrawing xmlns:r="http://schemas.openxmlformats.org/officeDocument/2006/relationships" r:id="R4bdd75d5f28a40e1"/>
</x:worksheet>
</file>

<file path=xl/worksheets/sheet6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8.83203125" defaultRowHeight="15"/>
  <x:cols>
    <x:col min="1" max="1" width="69" hidden="0" customWidth="1"/>
    <x:col min="2" max="3" width="22.83203125" customWidth="1"/>
    <x:col min="2" max="2" width="23" hidden="0" customWidth="1"/>
    <x:col min="3" max="3" width="31" hidden="0" customWidth="1"/>
    <x:col min="4" max="4" width="12" hidden="0" customWidth="1"/>
    <x:col min="5" max="5" width="48" hidden="0" customWidth="1"/>
    <x:col min="6" max="6" width="20" hidden="0" customWidth="1"/>
  </x:cols>
  <x:sheetData>
    <x:row r="1" ht="42" customHeight="1">
      <x:c r="A1" s="68" t="str">
        <x:v>PRACTICE SCORE &amp; FEEDBACK</x:v>
      </x:c>
      <x:c r="B1" s="31"/>
      <x:c r="C1" s="31"/>
      <x:c r="D1" s="31"/>
    </x:row>
    <x:row r="2" ht="30" customHeight="1">
      <x:c r="A2" s="31"/>
      <x:c r="B2" s="31"/>
      <x:c r="C2" s="31"/>
    </x:row>
    <x:row r="3" ht="30" customHeight="1">
      <x:c r="A3" s="34" t="s">
        <x:v>67</x:v>
      </x:c>
      <x:c r="B3" s="34" t="s">
        <x:v>68</x:v>
      </x:c>
      <x:c r="C3" s="34" t="s">
        <x:v>69</x:v>
      </x:c>
    </x:row>
    <x:row r="4" ht="30" customHeight="1">
      <x:c r="A4" s="31" t="s">
        <x:v>70</x:v>
      </x:c>
      <x:c r="B4" s="31" t="n">
        <x:f>'Part 1 Initial Margin'!B21</x:f>
        <x:v>0</x:v>
      </x:c>
      <x:c r="C4" s="31">
        <x:v>20</x:v>
      </x:c>
    </x:row>
    <x:row r="5" ht="30" customHeight="1">
      <x:c r="A5" s="31" t="s">
        <x:v>71</x:v>
      </x:c>
      <x:c r="B5" s="31" t="n">
        <x:f>'Part 2 Maintenance Margin'!B24</x:f>
        <x:v>0</x:v>
      </x:c>
      <x:c r="C5" s="31">
        <x:v>25</x:v>
      </x:c>
    </x:row>
    <x:row r="6" ht="30" customHeight="1">
      <x:c r="A6" s="31" t="s">
        <x:v>72</x:v>
      </x:c>
      <x:c r="B6" s="31" t="n">
        <x:f>'Part 3 Margin Call'!B24</x:f>
        <x:v>0</x:v>
      </x:c>
      <x:c r="C6" s="31">
        <x:v>20</x:v>
      </x:c>
    </x:row>
    <x:row r="7" ht="30" customHeight="1">
      <x:c r="A7" s="31" t="s">
        <x:v>73</x:v>
      </x:c>
      <x:c r="B7" s="31" t="n">
        <x:f>'Part 4 Portfolio'!B26</x:f>
        <x:v>0</x:v>
      </x:c>
      <x:c r="C7" s="31">
        <x:v>35</x:v>
      </x:c>
    </x:row>
    <x:row r="8" ht="30" customHeight="1">
      <x:c r="A8" s="31"/>
      <x:c r="B8" s="31"/>
      <x:c r="C8" s="31"/>
    </x:row>
    <x:row r="9" ht="30" customHeight="1">
      <x:c r="A9" s="69" t="s">
        <x:v>74</x:v>
      </x:c>
      <x:c r="B9" s="69" t="n">
        <x:f>SUM(B4:B7)</x:f>
        <x:v>0</x:v>
      </x:c>
      <x:c r="C9" s="69">
        <x:v>100</x:v>
      </x:c>
    </x:row>
    <x:row r="10" ht="30" customHeight="1">
      <x:c r="A10" s="31"/>
      <x:c r="B10" s="31"/>
      <x:c r="C10" s="31"/>
    </x:row>
    <x:row r="11" ht="30" customHeight="1">
      <x:c r="A11" s="33" t="str">
        <x:v>PRACTICE GRADE</x:v>
      </x:c>
      <x:c r="B11" s="70" t="str">
        <x:f>IF(COUNTBLANK('Part 1 Initial Margin'!B14:B17)+COUNTBLANK('Part 2 Maintenance Margin'!B16:B20)+COUNTBLANK('Part 3 Margin Call'!B16:B19)+COUNTBLANK('Part 4 Portfolio'!B18:B22)&gt;0,"In progress",IF(B9&gt;=90,"A",IF(B9&gt;=80,"B",IF(B9&gt;=70,"C",IF(B9&gt;=60,"D","F")))))</x:f>
        <x:v>In progress</x:v>
      </x:c>
      <x:c r="C11" s="31"/>
    </x:row>
    <x:row r="12" ht="30" customHeight="1">
      <x:c r="A12" s="31"/>
      <x:c r="B12" s="31"/>
      <x:c r="C12" s="31"/>
    </x:row>
    <x:row r="13" ht="30" customHeight="1">
      <x:c r="A13" s="45" t="s">
        <x:v>75</x:v>
      </x:c>
      <x:c r="B13" s="31"/>
      <x:c r="C13" s="31"/>
    </x:row>
    <x:row r="14" ht="42" customHeight="1">
      <x:c r="A14" s="31" t="str">
        <x:f>IF(B9=100,"Numerical practice complete. Review formulas and written explanations with your instructor.","Continue the practice: complete missing formulas and review feedback. Written reasoning is reviewed separately.")</x:f>
        <x:v>Continue the practice: complete missing formulas and review feedback. Written reasoning is reviewed separately.</x:v>
      </x:c>
      <x:c r="B14" s="31"/>
      <x:c r="C14" s="31"/>
    </x:row>
    <x:row r="15" ht="30" customHeight="1">
      <x:c r="A15" s="31"/>
      <x:c r="B15" s="31"/>
      <x:c r="C15" s="31"/>
    </x:row>
    <x:row r="16" ht="30" customHeight="1">
      <x:c r="A16" s="50" t="s">
        <x:v>76</x:v>
      </x:c>
      <x:c r="B16" s="31"/>
      <x:c r="C16" s="31"/>
    </x:row>
    <x:row r="17" ht="30" customHeight="1">
      <x:c r="A17" s="31" t="str">
        <x:f>"Part 1 Accuracy: " &amp; TEXT(B4/C4,"0%")</x:f>
        <x:v>Part 1 Accuracy: 0%</x:v>
      </x:c>
      <x:c r="B17" s="31"/>
      <x:c r="C17" s="31"/>
    </x:row>
    <x:row r="18" ht="30" customHeight="1">
      <x:c r="A18" s="31" t="str">
        <x:f>"Part 2 Accuracy: " &amp; TEXT(B5/C5,"0%")</x:f>
        <x:v>Part 2 Accuracy: 0%</x:v>
      </x:c>
      <x:c r="B18" s="31"/>
      <x:c r="C18" s="31"/>
    </x:row>
    <x:row r="19" ht="30" customHeight="1">
      <x:c r="A19" s="31" t="str">
        <x:f>"Part 3 Accuracy: " &amp; TEXT(B6/C6,"0%")</x:f>
        <x:v>Part 3 Accuracy: 0%</x:v>
      </x:c>
      <x:c r="B19" s="31"/>
      <x:c r="C19" s="31"/>
    </x:row>
    <x:row r="20" ht="30" customHeight="1">
      <x:c r="A20" s="31" t="str">
        <x:f>"Part 4 Accuracy: " &amp; TEXT(B7/C7,"0%")</x:f>
        <x:v>Part 4 Accuracy: 0%</x:v>
      </x:c>
      <x:c r="B20" s="31"/>
      <x:c r="C20" s="31"/>
    </x:row>
    <x:row r="21" ht="30" customHeight="1">
      <x:c r="A21" s="31"/>
      <x:c r="B21" s="31"/>
      <x:c r="C21" s="31"/>
    </x:row>
    <x:row r="22" ht="30" customHeight="1">
      <x:c r="A22" s="45" t="s">
        <x:v>77</x:v>
      </x:c>
      <x:c r="B22" s="31"/>
      <x:c r="C22" s="31"/>
    </x:row>
    <x:row r="23" ht="34" customHeight="1">
      <x:c r="A23" s="31" t="str">
        <x:v>Initial equity is your contribution; the loan finances the remainder.</x:v>
      </x:c>
      <x:c r="B23" s="31"/>
      <x:c r="C23" s="31"/>
      <x:c r="D23" s="31"/>
    </x:row>
    <x:row r="24" ht="42" customHeight="1">
      <x:c r="A24" s="31" t="str">
        <x:v>This activity uses 30% house maintenance; FINRA’s general long-stock minimum is 25%.</x:v>
      </x:c>
      <x:c r="B24" s="31"/>
      <x:c r="C24" s="31"/>
      <x:c r="D24" s="31"/>
    </x:row>
    <x:row r="25" ht="30" customHeight="1">
      <x:c r="A25" s="31" t="s">
        <x:v>78</x:v>
      </x:c>
      <x:c r="B25" s="31"/>
      <x:c r="C25" s="31"/>
    </x:row>
    <x:row r="26" ht="30" customHeight="1">
      <x:c r="A26" s="31" t="s">
        <x:v>79</x:v>
      </x:c>
      <x:c r="B26" s="31"/>
      <x:c r="C26" s="31"/>
    </x:row>
    <x:row r="27" ht="42" customHeight="1">
      <x:c r="A27" s="31" t="str">
        <x:v>A maintenance deficiency arises BELOW the threshold; equality meets maintenance.</x:v>
      </x:c>
      <x:c r="B27" s="31"/>
      <x:c r="C27" s="31"/>
      <x:c r="D27" s="31"/>
    </x:row>
    <x:row r="28" ht="42" customHeight="1">
      <x:c r="A28" s="31" t="str">
        <x:v>A multi-stock portfolio is not proof of effective diversification. Compare equal capital, leverage and scenarios.</x:v>
      </x:c>
      <x:c r="B28" s="31"/>
      <x:c r="C28" s="31"/>
      <x:c r="D28" s="31"/>
    </x:row>
    <x:row r="29" ht="30" customHeight="1">
      <x:c r="A29" s="31"/>
      <x:c r="B29" s="31"/>
      <x:c r="C29" s="31"/>
    </x:row>
    <x:row r="30" ht="42" customHeight="1">
      <x:c r="A30" s="71" t="str">
        <x:v>Complete all explanation fields. Formula-reference quality and reasoning require instructor review.</x:v>
      </x:c>
      <x:c r="B30" s="31"/>
      <x:c r="C30" s="31"/>
      <x:c r="D30" s="31"/>
    </x:row>
  </x:sheetData>
  <x:mergeCells>
    <x:mergeCell ref="A1:D1"/>
    <x:mergeCell ref="A23:D23"/>
    <x:mergeCell ref="A24:D24"/>
    <x:mergeCell ref="A27:D27"/>
    <x:mergeCell ref="A28:D28"/>
    <x:mergeCell ref="A30:D30"/>
    <x:mergeCell ref="A14:D14"/>
  </x:mergeCells>
  <x:pageMargins left="0.7" right="0.7" top="0.75" bottom="0.75" header="0.3" footer="0.3"/>
  <x:drawing xmlns:r="http://schemas.openxmlformats.org/officeDocument/2006/relationships" r:id="Raa5c240801dc430e"/>
  <x:legacyDrawing xmlns:r="http://schemas.openxmlformats.org/officeDocument/2006/relationships" r:id="Rd766b693d09343f9"/>
</x:worksheet>
</file>