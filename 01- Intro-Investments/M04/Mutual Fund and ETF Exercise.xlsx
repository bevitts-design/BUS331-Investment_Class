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edb5abf5c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V Calculation" sheetId="1" r:id="R9c38a427813f41b2"/>
    <x:sheet xmlns:r="http://schemas.openxmlformats.org/officeDocument/2006/relationships" name="NAV Return Calculation" sheetId="2" r:id="R1a21dc8d715f4d22"/>
    <x:sheet xmlns:r="http://schemas.openxmlformats.org/officeDocument/2006/relationships" name="Management Fees Problem" sheetId="3" r:id="Rbed922bf28254eb3"/>
    <x:sheet xmlns:r="http://schemas.openxmlformats.org/officeDocument/2006/relationships" name="FactSet ETF Search" sheetId="4" r:id="R405fe7629bf1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"/>
    <x:numFmt numFmtId="201" formatCode="#,##0"/>
    <x:numFmt numFmtId="202" formatCode="$0.000"/>
    <x:numFmt numFmtId="203" formatCode="0.00%"/>
    <x:numFmt numFmtId="204" formatCode="$0.00"/>
    <x:numFmt numFmtId="205" formatCode="0.000%"/>
  </x:numFmts>
  <x:fonts count="4">
    <x:font>
      <x:sz val="11"/>
      <x:name val="Carlito"/>
    </x:font>
    <x:font>
      <x:sz val="11"/>
      <x:color rgb="FF172432"/>
      <x:name val="Arial"/>
    </x:font>
    <x:font>
      <x:b/>
      <x:sz val="15"/>
      <x:color rgb="FF17365D"/>
      <x:name val="Arial"/>
    </x:font>
    <x:font>
      <x:b/>
      <x:sz val="11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5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7a34047514008" /><Relationship Type="http://schemas.openxmlformats.org/officeDocument/2006/relationships/theme" Target="/xl/theme/theme1.xml" Id="R85fae950b3e548e7" /><Relationship Type="http://schemas.openxmlformats.org/officeDocument/2006/relationships/sharedStrings" Target="/xl/sharedStrings.xml" Id="R8d929659ef124de1" /><Relationship Type="http://schemas.openxmlformats.org/officeDocument/2006/relationships/worksheet" Target="/xl/worksheets/sheet1.xml" Id="R9c38a427813f41b2" /><Relationship Type="http://schemas.openxmlformats.org/officeDocument/2006/relationships/worksheet" Target="/xl/worksheets/sheet2.xml" Id="R1a21dc8d715f4d22" /><Relationship Type="http://schemas.openxmlformats.org/officeDocument/2006/relationships/worksheet" Target="/xl/worksheets/sheet3.xml" Id="Rbed922bf28254eb3" /><Relationship Type="http://schemas.openxmlformats.org/officeDocument/2006/relationships/worksheet" Target="/xl/worksheets/sheet4.xml" Id="R405fe7629bf147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21" hidden="0" customWidth="1"/>
    <x:col min="3" max="3" width="25" hidden="0" customWidth="1"/>
  </x:cols>
  <x:sheetData>
    <x:row r="1" ht="27" customHeight="1">
      <x:c r="A1" s="4" t="str">
        <x:v>1. Calculate NAV</x:v>
      </x:c>
      <x:c r="B1" s="3"/>
      <x:c r="C1" s="3"/>
    </x:row>
    <x:row r="2" ht="27" customHeight="1">
      <x:c r="A2" s="3" t="str">
        <x:v>NAV per share = (Assets − Liabilities) ÷ Shares outstanding</x:v>
      </x:c>
      <x:c r="B2" s="3"/>
      <x:c r="C2" s="3"/>
    </x:row>
    <x:row r="3" ht="42" customHeight="1">
      <x:c r="A3" s="3" t="str">
        <x:v>Use the supplied figures from M04 slide 9. Calculate B10, B16 and B23 with Excel formulas. Blue cells are your responses.</x:v>
      </x:c>
      <x:c r="B3" s="3"/>
      <x:c r="C3" s="3"/>
    </x:row>
    <x:row r="4" ht="23" customHeight="1">
      <x:c r="A4" s="3"/>
      <x:c r="B4" s="3"/>
      <x:c r="C4" s="3"/>
    </x:row>
    <x:row r="5" ht="23" customHeight="1">
      <x:c r="A5" s="9" t="str">
        <x:v>Assets</x:v>
      </x:c>
      <x:c r="B5" s="9" t="str">
        <x:v>Beginning</x:v>
      </x:c>
      <x:c r="C5" s="3"/>
    </x:row>
    <x:row r="6" ht="23" customHeight="1">
      <x:c r="A6" s="3" t="str">
        <x:v>Investments at closing market prices</x:v>
      </x:c>
      <x:c r="B6" s="5" t="n">
        <x:v>200000000</x:v>
      </x:c>
      <x:c r="C6" s="3"/>
    </x:row>
    <x:row r="7" ht="23" customHeight="1">
      <x:c r="A7" s="3" t="str">
        <x:v>Cash and cash equivalents</x:v>
      </x:c>
      <x:c r="B7" s="5" t="n">
        <x:v>14000000</x:v>
      </x:c>
      <x:c r="C7" s="3"/>
    </x:row>
    <x:row r="8" ht="23" customHeight="1">
      <x:c r="A8" s="3" t="str">
        <x:v>Total receivables</x:v>
      </x:c>
      <x:c r="B8" s="5" t="n">
        <x:v>6000000</x:v>
      </x:c>
      <x:c r="C8" s="3"/>
    </x:row>
    <x:row r="9" ht="23" customHeight="1">
      <x:c r="A9" s="3" t="str">
        <x:v>Accrued income</x:v>
      </x:c>
      <x:c r="B9" s="5" t="n">
        <x:v>75000</x:v>
      </x:c>
      <x:c r="C9" s="3"/>
    </x:row>
    <x:row r="10" ht="23" customHeight="1">
      <x:c r="A10" s="3" t="str">
        <x:v>Total assets</x:v>
      </x:c>
      <x:c r="B10" s="7"/>
      <x:c r="C10" s="3"/>
    </x:row>
    <x:row r="11" ht="23" customHeight="1">
      <x:c r="A11" s="3"/>
      <x:c r="B11" s="5"/>
      <x:c r="C11" s="3"/>
    </x:row>
    <x:row r="12" ht="23" customHeight="1">
      <x:c r="A12" s="9" t="str">
        <x:v>Liabilities</x:v>
      </x:c>
      <x:c r="B12" s="11" t="str">
        <x:v>Beginning</x:v>
      </x:c>
      <x:c r="C12" s="3"/>
    </x:row>
    <x:row r="13" ht="23" customHeight="1">
      <x:c r="A13" s="3" t="str">
        <x:v>Short-term liabilities</x:v>
      </x:c>
      <x:c r="B13" s="5" t="n">
        <x:v>13000000</x:v>
      </x:c>
      <x:c r="C13" s="3"/>
    </x:row>
    <x:row r="14" ht="23" customHeight="1">
      <x:c r="A14" s="3" t="str">
        <x:v>Long-term liabilities</x:v>
      </x:c>
      <x:c r="B14" s="5" t="n">
        <x:v>4000000</x:v>
      </x:c>
      <x:c r="C14" s="3"/>
    </x:row>
    <x:row r="15" ht="23" customHeight="1">
      <x:c r="A15" s="3" t="str">
        <x:v>Accrued expenses</x:v>
      </x:c>
      <x:c r="B15" s="5" t="n">
        <x:v>50000</x:v>
      </x:c>
      <x:c r="C15" s="3"/>
    </x:row>
    <x:row r="16" ht="23" customHeight="1">
      <x:c r="A16" s="3" t="str">
        <x:v>Total liabilities</x:v>
      </x:c>
      <x:c r="B16" s="7"/>
      <x:c r="C16" s="3"/>
    </x:row>
    <x:row r="17" ht="23" customHeight="1">
      <x:c r="A17" s="3"/>
      <x:c r="B17" s="5"/>
      <x:c r="C17" s="3"/>
    </x:row>
    <x:row r="18" ht="23" customHeight="1">
      <x:c r="A18" s="3"/>
      <x:c r="B18" s="5"/>
      <x:c r="C18" s="3"/>
    </x:row>
    <x:row r="19" ht="23" customHeight="1">
      <x:c r="A19" s="3"/>
      <x:c r="B19" s="5"/>
      <x:c r="C19" s="3"/>
    </x:row>
    <x:row r="20" ht="23" customHeight="1">
      <x:c r="A20" s="9" t="str">
        <x:v>Shares outstanding</x:v>
      </x:c>
      <x:c r="B20" s="13" t="n">
        <x:v>5000000</x:v>
      </x:c>
      <x:c r="C20" s="3"/>
    </x:row>
    <x:row r="21" ht="23" customHeight="1">
      <x:c r="A21" s="3"/>
      <x:c r="B21" s="5"/>
      <x:c r="C21" s="3"/>
    </x:row>
    <x:row r="22" ht="23" customHeight="1">
      <x:c r="A22" s="3"/>
      <x:c r="B22" s="5"/>
      <x:c r="C22" s="3"/>
    </x:row>
    <x:row r="23" ht="23" customHeight="1">
      <x:c r="A23" s="9" t="str">
        <x:v>NAV per share</x:v>
      </x:c>
      <x:c r="B23" s="15"/>
      <x:c r="C23" s="3"/>
    </x:row>
    <x:row r="24" ht="23" customHeight="1">
      <x:c r="A24" s="3"/>
      <x:c r="B24" s="3"/>
      <x:c r="C24" s="3"/>
    </x:row>
    <x:row r="25" ht="32" customHeight="1">
      <x:c r="A25" s="3" t="str">
        <x:v>Keep full precision in formulas. NAV is displayed to three decimal places for the return calculation.</x:v>
      </x:c>
      <x:c r="B25" s="3"/>
      <x:c r="C25" s="3"/>
    </x:row>
    <x:row r="26" ht="23" customHeight="1">
      <x:c r="A26" s="3"/>
      <x:c r="B26" s="3"/>
      <x:c r="C26" s="3"/>
    </x:row>
    <x:row r="27" ht="42" customHeight="1">
      <x:c r="A27" s="3" t="str">
        <x:v>Complete all four tabs. Enter formulas in blue calculation cells and short written answers in blue response areas.</x:v>
      </x:c>
      <x:c r="B27" s="3"/>
      <x:c r="C27" s="3"/>
    </x:row>
    <x:row r="28" ht="23" customHeight="1">
      <x:c r="A28" s="3"/>
      <x:c r="B28" s="3"/>
      <x:c r="C28" s="3"/>
    </x:row>
    <x:row r="29" ht="30" customHeight="1">
      <x:c r="A29" s="3" t="str">
        <x:v>Source: M04 HTML slides, slide 9. All balance-sheet amounts are dollars.</x:v>
      </x:c>
      <x:c r="B29" s="3"/>
      <x:c r="C29" s="3"/>
    </x:row>
  </x:sheetData>
  <x:mergeCells>
    <x:mergeCell ref="A1:C1"/>
    <x:mergeCell ref="A2:C2"/>
    <x:mergeCell ref="A3:C3"/>
    <x:mergeCell ref="A25:C25"/>
    <x:mergeCell ref="A27:C27"/>
    <x:mergeCell ref="A29:C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19" hidden="0" customWidth="1"/>
    <x:col min="3" max="3" width="19" hidden="0" customWidth="1"/>
    <x:col min="4" max="4" width="3" hidden="0" customWidth="1"/>
    <x:col min="5" max="5" width="3" hidden="0" customWidth="1"/>
    <x:col min="6" max="6" width="29" hidden="0" customWidth="1"/>
    <x:col min="7" max="7" width="20" hidden="0" customWidth="1"/>
  </x:cols>
  <x:sheetData>
    <x:row r="1" ht="27" customHeight="1">
      <x:c r="A1" s="4" t="str">
        <x:v>2. NAV and total return</x:v>
      </x:c>
      <x:c r="B1" s="3"/>
      <x:c r="C1" s="3"/>
      <x:c r="D1" s="3"/>
      <x:c r="E1" s="3"/>
      <x:c r="F1" s="3"/>
      <x:c r="G1" s="3"/>
    </x:row>
    <x:row r="2" ht="27" customHeight="1">
      <x:c r="A2" s="3" t="str">
        <x:v>NAV per share = (Assets − Liabilities) ÷ Shares outstanding</x:v>
      </x:c>
      <x:c r="B2" s="3"/>
      <x:c r="C2" s="3"/>
      <x:c r="D2" s="3"/>
      <x:c r="E2" s="3"/>
      <x:c r="F2" s="3"/>
      <x:c r="G2" s="3"/>
    </x:row>
    <x:row r="3" ht="42" customHeight="1">
      <x:c r="A3" s="3" t="str">
        <x:v>Use the supplied beginning and ending balances. Calculate the blue cells with Excel formulas; then answer the question below.</x:v>
      </x:c>
      <x:c r="B3" s="3"/>
      <x:c r="C3" s="3"/>
      <x:c r="D3" s="3"/>
      <x:c r="E3" s="3"/>
      <x:c r="F3" s="3"/>
      <x:c r="G3" s="3"/>
    </x:row>
    <x:row r="4" ht="23" customHeight="1">
      <x:c r="A4" s="3"/>
      <x:c r="B4" s="3"/>
      <x:c r="C4" s="3"/>
      <x:c r="D4" s="3"/>
      <x:c r="E4" s="3"/>
      <x:c r="F4" s="3"/>
      <x:c r="G4" s="3"/>
    </x:row>
    <x:row r="5" ht="23" customHeight="1">
      <x:c r="A5" s="9" t="str">
        <x:v>Assets</x:v>
      </x:c>
      <x:c r="B5" s="9" t="str">
        <x:v>Beginning</x:v>
      </x:c>
      <x:c r="C5" s="9" t="str">
        <x:v>Ending</x:v>
      </x:c>
      <x:c r="D5" s="3"/>
      <x:c r="E5" s="3"/>
      <x:c r="F5" s="3" t="str">
        <x:v>Total return</x:v>
      </x:c>
      <x:c r="G5" s="17"/>
    </x:row>
    <x:row r="6" ht="23" customHeight="1">
      <x:c r="A6" s="3" t="str">
        <x:v>Investments at closing market prices</x:v>
      </x:c>
      <x:c r="B6" s="5" t="n">
        <x:v>200000000</x:v>
      </x:c>
      <x:c r="C6" s="5" t="n">
        <x:v>210000000</x:v>
      </x:c>
      <x:c r="D6" s="3"/>
      <x:c r="E6" s="3"/>
      <x:c r="F6" s="3" t="str">
        <x:v>Ending NAV per share</x:v>
      </x:c>
      <x:c r="G6" s="20"/>
    </x:row>
    <x:row r="7" ht="23" customHeight="1">
      <x:c r="A7" s="3" t="str">
        <x:v>Cash and cash equivalents</x:v>
      </x:c>
      <x:c r="B7" s="5" t="n">
        <x:v>14000000</x:v>
      </x:c>
      <x:c r="C7" s="5" t="n">
        <x:v>13000000</x:v>
      </x:c>
      <x:c r="D7" s="3"/>
      <x:c r="E7" s="3"/>
      <x:c r="F7" s="3" t="str">
        <x:v>Beginning NAV per share</x:v>
      </x:c>
      <x:c r="G7" s="20"/>
    </x:row>
    <x:row r="8" ht="23" customHeight="1">
      <x:c r="A8" s="3" t="str">
        <x:v>Total receivables</x:v>
      </x:c>
      <x:c r="B8" s="5" t="n">
        <x:v>6000000</x:v>
      </x:c>
      <x:c r="C8" s="5" t="n">
        <x:v>600000</x:v>
      </x:c>
      <x:c r="D8" s="3"/>
      <x:c r="E8" s="3"/>
      <x:c r="F8" s="3" t="str">
        <x:v>Income paid per share</x:v>
      </x:c>
      <x:c r="G8" s="19" t="n">
        <x:v>0.8</x:v>
      </x:c>
    </x:row>
    <x:row r="9" ht="23" customHeight="1">
      <x:c r="A9" s="3" t="str">
        <x:v>Accrued income</x:v>
      </x:c>
      <x:c r="B9" s="5" t="n">
        <x:v>75000</x:v>
      </x:c>
      <x:c r="C9" s="5" t="n">
        <x:v>150000</x:v>
      </x:c>
      <x:c r="D9" s="3"/>
      <x:c r="E9" s="3"/>
      <x:c r="F9" s="3" t="str">
        <x:v>Capital gain paid per share</x:v>
      </x:c>
      <x:c r="G9" s="19" t="n">
        <x:v>0.4</x:v>
      </x:c>
    </x:row>
    <x:row r="10" ht="23" customHeight="1">
      <x:c r="A10" s="3" t="str">
        <x:v>Total assets</x:v>
      </x:c>
      <x:c r="B10" s="7"/>
      <x:c r="C10" s="7"/>
      <x:c r="D10" s="3"/>
      <x:c r="E10" s="3"/>
      <x:c r="F10" s="3"/>
      <x:c r="G10" s="3"/>
    </x:row>
    <x:row r="11" ht="90" customHeight="1">
      <x:c r="A11" s="3"/>
      <x:c r="B11" s="5"/>
      <x:c r="C11" s="5"/>
      <x:c r="D11" s="3"/>
      <x:c r="E11" s="3"/>
      <x:c r="F11" s="3" t="str">
        <x:v>Assumptions: one-year holding period; distributions paid in cash, not reinvested. Ending balances are after distributions. Ignore loads and taxes.</x:v>
      </x:c>
      <x:c r="G11" s="3"/>
    </x:row>
    <x:row r="12" ht="23" customHeight="1">
      <x:c r="A12" s="9" t="str">
        <x:v>Liabilities</x:v>
      </x:c>
      <x:c r="B12" s="11" t="str">
        <x:v>Beginning</x:v>
      </x:c>
      <x:c r="C12" s="11" t="str">
        <x:v>Ending</x:v>
      </x:c>
      <x:c r="D12" s="3"/>
      <x:c r="E12" s="3"/>
      <x:c r="F12" s="3"/>
      <x:c r="G12" s="3"/>
    </x:row>
    <x:row r="13" ht="23" customHeight="1">
      <x:c r="A13" s="3" t="str">
        <x:v>Short-term liabilities</x:v>
      </x:c>
      <x:c r="B13" s="5" t="n">
        <x:v>13000000</x:v>
      </x:c>
      <x:c r="C13" s="5" t="n">
        <x:v>13000000</x:v>
      </x:c>
      <x:c r="D13" s="3"/>
      <x:c r="E13" s="3"/>
      <x:c r="F13" s="3"/>
      <x:c r="G13" s="3"/>
    </x:row>
    <x:row r="14" ht="23" customHeight="1">
      <x:c r="A14" s="3" t="str">
        <x:v>Long-term liabilities</x:v>
      </x:c>
      <x:c r="B14" s="5" t="n">
        <x:v>4000000</x:v>
      </x:c>
      <x:c r="C14" s="5" t="n">
        <x:v>4000000</x:v>
      </x:c>
      <x:c r="D14" s="3"/>
      <x:c r="E14" s="3"/>
      <x:c r="F14" s="3"/>
      <x:c r="G14" s="3"/>
    </x:row>
    <x:row r="15" ht="23" customHeight="1">
      <x:c r="A15" s="3" t="str">
        <x:v>Accrued expenses</x:v>
      </x:c>
      <x:c r="B15" s="5" t="n">
        <x:v>50000</x:v>
      </x:c>
      <x:c r="C15" s="5" t="n">
        <x:v>100000</x:v>
      </x:c>
      <x:c r="D15" s="3"/>
      <x:c r="E15" s="3"/>
      <x:c r="F15" s="3"/>
      <x:c r="G15" s="3"/>
    </x:row>
    <x:row r="16" ht="75" customHeight="1">
      <x:c r="A16" s="3" t="str">
        <x:v>Total liabilities</x:v>
      </x:c>
      <x:c r="B16" s="7"/>
      <x:c r="C16" s="7"/>
      <x:c r="D16" s="3"/>
      <x:c r="E16" s="3"/>
      <x:c r="F16" s="3" t="str">
        <x:v>Total return = (Ending NAV − Beginning NAV + Income + Capital gain distribution) ÷ Beginning NAV</x:v>
      </x:c>
      <x:c r="G16" s="3"/>
    </x:row>
    <x:row r="17" ht="23" customHeight="1">
      <x:c r="A17" s="3"/>
      <x:c r="B17" s="5"/>
      <x:c r="C17" s="5"/>
      <x:c r="D17" s="3"/>
      <x:c r="E17" s="3"/>
      <x:c r="F17" s="3"/>
      <x:c r="G17" s="3"/>
    </x:row>
    <x:row r="18" ht="23" customHeight="1">
      <x:c r="A18" s="3"/>
      <x:c r="B18" s="5"/>
      <x:c r="C18" s="5"/>
      <x:c r="D18" s="3"/>
      <x:c r="E18" s="3"/>
      <x:c r="F18" s="3"/>
      <x:c r="G18" s="3"/>
    </x:row>
    <x:row r="19" ht="23" customHeight="1">
      <x:c r="A19" s="3"/>
      <x:c r="B19" s="5"/>
      <x:c r="C19" s="5"/>
      <x:c r="D19" s="3"/>
      <x:c r="E19" s="3"/>
      <x:c r="F19" s="3"/>
      <x:c r="G19" s="3"/>
    </x:row>
    <x:row r="20" ht="23" customHeight="1">
      <x:c r="A20" s="9" t="str">
        <x:v>Shares outstanding</x:v>
      </x:c>
      <x:c r="B20" s="13" t="n">
        <x:v>5000000</x:v>
      </x:c>
      <x:c r="C20" s="13" t="n">
        <x:v>5000000</x:v>
      </x:c>
      <x:c r="D20" s="3"/>
      <x:c r="E20" s="3"/>
      <x:c r="F20" s="3"/>
      <x:c r="G20" s="3"/>
    </x:row>
    <x:row r="21" ht="23" customHeight="1">
      <x:c r="A21" s="3"/>
      <x:c r="B21" s="5"/>
      <x:c r="C21" s="5"/>
      <x:c r="D21" s="3"/>
      <x:c r="E21" s="3"/>
      <x:c r="F21" s="3"/>
      <x:c r="G21" s="3"/>
    </x:row>
    <x:row r="22" ht="23" customHeight="1">
      <x:c r="A22" s="3"/>
      <x:c r="B22" s="5"/>
      <x:c r="C22" s="5"/>
      <x:c r="D22" s="3"/>
      <x:c r="E22" s="3"/>
      <x:c r="F22" s="3"/>
      <x:c r="G22" s="3"/>
    </x:row>
    <x:row r="23" ht="23" customHeight="1">
      <x:c r="A23" s="9" t="str">
        <x:v>NAV per share</x:v>
      </x:c>
      <x:c r="B23" s="15"/>
      <x:c r="C23" s="15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33" customHeight="1">
      <x:c r="A25" s="3" t="str">
        <x:v>Explain in 1–2 sentences: Why does total return differ from the percentage change in NAV?</x:v>
      </x:c>
      <x:c r="B25" s="3"/>
      <x:c r="C25" s="3"/>
      <x:c r="D25" s="3"/>
      <x:c r="E25" s="3"/>
      <x:c r="F25" s="3"/>
      <x:c r="G25" s="3"/>
    </x:row>
    <x:row r="26" ht="48" customHeight="1">
      <x:c r="A26" s="16" t="str"/>
      <x:c r="B26" s="3"/>
      <x:c r="C26" s="3"/>
      <x:c r="D26" s="3"/>
      <x:c r="E26" s="3"/>
      <x:c r="F26" s="3"/>
      <x:c r="G26" s="3"/>
    </x:row>
    <x:row r="27" ht="48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30" customHeight="1">
      <x:c r="A29" s="3" t="str">
        <x:v>Source: beginning balances from M04 slide 9; ending balances and cash distributions are a hypothetical classroom scenario.</x:v>
      </x:c>
      <x:c r="B29" s="3"/>
      <x:c r="C29" s="3"/>
      <x:c r="D29" s="3"/>
      <x:c r="E29" s="3"/>
      <x:c r="F29" s="3"/>
      <x:c r="G29" s="3"/>
    </x:row>
  </x:sheetData>
  <x:mergeCells>
    <x:mergeCell ref="A1:G1"/>
    <x:mergeCell ref="A2:G2"/>
    <x:mergeCell ref="A3:G3"/>
    <x:mergeCell ref="F11:G11"/>
    <x:mergeCell ref="F16:G16"/>
    <x:mergeCell ref="A25:G25"/>
    <x:mergeCell ref="A26:G27"/>
    <x:mergeCell ref="A29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0" hidden="0" customWidth="1"/>
    <x:col min="3" max="3" width="23" hidden="0" customWidth="1"/>
    <x:col min="4" max="4" width="27" hidden="0" customWidth="1"/>
    <x:col min="5" max="5" width="24" hidden="0" customWidth="1"/>
    <x:col min="6" max="6" width="3" hidden="0" customWidth="1"/>
  </x:cols>
  <x:sheetData>
    <x:row r="1" ht="27" customHeight="1">
      <x:c r="A1" s="3"/>
      <x:c r="B1" s="4" t="str">
        <x:v>3. Fees and the holding period</x:v>
      </x:c>
      <x:c r="C1" s="3"/>
      <x:c r="D1" s="3"/>
      <x:c r="E1" s="3"/>
      <x:c r="F1" s="3"/>
    </x:row>
    <x:row r="2" ht="23" customHeight="1">
      <x:c r="A2" s="3"/>
      <x:c r="B2" s="3"/>
      <x:c r="C2" s="3"/>
      <x:c r="D2" s="3"/>
      <x:c r="E2" s="3"/>
      <x:c r="F2" s="3"/>
    </x:row>
    <x:row r="3" ht="55" customHeight="1">
      <x:c r="A3" s="3"/>
      <x:c r="B3" s="3" t="str">
        <x:v>Invest $1,000 in each fund. Both portfolios earn 6% annually before fees. Use the inputs below to calculate the ending values after 1, 3 and 10 years.</x:v>
      </x:c>
      <x:c r="C3" s="3"/>
      <x:c r="D3" s="3"/>
      <x:c r="E3" s="3"/>
      <x:c r="F3" s="3"/>
    </x:row>
    <x:row r="4" ht="23" customHeight="1">
      <x:c r="A4" s="3"/>
      <x:c r="B4" s="3"/>
      <x:c r="C4" s="3"/>
      <x:c r="D4" s="3"/>
      <x:c r="E4" s="3"/>
      <x:c r="F4" s="3"/>
    </x:row>
    <x:row r="5" ht="62" customHeight="1">
      <x:c r="A5" s="3"/>
      <x:c r="B5" s="3" t="str">
        <x:v>Loaded-Up charges a 1.00% annual 12b-1 fee plus 0.75% in other annual expenses. Economy charges a 2.00% front-end load and 0.25% in other annual expenses, with no 12b-1 fee.</x:v>
      </x:c>
      <x:c r="C5" s="3"/>
      <x:c r="D5" s="3"/>
      <x:c r="E5" s="3"/>
      <x:c r="F5" s="3"/>
    </x:row>
    <x:row r="6" ht="23" customHeight="1">
      <x:c r="A6" s="3"/>
      <x:c r="B6" s="3"/>
      <x:c r="C6" s="3"/>
      <x:c r="D6" s="3"/>
      <x:c r="E6" s="3"/>
      <x:c r="F6" s="3"/>
    </x:row>
    <x:row r="7" ht="55" customHeight="1">
      <x:c r="A7" s="3"/>
      <x:c r="B7" s="3" t="str">
        <x:v>For this classroom model, subtract annual fees from the gross annual return, compound annually, and apply the front-end load once. No additional deposits, withdrawals or taxes.</x:v>
      </x:c>
      <x:c r="C7" s="3"/>
      <x:c r="D7" s="3"/>
      <x:c r="E7" s="3"/>
      <x:c r="F7" s="3"/>
    </x:row>
    <x:row r="8" ht="23" customHeight="1">
      <x:c r="A8" s="3"/>
      <x:c r="B8" s="3"/>
      <x:c r="C8" s="3"/>
      <x:c r="D8" s="3"/>
      <x:c r="E8" s="3"/>
      <x:c r="F8" s="3"/>
    </x:row>
    <x:row r="9" ht="48" customHeight="1">
      <x:c r="A9" s="3"/>
      <x:c r="B9" s="3" t="str">
        <x:v>Here, “other annual expenses” EXCLUDES 12b-1 fees. A published TOTAL expense ratio includes them—do not subtract them twice when researching real funds.</x:v>
      </x:c>
      <x:c r="C9" s="3"/>
      <x:c r="D9" s="3"/>
      <x:c r="E9" s="3"/>
      <x:c r="F9" s="3"/>
    </x:row>
    <x:row r="10" ht="23" customHeight="1">
      <x:c r="A10" s="3"/>
      <x:c r="B10" s="3"/>
      <x:c r="C10" s="3"/>
      <x:c r="D10" s="3"/>
      <x:c r="E10" s="3"/>
      <x:c r="F10" s="3"/>
    </x:row>
    <x:row r="11" ht="46" customHeight="1">
      <x:c r="A11" s="3"/>
      <x:c r="B11" s="9" t="str">
        <x:v>INPUTS</x:v>
      </x:c>
      <x:c r="C11" s="9" t="str">
        <x:v>Annual 12b-1 fee</x:v>
      </x:c>
      <x:c r="D11" s="9" t="str">
        <x:v>Other annual expenses (excluding 12b-1)</x:v>
      </x:c>
      <x:c r="E11" s="9" t="str">
        <x:v>Front-end load</x:v>
      </x:c>
      <x:c r="F11" s="3"/>
    </x:row>
    <x:row r="12" ht="23" customHeight="1">
      <x:c r="A12" s="3"/>
      <x:c r="B12" s="3" t="str">
        <x:v>Loaded-Up Fund</x:v>
      </x:c>
      <x:c r="C12" s="21" t="n">
        <x:v>0.01</x:v>
      </x:c>
      <x:c r="D12" s="21" t="n">
        <x:v>0.0075</x:v>
      </x:c>
      <x:c r="E12" s="21" t="n">
        <x:v>0</x:v>
      </x:c>
      <x:c r="F12" s="3"/>
    </x:row>
    <x:row r="13" ht="23" customHeight="1">
      <x:c r="A13" s="3"/>
      <x:c r="B13" s="3" t="str">
        <x:v>Economy Fund</x:v>
      </x:c>
      <x:c r="C13" s="21" t="n">
        <x:v>0</x:v>
      </x:c>
      <x:c r="D13" s="21" t="n">
        <x:v>0.0025</x:v>
      </x:c>
      <x:c r="E13" s="21" t="n">
        <x:v>0.02</x:v>
      </x:c>
      <x:c r="F13" s="3"/>
    </x:row>
    <x:row r="14" ht="23" customHeight="1">
      <x:c r="A14" s="3"/>
      <x:c r="B14" s="3"/>
      <x:c r="C14" s="3"/>
      <x:c r="D14" s="3"/>
      <x:c r="E14" s="3"/>
      <x:c r="F14" s="3"/>
    </x:row>
    <x:row r="15" ht="23" customHeight="1">
      <x:c r="A15" s="3"/>
      <x:c r="B15" s="3"/>
      <x:c r="C15" s="3" t="str">
        <x:v>Years</x:v>
      </x:c>
      <x:c r="D15" s="3"/>
      <x:c r="E15" s="3"/>
      <x:c r="F15" s="3"/>
    </x:row>
    <x:row r="16" ht="36" customHeight="1">
      <x:c r="A16" s="3"/>
      <x:c r="B16" s="3" t="str">
        <x:v>a.</x:v>
      </x:c>
      <x:c r="C16" s="3" t="n">
        <x:v>1</x:v>
      </x:c>
      <x:c r="D16" s="3" t="str">
        <x:v>Gross annual return, both funds</x:v>
      </x:c>
      <x:c r="E16" s="21" t="n">
        <x:v>0.06</x:v>
      </x:c>
      <x:c r="F16" s="3"/>
    </x:row>
    <x:row r="17" ht="23" customHeight="1">
      <x:c r="A17" s="3"/>
      <x:c r="B17" s="3" t="str">
        <x:v>b.</x:v>
      </x:c>
      <x:c r="C17" s="3" t="n">
        <x:v>3</x:v>
      </x:c>
      <x:c r="D17" s="3"/>
      <x:c r="E17" s="3"/>
      <x:c r="F17" s="3"/>
    </x:row>
    <x:row r="18" ht="23" customHeight="1">
      <x:c r="A18" s="3"/>
      <x:c r="B18" s="3" t="str">
        <x:v>c.</x:v>
      </x:c>
      <x:c r="C18" s="3" t="n">
        <x:v>10</x:v>
      </x:c>
      <x:c r="D18" s="3"/>
      <x:c r="E18" s="3"/>
      <x:c r="F18" s="3"/>
    </x:row>
    <x:row r="19" ht="23" customHeight="1">
      <x:c r="A19" s="3"/>
      <x:c r="B19" s="3" t="str">
        <x:v>Initial investment</x:v>
      </x:c>
      <x:c r="C19" s="5" t="n">
        <x:v>1000</x:v>
      </x:c>
      <x:c r="D19" s="3"/>
      <x:c r="E19" s="3"/>
      <x:c r="F19" s="3"/>
    </x:row>
    <x:row r="20" ht="23" customHeight="1">
      <x:c r="A20" s="3"/>
      <x:c r="B20" s="3"/>
      <x:c r="C20" s="3"/>
      <x:c r="D20" s="3"/>
      <x:c r="E20" s="3"/>
      <x:c r="F20" s="3"/>
    </x:row>
    <x:row r="21" ht="23" customHeight="1">
      <x:c r="A21" s="3"/>
      <x:c r="B21" s="9" t="str">
        <x:v>Years</x:v>
      </x:c>
      <x:c r="C21" s="9" t="str">
        <x:v>Loaded-Up Fund</x:v>
      </x:c>
      <x:c r="D21" s="9" t="str">
        <x:v>Economy Fund</x:v>
      </x:c>
      <x:c r="E21" s="3"/>
      <x:c r="F21" s="3"/>
    </x:row>
    <x:row r="22" ht="23" customHeight="1">
      <x:c r="A22" s="3"/>
      <x:c r="B22" s="3" t="n">
        <x:f>C16</x:f>
        <x:v>1</x:v>
      </x:c>
      <x:c r="C22" s="7"/>
      <x:c r="D22" s="7"/>
      <x:c r="E22" s="3"/>
      <x:c r="F22" s="3"/>
    </x:row>
    <x:row r="23" ht="23" customHeight="1">
      <x:c r="A23" s="3"/>
      <x:c r="B23" s="3" t="n">
        <x:f>C17</x:f>
        <x:v>3</x:v>
      </x:c>
      <x:c r="C23" s="7"/>
      <x:c r="D23" s="7"/>
      <x:c r="E23" s="3"/>
      <x:c r="F23" s="3"/>
    </x:row>
    <x:row r="24" ht="23" customHeight="1">
      <x:c r="A24" s="3"/>
      <x:c r="B24" s="3" t="n">
        <x:f>C18</x:f>
        <x:v>10</x:v>
      </x:c>
      <x:c r="C24" s="7"/>
      <x:c r="D24" s="7"/>
      <x:c r="E24" s="3"/>
      <x:c r="F24" s="3"/>
    </x:row>
    <x:row r="25" ht="23" customHeight="1">
      <x:c r="A25" s="3"/>
      <x:c r="B25" s="3"/>
      <x:c r="C25" s="3"/>
      <x:c r="D25" s="3"/>
      <x:c r="E25" s="3"/>
      <x:c r="F25" s="3"/>
    </x:row>
    <x:row r="26" ht="36" customHeight="1">
      <x:c r="A26" s="3"/>
      <x:c r="B26" s="3" t="str">
        <x:v>Does the preferred fund change with the holding period? Explain why in 1–2 sentences.</x:v>
      </x:c>
      <x:c r="C26" s="3"/>
      <x:c r="D26" s="3"/>
      <x:c r="E26" s="3"/>
      <x:c r="F26" s="3"/>
    </x:row>
    <x:row r="27" ht="48" customHeight="1">
      <x:c r="A27" s="3"/>
      <x:c r="B27" s="16" t="str"/>
      <x:c r="C27" s="3"/>
      <x:c r="D27" s="3"/>
      <x:c r="E27" s="3"/>
      <x:c r="F27" s="3"/>
    </x:row>
    <x:row r="28" ht="48" customHeight="1">
      <x:c r="A28" s="3"/>
      <x:c r="B28" s="3"/>
      <x:c r="C28" s="3"/>
      <x:c r="D28" s="3"/>
      <x:c r="E28" s="3"/>
      <x:c r="F28" s="3"/>
    </x:row>
    <x:row r="29" ht="23" customHeight="1">
      <x:c r="A29" s="3"/>
      <x:c r="B29" s="3"/>
      <x:c r="C29" s="3"/>
      <x:c r="D29" s="3"/>
      <x:c r="E29" s="3"/>
      <x:c r="F29" s="3"/>
    </x:row>
    <x:row r="30" ht="47" customHeight="1">
      <x:c r="A30" s="3"/>
      <x:c r="B30" s="3" t="str">
        <x:v>Calculation guide: Amount invested after the load × (1 + Gross return − 12b-1 fee − Other annual expenses) raised to Years.</x:v>
      </x:c>
      <x:c r="C30" s="3"/>
      <x:c r="D30" s="3"/>
      <x:c r="E30" s="3"/>
      <x:c r="F30" s="3"/>
    </x:row>
    <x:row r="31" ht="23" customHeight="1">
      <x:c r="A31" s="3"/>
      <x:c r="B31" s="3"/>
      <x:c r="C31" s="3"/>
      <x:c r="D31" s="3"/>
      <x:c r="E31" s="3"/>
      <x:c r="F31" s="3"/>
    </x:row>
    <x:row r="32" ht="34" customHeight="1">
      <x:c r="A32" s="3"/>
      <x:c r="B32" s="3" t="str">
        <x:v>Source: existing Loaded-Up/Economy classroom problem; M04 slides 11–14. Use this tab for the cumulative-fee analysis.</x:v>
      </x:c>
      <x:c r="C32" s="3"/>
      <x:c r="D32" s="3"/>
      <x:c r="E32" s="3"/>
      <x:c r="F32" s="3"/>
    </x:row>
  </x:sheetData>
  <x:mergeCells>
    <x:mergeCell ref="B1:E1"/>
    <x:mergeCell ref="B3:E3"/>
    <x:mergeCell ref="B5:E5"/>
    <x:mergeCell ref="B7:E7"/>
    <x:mergeCell ref="B9:E9"/>
    <x:mergeCell ref="B26:E26"/>
    <x:mergeCell ref="B27:E28"/>
    <x:mergeCell ref="B30:E30"/>
    <x:mergeCell ref="B32:E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49" hidden="0" customWidth="1"/>
    <x:col min="3" max="3" width="43" hidden="0" customWidth="1"/>
    <x:col min="4" max="4" width="43" hidden="0" customWidth="1"/>
  </x:cols>
  <x:sheetData>
    <x:row r="1" ht="28" customHeight="1">
      <x:c r="A1" s="3"/>
      <x:c r="B1" s="4" t="str">
        <x:v>4. Compare two funds: FSKAX and VTI</x:v>
      </x:c>
      <x:c r="C1" s="3"/>
      <x:c r="D1" s="3"/>
    </x:row>
    <x:row r="2" ht="48" customHeight="1">
      <x:c r="A2" s="3"/>
      <x:c r="B2" s="3" t="str">
        <x:v>Compare one mutual fund and one ETF with broad U.S. stock-market exposure. Use FactSet for discovery and issuer documents to verify your findings. Keep answers brief.</x:v>
      </x:c>
      <x:c r="C2" s="3"/>
      <x:c r="D2" s="3"/>
    </x:row>
    <x:row r="3" ht="23" customHeight="1">
      <x:c r="A3" s="3"/>
      <x:c r="B3" s="3"/>
      <x:c r="C3" s="3"/>
      <x:c r="D3" s="3"/>
    </x:row>
    <x:row r="4" ht="31" customHeight="1">
      <x:c r="A4" s="3"/>
      <x:c r="B4" s="9" t="str">
        <x:v>Research field</x:v>
      </x:c>
      <x:c r="C4" s="9" t="str">
        <x:v>Mutual fund — FSKAX</x:v>
      </x:c>
      <x:c r="D4" s="9" t="str">
        <x:v>ETF — VTI</x:v>
      </x:c>
    </x:row>
    <x:row r="5" ht="35" customHeight="1">
      <x:c r="A5" s="3"/>
      <x:c r="B5" s="3" t="str">
        <x:v>Fund name</x:v>
      </x:c>
      <x:c r="C5" s="16"/>
      <x:c r="D5" s="16"/>
    </x:row>
    <x:row r="6" ht="48" customHeight="1">
      <x:c r="A6" s="3"/>
      <x:c r="B6" s="3" t="str">
        <x:v>Investment objective (your words)</x:v>
      </x:c>
      <x:c r="C6" s="16"/>
      <x:c r="D6" s="16"/>
    </x:row>
    <x:row r="7" ht="64" customHeight="1">
      <x:c r="A7" s="3"/>
      <x:c r="B7" s="3" t="str">
        <x:v>Benchmark index (exact name)</x:v>
      </x:c>
      <x:c r="C7" s="16"/>
      <x:c r="D7" s="16"/>
    </x:row>
    <x:row r="8" ht="35" customHeight="1">
      <x:c r="A8" s="3"/>
      <x:c r="B8" s="3" t="str">
        <x:v>Active or passive management</x:v>
      </x:c>
      <x:c r="C8" s="16"/>
      <x:c r="D8" s="16"/>
    </x:row>
    <x:row r="9" ht="35" customHeight="1">
      <x:c r="A9" s="3"/>
      <x:c r="B9" s="3" t="str">
        <x:v>Total annual expense ratio (%)</x:v>
      </x:c>
      <x:c r="C9" s="22"/>
      <x:c r="D9" s="22"/>
    </x:row>
    <x:row r="10" ht="35" customHeight="1">
      <x:c r="A10" s="3"/>
      <x:c r="B10" s="3" t="str">
        <x:v>Front-end sales load (%)</x:v>
      </x:c>
      <x:c r="C10" s="22"/>
      <x:c r="D10" s="22"/>
    </x:row>
    <x:row r="11" ht="66" customHeight="1">
      <x:c r="A11" s="3"/>
      <x:c r="B11" s="3" t="str">
        <x:v>Top three holdings (names)</x:v>
      </x:c>
      <x:c r="C11" s="16"/>
      <x:c r="D11" s="16"/>
    </x:row>
    <x:row r="12" ht="68" customHeight="1">
      <x:c r="A12" s="3"/>
      <x:c r="B12" s="3" t="str">
        <x:v>When can you trade, and how is the price set?</x:v>
      </x:c>
      <x:c r="C12" s="16"/>
      <x:c r="D12" s="16"/>
    </x:row>
    <x:row r="13" ht="86" customHeight="1">
      <x:c r="A13" s="3"/>
      <x:c r="B13" s="3" t="str">
        <x:v>Source link(s): issuer fact sheet / prospectus</x:v>
      </x:c>
      <x:c r="C13" s="16"/>
      <x:c r="D13" s="16"/>
    </x:row>
    <x:row r="14" ht="77" customHeight="1">
      <x:c r="A14" s="3"/>
      <x:c r="B14" s="3" t="str">
        <x:v>Document or data dates; note the holdings date</x:v>
      </x:c>
      <x:c r="C14" s="16"/>
      <x:c r="D14" s="16"/>
    </x:row>
    <x:row r="15" ht="23" customHeight="1">
      <x:c r="A15" s="3"/>
      <x:c r="B15" s="3"/>
      <x:c r="C15" s="3"/>
      <x:c r="D15" s="3"/>
    </x:row>
    <x:row r="16" ht="53" customHeight="1">
      <x:c r="A16" s="3"/>
      <x:c r="B16" s="3" t="str">
        <x:v>Use the total expense ratio once; do not add 12b-1 fees again. A sales load is separate. Record the reported fee basis (gross/net) if it matters. A broker’s transaction fee is not a fund sales load.</x:v>
      </x:c>
      <x:c r="C16" s="3"/>
      <x:c r="D16" s="3"/>
    </x:row>
    <x:row r="17" ht="23" customHeight="1">
      <x:c r="A17" s="3"/>
      <x:c r="B17" s="3"/>
      <x:c r="C17" s="3"/>
      <x:c r="D17" s="3"/>
    </x:row>
    <x:row r="18" ht="44" customHeight="1">
      <x:c r="A18" s="3"/>
      <x:c r="B18" s="3" t="str">
        <x:v>1. An investor wants to trade at 11 a.m. Which fund structure supports that, and could its trading price differ from NAV?</x:v>
      </x:c>
      <x:c r="C18" s="3"/>
      <x:c r="D18" s="3"/>
    </x:row>
    <x:row r="19" ht="45" customHeight="1">
      <x:c r="A19" s="3"/>
      <x:c r="B19" s="16" t="str"/>
      <x:c r="C19" s="3"/>
      <x:c r="D19" s="3"/>
    </x:row>
    <x:row r="20" ht="45" customHeight="1">
      <x:c r="A20" s="3"/>
      <x:c r="B20" s="3"/>
      <x:c r="C20" s="3"/>
      <x:c r="D20" s="3"/>
    </x:row>
    <x:row r="21" ht="23" customHeight="1">
      <x:c r="A21" s="3"/>
      <x:c r="B21" s="3"/>
      <x:c r="C21" s="3"/>
      <x:c r="D21" s="3"/>
    </x:row>
    <x:row r="22" ht="44" customHeight="1">
      <x:c r="A22" s="3"/>
      <x:c r="B22" s="3" t="str">
        <x:v>2. Can two funds with different structures own similar investments? Use your findings as evidence.</x:v>
      </x:c>
      <x:c r="C22" s="3"/>
      <x:c r="D22" s="3"/>
    </x:row>
    <x:row r="23" ht="45" customHeight="1">
      <x:c r="A23" s="3"/>
      <x:c r="B23" s="16" t="str"/>
      <x:c r="C23" s="3"/>
      <x:c r="D23" s="3"/>
    </x:row>
    <x:row r="24" ht="45" customHeight="1">
      <x:c r="A24" s="3"/>
      <x:c r="B24" s="3"/>
      <x:c r="C24" s="3"/>
      <x:c r="D24" s="3"/>
    </x:row>
    <x:row r="25" ht="23" customHeight="1">
      <x:c r="A25" s="3"/>
      <x:c r="B25" s="3"/>
      <x:c r="C25" s="3"/>
      <x:c r="D25" s="3"/>
    </x:row>
    <x:row r="26" ht="44" customHeight="1">
      <x:c r="A26" s="3"/>
      <x:c r="B26" s="3" t="str">
        <x:v>3. For a long-term investor seeking broad U.S. stock exposure, which would you choose? Give two evidence-based reasons and one limitation.</x:v>
      </x:c>
      <x:c r="C26" s="3"/>
      <x:c r="D26" s="3"/>
    </x:row>
    <x:row r="27" ht="45" customHeight="1">
      <x:c r="A27" s="3"/>
      <x:c r="B27" s="16" t="str"/>
      <x:c r="C27" s="3"/>
      <x:c r="D27" s="3"/>
    </x:row>
    <x:row r="28" ht="45" customHeight="1">
      <x:c r="A28" s="3"/>
      <x:c r="B28" s="3"/>
      <x:c r="C28" s="3"/>
      <x:c r="D28" s="3"/>
    </x:row>
    <x:row r="29" ht="23" customHeight="1">
      <x:c r="A29" s="3"/>
      <x:c r="B29" s="3"/>
      <x:c r="C29" s="3"/>
      <x:c r="D29" s="3"/>
    </x:row>
    <x:row r="30" ht="54" customHeight="1">
      <x:c r="A30" s="3"/>
      <x:c r="B30" s="3" t="str">
        <x:v>Research starting points: search FSKAX at Fidelity and VTI at Vanguard. In FactSet, use the fund overview and the issuer website link. Verify fees in the prospectus and holdings in a dated issuer report.</x:v>
      </x:c>
      <x:c r="C30" s="3"/>
      <x:c r="D30" s="3"/>
    </x:row>
    <x:row r="31" ht="23" customHeight="1">
      <x:c r="A31" s="3"/>
      <x:c r="B31" s="3"/>
      <x:c r="C31" s="3"/>
      <x:c r="D31" s="3"/>
    </x:row>
    <x:row r="32" ht="42" customHeight="1">
      <x:c r="A32" s="3"/>
      <x:c r="B32" s="3" t="str">
        <x:v>Different source dates can produce different holdings or benchmark names. Cite what you used. Do not choose a fund solely because its structure is an ETF or a mutual fund.</x:v>
      </x:c>
      <x:c r="C32" s="3"/>
      <x:c r="D32" s="3"/>
    </x:row>
    <x:row r="33" ht="23" customHeight="1">
      <x:c r="A33" s="3"/>
      <x:c r="B33" s="3"/>
      <x:c r="C33" s="3"/>
      <x:c r="D33" s="3"/>
    </x:row>
    <x:row r="34" ht="36" customHeight="1">
      <x:c r="A34" s="3"/>
      <x:c r="B34" s="3" t="str">
        <x:v>Complete the fee-impact calculations on the Management Fees Problem tab. No additional risk ratios or cumulative-fee model are required here.</x:v>
      </x:c>
      <x:c r="C34" s="3"/>
      <x:c r="D34" s="3"/>
    </x:row>
  </x:sheetData>
  <x:mergeCells>
    <x:mergeCell ref="B1:D1"/>
    <x:mergeCell ref="B2:D2"/>
    <x:mergeCell ref="B16:D16"/>
    <x:mergeCell ref="B18:D18"/>
    <x:mergeCell ref="B19:D20"/>
    <x:mergeCell ref="B22:D22"/>
    <x:mergeCell ref="B23:D24"/>
    <x:mergeCell ref="B26:D26"/>
    <x:mergeCell ref="B27:D28"/>
    <x:mergeCell ref="B30:D30"/>
    <x:mergeCell ref="B32:D32"/>
    <x:mergeCell ref="B34:D34"/>
  </x:mergeCells>
  <x:pageMargins left="0.7" right="0.7" top="0.75" bottom="0.75" header="0.3" footer="0.3"/>
</x:worksheet>
</file>