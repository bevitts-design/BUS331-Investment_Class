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ft Analysis" sheetId="1" state="visible" r:id="rId1"/>
    <sheet xmlns:r="http://schemas.openxmlformats.org/officeDocument/2006/relationships" name="Rebalancing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B2A4A"/>
      <sz val="8"/>
    </font>
    <font>
      <name val="Arial"/>
      <i val="1"/>
      <color rgb="00000000"/>
      <sz val="8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1B2A4A"/>
      <sz val="9"/>
    </font>
    <font>
      <name val="Arial"/>
      <color rgb="000000FF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595959"/>
      <sz val="8"/>
    </font>
    <font>
      <name val="Arial"/>
      <b val="1"/>
      <color rgb="00FFFFFF"/>
      <sz val="12"/>
    </font>
    <font>
      <name val="Arial"/>
      <i val="1"/>
      <sz val="8"/>
    </font>
    <font>
      <name val="Arial"/>
      <color rgb="00008000"/>
      <sz val="9"/>
    </font>
    <font>
      <name val="Arial"/>
      <i val="1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ADCFC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7F9FC"/>
      </patternFill>
    </fill>
    <fill>
      <patternFill patternType="solid">
        <fgColor rgb="00A07D10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center" vertical="center"/>
    </xf>
    <xf numFmtId="9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166" fontId="8" fillId="5" borderId="0" applyAlignment="1" pivotButton="0" quotePrefix="0" xfId="0">
      <alignment horizontal="center" vertical="center"/>
    </xf>
    <xf numFmtId="49" fontId="8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center" vertical="center"/>
    </xf>
    <xf numFmtId="9" fontId="7" fillId="6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0" fontId="9" fillId="2" borderId="0" pivotButton="0" quotePrefix="0" xfId="0"/>
    <xf numFmtId="9" fontId="9" fillId="2" borderId="0" applyAlignment="1" pivotButton="0" quotePrefix="0" xfId="0">
      <alignment horizontal="center" vertical="center"/>
    </xf>
    <xf numFmtId="165" fontId="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0" fillId="8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wrapText="1"/>
    </xf>
    <xf numFmtId="9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3" fontId="8" fillId="5" borderId="0" applyAlignment="1" pivotButton="0" quotePrefix="0" xfId="0">
      <alignment horizontal="center" vertical="center"/>
    </xf>
    <xf numFmtId="9" fontId="13" fillId="6" borderId="0" applyAlignment="1" pivotButton="0" quotePrefix="0" xfId="0">
      <alignment horizontal="center" vertical="center"/>
    </xf>
    <xf numFmtId="165" fontId="13" fillId="6" borderId="0" applyAlignment="1" pivotButton="0" quotePrefix="0" xfId="0">
      <alignment horizontal="center" vertical="center"/>
    </xf>
    <xf numFmtId="164" fontId="13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14" customWidth="1" min="11" max="11"/>
  </cols>
  <sheetData>
    <row r="1" ht="34" customHeight="1">
      <c r="A1" s="1" t="inlineStr">
        <is>
          <t>BUS 331 — PORTFOLIO DRIFT &amp; REBALANCING ACTIVITY</t>
        </is>
      </c>
    </row>
    <row r="2" ht="16" customHeight="1">
      <c r="A2" s="2" t="inlineStr">
        <is>
          <t>Ch. 5–7: Mean-Variance Optimization  |  5-Asset Portfolio  |  Initial Value: $100,000  |  One-Year Later</t>
        </is>
      </c>
    </row>
    <row r="3" ht="24" customHeight="1">
      <c r="A3" s="3" t="inlineStr">
        <is>
          <t>CONCEPT:  When asset prices change, weights drift away from their efficient-frontier targets. Rebalancing restores the risk profile the investor chose. This exercise links portfolio theory (Ch. 5) to practical implementation (Ch. 7).</t>
        </is>
      </c>
    </row>
    <row r="4" ht="6" customHeight="1"/>
    <row r="5" ht="20" customHeight="1">
      <c r="A5" s="4" t="inlineStr">
        <is>
          <t xml:space="preserve">  SECTION A — PORTFOLIO SNAPSHOT: One Year After Initial Investment</t>
        </is>
      </c>
    </row>
    <row r="6" ht="30" customHeight="1">
      <c r="A6" s="5" t="inlineStr">
        <is>
          <t>Asset</t>
        </is>
      </c>
      <c r="B6" s="5" t="inlineStr">
        <is>
          <t>Ticker</t>
        </is>
      </c>
      <c r="C6" s="5" t="inlineStr">
        <is>
          <t>Target
Weight</t>
        </is>
      </c>
      <c r="D6" s="5" t="inlineStr">
        <is>
          <t>Initial
Value ($)</t>
        </is>
      </c>
      <c r="E6" s="5" t="inlineStr">
        <is>
          <t>Shares
Held</t>
        </is>
      </c>
      <c r="F6" s="5" t="inlineStr">
        <is>
          <t>Current
Price ($)</t>
        </is>
      </c>
      <c r="G6" s="5" t="inlineStr">
        <is>
          <t>Current
Value ($)</t>
        </is>
      </c>
      <c r="H6" s="5" t="inlineStr">
        <is>
          <t>Actual
Weight</t>
        </is>
      </c>
      <c r="I6" s="5" t="inlineStr">
        <is>
          <t>Drift
(Actual−Target)</t>
        </is>
      </c>
      <c r="J6" s="5" t="inlineStr">
        <is>
          <t>Over/Under
Weight</t>
        </is>
      </c>
      <c r="K6" s="5" t="inlineStr">
        <is>
          <t>$ Drift from
Target</t>
        </is>
      </c>
    </row>
    <row r="7" ht="17" customHeight="1">
      <c r="A7" s="6" t="inlineStr">
        <is>
          <t>Apple Inc.</t>
        </is>
      </c>
      <c r="B7" s="7" t="inlineStr">
        <is>
          <t>AAPL</t>
        </is>
      </c>
      <c r="C7" s="8" t="n">
        <v>0.25</v>
      </c>
      <c r="D7" s="9" t="n">
        <v>25000</v>
      </c>
      <c r="E7" s="9" t="n">
        <v>132</v>
      </c>
      <c r="F7" s="10" t="n">
        <v>227</v>
      </c>
      <c r="G7" s="11" t="n"/>
      <c r="H7" s="12" t="n"/>
      <c r="I7" s="12" t="n"/>
      <c r="J7" s="13" t="n"/>
      <c r="K7" s="11" t="n"/>
    </row>
    <row r="8" ht="17" customHeight="1">
      <c r="A8" s="14" t="inlineStr">
        <is>
          <t>Microsoft Corp.</t>
        </is>
      </c>
      <c r="B8" s="15" t="inlineStr">
        <is>
          <t>MSFT</t>
        </is>
      </c>
      <c r="C8" s="16" t="n">
        <v>0.2</v>
      </c>
      <c r="D8" s="17" t="n">
        <v>20000</v>
      </c>
      <c r="E8" s="17" t="n">
        <v>57</v>
      </c>
      <c r="F8" s="18" t="n">
        <v>416</v>
      </c>
      <c r="G8" s="11" t="n"/>
      <c r="H8" s="12" t="n"/>
      <c r="I8" s="12" t="n"/>
      <c r="J8" s="13" t="n"/>
      <c r="K8" s="11" t="n"/>
    </row>
    <row r="9" ht="17" customHeight="1">
      <c r="A9" s="6" t="inlineStr">
        <is>
          <t>S&amp;P 500 ETF</t>
        </is>
      </c>
      <c r="B9" s="7" t="inlineStr">
        <is>
          <t>SPY</t>
        </is>
      </c>
      <c r="C9" s="8" t="n">
        <v>0.3</v>
      </c>
      <c r="D9" s="9" t="n">
        <v>30000</v>
      </c>
      <c r="E9" s="9" t="n">
        <v>55</v>
      </c>
      <c r="F9" s="10" t="n">
        <v>598</v>
      </c>
      <c r="G9" s="11" t="n"/>
      <c r="H9" s="12" t="n"/>
      <c r="I9" s="12" t="n"/>
      <c r="J9" s="13" t="n"/>
      <c r="K9" s="11" t="n"/>
    </row>
    <row r="10" ht="17" customHeight="1">
      <c r="A10" s="14" t="inlineStr">
        <is>
          <t>US Agg Bond ETF</t>
        </is>
      </c>
      <c r="B10" s="15" t="inlineStr">
        <is>
          <t>AGG</t>
        </is>
      </c>
      <c r="C10" s="16" t="n">
        <v>0.15</v>
      </c>
      <c r="D10" s="17" t="n">
        <v>15000</v>
      </c>
      <c r="E10" s="17" t="n">
        <v>180</v>
      </c>
      <c r="F10" s="18" t="n">
        <v>97</v>
      </c>
      <c r="G10" s="11" t="n"/>
      <c r="H10" s="12" t="n"/>
      <c r="I10" s="12" t="n"/>
      <c r="J10" s="13" t="n"/>
      <c r="K10" s="11" t="n"/>
    </row>
    <row r="11" ht="17" customHeight="1">
      <c r="A11" s="6" t="inlineStr">
        <is>
          <t>Gold ETF</t>
        </is>
      </c>
      <c r="B11" s="7" t="inlineStr">
        <is>
          <t>GLD</t>
        </is>
      </c>
      <c r="C11" s="8" t="n">
        <v>0.1</v>
      </c>
      <c r="D11" s="9" t="n">
        <v>10000</v>
      </c>
      <c r="E11" s="9" t="n">
        <v>51</v>
      </c>
      <c r="F11" s="10" t="n">
        <v>225</v>
      </c>
      <c r="G11" s="11" t="n"/>
      <c r="H11" s="12" t="n"/>
      <c r="I11" s="12" t="n"/>
      <c r="J11" s="13" t="n"/>
      <c r="K11" s="11" t="n"/>
    </row>
    <row r="12" ht="18" customHeight="1">
      <c r="A12" s="19" t="inlineStr">
        <is>
          <t>TOTALS</t>
        </is>
      </c>
      <c r="C12" s="20" t="n">
        <v>1</v>
      </c>
      <c r="D12" s="21" t="n">
        <v>100000</v>
      </c>
      <c r="G12" s="22" t="n"/>
    </row>
    <row r="13" ht="8" customHeight="1"/>
    <row r="14" ht="20" customHeight="1">
      <c r="A14" s="4" t="inlineStr">
        <is>
          <t xml:space="preserve">  SECTION B — PORTFOLIO STATISTICS: Return, Volatility, Drift Impact</t>
        </is>
      </c>
    </row>
    <row r="15" ht="30" customHeight="1">
      <c r="A15" s="5" t="inlineStr">
        <is>
          <t>Metric</t>
        </is>
      </c>
      <c r="B15" s="5" t="inlineStr">
        <is>
          <t>Value</t>
        </is>
      </c>
      <c r="C15" s="5" t="inlineStr">
        <is>
          <t>Notes / Concept Link</t>
        </is>
      </c>
    </row>
    <row r="16" ht="16" customHeight="1">
      <c r="A16" s="23" t="inlineStr">
        <is>
          <t>Total Portfolio Return (1 year)</t>
        </is>
      </c>
      <c r="B16" s="12" t="n"/>
      <c r="C16" s="24" t="inlineStr">
        <is>
          <t>(Current Value - Initial) / Initial  — same as HPR from Ch. 5</t>
        </is>
      </c>
    </row>
    <row r="17" ht="16" customHeight="1">
      <c r="A17" s="25" t="inlineStr">
        <is>
          <t>Portfolio Gain / (Loss) ($)</t>
        </is>
      </c>
      <c r="B17" s="11" t="n"/>
      <c r="C17" s="26" t="inlineStr">
        <is>
          <t>Dollar P&amp;L over the period</t>
        </is>
      </c>
    </row>
    <row r="18" ht="16" customHeight="1">
      <c r="A18" s="23" t="inlineStr">
        <is>
          <t>Largest Overweight Asset</t>
        </is>
      </c>
      <c r="B18" s="13" t="n"/>
      <c r="C18" s="24" t="inlineStr">
        <is>
          <t>Which position drifted highest above target?</t>
        </is>
      </c>
    </row>
    <row r="19" ht="16" customHeight="1">
      <c r="A19" s="25" t="inlineStr">
        <is>
          <t>Largest Underweight Asset</t>
        </is>
      </c>
      <c r="B19" s="13" t="n"/>
      <c r="C19" s="26" t="inlineStr">
        <is>
          <t>Which position fell furthest below target?</t>
        </is>
      </c>
    </row>
    <row r="20" ht="16" customHeight="1">
      <c r="A20" s="23" t="inlineStr">
        <is>
          <t>Sum of Absolute Drift</t>
        </is>
      </c>
      <c r="B20" s="12" t="n"/>
      <c r="C20" s="24" t="inlineStr">
        <is>
          <t>Total mis-weight; &gt;10% typically triggers rebalance</t>
        </is>
      </c>
    </row>
    <row r="21" ht="8" customHeight="1"/>
    <row r="22" ht="20" customHeight="1">
      <c r="A22" s="4" t="inlineStr">
        <is>
          <t xml:space="preserve">  SECTION C — DISCUSSION QUESTIONS</t>
        </is>
      </c>
    </row>
    <row r="23" ht="28" customHeight="1">
      <c r="A23" s="27" t="inlineStr">
        <is>
          <t>Q1</t>
        </is>
      </c>
      <c r="B23" s="28" t="inlineStr">
        <is>
          <t>Why did your portfolio drift? Which assets outperformed and which underperformed? Relate this to the idea of 'letting winners ride' vs. maintaining a target risk profile.</t>
        </is>
      </c>
    </row>
    <row r="24" ht="16" customHeight="1">
      <c r="A24" s="29" t="n"/>
      <c r="B24" s="30" t="n"/>
    </row>
    <row r="25" ht="16" customHeight="1">
      <c r="A25" s="29" t="n"/>
      <c r="B25" s="30" t="n"/>
    </row>
    <row r="26" ht="16" customHeight="1">
      <c r="A26" s="29" t="n"/>
      <c r="B26" s="30" t="n"/>
    </row>
    <row r="27" ht="28" customHeight="1">
      <c r="A27" s="27" t="inlineStr">
        <is>
          <t>Q2</t>
        </is>
      </c>
      <c r="B27" s="28" t="inlineStr">
        <is>
          <t>Calculate the new portfolio standard deviation if AAPL and MSFT have correlation ρ=0.72 and σ_AAPL=28%, σ_MSFT=24%. Does drift increase or decrease portfolio risk vs. the original target?</t>
        </is>
      </c>
    </row>
    <row r="28" ht="16" customHeight="1">
      <c r="A28" s="29" t="n"/>
      <c r="B28" s="30" t="n"/>
    </row>
    <row r="29" ht="16" customHeight="1">
      <c r="A29" s="29" t="n"/>
      <c r="B29" s="30" t="n"/>
    </row>
    <row r="30" ht="16" customHeight="1">
      <c r="A30" s="29" t="n"/>
      <c r="B30" s="30" t="n"/>
    </row>
    <row r="31" ht="28" customHeight="1">
      <c r="A31" s="27" t="inlineStr">
        <is>
          <t>Q3</t>
        </is>
      </c>
      <c r="B31" s="28" t="inlineStr">
        <is>
          <t>If you DON'T rebalance, what happens to the portfolio's position on the efficient frontier over time? Use a diagram or verbal description.</t>
        </is>
      </c>
    </row>
    <row r="32" ht="16" customHeight="1">
      <c r="A32" s="29" t="n"/>
      <c r="B32" s="30" t="n"/>
    </row>
    <row r="33" ht="16" customHeight="1">
      <c r="A33" s="29" t="n"/>
      <c r="B33" s="30" t="n"/>
    </row>
    <row r="34" ht="16" customHeight="1">
      <c r="A34" s="29" t="n"/>
      <c r="B34" s="30" t="n"/>
    </row>
    <row r="35" ht="28" customHeight="1">
      <c r="A35" s="27" t="inlineStr">
        <is>
          <t>Q4</t>
        </is>
      </c>
      <c r="B35" s="28" t="inlineStr">
        <is>
          <t>What are the tax implications of rebalancing in a taxable account vs. a 401(k)? How might this change your rebalancing decision?</t>
        </is>
      </c>
    </row>
    <row r="36" ht="16" customHeight="1">
      <c r="A36" s="29" t="n"/>
      <c r="B36" s="30" t="n"/>
    </row>
    <row r="37" ht="16" customHeight="1">
      <c r="A37" s="29" t="n"/>
      <c r="B37" s="30" t="n"/>
    </row>
    <row r="38" ht="16" customHeight="1">
      <c r="A38" s="29" t="n"/>
      <c r="B38" s="30" t="n"/>
    </row>
  </sheetData>
  <mergeCells count="28">
    <mergeCell ref="C16:K16"/>
    <mergeCell ref="B30:K30"/>
    <mergeCell ref="B24:K24"/>
    <mergeCell ref="B33:K33"/>
    <mergeCell ref="A1:K1"/>
    <mergeCell ref="B36:K36"/>
    <mergeCell ref="B32:K32"/>
    <mergeCell ref="B26:K26"/>
    <mergeCell ref="B35:K35"/>
    <mergeCell ref="C17:K17"/>
    <mergeCell ref="B25:K25"/>
    <mergeCell ref="B31:K31"/>
    <mergeCell ref="A3:K3"/>
    <mergeCell ref="C19:K19"/>
    <mergeCell ref="B27:K27"/>
    <mergeCell ref="A2:K2"/>
    <mergeCell ref="C18:K18"/>
    <mergeCell ref="A14:K14"/>
    <mergeCell ref="A5:K5"/>
    <mergeCell ref="A22:K22"/>
    <mergeCell ref="C15:K15"/>
    <mergeCell ref="B23:K23"/>
    <mergeCell ref="C20:K20"/>
    <mergeCell ref="B29:K29"/>
    <mergeCell ref="B38:K38"/>
    <mergeCell ref="B34:K34"/>
    <mergeCell ref="B28:K28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</cols>
  <sheetData>
    <row r="1" ht="30" customHeight="1">
      <c r="A1" s="31" t="inlineStr">
        <is>
          <t>REBALANCING TRADE CALCULATOR</t>
        </is>
      </c>
    </row>
    <row r="2" ht="20" customHeight="1">
      <c r="A2" s="32" t="inlineStr">
        <is>
          <t>Rebalancing = selling overweight assets and buying underweight ones to restore target weights.  Use the current portfolio values from the Drift Analysis sheet.</t>
        </is>
      </c>
    </row>
    <row r="3" ht="6" customHeight="1"/>
    <row r="4" ht="20" customHeight="1">
      <c r="A4" s="4" t="inlineStr">
        <is>
          <t xml:space="preserve">  REBALANCING TRADE SCHEDULE</t>
        </is>
      </c>
    </row>
    <row r="5" ht="30" customHeight="1">
      <c r="A5" s="5" t="inlineStr">
        <is>
          <t>Asset</t>
        </is>
      </c>
      <c r="B5" s="5" t="inlineStr">
        <is>
          <t>Target
Weight</t>
        </is>
      </c>
      <c r="C5" s="5" t="inlineStr">
        <is>
          <t>Target
$ Value</t>
        </is>
      </c>
      <c r="D5" s="5" t="inlineStr">
        <is>
          <t>Current
$ Value</t>
        </is>
      </c>
      <c r="E5" s="5" t="inlineStr">
        <is>
          <t>$ Difference
(Trade Needed)</t>
        </is>
      </c>
      <c r="F5" s="5" t="inlineStr">
        <is>
          <t>Current
Price ($)</t>
        </is>
      </c>
      <c r="G5" s="5" t="inlineStr">
        <is>
          <t>Shares to
Buy/(Sell)</t>
        </is>
      </c>
      <c r="H5" s="5" t="inlineStr">
        <is>
          <t>Buy or
Sell?</t>
        </is>
      </c>
      <c r="I5" s="5" t="inlineStr">
        <is>
          <t>Est. Trade
Value ($)</t>
        </is>
      </c>
    </row>
    <row r="6" ht="17" customHeight="1">
      <c r="A6" s="6" t="inlineStr">
        <is>
          <t>Apple Inc.</t>
        </is>
      </c>
      <c r="B6" s="33">
        <f>'Drift Analysis'!C7</f>
        <v/>
      </c>
      <c r="C6" s="11" t="n"/>
      <c r="D6" s="34">
        <f>'Drift Analysis'!G7</f>
        <v/>
      </c>
      <c r="E6" s="11" t="n"/>
      <c r="F6" s="35">
        <f>'Drift Analysis'!F7</f>
        <v/>
      </c>
      <c r="G6" s="36" t="n"/>
      <c r="H6" s="13" t="n"/>
      <c r="I6" s="11" t="n"/>
    </row>
    <row r="7" ht="17" customHeight="1">
      <c r="A7" s="14" t="inlineStr">
        <is>
          <t>Microsoft Corp.</t>
        </is>
      </c>
      <c r="B7" s="37">
        <f>'Drift Analysis'!C8</f>
        <v/>
      </c>
      <c r="C7" s="11" t="n"/>
      <c r="D7" s="38">
        <f>'Drift Analysis'!G8</f>
        <v/>
      </c>
      <c r="E7" s="11" t="n"/>
      <c r="F7" s="39">
        <f>'Drift Analysis'!F8</f>
        <v/>
      </c>
      <c r="G7" s="36" t="n"/>
      <c r="H7" s="13" t="n"/>
      <c r="I7" s="11" t="n"/>
    </row>
    <row r="8" ht="17" customHeight="1">
      <c r="A8" s="6" t="inlineStr">
        <is>
          <t>S&amp;P 500 ETF</t>
        </is>
      </c>
      <c r="B8" s="33">
        <f>'Drift Analysis'!C9</f>
        <v/>
      </c>
      <c r="C8" s="11" t="n"/>
      <c r="D8" s="34">
        <f>'Drift Analysis'!G9</f>
        <v/>
      </c>
      <c r="E8" s="11" t="n"/>
      <c r="F8" s="35">
        <f>'Drift Analysis'!F9</f>
        <v/>
      </c>
      <c r="G8" s="36" t="n"/>
      <c r="H8" s="13" t="n"/>
      <c r="I8" s="11" t="n"/>
    </row>
    <row r="9" ht="17" customHeight="1">
      <c r="A9" s="14" t="inlineStr">
        <is>
          <t>US Agg Bond ETF</t>
        </is>
      </c>
      <c r="B9" s="37">
        <f>'Drift Analysis'!C10</f>
        <v/>
      </c>
      <c r="C9" s="11" t="n"/>
      <c r="D9" s="38">
        <f>'Drift Analysis'!G10</f>
        <v/>
      </c>
      <c r="E9" s="11" t="n"/>
      <c r="F9" s="39">
        <f>'Drift Analysis'!F10</f>
        <v/>
      </c>
      <c r="G9" s="36" t="n"/>
      <c r="H9" s="13" t="n"/>
      <c r="I9" s="11" t="n"/>
    </row>
    <row r="10" ht="17" customHeight="1">
      <c r="A10" s="6" t="inlineStr">
        <is>
          <t>Gold ETF</t>
        </is>
      </c>
      <c r="B10" s="33">
        <f>'Drift Analysis'!C11</f>
        <v/>
      </c>
      <c r="C10" s="11" t="n"/>
      <c r="D10" s="34">
        <f>'Drift Analysis'!G11</f>
        <v/>
      </c>
      <c r="E10" s="11" t="n"/>
      <c r="F10" s="35">
        <f>'Drift Analysis'!F11</f>
        <v/>
      </c>
      <c r="G10" s="36" t="n"/>
      <c r="H10" s="13" t="n"/>
      <c r="I10" s="11" t="n"/>
    </row>
    <row r="11" ht="18" customHeight="1">
      <c r="A11" s="40" t="inlineStr">
        <is>
          <t>TOTALS</t>
        </is>
      </c>
      <c r="B11" s="41" t="n"/>
      <c r="C11" s="42" t="inlineStr">
        <is>
          <t>Sum of trades should ≈ $0 (sells fund buys)</t>
        </is>
      </c>
      <c r="I11" s="41" t="n"/>
    </row>
  </sheetData>
  <mergeCells count="4">
    <mergeCell ref="A1:I1"/>
    <mergeCell ref="C11:H1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2026-06-07T01:56:41Z</dcterms:created>
  <dcterms:modified xmlns:dcterms="http://purl.org/dc/terms/" xmlns:xsi="http://www.w3.org/2001/XMLSchema-instance" xsi:type="dcterms:W3CDTF">2026-06-07T01:56:41Z</dcterms:modified>
</cp:coreProperties>
</file>