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84073d8a304e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lide model" sheetId="1" r:id="R01cd2fb84b854bd9"/>
    <x:sheet xmlns:r="http://schemas.openxmlformats.org/officeDocument/2006/relationships" name="Worked example" sheetId="2" r:id="R848bf33af48d43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"/>
    <x:numFmt numFmtId="202" formatCode="0.000000"/>
    <x:numFmt numFmtId="203" formatCode="0.0000"/>
  </x:numFmts>
  <x:fonts count="5">
    <x:font>
      <x:sz val="11"/>
      <x:name val="Carlito"/>
    </x:font>
    <x:font>
      <x:sz val="11"/>
      <x:color rgb="FF0A2540"/>
      <x:name val="Arial"/>
    </x:font>
    <x:font>
      <x:b/>
      <x:sz val="17"/>
      <x:color rgb="FF0A2540"/>
      <x:name val="Arial"/>
    </x:font>
    <x:font>
      <x:sz val="11"/>
      <x:color rgb="FF0000FF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0A2540"/>
      </x:patternFill>
    </x:fill>
    <x:fill>
      <x:patternFill patternType="solid">
        <x:fgColor rgb="FF1B6F73"/>
      </x:patternFill>
    </x:fill>
    <x:fill>
      <x:patternFill patternType="solid">
        <x:fgColor rgb="FFF1F5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200" fontId="3" fillId="2" borderId="0" xfId="0" applyNumberFormat="1" applyFont="1" applyFill="1" applyBorder="1"/>
    <x:xf numFmtId="201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0" fontId="3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200" fontId="1" fillId="5" borderId="0" xfId="0" applyNumberFormat="1" applyFont="1" applyFill="1" applyBorder="1"/>
    <x:xf numFmtId="202" fontId="1" fillId="5" borderId="0" xfId="0" applyNumberFormat="1" applyFont="1" applyFill="1" applyBorder="1"/>
    <x:xf numFmtId="0" fontId="1" fillId="5" borderId="0" xfId="0" applyNumberFormat="1" applyFont="1" applyFill="1" applyBorder="1"/>
    <x:xf numFmtId="203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DDEFEA"/>
        </x:patternFill>
      </x:fill>
    </x:dxf>
    <x:dxf>
      <x:fill>
        <x:patternFill patternType="solid">
          <x:bgColor rgb="FFDDEF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16370a6cc841cf" /><Relationship Type="http://schemas.openxmlformats.org/officeDocument/2006/relationships/theme" Target="/xl/theme/theme1.xml" Id="Rf75198d5f619456d" /><Relationship Type="http://schemas.openxmlformats.org/officeDocument/2006/relationships/sharedStrings" Target="/xl/sharedStrings.xml" Id="R88eaf5d7ac1c4c88" /><Relationship Type="http://schemas.openxmlformats.org/officeDocument/2006/relationships/worksheet" Target="/xl/worksheets/sheet1.xml" Id="R01cd2fb84b854bd9" /><Relationship Type="http://schemas.openxmlformats.org/officeDocument/2006/relationships/worksheet" Target="/xl/worksheets/sheet2.xml" Id="R848bf33af48d43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9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" hidden="0" customWidth="1"/>
    <x:col min="10" max="10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21"/>
    </x:row>
    <x:row r="2">
      <x:c r="A2" s="1"/>
      <x:c r="B2" s="2" t="str">
        <x:v>Chapter 6: Slide model</x:v>
      </x:c>
      <x:c r="C2" s="1"/>
      <x:c r="D2" s="1"/>
      <x:c r="E2" s="1"/>
      <x:c r="F2" s="1"/>
      <x:c r="G2" s="1"/>
      <x:c r="H2" s="1"/>
      <x:c r="I2" s="1"/>
      <x:c r="J2" s="2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21"/>
    </x:row>
    <x:row r="4">
      <x:c r="A4" s="1"/>
      <x:c r="B4" s="1" t="str">
        <x:v>Hypothetical annual inputs</x:v>
      </x:c>
      <x:c r="C4" s="1"/>
      <x:c r="D4" s="1"/>
      <x:c r="E4" s="1"/>
      <x:c r="F4" s="1"/>
      <x:c r="G4" s="1"/>
      <x:c r="H4" s="1"/>
      <x:c r="I4" s="1"/>
      <x:c r="J4" s="21"/>
    </x:row>
    <x:row r="5">
      <x:c r="A5" s="1"/>
      <x:c r="B5" s="1" t="str">
        <x:v>Risky expected return</x:v>
      </x:c>
      <x:c r="C5" s="7" t="n">
        <x:v>0.1</x:v>
      </x:c>
      <x:c r="D5" s="1"/>
      <x:c r="E5" s="1"/>
      <x:c r="F5" s="1"/>
      <x:c r="G5" s="1"/>
      <x:c r="H5" s="1"/>
      <x:c r="I5" s="1"/>
      <x:c r="J5" s="21" t="str">
        <x:v>Change yellow inputs to test an assumption.</x:v>
      </x:c>
    </x:row>
    <x:row r="6">
      <x:c r="A6" s="1"/>
      <x:c r="B6" s="1" t="str">
        <x:v>Risky standard deviation</x:v>
      </x:c>
      <x:c r="C6" s="7" t="n">
        <x:v>0.2</x:v>
      </x:c>
      <x:c r="D6" s="1"/>
      <x:c r="E6" s="1"/>
      <x:c r="F6" s="1"/>
      <x:c r="G6" s="1"/>
      <x:c r="H6" s="1"/>
      <x:c r="I6" s="1"/>
      <x:c r="J6" s="21" t="str">
        <x:v>T-bills have zero risk over this holding period.</x:v>
      </x:c>
    </x:row>
    <x:row r="7">
      <x:c r="A7" s="1"/>
      <x:c r="B7" s="1" t="str">
        <x:v>T-bill return</x:v>
      </x:c>
      <x:c r="C7" s="7" t="n">
        <x:v>0.03</x:v>
      </x:c>
      <x:c r="D7" s="1"/>
      <x:c r="E7" s="1"/>
      <x:c r="F7" s="1"/>
      <x:c r="G7" s="1"/>
      <x:c r="H7" s="1"/>
      <x:c r="I7" s="1"/>
      <x:c r="J7" s="21" t="str">
        <x:v>No borrowing or shorting: risky weight is between 0% and 100%.</x:v>
      </x:c>
    </x:row>
    <x:row r="8">
      <x:c r="A8" s="1"/>
      <x:c r="B8" s="1" t="str">
        <x:v>Risk aversion A</x:v>
      </x:c>
      <x:c r="C8" s="8" t="n">
        <x:v>4</x:v>
      </x:c>
      <x:c r="D8" s="1"/>
      <x:c r="E8" s="1"/>
      <x:c r="F8" s="1"/>
      <x:c r="G8" s="1"/>
      <x:c r="H8" s="1"/>
      <x:c r="I8" s="1"/>
      <x:c r="J8" s="21" t="str">
        <x:v>Utility is a preference score, not a promised return.</x:v>
      </x:c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2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21"/>
    </x:row>
    <x:row r="11">
      <x:c r="A11" s="1"/>
      <x:c r="B11" s="1" t="str">
        <x:v>Compare allocation choices</x:v>
      </x:c>
      <x:c r="C11" s="1"/>
      <x:c r="D11" s="1"/>
      <x:c r="E11" s="1"/>
      <x:c r="F11" s="1"/>
      <x:c r="G11" s="1"/>
      <x:c r="H11" s="1"/>
      <x:c r="I11" s="1"/>
      <x:c r="J11" s="21"/>
    </x:row>
    <x:row r="12">
      <x:c r="A12" s="1"/>
      <x:c r="B12" s="1" t="str">
        <x:v>Calculate each row, identify the highest utility, and explain the tradeoff.</x:v>
      </x:c>
      <x:c r="C12" s="1"/>
      <x:c r="D12" s="1"/>
      <x:c r="E12" s="1"/>
      <x:c r="F12" s="1"/>
      <x:c r="G12" s="1"/>
      <x:c r="H12" s="1"/>
      <x:c r="I12" s="1"/>
      <x:c r="J12" s="2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21"/>
    </x:row>
    <x:row r="14" ht="30" customHeight="1">
      <x:c r="A14" s="1"/>
      <x:c r="B14" s="11" t="str">
        <x:v>Risky weight y</x:v>
      </x:c>
      <x:c r="C14" s="11" t="str">
        <x:v>T-bill weight</x:v>
      </x:c>
      <x:c r="D14" s="11" t="str">
        <x:v>Expected return</x:v>
      </x:c>
      <x:c r="E14" s="11" t="str">
        <x:v>Standard deviation</x:v>
      </x:c>
      <x:c r="F14" s="11" t="str">
        <x:v>Variance</x:v>
      </x:c>
      <x:c r="G14" s="11" t="str">
        <x:v>Risk penalty</x:v>
      </x:c>
      <x:c r="H14" s="11" t="str">
        <x:v>Utility score</x:v>
      </x:c>
      <x:c r="I14" s="1"/>
      <x:c r="J14" s="21" t="str">
        <x:v>Formula meaning</x:v>
      </x:c>
    </x:row>
    <x:row r="15" ht="30" customHeight="1">
      <x:c r="A15" s="1"/>
      <x:c r="B15" s="13" t="n">
        <x:v>0</x:v>
      </x:c>
      <x:c r="C15" s="16" t="n">
        <x:f>1-B15</x:f>
        <x:v>1</x:v>
      </x:c>
      <x:c r="D15" s="16" t="n">
        <x:f>B15*$C$5+C15*$C$7</x:f>
        <x:v>0.03</x:v>
      </x:c>
      <x:c r="E15" s="16" t="n">
        <x:f>B15*$C$6</x:f>
        <x:v>0</x:v>
      </x:c>
      <x:c r="F15" s="17" t="n">
        <x:f>E15^2</x:f>
        <x:v>0</x:v>
      </x:c>
      <x:c r="G15" s="17" t="n">
        <x:f>0.5*$C$8*F15</x:f>
        <x:v>0</x:v>
      </x:c>
      <x:c r="H15" s="17" t="n">
        <x:f>D15-G15</x:f>
        <x:v>0.03</x:v>
      </x:c>
      <x:c r="I15" s="1"/>
      <x:c r="J15" s="21" t="str">
        <x:v>Return = risky weight × risky return + T-bill weight × T-bill return</x:v>
      </x:c>
    </x:row>
    <x:row r="16" ht="30" customHeight="1">
      <x:c r="A16" s="1"/>
      <x:c r="B16" s="13" t="n">
        <x:v>0.25</x:v>
      </x:c>
      <x:c r="C16" s="16" t="n">
        <x:f>1-B16</x:f>
        <x:v>0.75</x:v>
      </x:c>
      <x:c r="D16" s="16" t="n">
        <x:f>B16*$C$5+C16*$C$7</x:f>
        <x:v>0.0475</x:v>
      </x:c>
      <x:c r="E16" s="16" t="n">
        <x:f>B16*$C$6</x:f>
        <x:v>0.05</x:v>
      </x:c>
      <x:c r="F16" s="17" t="n">
        <x:f>E16^2</x:f>
        <x:v>0.0025000000000000005</x:v>
      </x:c>
      <x:c r="G16" s="17" t="n">
        <x:f>0.5*$C$8*F16</x:f>
        <x:v>0.005000000000000001</x:v>
      </x:c>
      <x:c r="H16" s="17" t="n">
        <x:f>D16-G16</x:f>
        <x:v>0.042499999999999996</x:v>
      </x:c>
      <x:c r="I16" s="1"/>
      <x:c r="J16" s="21" t="str">
        <x:v>Standard deviation = risky weight × risky standard deviation</x:v>
      </x:c>
    </x:row>
    <x:row r="17" ht="30" customHeight="1">
      <x:c r="A17" s="1"/>
      <x:c r="B17" s="13" t="n">
        <x:v>0.5</x:v>
      </x:c>
      <x:c r="C17" s="16" t="n">
        <x:f>1-B17</x:f>
        <x:v>0.5</x:v>
      </x:c>
      <x:c r="D17" s="16" t="n">
        <x:f>B17*$C$5+C17*$C$7</x:f>
        <x:v>0.065</x:v>
      </x:c>
      <x:c r="E17" s="16" t="n">
        <x:f>B17*$C$6</x:f>
        <x:v>0.1</x:v>
      </x:c>
      <x:c r="F17" s="17" t="n">
        <x:f>E17^2</x:f>
        <x:v>0.010000000000000002</x:v>
      </x:c>
      <x:c r="G17" s="17" t="n">
        <x:f>0.5*$C$8*F17</x:f>
        <x:v>0.020000000000000004</x:v>
      </x:c>
      <x:c r="H17" s="17" t="n">
        <x:f>D17-G17</x:f>
        <x:v>0.045</x:v>
      </x:c>
      <x:c r="I17" s="1"/>
      <x:c r="J17" s="21" t="str">
        <x:v>Variance = complete-portfolio standard deviation squared</x:v>
      </x:c>
    </x:row>
    <x:row r="18" ht="30" customHeight="1">
      <x:c r="A18" s="1"/>
      <x:c r="B18" s="13" t="n">
        <x:v>0.75</x:v>
      </x:c>
      <x:c r="C18" s="16" t="n">
        <x:f>1-B18</x:f>
        <x:v>0.25</x:v>
      </x:c>
      <x:c r="D18" s="16" t="n">
        <x:f>B18*$C$5+C18*$C$7</x:f>
        <x:v>0.08250000000000002</x:v>
      </x:c>
      <x:c r="E18" s="16" t="n">
        <x:f>B18*$C$6</x:f>
        <x:v>0.15000000000000002</x:v>
      </x:c>
      <x:c r="F18" s="17" t="n">
        <x:f>E18^2</x:f>
        <x:v>0.022500000000000006</x:v>
      </x:c>
      <x:c r="G18" s="17" t="n">
        <x:f>0.5*$C$8*F18</x:f>
        <x:v>0.04500000000000001</x:v>
      </x:c>
      <x:c r="H18" s="17" t="n">
        <x:f>D18-G18</x:f>
        <x:v>0.037500000000000006</x:v>
      </x:c>
      <x:c r="I18" s="1"/>
      <x:c r="J18" s="21" t="str">
        <x:v>Risk penalty = 0.5 × A × complete-portfolio variance</x:v>
      </x:c>
    </x:row>
    <x:row r="19" ht="30" customHeight="1">
      <x:c r="A19" s="1"/>
      <x:c r="B19" s="13" t="n">
        <x:v>1</x:v>
      </x:c>
      <x:c r="C19" s="16" t="n">
        <x:f>1-B19</x:f>
        <x:v>0</x:v>
      </x:c>
      <x:c r="D19" s="16" t="n">
        <x:f>B19*$C$5+C19*$C$7</x:f>
        <x:v>0.1</x:v>
      </x:c>
      <x:c r="E19" s="16" t="n">
        <x:f>B19*$C$6</x:f>
        <x:v>0.2</x:v>
      </x:c>
      <x:c r="F19" s="17" t="n">
        <x:f>E19^2</x:f>
        <x:v>0.04000000000000001</x:v>
      </x:c>
      <x:c r="G19" s="17" t="n">
        <x:f>0.5*$C$8*F19</x:f>
        <x:v>0.08000000000000002</x:v>
      </x:c>
      <x:c r="H19" s="17" t="n">
        <x:f>D19-G19</x:f>
        <x:v>0.01999999999999999</x:v>
      </x:c>
      <x:c r="I19" s="1"/>
      <x:c r="J19" s="21" t="str">
        <x:v>Utility = expected return − risk penalty</x:v>
      </x:c>
    </x:row>
    <x:row r="20" ht="3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21"/>
    </x:row>
    <x:row r="21" ht="3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21"/>
    </x:row>
    <x:row r="22" ht="30" customHeight="1">
      <x:c r="A22" s="1"/>
      <x:c r="B22" s="15" t="str">
        <x:v>Find the optimal allocation</x:v>
      </x:c>
      <x:c r="C22" s="15" t="str">
        <x:v>Result</x:v>
      </x:c>
      <x:c r="D22" s="1"/>
      <x:c r="E22" s="1"/>
      <x:c r="F22" s="1"/>
      <x:c r="G22" s="1"/>
      <x:c r="H22" s="1"/>
      <x:c r="I22" s="1"/>
      <x:c r="J22" s="21"/>
    </x:row>
    <x:row r="23" ht="30" customHeight="1">
      <x:c r="A23" s="1"/>
      <x:c r="B23" s="1" t="str">
        <x:v>Risk premium</x:v>
      </x:c>
      <x:c r="C23" s="16" t="n">
        <x:f>C5-C7</x:f>
        <x:v>0.07</x:v>
      </x:c>
      <x:c r="D23" s="1"/>
      <x:c r="E23" s="1"/>
      <x:c r="F23" s="1"/>
      <x:c r="G23" s="1"/>
      <x:c r="H23" s="1"/>
      <x:c r="I23" s="1"/>
      <x:c r="J23" s="21" t="str">
        <x:v>Risk premium = risky return − T-bill return</x:v>
      </x:c>
    </x:row>
    <x:row r="24" ht="30" customHeight="1">
      <x:c r="A24" s="1"/>
      <x:c r="B24" s="1" t="str">
        <x:v>Risky variance</x:v>
      </x:c>
      <x:c r="C24" s="17" t="n">
        <x:f>C6^2</x:f>
        <x:v>0.04000000000000001</x:v>
      </x:c>
      <x:c r="D24" s="1"/>
      <x:c r="E24" s="1"/>
      <x:c r="F24" s="1"/>
      <x:c r="G24" s="1"/>
      <x:c r="H24" s="1"/>
      <x:c r="I24" s="1"/>
      <x:c r="J24" s="21" t="str">
        <x:v>Square risky standard deviation; use decimal returns.</x:v>
      </x:c>
    </x:row>
    <x:row r="25" ht="30" customHeight="1">
      <x:c r="A25" s="1"/>
      <x:c r="B25" s="1" t="str">
        <x:v>A × risky variance</x:v>
      </x:c>
      <x:c r="C25" s="17" t="n">
        <x:f>C8*C24</x:f>
        <x:v>0.16000000000000003</x:v>
      </x:c>
      <x:c r="D25" s="1"/>
      <x:c r="E25" s="1"/>
      <x:c r="F25" s="1"/>
      <x:c r="G25" s="1"/>
      <x:c r="H25" s="1"/>
      <x:c r="I25" s="1"/>
      <x:c r="J25" s="21" t="str">
        <x:v>This is the denominator of the optimal-weight formula.</x:v>
      </x:c>
    </x:row>
    <x:row r="26" ht="30" customHeight="1">
      <x:c r="A26" s="1"/>
      <x:c r="B26" s="1" t="str">
        <x:v>Unconstrained risky weight</x:v>
      </x:c>
      <x:c r="C26" s="16" t="n">
        <x:f>C23/C25</x:f>
        <x:v>0.43749999999999994</x:v>
      </x:c>
      <x:c r="D26" s="1"/>
      <x:c r="E26" s="1"/>
      <x:c r="F26" s="1"/>
      <x:c r="G26" s="1"/>
      <x:c r="H26" s="1"/>
      <x:c r="I26" s="1"/>
      <x:c r="J26" s="21" t="str">
        <x:v>Optimal y = risk premium / (A × risky variance)</x:v>
      </x:c>
    </x:row>
    <x:row r="27" ht="30" customHeight="1">
      <x:c r="A27" s="1"/>
      <x:c r="B27" s="1" t="str">
        <x:v>Feasible risky weight</x:v>
      </x:c>
      <x:c r="C27" s="16" t="n">
        <x:f>MAX(0,MIN(1,C26))</x:f>
        <x:v>0.43749999999999994</x:v>
      </x:c>
      <x:c r="D27" s="1"/>
      <x:c r="E27" s="1"/>
      <x:c r="F27" s="1"/>
      <x:c r="G27" s="1"/>
      <x:c r="H27" s="1"/>
      <x:c r="I27" s="1"/>
      <x:c r="J27" s="21" t="str">
        <x:v>Apply the stated no-borrowing and no-shorting constraints.</x:v>
      </x:c>
    </x:row>
    <x:row r="28" ht="30" customHeight="1">
      <x:c r="A28" s="1"/>
      <x:c r="B28" s="1" t="str">
        <x:v>T-bill weight</x:v>
      </x:c>
      <x:c r="C28" s="16" t="n">
        <x:f>1-C27</x:f>
        <x:v>0.5625</x:v>
      </x:c>
      <x:c r="D28" s="1"/>
      <x:c r="E28" s="1"/>
      <x:c r="F28" s="1"/>
      <x:c r="G28" s="1"/>
      <x:c r="H28" s="1"/>
      <x:c r="I28" s="1"/>
      <x:c r="J28" s="21" t="str">
        <x:v>T-bill weight = 1 − risky weight</x:v>
      </x:c>
    </x:row>
    <x:row r="29" ht="30" customHeight="1">
      <x:c r="A29" s="1"/>
      <x:c r="B29" s="1" t="str">
        <x:v>Sharpe ratio</x:v>
      </x:c>
      <x:c r="C29" s="19" t="n">
        <x:f>C23/C6</x:f>
        <x:v>0.35000000000000003</x:v>
      </x:c>
      <x:c r="D29" s="1"/>
      <x:c r="E29" s="1"/>
      <x:c r="F29" s="1"/>
      <x:c r="G29" s="1"/>
      <x:c r="H29" s="1"/>
      <x:c r="I29" s="1"/>
      <x:c r="J29" s="21" t="str">
        <x:v>Sharpe = risk premium / risky standard deviation</x:v>
      </x:c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2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21"/>
    </x:row>
    <x:row r="32">
      <x:c r="A32" s="1"/>
      <x:c r="B32" s="15" t="str">
        <x:v>Evaluate the optimum</x:v>
      </x:c>
      <x:c r="C32" s="15" t="str">
        <x:v>Result</x:v>
      </x:c>
      <x:c r="D32" s="1"/>
      <x:c r="E32" s="1"/>
      <x:c r="F32" s="1"/>
      <x:c r="G32" s="1"/>
      <x:c r="H32" s="1"/>
      <x:c r="I32" s="1"/>
      <x:c r="J32" s="21"/>
    </x:row>
    <x:row r="33">
      <x:c r="A33" s="1"/>
      <x:c r="B33" s="1" t="str">
        <x:v>Expected return</x:v>
      </x:c>
      <x:c r="C33" s="16" t="n">
        <x:f>C27*C5+C28*C7</x:f>
        <x:v>0.060625</x:v>
      </x:c>
      <x:c r="D33" s="1"/>
      <x:c r="E33" s="1"/>
      <x:c r="F33" s="1"/>
      <x:c r="G33" s="1"/>
      <x:c r="H33" s="1"/>
      <x:c r="I33" s="1"/>
      <x:c r="J33" s="21"/>
    </x:row>
    <x:row r="34">
      <x:c r="A34" s="1"/>
      <x:c r="B34" s="1" t="str">
        <x:v>Standard deviation</x:v>
      </x:c>
      <x:c r="C34" s="16" t="n">
        <x:f>C27*C6</x:f>
        <x:v>0.0875</x:v>
      </x:c>
      <x:c r="D34" s="1"/>
      <x:c r="E34" s="1"/>
      <x:c r="F34" s="1"/>
      <x:c r="G34" s="1"/>
      <x:c r="H34" s="1"/>
      <x:c r="I34" s="1"/>
      <x:c r="J34" s="21"/>
    </x:row>
    <x:row r="35">
      <x:c r="A35" s="1"/>
      <x:c r="B35" s="1" t="str">
        <x:v>Variance</x:v>
      </x:c>
      <x:c r="C35" s="17" t="n">
        <x:f>C34^2</x:f>
        <x:v>0.007656249999999999</x:v>
      </x:c>
      <x:c r="D35" s="1"/>
      <x:c r="E35" s="1"/>
      <x:c r="F35" s="1"/>
      <x:c r="G35" s="1"/>
      <x:c r="H35" s="1"/>
      <x:c r="I35" s="1"/>
      <x:c r="J35" s="21"/>
    </x:row>
    <x:row r="36">
      <x:c r="A36" s="1"/>
      <x:c r="B36" s="1" t="str">
        <x:v>Risk penalty</x:v>
      </x:c>
      <x:c r="C36" s="17" t="n">
        <x:f>0.5*C8*C35</x:f>
        <x:v>0.015312499999999998</x:v>
      </x:c>
      <x:c r="D36" s="1"/>
      <x:c r="E36" s="1"/>
      <x:c r="F36" s="1"/>
      <x:c r="G36" s="1"/>
      <x:c r="H36" s="1"/>
      <x:c r="I36" s="1"/>
      <x:c r="J36" s="21"/>
    </x:row>
    <x:row r="37">
      <x:c r="A37" s="1"/>
      <x:c r="B37" s="1" t="str">
        <x:v>Utility score</x:v>
      </x:c>
      <x:c r="C37" s="17" t="n">
        <x:f>C33-C36</x:f>
        <x:v>0.0453125</x:v>
      </x:c>
      <x:c r="D37" s="1"/>
      <x:c r="E37" s="1"/>
      <x:c r="F37" s="1"/>
      <x:c r="G37" s="1"/>
      <x:c r="H37" s="1"/>
      <x:c r="I37" s="1"/>
      <x:c r="J37" s="21"/>
    </x:row>
    <x:row r="38">
      <x:c r="A38" s="1"/>
      <x:c r="B38" s="1" t="str">
        <x:v>Best listed risky weight</x:v>
      </x:c>
      <x:c r="C38" s="16" t="n">
        <x:f>INDEX(B15:B19,MATCH(MAX(H15:H19),H15:H19,0))</x:f>
        <x:v>0.5</x:v>
      </x:c>
      <x:c r="D38" s="1"/>
      <x:c r="E38" s="1"/>
      <x:c r="F38" s="1"/>
      <x:c r="G38" s="1"/>
      <x:c r="H38" s="1"/>
      <x:c r="I38" s="1"/>
      <x:c r="J38" s="2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2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21"/>
    </x:row>
    <x:row r="41" ht="36" customHeight="1">
      <x:c r="A41" s="1"/>
      <x:c r="B41" s="1" t="str">
        <x:v>Explain your choice</x:v>
      </x:c>
      <x:c r="C41" s="20" t="str">
        <x:v>Risk reduces utility through the penalty; the highest return need not maximize utility.</x:v>
      </x:c>
      <x:c r="D41" s="21"/>
      <x:c r="E41" s="21"/>
      <x:c r="F41" s="21"/>
      <x:c r="G41" s="21"/>
      <x:c r="H41" s="21"/>
      <x:c r="I41" s="1"/>
      <x:c r="J41" s="21" t="str">
        <x:v>Why can an allocation with a lower return have higher utility?</x:v>
      </x:c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21"/>
    </x:row>
    <x:row r="43">
      <x:c r="A43" s="1"/>
      <x:c r="B43" s="1" t="str">
        <x:v>Sensitivity: A doubles</x:v>
      </x:c>
      <x:c r="C43" s="16" t="n">
        <x:f>MAX(0,MIN(1,C23/((2*C8)*C24)))</x:f>
        <x:v>0.21874999999999997</x:v>
      </x:c>
      <x:c r="D43" s="1"/>
      <x:c r="E43" s="1"/>
      <x:c r="F43" s="1"/>
      <x:c r="G43" s="1"/>
      <x:c r="H43" s="1"/>
      <x:c r="I43" s="1"/>
      <x:c r="J43" s="21" t="str">
        <x:v>Predict the direction, then calculate the new optimal risky weight.</x:v>
      </x:c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21"/>
    </x:row>
    <x:row r="45" ht="36" customHeight="1">
      <x:c r="A45" s="1"/>
      <x:c r="B45" s="1" t="str">
        <x:v>Explain the sensitivity</x:v>
      </x:c>
      <x:c r="C45" s="20" t="str">
        <x:v>Higher A increases the penalty for risk, reducing the optimal risky allocation.</x:v>
      </x:c>
      <x:c r="D45" s="21"/>
      <x:c r="E45" s="21"/>
      <x:c r="F45" s="21"/>
      <x:c r="G45" s="21"/>
      <x:c r="H45" s="21"/>
      <x:c r="I45" s="1"/>
      <x:c r="J45" s="21" t="str">
        <x:v>Keep return, risk, and T-bill inputs unchanged.</x:v>
      </x:c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21"/>
    </x:row>
  </x:sheetData>
  <x:mergeCells>
    <x:mergeCell ref="C41:H41"/>
    <x:mergeCell ref="C45:H45"/>
  </x:mergeCells>
  <x:conditionalFormatting sqref="C15:H19">
    <x:cfRule type="expression" dxfId="0" priority="1">
      <x:formula>H15=MAX($H$15:$H$19)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9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" hidden="0" customWidth="1"/>
    <x:col min="10" max="10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21"/>
    </x:row>
    <x:row r="2">
      <x:c r="A2" s="1"/>
      <x:c r="B2" s="2" t="str">
        <x:v>Chapter 6: Worked example</x:v>
      </x:c>
      <x:c r="C2" s="1"/>
      <x:c r="D2" s="1"/>
      <x:c r="E2" s="1"/>
      <x:c r="F2" s="1"/>
      <x:c r="G2" s="1"/>
      <x:c r="H2" s="1"/>
      <x:c r="I2" s="1"/>
      <x:c r="J2" s="2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21"/>
    </x:row>
    <x:row r="4">
      <x:c r="A4" s="1"/>
      <x:c r="B4" s="1" t="str">
        <x:v>Hypothetical annual inputs</x:v>
      </x:c>
      <x:c r="C4" s="1"/>
      <x:c r="D4" s="1"/>
      <x:c r="E4" s="1"/>
      <x:c r="F4" s="1"/>
      <x:c r="G4" s="1"/>
      <x:c r="H4" s="1"/>
      <x:c r="I4" s="1"/>
      <x:c r="J4" s="21"/>
    </x:row>
    <x:row r="5">
      <x:c r="A5" s="1"/>
      <x:c r="B5" s="1" t="str">
        <x:v>Risky expected return</x:v>
      </x:c>
      <x:c r="C5" s="7" t="n">
        <x:v>0.09</x:v>
      </x:c>
      <x:c r="D5" s="1"/>
      <x:c r="E5" s="1"/>
      <x:c r="F5" s="1"/>
      <x:c r="G5" s="1"/>
      <x:c r="H5" s="1"/>
      <x:c r="I5" s="1"/>
      <x:c r="J5" s="21" t="str">
        <x:v>Change yellow inputs to test an assumption.</x:v>
      </x:c>
    </x:row>
    <x:row r="6">
      <x:c r="A6" s="1"/>
      <x:c r="B6" s="1" t="str">
        <x:v>Risky standard deviation</x:v>
      </x:c>
      <x:c r="C6" s="7" t="n">
        <x:v>0.15</x:v>
      </x:c>
      <x:c r="D6" s="1"/>
      <x:c r="E6" s="1"/>
      <x:c r="F6" s="1"/>
      <x:c r="G6" s="1"/>
      <x:c r="H6" s="1"/>
      <x:c r="I6" s="1"/>
      <x:c r="J6" s="21" t="str">
        <x:v>T-bills have zero risk over this holding period.</x:v>
      </x:c>
    </x:row>
    <x:row r="7">
      <x:c r="A7" s="1"/>
      <x:c r="B7" s="1" t="str">
        <x:v>T-bill return</x:v>
      </x:c>
      <x:c r="C7" s="7" t="n">
        <x:v>0.03</x:v>
      </x:c>
      <x:c r="D7" s="1"/>
      <x:c r="E7" s="1"/>
      <x:c r="F7" s="1"/>
      <x:c r="G7" s="1"/>
      <x:c r="H7" s="1"/>
      <x:c r="I7" s="1"/>
      <x:c r="J7" s="21" t="str">
        <x:v>No borrowing or shorting: risky weight is between 0% and 100%.</x:v>
      </x:c>
    </x:row>
    <x:row r="8">
      <x:c r="A8" s="1"/>
      <x:c r="B8" s="1" t="str">
        <x:v>Risk aversion A</x:v>
      </x:c>
      <x:c r="C8" s="8" t="n">
        <x:v>4</x:v>
      </x:c>
      <x:c r="D8" s="1"/>
      <x:c r="E8" s="1"/>
      <x:c r="F8" s="1"/>
      <x:c r="G8" s="1"/>
      <x:c r="H8" s="1"/>
      <x:c r="I8" s="1"/>
      <x:c r="J8" s="21" t="str">
        <x:v>Utility is a preference score, not a promised return.</x:v>
      </x:c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2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21"/>
    </x:row>
    <x:row r="11">
      <x:c r="A11" s="1"/>
      <x:c r="B11" s="1" t="str">
        <x:v>Compare allocation choices</x:v>
      </x:c>
      <x:c r="C11" s="1"/>
      <x:c r="D11" s="1"/>
      <x:c r="E11" s="1"/>
      <x:c r="F11" s="1"/>
      <x:c r="G11" s="1"/>
      <x:c r="H11" s="1"/>
      <x:c r="I11" s="1"/>
      <x:c r="J11" s="21"/>
    </x:row>
    <x:row r="12">
      <x:c r="A12" s="1"/>
      <x:c r="B12" s="1" t="str">
        <x:v>Calculate each row, identify the highest utility, and explain the tradeoff.</x:v>
      </x:c>
      <x:c r="C12" s="1"/>
      <x:c r="D12" s="1"/>
      <x:c r="E12" s="1"/>
      <x:c r="F12" s="1"/>
      <x:c r="G12" s="1"/>
      <x:c r="H12" s="1"/>
      <x:c r="I12" s="1"/>
      <x:c r="J12" s="2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21"/>
    </x:row>
    <x:row r="14" ht="30" customHeight="1">
      <x:c r="A14" s="1"/>
      <x:c r="B14" s="11" t="str">
        <x:v>Risky weight y</x:v>
      </x:c>
      <x:c r="C14" s="11" t="str">
        <x:v>T-bill weight</x:v>
      </x:c>
      <x:c r="D14" s="11" t="str">
        <x:v>Expected return</x:v>
      </x:c>
      <x:c r="E14" s="11" t="str">
        <x:v>Standard deviation</x:v>
      </x:c>
      <x:c r="F14" s="11" t="str">
        <x:v>Variance</x:v>
      </x:c>
      <x:c r="G14" s="11" t="str">
        <x:v>Risk penalty</x:v>
      </x:c>
      <x:c r="H14" s="11" t="str">
        <x:v>Utility score</x:v>
      </x:c>
      <x:c r="I14" s="1"/>
      <x:c r="J14" s="21" t="str">
        <x:v>Formula meaning</x:v>
      </x:c>
    </x:row>
    <x:row r="15" ht="30" customHeight="1">
      <x:c r="A15" s="1"/>
      <x:c r="B15" s="13" t="n">
        <x:v>0</x:v>
      </x:c>
      <x:c r="C15" s="16" t="n">
        <x:f>1-B15</x:f>
        <x:v>1</x:v>
      </x:c>
      <x:c r="D15" s="16" t="n">
        <x:f>B15*$C$5+C15*$C$7</x:f>
        <x:v>0.03</x:v>
      </x:c>
      <x:c r="E15" s="16" t="n">
        <x:f>B15*$C$6</x:f>
        <x:v>0</x:v>
      </x:c>
      <x:c r="F15" s="17" t="n">
        <x:f>E15^2</x:f>
        <x:v>0</x:v>
      </x:c>
      <x:c r="G15" s="17" t="n">
        <x:f>0.5*$C$8*F15</x:f>
        <x:v>0</x:v>
      </x:c>
      <x:c r="H15" s="17" t="n">
        <x:f>D15-G15</x:f>
        <x:v>0.03</x:v>
      </x:c>
      <x:c r="I15" s="1"/>
      <x:c r="J15" s="21" t="str">
        <x:v>Return = risky weight × risky return + T-bill weight × T-bill return</x:v>
      </x:c>
    </x:row>
    <x:row r="16" ht="30" customHeight="1">
      <x:c r="A16" s="1"/>
      <x:c r="B16" s="13" t="n">
        <x:v>0.25</x:v>
      </x:c>
      <x:c r="C16" s="16" t="n">
        <x:f>1-B16</x:f>
        <x:v>0.75</x:v>
      </x:c>
      <x:c r="D16" s="16" t="n">
        <x:f>B16*$C$5+C16*$C$7</x:f>
        <x:v>0.045</x:v>
      </x:c>
      <x:c r="E16" s="16" t="n">
        <x:f>B16*$C$6</x:f>
        <x:v>0.0375</x:v>
      </x:c>
      <x:c r="F16" s="17" t="n">
        <x:f>E16^2</x:f>
        <x:v>0.00140625</x:v>
      </x:c>
      <x:c r="G16" s="17" t="n">
        <x:f>0.5*$C$8*F16</x:f>
        <x:v>0.0028125</x:v>
      </x:c>
      <x:c r="H16" s="17" t="n">
        <x:f>D16-G16</x:f>
        <x:v>0.042187499999999996</x:v>
      </x:c>
      <x:c r="I16" s="1"/>
      <x:c r="J16" s="21" t="str">
        <x:v>Standard deviation = risky weight × risky standard deviation</x:v>
      </x:c>
    </x:row>
    <x:row r="17" ht="30" customHeight="1">
      <x:c r="A17" s="1"/>
      <x:c r="B17" s="13" t="n">
        <x:v>0.5</x:v>
      </x:c>
      <x:c r="C17" s="16" t="n">
        <x:f>1-B17</x:f>
        <x:v>0.5</x:v>
      </x:c>
      <x:c r="D17" s="16" t="n">
        <x:f>B17*$C$5+C17*$C$7</x:f>
        <x:v>0.06</x:v>
      </x:c>
      <x:c r="E17" s="16" t="n">
        <x:f>B17*$C$6</x:f>
        <x:v>0.075</x:v>
      </x:c>
      <x:c r="F17" s="17" t="n">
        <x:f>E17^2</x:f>
        <x:v>0.005625</x:v>
      </x:c>
      <x:c r="G17" s="17" t="n">
        <x:f>0.5*$C$8*F17</x:f>
        <x:v>0.01125</x:v>
      </x:c>
      <x:c r="H17" s="17" t="n">
        <x:f>D17-G17</x:f>
        <x:v>0.04875</x:v>
      </x:c>
      <x:c r="I17" s="1"/>
      <x:c r="J17" s="21" t="str">
        <x:v>Variance = complete-portfolio standard deviation squared</x:v>
      </x:c>
    </x:row>
    <x:row r="18" ht="30" customHeight="1">
      <x:c r="A18" s="1"/>
      <x:c r="B18" s="13" t="n">
        <x:v>0.75</x:v>
      </x:c>
      <x:c r="C18" s="16" t="n">
        <x:f>1-B18</x:f>
        <x:v>0.25</x:v>
      </x:c>
      <x:c r="D18" s="16" t="n">
        <x:f>B18*$C$5+C18*$C$7</x:f>
        <x:v>0.07500000000000001</x:v>
      </x:c>
      <x:c r="E18" s="16" t="n">
        <x:f>B18*$C$6</x:f>
        <x:v>0.11249999999999999</x:v>
      </x:c>
      <x:c r="F18" s="17" t="n">
        <x:f>E18^2</x:f>
        <x:v>0.012656249999999997</x:v>
      </x:c>
      <x:c r="G18" s="17" t="n">
        <x:f>0.5*$C$8*F18</x:f>
        <x:v>0.025312499999999995</x:v>
      </x:c>
      <x:c r="H18" s="17" t="n">
        <x:f>D18-G18</x:f>
        <x:v>0.049687500000000016</x:v>
      </x:c>
      <x:c r="I18" s="1"/>
      <x:c r="J18" s="21" t="str">
        <x:v>Risk penalty = 0.5 × A × complete-portfolio variance</x:v>
      </x:c>
    </x:row>
    <x:row r="19" ht="30" customHeight="1">
      <x:c r="A19" s="1"/>
      <x:c r="B19" s="13" t="n">
        <x:v>1</x:v>
      </x:c>
      <x:c r="C19" s="16" t="n">
        <x:f>1-B19</x:f>
        <x:v>0</x:v>
      </x:c>
      <x:c r="D19" s="16" t="n">
        <x:f>B19*$C$5+C19*$C$7</x:f>
        <x:v>0.09</x:v>
      </x:c>
      <x:c r="E19" s="16" t="n">
        <x:f>B19*$C$6</x:f>
        <x:v>0.15</x:v>
      </x:c>
      <x:c r="F19" s="17" t="n">
        <x:f>E19^2</x:f>
        <x:v>0.0225</x:v>
      </x:c>
      <x:c r="G19" s="17" t="n">
        <x:f>0.5*$C$8*F19</x:f>
        <x:v>0.045</x:v>
      </x:c>
      <x:c r="H19" s="17" t="n">
        <x:f>D19-G19</x:f>
        <x:v>0.045</x:v>
      </x:c>
      <x:c r="I19" s="1"/>
      <x:c r="J19" s="21" t="str">
        <x:v>Utility = expected return − risk penalty</x:v>
      </x:c>
    </x:row>
    <x:row r="20" ht="3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21"/>
    </x:row>
    <x:row r="21" ht="3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21"/>
    </x:row>
    <x:row r="22" ht="30" customHeight="1">
      <x:c r="A22" s="1"/>
      <x:c r="B22" s="15" t="str">
        <x:v>Find the optimal allocation</x:v>
      </x:c>
      <x:c r="C22" s="15" t="str">
        <x:v>Result</x:v>
      </x:c>
      <x:c r="D22" s="1"/>
      <x:c r="E22" s="1"/>
      <x:c r="F22" s="1"/>
      <x:c r="G22" s="1"/>
      <x:c r="H22" s="1"/>
      <x:c r="I22" s="1"/>
      <x:c r="J22" s="21"/>
    </x:row>
    <x:row r="23" ht="30" customHeight="1">
      <x:c r="A23" s="1"/>
      <x:c r="B23" s="1" t="str">
        <x:v>Risk premium</x:v>
      </x:c>
      <x:c r="C23" s="16" t="n">
        <x:f>C5-C7</x:f>
        <x:v>0.06</x:v>
      </x:c>
      <x:c r="D23" s="1"/>
      <x:c r="E23" s="1"/>
      <x:c r="F23" s="1"/>
      <x:c r="G23" s="1"/>
      <x:c r="H23" s="1"/>
      <x:c r="I23" s="1"/>
      <x:c r="J23" s="21" t="str">
        <x:v>Risk premium = risky return − T-bill return</x:v>
      </x:c>
    </x:row>
    <x:row r="24" ht="30" customHeight="1">
      <x:c r="A24" s="1"/>
      <x:c r="B24" s="1" t="str">
        <x:v>Risky variance</x:v>
      </x:c>
      <x:c r="C24" s="17" t="n">
        <x:f>C6^2</x:f>
        <x:v>0.0225</x:v>
      </x:c>
      <x:c r="D24" s="1"/>
      <x:c r="E24" s="1"/>
      <x:c r="F24" s="1"/>
      <x:c r="G24" s="1"/>
      <x:c r="H24" s="1"/>
      <x:c r="I24" s="1"/>
      <x:c r="J24" s="21" t="str">
        <x:v>Square risky standard deviation; use decimal returns.</x:v>
      </x:c>
    </x:row>
    <x:row r="25" ht="30" customHeight="1">
      <x:c r="A25" s="1"/>
      <x:c r="B25" s="1" t="str">
        <x:v>A × risky variance</x:v>
      </x:c>
      <x:c r="C25" s="17" t="n">
        <x:f>C8*C24</x:f>
        <x:v>0.09</x:v>
      </x:c>
      <x:c r="D25" s="1"/>
      <x:c r="E25" s="1"/>
      <x:c r="F25" s="1"/>
      <x:c r="G25" s="1"/>
      <x:c r="H25" s="1"/>
      <x:c r="I25" s="1"/>
      <x:c r="J25" s="21" t="str">
        <x:v>This is the denominator of the optimal-weight formula.</x:v>
      </x:c>
    </x:row>
    <x:row r="26" ht="30" customHeight="1">
      <x:c r="A26" s="1"/>
      <x:c r="B26" s="1" t="str">
        <x:v>Unconstrained risky weight</x:v>
      </x:c>
      <x:c r="C26" s="16" t="n">
        <x:f>C23/C25</x:f>
        <x:v>0.6666666666666666</x:v>
      </x:c>
      <x:c r="D26" s="1"/>
      <x:c r="E26" s="1"/>
      <x:c r="F26" s="1"/>
      <x:c r="G26" s="1"/>
      <x:c r="H26" s="1"/>
      <x:c r="I26" s="1"/>
      <x:c r="J26" s="21" t="str">
        <x:v>Optimal y = risk premium / (A × risky variance)</x:v>
      </x:c>
    </x:row>
    <x:row r="27" ht="30" customHeight="1">
      <x:c r="A27" s="1"/>
      <x:c r="B27" s="1" t="str">
        <x:v>Feasible risky weight</x:v>
      </x:c>
      <x:c r="C27" s="16" t="n">
        <x:f>MAX(0,MIN(1,C26))</x:f>
        <x:v>0.6666666666666666</x:v>
      </x:c>
      <x:c r="D27" s="1"/>
      <x:c r="E27" s="1"/>
      <x:c r="F27" s="1"/>
      <x:c r="G27" s="1"/>
      <x:c r="H27" s="1"/>
      <x:c r="I27" s="1"/>
      <x:c r="J27" s="21" t="str">
        <x:v>Apply the stated no-borrowing and no-shorting constraints.</x:v>
      </x:c>
    </x:row>
    <x:row r="28" ht="30" customHeight="1">
      <x:c r="A28" s="1"/>
      <x:c r="B28" s="1" t="str">
        <x:v>T-bill weight</x:v>
      </x:c>
      <x:c r="C28" s="16" t="n">
        <x:f>1-C27</x:f>
        <x:v>0.33333333333333337</x:v>
      </x:c>
      <x:c r="D28" s="1"/>
      <x:c r="E28" s="1"/>
      <x:c r="F28" s="1"/>
      <x:c r="G28" s="1"/>
      <x:c r="H28" s="1"/>
      <x:c r="I28" s="1"/>
      <x:c r="J28" s="21" t="str">
        <x:v>T-bill weight = 1 − risky weight</x:v>
      </x:c>
    </x:row>
    <x:row r="29" ht="30" customHeight="1">
      <x:c r="A29" s="1"/>
      <x:c r="B29" s="1" t="str">
        <x:v>Sharpe ratio</x:v>
      </x:c>
      <x:c r="C29" s="19" t="n">
        <x:f>C23/C6</x:f>
        <x:v>0.4</x:v>
      </x:c>
      <x:c r="D29" s="1"/>
      <x:c r="E29" s="1"/>
      <x:c r="F29" s="1"/>
      <x:c r="G29" s="1"/>
      <x:c r="H29" s="1"/>
      <x:c r="I29" s="1"/>
      <x:c r="J29" s="21" t="str">
        <x:v>Sharpe = risk premium / risky standard deviation</x:v>
      </x:c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2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21"/>
    </x:row>
    <x:row r="32">
      <x:c r="A32" s="1"/>
      <x:c r="B32" s="15" t="str">
        <x:v>Evaluate the optimum</x:v>
      </x:c>
      <x:c r="C32" s="15" t="str">
        <x:v>Result</x:v>
      </x:c>
      <x:c r="D32" s="1"/>
      <x:c r="E32" s="1"/>
      <x:c r="F32" s="1"/>
      <x:c r="G32" s="1"/>
      <x:c r="H32" s="1"/>
      <x:c r="I32" s="1"/>
      <x:c r="J32" s="21"/>
    </x:row>
    <x:row r="33">
      <x:c r="A33" s="1"/>
      <x:c r="B33" s="1" t="str">
        <x:v>Expected return</x:v>
      </x:c>
      <x:c r="C33" s="16" t="n">
        <x:f>C27*C5+C28*C7</x:f>
        <x:v>0.06999999999999999</x:v>
      </x:c>
      <x:c r="D33" s="1"/>
      <x:c r="E33" s="1"/>
      <x:c r="F33" s="1"/>
      <x:c r="G33" s="1"/>
      <x:c r="H33" s="1"/>
      <x:c r="I33" s="1"/>
      <x:c r="J33" s="21"/>
    </x:row>
    <x:row r="34">
      <x:c r="A34" s="1"/>
      <x:c r="B34" s="1" t="str">
        <x:v>Standard deviation</x:v>
      </x:c>
      <x:c r="C34" s="16" t="n">
        <x:f>C27*C6</x:f>
        <x:v>0.09999999999999999</x:v>
      </x:c>
      <x:c r="D34" s="1"/>
      <x:c r="E34" s="1"/>
      <x:c r="F34" s="1"/>
      <x:c r="G34" s="1"/>
      <x:c r="H34" s="1"/>
      <x:c r="I34" s="1"/>
      <x:c r="J34" s="21"/>
    </x:row>
    <x:row r="35">
      <x:c r="A35" s="1"/>
      <x:c r="B35" s="1" t="str">
        <x:v>Variance</x:v>
      </x:c>
      <x:c r="C35" s="17" t="n">
        <x:f>C34^2</x:f>
        <x:v>0.009999999999999998</x:v>
      </x:c>
      <x:c r="D35" s="1"/>
      <x:c r="E35" s="1"/>
      <x:c r="F35" s="1"/>
      <x:c r="G35" s="1"/>
      <x:c r="H35" s="1"/>
      <x:c r="I35" s="1"/>
      <x:c r="J35" s="21"/>
    </x:row>
    <x:row r="36">
      <x:c r="A36" s="1"/>
      <x:c r="B36" s="1" t="str">
        <x:v>Risk penalty</x:v>
      </x:c>
      <x:c r="C36" s="17" t="n">
        <x:f>0.5*C8*C35</x:f>
        <x:v>0.019999999999999997</x:v>
      </x:c>
      <x:c r="D36" s="1"/>
      <x:c r="E36" s="1"/>
      <x:c r="F36" s="1"/>
      <x:c r="G36" s="1"/>
      <x:c r="H36" s="1"/>
      <x:c r="I36" s="1"/>
      <x:c r="J36" s="21"/>
    </x:row>
    <x:row r="37">
      <x:c r="A37" s="1"/>
      <x:c r="B37" s="1" t="str">
        <x:v>Utility score</x:v>
      </x:c>
      <x:c r="C37" s="17" t="n">
        <x:f>C33-C36</x:f>
        <x:v>0.049999999999999996</x:v>
      </x:c>
      <x:c r="D37" s="1"/>
      <x:c r="E37" s="1"/>
      <x:c r="F37" s="1"/>
      <x:c r="G37" s="1"/>
      <x:c r="H37" s="1"/>
      <x:c r="I37" s="1"/>
      <x:c r="J37" s="21"/>
    </x:row>
    <x:row r="38">
      <x:c r="A38" s="1"/>
      <x:c r="B38" s="1" t="str">
        <x:v>Best listed risky weight</x:v>
      </x:c>
      <x:c r="C38" s="16" t="n">
        <x:f>INDEX(B15:B19,MATCH(MAX(H15:H19),H15:H19,0))</x:f>
        <x:v>0.75</x:v>
      </x:c>
      <x:c r="D38" s="1"/>
      <x:c r="E38" s="1"/>
      <x:c r="F38" s="1"/>
      <x:c r="G38" s="1"/>
      <x:c r="H38" s="1"/>
      <x:c r="I38" s="1"/>
      <x:c r="J38" s="2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2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21"/>
    </x:row>
    <x:row r="41" ht="36" customHeight="1">
      <x:c r="A41" s="1"/>
      <x:c r="B41" s="1" t="str">
        <x:v>Explain your choice</x:v>
      </x:c>
      <x:c r="C41" s="20" t="str">
        <x:v>Risk reduces utility through the penalty; the highest return need not maximize utility.</x:v>
      </x:c>
      <x:c r="D41" s="21"/>
      <x:c r="E41" s="21"/>
      <x:c r="F41" s="21"/>
      <x:c r="G41" s="21"/>
      <x:c r="H41" s="21"/>
      <x:c r="I41" s="1"/>
      <x:c r="J41" s="21" t="str">
        <x:v>Why can an allocation with a lower return have higher utility?</x:v>
      </x:c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21"/>
    </x:row>
    <x:row r="43">
      <x:c r="A43" s="1"/>
      <x:c r="B43" s="1" t="str">
        <x:v>Sensitivity: A doubles</x:v>
      </x:c>
      <x:c r="C43" s="16" t="n">
        <x:f>MAX(0,MIN(1,C23/((2*C8)*C24)))</x:f>
        <x:v>0.3333333333333333</x:v>
      </x:c>
      <x:c r="D43" s="1"/>
      <x:c r="E43" s="1"/>
      <x:c r="F43" s="1"/>
      <x:c r="G43" s="1"/>
      <x:c r="H43" s="1"/>
      <x:c r="I43" s="1"/>
      <x:c r="J43" s="21" t="str">
        <x:v>Predict the direction, then calculate the new optimal risky weight.</x:v>
      </x:c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21"/>
    </x:row>
    <x:row r="45" ht="36" customHeight="1">
      <x:c r="A45" s="1"/>
      <x:c r="B45" s="1" t="str">
        <x:v>Explain the sensitivity</x:v>
      </x:c>
      <x:c r="C45" s="20" t="str">
        <x:v>Higher A increases the penalty for risk, reducing the optimal risky allocation.</x:v>
      </x:c>
      <x:c r="D45" s="21"/>
      <x:c r="E45" s="21"/>
      <x:c r="F45" s="21"/>
      <x:c r="G45" s="21"/>
      <x:c r="H45" s="21"/>
      <x:c r="I45" s="1"/>
      <x:c r="J45" s="21" t="str">
        <x:v>Keep return, risk, and T-bill inputs unchanged.</x:v>
      </x:c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21"/>
    </x:row>
  </x:sheetData>
  <x:mergeCells>
    <x:mergeCell ref="C41:H41"/>
    <x:mergeCell ref="C45:H45"/>
  </x:mergeCells>
  <x:conditionalFormatting sqref="C15:H19">
    <x:cfRule type="expression" dxfId="1" priority="1">
      <x:formula>H15=MAX($H$15:$H$19)</x:formula>
    </x:cfRule>
  </x:conditionalFormatting>
  <x:pageMargins left="0.7" right="0.7" top="0.75" bottom="0.75" header="0.3" footer="0.3"/>
</x:worksheet>
</file>