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7a9913957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627d0e80de34824"/>
    <x:sheet xmlns:r="http://schemas.openxmlformats.org/officeDocument/2006/relationships" name="Scenario risk" sheetId="2" r:id="R92c2e59f249a4695"/>
    <x:sheet xmlns:r="http://schemas.openxmlformats.org/officeDocument/2006/relationships" name="Bond investment" sheetId="3" r:id="R91f3bfdedf284a9f"/>
    <x:sheet xmlns:r="http://schemas.openxmlformats.org/officeDocument/2006/relationships" name="Monthly returns" sheetId="4" r:id="Re39e1f88a59643f4"/>
    <x:sheet xmlns:r="http://schemas.openxmlformats.org/officeDocument/2006/relationships" name="Normal model" sheetId="5" r:id="R10b9cc4b8117459a"/>
    <x:sheet xmlns:r="http://schemas.openxmlformats.org/officeDocument/2006/relationships" name="Sharpe ratio" sheetId="6" r:id="R8e62c1aac56742c8"/>
    <x:sheet xmlns:r="http://schemas.openxmlformats.org/officeDocument/2006/relationships" name="Tail risk" sheetId="7" r:id="R19d6d89497f549e7"/>
    <x:sheet xmlns:r="http://schemas.openxmlformats.org/officeDocument/2006/relationships" name="Historical record" sheetId="8" r:id="R687bc3e8bde9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%;(0.00%);&quot;—&quot;"/>
    <x:numFmt numFmtId="201" formatCode="0.000000"/>
    <x:numFmt numFmtId="202" formatCode="$#,##0"/>
    <x:numFmt numFmtId="203" formatCode="$0.00"/>
    <x:numFmt numFmtId="204" formatCode="0.00"/>
    <x:numFmt numFmtId="205" formatCode="0.0000"/>
    <x:numFmt numFmtId="206" formatCode="0.000"/>
    <x:numFmt numFmtId="207" formatCode="0.00000"/>
    <x:numFmt numFmtId="208" formatCode="0.000%"/>
  </x:numFmts>
  <x:fonts count="10">
    <x:font>
      <x:sz val="11"/>
      <x:name val="Carlito"/>
    </x:font>
    <x:font>
      <x:sz val="12"/>
      <x:color rgb="FF142B49"/>
      <x:name val="Arial"/>
    </x:font>
    <x:font>
      <x:b/>
      <x:sz val="18"/>
      <x:color rgb="FF142B49"/>
      <x:name val="Arial"/>
    </x:font>
    <x:font>
      <x:b/>
      <x:sz val="12"/>
      <x:color rgb="FFFFFFFF"/>
      <x:name val="Arial"/>
    </x:font>
    <x:font>
      <x:sz val="12"/>
      <x:color rgb="FF1752A0"/>
      <x:name val="Arial"/>
    </x:font>
    <x:font>
      <x:sz val="12"/>
      <x:color rgb="FF000000"/>
      <x:name val="Arial"/>
    </x:font>
    <x:font>
      <x:b/>
      <x:sz val="12"/>
      <x:color rgb="FF142B49"/>
      <x:name val="Arial"/>
    </x:font>
    <x:font>
      <x:b/>
      <x:sz val="12"/>
      <x:color rgb="FF000000"/>
      <x:name val="Arial"/>
    </x:font>
    <x:font>
      <x:sz val="12"/>
      <x:color rgb="FF227040"/>
      <x:name val="Arial"/>
    </x:font>
    <x:font>
      <x:b/>
      <x:sz val="12"/>
      <x:color rgb="FF2270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9"/>
      </x:patternFill>
    </x:fill>
    <x:fill>
      <x:patternFill patternType="solid">
        <x:fgColor rgb="FFFFF1C7"/>
      </x:patternFill>
    </x:fill>
    <x:fill>
      <x:patternFill patternType="solid">
        <x:fgColor rgb="FFE9F3F2"/>
      </x:patternFill>
    </x:fill>
  </x:fills>
  <x:borders count="2">
    <x:border/>
    <x:border>
      <x:bottom style="thin">
        <x:color rgb="FF237F82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5" fillId="4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0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4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4" fillId="3" borderId="0" xfId="0" applyNumberFormat="1" applyFont="1" applyFill="1" applyBorder="1"/>
    <x:xf numFmtId="204" fontId="5" fillId="4" borderId="0" xfId="0" applyNumberFormat="1" applyFont="1" applyFill="1" applyBorder="1"/>
    <x:xf numFmtId="204" fontId="7" fillId="4" borderId="0" xfId="0" applyNumberFormat="1" applyFont="1" applyFill="1" applyBorder="1"/>
    <x:xf numFmtId="202" fontId="5" fillId="4" borderId="0" xfId="0" applyNumberFormat="1" applyFont="1" applyFill="1" applyBorder="1"/>
    <x:xf numFmtId="203" fontId="5" fillId="4" borderId="0" xfId="0" applyNumberFormat="1" applyFont="1" applyFill="1" applyBorder="1"/>
    <x:xf numFmtId="203" fontId="7" fillId="4" borderId="0" xfId="0" applyNumberFormat="1" applyFont="1" applyFill="1" applyBorder="1"/>
    <x:xf numFmtId="202" fontId="7" fillId="4" borderId="0" xfId="0" applyNumberFormat="1" applyFont="1" applyFill="1" applyBorder="1"/>
    <x:xf numFmtId="205" fontId="5" fillId="4" borderId="0" xfId="0" applyNumberFormat="1" applyFont="1" applyFill="1" applyBorder="1"/>
    <x:xf numFmtId="206" fontId="5" fillId="4" borderId="0" xfId="0" applyNumberFormat="1" applyFont="1" applyFill="1" applyBorder="1"/>
    <x:xf numFmtId="206" fontId="7" fillId="4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200" fontId="9" fillId="4" borderId="0" xfId="0" applyNumberFormat="1" applyFont="1" applyFill="1" applyBorder="1"/>
    <x:xf numFmtId="207" fontId="5" fillId="4" borderId="0" xfId="0" applyNumberFormat="1" applyFont="1" applyFill="1" applyBorder="1"/>
    <x:xf numFmtId="207" fontId="7" fillId="4" borderId="0" xfId="0" applyNumberFormat="1" applyFont="1" applyFill="1" applyBorder="1"/>
    <x:xf numFmtId="208" fontId="7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8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vertical="center"/>
    </x:xf>
    <x:xf numFmtId="206" fontId="7" fillId="4" borderId="0" xfId="0" applyNumberFormat="1" applyFont="1" applyFill="1" applyBorder="1" applyAlignment="1">
      <x:alignment vertical="center"/>
    </x:xf>
    <x:xf numFmtId="206" fontId="5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7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2222"/>
      </x:font>
      <x:fill>
        <x:patternFill patternType="solid">
          <x:bgColor rgb="FFF9DC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05363250a490e" /><Relationship Type="http://schemas.openxmlformats.org/officeDocument/2006/relationships/theme" Target="/xl/theme/theme1.xml" Id="R7af6807a37c44ea2" /><Relationship Type="http://schemas.openxmlformats.org/officeDocument/2006/relationships/sharedStrings" Target="/xl/sharedStrings.xml" Id="R8eb9b513d24c4029" /><Relationship Type="http://schemas.openxmlformats.org/officeDocument/2006/relationships/worksheet" Target="/xl/worksheets/sheet1.xml" Id="R2627d0e80de34824" /><Relationship Type="http://schemas.openxmlformats.org/officeDocument/2006/relationships/worksheet" Target="/xl/worksheets/sheet2.xml" Id="R92c2e59f249a4695" /><Relationship Type="http://schemas.openxmlformats.org/officeDocument/2006/relationships/worksheet" Target="/xl/worksheets/sheet3.xml" Id="R91f3bfdedf284a9f" /><Relationship Type="http://schemas.openxmlformats.org/officeDocument/2006/relationships/worksheet" Target="/xl/worksheets/sheet4.xml" Id="Re39e1f88a59643f4" /><Relationship Type="http://schemas.openxmlformats.org/officeDocument/2006/relationships/worksheet" Target="/xl/worksheets/sheet5.xml" Id="R10b9cc4b8117459a" /><Relationship Type="http://schemas.openxmlformats.org/officeDocument/2006/relationships/worksheet" Target="/xl/worksheets/sheet6.xml" Id="R8e62c1aac56742c8" /><Relationship Type="http://schemas.openxmlformats.org/officeDocument/2006/relationships/worksheet" Target="/xl/worksheets/sheet7.xml" Id="R19d6d89497f549e7" /><Relationship Type="http://schemas.openxmlformats.org/officeDocument/2006/relationships/worksheet" Target="/xl/worksheets/sheet8.xml" Id="R687bc3e8bde940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7f662874a345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fund returns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Return</c:v>
          </c:tx>
          <c:spPr>
            <a:solidFill xmlns:a="http://schemas.openxmlformats.org/drawingml/2006/main">
              <a:srgbClr val="237F82"/>
            </a:solidFill>
          </c:spPr>
          <c:cat>
            <c:strRef>
              <c:f>'Monthly returns'!$A$8:$A$19</c:f>
              <c:strCache>
                <c:ptCount val="0"/>
              </c:strCache>
            </c:strRef>
          </c:cat>
          <c:val>
            <c:numRef>
              <c:f>'Monthly returns'!$B$8:$B$19</c:f>
              <c:numCache>
                <c:formatCode>0.00%;(0.00%);"—"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41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7f662874a345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aa717017e644f9c" /></Relationships>
</file>

<file path=xl/worksheets/sheet1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46" hidden="0" customWidth="1"/>
    <x:col min="4" max="4" width="3" hidden="0" customWidth="1"/>
    <x:col min="5" max="5" width="68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Chapter 5 demo lesson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BUS331 Investments | Companion to slides 48–100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Follow the tabs from left to right as the lesson progresses.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42" customHeight="1">
      <x:c r="A6" s="47" t="str">
        <x:v>Tab</x:v>
      </x:c>
      <x:c r="B6" s="47" t="str">
        <x:v>Slides</x:v>
      </x:c>
      <x:c r="C6" s="47" t="str">
        <x:v>Excel demonstration</x:v>
      </x:c>
      <x:c r="D6" s="44"/>
      <x:c r="E6" s="48" t="str">
        <x:v>Gold cells: editable assumptions or source values. Enter 5% as 5%, not 5.</x:v>
      </x:c>
      <x:c r="F6" s="44"/>
      <x:c r="G6" s="44"/>
      <x:c r="H6" s="44"/>
      <x:c r="I6" s="49"/>
      <x:c r="J6" s="44"/>
    </x:row>
    <x:row r="7" ht="24" customHeight="1">
      <x:c r="A7" s="44" t="str">
        <x:v>Scenario risk</x:v>
      </x:c>
      <x:c r="B7" s="44" t="str">
        <x:v>48–56, 60, 87–88</x:v>
      </x:c>
      <x:c r="C7" s="48" t="str">
        <x:v>Expected return, variance, SD</x:v>
      </x:c>
      <x:c r="D7" s="44"/>
      <x:c r="E7" s="48"/>
      <x:c r="F7" s="44"/>
      <x:c r="G7" s="44"/>
      <x:c r="H7" s="44"/>
      <x:c r="I7" s="49"/>
      <x:c r="J7" s="44"/>
    </x:row>
    <x:row r="8" ht="42" customHeight="1">
      <x:c r="A8" s="44" t="str">
        <x:v>Bond investment</x:v>
      </x:c>
      <x:c r="B8" s="44" t="str">
        <x:v>57–59, 91</x:v>
      </x:c>
      <x:c r="C8" s="48" t="str">
        <x:v>HPR, expected wealth, premium</x:v>
      </x:c>
      <x:c r="D8" s="44"/>
      <x:c r="E8" s="48" t="str">
        <x:v>Pale teal cells: live Excel formulas. They are already filled so the file works during your demonstration.</x:v>
      </x:c>
      <x:c r="F8" s="44"/>
      <x:c r="G8" s="44"/>
      <x:c r="H8" s="44"/>
      <x:c r="I8" s="49"/>
      <x:c r="J8" s="44"/>
    </x:row>
    <x:row r="9" ht="24" customHeight="1">
      <x:c r="A9" s="44" t="str">
        <x:v>Monthly returns</x:v>
      </x:c>
      <x:c r="B9" s="44" t="str">
        <x:v>61–72, 84, 92</x:v>
      </x:c>
      <x:c r="C9" s="48" t="str">
        <x:v>Mean, SD, quantiles, skew, kurtosis</x:v>
      </x:c>
      <x:c r="D9" s="44"/>
      <x:c r="E9" s="48"/>
      <x:c r="F9" s="44"/>
      <x:c r="G9" s="44"/>
      <x:c r="H9" s="44"/>
      <x:c r="I9" s="49"/>
      <x:c r="J9" s="44"/>
    </x:row>
    <x:row r="10" ht="42" customHeight="1">
      <x:c r="A10" s="44" t="str">
        <x:v>Normal model</x:v>
      </x:c>
      <x:c r="B10" s="44" t="str">
        <x:v>62–63, 73–76, 89–90</x:v>
      </x:c>
      <x:c r="C10" s="48" t="str">
        <x:v>z-score and loss probability</x:v>
      </x:c>
      <x:c r="D10" s="44"/>
      <x:c r="E10" s="48" t="str">
        <x:v>To follow along: select each named cell in the directions, retype the formula, then fill down where indicated.</x:v>
      </x:c>
      <x:c r="F10" s="44"/>
      <x:c r="G10" s="44"/>
      <x:c r="H10" s="44"/>
      <x:c r="I10" s="49"/>
      <x:c r="J10" s="44"/>
    </x:row>
    <x:row r="11" ht="24" customHeight="1">
      <x:c r="A11" s="44" t="str">
        <x:v>Sharpe ratio</x:v>
      </x:c>
      <x:c r="B11" s="44" t="str">
        <x:v>77–80, 93</x:v>
      </x:c>
      <x:c r="C11" s="48" t="str">
        <x:v>Premium, excess return, allocation</x:v>
      </x:c>
      <x:c r="D11" s="44"/>
      <x:c r="E11" s="48"/>
      <x:c r="F11" s="44"/>
      <x:c r="G11" s="44"/>
      <x:c r="H11" s="44"/>
      <x:c r="I11" s="49"/>
      <x:c r="J11" s="44"/>
    </x:row>
    <x:row r="12" ht="42" customHeight="1">
      <x:c r="A12" s="44" t="str">
        <x:v>Tail risk</x:v>
      </x:c>
      <x:c r="B12" s="44" t="str">
        <x:v>81–86, 94–95</x:v>
      </x:c>
      <x:c r="C12" s="48" t="str">
        <x:v>Return cutoff, VaR and ES</x:v>
      </x:c>
      <x:c r="D12" s="44"/>
      <x:c r="E12" s="48" t="str">
        <x:v>Save your own copy before experimenting. Change gold inputs to see the calculations update.</x:v>
      </x:c>
      <x:c r="F12" s="44"/>
      <x:c r="G12" s="44"/>
      <x:c r="H12" s="44"/>
      <x:c r="I12" s="49"/>
      <x:c r="J12" s="44"/>
    </x:row>
    <x:row r="13" ht="24" customHeight="1">
      <x:c r="A13" s="44" t="str">
        <x:v>Historical record</x:v>
      </x:c>
      <x:c r="B13" s="44" t="str">
        <x:v>72, 96–100</x:v>
      </x:c>
      <x:c r="C13" s="48" t="str">
        <x:v>Actual returns and diversification</x:v>
      </x:c>
      <x:c r="D13" s="44"/>
      <x:c r="E13" s="48"/>
      <x:c r="F13" s="44"/>
      <x:c r="G13" s="44"/>
      <x:c r="H13" s="44"/>
      <x:c r="I13" s="49"/>
      <x:c r="J13" s="44"/>
    </x:row>
    <x:row r="14" ht="24" customHeight="1">
      <x:c r="A14" s="44"/>
      <x:c r="B14" s="44"/>
      <x:c r="C14" s="44"/>
      <x:c r="D14" s="44"/>
      <x:c r="E14" s="48"/>
      <x:c r="F14" s="44"/>
      <x:c r="G14" s="44"/>
      <x:c r="H14" s="44"/>
      <x:c r="I14" s="49"/>
      <x:c r="J14" s="44"/>
    </x:row>
    <x:row r="15" ht="24" customHeight="1">
      <x:c r="A15" s="44"/>
      <x:c r="B15" s="44"/>
      <x:c r="C15" s="44"/>
      <x:c r="D15" s="44"/>
      <x:c r="E15" s="48"/>
      <x:c r="F15" s="44"/>
      <x:c r="G15" s="44"/>
      <x:c r="H15" s="44"/>
      <x:c r="I15" s="49"/>
      <x:c r="J15" s="44"/>
    </x:row>
    <x:row r="16" ht="24" customHeight="1">
      <x:c r="A16" s="44" t="str">
        <x:v>Choose the method from the data</x:v>
      </x:c>
      <x:c r="B16" s="44"/>
      <x:c r="C16" s="44"/>
      <x:c r="D16" s="44"/>
      <x:c r="E16" s="48"/>
      <x:c r="F16" s="44"/>
      <x:c r="G16" s="44"/>
      <x:c r="H16" s="44"/>
      <x:c r="I16" s="49"/>
      <x:c r="J16" s="44"/>
    </x:row>
    <x:row r="17" ht="24" customHeight="1">
      <x:c r="A17" s="44"/>
      <x:c r="B17" s="44"/>
      <x:c r="C17" s="44"/>
      <x:c r="D17" s="44"/>
      <x:c r="E17" s="48"/>
      <x:c r="F17" s="44"/>
      <x:c r="G17" s="44"/>
      <x:c r="H17" s="44"/>
      <x:c r="I17" s="49"/>
      <x:c r="J17" s="44"/>
    </x:row>
    <x:row r="18" ht="42" customHeight="1">
      <x:c r="A18" s="44" t="str">
        <x:v>Scenario probabilities</x:v>
      </x:c>
      <x:c r="B18" s="44"/>
      <x:c r="C18" s="44" t="str">
        <x:v>SUMPRODUCT; weighted squared deviations</x:v>
      </x:c>
      <x:c r="D18" s="44"/>
      <x:c r="E18" s="48" t="str">
        <x:v>Scenario probabilities are weights, not observation counts. STDEV.S/P do not handle unequal scenario probabilities.</x:v>
      </x:c>
      <x:c r="F18" s="44"/>
      <x:c r="G18" s="44"/>
      <x:c r="H18" s="44"/>
      <x:c r="I18" s="49"/>
      <x:c r="J18" s="44"/>
    </x:row>
    <x:row r="19" ht="24" customHeight="1">
      <x:c r="A19" s="44" t="str">
        <x:v>Observed historical sample</x:v>
      </x:c>
      <x:c r="B19" s="44"/>
      <x:c r="C19" s="44" t="str">
        <x:v>AVERAGE; STDEV.S</x:v>
      </x:c>
      <x:c r="D19" s="44"/>
      <x:c r="E19" s="48"/>
      <x:c r="F19" s="44"/>
      <x:c r="G19" s="44"/>
      <x:c r="H19" s="44"/>
      <x:c r="I19" s="49"/>
      <x:c r="J19" s="44"/>
    </x:row>
    <x:row r="20" ht="24" customHeight="1">
      <x:c r="A20" s="44" t="str">
        <x:v>Complete defined population</x:v>
      </x:c>
      <x:c r="B20" s="44"/>
      <x:c r="C20" s="44" t="str">
        <x:v>AVERAGE; STDEV.P</x:v>
      </x:c>
      <x:c r="D20" s="44"/>
      <x:c r="E20" s="48"/>
      <x:c r="F20" s="44"/>
      <x:c r="G20" s="44"/>
      <x:c r="H20" s="44"/>
      <x:c r="I20" s="49"/>
      <x:c r="J20" s="44"/>
    </x:row>
    <x:row r="21" ht="42" customHeight="1">
      <x:c r="A21" s="44"/>
      <x:c r="B21" s="44"/>
      <x:c r="C21" s="44"/>
      <x:c r="D21" s="44"/>
      <x:c r="E21" s="48" t="str">
        <x:v>The slide scenarios and 12-month fund returns are hypothetical teaching examples. Historical record uses actual published annual data.</x:v>
      </x:c>
      <x:c r="F21" s="44"/>
      <x:c r="G21" s="44"/>
      <x:c r="H21" s="44"/>
      <x:c r="I21" s="49"/>
      <x:c r="J21" s="44"/>
    </x:row>
    <x:row r="22" ht="24" customHeight="1">
      <x:c r="A22" s="44"/>
      <x:c r="B22" s="44"/>
      <x:c r="C22" s="44"/>
      <x:c r="D22" s="44"/>
      <x:c r="E22" s="48"/>
      <x:c r="F22" s="44"/>
      <x:c r="G22" s="44"/>
      <x:c r="H22" s="44"/>
      <x:c r="I22" s="49"/>
      <x:c r="J22" s="44"/>
    </x:row>
    <x:row r="23" ht="24" customHeight="1">
      <x:c r="A23" s="44"/>
      <x:c r="B23" s="44"/>
      <x:c r="C23" s="44"/>
      <x:c r="D23" s="44"/>
      <x:c r="E23" s="48"/>
      <x:c r="F23" s="44"/>
      <x:c r="G23" s="44"/>
      <x:c r="H23" s="44"/>
      <x:c r="I23" s="49"/>
      <x:c r="J23" s="44"/>
    </x:row>
    <x:row r="24" ht="42" customHeight="1">
      <x:c r="A24" s="44"/>
      <x:c r="B24" s="44"/>
      <x:c r="C24" s="44"/>
      <x:c r="D24" s="44"/>
      <x:c r="E24" s="48" t="str">
        <x:v>Expected return is an average across possible outcomes. Standard deviation is dispersion, not a guaranteed return range.</x:v>
      </x:c>
      <x:c r="F24" s="44"/>
      <x:c r="G24" s="44"/>
      <x:c r="H24" s="44"/>
      <x:c r="I24" s="49"/>
      <x:c r="J24" s="44"/>
    </x:row>
    <x:row r="25" ht="24" customHeight="1">
      <x:c r="A25" s="44"/>
      <x:c r="B25" s="44"/>
      <x:c r="C25" s="44"/>
      <x:c r="D25" s="44"/>
      <x:c r="E25" s="48"/>
      <x:c r="F25" s="44"/>
      <x:c r="G25" s="44"/>
      <x:c r="H25" s="44"/>
      <x:c r="I25" s="49"/>
      <x:c r="J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2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 ht="2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What could a stock fund earn?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48–56, 60, 87–88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Hypothetical one-year stock-fund outcomes, matching the slides.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7" t="str">
        <x:v>Economy</x:v>
      </x:c>
      <x:c r="B7" s="47" t="str">
        <x:v>Probability</x:v>
      </x:c>
      <x:c r="C7" s="47" t="str">
        <x:v>Return</x:v>
      </x:c>
      <x:c r="D7" s="47" t="str">
        <x:v>p × return</x:v>
      </x:c>
      <x:c r="E7" s="47" t="str">
        <x:v>Return − mean</x:v>
      </x:c>
      <x:c r="F7" s="47" t="str">
        <x:v>Squared deviation</x:v>
      </x:c>
      <x:c r="G7" s="47" t="str">
        <x:v>p × squared dev.</x:v>
      </x:c>
      <x:c r="H7" s="44"/>
      <x:c r="I7" s="48" t="str">
        <x:v>1. In D8 enter =B8*C8. Fill down to D11. Each outcome contributes its probability × return.</x:v>
      </x:c>
      <x:c r="J7" s="44"/>
    </x:row>
    <x:row r="8" ht="24" customHeight="1">
      <x:c r="A8" s="44" t="str">
        <x:v>Boom</x:v>
      </x:c>
      <x:c r="B8" s="50" t="n">
        <x:v>0.3</x:v>
      </x:c>
      <x:c r="C8" s="50" t="n">
        <x:v>0.45</x:v>
      </x:c>
      <x:c r="D8" s="51" t="n">
        <x:f>B8*C8</x:f>
        <x:v>0.135</x:v>
      </x:c>
      <x:c r="E8" s="51" t="n">
        <x:f>C8-$C$15</x:f>
        <x:v>0.31425000000000003</x:v>
      </x:c>
      <x:c r="F8" s="52" t="n">
        <x:f>E8^2</x:f>
        <x:v>0.09875306250000002</x:v>
      </x:c>
      <x:c r="G8" s="52" t="n">
        <x:f>B8*F8</x:f>
        <x:v>0.029625918750000004</x:v>
      </x:c>
      <x:c r="H8" s="44"/>
      <x:c r="I8" s="44"/>
      <x:c r="J8" s="44"/>
    </x:row>
    <x:row r="9" ht="24" customHeight="1">
      <x:c r="A9" s="44" t="str">
        <x:v>Normal growth</x:v>
      </x:c>
      <x:c r="B9" s="50" t="n">
        <x:v>0.4</x:v>
      </x:c>
      <x:c r="C9" s="50" t="n">
        <x:v>0.13</x:v>
      </x:c>
      <x:c r="D9" s="51" t="n">
        <x:f>B9*C9</x:f>
        <x:v>0.052000000000000005</x:v>
      </x:c>
      <x:c r="E9" s="51" t="n">
        <x:f>C9-$C$15</x:f>
        <x:v>-0.005749999999999977</x:v>
      </x:c>
      <x:c r="F9" s="52" t="n">
        <x:f>E9^2</x:f>
        <x:v>0.00003306249999999974</x:v>
      </x:c>
      <x:c r="G9" s="52" t="n">
        <x:f>B9*F9</x:f>
        <x:v>0.000013224999999999896</x:v>
      </x:c>
      <x:c r="H9" s="44"/>
      <x:c r="I9" s="44"/>
      <x:c r="J9" s="44"/>
    </x:row>
    <x:row r="10" ht="42" customHeight="1">
      <x:c r="A10" s="44" t="str">
        <x:v>Recession</x:v>
      </x:c>
      <x:c r="B10" s="50" t="n">
        <x:v>0.275</x:v>
      </x:c>
      <x:c r="C10" s="50" t="n">
        <x:v>-0.15</x:v>
      </x:c>
      <x:c r="D10" s="51" t="n">
        <x:f>B10*C10</x:f>
        <x:v>-0.04125</x:v>
      </x:c>
      <x:c r="E10" s="51" t="n">
        <x:f>C10-$C$15</x:f>
        <x:v>-0.28574999999999995</x:v>
      </x:c>
      <x:c r="F10" s="52" t="n">
        <x:f>E10^2</x:f>
        <x:v>0.08165306249999997</x:v>
      </x:c>
      <x:c r="G10" s="52" t="n">
        <x:f>B10*F10</x:f>
        <x:v>0.022454592187499994</x:v>
      </x:c>
      <x:c r="H10" s="44"/>
      <x:c r="I10" s="48" t="str">
        <x:v>2. In C15 enter =SUM(D8:D11). Shortcut: =SUMPRODUCT(B8:B11,C8:C11).</x:v>
      </x:c>
      <x:c r="J10" s="44"/>
    </x:row>
    <x:row r="11" ht="24" customHeight="1">
      <x:c r="A11" s="44" t="str">
        <x:v>Severe recession</x:v>
      </x:c>
      <x:c r="B11" s="50" t="n">
        <x:v>0.025</x:v>
      </x:c>
      <x:c r="C11" s="50" t="n">
        <x:v>-0.4</x:v>
      </x:c>
      <x:c r="D11" s="51" t="n">
        <x:f>B11*C11</x:f>
        <x:v>-0.010000000000000002</x:v>
      </x:c>
      <x:c r="E11" s="51" t="n">
        <x:f>C11-$C$15</x:f>
        <x:v>-0.53575</x:v>
      </x:c>
      <x:c r="F11" s="52" t="n">
        <x:f>E11^2</x:f>
        <x:v>0.28702806249999996</x:v>
      </x:c>
      <x:c r="G11" s="52" t="n">
        <x:f>B11*F11</x:f>
        <x:v>0.007175701562499999</x:v>
      </x:c>
      <x:c r="H11" s="44"/>
      <x:c r="I11" s="44"/>
      <x:c r="J11" s="44"/>
    </x:row>
    <x:row r="12" ht="2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 ht="42" customHeight="1">
      <x:c r="A13" s="53" t="str">
        <x:v>Probability total</x:v>
      </x:c>
      <x:c r="B13" s="53"/>
      <x:c r="C13" s="54" t="n">
        <x:f>SUM(B8:B11)</x:f>
        <x:v>1</x:v>
      </x:c>
      <x:c r="D13" s="44"/>
      <x:c r="E13" s="44"/>
      <x:c r="F13" s="44"/>
      <x:c r="G13" s="44"/>
      <x:c r="H13" s="44"/>
      <x:c r="I13" s="48" t="str">
        <x:v>3. In E8 enter =C8-$C$15. In F8 enter =E8^2. In G8 enter =B8*F8. Fill each through row 11.</x:v>
      </x:c>
      <x:c r="J13" s="44"/>
    </x:row>
    <x:row r="14" ht="2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 ht="24" customHeight="1">
      <x:c r="A15" s="53" t="str">
        <x:v>Expected return</x:v>
      </x:c>
      <x:c r="B15" s="53"/>
      <x:c r="C15" s="55" t="n">
        <x:f>SUM(D8:D11)</x:f>
        <x:v>0.13574999999999998</x:v>
      </x:c>
      <x:c r="D15" s="44"/>
      <x:c r="E15" s="44"/>
      <x:c r="F15" s="44"/>
      <x:c r="G15" s="44"/>
      <x:c r="H15" s="44"/>
      <x:c r="I15" s="44"/>
      <x:c r="J15" s="44"/>
    </x:row>
    <x:row r="16" ht="42" customHeight="1">
      <x:c r="A16" s="53" t="str">
        <x:v>Variance (decimal²)</x:v>
      </x:c>
      <x:c r="B16" s="53"/>
      <x:c r="C16" s="56" t="n">
        <x:f>SUM(G8:G11)</x:f>
        <x:v>0.059269437499999994</x:v>
      </x:c>
      <x:c r="D16" s="44"/>
      <x:c r="E16" s="44"/>
      <x:c r="F16" s="44"/>
      <x:c r="G16" s="44"/>
      <x:c r="H16" s="44"/>
      <x:c r="I16" s="48" t="str">
        <x:v>4. In C16 enter =SUM(G8:G11). In C17 enter =SQRT(C16). Variance uses decimal returns squared.</x:v>
      </x:c>
      <x:c r="J16" s="44"/>
    </x:row>
    <x:row r="17" ht="24" customHeight="1">
      <x:c r="A17" s="53" t="str">
        <x:v>Standard deviation</x:v>
      </x:c>
      <x:c r="B17" s="53"/>
      <x:c r="C17" s="54" t="n">
        <x:f>SQRT(C16)</x:f>
        <x:v>0.24345315257765712</x:v>
      </x:c>
      <x:c r="D17" s="44"/>
      <x:c r="E17" s="44"/>
      <x:c r="F17" s="44"/>
      <x:c r="G17" s="44"/>
      <x:c r="H17" s="44"/>
      <x:c r="I17" s="44"/>
      <x:c r="J17" s="44"/>
    </x:row>
    <x:row r="18" ht="2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</x:row>
    <x:row r="19" ht="42" customHeight="1">
      <x:c r="A19" s="44"/>
      <x:c r="B19" s="44"/>
      <x:c r="C19" s="44"/>
      <x:c r="D19" s="44"/>
      <x:c r="E19" s="44"/>
      <x:c r="F19" s="44"/>
      <x:c r="G19" s="44"/>
      <x:c r="H19" s="44"/>
      <x:c r="I19" s="48" t="str">
        <x:v>Discuss: 13.575% is the expected average; 24.35% measures dispersion. Neither promises the next return.</x:v>
      </x:c>
      <x:c r="J19" s="44"/>
    </x:row>
    <x:row r="20" ht="2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 ht="2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 ht="42" customHeight="1">
      <x:c r="A22" s="44"/>
      <x:c r="B22" s="44"/>
      <x:c r="C22" s="44"/>
      <x:c r="D22" s="44"/>
      <x:c r="E22" s="44"/>
      <x:c r="F22" s="44"/>
      <x:c r="G22" s="44"/>
      <x:c r="H22" s="44"/>
      <x:c r="I22" s="48" t="str">
        <x:v>Try changing the boom return to 35%. Restore 45% afterward. If you change probabilities, keep their total at 100%.</x:v>
      </x:c>
      <x:c r="J22" s="44"/>
    </x:row>
    <x:row r="23" ht="2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2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2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</x:row>
    <x:row r="26" ht="38" customHeight="1">
      <x:c r="A26" s="47" t="str">
        <x:v>Same mean</x:v>
      </x:c>
      <x:c r="B26" s="47" t="str">
        <x:v>Probability</x:v>
      </x:c>
      <x:c r="C26" s="47" t="str">
        <x:v>Investment A</x:v>
      </x:c>
      <x:c r="D26" s="47" t="str">
        <x:v>Investment B</x:v>
      </x:c>
      <x:c r="E26" s="44"/>
      <x:c r="F26" s="44"/>
      <x:c r="G26" s="44"/>
      <x:c r="H26" s="44"/>
      <x:c r="I26" s="44"/>
      <x:c r="J26" s="44"/>
    </x:row>
    <x:row r="27" ht="42" customHeight="1">
      <x:c r="A27" s="44" t="str">
        <x:v>Low</x:v>
      </x:c>
      <x:c r="B27" s="50" t="n">
        <x:v>0.3333333333333333</x:v>
      </x:c>
      <x:c r="C27" s="50" t="n">
        <x:v>0.05</x:v>
      </x:c>
      <x:c r="D27" s="50" t="n">
        <x:v>-0.2</x:v>
      </x:c>
      <x:c r="E27" s="44"/>
      <x:c r="F27" s="44"/>
      <x:c r="G27" s="44"/>
      <x:c r="H27" s="44"/>
      <x:c r="I27" s="48" t="str">
        <x:v>Both average 10%. Compare the spread: 4.08% versus 24.49%. Which would feel riskier to hold?</x:v>
      </x:c>
      <x:c r="J27" s="44"/>
    </x:row>
    <x:row r="28" ht="24" customHeight="1">
      <x:c r="A28" s="44" t="str">
        <x:v>Middle</x:v>
      </x:c>
      <x:c r="B28" s="50" t="n">
        <x:v>0.3333333333333333</x:v>
      </x:c>
      <x:c r="C28" s="50" t="n">
        <x:v>0.1</x:v>
      </x:c>
      <x:c r="D28" s="50" t="n">
        <x:v>0.1</x:v>
      </x:c>
      <x:c r="E28" s="44"/>
      <x:c r="F28" s="44"/>
      <x:c r="G28" s="44"/>
      <x:c r="H28" s="44"/>
      <x:c r="I28" s="44"/>
      <x:c r="J28" s="44"/>
    </x:row>
    <x:row r="29" ht="24" customHeight="1">
      <x:c r="A29" s="44" t="str">
        <x:v>High</x:v>
      </x:c>
      <x:c r="B29" s="50" t="n">
        <x:v>0.3333333333333333</x:v>
      </x:c>
      <x:c r="C29" s="50" t="n">
        <x:v>0.15</x:v>
      </x:c>
      <x:c r="D29" s="50" t="n">
        <x:v>0.4</x:v>
      </x:c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 t="str">
        <x:v>Expected return</x:v>
      </x:c>
      <x:c r="B31" s="44"/>
      <x:c r="C31" s="51" t="n">
        <x:f>SUMPRODUCT(B27:B29,C27:C29)</x:f>
        <x:v>0.1</x:v>
      </x:c>
      <x:c r="D31" s="51" t="n">
        <x:f>SUMPRODUCT(B27:B29,D27:D29)</x:f>
        <x:v>0.1</x:v>
      </x:c>
      <x:c r="E31" s="44"/>
      <x:c r="F31" s="44"/>
      <x:c r="G31" s="44"/>
      <x:c r="H31" s="44"/>
      <x:c r="I31" s="44"/>
      <x:c r="J31" s="44"/>
    </x:row>
    <x:row r="32" ht="24" customHeight="1">
      <x:c r="A32" s="44" t="str">
        <x:v>Standard deviation</x:v>
      </x:c>
      <x:c r="B32" s="44"/>
      <x:c r="C32" s="51" t="n">
        <x:f>SQRT(B27*(C27-C31)^2+B28*(C28-C31)^2+B29*(C29-C31)^2)</x:f>
        <x:v>0.0408248290463863</x:v>
      </x:c>
      <x:c r="D32" s="51" t="n">
        <x:f>SQRT(B27*(D27-D31)^2+B28*(D28-D31)^2+B29*(D29-D31)^2)</x:f>
        <x:v>0.24494897427831783</x:v>
      </x:c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conditionalFormatting sqref="C13:C13">
    <x:cfRule type="cellIs" dxfId="0" priority="1" operator="notEqual">
      <x:formula>1</x:formula>
    </x:cfRule>
  </x:conditionalFormatting>
  <x:dataValidations count="1">
    <x:dataValidation type="decimal" operator="between" sqref="B8:B11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Interest rates change a bond’s resale price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57–59, 91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Hypothetical corporate bond: one year of coupon income plus sale proceeds.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4" t="str">
        <x:v>Amount invested</x:v>
      </x:c>
      <x:c r="B7" s="44"/>
      <x:c r="C7" s="57" t="n">
        <x:v>27000</x:v>
      </x:c>
      <x:c r="D7" s="44"/>
      <x:c r="E7" s="44"/>
      <x:c r="F7" s="44"/>
      <x:c r="G7" s="44"/>
      <x:c r="H7" s="44"/>
      <x:c r="I7" s="48" t="str">
        <x:v>1. In C12 enter =C7/C8. You buy 30 bonds. $1,000 is par value; the purchase price is $900.</x:v>
      </x:c>
      <x:c r="J7" s="44"/>
    </x:row>
    <x:row r="8" ht="24" customHeight="1">
      <x:c r="A8" s="44" t="str">
        <x:v>Purchase price per bond</x:v>
      </x:c>
      <x:c r="B8" s="44"/>
      <x:c r="C8" s="58" t="n">
        <x:v>900</x:v>
      </x:c>
      <x:c r="D8" s="44"/>
      <x:c r="E8" s="44"/>
      <x:c r="F8" s="44"/>
      <x:c r="G8" s="44"/>
      <x:c r="H8" s="44"/>
      <x:c r="I8" s="44"/>
      <x:c r="J8" s="44"/>
    </x:row>
    <x:row r="9" ht="24" customHeight="1">
      <x:c r="A9" s="44" t="str">
        <x:v>Coupon per bond</x:v>
      </x:c>
      <x:c r="B9" s="44"/>
      <x:c r="C9" s="58" t="n">
        <x:v>75</x:v>
      </x:c>
      <x:c r="D9" s="44"/>
      <x:c r="E9" s="44"/>
      <x:c r="F9" s="44"/>
      <x:c r="G9" s="44"/>
      <x:c r="H9" s="44"/>
      <x:c r="I9" s="44"/>
      <x:c r="J9" s="44"/>
    </x:row>
    <x:row r="10" ht="42" customHeight="1">
      <x:c r="A10" s="44" t="str">
        <x:v>Par value per bond</x:v>
      </x:c>
      <x:c r="B10" s="44"/>
      <x:c r="C10" s="57" t="n">
        <x:v>1000</x:v>
      </x:c>
      <x:c r="D10" s="44"/>
      <x:c r="E10" s="44"/>
      <x:c r="F10" s="44"/>
      <x:c r="G10" s="44"/>
      <x:c r="H10" s="44"/>
      <x:c r="I10" s="48" t="str">
        <x:v>2. In D16 enter =(C16-$C$8+$C$9)/$C$8. Fill to D18. Add coupon income once.</x:v>
      </x:c>
      <x:c r="J10" s="44"/>
    </x:row>
    <x:row r="11" ht="24" customHeight="1">
      <x:c r="A11" s="44" t="str">
        <x:v>One-year T-bill rate</x:v>
      </x:c>
      <x:c r="B11" s="44"/>
      <x:c r="C11" s="50" t="n">
        <x:v>0.05</x:v>
      </x:c>
      <x:c r="D11" s="44"/>
      <x:c r="E11" s="44"/>
      <x:c r="F11" s="44"/>
      <x:c r="G11" s="44"/>
      <x:c r="H11" s="44"/>
      <x:c r="I11" s="44"/>
      <x:c r="J11" s="44"/>
    </x:row>
    <x:row r="12" ht="24" customHeight="1">
      <x:c r="A12" s="53" t="str">
        <x:v>Number of bonds</x:v>
      </x:c>
      <x:c r="B12" s="53"/>
      <x:c r="C12" s="59" t="n">
        <x:f>C7/C8</x:f>
        <x:v>30</x:v>
      </x:c>
      <x:c r="D12" s="44"/>
      <x:c r="E12" s="44"/>
      <x:c r="F12" s="44"/>
      <x:c r="G12" s="44"/>
      <x:c r="H12" s="44"/>
      <x:c r="I12" s="44"/>
      <x:c r="J12" s="44"/>
    </x:row>
    <x:row r="13" ht="2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</x:row>
    <x:row r="14" ht="2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 ht="42" customHeight="1">
      <x:c r="A15" s="47" t="str">
        <x:v>Interest rates</x:v>
      </x:c>
      <x:c r="B15" s="47" t="str">
        <x:v>Probability</x:v>
      </x:c>
      <x:c r="C15" s="47" t="str">
        <x:v>Sale price / bond</x:v>
      </x:c>
      <x:c r="D15" s="47" t="str">
        <x:v>HPR</x:v>
      </x:c>
      <x:c r="E15" s="47" t="str">
        <x:v>p × HPR</x:v>
      </x:c>
      <x:c r="F15" s="47" t="str">
        <x:v>Ending wealth</x:v>
      </x:c>
      <x:c r="G15" s="47" t="str">
        <x:v>p × wealth</x:v>
      </x:c>
      <x:c r="H15" s="44"/>
      <x:c r="I15" s="48" t="str">
        <x:v>3. In F16 enter =$C$12*(C16+$C$9). Fill to F18. Ending wealth includes sale proceeds and coupons.</x:v>
      </x:c>
      <x:c r="J15" s="44"/>
    </x:row>
    <x:row r="16" ht="24" customHeight="1">
      <x:c r="A16" s="44" t="str">
        <x:v>Higher</x:v>
      </x:c>
      <x:c r="B16" s="50" t="n">
        <x:v>0.2</x:v>
      </x:c>
      <x:c r="C16" s="58" t="n">
        <x:v>850</x:v>
      </x:c>
      <x:c r="D16" s="51" t="n">
        <x:f>(C16-$C$8+$C$9)/$C$8</x:f>
        <x:v>0.027777777777777776</x:v>
      </x:c>
      <x:c r="E16" s="51" t="n">
        <x:f>B16*D16</x:f>
        <x:v>0.005555555555555556</x:v>
      </x:c>
      <x:c r="F16" s="60" t="n">
        <x:f>$C$12*(C16+$C$9)</x:f>
        <x:v>27750</x:v>
      </x:c>
      <x:c r="G16" s="60" t="n">
        <x:f>B16*F16</x:f>
        <x:v>5550</x:v>
      </x:c>
      <x:c r="H16" s="44"/>
      <x:c r="I16" s="44"/>
      <x:c r="J16" s="44"/>
    </x:row>
    <x:row r="17" ht="24" customHeight="1">
      <x:c r="A17" s="44" t="str">
        <x:v>Unchanged</x:v>
      </x:c>
      <x:c r="B17" s="50" t="n">
        <x:v>0.5</x:v>
      </x:c>
      <x:c r="C17" s="58" t="n">
        <x:v>915</x:v>
      </x:c>
      <x:c r="D17" s="51" t="n">
        <x:f>(C17-$C$8+$C$9)/$C$8</x:f>
        <x:v>0.1</x:v>
      </x:c>
      <x:c r="E17" s="51" t="n">
        <x:f>B17*D17</x:f>
        <x:v>0.05</x:v>
      </x:c>
      <x:c r="F17" s="60" t="n">
        <x:f>$C$12*(C17+$C$9)</x:f>
        <x:v>29700</x:v>
      </x:c>
      <x:c r="G17" s="60" t="n">
        <x:f>B17*F17</x:f>
        <x:v>14850</x:v>
      </x:c>
      <x:c r="H17" s="44"/>
      <x:c r="I17" s="44"/>
      <x:c r="J17" s="44"/>
    </x:row>
    <x:row r="18" ht="42" customHeight="1">
      <x:c r="A18" s="44" t="str">
        <x:v>Lower</x:v>
      </x:c>
      <x:c r="B18" s="50" t="n">
        <x:v>0.3</x:v>
      </x:c>
      <x:c r="C18" s="58" t="n">
        <x:v>985</x:v>
      </x:c>
      <x:c r="D18" s="51" t="n">
        <x:f>(C18-$C$8+$C$9)/$C$8</x:f>
        <x:v>0.17777777777777778</x:v>
      </x:c>
      <x:c r="E18" s="51" t="n">
        <x:f>B18*D18</x:f>
        <x:v>0.05333333333333334</x:v>
      </x:c>
      <x:c r="F18" s="60" t="n">
        <x:f>$C$12*(C18+$C$9)</x:f>
        <x:v>31800</x:v>
      </x:c>
      <x:c r="G18" s="60" t="n">
        <x:f>B18*F18</x:f>
        <x:v>9540</x:v>
      </x:c>
      <x:c r="H18" s="44"/>
      <x:c r="I18" s="48" t="str">
        <x:v>4. Weight HPR and wealth by probability. Sum E16:E18 and G16:G18 for the expected results.</x:v>
      </x:c>
      <x:c r="J18" s="44"/>
    </x:row>
    <x:row r="19" ht="2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24" customHeight="1">
      <x:c r="A20" s="53" t="str">
        <x:v>Expected selling price</x:v>
      </x:c>
      <x:c r="B20" s="53"/>
      <x:c r="C20" s="61" t="n">
        <x:f>SUMPRODUCT(B16:B18,C16:C18)</x:f>
        <x:v>923</x:v>
      </x:c>
      <x:c r="D20" s="44"/>
      <x:c r="E20" s="44"/>
      <x:c r="F20" s="44"/>
      <x:c r="G20" s="44"/>
      <x:c r="H20" s="44"/>
      <x:c r="I20" s="44"/>
      <x:c r="J20" s="44"/>
    </x:row>
    <x:row r="21" ht="24" customHeight="1">
      <x:c r="A21" s="53" t="str">
        <x:v>Expected ending wealth</x:v>
      </x:c>
      <x:c r="B21" s="53"/>
      <x:c r="C21" s="62" t="n">
        <x:f>SUM(G16:G18)</x:f>
        <x:v>29940</x:v>
      </x:c>
      <x:c r="D21" s="44"/>
      <x:c r="E21" s="44"/>
      <x:c r="F21" s="44"/>
      <x:c r="G21" s="44"/>
      <x:c r="H21" s="44"/>
      <x:c r="I21" s="44"/>
      <x:c r="J21" s="44"/>
    </x:row>
    <x:row r="22" ht="42" customHeight="1">
      <x:c r="A22" s="53" t="str">
        <x:v>Expected HPR</x:v>
      </x:c>
      <x:c r="B22" s="53"/>
      <x:c r="C22" s="54" t="n">
        <x:f>SUM(E16:E18)</x:f>
        <x:v>0.1088888888888889</x:v>
      </x:c>
      <x:c r="D22" s="44"/>
      <x:c r="E22" s="44"/>
      <x:c r="F22" s="44"/>
      <x:c r="G22" s="44"/>
      <x:c r="H22" s="44"/>
      <x:c r="I22" s="48" t="str">
        <x:v>Check: $923 expected selling price; $29,940 ending wealth; 10.89% expected HPR; 5.89 percentage-point premium.</x:v>
      </x:c>
      <x:c r="J22" s="44"/>
    </x:row>
    <x:row r="23" ht="24" customHeight="1">
      <x:c r="A23" s="53" t="str">
        <x:v>Expected risk premium</x:v>
      </x:c>
      <x:c r="B23" s="53"/>
      <x:c r="C23" s="54" t="n">
        <x:f>C22-C11</x:f>
        <x:v>0.05888888888888889</x:v>
      </x:c>
      <x:c r="D23" s="44"/>
      <x:c r="E23" s="44"/>
      <x:c r="F23" s="44"/>
      <x:c r="G23" s="44"/>
      <x:c r="H23" s="44"/>
      <x:c r="I23" s="44"/>
      <x:c r="J23" s="44"/>
    </x:row>
    <x:row r="24" ht="2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42" customHeight="1">
      <x:c r="A25" s="44"/>
      <x:c r="B25" s="44"/>
      <x:c r="C25" s="44"/>
      <x:c r="D25" s="44"/>
      <x:c r="E25" s="44"/>
      <x:c r="F25" s="44"/>
      <x:c r="G25" s="44"/>
      <x:c r="H25" s="44"/>
      <x:c r="I25" s="48" t="str">
        <x:v>Real-world connection: rising yields generally lower existing fixed-rate bond prices. These price scenarios are assumptions, not quotes.</x:v>
      </x:c>
      <x:c r="J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2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 ht="2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A tech fund’s uneven year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61–72, 84, 92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Hypothetical monthly returns from the slides. All statistics here use monthly units.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7" t="str">
        <x:v>Month</x:v>
      </x:c>
      <x:c r="B7" s="47" t="str">
        <x:v>Return</x:v>
      </x:c>
      <x:c r="C7" s="47" t="str">
        <x:v>Deviation</x:v>
      </x:c>
      <x:c r="D7" s="47" t="str">
        <x:v>Deviation²</x:v>
      </x:c>
      <x:c r="E7" s="47" t="str">
        <x:v>Below target</x:v>
      </x:c>
      <x:c r="F7" s="47" t="str">
        <x:v>Shortfall²</x:v>
      </x:c>
      <x:c r="G7" s="47" t="str">
        <x:v>Growth factor</x:v>
      </x:c>
      <x:c r="H7" s="44"/>
      <x:c r="I7" s="48" t="str">
        <x:v>1. In C22 type =AVERAGE(B8:B19). In C24 type =STDEV.S(B8:B19). Historical samples use n − 1.</x:v>
      </x:c>
      <x:c r="J7" s="44"/>
    </x:row>
    <x:row r="8" ht="24" customHeight="1">
      <x:c r="A8" s="44" t="str">
        <x:v>Jan</x:v>
      </x:c>
      <x:c r="B8" s="50" t="n">
        <x:v>0.02</x:v>
      </x:c>
      <x:c r="C8" s="51" t="n">
        <x:f>B8-$C$22</x:f>
        <x:v>0.011666666666666667</x:v>
      </x:c>
      <x:c r="D8" s="52" t="n">
        <x:f>C8^2</x:f>
        <x:v>0.00013611111111111113</x:v>
      </x:c>
      <x:c r="E8" s="51" t="n">
        <x:f>MIN(B8-$C$29,0)</x:f>
        <x:v>0</x:v>
      </x:c>
      <x:c r="F8" s="52" t="n">
        <x:f>E8^2</x:f>
        <x:v>0</x:v>
      </x:c>
      <x:c r="G8" s="63" t="n">
        <x:f>1+B8</x:f>
        <x:v>1.02</x:v>
      </x:c>
      <x:c r="H8" s="44"/>
      <x:c r="I8" s="44"/>
      <x:c r="J8" s="44"/>
    </x:row>
    <x:row r="9" ht="24" customHeight="1">
      <x:c r="A9" s="44" t="str">
        <x:v>Feb</x:v>
      </x:c>
      <x:c r="B9" s="50" t="n">
        <x:v>0.03</x:v>
      </x:c>
      <x:c r="C9" s="51" t="n">
        <x:f>B9-$C$22</x:f>
        <x:v>0.021666666666666667</x:v>
      </x:c>
      <x:c r="D9" s="52" t="n">
        <x:f>C9^2</x:f>
        <x:v>0.0004694444444444445</x:v>
      </x:c>
      <x:c r="E9" s="51" t="n">
        <x:f>MIN(B9-$C$29,0)</x:f>
        <x:v>0</x:v>
      </x:c>
      <x:c r="F9" s="52" t="n">
        <x:f>E9^2</x:f>
        <x:v>0</x:v>
      </x:c>
      <x:c r="G9" s="63" t="n">
        <x:f>1+B9</x:f>
        <x:v>1.03</x:v>
      </x:c>
      <x:c r="H9" s="44"/>
      <x:c r="I9" s="44"/>
      <x:c r="J9" s="44"/>
    </x:row>
    <x:row r="10" ht="42" customHeight="1">
      <x:c r="A10" s="44" t="str">
        <x:v>Mar</x:v>
      </x:c>
      <x:c r="B10" s="50" t="n">
        <x:v>-0.01</x:v>
      </x:c>
      <x:c r="C10" s="51" t="n">
        <x:f>B10-$C$22</x:f>
        <x:v>-0.018333333333333333</x:v>
      </x:c>
      <x:c r="D10" s="52" t="n">
        <x:f>C10^2</x:f>
        <x:v>0.00033611111111111114</x:v>
      </x:c>
      <x:c r="E10" s="51" t="n">
        <x:f>MIN(B10-$C$29,0)</x:f>
        <x:v>-0.01</x:v>
      </x:c>
      <x:c r="F10" s="52" t="n">
        <x:f>E10^2</x:f>
        <x:v>0.0001</x:v>
      </x:c>
      <x:c r="G10" s="63" t="n">
        <x:f>1+B10</x:f>
        <x:v>0.99</x:v>
      </x:c>
      <x:c r="H10" s="44"/>
      <x:c r="I10" s="48" t="str">
        <x:v>2. In C8 type =B8-$C$22; D8 =C8^2. Fill to row 19. Check sample SD with =SQRT(SUM(D8:D19)/(COUNT(B8:B19)-1)).</x:v>
      </x:c>
      <x:c r="J10" s="44"/>
    </x:row>
    <x:row r="11" ht="24" customHeight="1">
      <x:c r="A11" s="44" t="str">
        <x:v>Apr</x:v>
      </x:c>
      <x:c r="B11" s="50" t="n">
        <x:v>0.04</x:v>
      </x:c>
      <x:c r="C11" s="51" t="n">
        <x:f>B11-$C$22</x:f>
        <x:v>0.03166666666666667</x:v>
      </x:c>
      <x:c r="D11" s="52" t="n">
        <x:f>C11^2</x:f>
        <x:v>0.001002777777777778</x:v>
      </x:c>
      <x:c r="E11" s="51" t="n">
        <x:f>MIN(B11-$C$29,0)</x:f>
        <x:v>0</x:v>
      </x:c>
      <x:c r="F11" s="52" t="n">
        <x:f>E11^2</x:f>
        <x:v>0</x:v>
      </x:c>
      <x:c r="G11" s="63" t="n">
        <x:f>1+B11</x:f>
        <x:v>1.04</x:v>
      </x:c>
      <x:c r="H11" s="44"/>
      <x:c r="I11" s="44"/>
      <x:c r="J11" s="44"/>
    </x:row>
    <x:row r="12" ht="24" customHeight="1">
      <x:c r="A12" s="44" t="str">
        <x:v>May</x:v>
      </x:c>
      <x:c r="B12" s="50" t="n">
        <x:v>0.02</x:v>
      </x:c>
      <x:c r="C12" s="51" t="n">
        <x:f>B12-$C$22</x:f>
        <x:v>0.011666666666666667</x:v>
      </x:c>
      <x:c r="D12" s="52" t="n">
        <x:f>C12^2</x:f>
        <x:v>0.00013611111111111113</x:v>
      </x:c>
      <x:c r="E12" s="51" t="n">
        <x:f>MIN(B12-$C$29,0)</x:f>
        <x:v>0</x:v>
      </x:c>
      <x:c r="F12" s="52" t="n">
        <x:f>E12^2</x:f>
        <x:v>0</x:v>
      </x:c>
      <x:c r="G12" s="63" t="n">
        <x:f>1+B12</x:f>
        <x:v>1.02</x:v>
      </x:c>
      <x:c r="H12" s="44"/>
      <x:c r="I12" s="44"/>
      <x:c r="J12" s="44"/>
    </x:row>
    <x:row r="13" ht="42" customHeight="1">
      <x:c r="A13" s="44" t="str">
        <x:v>Jun</x:v>
      </x:c>
      <x:c r="B13" s="50" t="n">
        <x:v>-0.02</x:v>
      </x:c>
      <x:c r="C13" s="51" t="n">
        <x:f>B13-$C$22</x:f>
        <x:v>-0.028333333333333335</x:v>
      </x:c>
      <x:c r="D13" s="52" t="n">
        <x:f>C13^2</x:f>
        <x:v>0.0008027777777777779</x:v>
      </x:c>
      <x:c r="E13" s="51" t="n">
        <x:f>MIN(B13-$C$29,0)</x:f>
        <x:v>-0.02</x:v>
      </x:c>
      <x:c r="F13" s="52" t="n">
        <x:f>E13^2</x:f>
        <x:v>0.0004</x:v>
      </x:c>
      <x:c r="G13" s="63" t="n">
        <x:f>1+B13</x:f>
        <x:v>0.98</x:v>
      </x:c>
      <x:c r="H13" s="44"/>
      <x:c r="I13" s="48" t="str">
        <x:v>3. In C25 type =SKEW(B8:B19); C26 =KURT(B8:B19). Excel KURT reports excess kurtosis; normal benchmark = 0.</x:v>
      </x:c>
      <x:c r="J13" s="44"/>
    </x:row>
    <x:row r="14" ht="24" customHeight="1">
      <x:c r="A14" s="44" t="str">
        <x:v>Jul</x:v>
      </x:c>
      <x:c r="B14" s="50" t="n">
        <x:v>0.01</x:v>
      </x:c>
      <x:c r="C14" s="51" t="n">
        <x:f>B14-$C$22</x:f>
        <x:v>0.001666666666666667</x:v>
      </x:c>
      <x:c r="D14" s="52" t="n">
        <x:f>C14^2</x:f>
        <x:v>0.0000027777777777777788</x:v>
      </x:c>
      <x:c r="E14" s="51" t="n">
        <x:f>MIN(B14-$C$29,0)</x:f>
        <x:v>0</x:v>
      </x:c>
      <x:c r="F14" s="52" t="n">
        <x:f>E14^2</x:f>
        <x:v>0</x:v>
      </x:c>
      <x:c r="G14" s="63" t="n">
        <x:f>1+B14</x:f>
        <x:v>1.01</x:v>
      </x:c>
      <x:c r="H14" s="44"/>
      <x:c r="I14" s="44"/>
      <x:c r="J14" s="44"/>
    </x:row>
    <x:row r="15" ht="24" customHeight="1">
      <x:c r="A15" s="44" t="str">
        <x:v>Aug</x:v>
      </x:c>
      <x:c r="B15" s="50" t="n">
        <x:v>-0.15</x:v>
      </x:c>
      <x:c r="C15" s="51" t="n">
        <x:f>B15-$C$22</x:f>
        <x:v>-0.15833333333333333</x:v>
      </x:c>
      <x:c r="D15" s="52" t="n">
        <x:f>C15^2</x:f>
        <x:v>0.025069444444444443</x:v>
      </x:c>
      <x:c r="E15" s="51" t="n">
        <x:f>MIN(B15-$C$29,0)</x:f>
        <x:v>-0.15</x:v>
      </x:c>
      <x:c r="F15" s="52" t="n">
        <x:f>E15^2</x:f>
        <x:v>0.0225</x:v>
      </x:c>
      <x:c r="G15" s="63" t="n">
        <x:f>1+B15</x:f>
        <x:v>0.85</x:v>
      </x:c>
      <x:c r="H15" s="44"/>
      <x:c r="I15" s="44"/>
      <x:c r="J15" s="44"/>
    </x:row>
    <x:row r="16" ht="42" customHeight="1">
      <x:c r="A16" s="44" t="str">
        <x:v>Sep</x:v>
      </x:c>
      <x:c r="B16" s="50" t="n">
        <x:v>0.02</x:v>
      </x:c>
      <x:c r="C16" s="51" t="n">
        <x:f>B16-$C$22</x:f>
        <x:v>0.011666666666666667</x:v>
      </x:c>
      <x:c r="D16" s="52" t="n">
        <x:f>C16^2</x:f>
        <x:v>0.00013611111111111113</x:v>
      </x:c>
      <x:c r="E16" s="51" t="n">
        <x:f>MIN(B16-$C$29,0)</x:f>
        <x:v>0</x:v>
      </x:c>
      <x:c r="F16" s="52" t="n">
        <x:f>E16^2</x:f>
        <x:v>0</x:v>
      </x:c>
      <x:c r="G16" s="63" t="n">
        <x:f>1+B16</x:f>
        <x:v>1.02</x:v>
      </x:c>
      <x:c r="H16" s="44"/>
      <x:c r="I16" s="48" t="str">
        <x:v>Check: mean 0.8333%; sample SD 5.7971%; skew −1.776; excess kurtosis 5.752.</x:v>
      </x:c>
      <x:c r="J16" s="44"/>
    </x:row>
    <x:row r="17" ht="24" customHeight="1">
      <x:c r="A17" s="44" t="str">
        <x:v>Oct</x:v>
      </x:c>
      <x:c r="B17" s="50" t="n">
        <x:v>0.03</x:v>
      </x:c>
      <x:c r="C17" s="51" t="n">
        <x:f>B17-$C$22</x:f>
        <x:v>0.021666666666666667</x:v>
      </x:c>
      <x:c r="D17" s="52" t="n">
        <x:f>C17^2</x:f>
        <x:v>0.0004694444444444445</x:v>
      </x:c>
      <x:c r="E17" s="51" t="n">
        <x:f>MIN(B17-$C$29,0)</x:f>
        <x:v>0</x:v>
      </x:c>
      <x:c r="F17" s="52" t="n">
        <x:f>E17^2</x:f>
        <x:v>0</x:v>
      </x:c>
      <x:c r="G17" s="63" t="n">
        <x:f>1+B17</x:f>
        <x:v>1.03</x:v>
      </x:c>
      <x:c r="H17" s="44"/>
      <x:c r="I17" s="44"/>
      <x:c r="J17" s="44"/>
    </x:row>
    <x:row r="18" ht="24" customHeight="1">
      <x:c r="A18" s="44" t="str">
        <x:v>Nov</x:v>
      </x:c>
      <x:c r="B18" s="50" t="n">
        <x:v>0.1</x:v>
      </x:c>
      <x:c r="C18" s="51" t="n">
        <x:f>B18-$C$22</x:f>
        <x:v>0.09166666666666667</x:v>
      </x:c>
      <x:c r="D18" s="52" t="n">
        <x:f>C18^2</x:f>
        <x:v>0.00840277777777778</x:v>
      </x:c>
      <x:c r="E18" s="51" t="n">
        <x:f>MIN(B18-$C$29,0)</x:f>
        <x:v>0</x:v>
      </x:c>
      <x:c r="F18" s="52" t="n">
        <x:f>E18^2</x:f>
        <x:v>0</x:v>
      </x:c>
      <x:c r="G18" s="63" t="n">
        <x:f>1+B18</x:f>
        <x:v>1.1</x:v>
      </x:c>
      <x:c r="H18" s="44"/>
      <x:c r="I18" s="44"/>
      <x:c r="J18" s="44"/>
    </x:row>
    <x:row r="19" ht="24" customHeight="1">
      <x:c r="A19" s="44" t="str">
        <x:v>Dec</x:v>
      </x:c>
      <x:c r="B19" s="50" t="n">
        <x:v>0.01</x:v>
      </x:c>
      <x:c r="C19" s="51" t="n">
        <x:f>B19-$C$22</x:f>
        <x:v>0.001666666666666667</x:v>
      </x:c>
      <x:c r="D19" s="52" t="n">
        <x:f>C19^2</x:f>
        <x:v>0.0000027777777777777788</x:v>
      </x:c>
      <x:c r="E19" s="51" t="n">
        <x:f>MIN(B19-$C$29,0)</x:f>
        <x:v>0</x:v>
      </x:c>
      <x:c r="F19" s="52" t="n">
        <x:f>E19^2</x:f>
        <x:v>0</x:v>
      </x:c>
      <x:c r="G19" s="63" t="n">
        <x:f>1+B19</x:f>
        <x:v>1.01</x:v>
      </x:c>
      <x:c r="H19" s="44"/>
      <x:c r="I19" s="44"/>
      <x:c r="J19" s="44"/>
    </x:row>
    <x:row r="20" ht="42" customHeight="1">
      <x:c r="A20" s="44"/>
      <x:c r="B20" s="44"/>
      <x:c r="C20" s="44"/>
      <x:c r="D20" s="44"/>
      <x:c r="E20" s="44"/>
      <x:c r="F20" s="44"/>
      <x:c r="G20" s="44"/>
      <x:c r="H20" s="44"/>
      <x:c r="I20" s="48" t="str">
        <x:v>4. E8 =MIN(B8-$C$29,0); F8 =E8^2. Fill down. C30 divides squared shortfalls by ALL 12 months.</x:v>
      </x:c>
      <x:c r="J20" s="44"/>
    </x:row>
    <x:row r="21" ht="2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 ht="24" customHeight="1">
      <x:c r="A22" s="53" t="str">
        <x:v>Mean monthly return</x:v>
      </x:c>
      <x:c r="B22" s="53"/>
      <x:c r="C22" s="54" t="n">
        <x:f>AVERAGE(B8:B19)</x:f>
        <x:v>0.008333333333333333</x:v>
      </x:c>
      <x:c r="D22" s="44"/>
      <x:c r="E22" s="44"/>
      <x:c r="F22" s="44"/>
      <x:c r="G22" s="44"/>
      <x:c r="H22" s="44"/>
      <x:c r="I22" s="44"/>
      <x:c r="J22" s="44"/>
    </x:row>
    <x:row r="23" ht="24" customHeight="1">
      <x:c r="A23" s="53" t="str">
        <x:v>Sample variance</x:v>
      </x:c>
      <x:c r="B23" s="53"/>
      <x:c r="C23" s="56" t="n">
        <x:f>_xlfn.VAR.S(B8:B19)</x:f>
        <x:v>0.003360606060606061</x:v>
      </x:c>
      <x:c r="D23" s="44"/>
      <x:c r="E23" s="44"/>
      <x:c r="F23" s="44"/>
      <x:c r="G23" s="44"/>
      <x:c r="H23" s="44"/>
      <x:c r="I23" s="44"/>
      <x:c r="J23" s="44"/>
    </x:row>
    <x:row r="24" ht="42" customHeight="1">
      <x:c r="A24" s="53" t="str">
        <x:v>Sample standard deviation</x:v>
      </x:c>
      <x:c r="B24" s="53"/>
      <x:c r="C24" s="54" t="n">
        <x:f>_xlfn.STDEV.S(B8:B19)</x:f>
        <x:v>0.05797073451842801</x:v>
      </x:c>
      <x:c r="D24" s="44"/>
      <x:c r="E24" s="44"/>
      <x:c r="F24" s="44"/>
      <x:c r="G24" s="44"/>
      <x:c r="H24" s="44"/>
      <x:c r="I24" s="48" t="str">
        <x:v>Downside deviation measures shortfall below the target, not the standard deviation of only negative months.</x:v>
      </x:c>
      <x:c r="J24" s="44"/>
    </x:row>
    <x:row r="25" ht="24" customHeight="1">
      <x:c r="A25" s="53" t="str">
        <x:v>Skewness</x:v>
      </x:c>
      <x:c r="B25" s="53"/>
      <x:c r="C25" s="64" t="n">
        <x:f>SKEW(B8:B19)</x:f>
        <x:v>-1.7757164208291971</x:v>
      </x:c>
      <x:c r="D25" s="44"/>
      <x:c r="E25" s="44"/>
      <x:c r="F25" s="44"/>
      <x:c r="G25" s="44"/>
      <x:c r="H25" s="44"/>
      <x:c r="I25" s="44"/>
      <x:c r="J25" s="44"/>
    </x:row>
    <x:row r="26" ht="24" customHeight="1">
      <x:c r="A26" s="53" t="str">
        <x:v>Excess kurtosis</x:v>
      </x:c>
      <x:c r="B26" s="53"/>
      <x:c r="C26" s="64" t="n">
        <x:f>KURT(B8:B19)</x:f>
        <x:v>5.752204318954437</x:v>
      </x:c>
      <x:c r="D26" s="44"/>
      <x:c r="E26" s="44"/>
      <x:c r="F26" s="44"/>
      <x:c r="G26" s="44"/>
      <x:c r="H26" s="44"/>
      <x:c r="I26" s="44"/>
      <x:c r="J26" s="44"/>
    </x:row>
    <x:row r="27" ht="24" customHeight="1">
      <x:c r="A27" s="53" t="str">
        <x:v>Median monthly return</x:v>
      </x:c>
      <x:c r="B27" s="53"/>
      <x:c r="C27" s="54" t="n">
        <x:f>MEDIAN(B8:B19)</x:f>
        <x:v>0.02</x:v>
      </x:c>
      <x:c r="D27" s="44"/>
      <x:c r="E27" s="44"/>
      <x:c r="F27" s="44"/>
      <x:c r="G27" s="44"/>
      <x:c r="H27" s="44"/>
      <x:c r="I27" s="44"/>
      <x:c r="J27" s="44"/>
    </x:row>
    <x:row r="28" ht="42" customHeight="1">
      <x:c r="A28" s="44"/>
      <x:c r="B28" s="44"/>
      <x:c r="C28" s="44"/>
      <x:c r="D28" s="44"/>
      <x:c r="E28" s="44"/>
      <x:c r="F28" s="44"/>
      <x:c r="G28" s="44"/>
      <x:c r="H28" s="44"/>
      <x:c r="I28" s="48" t="str">
        <x:v>Sortino uses the monthly target and monthly downside deviation. CV = SD / mean; unstable near zero and not useful for nonpositive means.</x:v>
      </x:c>
      <x:c r="J28" s="44"/>
    </x:row>
    <x:row r="29" ht="24" customHeight="1">
      <x:c r="A29" s="44" t="str">
        <x:v>Monthly target return</x:v>
      </x:c>
      <x:c r="B29" s="44"/>
      <x:c r="C29" s="50" t="n">
        <x:v>0</x:v>
      </x:c>
      <x:c r="D29" s="44"/>
      <x:c r="E29" s="44"/>
      <x:c r="F29" s="44"/>
      <x:c r="G29" s="44"/>
      <x:c r="H29" s="44"/>
      <x:c r="I29" s="44"/>
      <x:c r="J29" s="44"/>
    </x:row>
    <x:row r="30" ht="24" customHeight="1">
      <x:c r="A30" s="53" t="str">
        <x:v>Downside deviation</x:v>
      </x:c>
      <x:c r="B30" s="53"/>
      <x:c r="C30" s="54" t="n">
        <x:f>SQRT(SUM(F8:F19)/COUNT(B8:B19))</x:f>
        <x:v>0.04377975178854566</x:v>
      </x:c>
      <x:c r="D30" s="44"/>
      <x:c r="E30" s="44"/>
      <x:c r="F30" s="44"/>
      <x:c r="G30" s="44"/>
      <x:c r="H30" s="44"/>
      <x:c r="I30" s="44"/>
      <x:c r="J30" s="44"/>
    </x:row>
    <x:row r="31" ht="24" customHeight="1">
      <x:c r="A31" s="53" t="str">
        <x:v>Sortino ratio</x:v>
      </x:c>
      <x:c r="B31" s="53"/>
      <x:c r="C31" s="64" t="n">
        <x:f>IF(C30=0,"n.a.",(C22-C29)/C30)</x:f>
        <x:v>0.19034674690672024</x:v>
      </x:c>
      <x:c r="D31" s="44"/>
      <x:c r="E31" s="44"/>
      <x:c r="F31" s="44"/>
      <x:c r="G31" s="44"/>
      <x:c r="H31" s="44"/>
      <x:c r="I31" s="44"/>
      <x:c r="J31" s="44"/>
    </x:row>
    <x:row r="32" ht="24" customHeight="1">
      <x:c r="A32" s="53" t="str">
        <x:v>Coefficient of variation</x:v>
      </x:c>
      <x:c r="B32" s="53"/>
      <x:c r="C32" s="59" t="n">
        <x:f>IF(C22&lt;=0,"n.a.",C24/C22)</x:f>
        <x:v>6.956488142211361</x:v>
      </x:c>
      <x:c r="D32" s="44"/>
      <x:c r="E32" s="44"/>
      <x:c r="F32" s="44"/>
      <x:c r="G32" s="44"/>
      <x:c r="H32" s="44"/>
      <x:c r="I32" s="44"/>
      <x:c r="J32" s="44"/>
    </x:row>
    <x:row r="33" ht="42" customHeight="1">
      <x:c r="A33" s="44"/>
      <x:c r="B33" s="44"/>
      <x:c r="C33" s="44"/>
      <x:c r="D33" s="44"/>
      <x:c r="E33" s="44"/>
      <x:c r="F33" s="44"/>
      <x:c r="G33" s="44"/>
      <x:c r="H33" s="44"/>
      <x:c r="I33" s="48" t="str">
        <x:v>5. C34 =PERCENTILE.INC(B8:B19,0.25). Quantiles divide ordered observations; Excel interpolates between them.</x:v>
      </x:c>
      <x:c r="J33" s="44"/>
    </x:row>
    <x:row r="34" ht="24" customHeight="1">
      <x:c r="A34" s="53" t="str">
        <x:v>25th percentile (Q1)</x:v>
      </x:c>
      <x:c r="B34" s="53"/>
      <x:c r="C34" s="54" t="n">
        <x:f>_xlfn.PERCENTILE.INC(B8:B19,0.25)</x:f>
        <x:v>0.005</x:v>
      </x:c>
      <x:c r="D34" s="44"/>
      <x:c r="E34" s="44"/>
      <x:c r="F34" s="44"/>
      <x:c r="G34" s="44"/>
      <x:c r="H34" s="44"/>
      <x:c r="I34" s="44"/>
      <x:c r="J34" s="44"/>
    </x:row>
    <x:row r="35" ht="24" customHeight="1">
      <x:c r="A35" s="53" t="str">
        <x:v>20th percentile (quintile)</x:v>
      </x:c>
      <x:c r="B35" s="53"/>
      <x:c r="C35" s="54" t="n">
        <x:f>_xlfn.PERCENTILE.INC(B8:B19,0.2)</x:f>
        <x:v>-0.006</x:v>
      </x:c>
      <x:c r="D35" s="44"/>
      <x:c r="E35" s="44"/>
      <x:c r="F35" s="44"/>
      <x:c r="G35" s="44"/>
      <x:c r="H35" s="44"/>
      <x:c r="I35" s="44"/>
      <x:c r="J35" s="44"/>
    </x:row>
    <x:row r="36" ht="24" customHeight="1">
      <x:c r="A36" s="53" t="str">
        <x:v>10th percentile (decile)</x:v>
      </x:c>
      <x:c r="B36" s="53"/>
      <x:c r="C36" s="54" t="n">
        <x:f>_xlfn.PERCENTILE.INC(B8:B19,0.1)</x:f>
        <x:v>-0.019</x:v>
      </x:c>
      <x:c r="D36" s="44"/>
      <x:c r="E36" s="44"/>
      <x:c r="F36" s="44"/>
      <x:c r="G36" s="44"/>
      <x:c r="H36" s="44"/>
      <x:c r="I36" s="44"/>
      <x:c r="J36" s="44"/>
    </x:row>
    <x:row r="37" ht="42" customHeight="1">
      <x:c r="A37" s="53" t="str">
        <x:v>75th percentile (Q3)</x:v>
      </x:c>
      <x:c r="B37" s="53"/>
      <x:c r="C37" s="54" t="n">
        <x:f>_xlfn.PERCENTILE.INC(B8:B19,0.75)</x:f>
        <x:v>0.03</x:v>
      </x:c>
      <x:c r="D37" s="44"/>
      <x:c r="E37" s="44"/>
      <x:c r="F37" s="44"/>
      <x:c r="G37" s="44"/>
      <x:c r="H37" s="44"/>
      <x:c r="I37" s="48" t="str">
        <x:v>Change August to −5%, observe skew and kurtosis, then restore −15%. Twelve observations are too few for reliable tail estimates.</x:v>
      </x:c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53" t="str">
        <x:v>Compounded year return</x:v>
      </x:c>
      <x:c r="B39" s="53"/>
      <x:c r="C39" s="54" t="n">
        <x:f>PRODUCT(G8:G19)-1</x:f>
        <x:v>0.08348756839591953</x:v>
      </x:c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pageMargins left="0.7" right="0.7" top="0.75" bottom="0.75" header="0.3" footer="0.3"/>
  <x:drawing xmlns:r="http://schemas.openxmlformats.org/officeDocument/2006/relationships" r:id="Raaa717017e644f9c"/>
</x:worksheet>
</file>

<file path=xl/worksheets/sheet5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From a return threshold to a probability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62–63, 73–76, 89–90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Hypothetical monthly normal model, matching the slide exercise.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4" t="str">
        <x:v>Monthly mean</x:v>
      </x:c>
      <x:c r="B7" s="44"/>
      <x:c r="C7" s="50" t="n">
        <x:v>0.01</x:v>
      </x:c>
      <x:c r="D7" s="44"/>
      <x:c r="E7" s="44"/>
      <x:c r="F7" s="44"/>
      <x:c r="G7" s="44"/>
      <x:c r="H7" s="44"/>
      <x:c r="I7" s="48" t="str">
        <x:v>1. C12 =(C9-C7)/C8. A −15% return lies 2.67 standard deviations below the 1% mean.</x:v>
      </x:c>
      <x:c r="J7" s="44"/>
    </x:row>
    <x:row r="8" ht="24" customHeight="1">
      <x:c r="A8" s="44" t="str">
        <x:v>Monthly SD</x:v>
      </x:c>
      <x:c r="B8" s="44"/>
      <x:c r="C8" s="50" t="n">
        <x:v>0.06</x:v>
      </x:c>
      <x:c r="D8" s="44"/>
      <x:c r="E8" s="44"/>
      <x:c r="F8" s="44"/>
      <x:c r="G8" s="44"/>
      <x:c r="H8" s="44"/>
      <x:c r="I8" s="44"/>
      <x:c r="J8" s="44"/>
    </x:row>
    <x:row r="9" ht="24" customHeight="1">
      <x:c r="A9" s="44" t="str">
        <x:v>Return threshold</x:v>
      </x:c>
      <x:c r="B9" s="44"/>
      <x:c r="C9" s="50" t="n">
        <x:v>-0.15</x:v>
      </x:c>
      <x:c r="D9" s="44"/>
      <x:c r="E9" s="44"/>
      <x:c r="F9" s="44"/>
      <x:c r="G9" s="44"/>
      <x:c r="H9" s="44"/>
      <x:c r="I9" s="44"/>
      <x:c r="J9" s="44"/>
    </x:row>
    <x:row r="10" ht="42" customHeight="1">
      <x:c r="A10" s="44"/>
      <x:c r="B10" s="44"/>
      <x:c r="C10" s="44"/>
      <x:c r="D10" s="44"/>
      <x:c r="E10" s="44"/>
      <x:c r="F10" s="44"/>
      <x:c r="G10" s="44"/>
      <x:c r="H10" s="44"/>
      <x:c r="I10" s="48" t="str">
        <x:v>2. C13 =NORM.DIST(C9,C7,C8,TRUE). TRUE gives cumulative probability to the left of the threshold.</x:v>
      </x:c>
      <x:c r="J10" s="44"/>
    </x:row>
    <x:row r="11" ht="2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 ht="24" customHeight="1">
      <x:c r="A12" s="53" t="str">
        <x:v>z-score</x:v>
      </x:c>
      <x:c r="B12" s="53"/>
      <x:c r="C12" s="64" t="n">
        <x:f>(C9-C7)/C8</x:f>
        <x:v>-2.666666666666667</x:v>
      </x:c>
      <x:c r="D12" s="44"/>
      <x:c r="E12" s="44"/>
      <x:c r="F12" s="44"/>
      <x:c r="G12" s="44"/>
      <x:c r="H12" s="44"/>
      <x:c r="I12" s="44"/>
      <x:c r="J12" s="44"/>
    </x:row>
    <x:row r="13" ht="42" customHeight="1">
      <x:c r="A13" s="53" t="str">
        <x:v>Probability below threshold</x:v>
      </x:c>
      <x:c r="B13" s="53"/>
      <x:c r="C13" s="54" t="n">
        <x:f>_xlfn.NORM.DIST(C9,C7,C8,TRUE)</x:f>
        <x:v>0.0038303805675897196</x:v>
      </x:c>
      <x:c r="D13" s="44"/>
      <x:c r="E13" s="44"/>
      <x:c r="F13" s="44"/>
      <x:c r="G13" s="44"/>
      <x:c r="H13" s="44"/>
      <x:c r="I13" s="48" t="str">
        <x:v>Check: below −15% ≈ 0.383%; below 0% ≈ 43.38%. A positive mean does not eliminate loss probability.</x:v>
      </x:c>
      <x:c r="J13" s="44"/>
    </x:row>
    <x:row r="14" ht="24" customHeight="1">
      <x:c r="A14" s="53" t="str">
        <x:v>Probability of a loss (&lt;0%)</x:v>
      </x:c>
      <x:c r="B14" s="53"/>
      <x:c r="C14" s="54" t="n">
        <x:f>_xlfn.NORM.DIST(0,C7,C8,TRUE)</x:f>
        <x:v>0.43381616738909634</x:v>
      </x:c>
      <x:c r="D14" s="44"/>
      <x:c r="E14" s="44"/>
      <x:c r="F14" s="44"/>
      <x:c r="G14" s="44"/>
      <x:c r="H14" s="44"/>
      <x:c r="I14" s="44"/>
      <x:c r="J14" s="44"/>
    </x:row>
    <x:row r="15" ht="2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 ht="2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 ht="2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</x:row>
    <x:row r="18" ht="42" customHeight="1">
      <x:c r="A18" s="47" t="str">
        <x:v>Central band</x:v>
      </x:c>
      <x:c r="B18" s="47" t="str">
        <x:v>Low return</x:v>
      </x:c>
      <x:c r="C18" s="47" t="str">
        <x:v>High return</x:v>
      </x:c>
      <x:c r="D18" s="47" t="str">
        <x:v>Model probability</x:v>
      </x:c>
      <x:c r="E18" s="44"/>
      <x:c r="F18" s="44"/>
      <x:c r="G18" s="44"/>
      <x:c r="H18" s="44"/>
      <x:c r="I18" s="48" t="str">
        <x:v>The 68–95–99.7 rule describes central intervals under a normal model. It does not guarantee realized returns stay inside them.</x:v>
      </x:c>
      <x:c r="J18" s="44"/>
    </x:row>
    <x:row r="19" ht="24" customHeight="1">
      <x:c r="A19" s="44" t="str">
        <x:v>1 standard deviation</x:v>
      </x:c>
      <x:c r="B19" s="51" t="n">
        <x:f>$C$7-1*$C$8</x:f>
        <x:v>-0.049999999999999996</x:v>
      </x:c>
      <x:c r="C19" s="51" t="n">
        <x:f>$C$7+1*$C$8</x:f>
        <x:v>0.06999999999999999</x:v>
      </x:c>
      <x:c r="D19" s="51" t="n">
        <x:f>_xlfn.NORM.DIST(C19,$C$7,$C$8,TRUE)-_xlfn.NORM.DIST(B19,$C$7,$C$8,TRUE)</x:f>
        <x:v>0.6826894921370859</x:v>
      </x:c>
      <x:c r="E19" s="44"/>
      <x:c r="F19" s="44"/>
      <x:c r="G19" s="44"/>
      <x:c r="H19" s="44"/>
      <x:c r="I19" s="44"/>
      <x:c r="J19" s="44"/>
    </x:row>
    <x:row r="20" ht="24" customHeight="1">
      <x:c r="A20" s="44" t="str">
        <x:v>2 standard deviations</x:v>
      </x:c>
      <x:c r="B20" s="51" t="n">
        <x:f>$C$7-2*$C$8</x:f>
        <x:v>-0.11</x:v>
      </x:c>
      <x:c r="C20" s="51" t="n">
        <x:f>$C$7+2*$C$8</x:f>
        <x:v>0.13</x:v>
      </x:c>
      <x:c r="D20" s="51" t="n">
        <x:f>_xlfn.NORM.DIST(C20,$C$7,$C$8,TRUE)-_xlfn.NORM.DIST(B20,$C$7,$C$8,TRUE)</x:f>
        <x:v>0.9544997361036416</x:v>
      </x:c>
      <x:c r="E20" s="44"/>
      <x:c r="F20" s="44"/>
      <x:c r="G20" s="44"/>
      <x:c r="H20" s="44"/>
      <x:c r="I20" s="44"/>
      <x:c r="J20" s="44"/>
    </x:row>
    <x:row r="21" ht="24" customHeight="1">
      <x:c r="A21" s="44" t="str">
        <x:v>3 standard deviations</x:v>
      </x:c>
      <x:c r="B21" s="51" t="n">
        <x:f>$C$7-3*$C$8</x:f>
        <x:v>-0.16999999999999998</x:v>
      </x:c>
      <x:c r="C21" s="51" t="n">
        <x:f>$C$7+3*$C$8</x:f>
        <x:v>0.19</x:v>
      </x:c>
      <x:c r="D21" s="51" t="n">
        <x:f>_xlfn.NORM.DIST(C21,$C$7,$C$8,TRUE)-_xlfn.NORM.DIST(B21,$C$7,$C$8,TRUE)</x:f>
        <x:v>0.9973002039367398</x:v>
      </x:c>
      <x:c r="E21" s="44"/>
      <x:c r="F21" s="44"/>
      <x:c r="G21" s="44"/>
      <x:c r="H21" s="44"/>
      <x:c r="I21" s="44"/>
      <x:c r="J21" s="44"/>
    </x:row>
    <x:row r="22" ht="42" customHeight="1">
      <x:c r="A22" s="44"/>
      <x:c r="B22" s="44"/>
      <x:c r="C22" s="44"/>
      <x:c r="D22" s="44"/>
      <x:c r="E22" s="44"/>
      <x:c r="F22" s="44"/>
      <x:c r="G22" s="44"/>
      <x:c r="H22" s="44"/>
      <x:c r="I22" s="48" t="str">
        <x:v>Try threshold −5%, then restore −15%. Do not mix a monthly mean with an annual SD.</x:v>
      </x:c>
      <x:c r="J22" s="44"/>
    </x:row>
    <x:row r="23" ht="2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2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42" customHeight="1">
      <x:c r="A25" s="44"/>
      <x:c r="B25" s="44"/>
      <x:c r="C25" s="44"/>
      <x:c r="D25" s="44"/>
      <x:c r="E25" s="44"/>
      <x:c r="F25" s="44"/>
      <x:c r="G25" s="44"/>
      <x:c r="H25" s="44"/>
      <x:c r="I25" s="48" t="str">
        <x:v>Real-world connection: risk teams use distributions to translate thresholds into probabilities. Skew and fat tails can make normal estimates misleading.</x:v>
      </x:c>
      <x:c r="J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2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 ht="2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dataValidations count="1">
    <x:dataValidation type="decimal" operator="greaterThan" sqref="C8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Compare reward per unit of volatility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77–80, 93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Hypothetical one-year fund, T-bill allocation and market comparison.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4" t="str">
        <x:v>One-year T-bill rate</x:v>
      </x:c>
      <x:c r="B7" s="44"/>
      <x:c r="C7" s="50" t="n">
        <x:v>0.025</x:v>
      </x:c>
      <x:c r="D7" s="44"/>
      <x:c r="E7" s="44"/>
      <x:c r="F7" s="44"/>
      <x:c r="G7" s="44"/>
      <x:c r="H7" s="44"/>
      <x:c r="I7" s="48" t="str">
        <x:v>1. D14 =B14-$C$7. E14 =D14/C14. Expected premium is expected return less the matching risk-free rate.</x:v>
      </x:c>
      <x:c r="J7" s="44"/>
    </x:row>
    <x:row r="8" ht="24" customHeight="1">
      <x:c r="A8" s="44" t="str">
        <x:v>Fund weight</x:v>
      </x:c>
      <x:c r="B8" s="44"/>
      <x:c r="C8" s="50" t="n">
        <x:v>0.7</x:v>
      </x:c>
      <x:c r="D8" s="44"/>
      <x:c r="E8" s="44"/>
      <x:c r="F8" s="44"/>
      <x:c r="G8" s="44"/>
      <x:c r="H8" s="44"/>
      <x:c r="I8" s="44"/>
      <x:c r="J8" s="44"/>
    </x:row>
    <x:row r="9" ht="24" customHeight="1">
      <x:c r="A9" s="53" t="str">
        <x:v>T-bill weight</x:v>
      </x:c>
      <x:c r="B9" s="53"/>
      <x:c r="C9" s="54" t="n">
        <x:f>1-C8</x:f>
        <x:v>0.30000000000000004</x:v>
      </x:c>
      <x:c r="D9" s="44"/>
      <x:c r="E9" s="44"/>
      <x:c r="F9" s="44"/>
      <x:c r="G9" s="44"/>
      <x:c r="H9" s="44"/>
      <x:c r="I9" s="44"/>
      <x:c r="J9" s="44"/>
    </x:row>
    <x:row r="10" ht="42" customHeight="1">
      <x:c r="A10" s="44" t="str">
        <x:v>Realized fund return</x:v>
      </x:c>
      <x:c r="B10" s="44"/>
      <x:c r="C10" s="50" t="n">
        <x:v>0.03</x:v>
      </x:c>
      <x:c r="D10" s="44"/>
      <x:c r="E10" s="44"/>
      <x:c r="F10" s="44"/>
      <x:c r="G10" s="44"/>
      <x:c r="H10" s="44"/>
      <x:c r="I10" s="48" t="str">
        <x:v>2. B15 =$C$8*B14+$C$9*$C$7. C15 =$C$8*C14. T-bills have zero SD in this one-year model.</x:v>
      </x:c>
      <x:c r="J10" s="44"/>
    </x:row>
    <x:row r="11" ht="2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 ht="2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 ht="38" customHeight="1">
      <x:c r="A13" s="47" t="str">
        <x:v>Investment</x:v>
      </x:c>
      <x:c r="B13" s="47" t="str">
        <x:v>Expected return</x:v>
      </x:c>
      <x:c r="C13" s="47" t="str">
        <x:v>SD</x:v>
      </x:c>
      <x:c r="D13" s="47" t="str">
        <x:v>Risk premium</x:v>
      </x:c>
      <x:c r="E13" s="47" t="str">
        <x:v>Sharpe ratio</x:v>
      </x:c>
      <x:c r="F13" s="44"/>
      <x:c r="G13" s="44"/>
      <x:c r="H13" s="44"/>
      <x:c r="I13" s="44"/>
      <x:c r="J13" s="44"/>
    </x:row>
    <x:row r="14" ht="42" customHeight="1">
      <x:c r="A14" s="44" t="str">
        <x:v>Fund</x:v>
      </x:c>
      <x:c r="B14" s="50" t="n">
        <x:v>0.1405</x:v>
      </x:c>
      <x:c r="C14" s="50" t="n">
        <x:v>0.25</x:v>
      </x:c>
      <x:c r="D14" s="51" t="n">
        <x:f>B14-$C$7</x:f>
        <x:v>0.11550000000000002</x:v>
      </x:c>
      <x:c r="E14" s="65" t="n">
        <x:f>IF(C14=0,"n.a.",D14/C14)</x:f>
        <x:v>0.4620000000000001</x:v>
      </x:c>
      <x:c r="F14" s="44"/>
      <x:c r="G14" s="44"/>
      <x:c r="H14" s="44"/>
      <x:c r="I14" s="48" t="str">
        <x:v>3. Calculate D15:E16. Fund and mix Sharpe = 0.462; market = 0.475. Adding T-bills reduces return and SD proportionally.</x:v>
      </x:c>
      <x:c r="J14" s="44"/>
    </x:row>
    <x:row r="15" ht="24" customHeight="1">
      <x:c r="A15" s="44" t="str">
        <x:v>Fund + T-bills</x:v>
      </x:c>
      <x:c r="B15" s="51" t="n">
        <x:f>C8*B14+C9*C7</x:f>
        <x:v>0.10585000000000001</x:v>
      </x:c>
      <x:c r="C15" s="51" t="n">
        <x:f>C8*C14</x:f>
        <x:v>0.175</x:v>
      </x:c>
      <x:c r="D15" s="51" t="n">
        <x:f>B15-$C$7</x:f>
        <x:v>0.08085</x:v>
      </x:c>
      <x:c r="E15" s="65" t="n">
        <x:f>IF(C15=0,"n.a.",D15/C15)</x:f>
        <x:v>0.4620000000000001</x:v>
      </x:c>
      <x:c r="F15" s="44"/>
      <x:c r="G15" s="44"/>
      <x:c r="H15" s="44"/>
      <x:c r="I15" s="44"/>
      <x:c r="J15" s="44"/>
    </x:row>
    <x:row r="16" ht="24" customHeight="1">
      <x:c r="A16" s="44" t="str">
        <x:v>Market</x:v>
      </x:c>
      <x:c r="B16" s="50" t="n">
        <x:v>0.12</x:v>
      </x:c>
      <x:c r="C16" s="50" t="n">
        <x:v>0.2</x:v>
      </x:c>
      <x:c r="D16" s="51" t="n">
        <x:f>B16-$C$7</x:f>
        <x:v>0.095</x:v>
      </x:c>
      <x:c r="E16" s="65" t="n">
        <x:f>IF(C16=0,"n.a.",D16/C16)</x:f>
        <x:v>0.475</x:v>
      </x:c>
      <x:c r="F16" s="44"/>
      <x:c r="G16" s="44"/>
      <x:c r="H16" s="44"/>
      <x:c r="I16" s="44"/>
      <x:c r="J16" s="44"/>
    </x:row>
    <x:row r="17" ht="2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</x:row>
    <x:row r="18" ht="42" customHeight="1">
      <x:c r="A18" s="44"/>
      <x:c r="B18" s="44"/>
      <x:c r="C18" s="44"/>
      <x:c r="D18" s="44"/>
      <x:c r="E18" s="44"/>
      <x:c r="F18" s="44"/>
      <x:c r="G18" s="44"/>
      <x:c r="H18" s="44"/>
      <x:c r="I18" s="48" t="str">
        <x:v>C20 =C10-C7. Realized excess return uses an actual outcome, while expected risk premium uses the expected return.</x:v>
      </x:c>
      <x:c r="J18" s="44"/>
    </x:row>
    <x:row r="19" ht="2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24" customHeight="1">
      <x:c r="A20" s="53" t="str">
        <x:v>Realized excess return</x:v>
      </x:c>
      <x:c r="B20" s="53"/>
      <x:c r="C20" s="54" t="n">
        <x:f>C10-C7</x:f>
        <x:v>0.0049999999999999975</x:v>
      </x:c>
      <x:c r="D20" s="44"/>
      <x:c r="E20" s="44"/>
      <x:c r="F20" s="44"/>
      <x:c r="G20" s="44"/>
      <x:c r="H20" s="44"/>
      <x:c r="I20" s="44"/>
      <x:c r="J20" s="44"/>
    </x:row>
    <x:row r="21" ht="2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 ht="42" customHeight="1">
      <x:c r="A22" s="44"/>
      <x:c r="B22" s="44"/>
      <x:c r="C22" s="44"/>
      <x:c r="D22" s="44"/>
      <x:c r="E22" s="44"/>
      <x:c r="F22" s="44"/>
      <x:c r="G22" s="44"/>
      <x:c r="H22" s="44"/>
      <x:c r="I22" s="48" t="str">
        <x:v>Try a 40% fund weight, then restore 70%. Under these assumptions the fund/mix Sharpe stays the same.</x:v>
      </x:c>
      <x:c r="J22" s="44"/>
    </x:row>
    <x:row r="23" ht="2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2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42" customHeight="1">
      <x:c r="A25" s="44"/>
      <x:c r="B25" s="44"/>
      <x:c r="C25" s="44"/>
      <x:c r="D25" s="44"/>
      <x:c r="E25" s="44"/>
      <x:c r="F25" s="44"/>
      <x:c r="G25" s="44"/>
      <x:c r="H25" s="44"/>
      <x:c r="I25" s="48" t="str">
        <x:v>Do not average standard deviations for two risky assets. The simple scaling here works because the other asset is risk-free over the stated horizon.</x:v>
      </x:c>
      <x:c r="J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2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 ht="2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dataValidations count="1">
    <x:dataValidation type="decimal" operator="between" sqref="C8">
      <x:formula1>0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37F82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3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A loss threshold and the tail beyond it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81–86, 94–95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One-month normal model fitted to the hypothetical 12-month fund sample.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42" customHeight="1">
      <x:c r="A7" s="44" t="str">
        <x:v>Portfolio value</x:v>
      </x:c>
      <x:c r="B7" s="44"/>
      <x:c r="C7" s="57" t="n">
        <x:v>100000</x:v>
      </x:c>
      <x:c r="D7" s="44"/>
      <x:c r="E7" s="44"/>
      <x:c r="F7" s="44"/>
      <x:c r="G7" s="44"/>
      <x:c r="H7" s="44"/>
      <x:c r="I7" s="48" t="str">
        <x:v>1. C14 =NORM.INV(C9,C10,C11). This is a RETURN cutoff: approximately −8.702% at 95% confidence.</x:v>
      </x:c>
      <x:c r="J7" s="44"/>
    </x:row>
    <x:row r="8" ht="24" customHeight="1">
      <x:c r="A8" s="44" t="str">
        <x:v>Confidence level</x:v>
      </x:c>
      <x:c r="B8" s="44"/>
      <x:c r="C8" s="50" t="n">
        <x:v>0.95</x:v>
      </x:c>
      <x:c r="D8" s="44"/>
      <x:c r="E8" s="44"/>
      <x:c r="F8" s="44"/>
      <x:c r="G8" s="44"/>
      <x:c r="H8" s="44"/>
      <x:c r="I8" s="44"/>
      <x:c r="J8" s="44"/>
    </x:row>
    <x:row r="9" ht="24" customHeight="1">
      <x:c r="A9" s="53" t="str">
        <x:v>Left-tail probability</x:v>
      </x:c>
      <x:c r="B9" s="53"/>
      <x:c r="C9" s="54" t="n">
        <x:f>1-C8</x:f>
        <x:v>0.050000000000000044</x:v>
      </x:c>
      <x:c r="D9" s="44"/>
      <x:c r="E9" s="44"/>
      <x:c r="F9" s="44"/>
      <x:c r="G9" s="44"/>
      <x:c r="H9" s="44"/>
      <x:c r="I9" s="44"/>
      <x:c r="J9" s="44"/>
    </x:row>
    <x:row r="10" ht="42" customHeight="1">
      <x:c r="A10" s="53" t="str">
        <x:v>Monthly mean</x:v>
      </x:c>
      <x:c r="B10" s="53"/>
      <x:c r="C10" s="66" t="n">
        <x:f>'Monthly returns'!C22</x:f>
        <x:v>0.008333333333333333</x:v>
      </x:c>
      <x:c r="D10" s="44"/>
      <x:c r="E10" s="44"/>
      <x:c r="F10" s="44"/>
      <x:c r="G10" s="44"/>
      <x:c r="H10" s="44"/>
      <x:c r="I10" s="48" t="str">
        <x:v>2. C15 =MAX(0,-C14). C16 =C7*C15. Report VaR as a positive loss threshold: about $8,702.</x:v>
      </x:c>
      <x:c r="J10" s="44"/>
    </x:row>
    <x:row r="11" ht="24" customHeight="1">
      <x:c r="A11" s="53" t="str">
        <x:v>Monthly sample SD</x:v>
      </x:c>
      <x:c r="B11" s="53"/>
      <x:c r="C11" s="66" t="n">
        <x:f>'Monthly returns'!C24</x:f>
        <x:v>0.05797073451842801</x:v>
      </x:c>
      <x:c r="D11" s="44"/>
      <x:c r="E11" s="44"/>
      <x:c r="F11" s="44"/>
      <x:c r="G11" s="44"/>
      <x:c r="H11" s="44"/>
      <x:c r="I11" s="44"/>
      <x:c r="J11" s="44"/>
    </x:row>
    <x:row r="12" ht="2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 ht="24" customHeight="1">
      <x:c r="A13" s="53" t="str">
        <x:v>Standard-normal cutoff</x:v>
      </x:c>
      <x:c r="B13" s="53"/>
      <x:c r="C13" s="67" t="n">
        <x:f>_xlfn.NORM.S.INV(C9)</x:f>
        <x:v>-1.6448536269514724</x:v>
      </x:c>
      <x:c r="D13" s="44"/>
      <x:c r="E13" s="44"/>
      <x:c r="F13" s="44"/>
      <x:c r="G13" s="44"/>
      <x:c r="H13" s="44"/>
      <x:c r="I13" s="44"/>
      <x:c r="J13" s="44"/>
    </x:row>
    <x:row r="14" ht="42" customHeight="1">
      <x:c r="A14" s="53" t="str">
        <x:v>Return cutoff</x:v>
      </x:c>
      <x:c r="B14" s="53"/>
      <x:c r="C14" s="54" t="n">
        <x:f>_xlfn.NORM.INV(C9,C10,C11)</x:f>
        <x:v>-0.08702003959634391</x:v>
      </x:c>
      <x:c r="D14" s="44"/>
      <x:c r="E14" s="44"/>
      <x:c r="F14" s="44"/>
      <x:c r="G14" s="44"/>
      <x:c r="H14" s="44"/>
      <x:c r="I14" s="48" t="str">
        <x:v>Under this model, 5% of outcomes have losses greater than VaR. VaR is not a maximum possible loss.</x:v>
      </x:c>
      <x:c r="J14" s="44"/>
    </x:row>
    <x:row r="15" ht="24" customHeight="1">
      <x:c r="A15" s="53" t="str">
        <x:v>VaR loss rate</x:v>
      </x:c>
      <x:c r="B15" s="53"/>
      <x:c r="C15" s="54" t="n">
        <x:f>MAX(0,-C14)</x:f>
        <x:v>0.08702003959634391</x:v>
      </x:c>
      <x:c r="D15" s="44"/>
      <x:c r="E15" s="44"/>
      <x:c r="F15" s="44"/>
      <x:c r="G15" s="44"/>
      <x:c r="H15" s="44"/>
      <x:c r="I15" s="44"/>
      <x:c r="J15" s="44"/>
    </x:row>
    <x:row r="16" ht="24" customHeight="1">
      <x:c r="A16" s="53" t="str">
        <x:v>VaR dollar loss</x:v>
      </x:c>
      <x:c r="B16" s="53"/>
      <x:c r="C16" s="62" t="n">
        <x:f>C7*C15</x:f>
        <x:v>8702.00395963439</x:v>
      </x:c>
      <x:c r="D16" s="44"/>
      <x:c r="E16" s="44"/>
      <x:c r="F16" s="44"/>
      <x:c r="G16" s="44"/>
      <x:c r="H16" s="44"/>
      <x:c r="I16" s="44"/>
      <x:c r="J16" s="44"/>
    </x:row>
    <x:row r="17" ht="42" customHeight="1">
      <x:c r="A17" s="44"/>
      <x:c r="B17" s="44"/>
      <x:c r="C17" s="44"/>
      <x:c r="D17" s="44"/>
      <x:c r="E17" s="44"/>
      <x:c r="F17" s="44"/>
      <x:c r="G17" s="44"/>
      <x:c r="H17" s="44"/>
      <x:c r="I17" s="48" t="str">
        <x:v>Extension: expected shortfall is the model’s average loss within the worst 5%, about $11,124. It describes losses beyond the VaR threshold.</x:v>
      </x:c>
      <x:c r="J17" s="44"/>
    </x:row>
    <x:row r="18" ht="24" customHeight="1">
      <x:c r="A18" s="53" t="str">
        <x:v>Expected shortfall rate</x:v>
      </x:c>
      <x:c r="B18" s="53"/>
      <x:c r="C18" s="54" t="n">
        <x:f>MAX(0,C11*_xlfn.NORM.S.DIST(C13,FALSE)/C9-C10)</x:f>
        <x:v>0.11124364321844095</x:v>
      </x:c>
      <x:c r="D18" s="44"/>
      <x:c r="E18" s="44"/>
      <x:c r="F18" s="44"/>
      <x:c r="G18" s="44"/>
      <x:c r="H18" s="44"/>
      <x:c r="I18" s="44"/>
      <x:c r="J18" s="44"/>
    </x:row>
    <x:row r="19" ht="24" customHeight="1">
      <x:c r="A19" s="53" t="str">
        <x:v>Expected shortfall dollars</x:v>
      </x:c>
      <x:c r="B19" s="53"/>
      <x:c r="C19" s="62" t="n">
        <x:f>C7*C18</x:f>
        <x:v>11124.364321844096</x:v>
      </x:c>
      <x:c r="D19" s="44"/>
      <x:c r="E19" s="44"/>
      <x:c r="F19" s="44"/>
      <x:c r="G19" s="44"/>
      <x:c r="H19" s="44"/>
      <x:c r="I19" s="44"/>
      <x:c r="J19" s="44"/>
    </x:row>
    <x:row r="20" ht="2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 ht="42" customHeight="1">
      <x:c r="A21" s="44"/>
      <x:c r="B21" s="44"/>
      <x:c r="C21" s="44"/>
      <x:c r="D21" s="44"/>
      <x:c r="E21" s="44"/>
      <x:c r="F21" s="44"/>
      <x:c r="G21" s="44"/>
      <x:c r="H21" s="44"/>
      <x:c r="I21" s="48" t="str">
        <x:v>Normal ES formula: SD × normal density at z / tail probability − mean. FALSE in NORM.S.DIST gives density, not cumulative probability.</x:v>
      </x:c>
      <x:c r="J21" s="44"/>
    </x:row>
    <x:row r="22" ht="2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 ht="2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2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42" customHeight="1">
      <x:c r="A25" s="44"/>
      <x:c r="B25" s="44"/>
      <x:c r="C25" s="44"/>
      <x:c r="D25" s="44"/>
      <x:c r="E25" s="44"/>
      <x:c r="F25" s="44"/>
      <x:c r="G25" s="44"/>
      <x:c r="H25" s="44"/>
      <x:c r="I25" s="48" t="str">
        <x:v>Change confidence to 99%, then restore 95%. The loss threshold rises when you ask for more confidence.</x:v>
      </x:c>
      <x:c r="J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42" customHeight="1">
      <x:c r="A28" s="44"/>
      <x:c r="B28" s="44"/>
      <x:c r="C28" s="44"/>
      <x:c r="D28" s="44"/>
      <x:c r="E28" s="44"/>
      <x:c r="F28" s="44"/>
      <x:c r="G28" s="44"/>
      <x:c r="H28" s="44"/>
      <x:c r="I28" s="48" t="str">
        <x:v>Only 12 observations: this is a teaching illustration. Normal tails may understate losses when returns have negative skew or fat tails.</x:v>
      </x:c>
      <x:c r="J28" s="44"/>
    </x:row>
    <x:row r="29" ht="2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 ht="2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</x:row>
    <x:row r="38" ht="2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2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2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2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 ht="2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dataValidations count="1">
    <x:dataValidation type="decimal" operator="between" sqref="C8">
      <x:formula1>0.5</x:formula1>
      <x:formula2>0.9999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37F8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68" hidden="0" customWidth="1"/>
    <x:col min="10" max="10" width="17" hidden="0" customWidth="1"/>
  </x:cols>
  <x:sheetData>
    <x:row r="1" ht="24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4" customHeight="1">
      <x:c r="A2" s="45" t="str">
        <x:v>Stocks, bonds and bills in actual markets</x:v>
      </x:c>
      <x:c r="B2" s="46"/>
      <x:c r="C2" s="46"/>
      <x:c r="D2" s="46"/>
      <x:c r="E2" s="46"/>
      <x:c r="F2" s="46"/>
      <x:c r="G2" s="46"/>
      <x:c r="H2" s="46"/>
      <x:c r="I2" s="46"/>
      <x:c r="J2" s="44"/>
    </x:row>
    <x:row r="3" ht="24" customHeight="1">
      <x:c r="A3" s="44" t="str">
        <x:v>Slides 72, 96–100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4" customHeight="1">
      <x:c r="A4" s="44" t="str">
        <x:v>Annual US returns, 2000–2024. Published percentages retained to two decimals.</x:v>
      </x:c>
      <x:c r="B4" s="44"/>
      <x:c r="C4" s="44"/>
      <x:c r="D4" s="44"/>
      <x:c r="E4" s="44"/>
      <x:c r="F4" s="44"/>
      <x:c r="G4" s="44"/>
      <x:c r="H4" s="44"/>
      <x:c r="I4" s="44"/>
      <x:c r="J4" s="44"/>
    </x:row>
    <x:row r="5" ht="24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4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</x:row>
    <x:row r="7" ht="70" customHeight="1">
      <x:c r="A7" s="47" t="str">
        <x:v>Year</x:v>
      </x:c>
      <x:c r="B7" s="47" t="str">
        <x:v>S&amp;P 500 total return</x:v>
      </x:c>
      <x:c r="C7" s="47" t="str">
        <x:v>10-year Treasury</x:v>
      </x:c>
      <x:c r="D7" s="47" t="str">
        <x:v>3-month T-bill</x:v>
      </x:c>
      <x:c r="E7" s="47" t="str">
        <x:v>60/40 portfolio</x:v>
      </x:c>
      <x:c r="F7" s="47" t="str">
        <x:v>Stock excess return</x:v>
      </x:c>
      <x:c r="G7" s="47" t="str">
        <x:v>Stock growth factor</x:v>
      </x:c>
      <x:c r="H7" s="44"/>
      <x:c r="I7" s="48" t="str">
        <x:v>Source: Aswath Damodaran, NYU Stern, Historical Returns on Stocks, Bonds and Bills. https://pages.stern.nyu.edu/~adamodar/New_Home_Page/datafile/histretSP.html</x:v>
      </x:c>
      <x:c r="J7" s="44"/>
    </x:row>
    <x:row r="8" ht="24" customHeight="1">
      <x:c r="A8" s="44" t="n">
        <x:v>2000</x:v>
      </x:c>
      <x:c r="B8" s="50" t="n">
        <x:v>-0.09029999999999999</x:v>
      </x:c>
      <x:c r="C8" s="50" t="n">
        <x:v>0.1666</x:v>
      </x:c>
      <x:c r="D8" s="50" t="n">
        <x:v>0.06</x:v>
      </x:c>
      <x:c r="E8" s="51" t="n">
        <x:f>$J$34*B8+(1-$J$34)*C8</x:f>
        <x:v>0.012460000000000013</x:v>
      </x:c>
      <x:c r="F8" s="51" t="n">
        <x:f>B8-D8</x:f>
        <x:v>-0.1503</x:v>
      </x:c>
      <x:c r="G8" s="63" t="n">
        <x:f>1+B8</x:f>
        <x:v>0.9097</x:v>
      </x:c>
      <x:c r="H8" s="44"/>
      <x:c r="I8" s="44"/>
      <x:c r="J8" s="44"/>
    </x:row>
    <x:row r="9" ht="24" customHeight="1">
      <x:c r="A9" s="44" t="n">
        <x:v>2001</x:v>
      </x:c>
      <x:c r="B9" s="50" t="n">
        <x:v>-0.1185</x:v>
      </x:c>
      <x:c r="C9" s="50" t="n">
        <x:v>0.0557</x:v>
      </x:c>
      <x:c r="D9" s="50" t="n">
        <x:v>0.0348</x:v>
      </x:c>
      <x:c r="E9" s="51" t="n">
        <x:f>$J$34*B9+(1-$J$34)*C9</x:f>
        <x:v>-0.048819999999999995</x:v>
      </x:c>
      <x:c r="F9" s="51" t="n">
        <x:f>B9-D9</x:f>
        <x:v>-0.1533</x:v>
      </x:c>
      <x:c r="G9" s="63" t="n">
        <x:f>1+B9</x:f>
        <x:v>0.8815</x:v>
      </x:c>
      <x:c r="H9" s="44"/>
      <x:c r="I9" s="44"/>
      <x:c r="J9" s="44"/>
    </x:row>
    <x:row r="10" ht="24" customHeight="1">
      <x:c r="A10" s="44" t="n">
        <x:v>2002</x:v>
      </x:c>
      <x:c r="B10" s="50" t="n">
        <x:v>-0.21969999999999998</x:v>
      </x:c>
      <x:c r="C10" s="50" t="n">
        <x:v>0.1512</x:v>
      </x:c>
      <x:c r="D10" s="50" t="n">
        <x:v>0.016399999999999998</x:v>
      </x:c>
      <x:c r="E10" s="51" t="n">
        <x:f>$J$34*B10+(1-$J$34)*C10</x:f>
        <x:v>-0.07133999999999999</x:v>
      </x:c>
      <x:c r="F10" s="51" t="n">
        <x:f>B10-D10</x:f>
        <x:v>-0.23609999999999998</x:v>
      </x:c>
      <x:c r="G10" s="63" t="n">
        <x:f>1+B10</x:f>
        <x:v>0.7803</x:v>
      </x:c>
      <x:c r="H10" s="44"/>
      <x:c r="I10" s="44"/>
      <x:c r="J10" s="44"/>
    </x:row>
    <x:row r="11" ht="42" customHeight="1">
      <x:c r="A11" s="44" t="n">
        <x:v>2003</x:v>
      </x:c>
      <x:c r="B11" s="50" t="n">
        <x:v>0.2836</x:v>
      </x:c>
      <x:c r="C11" s="50" t="n">
        <x:v>0.0038</x:v>
      </x:c>
      <x:c r="D11" s="50" t="n">
        <x:v>0.0103</x:v>
      </x:c>
      <x:c r="E11" s="51" t="n">
        <x:f>$J$34*B11+(1-$J$34)*C11</x:f>
        <x:v>0.17168</x:v>
      </x:c>
      <x:c r="F11" s="51" t="n">
        <x:f>B11-D11</x:f>
        <x:v>0.27330000000000004</x:v>
      </x:c>
      <x:c r="G11" s="63" t="n">
        <x:f>1+B11</x:f>
        <x:v>1.2836</x:v>
      </x:c>
      <x:c r="H11" s="44"/>
      <x:c r="I11" s="48" t="str">
        <x:v>S&amp;P 500 includes dividends. Treasury figures are bond holding-period returns, not yields. T-bill figures are average annual bill rates used as a return proxy by the source.</x:v>
      </x:c>
      <x:c r="J11" s="44"/>
    </x:row>
    <x:row r="12" ht="24" customHeight="1">
      <x:c r="A12" s="44" t="n">
        <x:v>2004</x:v>
      </x:c>
      <x:c r="B12" s="50" t="n">
        <x:v>0.1074</x:v>
      </x:c>
      <x:c r="C12" s="50" t="n">
        <x:v>0.0449</x:v>
      </x:c>
      <x:c r="D12" s="50" t="n">
        <x:v>0.013999999999999999</x:v>
      </x:c>
      <x:c r="E12" s="51" t="n">
        <x:f>$J$34*B12+(1-$J$34)*C12</x:f>
        <x:v>0.0824</x:v>
      </x:c>
      <x:c r="F12" s="51" t="n">
        <x:f>B12-D12</x:f>
        <x:v>0.0934</x:v>
      </x:c>
      <x:c r="G12" s="63" t="n">
        <x:f>1+B12</x:f>
        <x:v>1.1074</x:v>
      </x:c>
      <x:c r="H12" s="44"/>
      <x:c r="I12" s="44"/>
      <x:c r="J12" s="44"/>
    </x:row>
    <x:row r="13" ht="24" customHeight="1">
      <x:c r="A13" s="44" t="n">
        <x:v>2005</x:v>
      </x:c>
      <x:c r="B13" s="50" t="n">
        <x:v>0.0483</x:v>
      </x:c>
      <x:c r="C13" s="50" t="n">
        <x:v>0.0287</x:v>
      </x:c>
      <x:c r="D13" s="50" t="n">
        <x:v>0.0322</x:v>
      </x:c>
      <x:c r="E13" s="51" t="n">
        <x:f>$J$34*B13+(1-$J$34)*C13</x:f>
        <x:v>0.040459999999999996</x:v>
      </x:c>
      <x:c r="F13" s="51" t="n">
        <x:f>B13-D13</x:f>
        <x:v>0.016100000000000003</x:v>
      </x:c>
      <x:c r="G13" s="63" t="n">
        <x:f>1+B13</x:f>
        <x:v>1.0483</x:v>
      </x:c>
      <x:c r="H13" s="44"/>
      <x:c r="I13" s="44"/>
      <x:c r="J13" s="44"/>
    </x:row>
    <x:row r="14" ht="24" customHeight="1">
      <x:c r="A14" s="44" t="n">
        <x:v>2006</x:v>
      </x:c>
      <x:c r="B14" s="50" t="n">
        <x:v>0.1561</x:v>
      </x:c>
      <x:c r="C14" s="50" t="n">
        <x:v>0.0196</x:v>
      </x:c>
      <x:c r="D14" s="50" t="n">
        <x:v>0.048499999999999995</x:v>
      </x:c>
      <x:c r="E14" s="51" t="n">
        <x:f>$J$34*B14+(1-$J$34)*C14</x:f>
        <x:v>0.10149999999999999</x:v>
      </x:c>
      <x:c r="F14" s="51" t="n">
        <x:f>B14-D14</x:f>
        <x:v>0.1076</x:v>
      </x:c>
      <x:c r="G14" s="63" t="n">
        <x:f>1+B14</x:f>
        <x:v>1.1561</x:v>
      </x:c>
      <x:c r="H14" s="44"/>
      <x:c r="I14" s="44"/>
      <x:c r="J14" s="44"/>
    </x:row>
    <x:row r="15" ht="42" customHeight="1">
      <x:c r="A15" s="44" t="n">
        <x:v>2007</x:v>
      </x:c>
      <x:c r="B15" s="50" t="n">
        <x:v>0.0548</x:v>
      </x:c>
      <x:c r="C15" s="50" t="n">
        <x:v>0.10210000000000001</x:v>
      </x:c>
      <x:c r="D15" s="50" t="n">
        <x:v>0.044800000000000006</x:v>
      </x:c>
      <x:c r="E15" s="51" t="n">
        <x:f>$J$34*B15+(1-$J$34)*C15</x:f>
        <x:v>0.07372000000000001</x:v>
      </x:c>
      <x:c r="F15" s="51" t="n">
        <x:f>B15-D15</x:f>
        <x:v>0.009999999999999995</x:v>
      </x:c>
      <x:c r="G15" s="63" t="n">
        <x:f>1+B15</x:f>
        <x:v>1.0548</x:v>
      </x:c>
      <x:c r="H15" s="44"/>
      <x:c r="I15" s="48" t="str">
        <x:v>1. B36 =AVERAGE(B8:B32); B37 =STDEV.S(B8:B32). Copy across to E. Each year is one equally weighted observation.</x:v>
      </x:c>
      <x:c r="J15" s="44"/>
    </x:row>
    <x:row r="16" ht="24" customHeight="1">
      <x:c r="A16" s="44" t="n">
        <x:v>2008</x:v>
      </x:c>
      <x:c r="B16" s="50" t="n">
        <x:v>-0.3655</x:v>
      </x:c>
      <x:c r="C16" s="50" t="n">
        <x:v>0.201</x:v>
      </x:c>
      <x:c r="D16" s="50" t="n">
        <x:v>0.013999999999999999</x:v>
      </x:c>
      <x:c r="E16" s="51" t="n">
        <x:f>$J$34*B16+(1-$J$34)*C16</x:f>
        <x:v>-0.13889999999999997</x:v>
      </x:c>
      <x:c r="F16" s="51" t="n">
        <x:f>B16-D16</x:f>
        <x:v>-0.3795</x:v>
      </x:c>
      <x:c r="G16" s="63" t="n">
        <x:f>1+B16</x:f>
        <x:v>0.6345000000000001</x:v>
      </x:c>
      <x:c r="H16" s="44"/>
      <x:c r="I16" s="44"/>
      <x:c r="J16" s="44"/>
    </x:row>
    <x:row r="17" ht="24" customHeight="1">
      <x:c r="A17" s="44" t="n">
        <x:v>2009</x:v>
      </x:c>
      <x:c r="B17" s="50" t="n">
        <x:v>0.2594</x:v>
      </x:c>
      <x:c r="C17" s="50" t="n">
        <x:v>-0.1112</x:v>
      </x:c>
      <x:c r="D17" s="50" t="n">
        <x:v>0.0015</x:v>
      </x:c>
      <x:c r="E17" s="51" t="n">
        <x:f>$J$34*B17+(1-$J$34)*C17</x:f>
        <x:v>0.11116000000000001</x:v>
      </x:c>
      <x:c r="F17" s="51" t="n">
        <x:f>B17-D17</x:f>
        <x:v>0.2579</x:v>
      </x:c>
      <x:c r="G17" s="63" t="n">
        <x:f>1+B17</x:f>
        <x:v>1.2594</x:v>
      </x:c>
      <x:c r="H17" s="44"/>
      <x:c r="I17" s="44"/>
      <x:c r="J17" s="44"/>
    </x:row>
    <x:row r="18" ht="24" customHeight="1">
      <x:c r="A18" s="44" t="n">
        <x:v>2010</x:v>
      </x:c>
      <x:c r="B18" s="50" t="n">
        <x:v>0.1482</x:v>
      </x:c>
      <x:c r="C18" s="50" t="n">
        <x:v>0.08460000000000001</x:v>
      </x:c>
      <x:c r="D18" s="50" t="n">
        <x:v>0.0014000000000000002</x:v>
      </x:c>
      <x:c r="E18" s="51" t="n">
        <x:f>$J$34*B18+(1-$J$34)*C18</x:f>
        <x:v>0.12276000000000001</x:v>
      </x:c>
      <x:c r="F18" s="51" t="n">
        <x:f>B18-D18</x:f>
        <x:v>0.14679999999999999</x:v>
      </x:c>
      <x:c r="G18" s="63" t="n">
        <x:f>1+B18</x:f>
        <x:v>1.1482</x:v>
      </x:c>
      <x:c r="H18" s="44"/>
      <x:c r="I18" s="44"/>
      <x:c r="J18" s="44"/>
    </x:row>
    <x:row r="19" ht="42" customHeight="1">
      <x:c r="A19" s="44" t="n">
        <x:v>2011</x:v>
      </x:c>
      <x:c r="B19" s="50" t="n">
        <x:v>0.021</x:v>
      </x:c>
      <x:c r="C19" s="50" t="n">
        <x:v>0.1604</x:v>
      </x:c>
      <x:c r="D19" s="50" t="n">
        <x:v>0.0005</x:v>
      </x:c>
      <x:c r="E19" s="51" t="n">
        <x:f>$J$34*B19+(1-$J$34)*C19</x:f>
        <x:v>0.07676</x:v>
      </x:c>
      <x:c r="F19" s="51" t="n">
        <x:f>B19-D19</x:f>
        <x:v>0.0205</x:v>
      </x:c>
      <x:c r="G19" s="63" t="n">
        <x:f>1+B19</x:f>
        <x:v>1.021</x:v>
      </x:c>
      <x:c r="H19" s="44"/>
      <x:c r="I19" s="48" t="str">
        <x:v>2. E8 =$J$34*B8+(1-$J$34)*C8. Fill down. This represents annual rebalancing to 60% stocks / 40% bonds, before costs.</x:v>
      </x:c>
      <x:c r="J19" s="44"/>
    </x:row>
    <x:row r="20" ht="24" customHeight="1">
      <x:c r="A20" s="44" t="n">
        <x:v>2012</x:v>
      </x:c>
      <x:c r="B20" s="50" t="n">
        <x:v>0.1589</x:v>
      </x:c>
      <x:c r="C20" s="50" t="n">
        <x:v>0.0297</x:v>
      </x:c>
      <x:c r="D20" s="50" t="n">
        <x:v>0.0009</x:v>
      </x:c>
      <x:c r="E20" s="51" t="n">
        <x:f>$J$34*B20+(1-$J$34)*C20</x:f>
        <x:v>0.10722000000000001</x:v>
      </x:c>
      <x:c r="F20" s="51" t="n">
        <x:f>B20-D20</x:f>
        <x:v>0.158</x:v>
      </x:c>
      <x:c r="G20" s="63" t="n">
        <x:f>1+B20</x:f>
        <x:v>1.1589</x:v>
      </x:c>
      <x:c r="H20" s="44"/>
      <x:c r="I20" s="44"/>
      <x:c r="J20" s="44"/>
    </x:row>
    <x:row r="21" ht="24" customHeight="1">
      <x:c r="A21" s="44" t="n">
        <x:v>2013</x:v>
      </x:c>
      <x:c r="B21" s="50" t="n">
        <x:v>0.3215</x:v>
      </x:c>
      <x:c r="C21" s="50" t="n">
        <x:v>-0.091</x:v>
      </x:c>
      <x:c r="D21" s="50" t="n">
        <x:v>0.0006</x:v>
      </x:c>
      <x:c r="E21" s="51" t="n">
        <x:f>$J$34*B21+(1-$J$34)*C21</x:f>
        <x:v>0.15649999999999997</x:v>
      </x:c>
      <x:c r="F21" s="51" t="n">
        <x:f>B21-D21</x:f>
        <x:v>0.3209</x:v>
      </x:c>
      <x:c r="G21" s="63" t="n">
        <x:f>1+B21</x:f>
        <x:v>1.3215</x:v>
      </x:c>
      <x:c r="H21" s="44"/>
      <x:c r="I21" s="44"/>
      <x:c r="J21" s="44"/>
    </x:row>
    <x:row r="22" ht="24" customHeight="1">
      <x:c r="A22" s="44" t="n">
        <x:v>2014</x:v>
      </x:c>
      <x:c r="B22" s="50" t="n">
        <x:v>0.1352</x:v>
      </x:c>
      <x:c r="C22" s="50" t="n">
        <x:v>0.1075</x:v>
      </x:c>
      <x:c r="D22" s="50" t="n">
        <x:v>0.0003</x:v>
      </x:c>
      <x:c r="E22" s="51" t="n">
        <x:f>$J$34*B22+(1-$J$34)*C22</x:f>
        <x:v>0.12411999999999998</x:v>
      </x:c>
      <x:c r="F22" s="51" t="n">
        <x:f>B22-D22</x:f>
        <x:v>0.1349</x:v>
      </x:c>
      <x:c r="G22" s="63" t="n">
        <x:f>1+B22</x:f>
        <x:v>1.1352</x:v>
      </x:c>
      <x:c r="H22" s="44"/>
      <x:c r="I22" s="44"/>
      <x:c r="J22" s="44"/>
    </x:row>
    <x:row r="23" ht="42" customHeight="1">
      <x:c r="A23" s="44" t="n">
        <x:v>2015</x:v>
      </x:c>
      <x:c r="B23" s="50" t="n">
        <x:v>0.0138</x:v>
      </x:c>
      <x:c r="C23" s="50" t="n">
        <x:v>0.0128</x:v>
      </x:c>
      <x:c r="D23" s="50" t="n">
        <x:v>0.0005</x:v>
      </x:c>
      <x:c r="E23" s="51" t="n">
        <x:f>$J$34*B23+(1-$J$34)*C23</x:f>
        <x:v>0.013399999999999999</x:v>
      </x:c>
      <x:c r="F23" s="51" t="n">
        <x:f>B23-D23</x:f>
        <x:v>0.0133</x:v>
      </x:c>
      <x:c r="G23" s="63" t="n">
        <x:f>1+B23</x:f>
        <x:v>1.0138</x:v>
      </x:c>
      <x:c r="H23" s="44"/>
      <x:c r="I23" s="48" t="str">
        <x:v>3. C42 =CORREL(B8:B32,C8:C32). Correlation summarizes co-movement; it is not fixed across market conditions.</x:v>
      </x:c>
      <x:c r="J23" s="44"/>
    </x:row>
    <x:row r="24" ht="24" customHeight="1">
      <x:c r="A24" s="44" t="n">
        <x:v>2016</x:v>
      </x:c>
      <x:c r="B24" s="50" t="n">
        <x:v>0.1177</x:v>
      </x:c>
      <x:c r="C24" s="50" t="n">
        <x:v>0.0069</x:v>
      </x:c>
      <x:c r="D24" s="50" t="n">
        <x:v>0.0032</x:v>
      </x:c>
      <x:c r="E24" s="51" t="n">
        <x:f>$J$34*B24+(1-$J$34)*C24</x:f>
        <x:v>0.07338</x:v>
      </x:c>
      <x:c r="F24" s="51" t="n">
        <x:f>B24-D24</x:f>
        <x:v>0.1145</x:v>
      </x:c>
      <x:c r="G24" s="63" t="n">
        <x:f>1+B24</x:f>
        <x:v>1.1177</x:v>
      </x:c>
      <x:c r="H24" s="44"/>
      <x:c r="I24" s="44"/>
      <x:c r="J24" s="44"/>
    </x:row>
    <x:row r="25" ht="24" customHeight="1">
      <x:c r="A25" s="44" t="n">
        <x:v>2017</x:v>
      </x:c>
      <x:c r="B25" s="50" t="n">
        <x:v>0.2161</x:v>
      </x:c>
      <x:c r="C25" s="50" t="n">
        <x:v>0.027999999999999997</x:v>
      </x:c>
      <x:c r="D25" s="50" t="n">
        <x:v>0.0095</x:v>
      </x:c>
      <x:c r="E25" s="51" t="n">
        <x:f>$J$34*B25+(1-$J$34)*C25</x:f>
        <x:v>0.14085999999999999</x:v>
      </x:c>
      <x:c r="F25" s="51" t="n">
        <x:f>B25-D25</x:f>
        <x:v>0.20659999999999998</x:v>
      </x:c>
      <x:c r="G25" s="63" t="n">
        <x:f>1+B25</x:f>
        <x:v>1.2161</x:v>
      </x:c>
      <x:c r="H25" s="44"/>
      <x:c r="I25" s="44"/>
      <x:c r="J25" s="44"/>
    </x:row>
    <x:row r="26" ht="24" customHeight="1">
      <x:c r="A26" s="44" t="n">
        <x:v>2018</x:v>
      </x:c>
      <x:c r="B26" s="50" t="n">
        <x:v>-0.042300000000000004</x:v>
      </x:c>
      <x:c r="C26" s="50" t="n">
        <x:v>-0.0002</x:v>
      </x:c>
      <x:c r="D26" s="50" t="n">
        <x:v>0.0197</x:v>
      </x:c>
      <x:c r="E26" s="51" t="n">
        <x:f>$J$34*B26+(1-$J$34)*C26</x:f>
        <x:v>-0.025460000000000003</x:v>
      </x:c>
      <x:c r="F26" s="51" t="n">
        <x:f>B26-D26</x:f>
        <x:v>-0.062</x:v>
      </x:c>
      <x:c r="G26" s="63" t="n">
        <x:f>1+B26</x:f>
        <x:v>0.9577</x:v>
      </x:c>
      <x:c r="H26" s="44"/>
      <x:c r="I26" s="44"/>
      <x:c r="J26" s="44"/>
    </x:row>
    <x:row r="27" ht="42" customHeight="1">
      <x:c r="A27" s="44" t="n">
        <x:v>2019</x:v>
      </x:c>
      <x:c r="B27" s="50" t="n">
        <x:v>0.3121</x:v>
      </x:c>
      <x:c r="C27" s="50" t="n">
        <x:v>0.0964</x:v>
      </x:c>
      <x:c r="D27" s="50" t="n">
        <x:v>0.021099999999999997</x:v>
      </x:c>
      <x:c r="E27" s="51" t="n">
        <x:f>$J$34*B27+(1-$J$34)*C27</x:f>
        <x:v>0.22582</x:v>
      </x:c>
      <x:c r="F27" s="51" t="n">
        <x:f>B27-D27</x:f>
        <x:v>0.291</x:v>
      </x:c>
      <x:c r="G27" s="63" t="n">
        <x:f>1+B27</x:f>
        <x:v>1.3121</x:v>
      </x:c>
      <x:c r="H27" s="44"/>
      <x:c r="I27" s="48" t="str">
        <x:v>Compare 2008 with 2022. Bonds rose in 2008 but fell alongside stocks in 2022. Diversification can help without preventing losses.</x:v>
      </x:c>
      <x:c r="J27" s="44"/>
    </x:row>
    <x:row r="28" ht="24" customHeight="1">
      <x:c r="A28" s="44" t="n">
        <x:v>2020</x:v>
      </x:c>
      <x:c r="B28" s="50" t="n">
        <x:v>0.1802</x:v>
      </x:c>
      <x:c r="C28" s="50" t="n">
        <x:v>0.1133</x:v>
      </x:c>
      <x:c r="D28" s="50" t="n">
        <x:v>0.0036</x:v>
      </x:c>
      <x:c r="E28" s="51" t="n">
        <x:f>$J$34*B28+(1-$J$34)*C28</x:f>
        <x:v>0.15344</x:v>
      </x:c>
      <x:c r="F28" s="51" t="n">
        <x:f>B28-D28</x:f>
        <x:v>0.1766</x:v>
      </x:c>
      <x:c r="G28" s="63" t="n">
        <x:f>1+B28</x:f>
        <x:v>1.1802</x:v>
      </x:c>
      <x:c r="H28" s="44"/>
      <x:c r="I28" s="44"/>
      <x:c r="J28" s="44"/>
    </x:row>
    <x:row r="29" ht="24" customHeight="1">
      <x:c r="A29" s="44" t="n">
        <x:v>2021</x:v>
      </x:c>
      <x:c r="B29" s="50" t="n">
        <x:v>0.2847</x:v>
      </x:c>
      <x:c r="C29" s="50" t="n">
        <x:v>-0.044199999999999996</x:v>
      </x:c>
      <x:c r="D29" s="50" t="n">
        <x:v>0.0004</x:v>
      </x:c>
      <x:c r="E29" s="51" t="n">
        <x:f>$J$34*B29+(1-$J$34)*C29</x:f>
        <x:v>0.15314</x:v>
      </x:c>
      <x:c r="F29" s="51" t="n">
        <x:f>B29-D29</x:f>
        <x:v>0.2843</x:v>
      </x:c>
      <x:c r="G29" s="63" t="n">
        <x:f>1+B29</x:f>
        <x:v>1.2847</x:v>
      </x:c>
      <x:c r="H29" s="44"/>
      <x:c r="I29" s="44"/>
      <x:c r="J29" s="44"/>
    </x:row>
    <x:row r="30" ht="24" customHeight="1">
      <x:c r="A30" s="44" t="n">
        <x:v>2022</x:v>
      </x:c>
      <x:c r="B30" s="50" t="n">
        <x:v>-0.1804</x:v>
      </x:c>
      <x:c r="C30" s="50" t="n">
        <x:v>-0.1783</x:v>
      </x:c>
      <x:c r="D30" s="50" t="n">
        <x:v>0.0209</x:v>
      </x:c>
      <x:c r="E30" s="51" t="n">
        <x:f>$J$34*B30+(1-$J$34)*C30</x:f>
        <x:v>-0.17956</x:v>
      </x:c>
      <x:c r="F30" s="51" t="n">
        <x:f>B30-D30</x:f>
        <x:v>-0.2013</x:v>
      </x:c>
      <x:c r="G30" s="63" t="n">
        <x:f>1+B30</x:f>
        <x:v>0.8196</x:v>
      </x:c>
      <x:c r="H30" s="44"/>
      <x:c r="I30" s="44"/>
      <x:c r="J30" s="44"/>
    </x:row>
    <x:row r="31" ht="42" customHeight="1">
      <x:c r="A31" s="44" t="n">
        <x:v>2023</x:v>
      </x:c>
      <x:c r="B31" s="50" t="n">
        <x:v>0.2606</x:v>
      </x:c>
      <x:c r="C31" s="50" t="n">
        <x:v>0.0388</x:v>
      </x:c>
      <x:c r="D31" s="50" t="n">
        <x:v>0.0528</x:v>
      </x:c>
      <x:c r="E31" s="51" t="n">
        <x:f>$J$34*B31+(1-$J$34)*C31</x:f>
        <x:v>0.17188</x:v>
      </x:c>
      <x:c r="F31" s="51" t="n">
        <x:f>B31-D31</x:f>
        <x:v>0.20779999999999998</x:v>
      </x:c>
      <x:c r="G31" s="63" t="n">
        <x:f>1+B31</x:f>
        <x:v>1.2606</x:v>
      </x:c>
      <x:c r="H31" s="44"/>
      <x:c r="I31" s="48" t="str">
        <x:v>These sourced total-return results differ from the slide summary. Use this table’s definitions and 2000–2024 period when comparing its statistics.</x:v>
      </x:c>
      <x:c r="J31" s="44"/>
    </x:row>
    <x:row r="32" ht="24" customHeight="1">
      <x:c r="A32" s="44" t="n">
        <x:v>2024</x:v>
      </x:c>
      <x:c r="B32" s="50" t="n">
        <x:v>0.2488</x:v>
      </x:c>
      <x:c r="C32" s="50" t="n">
        <x:v>-0.016399999999999998</x:v>
      </x:c>
      <x:c r="D32" s="50" t="n">
        <x:v>0.0518</x:v>
      </x:c>
      <x:c r="E32" s="51" t="n">
        <x:f>$J$34*B32+(1-$J$34)*C32</x:f>
        <x:v>0.14271999999999999</x:v>
      </x:c>
      <x:c r="F32" s="51" t="n">
        <x:f>B32-D32</x:f>
        <x:v>0.197</x:v>
      </x:c>
      <x:c r="G32" s="63" t="n">
        <x:f>1+B32</x:f>
        <x:v>1.2488</x:v>
      </x:c>
      <x:c r="H32" s="44"/>
      <x:c r="I32" s="44"/>
      <x:c r="J32" s="44"/>
    </x:row>
    <x:row r="33" ht="2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4" customHeight="1">
      <x:c r="A34" s="44"/>
      <x:c r="B34" s="44"/>
      <x:c r="C34" s="44"/>
      <x:c r="D34" s="44"/>
      <x:c r="E34" s="44"/>
      <x:c r="F34" s="44"/>
      <x:c r="G34" s="44"/>
      <x:c r="H34" s="44"/>
      <x:c r="I34" s="44" t="str">
        <x:v>Stock weight</x:v>
      </x:c>
      <x:c r="J34" s="50" t="n">
        <x:v>0.6</x:v>
      </x:c>
    </x:row>
    <x:row r="35" ht="38" customHeight="1">
      <x:c r="A35" s="47" t="str">
        <x:v>Metric</x:v>
      </x:c>
      <x:c r="B35" s="47" t="str">
        <x:v>Stocks</x:v>
      </x:c>
      <x:c r="C35" s="47" t="str">
        <x:v>Treasury bonds</x:v>
      </x:c>
      <x:c r="D35" s="47" t="str">
        <x:v>T-bills</x:v>
      </x:c>
      <x:c r="E35" s="47" t="str">
        <x:v>60/40 portfolio</x:v>
      </x:c>
      <x:c r="F35" s="44"/>
      <x:c r="G35" s="44"/>
      <x:c r="H35" s="44"/>
      <x:c r="I35" s="44"/>
      <x:c r="J35" s="44"/>
    </x:row>
    <x:row r="36" ht="24" customHeight="1">
      <x:c r="A36" s="44" t="str">
        <x:v>Arithmetic mean</x:v>
      </x:c>
      <x:c r="B36" s="51" t="n">
        <x:f>AVERAGE(B8:B32)</x:f>
        <x:v>0.09246800000000001</x:v>
      </x:c>
      <x:c r="C36" s="51" t="n">
        <x:f>AVERAGE(C8:C32)</x:f>
        <x:v>0.040428000000000006</x:v>
      </x:c>
      <x:c r="D36" s="51" t="n">
        <x:f>AVERAGE(D8:D32)</x:f>
        <x:v>0.018548000000000002</x:v>
      </x:c>
      <x:c r="E36" s="51" t="n">
        <x:f>AVERAGE(E8:E32)</x:f>
        <x:v>0.071652</x:v>
      </x:c>
      <x:c r="F36" s="44"/>
      <x:c r="G36" s="44"/>
      <x:c r="H36" s="44"/>
      <x:c r="I36" s="44"/>
      <x:c r="J36" s="44"/>
    </x:row>
    <x:row r="37" ht="42" customHeight="1">
      <x:c r="A37" s="44" t="str">
        <x:v>Sample standard deviation</x:v>
      </x:c>
      <x:c r="B37" s="51" t="n">
        <x:f>_xlfn.STDEV.S(B8:B32)</x:f>
        <x:v>0.18078176235450302</x:v>
      </x:c>
      <x:c r="C37" s="51" t="n">
        <x:f>_xlfn.STDEV.S(C8:C32)</x:f>
        <x:v>0.08933480807240442</x:v>
      </x:c>
      <x:c r="D37" s="51" t="n">
        <x:f>_xlfn.STDEV.S(D8:D32)</x:f>
        <x:v>0.01961534518346967</x:v>
      </x:c>
      <x:c r="E37" s="51" t="n">
        <x:f>_xlfn.STDEV.S(E8:E32)</x:f>
        <x:v>0.10064776566488366</x:v>
      </x:c>
      <x:c r="F37" s="44"/>
      <x:c r="G37" s="44"/>
      <x:c r="H37" s="44"/>
      <x:c r="I37" s="48" t="str">
        <x:v>C44 is geometric growth per year; B36 is the average single-year return. C45 is realized historical stock return minus each year’s T-bill proxy.</x:v>
      </x:c>
      <x:c r="J37" s="44"/>
    </x:row>
    <x:row r="38" ht="24" customHeight="1">
      <x:c r="A38" s="44" t="str">
        <x:v>Worst year</x:v>
      </x:c>
      <x:c r="B38" s="51" t="n">
        <x:f>MIN(B8:B32)</x:f>
        <x:v>-0.3655</x:v>
      </x:c>
      <x:c r="C38" s="51" t="n">
        <x:f>MIN(C8:C32)</x:f>
        <x:v>-0.1783</x:v>
      </x:c>
      <x:c r="D38" s="51" t="n">
        <x:f>MIN(D8:D32)</x:f>
        <x:v>0.0003</x:v>
      </x:c>
      <x:c r="E38" s="51" t="n">
        <x:f>MIN(E8:E32)</x:f>
        <x:v>-0.17956</x:v>
      </x:c>
      <x:c r="F38" s="44"/>
      <x:c r="G38" s="44"/>
      <x:c r="H38" s="44"/>
      <x:c r="I38" s="44"/>
      <x:c r="J38" s="44"/>
    </x:row>
    <x:row r="39" ht="24" customHeight="1">
      <x:c r="A39" s="44" t="str">
        <x:v>Best year</x:v>
      </x:c>
      <x:c r="B39" s="51" t="n">
        <x:f>MAX(B8:B32)</x:f>
        <x:v>0.3215</x:v>
      </x:c>
      <x:c r="C39" s="51" t="n">
        <x:f>MAX(C8:C32)</x:f>
        <x:v>0.201</x:v>
      </x:c>
      <x:c r="D39" s="51" t="n">
        <x:f>MAX(D8:D32)</x:f>
        <x:v>0.06</x:v>
      </x:c>
      <x:c r="E39" s="51" t="n">
        <x:f>MAX(E8:E32)</x:f>
        <x:v>0.22582</x:v>
      </x:c>
      <x:c r="F39" s="44"/>
      <x:c r="G39" s="44"/>
      <x:c r="H39" s="44"/>
      <x:c r="I39" s="44"/>
      <x:c r="J39" s="44"/>
    </x:row>
    <x:row r="40" ht="2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 ht="2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</x:row>
    <x:row r="42" ht="24" customHeight="1">
      <x:c r="A42" s="53" t="str">
        <x:v>Stock/bond correlation</x:v>
      </x:c>
      <x:c r="B42" s="53"/>
      <x:c r="C42" s="64" t="n">
        <x:f>CORREL(B8:B32,C8:C32)</x:f>
        <x:v>-0.37570410076229127</x:v>
      </x:c>
      <x:c r="D42" s="44"/>
      <x:c r="E42" s="44"/>
      <x:c r="F42" s="44"/>
      <x:c r="G42" s="44"/>
      <x:c r="H42" s="44"/>
      <x:c r="I42" s="44"/>
      <x:c r="J42" s="44"/>
    </x:row>
    <x:row r="43" ht="24" customHeight="1">
      <x:c r="A43" s="53" t="str">
        <x:v>Stock/bond covariance</x:v>
      </x:c>
      <x:c r="B43" s="53"/>
      <x:c r="C43" s="56" t="n">
        <x:f>_xlfn.COVARIANCE.S(B8:B32,C8:C32)</x:f>
        <x:v>-0.006067660316666668</x:v>
      </x:c>
      <x:c r="D43" s="44"/>
      <x:c r="E43" s="44"/>
      <x:c r="F43" s="44"/>
      <x:c r="G43" s="44"/>
      <x:c r="H43" s="44"/>
      <x:c r="I43" s="44"/>
      <x:c r="J43" s="44"/>
    </x:row>
    <x:row r="44" ht="24" customHeight="1">
      <x:c r="A44" s="53" t="str">
        <x:v>Stock geometric annual return</x:v>
      </x:c>
      <x:c r="B44" s="53"/>
      <x:c r="C44" s="54" t="n">
        <x:f>PRODUCT(G8:G32)^(1/COUNT(B8:B32))-1</x:f>
        <x:v>0.07621383749613364</x:v>
      </x:c>
      <x:c r="D44" s="44"/>
      <x:c r="E44" s="44"/>
      <x:c r="F44" s="44"/>
      <x:c r="G44" s="44"/>
      <x:c r="H44" s="44"/>
      <x:c r="I44" s="44"/>
      <x:c r="J44" s="44"/>
    </x:row>
    <x:row r="45" ht="24" customHeight="1">
      <x:c r="A45" s="53" t="str">
        <x:v>Mean stock excess return</x:v>
      </x:c>
      <x:c r="B45" s="53"/>
      <x:c r="C45" s="54" t="n">
        <x:f>AVERAGE(F8:F32)</x:f>
        <x:v>0.07392</x:v>
      </x:c>
      <x:c r="D45" s="44"/>
      <x:c r="E45" s="44"/>
      <x:c r="F45" s="44"/>
      <x:c r="G45" s="44"/>
      <x:c r="H45" s="44"/>
      <x:c r="I45" s="44"/>
      <x:c r="J45" s="44"/>
    </x:row>
    <x:row r="46" ht="2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2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2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 ht="2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</x:row>
    <x:row r="50" ht="2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2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</x:row>
    <x:row r="53" ht="2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</x:row>
    <x:row r="54" ht="2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</x:row>
    <x:row r="55" ht="2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</x:row>
  </x:sheetData>
  <x:pageMargins left="0.7" right="0.7" top="0.75" bottom="0.75" header="0.3" footer="0.3"/>
</x:worksheet>
</file>