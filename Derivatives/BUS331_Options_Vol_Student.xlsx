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 vs RV Analysis" sheetId="1" state="visible" r:id="rId1"/>
    <sheet xmlns:r="http://schemas.openxmlformats.org/officeDocument/2006/relationships" name="Vol Surfa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%"/>
    <numFmt numFmtId="165" formatCode="$#,##0.00"/>
    <numFmt numFmtId="166" formatCode="0.0%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1B2A4A"/>
      <sz val="8"/>
    </font>
    <font>
      <name val="Arial"/>
      <i val="1"/>
      <sz val="8"/>
    </font>
    <font>
      <name val="Arial"/>
      <b val="1"/>
      <color rgb="00FFFFFF"/>
      <sz val="10"/>
    </font>
    <font>
      <name val="Arial"/>
      <b val="1"/>
      <sz val="9"/>
    </font>
    <font>
      <name val="Arial"/>
      <color rgb="00000000"/>
      <sz val="9"/>
    </font>
    <font>
      <name val="Arial"/>
      <color rgb="000000FF"/>
      <sz val="9"/>
    </font>
    <font>
      <name val="Arial"/>
      <color rgb="00595959"/>
      <sz val="8"/>
    </font>
    <font>
      <name val="Arial"/>
      <b val="1"/>
      <color rgb="001B2A4A"/>
      <sz val="9"/>
    </font>
    <font>
      <name val="Arial"/>
      <color rgb="00008000"/>
      <sz val="9"/>
    </font>
    <font>
      <name val="Arial"/>
      <b val="1"/>
      <color rgb="00FFFFFF"/>
      <sz val="9"/>
    </font>
    <font>
      <name val="Arial"/>
      <b val="1"/>
      <color rgb="00FFFFFF"/>
      <sz val="11"/>
    </font>
    <font>
      <name val="Arial"/>
      <b val="1"/>
      <color rgb="00000000"/>
      <sz val="9"/>
    </font>
  </fonts>
  <fills count="1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CADCFC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7F9FC"/>
      </patternFill>
    </fill>
    <fill>
      <patternFill patternType="solid">
        <fgColor rgb="00EAD1DC"/>
      </patternFill>
    </fill>
    <fill>
      <patternFill patternType="solid">
        <fgColor rgb="00A07D10"/>
      </patternFill>
    </fill>
    <fill>
      <patternFill patternType="solid">
        <fgColor rgb="00FFFDE7"/>
      </patternFill>
    </fill>
    <fill>
      <patternFill patternType="solid">
        <fgColor rgb="00F2F2F2"/>
      </patternFill>
    </fill>
    <fill>
      <patternFill patternType="solid">
        <fgColor rgb="00C9A227"/>
      </patternFill>
    </fill>
    <fill>
      <patternFill patternType="solid">
        <fgColor rgb="00FF6B6B"/>
      </patternFill>
    </fill>
    <fill>
      <patternFill patternType="solid">
        <fgColor rgb="00FFA07A"/>
      </patternFill>
    </fill>
    <fill>
      <patternFill patternType="solid">
        <fgColor rgb="00FFD700"/>
      </patternFill>
    </fill>
    <fill>
      <patternFill patternType="solid">
        <fgColor rgb="00ADFF2F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1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1" fontId="6" fillId="6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 wrapText="1"/>
    </xf>
    <xf numFmtId="10" fontId="6" fillId="6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1" fontId="7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6" fontId="7" fillId="0" borderId="0" applyAlignment="1" pivotButton="0" quotePrefix="0" xfId="0">
      <alignment horizontal="center" vertical="center"/>
    </xf>
    <xf numFmtId="166" fontId="10" fillId="0" borderId="0" applyAlignment="1" pivotButton="0" quotePrefix="0" xfId="0">
      <alignment horizontal="center" vertical="center"/>
    </xf>
    <xf numFmtId="166" fontId="6" fillId="6" borderId="0" applyAlignment="1" pivotButton="0" quotePrefix="0" xfId="0">
      <alignment horizontal="center" vertical="center"/>
    </xf>
    <xf numFmtId="49" fontId="6" fillId="6" borderId="0" applyAlignment="1" pivotButton="0" quotePrefix="0" xfId="0">
      <alignment horizontal="center" vertical="center"/>
    </xf>
    <xf numFmtId="165" fontId="6" fillId="6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left" vertical="center"/>
    </xf>
    <xf numFmtId="1" fontId="7" fillId="7" borderId="0" applyAlignment="1" pivotButton="0" quotePrefix="0" xfId="0">
      <alignment horizontal="center" vertical="center"/>
    </xf>
    <xf numFmtId="165" fontId="7" fillId="7" borderId="0" applyAlignment="1" pivotButton="0" quotePrefix="0" xfId="0">
      <alignment horizontal="center" vertical="center"/>
    </xf>
    <xf numFmtId="166" fontId="7" fillId="7" borderId="0" applyAlignment="1" pivotButton="0" quotePrefix="0" xfId="0">
      <alignment horizontal="center" vertical="center"/>
    </xf>
    <xf numFmtId="166" fontId="10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left" vertical="center" wrapText="1"/>
    </xf>
    <xf numFmtId="0" fontId="11" fillId="9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0" fillId="11" borderId="0" pivotButton="0" quotePrefix="0" xfId="0"/>
    <xf numFmtId="0" fontId="0" fillId="10" borderId="0" pivotButton="0" quotePrefix="0" xfId="0"/>
    <xf numFmtId="0" fontId="12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9" fillId="12" borderId="0" applyAlignment="1" pivotButton="0" quotePrefix="0" xfId="0">
      <alignment horizontal="center" vertical="center"/>
    </xf>
    <xf numFmtId="166" fontId="6" fillId="13" borderId="0" applyAlignment="1" pivotButton="0" quotePrefix="0" xfId="0">
      <alignment horizontal="center" vertical="center"/>
    </xf>
    <xf numFmtId="166" fontId="6" fillId="14" borderId="0" applyAlignment="1" pivotButton="0" quotePrefix="0" xfId="0">
      <alignment horizontal="center" vertical="center"/>
    </xf>
    <xf numFmtId="166" fontId="6" fillId="15" borderId="0" applyAlignment="1" pivotButton="0" quotePrefix="0" xfId="0">
      <alignment horizontal="center" vertical="center"/>
    </xf>
    <xf numFmtId="166" fontId="5" fillId="3" borderId="0" applyAlignment="1" pivotButton="0" quotePrefix="0" xfId="0">
      <alignment horizontal="center" vertical="center"/>
    </xf>
    <xf numFmtId="166" fontId="6" fillId="16" borderId="0" applyAlignment="1" pivotButton="0" quotePrefix="0" xfId="0">
      <alignment horizontal="center" vertical="center"/>
    </xf>
    <xf numFmtId="166" fontId="6" fillId="1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166" fontId="13" fillId="0" borderId="0" applyAlignment="1" pivotButton="0" quotePrefix="0" xfId="0">
      <alignment horizontal="center" vertical="center"/>
    </xf>
    <xf numFmtId="166" fontId="13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40" customWidth="1" min="3" max="3"/>
    <col width="12" customWidth="1" min="4" max="4"/>
    <col width="6" customWidth="1" min="5" max="5"/>
    <col width="12" customWidth="1" min="6" max="6"/>
    <col width="6" customWidth="1" min="7" max="7"/>
    <col width="12" customWidth="1" min="8" max="8"/>
    <col width="12" customWidth="1" min="9" max="9"/>
    <col width="13" customWidth="1" min="10" max="10"/>
    <col width="13" customWidth="1" min="11" max="11"/>
    <col width="13" customWidth="1" min="12" max="12"/>
  </cols>
  <sheetData>
    <row r="1" ht="34" customHeight="1">
      <c r="A1" s="1" t="inlineStr">
        <is>
          <t>BUS 331 — IMPLIED vs. REALIZED VOLATILITY ACTIVITY</t>
        </is>
      </c>
    </row>
    <row r="2" ht="16" customHeight="1">
      <c r="A2" s="2" t="inlineStr">
        <is>
          <t>Ch. 20–21: Options Markets &amp; Valuation  |  AAPL (Current Price: $227)  |  ATM Strike: $227</t>
        </is>
      </c>
    </row>
    <row r="3" ht="26" customHeight="1">
      <c r="A3" s="3" t="inlineStr">
        <is>
          <t>KEY CONCEPT:  Implied Volatility (IV) = what the market EXPECTS future volatility to be (extracted from option prices using Black-Scholes). Realized Volatility (RV) = what volatility ACTUALLY was (computed from historical returns). IV &gt; RV → options are 'expensive'; IV &lt; RV → options are 'cheap'.</t>
        </is>
      </c>
    </row>
    <row r="4" ht="8" customHeight="1"/>
    <row r="5" ht="20" customHeight="1">
      <c r="A5" s="4" t="inlineStr">
        <is>
          <t xml:space="preserve">  SECTION A — REALIZED VOLATILITY: Computed from 20 Trading Days of AAPL Returns</t>
        </is>
      </c>
    </row>
    <row r="6" ht="20" customHeight="1">
      <c r="A6" s="5" t="inlineStr">
        <is>
          <t>FORMULA:  Daily RV = STDEV(daily returns)  |  Annualized RV = Daily RV × √252  (252 trading days per year)  |  This converts daily standard deviation to an annualized percentage — matching the IV quote convention.</t>
        </is>
      </c>
    </row>
    <row r="7" ht="30" customHeight="1">
      <c r="A7" s="6" t="inlineStr">
        <is>
          <t>Day</t>
        </is>
      </c>
      <c r="B7" s="6" t="inlineStr">
        <is>
          <t>Daily Return</t>
        </is>
      </c>
      <c r="C7" s="6" t="inlineStr">
        <is>
          <t>Day</t>
        </is>
      </c>
      <c r="D7" s="6" t="inlineStr">
        <is>
          <t>Daily Return</t>
        </is>
      </c>
      <c r="E7" s="6" t="inlineStr">
        <is>
          <t>Day</t>
        </is>
      </c>
      <c r="F7" s="6" t="inlineStr">
        <is>
          <t>Daily Return</t>
        </is>
      </c>
      <c r="G7" s="6" t="inlineStr">
        <is>
          <t>Day</t>
        </is>
      </c>
      <c r="H7" s="6" t="inlineStr">
        <is>
          <t>Daily Return</t>
        </is>
      </c>
    </row>
    <row r="8" ht="15" customHeight="1">
      <c r="A8" s="7" t="n">
        <v>1</v>
      </c>
      <c r="B8" s="8" t="n">
        <v>0.0089</v>
      </c>
      <c r="C8" s="7" t="n">
        <v>6</v>
      </c>
      <c r="D8" s="8" t="n">
        <v>0.0115</v>
      </c>
      <c r="E8" s="7" t="n">
        <v>11</v>
      </c>
      <c r="F8" s="8" t="n">
        <v>-0.0031</v>
      </c>
      <c r="G8" s="7" t="n">
        <v>16</v>
      </c>
      <c r="H8" s="8" t="n">
        <v>-0.0214</v>
      </c>
    </row>
    <row r="9" ht="15" customHeight="1">
      <c r="A9" s="7" t="n">
        <v>2</v>
      </c>
      <c r="B9" s="8" t="n">
        <v>-0.0142</v>
      </c>
      <c r="C9" s="7" t="n">
        <v>7</v>
      </c>
      <c r="D9" s="8" t="n">
        <v>-0.0055</v>
      </c>
      <c r="E9" s="7" t="n">
        <v>12</v>
      </c>
      <c r="F9" s="8" t="n">
        <v>0.0177</v>
      </c>
      <c r="G9" s="7" t="n">
        <v>17</v>
      </c>
      <c r="H9" s="8" t="n">
        <v>0.0081</v>
      </c>
    </row>
    <row r="10" ht="15" customHeight="1">
      <c r="A10" s="7" t="n">
        <v>3</v>
      </c>
      <c r="B10" s="8" t="n">
        <v>0.0063</v>
      </c>
      <c r="C10" s="7" t="n">
        <v>8</v>
      </c>
      <c r="D10" s="8" t="n">
        <v>0.0033</v>
      </c>
      <c r="E10" s="7" t="n">
        <v>13</v>
      </c>
      <c r="F10" s="8" t="n">
        <v>-0.0066</v>
      </c>
      <c r="G10" s="7" t="n">
        <v>18</v>
      </c>
      <c r="H10" s="8" t="n">
        <v>0.0059</v>
      </c>
    </row>
    <row r="11" ht="15" customHeight="1">
      <c r="A11" s="7" t="n">
        <v>4</v>
      </c>
      <c r="B11" s="8" t="n">
        <v>0.0201</v>
      </c>
      <c r="C11" s="7" t="n">
        <v>9</v>
      </c>
      <c r="D11" s="8" t="n">
        <v>-0.0187</v>
      </c>
      <c r="E11" s="7" t="n">
        <v>14</v>
      </c>
      <c r="F11" s="8" t="n">
        <v>0.0044</v>
      </c>
      <c r="G11" s="7" t="n">
        <v>19</v>
      </c>
      <c r="H11" s="8" t="n">
        <v>-0.0039</v>
      </c>
    </row>
    <row r="12" ht="15" customHeight="1">
      <c r="A12" s="7" t="n">
        <v>5</v>
      </c>
      <c r="B12" s="8" t="n">
        <v>-0.0078</v>
      </c>
      <c r="C12" s="7" t="n">
        <v>10</v>
      </c>
      <c r="D12" s="8" t="n">
        <v>0.0094</v>
      </c>
      <c r="E12" s="7" t="n">
        <v>15</v>
      </c>
      <c r="F12" s="8" t="n">
        <v>0.0128</v>
      </c>
      <c r="G12" s="7" t="n">
        <v>20</v>
      </c>
      <c r="H12" s="8" t="n">
        <v>0.0102</v>
      </c>
    </row>
    <row r="13" ht="6" customHeight="1"/>
    <row r="14" ht="20" customHeight="1">
      <c r="A14" s="4" t="inlineStr">
        <is>
          <t xml:space="preserve">  SECTION A (cont.) — REALIZED VOLATILITY CALCULATION</t>
        </is>
      </c>
    </row>
    <row r="15" ht="30" customHeight="1">
      <c r="A15" s="6" t="inlineStr">
        <is>
          <t>Calculation Step</t>
        </is>
      </c>
      <c r="B15" s="6" t="inlineStr">
        <is>
          <t>Value</t>
        </is>
      </c>
      <c r="C15" s="6" t="inlineStr">
        <is>
          <t>Formula / Concept</t>
        </is>
      </c>
    </row>
    <row r="16" ht="16" customHeight="1">
      <c r="A16" s="9" t="inlineStr">
        <is>
          <t>Number of daily return observations</t>
        </is>
      </c>
      <c r="B16" s="10" t="n"/>
      <c r="C16" s="11" t="inlineStr">
        <is>
          <t>n = 20 trading days</t>
        </is>
      </c>
    </row>
    <row r="17" ht="16" customHeight="1">
      <c r="A17" s="12" t="inlineStr">
        <is>
          <t>Mean daily return</t>
        </is>
      </c>
      <c r="B17" s="13" t="n"/>
      <c r="C17" s="14" t="inlineStr">
        <is>
          <t>Simple average of all daily returns</t>
        </is>
      </c>
    </row>
    <row r="18" ht="16" customHeight="1">
      <c r="A18" s="9" t="inlineStr">
        <is>
          <t>Daily Realized Volatility (σ_daily)</t>
        </is>
      </c>
      <c r="B18" s="13" t="n"/>
      <c r="C18" s="11" t="inlineStr">
        <is>
          <t>Standard deviation of daily returns  [key formula]</t>
        </is>
      </c>
    </row>
    <row r="19" ht="16" customHeight="1">
      <c r="A19" s="12" t="inlineStr">
        <is>
          <t>Annualized Realized Volatility (σ_annual)</t>
        </is>
      </c>
      <c r="B19" s="15" t="n"/>
      <c r="C19" s="14" t="inlineStr">
        <is>
          <t>sigma_daily x sqrt(252)  — annualize to match IV convention</t>
        </is>
      </c>
    </row>
    <row r="20" ht="16" customHeight="1">
      <c r="A20" s="9" t="inlineStr">
        <is>
          <t>Variance (σ²_annual)</t>
        </is>
      </c>
      <c r="B20" s="15" t="n"/>
      <c r="C20" s="11" t="inlineStr">
        <is>
          <t>(Annualized RV) squared  — useful for option pricing</t>
        </is>
      </c>
    </row>
    <row r="21" ht="10" customHeight="1"/>
    <row r="22" ht="20" customHeight="1">
      <c r="A22" s="4" t="inlineStr">
        <is>
          <t xml:space="preserve">  SECTION B — IMPLIED VOLATILITY: Reading the Options Market</t>
        </is>
      </c>
    </row>
    <row r="23" ht="20" customHeight="1">
      <c r="A23" s="5" t="inlineStr">
        <is>
          <t>AAPL ATM Call and Put options — Strike = $227 (current price).  IV is GIVEN (extracted from Black-Scholes by the options market).  Students: calculate the Vol Premium and interpret what each expiry IV tells you about market expectations over that horizon.</t>
        </is>
      </c>
    </row>
    <row r="24" ht="30" customHeight="1">
      <c r="A24" s="6" t="inlineStr">
        <is>
          <t>Expiry</t>
        </is>
      </c>
      <c r="B24" s="6" t="inlineStr">
        <is>
          <t>Days to
Expiry</t>
        </is>
      </c>
      <c r="C24" s="6" t="inlineStr">
        <is>
          <t>Call
Price ($)</t>
        </is>
      </c>
      <c r="D24" s="6" t="inlineStr">
        <is>
          <t>Put
Price ($)</t>
        </is>
      </c>
      <c r="E24" s="6" t="inlineStr">
        <is>
          <t>Implied
Vol (IV)</t>
        </is>
      </c>
      <c r="F24" s="6" t="inlineStr">
        <is>
          <t>Annualized
RV (link)</t>
        </is>
      </c>
      <c r="G24" s="6" t="inlineStr">
        <is>
          <t>Vol Premium
(IV − RV)</t>
        </is>
      </c>
      <c r="H24" s="6" t="inlineStr">
        <is>
          <t>IV &gt; RV?
(Expensive?)</t>
        </is>
      </c>
      <c r="I24" s="6" t="inlineStr">
        <is>
          <t>Annualized IV
in Daily Terms</t>
        </is>
      </c>
      <c r="J24" s="6" t="inlineStr">
        <is>
          <t>Time Value
(Call − Intrinsic)</t>
        </is>
      </c>
    </row>
    <row r="25" ht="17" customHeight="1">
      <c r="A25" s="16" t="inlineStr">
        <is>
          <t>1-Week (7 days)</t>
        </is>
      </c>
      <c r="B25" s="17" t="n">
        <v>7</v>
      </c>
      <c r="C25" s="18" t="n">
        <v>4.85</v>
      </c>
      <c r="D25" s="18" t="n">
        <v>4.7</v>
      </c>
      <c r="E25" s="19" t="n">
        <v>0.284</v>
      </c>
      <c r="F25" s="20">
        <f>$B$19</f>
        <v/>
      </c>
      <c r="G25" s="21" t="n"/>
      <c r="H25" s="22" t="n"/>
      <c r="I25" s="15" t="n"/>
      <c r="J25" s="23" t="n"/>
    </row>
    <row r="26" ht="17" customHeight="1">
      <c r="A26" s="24" t="inlineStr">
        <is>
          <t>1-Month (30 days)</t>
        </is>
      </c>
      <c r="B26" s="25" t="n">
        <v>30</v>
      </c>
      <c r="C26" s="26" t="n">
        <v>10.2</v>
      </c>
      <c r="D26" s="26" t="n">
        <v>9.949999999999999</v>
      </c>
      <c r="E26" s="27" t="n">
        <v>0.262</v>
      </c>
      <c r="F26" s="28">
        <f>$B$19</f>
        <v/>
      </c>
      <c r="G26" s="21" t="n"/>
      <c r="H26" s="22" t="n"/>
      <c r="I26" s="15" t="n"/>
      <c r="J26" s="23" t="n"/>
    </row>
    <row r="27" ht="17" customHeight="1">
      <c r="A27" s="16" t="inlineStr">
        <is>
          <t>3-Month (90 days)</t>
        </is>
      </c>
      <c r="B27" s="17" t="n">
        <v>90</v>
      </c>
      <c r="C27" s="18" t="n">
        <v>17.8</v>
      </c>
      <c r="D27" s="18" t="n">
        <v>17.4</v>
      </c>
      <c r="E27" s="19" t="n">
        <v>0.248</v>
      </c>
      <c r="F27" s="20">
        <f>$B$19</f>
        <v/>
      </c>
      <c r="G27" s="21" t="n"/>
      <c r="H27" s="22" t="n"/>
      <c r="I27" s="15" t="n"/>
      <c r="J27" s="23" t="n"/>
    </row>
    <row r="28" ht="17" customHeight="1">
      <c r="A28" s="24" t="inlineStr">
        <is>
          <t>6-Month (180 days)</t>
        </is>
      </c>
      <c r="B28" s="25" t="n">
        <v>180</v>
      </c>
      <c r="C28" s="26" t="n">
        <v>24.5</v>
      </c>
      <c r="D28" s="26" t="n">
        <v>23.9</v>
      </c>
      <c r="E28" s="27" t="n">
        <v>0.235</v>
      </c>
      <c r="F28" s="28">
        <f>$B$19</f>
        <v/>
      </c>
      <c r="G28" s="21" t="n"/>
      <c r="H28" s="22" t="n"/>
      <c r="I28" s="15" t="n"/>
      <c r="J28" s="23" t="n"/>
    </row>
    <row r="29" ht="17" customHeight="1">
      <c r="A29" s="16" t="inlineStr">
        <is>
          <t>1-Year (365 days)</t>
        </is>
      </c>
      <c r="B29" s="17" t="n">
        <v>365</v>
      </c>
      <c r="C29" s="18" t="n">
        <v>33.6</v>
      </c>
      <c r="D29" s="18" t="n">
        <v>32.8</v>
      </c>
      <c r="E29" s="19" t="n">
        <v>0.221</v>
      </c>
      <c r="F29" s="20">
        <f>$B$19</f>
        <v/>
      </c>
      <c r="G29" s="21" t="n"/>
      <c r="H29" s="22" t="n"/>
      <c r="I29" s="15" t="n"/>
      <c r="J29" s="23" t="n"/>
    </row>
    <row r="30" ht="8" customHeight="1"/>
    <row r="31" ht="20" customHeight="1">
      <c r="A31" s="4" t="inlineStr">
        <is>
          <t xml:space="preserve">  SECTION C — VOLATILITY TERM STRUCTURE: What Does the Shape Tell Us?</t>
        </is>
      </c>
    </row>
    <row r="32" ht="26" customHeight="1">
      <c r="A32" s="29" t="inlineStr">
        <is>
          <t>NORMAL (Contango) term structure: Short-dated IV &gt; Long-dated IV — market expects near-term uncertainty to resolve.  INVERTED (Backwardation): Short-dated IV &lt; Long-dated IV — market expects a future shock.  AAPL's current term structure: analyze the IV column across expirations to determine the shape.</t>
        </is>
      </c>
    </row>
    <row r="33" ht="30" customHeight="1">
      <c r="A33" s="6" t="inlineStr">
        <is>
          <t>Summary Metric</t>
        </is>
      </c>
      <c r="B33" s="6" t="inlineStr">
        <is>
          <t>Value / Answer</t>
        </is>
      </c>
      <c r="C33" s="6" t="inlineStr">
        <is>
          <t>Interpretation</t>
        </is>
      </c>
    </row>
    <row r="34" ht="16" customHeight="1">
      <c r="A34" s="9" t="inlineStr">
        <is>
          <t>1-Week IV (shortest expiry)</t>
        </is>
      </c>
      <c r="B34" s="21" t="n"/>
      <c r="C34" s="11" t="inlineStr">
        <is>
          <t>Highest IV reflects near-term event risk (earnings, Fed)</t>
        </is>
      </c>
    </row>
    <row r="35" ht="16" customHeight="1">
      <c r="A35" s="12" t="inlineStr">
        <is>
          <t>1-Year IV (longest expiry)</t>
        </is>
      </c>
      <c r="B35" s="21" t="n"/>
      <c r="C35" s="14" t="inlineStr">
        <is>
          <t>Long-run mean-reversion in vol expectations</t>
        </is>
      </c>
    </row>
    <row r="36" ht="16" customHeight="1">
      <c r="A36" s="9" t="inlineStr">
        <is>
          <t>Term Structure Slope (1W−1Y)</t>
        </is>
      </c>
      <c r="B36" s="21" t="n"/>
      <c r="C36" s="11" t="inlineStr">
        <is>
          <t>Positive = normal (contango); Negative = inverted (backwardation)</t>
        </is>
      </c>
    </row>
    <row r="37" ht="16" customHeight="1">
      <c r="A37" s="12" t="inlineStr">
        <is>
          <t>Shape Classification</t>
        </is>
      </c>
      <c r="B37" s="22" t="n"/>
      <c r="C37" s="14" t="inlineStr">
        <is>
          <t>What does this say about where the market expects risk?</t>
        </is>
      </c>
    </row>
    <row r="38" ht="16" customHeight="1">
      <c r="A38" s="9" t="inlineStr">
        <is>
          <t>IV vs. Realized Vol (1-Month)</t>
        </is>
      </c>
      <c r="B38" s="21" t="n"/>
      <c r="C38" s="11" t="inlineStr">
        <is>
          <t>Vol premium the market charges for 30-day insurance on AAPL</t>
        </is>
      </c>
    </row>
    <row r="39" ht="10" customHeight="1"/>
    <row r="40" ht="20" customHeight="1">
      <c r="A40" s="4" t="inlineStr">
        <is>
          <t xml:space="preserve">  DISCUSSION QUESTIONS</t>
        </is>
      </c>
    </row>
    <row r="41" ht="30" customHeight="1">
      <c r="A41" s="30" t="inlineStr">
        <is>
          <t>Q1</t>
        </is>
      </c>
      <c r="B41" s="31" t="inlineStr">
        <is>
          <t>If IV &gt; RV across all expirations, what does this mean for someone who SELLS options (e.g., a covered call writer)? Is this a good or bad time to sell options? Explain the 'volatility risk premium'.</t>
        </is>
      </c>
    </row>
    <row r="42" ht="16" customHeight="1">
      <c r="A42" s="32" t="n"/>
      <c r="B42" s="33" t="n"/>
    </row>
    <row r="43" ht="16" customHeight="1">
      <c r="A43" s="32" t="n"/>
      <c r="B43" s="33" t="n"/>
    </row>
    <row r="44" ht="16" customHeight="1">
      <c r="A44" s="32" t="n"/>
      <c r="B44" s="33" t="n"/>
    </row>
    <row r="45" ht="30" customHeight="1">
      <c r="A45" s="30" t="inlineStr">
        <is>
          <t>Q2</t>
        </is>
      </c>
      <c r="B45" s="31" t="inlineStr">
        <is>
          <t>AAPL announces earnings in 3 weeks. How would you EXPECT the 1-month IV to change relative to the 3-month IV as the announcement approaches? Sketch the term structure before and after earnings.</t>
        </is>
      </c>
    </row>
    <row r="46" ht="16" customHeight="1">
      <c r="A46" s="32" t="n"/>
      <c r="B46" s="33" t="n"/>
    </row>
    <row r="47" ht="16" customHeight="1">
      <c r="A47" s="32" t="n"/>
      <c r="B47" s="33" t="n"/>
    </row>
    <row r="48" ht="16" customHeight="1">
      <c r="A48" s="32" t="n"/>
      <c r="B48" s="33" t="n"/>
    </row>
    <row r="49" ht="30" customHeight="1">
      <c r="A49" s="30" t="inlineStr">
        <is>
          <t>Q3</t>
        </is>
      </c>
      <c r="B49" s="31" t="inlineStr">
        <is>
          <t>Put-Call Parity: Using the 1-month data, verify put-call parity. Are the call and put prices consistent? (C − P = S − PV(K), where S = K = 227, r = 5.0%)</t>
        </is>
      </c>
    </row>
    <row r="50" ht="16" customHeight="1">
      <c r="A50" s="32" t="n"/>
      <c r="B50" s="33" t="n"/>
    </row>
    <row r="51" ht="16" customHeight="1">
      <c r="A51" s="32" t="n"/>
      <c r="B51" s="33" t="n"/>
    </row>
    <row r="52" ht="16" customHeight="1">
      <c r="A52" s="32" t="n"/>
      <c r="B52" s="33" t="n"/>
    </row>
    <row r="53" ht="30" customHeight="1">
      <c r="A53" s="30" t="inlineStr">
        <is>
          <t>Q4</t>
        </is>
      </c>
      <c r="B53" s="31" t="inlineStr">
        <is>
          <t>If you believed AAPL's ACTUAL volatility over the next month will be 20% (below current 1-month IV), what options strategy would you execute — and why? What is your maximum profit and maximum loss?</t>
        </is>
      </c>
    </row>
    <row r="54" ht="16" customHeight="1">
      <c r="A54" s="32" t="n"/>
      <c r="B54" s="33" t="n"/>
    </row>
    <row r="55" ht="16" customHeight="1">
      <c r="A55" s="32" t="n"/>
      <c r="B55" s="33" t="n"/>
    </row>
    <row r="56" ht="16" customHeight="1">
      <c r="A56" s="32" t="n"/>
      <c r="B56" s="33" t="n"/>
    </row>
  </sheetData>
  <mergeCells count="39">
    <mergeCell ref="B50:L50"/>
    <mergeCell ref="B54:L54"/>
    <mergeCell ref="C17:L17"/>
    <mergeCell ref="B47:L47"/>
    <mergeCell ref="B46:L46"/>
    <mergeCell ref="A3:L3"/>
    <mergeCell ref="C38:L38"/>
    <mergeCell ref="B56:L56"/>
    <mergeCell ref="C19:L19"/>
    <mergeCell ref="A2:L2"/>
    <mergeCell ref="C37:L37"/>
    <mergeCell ref="B43:L43"/>
    <mergeCell ref="B41:L41"/>
    <mergeCell ref="B52:L52"/>
    <mergeCell ref="B48:L48"/>
    <mergeCell ref="C18:L18"/>
    <mergeCell ref="A5:L5"/>
    <mergeCell ref="A23:L23"/>
    <mergeCell ref="A32:L32"/>
    <mergeCell ref="A22:L22"/>
    <mergeCell ref="C15:L15"/>
    <mergeCell ref="C34:L34"/>
    <mergeCell ref="B42:L42"/>
    <mergeCell ref="C33:L33"/>
    <mergeCell ref="B53:L53"/>
    <mergeCell ref="B44:L44"/>
    <mergeCell ref="A31:L31"/>
    <mergeCell ref="C35:L35"/>
    <mergeCell ref="A14:H14"/>
    <mergeCell ref="C20:L20"/>
    <mergeCell ref="A40:L40"/>
    <mergeCell ref="C16:L16"/>
    <mergeCell ref="B49:L49"/>
    <mergeCell ref="A1:L1"/>
    <mergeCell ref="B55:L55"/>
    <mergeCell ref="B51:L51"/>
    <mergeCell ref="A6:L6"/>
    <mergeCell ref="B45:L45"/>
    <mergeCell ref="C36:L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34" t="inlineStr">
        <is>
          <t>AAPL IMPLIED VOLATILITY SURFACE — Strike vs. Expiry (Snapshot)</t>
        </is>
      </c>
    </row>
    <row r="2" ht="20" customHeight="1">
      <c r="A2" s="29" t="inlineStr">
        <is>
          <t>The vol surface shows IV across STRIKES (X-axis) and EXPIRATIONS (Y-axis).  The 'vol smile' or 'vol skew' reveals how the market prices OTM options differently from ATM.  Lower strikes (OTM puts) typically have HIGHER IV — the 'put skew' reflects crash protection demand.</t>
        </is>
      </c>
    </row>
    <row r="3" ht="6" customHeight="1"/>
    <row r="4" ht="20" customHeight="1">
      <c r="A4" s="35" t="inlineStr">
        <is>
          <t>Expiry \ Strike</t>
        </is>
      </c>
      <c r="B4" s="35" t="inlineStr">
        <is>
          <t>$190</t>
        </is>
      </c>
      <c r="C4" s="35" t="inlineStr">
        <is>
          <t>$200</t>
        </is>
      </c>
      <c r="D4" s="35" t="inlineStr">
        <is>
          <t>$210</t>
        </is>
      </c>
      <c r="E4" s="35" t="inlineStr">
        <is>
          <t>$220</t>
        </is>
      </c>
      <c r="F4" s="36" t="inlineStr">
        <is>
          <t>$227</t>
        </is>
      </c>
      <c r="G4" s="35" t="inlineStr">
        <is>
          <t>$235</t>
        </is>
      </c>
      <c r="H4" s="35" t="inlineStr">
        <is>
          <t>$245</t>
        </is>
      </c>
      <c r="I4" s="35" t="inlineStr">
        <is>
          <t>$260</t>
        </is>
      </c>
    </row>
    <row r="5" ht="16" customHeight="1">
      <c r="A5" s="35" t="inlineStr">
        <is>
          <t>7D</t>
        </is>
      </c>
      <c r="B5" s="37" t="n">
        <v>0.385</v>
      </c>
      <c r="C5" s="38" t="n">
        <v>0.348</v>
      </c>
      <c r="D5" s="39" t="n">
        <v>0.316</v>
      </c>
      <c r="E5" s="39" t="n">
        <v>0.296</v>
      </c>
      <c r="F5" s="40" t="n">
        <v>0.284</v>
      </c>
      <c r="G5" s="41" t="n">
        <v>0.278</v>
      </c>
      <c r="H5" s="41" t="n">
        <v>0.271</v>
      </c>
      <c r="I5" s="41" t="n">
        <v>0.263</v>
      </c>
    </row>
    <row r="6" ht="16" customHeight="1">
      <c r="A6" s="35" t="inlineStr">
        <is>
          <t>30D</t>
        </is>
      </c>
      <c r="B6" s="37" t="n">
        <v>0.362</v>
      </c>
      <c r="C6" s="38" t="n">
        <v>0.328</v>
      </c>
      <c r="D6" s="39" t="n">
        <v>0.302</v>
      </c>
      <c r="E6" s="41" t="n">
        <v>0.278</v>
      </c>
      <c r="F6" s="40" t="n">
        <v>0.262</v>
      </c>
      <c r="G6" s="42" t="n">
        <v>0.255</v>
      </c>
      <c r="H6" s="42" t="n">
        <v>0.248</v>
      </c>
      <c r="I6" s="42" t="n">
        <v>0.24</v>
      </c>
    </row>
    <row r="7" ht="16" customHeight="1">
      <c r="A7" s="35" t="inlineStr">
        <is>
          <t>90D</t>
        </is>
      </c>
      <c r="B7" s="38" t="n">
        <v>0.341</v>
      </c>
      <c r="C7" s="39" t="n">
        <v>0.311</v>
      </c>
      <c r="D7" s="41" t="n">
        <v>0.287</v>
      </c>
      <c r="E7" s="41" t="n">
        <v>0.264</v>
      </c>
      <c r="F7" s="40" t="n">
        <v>0.248</v>
      </c>
      <c r="G7" s="42" t="n">
        <v>0.241</v>
      </c>
      <c r="H7" s="42" t="n">
        <v>0.235</v>
      </c>
      <c r="I7" s="42" t="n">
        <v>0.228</v>
      </c>
    </row>
    <row r="8" ht="16" customHeight="1">
      <c r="A8" s="35" t="inlineStr">
        <is>
          <t>180D</t>
        </is>
      </c>
      <c r="B8" s="38" t="n">
        <v>0.322</v>
      </c>
      <c r="C8" s="39" t="n">
        <v>0.296</v>
      </c>
      <c r="D8" s="41" t="n">
        <v>0.274</v>
      </c>
      <c r="E8" s="42" t="n">
        <v>0.252</v>
      </c>
      <c r="F8" s="40" t="n">
        <v>0.235</v>
      </c>
      <c r="G8" s="42" t="n">
        <v>0.228</v>
      </c>
      <c r="H8" s="42" t="n">
        <v>0.222</v>
      </c>
      <c r="I8" s="42" t="n">
        <v>0.216</v>
      </c>
    </row>
    <row r="9" ht="16" customHeight="1">
      <c r="A9" s="35" t="inlineStr">
        <is>
          <t>365D</t>
        </is>
      </c>
      <c r="B9" s="39" t="n">
        <v>0.305</v>
      </c>
      <c r="C9" s="41" t="n">
        <v>0.281</v>
      </c>
      <c r="D9" s="41" t="n">
        <v>0.261</v>
      </c>
      <c r="E9" s="42" t="n">
        <v>0.241</v>
      </c>
      <c r="F9" s="40" t="n">
        <v>0.221</v>
      </c>
      <c r="G9" s="42" t="n">
        <v>0.215</v>
      </c>
      <c r="H9" s="42" t="n">
        <v>0.21</v>
      </c>
      <c r="I9" s="42" t="n">
        <v>0.204</v>
      </c>
    </row>
    <row r="10" ht="8" customHeight="1"/>
    <row r="11" ht="16" customHeight="1">
      <c r="A11" s="43" t="inlineStr">
        <is>
          <t>COLOR GUIDE: Red = Highest IV (&gt;35%) → Orange → Yellow → Light Green → Green = Lowest IV (&lt;24%)  |  Gold column = ATM strikes ($227)</t>
        </is>
      </c>
    </row>
    <row r="12" ht="8" customHeight="1"/>
    <row r="13" ht="20" customHeight="1">
      <c r="A13" s="4" t="inlineStr">
        <is>
          <t xml:space="preserve">  VOL SKEW ANALYSIS: OTM Puts vs. ATM vs. OTM Calls</t>
        </is>
      </c>
    </row>
    <row r="14" ht="30" customHeight="1">
      <c r="A14" s="6" t="inlineStr">
        <is>
          <t>Metric</t>
        </is>
      </c>
      <c r="B14" s="6" t="inlineStr">
        <is>
          <t>Value</t>
        </is>
      </c>
      <c r="C14" s="6" t="inlineStr">
        <is>
          <t>Interpretation</t>
        </is>
      </c>
    </row>
    <row r="15" ht="16" customHeight="1">
      <c r="A15" s="9" t="inlineStr">
        <is>
          <t>30D ATM IV ($227)</t>
        </is>
      </c>
      <c r="B15" s="44" t="n">
        <v>0.262</v>
      </c>
      <c r="C15" s="11" t="inlineStr">
        <is>
          <t>Baseline — what market expects for typical 30-day swing</t>
        </is>
      </c>
    </row>
    <row r="16" ht="16" customHeight="1">
      <c r="A16" s="12" t="inlineStr">
        <is>
          <t>30D OTM Put IV ($200)</t>
        </is>
      </c>
      <c r="B16" s="45" t="n">
        <v>0.328</v>
      </c>
      <c r="C16" s="14" t="inlineStr">
        <is>
          <t>Higher IV = put buyers paying premium for crash protection</t>
        </is>
      </c>
    </row>
    <row r="17" ht="16" customHeight="1">
      <c r="A17" s="9" t="inlineStr">
        <is>
          <t>30D OTM Call IV ($245)</t>
        </is>
      </c>
      <c r="B17" s="44" t="n">
        <v>0.248</v>
      </c>
      <c r="C17" s="11" t="inlineStr">
        <is>
          <t>Lower IV = calls are cheaper (less demand for upside protection)</t>
        </is>
      </c>
    </row>
    <row r="18" ht="16" customHeight="1">
      <c r="A18" s="12" t="inlineStr">
        <is>
          <t>Put Skew (Put IV − ATM)</t>
        </is>
      </c>
      <c r="B18" s="45" t="n">
        <v>0.066</v>
      </c>
      <c r="C18" s="14" t="inlineStr">
        <is>
          <t>Positive = market prices downside more expensively than upside</t>
        </is>
      </c>
    </row>
    <row r="19" ht="16" customHeight="1">
      <c r="A19" s="9" t="inlineStr">
        <is>
          <t>Call Skew (Call IV − ATM)</t>
        </is>
      </c>
      <c r="B19" s="44" t="n">
        <v>-0.01400000000000001</v>
      </c>
      <c r="C19" s="11" t="inlineStr">
        <is>
          <t>Negative = calls are cheaper than puts (typical equity vol skew)</t>
        </is>
      </c>
    </row>
  </sheetData>
  <mergeCells count="10">
    <mergeCell ref="C16:H16"/>
    <mergeCell ref="C19:H19"/>
    <mergeCell ref="C14:H14"/>
    <mergeCell ref="A2:H2"/>
    <mergeCell ref="C17:H17"/>
    <mergeCell ref="A13:H13"/>
    <mergeCell ref="A11:H11"/>
    <mergeCell ref="C18:H18"/>
    <mergeCell ref="A1:H1"/>
    <mergeCell ref="C15:H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2026-06-07T02:00:10Z</dcterms:created>
  <dcterms:modified xmlns:dcterms="http://purl.org/dc/terms/" xmlns:xsi="http://www.w3.org/2001/XMLSchema-instance" xsi:type="dcterms:W3CDTF">2026-06-07T02:01:22Z</dcterms:modified>
</cp:coreProperties>
</file>