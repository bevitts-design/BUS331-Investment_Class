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charts/chart3.xml" ContentType="application/vnd.openxmlformats-officedocument.drawingml.chart+xml"/>
  <Override PartName="/xl/theme/themeOverride3.xml" ContentType="application/vnd.openxmlformats-officedocument.themeOverride+xml"/>
  <Override PartName="/xl/charts/chart4.xml" ContentType="application/vnd.openxmlformats-officedocument.drawingml.chart+xml"/>
  <Override PartName="/xl/theme/themeOverride4.xml" ContentType="application/vnd.openxmlformats-officedocument.themeOverride+xml"/>
  <Override PartName="/xl/charts/chart5.xml" ContentType="application/vnd.openxmlformats-officedocument.drawingml.chart+xml"/>
  <Override PartName="/xl/theme/themeOverride5.xml" ContentType="application/vnd.openxmlformats-officedocument.themeOverride+xml"/>
  <Override PartName="/xl/charts/chart6.xml" ContentType="application/vnd.openxmlformats-officedocument.drawingml.chart+xml"/>
  <Override PartName="/xl/theme/themeOverride6.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5"/>
  <workbookPr codeName="ThisWorkbook"/>
  <mc:AlternateContent xmlns:mc="http://schemas.openxmlformats.org/markup-compatibility/2006">
    <mc:Choice Requires="x15">
      <x15ac:absPath xmlns:x15ac="http://schemas.microsoft.com/office/spreadsheetml/2010/11/ac" url="/Users/bethanyevittsair2/Documents/GitHub/BUS331-Investment_Class/"/>
    </mc:Choice>
  </mc:AlternateContent>
  <xr:revisionPtr revIDLastSave="0" documentId="8_{27B632E4-AF74-6241-87BE-80A8B047497F}" xr6:coauthVersionLast="47" xr6:coauthVersionMax="47" xr10:uidLastSave="{00000000-0000-0000-0000-000000000000}"/>
  <bookViews>
    <workbookView xWindow="0" yWindow="600" windowWidth="38400" windowHeight="20000" activeTab="2" xr2:uid="{00000000-000D-0000-FFFF-FFFF00000000}"/>
  </bookViews>
  <sheets>
    <sheet name="__FDSCACHE__" sheetId="14" state="veryHidden" r:id="rId1"/>
    <sheet name="Cover_Page" sheetId="15" r:id="rId2"/>
    <sheet name="Index Snapshot" sheetId="4" r:id="rId3"/>
    <sheet name="Index - Earnings Calendar" sheetId="16" r:id="rId4"/>
    <sheet name="__FDS_AUDIT__" sheetId="13" state="veryHidden" r:id="rId5"/>
    <sheet name="__APW_ACTIVE_FIELD_RESTORE__" sheetId="11" state="veryHidden" r:id="rId6"/>
  </sheets>
  <definedNames>
    <definedName name="__FDS_TL_KW__" localSheetId="4" hidden="1">"Indices/Index Snapshot.xlsx*__FDS_AUDIT__"</definedName>
    <definedName name="__FDS_TL_KW__" localSheetId="1" hidden="1">"Indices/Index Snapshot.xlsx*Cover_Page"</definedName>
    <definedName name="__FDS_TL_KW__" localSheetId="3" hidden="1">"Indices/Index Snapshot.xlsx*Index - Earnings Calendar"</definedName>
    <definedName name="__FDS_TL_KW__" localSheetId="2" hidden="1">"Indices/Index Snapshot.xlsx*Index Snapshot"</definedName>
    <definedName name="Identifier" localSheetId="3">'Index - Earnings Calendar'!$D$8</definedName>
    <definedName name="Identifier" localSheetId="2">'Index Snapshot'!$T$128</definedName>
    <definedName name="IDXSNAPSHOT_RWIdentifier" localSheetId="2">'Index Snapshot'!$T$128</definedName>
    <definedName name="_xlnm.Print_Area" localSheetId="1">Cover_Page!$A$1:$N$33</definedName>
    <definedName name="_xlnm.Print_Area" localSheetId="3">'Index - Earnings Calendar'!$C$12:$L$1025</definedName>
    <definedName name="_xlnm.Print_Area" localSheetId="2">'Index Snapshot'!$B$7:$AF$123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6" l="1" a="1"/>
  <c r="C12" i="16" s="1"/>
  <c r="D17" i="16" a="1"/>
  <c r="D17" i="16" s="1"/>
  <c r="D18" i="16" a="1"/>
  <c r="D18" i="16" s="1"/>
  <c r="D19" i="16" a="1"/>
  <c r="D19" i="16" s="1"/>
  <c r="D20" i="16" a="1"/>
  <c r="D20" i="16" s="1"/>
  <c r="D21" i="16" a="1"/>
  <c r="D21" i="16" s="1"/>
  <c r="D22" i="16" a="1"/>
  <c r="D22" i="16" s="1"/>
  <c r="D23" i="16" a="1"/>
  <c r="D23" i="16" s="1"/>
  <c r="D24" i="16" a="1"/>
  <c r="D24" i="16" s="1"/>
  <c r="D25" i="16" a="1"/>
  <c r="D25" i="16" s="1"/>
  <c r="D26" i="16" a="1"/>
  <c r="D26" i="16" s="1"/>
  <c r="D27" i="16" a="1"/>
  <c r="D27" i="16" s="1"/>
  <c r="D28" i="16" a="1"/>
  <c r="D28" i="16" s="1"/>
  <c r="D29" i="16" a="1"/>
  <c r="D29" i="16" s="1"/>
  <c r="D30" i="16" a="1"/>
  <c r="D30" i="16" s="1"/>
  <c r="D31" i="16" a="1"/>
  <c r="D31" i="16" s="1"/>
  <c r="D32" i="16" a="1"/>
  <c r="D32" i="16" s="1"/>
  <c r="D33" i="16" a="1"/>
  <c r="D33" i="16" s="1"/>
  <c r="D34" i="16" a="1"/>
  <c r="D34" i="16" s="1"/>
  <c r="D35" i="16" a="1"/>
  <c r="D35" i="16" s="1"/>
  <c r="D36" i="16" a="1"/>
  <c r="D36" i="16" s="1"/>
  <c r="D37" i="16" a="1"/>
  <c r="D37" i="16" s="1"/>
  <c r="D38" i="16" a="1"/>
  <c r="D38" i="16" s="1"/>
  <c r="D39" i="16" a="1"/>
  <c r="D39" i="16" s="1"/>
  <c r="D40" i="16" a="1"/>
  <c r="D40" i="16" s="1"/>
  <c r="D41" i="16" a="1"/>
  <c r="D41" i="16" s="1"/>
  <c r="D42" i="16" a="1"/>
  <c r="D42" i="16" s="1"/>
  <c r="D43" i="16" a="1"/>
  <c r="D43" i="16" s="1"/>
  <c r="D44" i="16" a="1"/>
  <c r="D44" i="16" s="1"/>
  <c r="D45" i="16" a="1"/>
  <c r="D45" i="16" s="1"/>
  <c r="D46" i="16" a="1"/>
  <c r="D46" i="16" s="1"/>
  <c r="D47" i="16" a="1"/>
  <c r="D47" i="16" s="1"/>
  <c r="D48" i="16" a="1"/>
  <c r="D48" i="16" s="1"/>
  <c r="D49" i="16" a="1"/>
  <c r="D49" i="16" s="1"/>
  <c r="D50" i="16" a="1"/>
  <c r="D50" i="16" s="1"/>
  <c r="D51" i="16" a="1"/>
  <c r="D51" i="16" s="1"/>
  <c r="D52" i="16" a="1"/>
  <c r="D52" i="16" s="1"/>
  <c r="D53" i="16" a="1"/>
  <c r="D53" i="16" s="1"/>
  <c r="D54" i="16" a="1"/>
  <c r="D54" i="16" s="1"/>
  <c r="D55" i="16" a="1"/>
  <c r="D55" i="16" s="1"/>
  <c r="D56" i="16" a="1"/>
  <c r="D56" i="16" s="1"/>
  <c r="D57" i="16" a="1"/>
  <c r="D57" i="16" s="1"/>
  <c r="D58" i="16" a="1"/>
  <c r="D58" i="16" s="1"/>
  <c r="D59" i="16" a="1"/>
  <c r="D59" i="16" s="1"/>
  <c r="D60" i="16" a="1"/>
  <c r="D60" i="16" s="1"/>
  <c r="D61" i="16" a="1"/>
  <c r="D61" i="16" s="1"/>
  <c r="D62" i="16" a="1"/>
  <c r="D62" i="16" s="1"/>
  <c r="D63" i="16" a="1"/>
  <c r="D63" i="16" s="1"/>
  <c r="D64" i="16" a="1"/>
  <c r="D64" i="16" s="1"/>
  <c r="D65" i="16" a="1"/>
  <c r="D65" i="16" s="1"/>
  <c r="D66" i="16" a="1"/>
  <c r="D66" i="16" s="1"/>
  <c r="D67" i="16" a="1"/>
  <c r="D67" i="16" s="1"/>
  <c r="D68" i="16" a="1"/>
  <c r="D68" i="16" s="1"/>
  <c r="D69" i="16" a="1"/>
  <c r="D69" i="16" s="1"/>
  <c r="D70" i="16" a="1"/>
  <c r="D70" i="16" s="1"/>
  <c r="D71" i="16" a="1"/>
  <c r="D71" i="16" s="1"/>
  <c r="D72" i="16" a="1"/>
  <c r="D72" i="16" s="1"/>
  <c r="D73" i="16" a="1"/>
  <c r="D73" i="16" s="1"/>
  <c r="D74" i="16" a="1"/>
  <c r="D74" i="16" s="1"/>
  <c r="D75" i="16" a="1"/>
  <c r="D75" i="16" s="1"/>
  <c r="D76" i="16" a="1"/>
  <c r="D76" i="16" s="1"/>
  <c r="D77" i="16" a="1"/>
  <c r="D77" i="16" s="1"/>
  <c r="D78" i="16" a="1"/>
  <c r="D78" i="16" s="1"/>
  <c r="D79" i="16" a="1"/>
  <c r="D79" i="16" s="1"/>
  <c r="D80" i="16" a="1"/>
  <c r="D80" i="16" s="1"/>
  <c r="D81" i="16" a="1"/>
  <c r="D81" i="16" s="1"/>
  <c r="D82" i="16" a="1"/>
  <c r="D82" i="16" s="1"/>
  <c r="D83" i="16" a="1"/>
  <c r="D83" i="16" s="1"/>
  <c r="D84" i="16" a="1"/>
  <c r="D84" i="16" s="1"/>
  <c r="D85" i="16" a="1"/>
  <c r="D85" i="16" s="1"/>
  <c r="D86" i="16" a="1"/>
  <c r="D86" i="16" s="1"/>
  <c r="D87" i="16" a="1"/>
  <c r="D87" i="16" s="1"/>
  <c r="D88" i="16" a="1"/>
  <c r="D88" i="16" s="1"/>
  <c r="D89" i="16" a="1"/>
  <c r="D89" i="16" s="1"/>
  <c r="D90" i="16" a="1"/>
  <c r="D90" i="16" s="1"/>
  <c r="D91" i="16" a="1"/>
  <c r="D91" i="16" s="1"/>
  <c r="D92" i="16" a="1"/>
  <c r="D92" i="16" s="1"/>
  <c r="D93" i="16" a="1"/>
  <c r="D93" i="16" s="1"/>
  <c r="D94" i="16" a="1"/>
  <c r="D94" i="16" s="1"/>
  <c r="D95" i="16" a="1"/>
  <c r="D95" i="16" s="1"/>
  <c r="D96" i="16" a="1"/>
  <c r="D96" i="16" s="1"/>
  <c r="D97" i="16" a="1"/>
  <c r="D97" i="16" s="1"/>
  <c r="D98" i="16" a="1"/>
  <c r="D98" i="16" s="1"/>
  <c r="D99" i="16" a="1"/>
  <c r="D99" i="16" s="1"/>
  <c r="D100" i="16" a="1"/>
  <c r="D100" i="16" s="1"/>
  <c r="D101" i="16" a="1"/>
  <c r="D101" i="16" s="1"/>
  <c r="D102" i="16" a="1"/>
  <c r="D102" i="16" s="1"/>
  <c r="D103" i="16" a="1"/>
  <c r="D103" i="16" s="1"/>
  <c r="D104" i="16" a="1"/>
  <c r="D104" i="16" s="1"/>
  <c r="D105" i="16" a="1"/>
  <c r="D105" i="16" s="1"/>
  <c r="D106" i="16" a="1"/>
  <c r="D106" i="16" s="1"/>
  <c r="D107" i="16" a="1"/>
  <c r="D107" i="16" s="1"/>
  <c r="D108" i="16" a="1"/>
  <c r="D108" i="16" s="1"/>
  <c r="D109" i="16" a="1"/>
  <c r="D109" i="16" s="1"/>
  <c r="D110" i="16" a="1"/>
  <c r="D110" i="16" s="1"/>
  <c r="D111" i="16" a="1"/>
  <c r="D111" i="16" s="1"/>
  <c r="D112" i="16" a="1"/>
  <c r="D112" i="16" s="1"/>
  <c r="D113" i="16" a="1"/>
  <c r="D113" i="16" s="1"/>
  <c r="D114" i="16" a="1"/>
  <c r="D114" i="16" s="1"/>
  <c r="D115" i="16" a="1"/>
  <c r="D115" i="16" s="1"/>
  <c r="D116" i="16" a="1"/>
  <c r="D116" i="16" s="1"/>
  <c r="D117" i="16" a="1"/>
  <c r="D117" i="16" s="1"/>
  <c r="D118" i="16" a="1"/>
  <c r="D118" i="16" s="1"/>
  <c r="D119" i="16" a="1"/>
  <c r="D119" i="16" s="1"/>
  <c r="D120" i="16" a="1"/>
  <c r="D120" i="16" s="1"/>
  <c r="D121" i="16" a="1"/>
  <c r="D121" i="16" s="1"/>
  <c r="D122" i="16" a="1"/>
  <c r="D122" i="16" s="1"/>
  <c r="D123" i="16" a="1"/>
  <c r="D123" i="16" s="1"/>
  <c r="D124" i="16" a="1"/>
  <c r="D124" i="16" s="1"/>
  <c r="D125" i="16" a="1"/>
  <c r="D125" i="16" s="1"/>
  <c r="D126" i="16" a="1"/>
  <c r="D126" i="16" s="1"/>
  <c r="D127" i="16" a="1"/>
  <c r="D127" i="16" s="1"/>
  <c r="D128" i="16" a="1"/>
  <c r="D128" i="16" s="1"/>
  <c r="D129" i="16" a="1"/>
  <c r="D129" i="16" s="1"/>
  <c r="D130" i="16" a="1"/>
  <c r="D130" i="16" s="1"/>
  <c r="D131" i="16" a="1"/>
  <c r="D131" i="16" s="1"/>
  <c r="D132" i="16" a="1"/>
  <c r="D132" i="16" s="1"/>
  <c r="D133" i="16" a="1"/>
  <c r="D133" i="16" s="1"/>
  <c r="D134" i="16" a="1"/>
  <c r="D134" i="16" s="1"/>
  <c r="D135" i="16" a="1"/>
  <c r="D135" i="16" s="1"/>
  <c r="D136" i="16" a="1"/>
  <c r="D136" i="16" s="1"/>
  <c r="D137" i="16" a="1"/>
  <c r="D137" i="16" s="1"/>
  <c r="D138" i="16" a="1"/>
  <c r="D138" i="16" s="1"/>
  <c r="D139" i="16" a="1"/>
  <c r="D139" i="16" s="1"/>
  <c r="D140" i="16" a="1"/>
  <c r="D140" i="16" s="1"/>
  <c r="D141" i="16" a="1"/>
  <c r="D141" i="16" s="1"/>
  <c r="D142" i="16" a="1"/>
  <c r="D142" i="16" s="1"/>
  <c r="D143" i="16" a="1"/>
  <c r="D143" i="16" s="1"/>
  <c r="D144" i="16" a="1"/>
  <c r="D144" i="16" s="1"/>
  <c r="D145" i="16" a="1"/>
  <c r="D145" i="16" s="1"/>
  <c r="D146" i="16" a="1"/>
  <c r="D146" i="16" s="1"/>
  <c r="D147" i="16" a="1"/>
  <c r="D147" i="16" s="1"/>
  <c r="D148" i="16" a="1"/>
  <c r="D148" i="16" s="1"/>
  <c r="D149" i="16" a="1"/>
  <c r="D149" i="16" s="1"/>
  <c r="D150" i="16" a="1"/>
  <c r="D150" i="16" s="1"/>
  <c r="D151" i="16" a="1"/>
  <c r="D151" i="16" s="1"/>
  <c r="D152" i="16" a="1"/>
  <c r="D152" i="16" s="1"/>
  <c r="D153" i="16" a="1"/>
  <c r="D153" i="16" s="1"/>
  <c r="D154" i="16" a="1"/>
  <c r="D154" i="16" s="1"/>
  <c r="D155" i="16" a="1"/>
  <c r="D155" i="16" s="1"/>
  <c r="D156" i="16" a="1"/>
  <c r="D156" i="16" s="1"/>
  <c r="D157" i="16" a="1"/>
  <c r="D157" i="16" s="1"/>
  <c r="D158" i="16" a="1"/>
  <c r="D158" i="16" s="1"/>
  <c r="D159" i="16" a="1"/>
  <c r="D159" i="16" s="1"/>
  <c r="D160" i="16" a="1"/>
  <c r="D160" i="16" s="1"/>
  <c r="D161" i="16" a="1"/>
  <c r="D161" i="16" s="1"/>
  <c r="D162" i="16" a="1"/>
  <c r="D162" i="16" s="1"/>
  <c r="D163" i="16" a="1"/>
  <c r="D163" i="16" s="1"/>
  <c r="D164" i="16" a="1"/>
  <c r="D164" i="16" s="1"/>
  <c r="D165" i="16" a="1"/>
  <c r="D165" i="16" s="1"/>
  <c r="D166" i="16" a="1"/>
  <c r="D166" i="16" s="1"/>
  <c r="D167" i="16" a="1"/>
  <c r="D167" i="16" s="1"/>
  <c r="D168" i="16" a="1"/>
  <c r="D168" i="16" s="1"/>
  <c r="D169" i="16" a="1"/>
  <c r="D169" i="16" s="1"/>
  <c r="D170" i="16" a="1"/>
  <c r="D170" i="16" s="1"/>
  <c r="D171" i="16" a="1"/>
  <c r="D171" i="16" s="1"/>
  <c r="D172" i="16" a="1"/>
  <c r="D172" i="16" s="1"/>
  <c r="D173" i="16" a="1"/>
  <c r="D173" i="16" s="1"/>
  <c r="D174" i="16" a="1"/>
  <c r="D174" i="16" s="1"/>
  <c r="D175" i="16" a="1"/>
  <c r="D175" i="16" s="1"/>
  <c r="D176" i="16" a="1"/>
  <c r="D176" i="16" s="1"/>
  <c r="D177" i="16" a="1"/>
  <c r="D177" i="16" s="1"/>
  <c r="D178" i="16" a="1"/>
  <c r="D178" i="16" s="1"/>
  <c r="D179" i="16" a="1"/>
  <c r="D179" i="16" s="1"/>
  <c r="D180" i="16" a="1"/>
  <c r="D180" i="16" s="1"/>
  <c r="D181" i="16" a="1"/>
  <c r="D181" i="16" s="1"/>
  <c r="D182" i="16" a="1"/>
  <c r="D182" i="16" s="1"/>
  <c r="D183" i="16" a="1"/>
  <c r="D183" i="16" s="1"/>
  <c r="D184" i="16" a="1"/>
  <c r="D184" i="16" s="1"/>
  <c r="D185" i="16" a="1"/>
  <c r="D185" i="16" s="1"/>
  <c r="D186" i="16" a="1"/>
  <c r="D186" i="16" s="1"/>
  <c r="D187" i="16" a="1"/>
  <c r="D187" i="16" s="1"/>
  <c r="D188" i="16" a="1"/>
  <c r="D188" i="16" s="1"/>
  <c r="D189" i="16" a="1"/>
  <c r="D189" i="16" s="1"/>
  <c r="D190" i="16" a="1"/>
  <c r="D190" i="16" s="1"/>
  <c r="D191" i="16" a="1"/>
  <c r="D191" i="16" s="1"/>
  <c r="D192" i="16" a="1"/>
  <c r="D192" i="16" s="1"/>
  <c r="D193" i="16" a="1"/>
  <c r="D193" i="16" s="1"/>
  <c r="D194" i="16" a="1"/>
  <c r="D194" i="16" s="1"/>
  <c r="D195" i="16" a="1"/>
  <c r="D195" i="16" s="1"/>
  <c r="D196" i="16" a="1"/>
  <c r="D196" i="16" s="1"/>
  <c r="D197" i="16" a="1"/>
  <c r="D197" i="16" s="1"/>
  <c r="D198" i="16" a="1"/>
  <c r="D198" i="16" s="1"/>
  <c r="D199" i="16" a="1"/>
  <c r="D199" i="16" s="1"/>
  <c r="D200" i="16" a="1"/>
  <c r="D200" i="16" s="1"/>
  <c r="D201" i="16" a="1"/>
  <c r="D201" i="16" s="1"/>
  <c r="D202" i="16" a="1"/>
  <c r="D202" i="16" s="1"/>
  <c r="D203" i="16" a="1"/>
  <c r="D203" i="16" s="1"/>
  <c r="D204" i="16" a="1"/>
  <c r="D204" i="16" s="1"/>
  <c r="D205" i="16" a="1"/>
  <c r="D205" i="16" s="1"/>
  <c r="D206" i="16" a="1"/>
  <c r="D206" i="16" s="1"/>
  <c r="D207" i="16" a="1"/>
  <c r="D207" i="16" s="1"/>
  <c r="D208" i="16" a="1"/>
  <c r="D208" i="16" s="1"/>
  <c r="D209" i="16" a="1"/>
  <c r="D209" i="16" s="1"/>
  <c r="D210" i="16" a="1"/>
  <c r="D210" i="16" s="1"/>
  <c r="D211" i="16" a="1"/>
  <c r="D211" i="16" s="1"/>
  <c r="D212" i="16" a="1"/>
  <c r="D212" i="16" s="1"/>
  <c r="D213" i="16" a="1"/>
  <c r="D213" i="16" s="1"/>
  <c r="D214" i="16" a="1"/>
  <c r="D214" i="16" s="1"/>
  <c r="D215" i="16" a="1"/>
  <c r="D215" i="16" s="1"/>
  <c r="D216" i="16" a="1"/>
  <c r="D216" i="16" s="1"/>
  <c r="D217" i="16" a="1"/>
  <c r="D217" i="16" s="1"/>
  <c r="D218" i="16" a="1"/>
  <c r="D218" i="16" s="1"/>
  <c r="D219" i="16" a="1"/>
  <c r="D219" i="16" s="1"/>
  <c r="D220" i="16" a="1"/>
  <c r="D220" i="16" s="1"/>
  <c r="D221" i="16" a="1"/>
  <c r="D221" i="16" s="1"/>
  <c r="D222" i="16" a="1"/>
  <c r="D222" i="16" s="1"/>
  <c r="D223" i="16" a="1"/>
  <c r="D223" i="16" s="1"/>
  <c r="D224" i="16" a="1"/>
  <c r="D224" i="16"/>
  <c r="D225" i="16" a="1"/>
  <c r="D225" i="16" s="1"/>
  <c r="D226" i="16" a="1"/>
  <c r="D226" i="16" s="1"/>
  <c r="D227" i="16" a="1"/>
  <c r="D227" i="16"/>
  <c r="D228" i="16" a="1"/>
  <c r="D228" i="16"/>
  <c r="D229" i="16" a="1"/>
  <c r="D229" i="16" s="1"/>
  <c r="D230" i="16" a="1"/>
  <c r="D230" i="16" s="1"/>
  <c r="D231" i="16" a="1"/>
  <c r="D231" i="16" s="1"/>
  <c r="D232" i="16" a="1"/>
  <c r="D232" i="16" s="1"/>
  <c r="D233" i="16" a="1"/>
  <c r="D233" i="16" s="1"/>
  <c r="D234" i="16" a="1"/>
  <c r="D234" i="16" s="1"/>
  <c r="D235" i="16" a="1"/>
  <c r="D235" i="16" s="1"/>
  <c r="D236" i="16" a="1"/>
  <c r="D236" i="16" s="1"/>
  <c r="D237" i="16" a="1"/>
  <c r="D237" i="16"/>
  <c r="D238" i="16" a="1"/>
  <c r="D238" i="16"/>
  <c r="D239" i="16" a="1"/>
  <c r="D239" i="16"/>
  <c r="D240" i="16" a="1"/>
  <c r="D240" i="16"/>
  <c r="D241" i="16" a="1"/>
  <c r="D241" i="16" s="1"/>
  <c r="D242" i="16" a="1"/>
  <c r="D242" i="16" s="1"/>
  <c r="D243" i="16" a="1"/>
  <c r="D243" i="16" s="1"/>
  <c r="D244" i="16" a="1"/>
  <c r="D244" i="16" s="1"/>
  <c r="D245" i="16" a="1"/>
  <c r="D245" i="16" s="1"/>
  <c r="D246" i="16" a="1"/>
  <c r="D246" i="16" s="1"/>
  <c r="D247" i="16" a="1"/>
  <c r="D247" i="16" s="1"/>
  <c r="D248" i="16" a="1"/>
  <c r="D248" i="16" s="1"/>
  <c r="D249" i="16" a="1"/>
  <c r="D249" i="16" s="1"/>
  <c r="D250" i="16" a="1"/>
  <c r="D250" i="16" s="1"/>
  <c r="D251" i="16" a="1"/>
  <c r="D251" i="16" s="1"/>
  <c r="D252" i="16" a="1"/>
  <c r="D252" i="16" s="1"/>
  <c r="D253" i="16" a="1"/>
  <c r="D253" i="16" s="1"/>
  <c r="D254" i="16" a="1"/>
  <c r="D254" i="16" s="1"/>
  <c r="D255" i="16" a="1"/>
  <c r="D255" i="16" s="1"/>
  <c r="D256" i="16" a="1"/>
  <c r="D256" i="16" s="1"/>
  <c r="D257" i="16" a="1"/>
  <c r="D257" i="16" s="1"/>
  <c r="D258" i="16" a="1"/>
  <c r="D258" i="16" s="1"/>
  <c r="D259" i="16" a="1"/>
  <c r="D259" i="16" s="1"/>
  <c r="D260" i="16" a="1"/>
  <c r="D260" i="16" s="1"/>
  <c r="D261" i="16" a="1"/>
  <c r="D261" i="16" s="1"/>
  <c r="D262" i="16" a="1"/>
  <c r="D262" i="16" s="1"/>
  <c r="D263" i="16" a="1"/>
  <c r="D263" i="16"/>
  <c r="D264" i="16" a="1"/>
  <c r="D264" i="16" s="1"/>
  <c r="D265" i="16" a="1"/>
  <c r="D265" i="16" s="1"/>
  <c r="D266" i="16" a="1"/>
  <c r="D266" i="16" s="1"/>
  <c r="D267" i="16" a="1"/>
  <c r="D267" i="16" s="1"/>
  <c r="D268" i="16" a="1"/>
  <c r="D268" i="16" s="1"/>
  <c r="D269" i="16" a="1"/>
  <c r="D269" i="16"/>
  <c r="D270" i="16" a="1"/>
  <c r="D270" i="16"/>
  <c r="D271" i="16" a="1"/>
  <c r="D271" i="16" s="1"/>
  <c r="D272" i="16" a="1"/>
  <c r="D272" i="16" s="1"/>
  <c r="D273" i="16" a="1"/>
  <c r="D273" i="16" s="1"/>
  <c r="D274" i="16" a="1"/>
  <c r="D274" i="16" s="1"/>
  <c r="D275" i="16" a="1"/>
  <c r="D275" i="16" s="1"/>
  <c r="D276" i="16" a="1"/>
  <c r="D276" i="16" s="1"/>
  <c r="D277" i="16" a="1"/>
  <c r="D277" i="16"/>
  <c r="D278" i="16" a="1"/>
  <c r="D278" i="16" s="1"/>
  <c r="D279" i="16" a="1"/>
  <c r="D279" i="16" s="1"/>
  <c r="D280" i="16" a="1"/>
  <c r="D280" i="16" s="1"/>
  <c r="D281" i="16" a="1"/>
  <c r="D281" i="16" s="1"/>
  <c r="D282" i="16" a="1"/>
  <c r="D282" i="16" s="1"/>
  <c r="D283" i="16" a="1"/>
  <c r="D283" i="16" s="1"/>
  <c r="D284" i="16" a="1"/>
  <c r="D284" i="16" s="1"/>
  <c r="D285" i="16" a="1"/>
  <c r="D285" i="16" s="1"/>
  <c r="D286" i="16" a="1"/>
  <c r="D286" i="16" s="1"/>
  <c r="D287" i="16" a="1"/>
  <c r="D287" i="16" s="1"/>
  <c r="D288" i="16" a="1"/>
  <c r="D288" i="16" s="1"/>
  <c r="D289" i="16" a="1"/>
  <c r="D289" i="16" s="1"/>
  <c r="D290" i="16" a="1"/>
  <c r="D290" i="16" s="1"/>
  <c r="D291" i="16" a="1"/>
  <c r="D291" i="16" s="1"/>
  <c r="D292" i="16" a="1"/>
  <c r="D292" i="16" s="1"/>
  <c r="D293" i="16" a="1"/>
  <c r="D293" i="16" s="1"/>
  <c r="D294" i="16" a="1"/>
  <c r="D294" i="16" s="1"/>
  <c r="D295" i="16" a="1"/>
  <c r="D295" i="16" s="1"/>
  <c r="D296" i="16" a="1"/>
  <c r="D296" i="16" s="1"/>
  <c r="D297" i="16" a="1"/>
  <c r="D297" i="16" s="1"/>
  <c r="D298" i="16" a="1"/>
  <c r="D298" i="16"/>
  <c r="D299" i="16" a="1"/>
  <c r="D299" i="16"/>
  <c r="D300" i="16" a="1"/>
  <c r="D300" i="16"/>
  <c r="D301" i="16" a="1"/>
  <c r="D301" i="16" s="1"/>
  <c r="D302" i="16" a="1"/>
  <c r="D302" i="16" s="1"/>
  <c r="D303" i="16" a="1"/>
  <c r="D303" i="16" s="1"/>
  <c r="D304" i="16" a="1"/>
  <c r="D304" i="16" s="1"/>
  <c r="D305" i="16" a="1"/>
  <c r="D305" i="16" s="1"/>
  <c r="D306" i="16" a="1"/>
  <c r="D306" i="16" s="1"/>
  <c r="D307" i="16" a="1"/>
  <c r="D307" i="16" s="1"/>
  <c r="D308" i="16" a="1"/>
  <c r="D308" i="16" s="1"/>
  <c r="D309" i="16" a="1"/>
  <c r="D309" i="16" s="1"/>
  <c r="D310" i="16" a="1"/>
  <c r="D310" i="16"/>
  <c r="D311" i="16" a="1"/>
  <c r="D311" i="16" s="1"/>
  <c r="D312" i="16" a="1"/>
  <c r="D312" i="16" s="1"/>
  <c r="D313" i="16" a="1"/>
  <c r="D313" i="16" s="1"/>
  <c r="D314" i="16" a="1"/>
  <c r="D314" i="16" s="1"/>
  <c r="D315" i="16" a="1"/>
  <c r="D315" i="16" s="1"/>
  <c r="D316" i="16" a="1"/>
  <c r="D316" i="16" s="1"/>
  <c r="D317" i="16" a="1"/>
  <c r="D317" i="16" s="1"/>
  <c r="D318" i="16" a="1"/>
  <c r="D318" i="16" s="1"/>
  <c r="D319" i="16" a="1"/>
  <c r="D319" i="16"/>
  <c r="D320" i="16" a="1"/>
  <c r="D320" i="16"/>
  <c r="D321" i="16" a="1"/>
  <c r="D321" i="16" s="1"/>
  <c r="D322" i="16" a="1"/>
  <c r="D322" i="16" s="1"/>
  <c r="D323" i="16" a="1"/>
  <c r="D323" i="16" s="1"/>
  <c r="D324" i="16" a="1"/>
  <c r="D324" i="16" s="1"/>
  <c r="D325" i="16" a="1"/>
  <c r="D325" i="16" s="1"/>
  <c r="D326" i="16" a="1"/>
  <c r="D326" i="16" s="1"/>
  <c r="D327" i="16" a="1"/>
  <c r="D327" i="16"/>
  <c r="D328" i="16" a="1"/>
  <c r="D328" i="16"/>
  <c r="D329" i="16" a="1"/>
  <c r="D329" i="16"/>
  <c r="D330" i="16" a="1"/>
  <c r="D330" i="16" s="1"/>
  <c r="D331" i="16" a="1"/>
  <c r="D331" i="16" s="1"/>
  <c r="D332" i="16" a="1"/>
  <c r="D332" i="16" s="1"/>
  <c r="D333" i="16" a="1"/>
  <c r="D333" i="16" s="1"/>
  <c r="D334" i="16" a="1"/>
  <c r="D334" i="16" s="1"/>
  <c r="D335" i="16" a="1"/>
  <c r="D335" i="16" s="1"/>
  <c r="D336" i="16" a="1"/>
  <c r="D336" i="16" s="1"/>
  <c r="D337" i="16" a="1"/>
  <c r="D337" i="16" s="1"/>
  <c r="D338" i="16" a="1"/>
  <c r="D338" i="16" s="1"/>
  <c r="D339" i="16" a="1"/>
  <c r="D339" i="16" s="1"/>
  <c r="D340" i="16" a="1"/>
  <c r="D340" i="16"/>
  <c r="D341" i="16" a="1"/>
  <c r="D341" i="16" s="1"/>
  <c r="D342" i="16" a="1"/>
  <c r="D342" i="16" s="1"/>
  <c r="D343" i="16" a="1"/>
  <c r="D343" i="16" s="1"/>
  <c r="D344" i="16" a="1"/>
  <c r="D344" i="16" s="1"/>
  <c r="D345" i="16" a="1"/>
  <c r="D345" i="16" s="1"/>
  <c r="D346" i="16" a="1"/>
  <c r="D346" i="16" s="1"/>
  <c r="D347" i="16" a="1"/>
  <c r="D347" i="16" s="1"/>
  <c r="D348" i="16" a="1"/>
  <c r="D348" i="16" s="1"/>
  <c r="D349" i="16" a="1"/>
  <c r="D349" i="16" s="1"/>
  <c r="D350" i="16" a="1"/>
  <c r="D350" i="16" s="1"/>
  <c r="D351" i="16" a="1"/>
  <c r="D351" i="16" s="1"/>
  <c r="D352" i="16" a="1"/>
  <c r="D352" i="16" s="1"/>
  <c r="D353" i="16" a="1"/>
  <c r="D353" i="16" s="1"/>
  <c r="D354" i="16" a="1"/>
  <c r="D354" i="16" s="1"/>
  <c r="D355" i="16" a="1"/>
  <c r="D355" i="16" s="1"/>
  <c r="D356" i="16" a="1"/>
  <c r="D356" i="16" s="1"/>
  <c r="D357" i="16" a="1"/>
  <c r="D357" i="16" s="1"/>
  <c r="D358" i="16" a="1"/>
  <c r="D358" i="16" s="1"/>
  <c r="D359" i="16" a="1"/>
  <c r="D359" i="16"/>
  <c r="D360" i="16" a="1"/>
  <c r="D360" i="16" s="1"/>
  <c r="D361" i="16" a="1"/>
  <c r="D361" i="16" s="1"/>
  <c r="D362" i="16" a="1"/>
  <c r="D362" i="16" s="1"/>
  <c r="D363" i="16" a="1"/>
  <c r="D363" i="16" s="1"/>
  <c r="D364" i="16" a="1"/>
  <c r="D364" i="16" s="1"/>
  <c r="D365" i="16" a="1"/>
  <c r="D365" i="16" s="1"/>
  <c r="D366" i="16" a="1"/>
  <c r="D366" i="16" s="1"/>
  <c r="D367" i="16" a="1"/>
  <c r="D367" i="16"/>
  <c r="D368" i="16" a="1"/>
  <c r="D368" i="16" s="1"/>
  <c r="D369" i="16" a="1"/>
  <c r="D369" i="16" s="1"/>
  <c r="D370" i="16" a="1"/>
  <c r="D370" i="16" s="1"/>
  <c r="D371" i="16" a="1"/>
  <c r="D371" i="16" s="1"/>
  <c r="D372" i="16" a="1"/>
  <c r="D372" i="16" s="1"/>
  <c r="D373" i="16" a="1"/>
  <c r="D373" i="16" s="1"/>
  <c r="D374" i="16" a="1"/>
  <c r="D374" i="16" s="1"/>
  <c r="D375" i="16" a="1"/>
  <c r="D375" i="16" s="1"/>
  <c r="D376" i="16" a="1"/>
  <c r="D376" i="16" s="1"/>
  <c r="D377" i="16" a="1"/>
  <c r="D377" i="16" s="1"/>
  <c r="D378" i="16" a="1"/>
  <c r="D378" i="16" s="1"/>
  <c r="D379" i="16" a="1"/>
  <c r="D379" i="16" s="1"/>
  <c r="D380" i="16" a="1"/>
  <c r="D380" i="16" s="1"/>
  <c r="D381" i="16" a="1"/>
  <c r="D381" i="16" s="1"/>
  <c r="D382" i="16" a="1"/>
  <c r="D382" i="16" s="1"/>
  <c r="D383" i="16" a="1"/>
  <c r="D383" i="16" s="1"/>
  <c r="D384" i="16" a="1"/>
  <c r="D384" i="16" s="1"/>
  <c r="D385" i="16" a="1"/>
  <c r="D385" i="16" s="1"/>
  <c r="D386" i="16" a="1"/>
  <c r="D386" i="16" s="1"/>
  <c r="D387" i="16" a="1"/>
  <c r="D387" i="16" s="1"/>
  <c r="D388" i="16" a="1"/>
  <c r="D388" i="16" s="1"/>
  <c r="D389" i="16" a="1"/>
  <c r="D389" i="16" s="1"/>
  <c r="D390" i="16" a="1"/>
  <c r="D390" i="16"/>
  <c r="D391" i="16" a="1"/>
  <c r="D391" i="16" s="1"/>
  <c r="D392" i="16" a="1"/>
  <c r="D392" i="16" s="1"/>
  <c r="D393" i="16" a="1"/>
  <c r="D393" i="16" s="1"/>
  <c r="D394" i="16" a="1"/>
  <c r="D394" i="16" s="1"/>
  <c r="D395" i="16" a="1"/>
  <c r="D395" i="16" s="1"/>
  <c r="D396" i="16" a="1"/>
  <c r="D396" i="16" s="1"/>
  <c r="D397" i="16" a="1"/>
  <c r="D397" i="16" s="1"/>
  <c r="D398" i="16" a="1"/>
  <c r="D398" i="16" s="1"/>
  <c r="D399" i="16" a="1"/>
  <c r="D399" i="16" s="1"/>
  <c r="D400" i="16" a="1"/>
  <c r="D400" i="16" s="1"/>
  <c r="D401" i="16" a="1"/>
  <c r="D401" i="16" s="1"/>
  <c r="D402" i="16" a="1"/>
  <c r="D402" i="16" s="1"/>
  <c r="D403" i="16" a="1"/>
  <c r="D403" i="16" s="1"/>
  <c r="D404" i="16" a="1"/>
  <c r="D404" i="16" s="1"/>
  <c r="D405" i="16" a="1"/>
  <c r="D405" i="16" s="1"/>
  <c r="D406" i="16" a="1"/>
  <c r="D406" i="16" s="1"/>
  <c r="D407" i="16" a="1"/>
  <c r="D407" i="16" s="1"/>
  <c r="D408" i="16" a="1"/>
  <c r="D408" i="16" s="1"/>
  <c r="D409" i="16" a="1"/>
  <c r="D409" i="16" s="1"/>
  <c r="D410" i="16" a="1"/>
  <c r="D410" i="16" s="1"/>
  <c r="D411" i="16" a="1"/>
  <c r="D411" i="16" s="1"/>
  <c r="D412" i="16" a="1"/>
  <c r="D412" i="16" s="1"/>
  <c r="D413" i="16" a="1"/>
  <c r="D413" i="16" s="1"/>
  <c r="D414" i="16" a="1"/>
  <c r="D414" i="16" s="1"/>
  <c r="D415" i="16" a="1"/>
  <c r="D415" i="16" s="1"/>
  <c r="D416" i="16" a="1"/>
  <c r="D416" i="16" s="1"/>
  <c r="D417" i="16" a="1"/>
  <c r="D417" i="16" s="1"/>
  <c r="D418" i="16" a="1"/>
  <c r="D418" i="16" s="1"/>
  <c r="D419" i="16" a="1"/>
  <c r="D419" i="16" s="1"/>
  <c r="D420" i="16" a="1"/>
  <c r="D420" i="16" s="1"/>
  <c r="D421" i="16" a="1"/>
  <c r="D421" i="16" s="1"/>
  <c r="D422" i="16" a="1"/>
  <c r="D422" i="16" s="1"/>
  <c r="D423" i="16" a="1"/>
  <c r="D423" i="16" s="1"/>
  <c r="D424" i="16" a="1"/>
  <c r="D424" i="16" s="1"/>
  <c r="D425" i="16" a="1"/>
  <c r="D425" i="16" s="1"/>
  <c r="D426" i="16" a="1"/>
  <c r="D426" i="16" s="1"/>
  <c r="D427" i="16" a="1"/>
  <c r="D427" i="16"/>
  <c r="D428" i="16" a="1"/>
  <c r="D428" i="16" s="1"/>
  <c r="D429" i="16" a="1"/>
  <c r="D429" i="16" s="1"/>
  <c r="D430" i="16" a="1"/>
  <c r="D430" i="16" s="1"/>
  <c r="D431" i="16" a="1"/>
  <c r="D431" i="16" s="1"/>
  <c r="D432" i="16" a="1"/>
  <c r="D432" i="16" s="1"/>
  <c r="D433" i="16" a="1"/>
  <c r="D433" i="16" s="1"/>
  <c r="D434" i="16" a="1"/>
  <c r="D434" i="16" s="1"/>
  <c r="D435" i="16" a="1"/>
  <c r="D435" i="16" s="1"/>
  <c r="D436" i="16" a="1"/>
  <c r="D436" i="16" s="1"/>
  <c r="D437" i="16" a="1"/>
  <c r="D437" i="16" s="1"/>
  <c r="D438" i="16" a="1"/>
  <c r="D438" i="16" s="1"/>
  <c r="D439" i="16" a="1"/>
  <c r="D439" i="16" s="1"/>
  <c r="D440" i="16" a="1"/>
  <c r="D440" i="16" s="1"/>
  <c r="D441" i="16" a="1"/>
  <c r="D441" i="16" s="1"/>
  <c r="D442" i="16" a="1"/>
  <c r="D442" i="16" s="1"/>
  <c r="D443" i="16" a="1"/>
  <c r="D443" i="16" s="1"/>
  <c r="D444" i="16" a="1"/>
  <c r="D444" i="16" s="1"/>
  <c r="D445" i="16" a="1"/>
  <c r="D445" i="16" s="1"/>
  <c r="D446" i="16" a="1"/>
  <c r="D446" i="16" s="1"/>
  <c r="D447" i="16" a="1"/>
  <c r="D447" i="16" s="1"/>
  <c r="D448" i="16" a="1"/>
  <c r="D448" i="16" s="1"/>
  <c r="D449" i="16" a="1"/>
  <c r="D449" i="16" s="1"/>
  <c r="D450" i="16" a="1"/>
  <c r="D450" i="16" s="1"/>
  <c r="D451" i="16" a="1"/>
  <c r="D451" i="16" s="1"/>
  <c r="D452" i="16" a="1"/>
  <c r="D452" i="16"/>
  <c r="D453" i="16" a="1"/>
  <c r="D453" i="16" s="1"/>
  <c r="D454" i="16" a="1"/>
  <c r="D454" i="16" s="1"/>
  <c r="D455" i="16" a="1"/>
  <c r="D455" i="16" s="1"/>
  <c r="D456" i="16" a="1"/>
  <c r="D456" i="16" s="1"/>
  <c r="D457" i="16" a="1"/>
  <c r="D457" i="16" s="1"/>
  <c r="D458" i="16" a="1"/>
  <c r="D458" i="16" s="1"/>
  <c r="D459" i="16" a="1"/>
  <c r="D459" i="16"/>
  <c r="D460" i="16" a="1"/>
  <c r="D460" i="16" s="1"/>
  <c r="D461" i="16" a="1"/>
  <c r="D461" i="16" s="1"/>
  <c r="D462" i="16" a="1"/>
  <c r="D462" i="16" s="1"/>
  <c r="D463" i="16" a="1"/>
  <c r="D463" i="16" s="1"/>
  <c r="D464" i="16" a="1"/>
  <c r="D464" i="16" s="1"/>
  <c r="D465" i="16" a="1"/>
  <c r="D465" i="16" s="1"/>
  <c r="D466" i="16" a="1"/>
  <c r="D466" i="16" s="1"/>
  <c r="D467" i="16" a="1"/>
  <c r="D467" i="16" s="1"/>
  <c r="D468" i="16" a="1"/>
  <c r="D468" i="16" s="1"/>
  <c r="D469" i="16" a="1"/>
  <c r="D469" i="16"/>
  <c r="D470" i="16" a="1"/>
  <c r="D470" i="16"/>
  <c r="D471" i="16" a="1"/>
  <c r="D471" i="16" s="1"/>
  <c r="D472" i="16" a="1"/>
  <c r="D472" i="16" s="1"/>
  <c r="D473" i="16" a="1"/>
  <c r="D473" i="16" s="1"/>
  <c r="D474" i="16" a="1"/>
  <c r="D474" i="16" s="1"/>
  <c r="D475" i="16" a="1"/>
  <c r="D475" i="16" s="1"/>
  <c r="D476" i="16" a="1"/>
  <c r="D476" i="16" s="1"/>
  <c r="D477" i="16" a="1"/>
  <c r="D477" i="16" s="1"/>
  <c r="D478" i="16" a="1"/>
  <c r="D478" i="16" s="1"/>
  <c r="D479" i="16" a="1"/>
  <c r="D479" i="16" s="1"/>
  <c r="D480" i="16" a="1"/>
  <c r="D480" i="16" s="1"/>
  <c r="D481" i="16" a="1"/>
  <c r="D481" i="16" s="1"/>
  <c r="D482" i="16" a="1"/>
  <c r="D482" i="16" s="1"/>
  <c r="D483" i="16" a="1"/>
  <c r="D483" i="16" s="1"/>
  <c r="D484" i="16" a="1"/>
  <c r="D484" i="16" s="1"/>
  <c r="D485" i="16" a="1"/>
  <c r="D485" i="16" s="1"/>
  <c r="D486" i="16" a="1"/>
  <c r="D486" i="16" s="1"/>
  <c r="D487" i="16" a="1"/>
  <c r="D487" i="16" s="1"/>
  <c r="D488" i="16" a="1"/>
  <c r="D488" i="16" s="1"/>
  <c r="D489" i="16" a="1"/>
  <c r="D489" i="16" s="1"/>
  <c r="D490" i="16" a="1"/>
  <c r="D490" i="16" s="1"/>
  <c r="D491" i="16" a="1"/>
  <c r="D491" i="16" s="1"/>
  <c r="D492" i="16" a="1"/>
  <c r="D492" i="16" s="1"/>
  <c r="D493" i="16" a="1"/>
  <c r="D493" i="16" s="1"/>
  <c r="D494" i="16" a="1"/>
  <c r="D494" i="16" s="1"/>
  <c r="D495" i="16" a="1"/>
  <c r="D495" i="16" s="1"/>
  <c r="D496" i="16" a="1"/>
  <c r="D496" i="16" s="1"/>
  <c r="D497" i="16" a="1"/>
  <c r="D497" i="16" s="1"/>
  <c r="D498" i="16" a="1"/>
  <c r="D498" i="16" s="1"/>
  <c r="D499" i="16" a="1"/>
  <c r="D499" i="16" s="1"/>
  <c r="D500" i="16" a="1"/>
  <c r="D500" i="16" s="1"/>
  <c r="D501" i="16" a="1"/>
  <c r="D501" i="16" s="1"/>
  <c r="D502" i="16" a="1"/>
  <c r="D502" i="16" s="1"/>
  <c r="D503" i="16" a="1"/>
  <c r="D503" i="16" s="1"/>
  <c r="D504" i="16" a="1"/>
  <c r="D504" i="16" s="1"/>
  <c r="D505" i="16" a="1"/>
  <c r="D505" i="16" s="1"/>
  <c r="D506" i="16" a="1"/>
  <c r="D506" i="16" s="1"/>
  <c r="D507" i="16" a="1"/>
  <c r="D507" i="16" s="1"/>
  <c r="D508" i="16" a="1"/>
  <c r="D508" i="16" s="1"/>
  <c r="D509" i="16" a="1"/>
  <c r="D509" i="16" s="1"/>
  <c r="D510" i="16" a="1"/>
  <c r="D510" i="16" s="1"/>
  <c r="D511" i="16" a="1"/>
  <c r="D511" i="16" s="1"/>
  <c r="D512" i="16" a="1"/>
  <c r="D512" i="16" s="1"/>
  <c r="D513" i="16" a="1"/>
  <c r="D513" i="16" s="1"/>
  <c r="D514" i="16" a="1"/>
  <c r="D514" i="16" s="1"/>
  <c r="D515" i="16" a="1"/>
  <c r="D515" i="16" s="1"/>
  <c r="D516" i="16" a="1"/>
  <c r="D516" i="16" s="1"/>
  <c r="D517" i="16" a="1"/>
  <c r="D517" i="16" s="1"/>
  <c r="D518" i="16" a="1"/>
  <c r="D518" i="16" s="1"/>
  <c r="D519" i="16" a="1"/>
  <c r="D519" i="16" s="1"/>
  <c r="D520" i="16" a="1"/>
  <c r="D520" i="16" s="1"/>
  <c r="D521" i="16" a="1"/>
  <c r="D521" i="16" s="1"/>
  <c r="D522" i="16" a="1"/>
  <c r="D522" i="16" s="1"/>
  <c r="D523" i="16" a="1"/>
  <c r="D523" i="16" s="1"/>
  <c r="D524" i="16" a="1"/>
  <c r="D524" i="16" s="1"/>
  <c r="D525" i="16" a="1"/>
  <c r="D525" i="16" s="1"/>
  <c r="D526" i="16" a="1"/>
  <c r="D526" i="16" s="1"/>
  <c r="D527" i="16" a="1"/>
  <c r="D527" i="16" s="1"/>
  <c r="D528" i="16" a="1"/>
  <c r="D528" i="16" s="1"/>
  <c r="D529" i="16" a="1"/>
  <c r="D529" i="16" s="1"/>
  <c r="D530" i="16" a="1"/>
  <c r="D530" i="16" s="1"/>
  <c r="D531" i="16" a="1"/>
  <c r="D531" i="16" s="1"/>
  <c r="D532" i="16" a="1"/>
  <c r="D532" i="16" s="1"/>
  <c r="D533" i="16" a="1"/>
  <c r="D533" i="16" s="1"/>
  <c r="D534" i="16" a="1"/>
  <c r="D534" i="16" s="1"/>
  <c r="D535" i="16" a="1"/>
  <c r="D535" i="16" s="1"/>
  <c r="D536" i="16" a="1"/>
  <c r="D536" i="16" s="1"/>
  <c r="D537" i="16" a="1"/>
  <c r="D537" i="16" s="1"/>
  <c r="D538" i="16" a="1"/>
  <c r="D538" i="16" s="1"/>
  <c r="D539" i="16" a="1"/>
  <c r="D539" i="16" s="1"/>
  <c r="D540" i="16" a="1"/>
  <c r="D540" i="16" s="1"/>
  <c r="D541" i="16" a="1"/>
  <c r="D541" i="16" s="1"/>
  <c r="D542" i="16" a="1"/>
  <c r="D542" i="16" s="1"/>
  <c r="D543" i="16" a="1"/>
  <c r="D543" i="16" s="1"/>
  <c r="D544" i="16" a="1"/>
  <c r="D544" i="16" s="1"/>
  <c r="D545" i="16" a="1"/>
  <c r="D545" i="16" s="1"/>
  <c r="D546" i="16" a="1"/>
  <c r="D546" i="16" s="1"/>
  <c r="D547" i="16" a="1"/>
  <c r="D547" i="16" s="1"/>
  <c r="D548" i="16" a="1"/>
  <c r="D548" i="16" s="1"/>
  <c r="D549" i="16" a="1"/>
  <c r="D549" i="16" s="1"/>
  <c r="D550" i="16" a="1"/>
  <c r="D550" i="16" s="1"/>
  <c r="D551" i="16" a="1"/>
  <c r="D551" i="16" s="1"/>
  <c r="D552" i="16" a="1"/>
  <c r="D552" i="16" s="1"/>
  <c r="D553" i="16" a="1"/>
  <c r="D553" i="16" s="1"/>
  <c r="D554" i="16" a="1"/>
  <c r="D554" i="16" s="1"/>
  <c r="D555" i="16" a="1"/>
  <c r="D555" i="16" s="1"/>
  <c r="D556" i="16" a="1"/>
  <c r="D556" i="16" s="1"/>
  <c r="D557" i="16" a="1"/>
  <c r="D557" i="16" s="1"/>
  <c r="D558" i="16" a="1"/>
  <c r="D558" i="16" s="1"/>
  <c r="D559" i="16" a="1"/>
  <c r="D559" i="16" s="1"/>
  <c r="D560" i="16" a="1"/>
  <c r="D560" i="16" s="1"/>
  <c r="D561" i="16" a="1"/>
  <c r="D561" i="16" s="1"/>
  <c r="D562" i="16" a="1"/>
  <c r="D562" i="16" s="1"/>
  <c r="D563" i="16" a="1"/>
  <c r="D563" i="16" s="1"/>
  <c r="D564" i="16" a="1"/>
  <c r="D564" i="16" s="1"/>
  <c r="D565" i="16" a="1"/>
  <c r="D565" i="16" s="1"/>
  <c r="D566" i="16" a="1"/>
  <c r="D566" i="16" s="1"/>
  <c r="D567" i="16" a="1"/>
  <c r="D567" i="16" s="1"/>
  <c r="D568" i="16" a="1"/>
  <c r="D568" i="16" s="1"/>
  <c r="D569" i="16" a="1"/>
  <c r="D569" i="16" s="1"/>
  <c r="D570" i="16" a="1"/>
  <c r="D570" i="16" s="1"/>
  <c r="D571" i="16" a="1"/>
  <c r="D571" i="16" s="1"/>
  <c r="D572" i="16" a="1"/>
  <c r="D572" i="16" s="1"/>
  <c r="D573" i="16" a="1"/>
  <c r="D573" i="16" s="1"/>
  <c r="D574" i="16" a="1"/>
  <c r="D574" i="16" s="1"/>
  <c r="D575" i="16" a="1"/>
  <c r="D575" i="16" s="1"/>
  <c r="D576" i="16" a="1"/>
  <c r="D576" i="16" s="1"/>
  <c r="D577" i="16" a="1"/>
  <c r="D577" i="16" s="1"/>
  <c r="D578" i="16" a="1"/>
  <c r="D578" i="16" s="1"/>
  <c r="D579" i="16" a="1"/>
  <c r="D579" i="16" s="1"/>
  <c r="D580" i="16" a="1"/>
  <c r="D580" i="16" s="1"/>
  <c r="D581" i="16" a="1"/>
  <c r="D581" i="16" s="1"/>
  <c r="D582" i="16" a="1"/>
  <c r="D582" i="16" s="1"/>
  <c r="D583" i="16" a="1"/>
  <c r="D583" i="16" s="1"/>
  <c r="D584" i="16" a="1"/>
  <c r="D584" i="16" s="1"/>
  <c r="D585" i="16" a="1"/>
  <c r="D585" i="16" s="1"/>
  <c r="D586" i="16" a="1"/>
  <c r="D586" i="16" s="1"/>
  <c r="D587" i="16" a="1"/>
  <c r="D587" i="16" s="1"/>
  <c r="D588" i="16" a="1"/>
  <c r="D588" i="16" s="1"/>
  <c r="D589" i="16" a="1"/>
  <c r="D589" i="16" s="1"/>
  <c r="D590" i="16" a="1"/>
  <c r="D590" i="16" s="1"/>
  <c r="D591" i="16" a="1"/>
  <c r="D591" i="16" s="1"/>
  <c r="D592" i="16" a="1"/>
  <c r="D592" i="16" s="1"/>
  <c r="D593" i="16" a="1"/>
  <c r="D593" i="16" s="1"/>
  <c r="D594" i="16" a="1"/>
  <c r="D594" i="16" s="1"/>
  <c r="D595" i="16" a="1"/>
  <c r="D595" i="16" s="1"/>
  <c r="D596" i="16" a="1"/>
  <c r="D596" i="16" s="1"/>
  <c r="D597" i="16" a="1"/>
  <c r="D597" i="16" s="1"/>
  <c r="D598" i="16" a="1"/>
  <c r="D598" i="16" s="1"/>
  <c r="D599" i="16" a="1"/>
  <c r="D599" i="16" s="1"/>
  <c r="D600" i="16" a="1"/>
  <c r="D600" i="16" s="1"/>
  <c r="D601" i="16" a="1"/>
  <c r="D601" i="16" s="1"/>
  <c r="D602" i="16" a="1"/>
  <c r="D602" i="16" s="1"/>
  <c r="D603" i="16" a="1"/>
  <c r="D603" i="16" s="1"/>
  <c r="D604" i="16" a="1"/>
  <c r="D604" i="16" s="1"/>
  <c r="D605" i="16" a="1"/>
  <c r="D605" i="16" s="1"/>
  <c r="D606" i="16" a="1"/>
  <c r="D606" i="16" s="1"/>
  <c r="D607" i="16" a="1"/>
  <c r="D607" i="16" s="1"/>
  <c r="D608" i="16" a="1"/>
  <c r="D608" i="16" s="1"/>
  <c r="D609" i="16" a="1"/>
  <c r="D609" i="16" s="1"/>
  <c r="D610" i="16" a="1"/>
  <c r="D610" i="16" s="1"/>
  <c r="D611" i="16" a="1"/>
  <c r="D611" i="16" s="1"/>
  <c r="D612" i="16" a="1"/>
  <c r="D612" i="16" s="1"/>
  <c r="D613" i="16" a="1"/>
  <c r="D613" i="16" s="1"/>
  <c r="D614" i="16" a="1"/>
  <c r="D614" i="16" s="1"/>
  <c r="D615" i="16" a="1"/>
  <c r="D615" i="16" s="1"/>
  <c r="D616" i="16" a="1"/>
  <c r="D616" i="16" s="1"/>
  <c r="D617" i="16" a="1"/>
  <c r="D617" i="16" s="1"/>
  <c r="D618" i="16" a="1"/>
  <c r="D618" i="16" s="1"/>
  <c r="D619" i="16" a="1"/>
  <c r="D619" i="16" s="1"/>
  <c r="D620" i="16" a="1"/>
  <c r="D620" i="16" s="1"/>
  <c r="D621" i="16" a="1"/>
  <c r="D621" i="16" s="1"/>
  <c r="D622" i="16" a="1"/>
  <c r="D622" i="16" s="1"/>
  <c r="D623" i="16" a="1"/>
  <c r="D623" i="16" s="1"/>
  <c r="D624" i="16" a="1"/>
  <c r="D624" i="16" s="1"/>
  <c r="D625" i="16" a="1"/>
  <c r="D625" i="16" s="1"/>
  <c r="D626" i="16" a="1"/>
  <c r="D626" i="16" s="1"/>
  <c r="D627" i="16" a="1"/>
  <c r="D627" i="16" s="1"/>
  <c r="D628" i="16" a="1"/>
  <c r="D628" i="16" s="1"/>
  <c r="D629" i="16" a="1"/>
  <c r="D629" i="16" s="1"/>
  <c r="D630" i="16" a="1"/>
  <c r="D630" i="16" s="1"/>
  <c r="D631" i="16" a="1"/>
  <c r="D631" i="16" s="1"/>
  <c r="D632" i="16" a="1"/>
  <c r="D632" i="16" s="1"/>
  <c r="D633" i="16" a="1"/>
  <c r="D633" i="16" s="1"/>
  <c r="D634" i="16" a="1"/>
  <c r="D634" i="16" s="1"/>
  <c r="D635" i="16" a="1"/>
  <c r="D635" i="16" s="1"/>
  <c r="D636" i="16" a="1"/>
  <c r="D636" i="16" s="1"/>
  <c r="D637" i="16" a="1"/>
  <c r="D637" i="16" s="1"/>
  <c r="D638" i="16" a="1"/>
  <c r="D638" i="16" s="1"/>
  <c r="D639" i="16" a="1"/>
  <c r="D639" i="16" s="1"/>
  <c r="D640" i="16" a="1"/>
  <c r="D640" i="16" s="1"/>
  <c r="D641" i="16" a="1"/>
  <c r="D641" i="16" s="1"/>
  <c r="D642" i="16" a="1"/>
  <c r="D642" i="16" s="1"/>
  <c r="D643" i="16" a="1"/>
  <c r="D643" i="16" s="1"/>
  <c r="D644" i="16" a="1"/>
  <c r="D644" i="16" s="1"/>
  <c r="D645" i="16" a="1"/>
  <c r="D645" i="16" s="1"/>
  <c r="D646" i="16" a="1"/>
  <c r="D646" i="16" s="1"/>
  <c r="D647" i="16" a="1"/>
  <c r="D647" i="16" s="1"/>
  <c r="D648" i="16" a="1"/>
  <c r="D648" i="16" s="1"/>
  <c r="D649" i="16" a="1"/>
  <c r="D649" i="16" s="1"/>
  <c r="D650" i="16" a="1"/>
  <c r="D650" i="16" s="1"/>
  <c r="D651" i="16" a="1"/>
  <c r="D651" i="16" s="1"/>
  <c r="D652" i="16" a="1"/>
  <c r="D652" i="16" s="1"/>
  <c r="D653" i="16" a="1"/>
  <c r="D653" i="16" s="1"/>
  <c r="D654" i="16" a="1"/>
  <c r="D654" i="16" s="1"/>
  <c r="D655" i="16" a="1"/>
  <c r="D655" i="16" s="1"/>
  <c r="D656" i="16" a="1"/>
  <c r="D656" i="16" s="1"/>
  <c r="D657" i="16" a="1"/>
  <c r="D657" i="16" s="1"/>
  <c r="D658" i="16" a="1"/>
  <c r="D658" i="16" s="1"/>
  <c r="D659" i="16" a="1"/>
  <c r="D659" i="16" s="1"/>
  <c r="D660" i="16" a="1"/>
  <c r="D660" i="16" s="1"/>
  <c r="D661" i="16" a="1"/>
  <c r="D661" i="16" s="1"/>
  <c r="D662" i="16" a="1"/>
  <c r="D662" i="16" s="1"/>
  <c r="D663" i="16" a="1"/>
  <c r="D663" i="16" s="1"/>
  <c r="D664" i="16" a="1"/>
  <c r="D664" i="16" s="1"/>
  <c r="D665" i="16" a="1"/>
  <c r="D665" i="16" s="1"/>
  <c r="D666" i="16" a="1"/>
  <c r="D666" i="16" s="1"/>
  <c r="D667" i="16" a="1"/>
  <c r="D667" i="16" s="1"/>
  <c r="D668" i="16" a="1"/>
  <c r="D668" i="16" s="1"/>
  <c r="D669" i="16" a="1"/>
  <c r="D669" i="16" s="1"/>
  <c r="D670" i="16" a="1"/>
  <c r="D670" i="16" s="1"/>
  <c r="D671" i="16" a="1"/>
  <c r="D671" i="16" s="1"/>
  <c r="D672" i="16" a="1"/>
  <c r="D672" i="16" s="1"/>
  <c r="D673" i="16" a="1"/>
  <c r="D673" i="16" s="1"/>
  <c r="D674" i="16" a="1"/>
  <c r="D674" i="16" s="1"/>
  <c r="D675" i="16" a="1"/>
  <c r="D675" i="16" s="1"/>
  <c r="D676" i="16" a="1"/>
  <c r="D676" i="16" s="1"/>
  <c r="D677" i="16" a="1"/>
  <c r="D677" i="16" s="1"/>
  <c r="D678" i="16" a="1"/>
  <c r="D678" i="16" s="1"/>
  <c r="D679" i="16" a="1"/>
  <c r="D679" i="16" s="1"/>
  <c r="D680" i="16" a="1"/>
  <c r="D680" i="16" s="1"/>
  <c r="D681" i="16" a="1"/>
  <c r="D681" i="16" s="1"/>
  <c r="D682" i="16" a="1"/>
  <c r="D682" i="16" s="1"/>
  <c r="D683" i="16" a="1"/>
  <c r="D683" i="16" s="1"/>
  <c r="D684" i="16" a="1"/>
  <c r="D684" i="16" s="1"/>
  <c r="D685" i="16" a="1"/>
  <c r="D685" i="16" s="1"/>
  <c r="D686" i="16" a="1"/>
  <c r="D686" i="16" s="1"/>
  <c r="D687" i="16" a="1"/>
  <c r="D687" i="16" s="1"/>
  <c r="D688" i="16" a="1"/>
  <c r="D688" i="16" s="1"/>
  <c r="D689" i="16" a="1"/>
  <c r="D689" i="16" s="1"/>
  <c r="D690" i="16" a="1"/>
  <c r="D690" i="16" s="1"/>
  <c r="D691" i="16" a="1"/>
  <c r="D691" i="16" s="1"/>
  <c r="D692" i="16" a="1"/>
  <c r="D692" i="16" s="1"/>
  <c r="D693" i="16" a="1"/>
  <c r="D693" i="16" s="1"/>
  <c r="D694" i="16" a="1"/>
  <c r="D694" i="16" s="1"/>
  <c r="D695" i="16" a="1"/>
  <c r="D695" i="16" s="1"/>
  <c r="D696" i="16" a="1"/>
  <c r="D696" i="16" s="1"/>
  <c r="D697" i="16" a="1"/>
  <c r="D697" i="16" s="1"/>
  <c r="D698" i="16" a="1"/>
  <c r="D698" i="16" s="1"/>
  <c r="D699" i="16" a="1"/>
  <c r="D699" i="16" s="1"/>
  <c r="D700" i="16" a="1"/>
  <c r="D700" i="16" s="1"/>
  <c r="D701" i="16" a="1"/>
  <c r="D701" i="16" s="1"/>
  <c r="D702" i="16" a="1"/>
  <c r="D702" i="16" s="1"/>
  <c r="D703" i="16" a="1"/>
  <c r="D703" i="16" s="1"/>
  <c r="D704" i="16" a="1"/>
  <c r="D704" i="16" s="1"/>
  <c r="D705" i="16" a="1"/>
  <c r="D705" i="16" s="1"/>
  <c r="D706" i="16" a="1"/>
  <c r="D706" i="16" s="1"/>
  <c r="D707" i="16" a="1"/>
  <c r="D707" i="16" s="1"/>
  <c r="D708" i="16" a="1"/>
  <c r="D708" i="16" s="1"/>
  <c r="D709" i="16" a="1"/>
  <c r="D709" i="16" s="1"/>
  <c r="D710" i="16" a="1"/>
  <c r="D710" i="16" s="1"/>
  <c r="D711" i="16" a="1"/>
  <c r="D711" i="16" s="1"/>
  <c r="D712" i="16" a="1"/>
  <c r="D712" i="16" s="1"/>
  <c r="D713" i="16" a="1"/>
  <c r="D713" i="16" s="1"/>
  <c r="D714" i="16" a="1"/>
  <c r="D714" i="16" s="1"/>
  <c r="D715" i="16" a="1"/>
  <c r="D715" i="16" s="1"/>
  <c r="D716" i="16" a="1"/>
  <c r="D716" i="16" s="1"/>
  <c r="D717" i="16" a="1"/>
  <c r="D717" i="16" s="1"/>
  <c r="D718" i="16" a="1"/>
  <c r="D718" i="16" s="1"/>
  <c r="D719" i="16" a="1"/>
  <c r="D719" i="16" s="1"/>
  <c r="D720" i="16" a="1"/>
  <c r="D720" i="16" s="1"/>
  <c r="D721" i="16" a="1"/>
  <c r="D721" i="16" s="1"/>
  <c r="D722" i="16" a="1"/>
  <c r="D722" i="16" s="1"/>
  <c r="D723" i="16" a="1"/>
  <c r="D723" i="16" s="1"/>
  <c r="D724" i="16" a="1"/>
  <c r="D724" i="16" s="1"/>
  <c r="D725" i="16" a="1"/>
  <c r="D725" i="16" s="1"/>
  <c r="D726" i="16" a="1"/>
  <c r="D726" i="16" s="1"/>
  <c r="D727" i="16" a="1"/>
  <c r="D727" i="16" s="1"/>
  <c r="D728" i="16" a="1"/>
  <c r="D728" i="16" s="1"/>
  <c r="D729" i="16" a="1"/>
  <c r="D729" i="16" s="1"/>
  <c r="D730" i="16" a="1"/>
  <c r="D730" i="16" s="1"/>
  <c r="D731" i="16" a="1"/>
  <c r="D731" i="16" s="1"/>
  <c r="D732" i="16" a="1"/>
  <c r="D732" i="16" s="1"/>
  <c r="D733" i="16" a="1"/>
  <c r="D733" i="16" s="1"/>
  <c r="D734" i="16" a="1"/>
  <c r="D734" i="16" s="1"/>
  <c r="D735" i="16" a="1"/>
  <c r="D735" i="16" s="1"/>
  <c r="D736" i="16" a="1"/>
  <c r="D736" i="16" s="1"/>
  <c r="D737" i="16" a="1"/>
  <c r="D737" i="16" s="1"/>
  <c r="D738" i="16" a="1"/>
  <c r="D738" i="16" s="1"/>
  <c r="D739" i="16" a="1"/>
  <c r="D739" i="16" s="1"/>
  <c r="D740" i="16" a="1"/>
  <c r="D740" i="16" s="1"/>
  <c r="D741" i="16" a="1"/>
  <c r="D741" i="16" s="1"/>
  <c r="D742" i="16" a="1"/>
  <c r="D742" i="16" s="1"/>
  <c r="D743" i="16" a="1"/>
  <c r="D743" i="16" s="1"/>
  <c r="D744" i="16" a="1"/>
  <c r="D744" i="16" s="1"/>
  <c r="D745" i="16" a="1"/>
  <c r="D745" i="16" s="1"/>
  <c r="D746" i="16" a="1"/>
  <c r="D746" i="16" s="1"/>
  <c r="D747" i="16" a="1"/>
  <c r="D747" i="16" s="1"/>
  <c r="D748" i="16" a="1"/>
  <c r="D748" i="16" s="1"/>
  <c r="D749" i="16" a="1"/>
  <c r="D749" i="16" s="1"/>
  <c r="D750" i="16" a="1"/>
  <c r="D750" i="16" s="1"/>
  <c r="D751" i="16" a="1"/>
  <c r="D751" i="16" s="1"/>
  <c r="D752" i="16" a="1"/>
  <c r="D752" i="16" s="1"/>
  <c r="D753" i="16" a="1"/>
  <c r="D753" i="16" s="1"/>
  <c r="D754" i="16" a="1"/>
  <c r="D754" i="16" s="1"/>
  <c r="D755" i="16" a="1"/>
  <c r="D755" i="16" s="1"/>
  <c r="D756" i="16" a="1"/>
  <c r="D756" i="16" s="1"/>
  <c r="D757" i="16" a="1"/>
  <c r="D757" i="16" s="1"/>
  <c r="D758" i="16" a="1"/>
  <c r="D758" i="16" s="1"/>
  <c r="D759" i="16" a="1"/>
  <c r="D759" i="16" s="1"/>
  <c r="D760" i="16" a="1"/>
  <c r="D760" i="16" s="1"/>
  <c r="D761" i="16" a="1"/>
  <c r="D761" i="16" s="1"/>
  <c r="D762" i="16" a="1"/>
  <c r="D762" i="16" s="1"/>
  <c r="D763" i="16" a="1"/>
  <c r="D763" i="16" s="1"/>
  <c r="D764" i="16" a="1"/>
  <c r="D764" i="16" s="1"/>
  <c r="D765" i="16" a="1"/>
  <c r="D765" i="16" s="1"/>
  <c r="D766" i="16" a="1"/>
  <c r="D766" i="16" s="1"/>
  <c r="D767" i="16" a="1"/>
  <c r="D767" i="16" s="1"/>
  <c r="D768" i="16" a="1"/>
  <c r="D768" i="16" s="1"/>
  <c r="D769" i="16" a="1"/>
  <c r="D769" i="16" s="1"/>
  <c r="D770" i="16" a="1"/>
  <c r="D770" i="16" s="1"/>
  <c r="D771" i="16" a="1"/>
  <c r="D771" i="16" s="1"/>
  <c r="D772" i="16" a="1"/>
  <c r="D772" i="16" s="1"/>
  <c r="D773" i="16" a="1"/>
  <c r="D773" i="16" s="1"/>
  <c r="D774" i="16" a="1"/>
  <c r="D774" i="16" s="1"/>
  <c r="D775" i="16" a="1"/>
  <c r="D775" i="16" s="1"/>
  <c r="D776" i="16" a="1"/>
  <c r="D776" i="16" s="1"/>
  <c r="D777" i="16" a="1"/>
  <c r="D777" i="16" s="1"/>
  <c r="D778" i="16" a="1"/>
  <c r="D778" i="16" s="1"/>
  <c r="D779" i="16" a="1"/>
  <c r="D779" i="16" s="1"/>
  <c r="D780" i="16" a="1"/>
  <c r="D780" i="16" s="1"/>
  <c r="D781" i="16" a="1"/>
  <c r="D781" i="16" s="1"/>
  <c r="D782" i="16" a="1"/>
  <c r="D782" i="16" s="1"/>
  <c r="D783" i="16" a="1"/>
  <c r="D783" i="16" s="1"/>
  <c r="D784" i="16" a="1"/>
  <c r="D784" i="16" s="1"/>
  <c r="D785" i="16" a="1"/>
  <c r="D785" i="16" s="1"/>
  <c r="D786" i="16" a="1"/>
  <c r="D786" i="16" s="1"/>
  <c r="D787" i="16" a="1"/>
  <c r="D787" i="16" s="1"/>
  <c r="D788" i="16" a="1"/>
  <c r="D788" i="16" s="1"/>
  <c r="D789" i="16" a="1"/>
  <c r="D789" i="16" s="1"/>
  <c r="D790" i="16" a="1"/>
  <c r="D790" i="16" s="1"/>
  <c r="D791" i="16" a="1"/>
  <c r="D791" i="16" s="1"/>
  <c r="D792" i="16" a="1"/>
  <c r="D792" i="16" s="1"/>
  <c r="D793" i="16" a="1"/>
  <c r="D793" i="16" s="1"/>
  <c r="D794" i="16" a="1"/>
  <c r="D794" i="16" s="1"/>
  <c r="D795" i="16" a="1"/>
  <c r="D795" i="16" s="1"/>
  <c r="D796" i="16" a="1"/>
  <c r="D796" i="16" s="1"/>
  <c r="D797" i="16" a="1"/>
  <c r="D797" i="16" s="1"/>
  <c r="D798" i="16" a="1"/>
  <c r="D798" i="16" s="1"/>
  <c r="D799" i="16" a="1"/>
  <c r="D799" i="16" s="1"/>
  <c r="D800" i="16" a="1"/>
  <c r="D800" i="16" s="1"/>
  <c r="D801" i="16" a="1"/>
  <c r="D801" i="16" s="1"/>
  <c r="D802" i="16" a="1"/>
  <c r="D802" i="16" s="1"/>
  <c r="D803" i="16" a="1"/>
  <c r="D803" i="16" s="1"/>
  <c r="D804" i="16" a="1"/>
  <c r="D804" i="16" s="1"/>
  <c r="D805" i="16" a="1"/>
  <c r="D805" i="16" s="1"/>
  <c r="D806" i="16" a="1"/>
  <c r="D806" i="16" s="1"/>
  <c r="D807" i="16" a="1"/>
  <c r="D807" i="16" s="1"/>
  <c r="D808" i="16" a="1"/>
  <c r="D808" i="16" s="1"/>
  <c r="D809" i="16" a="1"/>
  <c r="D809" i="16" s="1"/>
  <c r="D810" i="16" a="1"/>
  <c r="D810" i="16" s="1"/>
  <c r="D811" i="16" a="1"/>
  <c r="D811" i="16" s="1"/>
  <c r="D812" i="16" a="1"/>
  <c r="D812" i="16" s="1"/>
  <c r="D813" i="16" a="1"/>
  <c r="D813" i="16" s="1"/>
  <c r="D814" i="16" a="1"/>
  <c r="D814" i="16" s="1"/>
  <c r="D815" i="16" a="1"/>
  <c r="D815" i="16" s="1"/>
  <c r="D816" i="16" a="1"/>
  <c r="D816" i="16" s="1"/>
  <c r="D817" i="16" a="1"/>
  <c r="D817" i="16" s="1"/>
  <c r="D818" i="16" a="1"/>
  <c r="D818" i="16" s="1"/>
  <c r="D819" i="16" a="1"/>
  <c r="D819" i="16" s="1"/>
  <c r="D820" i="16" a="1"/>
  <c r="D820" i="16" s="1"/>
  <c r="D821" i="16" a="1"/>
  <c r="D821" i="16" s="1"/>
  <c r="D822" i="16" a="1"/>
  <c r="D822" i="16" s="1"/>
  <c r="D823" i="16" a="1"/>
  <c r="D823" i="16" s="1"/>
  <c r="D824" i="16" a="1"/>
  <c r="D824" i="16" s="1"/>
  <c r="D825" i="16" a="1"/>
  <c r="D825" i="16" s="1"/>
  <c r="D826" i="16" a="1"/>
  <c r="D826" i="16" s="1"/>
  <c r="D827" i="16" a="1"/>
  <c r="D827" i="16" s="1"/>
  <c r="D828" i="16" a="1"/>
  <c r="D828" i="16" s="1"/>
  <c r="D829" i="16" a="1"/>
  <c r="D829" i="16" s="1"/>
  <c r="D830" i="16" a="1"/>
  <c r="D830" i="16" s="1"/>
  <c r="D831" i="16" a="1"/>
  <c r="D831" i="16" s="1"/>
  <c r="D832" i="16" a="1"/>
  <c r="D832" i="16" s="1"/>
  <c r="D833" i="16" a="1"/>
  <c r="D833" i="16" s="1"/>
  <c r="D834" i="16" a="1"/>
  <c r="D834" i="16" s="1"/>
  <c r="D835" i="16" a="1"/>
  <c r="D835" i="16" s="1"/>
  <c r="D836" i="16" a="1"/>
  <c r="D836" i="16" s="1"/>
  <c r="D837" i="16" a="1"/>
  <c r="D837" i="16" s="1"/>
  <c r="D838" i="16" a="1"/>
  <c r="D838" i="16" s="1"/>
  <c r="D839" i="16" a="1"/>
  <c r="D839" i="16" s="1"/>
  <c r="D840" i="16" a="1"/>
  <c r="D840" i="16" s="1"/>
  <c r="D841" i="16" a="1"/>
  <c r="D841" i="16" s="1"/>
  <c r="D842" i="16" a="1"/>
  <c r="D842" i="16" s="1"/>
  <c r="D843" i="16" a="1"/>
  <c r="D843" i="16" s="1"/>
  <c r="D844" i="16" a="1"/>
  <c r="D844" i="16" s="1"/>
  <c r="D845" i="16" a="1"/>
  <c r="D845" i="16" s="1"/>
  <c r="D846" i="16" a="1"/>
  <c r="D846" i="16" s="1"/>
  <c r="D847" i="16" a="1"/>
  <c r="D847" i="16" s="1"/>
  <c r="D848" i="16" a="1"/>
  <c r="D848" i="16" s="1"/>
  <c r="D849" i="16" a="1"/>
  <c r="D849" i="16" s="1"/>
  <c r="D850" i="16" a="1"/>
  <c r="D850" i="16" s="1"/>
  <c r="D851" i="16" a="1"/>
  <c r="D851" i="16" s="1"/>
  <c r="D852" i="16" a="1"/>
  <c r="D852" i="16" s="1"/>
  <c r="D853" i="16" a="1"/>
  <c r="D853" i="16" s="1"/>
  <c r="D854" i="16" a="1"/>
  <c r="D854" i="16" s="1"/>
  <c r="D855" i="16" a="1"/>
  <c r="D855" i="16" s="1"/>
  <c r="D856" i="16" a="1"/>
  <c r="D856" i="16" s="1"/>
  <c r="D857" i="16" a="1"/>
  <c r="D857" i="16" s="1"/>
  <c r="D858" i="16" a="1"/>
  <c r="D858" i="16" s="1"/>
  <c r="D859" i="16" a="1"/>
  <c r="D859" i="16" s="1"/>
  <c r="D860" i="16" a="1"/>
  <c r="D860" i="16" s="1"/>
  <c r="D861" i="16" a="1"/>
  <c r="D861" i="16" s="1"/>
  <c r="D862" i="16" a="1"/>
  <c r="D862" i="16" s="1"/>
  <c r="D863" i="16" a="1"/>
  <c r="D863" i="16" s="1"/>
  <c r="D864" i="16" a="1"/>
  <c r="D864" i="16" s="1"/>
  <c r="D865" i="16" a="1"/>
  <c r="D865" i="16" s="1"/>
  <c r="D866" i="16" a="1"/>
  <c r="D866" i="16" s="1"/>
  <c r="D867" i="16" a="1"/>
  <c r="D867" i="16" s="1"/>
  <c r="D868" i="16" a="1"/>
  <c r="D868" i="16" s="1"/>
  <c r="D869" i="16" a="1"/>
  <c r="D869" i="16" s="1"/>
  <c r="D870" i="16" a="1"/>
  <c r="D870" i="16" s="1"/>
  <c r="D871" i="16" a="1"/>
  <c r="D871" i="16" s="1"/>
  <c r="D872" i="16" a="1"/>
  <c r="D872" i="16" s="1"/>
  <c r="D873" i="16" a="1"/>
  <c r="D873" i="16" s="1"/>
  <c r="D874" i="16" a="1"/>
  <c r="D874" i="16" s="1"/>
  <c r="D875" i="16" a="1"/>
  <c r="D875" i="16" s="1"/>
  <c r="D876" i="16" a="1"/>
  <c r="D876" i="16" s="1"/>
  <c r="D877" i="16" a="1"/>
  <c r="D877" i="16" s="1"/>
  <c r="D878" i="16" a="1"/>
  <c r="D878" i="16" s="1"/>
  <c r="D879" i="16" a="1"/>
  <c r="D879" i="16" s="1"/>
  <c r="D880" i="16" a="1"/>
  <c r="D880" i="16" s="1"/>
  <c r="D881" i="16" a="1"/>
  <c r="D881" i="16" s="1"/>
  <c r="D882" i="16" a="1"/>
  <c r="D882" i="16" s="1"/>
  <c r="D883" i="16" a="1"/>
  <c r="D883" i="16" s="1"/>
  <c r="D884" i="16" a="1"/>
  <c r="D884" i="16" s="1"/>
  <c r="D885" i="16" a="1"/>
  <c r="D885" i="16" s="1"/>
  <c r="D886" i="16" a="1"/>
  <c r="D886" i="16" s="1"/>
  <c r="D887" i="16" a="1"/>
  <c r="D887" i="16" s="1"/>
  <c r="D888" i="16" a="1"/>
  <c r="D888" i="16" s="1"/>
  <c r="D889" i="16" a="1"/>
  <c r="D889" i="16" s="1"/>
  <c r="D890" i="16" a="1"/>
  <c r="D890" i="16" s="1"/>
  <c r="D891" i="16" a="1"/>
  <c r="D891" i="16" s="1"/>
  <c r="D892" i="16" a="1"/>
  <c r="D892" i="16" s="1"/>
  <c r="D893" i="16" a="1"/>
  <c r="D893" i="16" s="1"/>
  <c r="D894" i="16" a="1"/>
  <c r="D894" i="16" s="1"/>
  <c r="D895" i="16" a="1"/>
  <c r="D895" i="16" s="1"/>
  <c r="D896" i="16" a="1"/>
  <c r="D896" i="16" s="1"/>
  <c r="D897" i="16" a="1"/>
  <c r="D897" i="16" s="1"/>
  <c r="D898" i="16" a="1"/>
  <c r="D898" i="16" s="1"/>
  <c r="D899" i="16" a="1"/>
  <c r="D899" i="16" s="1"/>
  <c r="D900" i="16" a="1"/>
  <c r="D900" i="16" s="1"/>
  <c r="D901" i="16" a="1"/>
  <c r="D901" i="16" s="1"/>
  <c r="D902" i="16" a="1"/>
  <c r="D902" i="16" s="1"/>
  <c r="D903" i="16" a="1"/>
  <c r="D903" i="16" s="1"/>
  <c r="D904" i="16" a="1"/>
  <c r="D904" i="16" s="1"/>
  <c r="D905" i="16" a="1"/>
  <c r="D905" i="16" s="1"/>
  <c r="D906" i="16" a="1"/>
  <c r="D906" i="16" s="1"/>
  <c r="D907" i="16" a="1"/>
  <c r="D907" i="16" s="1"/>
  <c r="D908" i="16" a="1"/>
  <c r="D908" i="16" s="1"/>
  <c r="D909" i="16" a="1"/>
  <c r="D909" i="16" s="1"/>
  <c r="D910" i="16" a="1"/>
  <c r="D910" i="16" s="1"/>
  <c r="D911" i="16" a="1"/>
  <c r="D911" i="16" s="1"/>
  <c r="D912" i="16" a="1"/>
  <c r="D912" i="16" s="1"/>
  <c r="D913" i="16" a="1"/>
  <c r="D913" i="16" s="1"/>
  <c r="D914" i="16" a="1"/>
  <c r="D914" i="16" s="1"/>
  <c r="D915" i="16" a="1"/>
  <c r="D915" i="16" s="1"/>
  <c r="D916" i="16" a="1"/>
  <c r="D916" i="16" s="1"/>
  <c r="D917" i="16" a="1"/>
  <c r="D917" i="16" s="1"/>
  <c r="D918" i="16" a="1"/>
  <c r="D918" i="16" s="1"/>
  <c r="D919" i="16" a="1"/>
  <c r="D919" i="16" s="1"/>
  <c r="D920" i="16" a="1"/>
  <c r="D920" i="16" s="1"/>
  <c r="D921" i="16" a="1"/>
  <c r="D921" i="16" s="1"/>
  <c r="D922" i="16" a="1"/>
  <c r="D922" i="16" s="1"/>
  <c r="D923" i="16" a="1"/>
  <c r="D923" i="16" s="1"/>
  <c r="D924" i="16" a="1"/>
  <c r="D924" i="16" s="1"/>
  <c r="D925" i="16" a="1"/>
  <c r="D925" i="16" s="1"/>
  <c r="D926" i="16" a="1"/>
  <c r="D926" i="16" s="1"/>
  <c r="D927" i="16" a="1"/>
  <c r="D927" i="16" s="1"/>
  <c r="D928" i="16" a="1"/>
  <c r="D928" i="16" s="1"/>
  <c r="D929" i="16" a="1"/>
  <c r="D929" i="16" s="1"/>
  <c r="D930" i="16" a="1"/>
  <c r="D930" i="16" s="1"/>
  <c r="D931" i="16" a="1"/>
  <c r="D931" i="16" s="1"/>
  <c r="D932" i="16" a="1"/>
  <c r="D932" i="16" s="1"/>
  <c r="D933" i="16" a="1"/>
  <c r="D933" i="16" s="1"/>
  <c r="D934" i="16" a="1"/>
  <c r="D934" i="16" s="1"/>
  <c r="D935" i="16" a="1"/>
  <c r="D935" i="16" s="1"/>
  <c r="D936" i="16" a="1"/>
  <c r="D936" i="16" s="1"/>
  <c r="D937" i="16" a="1"/>
  <c r="D937" i="16" s="1"/>
  <c r="D938" i="16" a="1"/>
  <c r="D938" i="16" s="1"/>
  <c r="D939" i="16" a="1"/>
  <c r="D939" i="16" s="1"/>
  <c r="D940" i="16" a="1"/>
  <c r="D940" i="16" s="1"/>
  <c r="D941" i="16" a="1"/>
  <c r="D941" i="16" s="1"/>
  <c r="D942" i="16" a="1"/>
  <c r="D942" i="16" s="1"/>
  <c r="D943" i="16" a="1"/>
  <c r="D943" i="16" s="1"/>
  <c r="D944" i="16" a="1"/>
  <c r="D944" i="16" s="1"/>
  <c r="D945" i="16" a="1"/>
  <c r="D945" i="16" s="1"/>
  <c r="D946" i="16" a="1"/>
  <c r="D946" i="16" s="1"/>
  <c r="D947" i="16" a="1"/>
  <c r="D947" i="16" s="1"/>
  <c r="D948" i="16" a="1"/>
  <c r="D948" i="16" s="1"/>
  <c r="D949" i="16" a="1"/>
  <c r="D949" i="16" s="1"/>
  <c r="D950" i="16" a="1"/>
  <c r="D950" i="16" s="1"/>
  <c r="D951" i="16" a="1"/>
  <c r="D951" i="16" s="1"/>
  <c r="D952" i="16" a="1"/>
  <c r="D952" i="16" s="1"/>
  <c r="D953" i="16" a="1"/>
  <c r="D953" i="16" s="1"/>
  <c r="D954" i="16" a="1"/>
  <c r="D954" i="16" s="1"/>
  <c r="D955" i="16" a="1"/>
  <c r="D955" i="16" s="1"/>
  <c r="D956" i="16" a="1"/>
  <c r="D956" i="16" s="1"/>
  <c r="D957" i="16" a="1"/>
  <c r="D957" i="16" s="1"/>
  <c r="D958" i="16" a="1"/>
  <c r="D958" i="16" s="1"/>
  <c r="D959" i="16" a="1"/>
  <c r="D959" i="16" s="1"/>
  <c r="D960" i="16" a="1"/>
  <c r="D960" i="16" s="1"/>
  <c r="D961" i="16" a="1"/>
  <c r="D961" i="16" s="1"/>
  <c r="D962" i="16" a="1"/>
  <c r="D962" i="16" s="1"/>
  <c r="D963" i="16" a="1"/>
  <c r="D963" i="16" s="1"/>
  <c r="D964" i="16" a="1"/>
  <c r="D964" i="16" s="1"/>
  <c r="D965" i="16" a="1"/>
  <c r="D965" i="16" s="1"/>
  <c r="D966" i="16" a="1"/>
  <c r="D966" i="16" s="1"/>
  <c r="D967" i="16" a="1"/>
  <c r="D967" i="16" s="1"/>
  <c r="D968" i="16" a="1"/>
  <c r="D968" i="16" s="1"/>
  <c r="D969" i="16" a="1"/>
  <c r="D969" i="16" s="1"/>
  <c r="D970" i="16" a="1"/>
  <c r="D970" i="16" s="1"/>
  <c r="D971" i="16" a="1"/>
  <c r="D971" i="16" s="1"/>
  <c r="D972" i="16" a="1"/>
  <c r="D972" i="16" s="1"/>
  <c r="D973" i="16" a="1"/>
  <c r="D973" i="16" s="1"/>
  <c r="D974" i="16" a="1"/>
  <c r="D974" i="16" s="1"/>
  <c r="D975" i="16" a="1"/>
  <c r="D975" i="16" s="1"/>
  <c r="D976" i="16" a="1"/>
  <c r="D976" i="16" s="1"/>
  <c r="D977" i="16" a="1"/>
  <c r="D977" i="16" s="1"/>
  <c r="D978" i="16" a="1"/>
  <c r="D978" i="16" s="1"/>
  <c r="D979" i="16" a="1"/>
  <c r="D979" i="16" s="1"/>
  <c r="D980" i="16" a="1"/>
  <c r="D980" i="16" s="1"/>
  <c r="D981" i="16" a="1"/>
  <c r="D981" i="16" s="1"/>
  <c r="D982" i="16" a="1"/>
  <c r="D982" i="16" s="1"/>
  <c r="D983" i="16" a="1"/>
  <c r="D983" i="16" s="1"/>
  <c r="D984" i="16" a="1"/>
  <c r="D984" i="16" s="1"/>
  <c r="D985" i="16" a="1"/>
  <c r="D985" i="16" s="1"/>
  <c r="D986" i="16" a="1"/>
  <c r="D986" i="16" s="1"/>
  <c r="D987" i="16" a="1"/>
  <c r="D987" i="16" s="1"/>
  <c r="D988" i="16" a="1"/>
  <c r="D988" i="16" s="1"/>
  <c r="D989" i="16" a="1"/>
  <c r="D989" i="16" s="1"/>
  <c r="D990" i="16" a="1"/>
  <c r="D990" i="16" s="1"/>
  <c r="D991" i="16" a="1"/>
  <c r="D991" i="16" s="1"/>
  <c r="D992" i="16" a="1"/>
  <c r="D992" i="16" s="1"/>
  <c r="D993" i="16" a="1"/>
  <c r="D993" i="16" s="1"/>
  <c r="D994" i="16" a="1"/>
  <c r="D994" i="16" s="1"/>
  <c r="D995" i="16" a="1"/>
  <c r="D995" i="16" s="1"/>
  <c r="D996" i="16" a="1"/>
  <c r="D996" i="16" s="1"/>
  <c r="D997" i="16" a="1"/>
  <c r="D997" i="16" s="1"/>
  <c r="D998" i="16" a="1"/>
  <c r="D998" i="16" s="1"/>
  <c r="D999" i="16" a="1"/>
  <c r="D999" i="16" s="1"/>
  <c r="D1000" i="16" a="1"/>
  <c r="D1000" i="16" s="1"/>
  <c r="D1001" i="16" a="1"/>
  <c r="D1001" i="16" s="1"/>
  <c r="D1002" i="16" a="1"/>
  <c r="D1002" i="16" s="1"/>
  <c r="D1003" i="16" a="1"/>
  <c r="D1003" i="16" s="1"/>
  <c r="D1004" i="16" a="1"/>
  <c r="D1004" i="16" s="1"/>
  <c r="D1005" i="16" a="1"/>
  <c r="D1005" i="16" s="1"/>
  <c r="D1006" i="16" a="1"/>
  <c r="D1006" i="16" s="1"/>
  <c r="D1007" i="16" a="1"/>
  <c r="D1007" i="16" s="1"/>
  <c r="D1008" i="16" a="1"/>
  <c r="D1008" i="16" s="1"/>
  <c r="D1009" i="16" a="1"/>
  <c r="D1009" i="16" s="1"/>
  <c r="D1010" i="16" a="1"/>
  <c r="D1010" i="16" s="1"/>
  <c r="D1011" i="16" a="1"/>
  <c r="D1011" i="16" s="1"/>
  <c r="D1012" i="16" a="1"/>
  <c r="D1012" i="16" s="1"/>
  <c r="D1013" i="16" a="1"/>
  <c r="D1013" i="16" s="1"/>
  <c r="D1014" i="16" a="1"/>
  <c r="D1014" i="16" s="1"/>
  <c r="D1015" i="16" a="1"/>
  <c r="D1015" i="16" s="1"/>
  <c r="D1016" i="16" a="1"/>
  <c r="D1016" i="16" s="1"/>
  <c r="D1017" i="16" a="1"/>
  <c r="D1017" i="16" s="1"/>
  <c r="D1018" i="16" a="1"/>
  <c r="D1018" i="16" s="1"/>
  <c r="D1019" i="16" a="1"/>
  <c r="D1019" i="16" s="1"/>
  <c r="D1020" i="16" a="1"/>
  <c r="D1020" i="16" s="1"/>
  <c r="D1021" i="16" a="1"/>
  <c r="D1021" i="16" s="1"/>
  <c r="D1022" i="16" a="1"/>
  <c r="D1022" i="16" s="1"/>
  <c r="D1023" i="16" a="1"/>
  <c r="D1023" i="16" s="1"/>
  <c r="D1024" i="16" a="1"/>
  <c r="D1024" i="16" s="1"/>
  <c r="D1025" i="16" a="1"/>
  <c r="D1025" i="16" s="1"/>
  <c r="V1016" i="16" a="1"/>
  <c r="V1016" i="16" s="1"/>
  <c r="W1016" i="16" a="1"/>
  <c r="W1016" i="16" s="1"/>
  <c r="X1016" i="16" a="1"/>
  <c r="X1016" i="16" s="1"/>
  <c r="V1017" i="16" a="1"/>
  <c r="V1017" i="16" s="1"/>
  <c r="W1017" i="16" a="1"/>
  <c r="W1017" i="16" s="1"/>
  <c r="X1017" i="16" a="1"/>
  <c r="X1017" i="16" s="1"/>
  <c r="V1018" i="16" a="1"/>
  <c r="V1018" i="16"/>
  <c r="W1018" i="16" a="1"/>
  <c r="W1018" i="16" s="1"/>
  <c r="X1018" i="16" a="1"/>
  <c r="X1018" i="16" s="1"/>
  <c r="V1019" i="16" a="1"/>
  <c r="V1019" i="16" s="1"/>
  <c r="W1019" i="16" a="1"/>
  <c r="W1019" i="16" s="1"/>
  <c r="X1019" i="16" a="1"/>
  <c r="X1019" i="16" s="1"/>
  <c r="V1020" i="16" a="1"/>
  <c r="V1020" i="16" s="1"/>
  <c r="W1020" i="16" a="1"/>
  <c r="W1020" i="16" s="1"/>
  <c r="X1020" i="16" a="1"/>
  <c r="X1020" i="16" s="1"/>
  <c r="V1021" i="16" a="1"/>
  <c r="V1021" i="16" s="1"/>
  <c r="W1021" i="16" a="1"/>
  <c r="W1021" i="16"/>
  <c r="X1021" i="16" a="1"/>
  <c r="X1021" i="16"/>
  <c r="V1022" i="16" a="1"/>
  <c r="V1022" i="16" s="1"/>
  <c r="W1022" i="16" a="1"/>
  <c r="W1022" i="16" s="1"/>
  <c r="X1022" i="16" a="1"/>
  <c r="X1022" i="16" s="1"/>
  <c r="V1023" i="16" a="1"/>
  <c r="V1023" i="16" s="1"/>
  <c r="W1023" i="16" a="1"/>
  <c r="W1023" i="16" s="1"/>
  <c r="X1023" i="16" a="1"/>
  <c r="X1023" i="16" s="1"/>
  <c r="V1024" i="16" a="1"/>
  <c r="V1024" i="16" s="1"/>
  <c r="W1024" i="16" a="1"/>
  <c r="W1024" i="16" s="1"/>
  <c r="X1024" i="16" a="1"/>
  <c r="X1024" i="16" s="1"/>
  <c r="V1025" i="16" a="1"/>
  <c r="V1025" i="16"/>
  <c r="W1025" i="16" a="1"/>
  <c r="W1025" i="16" s="1"/>
  <c r="X1025" i="16" a="1"/>
  <c r="X1025" i="16" s="1"/>
  <c r="V516" i="16" a="1"/>
  <c r="V516" i="16" s="1"/>
  <c r="W516" i="16" a="1"/>
  <c r="W516" i="16" s="1"/>
  <c r="X516" i="16" a="1"/>
  <c r="X516" i="16" s="1"/>
  <c r="V517" i="16" a="1"/>
  <c r="V517" i="16" s="1"/>
  <c r="W517" i="16" a="1"/>
  <c r="W517" i="16" s="1"/>
  <c r="X517" i="16" a="1"/>
  <c r="X517" i="16" s="1"/>
  <c r="V518" i="16" a="1"/>
  <c r="V518" i="16" s="1"/>
  <c r="W518" i="16" a="1"/>
  <c r="W518" i="16" s="1"/>
  <c r="X518" i="16" a="1"/>
  <c r="X518" i="16" s="1"/>
  <c r="V519" i="16" a="1"/>
  <c r="V519" i="16" s="1"/>
  <c r="W519" i="16" a="1"/>
  <c r="W519" i="16" s="1"/>
  <c r="X519" i="16" a="1"/>
  <c r="X519" i="16" s="1"/>
  <c r="V520" i="16" a="1"/>
  <c r="V520" i="16" s="1"/>
  <c r="W520" i="16" a="1"/>
  <c r="W520" i="16" s="1"/>
  <c r="X520" i="16" a="1"/>
  <c r="X520" i="16" s="1"/>
  <c r="V521" i="16" a="1"/>
  <c r="V521" i="16" s="1"/>
  <c r="W521" i="16" a="1"/>
  <c r="W521" i="16" s="1"/>
  <c r="X521" i="16" a="1"/>
  <c r="X521" i="16" s="1"/>
  <c r="V522" i="16" a="1"/>
  <c r="V522" i="16" s="1"/>
  <c r="W522" i="16" a="1"/>
  <c r="W522" i="16"/>
  <c r="X522" i="16" a="1"/>
  <c r="X522" i="16" s="1"/>
  <c r="V523" i="16" a="1"/>
  <c r="V523" i="16" s="1"/>
  <c r="W523" i="16" a="1"/>
  <c r="W523" i="16" s="1"/>
  <c r="X523" i="16" a="1"/>
  <c r="X523" i="16" s="1"/>
  <c r="V524" i="16" a="1"/>
  <c r="V524" i="16" s="1"/>
  <c r="W524" i="16" a="1"/>
  <c r="W524" i="16" s="1"/>
  <c r="X524" i="16" a="1"/>
  <c r="X524" i="16" s="1"/>
  <c r="V525" i="16" a="1"/>
  <c r="V525" i="16" s="1"/>
  <c r="W525" i="16" a="1"/>
  <c r="W525" i="16" s="1"/>
  <c r="X525" i="16" a="1"/>
  <c r="X525" i="16" s="1"/>
  <c r="V526" i="16" a="1"/>
  <c r="V526" i="16" s="1"/>
  <c r="W526" i="16" a="1"/>
  <c r="W526" i="16" s="1"/>
  <c r="X526" i="16" a="1"/>
  <c r="X526" i="16" s="1"/>
  <c r="V527" i="16" a="1"/>
  <c r="V527" i="16" s="1"/>
  <c r="W527" i="16" a="1"/>
  <c r="W527" i="16"/>
  <c r="X527" i="16" a="1"/>
  <c r="X527" i="16" s="1"/>
  <c r="V528" i="16" a="1"/>
  <c r="V528" i="16" s="1"/>
  <c r="W528" i="16" a="1"/>
  <c r="W528" i="16" s="1"/>
  <c r="X528" i="16" a="1"/>
  <c r="X528" i="16" s="1"/>
  <c r="V529" i="16" a="1"/>
  <c r="V529" i="16" s="1"/>
  <c r="W529" i="16" a="1"/>
  <c r="W529" i="16" s="1"/>
  <c r="X529" i="16" a="1"/>
  <c r="X529" i="16" s="1"/>
  <c r="V530" i="16" a="1"/>
  <c r="V530" i="16" s="1"/>
  <c r="W530" i="16" a="1"/>
  <c r="W530" i="16" s="1"/>
  <c r="X530" i="16" a="1"/>
  <c r="X530" i="16" s="1"/>
  <c r="V531" i="16" a="1"/>
  <c r="V531" i="16" s="1"/>
  <c r="W531" i="16" a="1"/>
  <c r="W531" i="16" s="1"/>
  <c r="X531" i="16" a="1"/>
  <c r="X531" i="16" s="1"/>
  <c r="V532" i="16" a="1"/>
  <c r="V532" i="16" s="1"/>
  <c r="W532" i="16" a="1"/>
  <c r="W532" i="16" s="1"/>
  <c r="X532" i="16" a="1"/>
  <c r="X532" i="16" s="1"/>
  <c r="V533" i="16" a="1"/>
  <c r="V533" i="16" s="1"/>
  <c r="W533" i="16" a="1"/>
  <c r="W533" i="16" s="1"/>
  <c r="X533" i="16" a="1"/>
  <c r="X533" i="16" s="1"/>
  <c r="V534" i="16" a="1"/>
  <c r="V534" i="16" s="1"/>
  <c r="W534" i="16" a="1"/>
  <c r="W534" i="16" s="1"/>
  <c r="X534" i="16" a="1"/>
  <c r="X534" i="16"/>
  <c r="V535" i="16" a="1"/>
  <c r="V535" i="16" s="1"/>
  <c r="W535" i="16" a="1"/>
  <c r="W535" i="16" s="1"/>
  <c r="X535" i="16" a="1"/>
  <c r="X535" i="16" s="1"/>
  <c r="V536" i="16" a="1"/>
  <c r="V536" i="16" s="1"/>
  <c r="W536" i="16" a="1"/>
  <c r="W536" i="16" s="1"/>
  <c r="X536" i="16" a="1"/>
  <c r="X536" i="16" s="1"/>
  <c r="V537" i="16" a="1"/>
  <c r="V537" i="16" s="1"/>
  <c r="W537" i="16" a="1"/>
  <c r="W537" i="16" s="1"/>
  <c r="X537" i="16" a="1"/>
  <c r="X537" i="16" s="1"/>
  <c r="V538" i="16" a="1"/>
  <c r="V538" i="16" s="1"/>
  <c r="W538" i="16" a="1"/>
  <c r="W538" i="16"/>
  <c r="X538" i="16" a="1"/>
  <c r="X538" i="16" s="1"/>
  <c r="V539" i="16" a="1"/>
  <c r="V539" i="16" s="1"/>
  <c r="W539" i="16" a="1"/>
  <c r="W539" i="16" s="1"/>
  <c r="X539" i="16" a="1"/>
  <c r="X539" i="16"/>
  <c r="V540" i="16" a="1"/>
  <c r="V540" i="16" s="1"/>
  <c r="W540" i="16" a="1"/>
  <c r="W540" i="16" s="1"/>
  <c r="X540" i="16" a="1"/>
  <c r="X540" i="16" s="1"/>
  <c r="V541" i="16" a="1"/>
  <c r="V541" i="16" s="1"/>
  <c r="W541" i="16" a="1"/>
  <c r="W541" i="16" s="1"/>
  <c r="X541" i="16" a="1"/>
  <c r="X541" i="16" s="1"/>
  <c r="V542" i="16" a="1"/>
  <c r="V542" i="16" s="1"/>
  <c r="W542" i="16" a="1"/>
  <c r="W542" i="16" s="1"/>
  <c r="X542" i="16" a="1"/>
  <c r="X542" i="16" s="1"/>
  <c r="V543" i="16" a="1"/>
  <c r="V543" i="16" s="1"/>
  <c r="W543" i="16" a="1"/>
  <c r="W543" i="16" s="1"/>
  <c r="X543" i="16" a="1"/>
  <c r="X543" i="16" s="1"/>
  <c r="V544" i="16" a="1"/>
  <c r="V544" i="16"/>
  <c r="W544" i="16" a="1"/>
  <c r="W544" i="16" s="1"/>
  <c r="X544" i="16" a="1"/>
  <c r="X544" i="16" s="1"/>
  <c r="V545" i="16" a="1"/>
  <c r="V545" i="16" s="1"/>
  <c r="W545" i="16" a="1"/>
  <c r="W545" i="16"/>
  <c r="X545" i="16" a="1"/>
  <c r="X545" i="16"/>
  <c r="V546" i="16" a="1"/>
  <c r="V546" i="16" s="1"/>
  <c r="W546" i="16" a="1"/>
  <c r="W546" i="16" s="1"/>
  <c r="X546" i="16" a="1"/>
  <c r="X546" i="16" s="1"/>
  <c r="V547" i="16" a="1"/>
  <c r="V547" i="16" s="1"/>
  <c r="W547" i="16" a="1"/>
  <c r="W547" i="16" s="1"/>
  <c r="X547" i="16" a="1"/>
  <c r="X547" i="16" s="1"/>
  <c r="V548" i="16" a="1"/>
  <c r="V548" i="16" s="1"/>
  <c r="W548" i="16" a="1"/>
  <c r="W548" i="16" s="1"/>
  <c r="X548" i="16" a="1"/>
  <c r="X548" i="16" s="1"/>
  <c r="V549" i="16" a="1"/>
  <c r="V549" i="16"/>
  <c r="W549" i="16" a="1"/>
  <c r="W549" i="16" s="1"/>
  <c r="X549" i="16" a="1"/>
  <c r="X549" i="16" s="1"/>
  <c r="V550" i="16" a="1"/>
  <c r="V550" i="16" s="1"/>
  <c r="W550" i="16" a="1"/>
  <c r="W550" i="16" s="1"/>
  <c r="X550" i="16" a="1"/>
  <c r="X550" i="16" s="1"/>
  <c r="V551" i="16" a="1"/>
  <c r="V551" i="16" s="1"/>
  <c r="W551" i="16" a="1"/>
  <c r="W551" i="16"/>
  <c r="X551" i="16" a="1"/>
  <c r="X551" i="16" s="1"/>
  <c r="V552" i="16" a="1"/>
  <c r="V552" i="16" s="1"/>
  <c r="W552" i="16" a="1"/>
  <c r="W552" i="16" s="1"/>
  <c r="X552" i="16" a="1"/>
  <c r="X552" i="16" s="1"/>
  <c r="V553" i="16" a="1"/>
  <c r="V553" i="16" s="1"/>
  <c r="W553" i="16" a="1"/>
  <c r="W553" i="16"/>
  <c r="X553" i="16" a="1"/>
  <c r="X553" i="16" s="1"/>
  <c r="V554" i="16" a="1"/>
  <c r="V554" i="16" s="1"/>
  <c r="W554" i="16" a="1"/>
  <c r="W554" i="16" s="1"/>
  <c r="X554" i="16" a="1"/>
  <c r="X554" i="16" s="1"/>
  <c r="V555" i="16" a="1"/>
  <c r="V555" i="16" s="1"/>
  <c r="W555" i="16" a="1"/>
  <c r="W555" i="16" s="1"/>
  <c r="X555" i="16" a="1"/>
  <c r="X555" i="16"/>
  <c r="V556" i="16" a="1"/>
  <c r="V556" i="16" s="1"/>
  <c r="W556" i="16" a="1"/>
  <c r="W556" i="16" s="1"/>
  <c r="X556" i="16" a="1"/>
  <c r="X556" i="16" s="1"/>
  <c r="V557" i="16" a="1"/>
  <c r="V557" i="16" s="1"/>
  <c r="W557" i="16" a="1"/>
  <c r="W557" i="16" s="1"/>
  <c r="X557" i="16" a="1"/>
  <c r="X557" i="16" s="1"/>
  <c r="V558" i="16" a="1"/>
  <c r="V558" i="16" s="1"/>
  <c r="W558" i="16" a="1"/>
  <c r="W558" i="16"/>
  <c r="X558" i="16" a="1"/>
  <c r="X558" i="16"/>
  <c r="V559" i="16" a="1"/>
  <c r="V559" i="16" s="1"/>
  <c r="W559" i="16" a="1"/>
  <c r="W559" i="16" s="1"/>
  <c r="X559" i="16" a="1"/>
  <c r="X559" i="16" s="1"/>
  <c r="V560" i="16" a="1"/>
  <c r="V560" i="16" s="1"/>
  <c r="W560" i="16" a="1"/>
  <c r="W560" i="16" s="1"/>
  <c r="X560" i="16" a="1"/>
  <c r="X560" i="16" s="1"/>
  <c r="V561" i="16" a="1"/>
  <c r="V561" i="16" s="1"/>
  <c r="W561" i="16" a="1"/>
  <c r="W561" i="16"/>
  <c r="X561" i="16" a="1"/>
  <c r="X561" i="16" s="1"/>
  <c r="V562" i="16" a="1"/>
  <c r="V562" i="16" s="1"/>
  <c r="W562" i="16" a="1"/>
  <c r="W562" i="16" s="1"/>
  <c r="X562" i="16" a="1"/>
  <c r="X562" i="16" s="1"/>
  <c r="V563" i="16" a="1"/>
  <c r="V563" i="16" s="1"/>
  <c r="W563" i="16" a="1"/>
  <c r="W563" i="16" s="1"/>
  <c r="X563" i="16" a="1"/>
  <c r="X563" i="16" s="1"/>
  <c r="V564" i="16" a="1"/>
  <c r="V564" i="16" s="1"/>
  <c r="W564" i="16" a="1"/>
  <c r="W564" i="16" s="1"/>
  <c r="X564" i="16" a="1"/>
  <c r="X564" i="16" s="1"/>
  <c r="V565" i="16" a="1"/>
  <c r="V565" i="16"/>
  <c r="W565" i="16" a="1"/>
  <c r="W565" i="16" s="1"/>
  <c r="X565" i="16" a="1"/>
  <c r="X565" i="16" s="1"/>
  <c r="V566" i="16" a="1"/>
  <c r="V566" i="16" s="1"/>
  <c r="W566" i="16" a="1"/>
  <c r="W566" i="16"/>
  <c r="X566" i="16" a="1"/>
  <c r="X566" i="16" s="1"/>
  <c r="V567" i="16" a="1"/>
  <c r="V567" i="16" s="1"/>
  <c r="W567" i="16" a="1"/>
  <c r="W567" i="16" s="1"/>
  <c r="X567" i="16" a="1"/>
  <c r="X567" i="16" s="1"/>
  <c r="V568" i="16" a="1"/>
  <c r="V568" i="16"/>
  <c r="W568" i="16" a="1"/>
  <c r="W568" i="16"/>
  <c r="X568" i="16" a="1"/>
  <c r="X568" i="16"/>
  <c r="V569" i="16" a="1"/>
  <c r="V569" i="16" s="1"/>
  <c r="W569" i="16" a="1"/>
  <c r="W569" i="16" s="1"/>
  <c r="X569" i="16" a="1"/>
  <c r="X569" i="16" s="1"/>
  <c r="V570" i="16" a="1"/>
  <c r="V570" i="16" s="1"/>
  <c r="W570" i="16" a="1"/>
  <c r="W570" i="16" s="1"/>
  <c r="X570" i="16" a="1"/>
  <c r="X570" i="16" s="1"/>
  <c r="V571" i="16" a="1"/>
  <c r="V571" i="16" s="1"/>
  <c r="W571" i="16" a="1"/>
  <c r="W571" i="16" s="1"/>
  <c r="X571" i="16" a="1"/>
  <c r="X571" i="16" s="1"/>
  <c r="V572" i="16" a="1"/>
  <c r="V572" i="16" s="1"/>
  <c r="W572" i="16" a="1"/>
  <c r="W572" i="16" s="1"/>
  <c r="X572" i="16" a="1"/>
  <c r="X572" i="16" s="1"/>
  <c r="V573" i="16" a="1"/>
  <c r="V573" i="16"/>
  <c r="W573" i="16" a="1"/>
  <c r="W573" i="16" s="1"/>
  <c r="X573" i="16" a="1"/>
  <c r="X573" i="16" s="1"/>
  <c r="V574" i="16" a="1"/>
  <c r="V574" i="16" s="1"/>
  <c r="W574" i="16" a="1"/>
  <c r="W574" i="16" s="1"/>
  <c r="X574" i="16" a="1"/>
  <c r="X574" i="16" s="1"/>
  <c r="V575" i="16" a="1"/>
  <c r="V575" i="16" s="1"/>
  <c r="W575" i="16" a="1"/>
  <c r="W575" i="16"/>
  <c r="X575" i="16" a="1"/>
  <c r="X575" i="16"/>
  <c r="V576" i="16" a="1"/>
  <c r="V576" i="16" s="1"/>
  <c r="W576" i="16" a="1"/>
  <c r="W576" i="16" s="1"/>
  <c r="X576" i="16" a="1"/>
  <c r="X576" i="16" s="1"/>
  <c r="V577" i="16" a="1"/>
  <c r="V577" i="16" s="1"/>
  <c r="W577" i="16" a="1"/>
  <c r="W577" i="16" s="1"/>
  <c r="X577" i="16" a="1"/>
  <c r="X577" i="16" s="1"/>
  <c r="V578" i="16" a="1"/>
  <c r="V578" i="16"/>
  <c r="W578" i="16" a="1"/>
  <c r="W578" i="16" s="1"/>
  <c r="X578" i="16" a="1"/>
  <c r="X578" i="16" s="1"/>
  <c r="V579" i="16" a="1"/>
  <c r="V579" i="16" s="1"/>
  <c r="W579" i="16" a="1"/>
  <c r="W579" i="16" s="1"/>
  <c r="X579" i="16" a="1"/>
  <c r="X579" i="16" s="1"/>
  <c r="V580" i="16" a="1"/>
  <c r="V580" i="16" s="1"/>
  <c r="W580" i="16" a="1"/>
  <c r="W580" i="16"/>
  <c r="X580" i="16" a="1"/>
  <c r="X580" i="16" s="1"/>
  <c r="V581" i="16" a="1"/>
  <c r="V581" i="16" s="1"/>
  <c r="W581" i="16" a="1"/>
  <c r="W581" i="16" s="1"/>
  <c r="X581" i="16" a="1"/>
  <c r="X581" i="16"/>
  <c r="V582" i="16" a="1"/>
  <c r="V582" i="16" s="1"/>
  <c r="W582" i="16" a="1"/>
  <c r="W582" i="16" s="1"/>
  <c r="X582" i="16" a="1"/>
  <c r="X582" i="16" s="1"/>
  <c r="V583" i="16" a="1"/>
  <c r="V583" i="16" s="1"/>
  <c r="W583" i="16" a="1"/>
  <c r="W583" i="16" s="1"/>
  <c r="X583" i="16" a="1"/>
  <c r="X583" i="16" s="1"/>
  <c r="V584" i="16" a="1"/>
  <c r="V584" i="16" s="1"/>
  <c r="W584" i="16" a="1"/>
  <c r="W584" i="16" s="1"/>
  <c r="X584" i="16" a="1"/>
  <c r="X584" i="16" s="1"/>
  <c r="V585" i="16" a="1"/>
  <c r="V585" i="16" s="1"/>
  <c r="W585" i="16" a="1"/>
  <c r="W585" i="16" s="1"/>
  <c r="X585" i="16" a="1"/>
  <c r="X585" i="16" s="1"/>
  <c r="V586" i="16" a="1"/>
  <c r="V586" i="16" s="1"/>
  <c r="W586" i="16" a="1"/>
  <c r="W586" i="16" s="1"/>
  <c r="X586" i="16" a="1"/>
  <c r="X586" i="16" s="1"/>
  <c r="V587" i="16" a="1"/>
  <c r="V587" i="16" s="1"/>
  <c r="W587" i="16" a="1"/>
  <c r="W587" i="16" s="1"/>
  <c r="X587" i="16" a="1"/>
  <c r="X587" i="16" s="1"/>
  <c r="V588" i="16" a="1"/>
  <c r="V588" i="16"/>
  <c r="W588" i="16" a="1"/>
  <c r="W588" i="16"/>
  <c r="X588" i="16" a="1"/>
  <c r="X588" i="16" s="1"/>
  <c r="V589" i="16" a="1"/>
  <c r="V589" i="16"/>
  <c r="W589" i="16" a="1"/>
  <c r="W589" i="16" s="1"/>
  <c r="X589" i="16" a="1"/>
  <c r="X589" i="16" s="1"/>
  <c r="V590" i="16" a="1"/>
  <c r="V590" i="16" s="1"/>
  <c r="W590" i="16" a="1"/>
  <c r="W590" i="16" s="1"/>
  <c r="X590" i="16" a="1"/>
  <c r="X590" i="16" s="1"/>
  <c r="V591" i="16" a="1"/>
  <c r="V591" i="16" s="1"/>
  <c r="W591" i="16" a="1"/>
  <c r="W591" i="16" s="1"/>
  <c r="X591" i="16" a="1"/>
  <c r="X591" i="16"/>
  <c r="V592" i="16" a="1"/>
  <c r="V592" i="16"/>
  <c r="W592" i="16" a="1"/>
  <c r="W592" i="16"/>
  <c r="X592" i="16" a="1"/>
  <c r="X592" i="16" s="1"/>
  <c r="V593" i="16" a="1"/>
  <c r="V593" i="16" s="1"/>
  <c r="W593" i="16" a="1"/>
  <c r="W593" i="16" s="1"/>
  <c r="X593" i="16" a="1"/>
  <c r="X593" i="16" s="1"/>
  <c r="V594" i="16" a="1"/>
  <c r="V594" i="16" s="1"/>
  <c r="W594" i="16" a="1"/>
  <c r="W594" i="16" s="1"/>
  <c r="X594" i="16" a="1"/>
  <c r="X594" i="16"/>
  <c r="V595" i="16" a="1"/>
  <c r="V595" i="16" s="1"/>
  <c r="W595" i="16" a="1"/>
  <c r="W595" i="16" s="1"/>
  <c r="X595" i="16" a="1"/>
  <c r="X595" i="16" s="1"/>
  <c r="V596" i="16" a="1"/>
  <c r="V596" i="16" s="1"/>
  <c r="W596" i="16" a="1"/>
  <c r="W596" i="16" s="1"/>
  <c r="X596" i="16" a="1"/>
  <c r="X596" i="16" s="1"/>
  <c r="V597" i="16" a="1"/>
  <c r="V597" i="16"/>
  <c r="W597" i="16" a="1"/>
  <c r="W597" i="16" s="1"/>
  <c r="X597" i="16" a="1"/>
  <c r="X597" i="16" s="1"/>
  <c r="V598" i="16" a="1"/>
  <c r="V598" i="16" s="1"/>
  <c r="W598" i="16" a="1"/>
  <c r="W598" i="16"/>
  <c r="X598" i="16" a="1"/>
  <c r="X598" i="16" s="1"/>
  <c r="V599" i="16" a="1"/>
  <c r="V599" i="16" s="1"/>
  <c r="W599" i="16" a="1"/>
  <c r="W599" i="16" s="1"/>
  <c r="X599" i="16" a="1"/>
  <c r="X599" i="16"/>
  <c r="V600" i="16" a="1"/>
  <c r="V600" i="16" s="1"/>
  <c r="W600" i="16" a="1"/>
  <c r="W600" i="16" s="1"/>
  <c r="X600" i="16" a="1"/>
  <c r="X600" i="16"/>
  <c r="V601" i="16" a="1"/>
  <c r="V601" i="16" s="1"/>
  <c r="W601" i="16" a="1"/>
  <c r="W601" i="16" s="1"/>
  <c r="X601" i="16" a="1"/>
  <c r="X601" i="16" s="1"/>
  <c r="V602" i="16" a="1"/>
  <c r="V602" i="16" s="1"/>
  <c r="W602" i="16" a="1"/>
  <c r="W602" i="16" s="1"/>
  <c r="X602" i="16" a="1"/>
  <c r="X602" i="16" s="1"/>
  <c r="V603" i="16" a="1"/>
  <c r="V603" i="16" s="1"/>
  <c r="W603" i="16" a="1"/>
  <c r="W603" i="16"/>
  <c r="X603" i="16" a="1"/>
  <c r="X603" i="16" s="1"/>
  <c r="V604" i="16" a="1"/>
  <c r="V604" i="16" s="1"/>
  <c r="W604" i="16" a="1"/>
  <c r="W604" i="16" s="1"/>
  <c r="X604" i="16" a="1"/>
  <c r="X604" i="16" s="1"/>
  <c r="V605" i="16" a="1"/>
  <c r="V605" i="16" s="1"/>
  <c r="W605" i="16" a="1"/>
  <c r="W605" i="16" s="1"/>
  <c r="X605" i="16" a="1"/>
  <c r="X605" i="16" s="1"/>
  <c r="V606" i="16" a="1"/>
  <c r="V606" i="16" s="1"/>
  <c r="W606" i="16" a="1"/>
  <c r="W606" i="16"/>
  <c r="X606" i="16" a="1"/>
  <c r="X606" i="16" s="1"/>
  <c r="V607" i="16" a="1"/>
  <c r="V607" i="16" s="1"/>
  <c r="W607" i="16" a="1"/>
  <c r="W607" i="16" s="1"/>
  <c r="X607" i="16" a="1"/>
  <c r="X607" i="16" s="1"/>
  <c r="V608" i="16" a="1"/>
  <c r="V608" i="16" s="1"/>
  <c r="W608" i="16" a="1"/>
  <c r="W608" i="16"/>
  <c r="X608" i="16" a="1"/>
  <c r="X608" i="16"/>
  <c r="V609" i="16" a="1"/>
  <c r="V609" i="16" s="1"/>
  <c r="W609" i="16" a="1"/>
  <c r="W609" i="16" s="1"/>
  <c r="X609" i="16" a="1"/>
  <c r="X609" i="16" s="1"/>
  <c r="V610" i="16" a="1"/>
  <c r="V610" i="16"/>
  <c r="W610" i="16" a="1"/>
  <c r="W610" i="16" s="1"/>
  <c r="X610" i="16" a="1"/>
  <c r="X610" i="16" s="1"/>
  <c r="V611" i="16" a="1"/>
  <c r="V611" i="16" s="1"/>
  <c r="W611" i="16" a="1"/>
  <c r="W611" i="16" s="1"/>
  <c r="X611" i="16" a="1"/>
  <c r="X611" i="16" s="1"/>
  <c r="V612" i="16" a="1"/>
  <c r="V612" i="16" s="1"/>
  <c r="W612" i="16" a="1"/>
  <c r="W612" i="16" s="1"/>
  <c r="X612" i="16" a="1"/>
  <c r="X612" i="16" s="1"/>
  <c r="V613" i="16" a="1"/>
  <c r="V613" i="16" s="1"/>
  <c r="W613" i="16" a="1"/>
  <c r="W613" i="16" s="1"/>
  <c r="X613" i="16" a="1"/>
  <c r="X613" i="16" s="1"/>
  <c r="V614" i="16" a="1"/>
  <c r="V614" i="16" s="1"/>
  <c r="W614" i="16" a="1"/>
  <c r="W614" i="16" s="1"/>
  <c r="X614" i="16" a="1"/>
  <c r="X614" i="16"/>
  <c r="V615" i="16" a="1"/>
  <c r="V615" i="16"/>
  <c r="W615" i="16" a="1"/>
  <c r="W615" i="16" s="1"/>
  <c r="X615" i="16" a="1"/>
  <c r="X615" i="16" s="1"/>
  <c r="V616" i="16" a="1"/>
  <c r="V616" i="16" s="1"/>
  <c r="W616" i="16" a="1"/>
  <c r="W616" i="16"/>
  <c r="X616" i="16" a="1"/>
  <c r="X616" i="16" s="1"/>
  <c r="V617" i="16" a="1"/>
  <c r="V617" i="16" s="1"/>
  <c r="W617" i="16" a="1"/>
  <c r="W617" i="16"/>
  <c r="X617" i="16" a="1"/>
  <c r="X617" i="16" s="1"/>
  <c r="V618" i="16" a="1"/>
  <c r="V618" i="16" s="1"/>
  <c r="W618" i="16" a="1"/>
  <c r="W618" i="16" s="1"/>
  <c r="X618" i="16" a="1"/>
  <c r="X618" i="16" s="1"/>
  <c r="V619" i="16" a="1"/>
  <c r="V619" i="16" s="1"/>
  <c r="W619" i="16" a="1"/>
  <c r="W619" i="16" s="1"/>
  <c r="X619" i="16" a="1"/>
  <c r="X619" i="16" s="1"/>
  <c r="V620" i="16" a="1"/>
  <c r="V620" i="16"/>
  <c r="W620" i="16" a="1"/>
  <c r="W620" i="16" s="1"/>
  <c r="X620" i="16" a="1"/>
  <c r="X620" i="16" s="1"/>
  <c r="V621" i="16" a="1"/>
  <c r="V621" i="16" s="1"/>
  <c r="W621" i="16" a="1"/>
  <c r="W621" i="16" s="1"/>
  <c r="X621" i="16" a="1"/>
  <c r="X621" i="16" s="1"/>
  <c r="V622" i="16" a="1"/>
  <c r="V622" i="16" s="1"/>
  <c r="W622" i="16" a="1"/>
  <c r="W622" i="16" s="1"/>
  <c r="X622" i="16" a="1"/>
  <c r="X622" i="16" s="1"/>
  <c r="V623" i="16" a="1"/>
  <c r="V623" i="16"/>
  <c r="W623" i="16" a="1"/>
  <c r="W623" i="16" s="1"/>
  <c r="X623" i="16" a="1"/>
  <c r="X623" i="16" s="1"/>
  <c r="V624" i="16" a="1"/>
  <c r="V624" i="16" s="1"/>
  <c r="W624" i="16" a="1"/>
  <c r="W624" i="16" s="1"/>
  <c r="X624" i="16" a="1"/>
  <c r="X624" i="16" s="1"/>
  <c r="V625" i="16" a="1"/>
  <c r="V625" i="16" s="1"/>
  <c r="W625" i="16" a="1"/>
  <c r="W625" i="16"/>
  <c r="X625" i="16" a="1"/>
  <c r="X625" i="16"/>
  <c r="V626" i="16" a="1"/>
  <c r="V626" i="16" s="1"/>
  <c r="W626" i="16" a="1"/>
  <c r="W626" i="16" s="1"/>
  <c r="X626" i="16" a="1"/>
  <c r="X626" i="16"/>
  <c r="V627" i="16" a="1"/>
  <c r="V627" i="16" s="1"/>
  <c r="W627" i="16" a="1"/>
  <c r="W627" i="16" s="1"/>
  <c r="X627" i="16" a="1"/>
  <c r="X627" i="16" s="1"/>
  <c r="V628" i="16" a="1"/>
  <c r="V628" i="16"/>
  <c r="W628" i="16" a="1"/>
  <c r="W628" i="16" s="1"/>
  <c r="X628" i="16" a="1"/>
  <c r="X628" i="16" s="1"/>
  <c r="V629" i="16" a="1"/>
  <c r="V629" i="16" s="1"/>
  <c r="W629" i="16" a="1"/>
  <c r="W629" i="16" s="1"/>
  <c r="X629" i="16" a="1"/>
  <c r="X629" i="16" s="1"/>
  <c r="V630" i="16" a="1"/>
  <c r="V630" i="16" s="1"/>
  <c r="W630" i="16" a="1"/>
  <c r="W630" i="16"/>
  <c r="X630" i="16" a="1"/>
  <c r="X630" i="16" s="1"/>
  <c r="V631" i="16" a="1"/>
  <c r="V631" i="16" s="1"/>
  <c r="W631" i="16" a="1"/>
  <c r="W631" i="16"/>
  <c r="X631" i="16" a="1"/>
  <c r="X631" i="16" s="1"/>
  <c r="V632" i="16" a="1"/>
  <c r="V632" i="16" s="1"/>
  <c r="W632" i="16" a="1"/>
  <c r="W632" i="16" s="1"/>
  <c r="X632" i="16" a="1"/>
  <c r="X632" i="16" s="1"/>
  <c r="V633" i="16" a="1"/>
  <c r="V633" i="16"/>
  <c r="W633" i="16" a="1"/>
  <c r="W633" i="16" s="1"/>
  <c r="X633" i="16" a="1"/>
  <c r="X633" i="16" s="1"/>
  <c r="V634" i="16" a="1"/>
  <c r="V634" i="16" s="1"/>
  <c r="W634" i="16" a="1"/>
  <c r="W634" i="16" s="1"/>
  <c r="X634" i="16" a="1"/>
  <c r="X634" i="16" s="1"/>
  <c r="V635" i="16" a="1"/>
  <c r="V635" i="16" s="1"/>
  <c r="W635" i="16" a="1"/>
  <c r="W635" i="16"/>
  <c r="X635" i="16" a="1"/>
  <c r="X635" i="16" s="1"/>
  <c r="V636" i="16" a="1"/>
  <c r="V636" i="16" s="1"/>
  <c r="W636" i="16" a="1"/>
  <c r="W636" i="16" s="1"/>
  <c r="X636" i="16" a="1"/>
  <c r="X636" i="16" s="1"/>
  <c r="V637" i="16" a="1"/>
  <c r="V637" i="16" s="1"/>
  <c r="W637" i="16" a="1"/>
  <c r="W637" i="16" s="1"/>
  <c r="X637" i="16" a="1"/>
  <c r="X637" i="16" s="1"/>
  <c r="V638" i="16" a="1"/>
  <c r="V638" i="16"/>
  <c r="W638" i="16" a="1"/>
  <c r="W638" i="16"/>
  <c r="X638" i="16" a="1"/>
  <c r="X638" i="16" s="1"/>
  <c r="V639" i="16" a="1"/>
  <c r="V639" i="16" s="1"/>
  <c r="W639" i="16" a="1"/>
  <c r="W639" i="16" s="1"/>
  <c r="X639" i="16" a="1"/>
  <c r="X639" i="16"/>
  <c r="V640" i="16" a="1"/>
  <c r="V640" i="16" s="1"/>
  <c r="W640" i="16" a="1"/>
  <c r="W640" i="16" s="1"/>
  <c r="X640" i="16" a="1"/>
  <c r="X640" i="16" s="1"/>
  <c r="V641" i="16" a="1"/>
  <c r="V641" i="16" s="1"/>
  <c r="W641" i="16" a="1"/>
  <c r="W641" i="16" s="1"/>
  <c r="X641" i="16" a="1"/>
  <c r="X641" i="16" s="1"/>
  <c r="V642" i="16" a="1"/>
  <c r="V642" i="16" s="1"/>
  <c r="W642" i="16" a="1"/>
  <c r="W642" i="16" s="1"/>
  <c r="X642" i="16" a="1"/>
  <c r="X642" i="16" s="1"/>
  <c r="V643" i="16" a="1"/>
  <c r="V643" i="16" s="1"/>
  <c r="W643" i="16" a="1"/>
  <c r="W643" i="16"/>
  <c r="X643" i="16" a="1"/>
  <c r="X643" i="16" s="1"/>
  <c r="V644" i="16" a="1"/>
  <c r="V644" i="16" s="1"/>
  <c r="W644" i="16" a="1"/>
  <c r="W644" i="16" s="1"/>
  <c r="X644" i="16" a="1"/>
  <c r="X644" i="16"/>
  <c r="V645" i="16" a="1"/>
  <c r="V645" i="16" s="1"/>
  <c r="W645" i="16" a="1"/>
  <c r="W645" i="16" s="1"/>
  <c r="X645" i="16" a="1"/>
  <c r="X645" i="16" s="1"/>
  <c r="V646" i="16" a="1"/>
  <c r="V646" i="16" s="1"/>
  <c r="W646" i="16" a="1"/>
  <c r="W646" i="16" s="1"/>
  <c r="X646" i="16" a="1"/>
  <c r="X646" i="16" s="1"/>
  <c r="V647" i="16" a="1"/>
  <c r="V647" i="16"/>
  <c r="W647" i="16" a="1"/>
  <c r="W647" i="16" s="1"/>
  <c r="X647" i="16" a="1"/>
  <c r="X647" i="16" s="1"/>
  <c r="V648" i="16" a="1"/>
  <c r="V648" i="16" s="1"/>
  <c r="W648" i="16" a="1"/>
  <c r="W648" i="16" s="1"/>
  <c r="X648" i="16" a="1"/>
  <c r="X648" i="16" s="1"/>
  <c r="V649" i="16" a="1"/>
  <c r="V649" i="16" s="1"/>
  <c r="W649" i="16" a="1"/>
  <c r="W649" i="16" s="1"/>
  <c r="X649" i="16" a="1"/>
  <c r="X649" i="16"/>
  <c r="V650" i="16" a="1"/>
  <c r="V650" i="16" s="1"/>
  <c r="W650" i="16" a="1"/>
  <c r="W650" i="16" s="1"/>
  <c r="X650" i="16" a="1"/>
  <c r="X650" i="16"/>
  <c r="V651" i="16" a="1"/>
  <c r="V651" i="16" s="1"/>
  <c r="W651" i="16" a="1"/>
  <c r="W651" i="16" s="1"/>
  <c r="X651" i="16" a="1"/>
  <c r="X651" i="16" s="1"/>
  <c r="V652" i="16" a="1"/>
  <c r="V652" i="16"/>
  <c r="W652" i="16" a="1"/>
  <c r="W652" i="16" s="1"/>
  <c r="X652" i="16" a="1"/>
  <c r="X652" i="16" s="1"/>
  <c r="V653" i="16" a="1"/>
  <c r="V653" i="16" s="1"/>
  <c r="W653" i="16" a="1"/>
  <c r="W653" i="16" s="1"/>
  <c r="X653" i="16" a="1"/>
  <c r="X653" i="16" s="1"/>
  <c r="V654" i="16" a="1"/>
  <c r="V654" i="16" s="1"/>
  <c r="W654" i="16" a="1"/>
  <c r="W654" i="16" s="1"/>
  <c r="X654" i="16" a="1"/>
  <c r="X654" i="16" s="1"/>
  <c r="V655" i="16" a="1"/>
  <c r="V655" i="16" s="1"/>
  <c r="W655" i="16" a="1"/>
  <c r="W655" i="16" s="1"/>
  <c r="X655" i="16" a="1"/>
  <c r="X655" i="16" s="1"/>
  <c r="V656" i="16" a="1"/>
  <c r="V656" i="16" s="1"/>
  <c r="W656" i="16" a="1"/>
  <c r="W656" i="16"/>
  <c r="X656" i="16" a="1"/>
  <c r="X656" i="16" s="1"/>
  <c r="V657" i="16" a="1"/>
  <c r="V657" i="16" s="1"/>
  <c r="W657" i="16" a="1"/>
  <c r="W657" i="16" s="1"/>
  <c r="X657" i="16" a="1"/>
  <c r="X657" i="16" s="1"/>
  <c r="V658" i="16" a="1"/>
  <c r="V658" i="16"/>
  <c r="W658" i="16" a="1"/>
  <c r="W658" i="16" s="1"/>
  <c r="X658" i="16" a="1"/>
  <c r="X658" i="16" s="1"/>
  <c r="V659" i="16" a="1"/>
  <c r="V659" i="16"/>
  <c r="W659" i="16" a="1"/>
  <c r="W659" i="16"/>
  <c r="X659" i="16" a="1"/>
  <c r="X659" i="16" s="1"/>
  <c r="V660" i="16" a="1"/>
  <c r="V660" i="16" s="1"/>
  <c r="W660" i="16" a="1"/>
  <c r="W660" i="16" s="1"/>
  <c r="X660" i="16" a="1"/>
  <c r="X660" i="16" s="1"/>
  <c r="V661" i="16" a="1"/>
  <c r="V661" i="16" s="1"/>
  <c r="W661" i="16" a="1"/>
  <c r="W661" i="16" s="1"/>
  <c r="X661" i="16" a="1"/>
  <c r="X661" i="16" s="1"/>
  <c r="V662" i="16" a="1"/>
  <c r="V662" i="16" s="1"/>
  <c r="W662" i="16" a="1"/>
  <c r="W662" i="16" s="1"/>
  <c r="X662" i="16" a="1"/>
  <c r="X662" i="16" s="1"/>
  <c r="V663" i="16" a="1"/>
  <c r="V663" i="16"/>
  <c r="W663" i="16" a="1"/>
  <c r="W663" i="16" s="1"/>
  <c r="X663" i="16" a="1"/>
  <c r="X663" i="16" s="1"/>
  <c r="V664" i="16" a="1"/>
  <c r="V664" i="16" s="1"/>
  <c r="W664" i="16" a="1"/>
  <c r="W664" i="16" s="1"/>
  <c r="X664" i="16" a="1"/>
  <c r="X664" i="16" s="1"/>
  <c r="V665" i="16" a="1"/>
  <c r="V665" i="16" s="1"/>
  <c r="W665" i="16" a="1"/>
  <c r="W665" i="16" s="1"/>
  <c r="X665" i="16" a="1"/>
  <c r="X665" i="16"/>
  <c r="V666" i="16" a="1"/>
  <c r="V666" i="16" s="1"/>
  <c r="W666" i="16" a="1"/>
  <c r="W666" i="16" s="1"/>
  <c r="X666" i="16" a="1"/>
  <c r="X666" i="16" s="1"/>
  <c r="V667" i="16" a="1"/>
  <c r="V667" i="16" s="1"/>
  <c r="W667" i="16" a="1"/>
  <c r="W667" i="16" s="1"/>
  <c r="X667" i="16" a="1"/>
  <c r="X667" i="16" s="1"/>
  <c r="V668" i="16" a="1"/>
  <c r="V668" i="16" s="1"/>
  <c r="W668" i="16" a="1"/>
  <c r="W668" i="16" s="1"/>
  <c r="X668" i="16" a="1"/>
  <c r="X668" i="16" s="1"/>
  <c r="V669" i="16" a="1"/>
  <c r="V669" i="16" s="1"/>
  <c r="W669" i="16" a="1"/>
  <c r="W669" i="16"/>
  <c r="X669" i="16" a="1"/>
  <c r="X669" i="16" s="1"/>
  <c r="V670" i="16" a="1"/>
  <c r="V670" i="16" s="1"/>
  <c r="W670" i="16" a="1"/>
  <c r="W670" i="16" s="1"/>
  <c r="X670" i="16" a="1"/>
  <c r="X670" i="16" s="1"/>
  <c r="V671" i="16" a="1"/>
  <c r="V671" i="16" s="1"/>
  <c r="W671" i="16" a="1"/>
  <c r="W671" i="16" s="1"/>
  <c r="X671" i="16" a="1"/>
  <c r="X671" i="16" s="1"/>
  <c r="V672" i="16" a="1"/>
  <c r="V672" i="16"/>
  <c r="W672" i="16" a="1"/>
  <c r="W672" i="16"/>
  <c r="X672" i="16" a="1"/>
  <c r="X672" i="16" s="1"/>
  <c r="V673" i="16" a="1"/>
  <c r="V673" i="16" s="1"/>
  <c r="W673" i="16" a="1"/>
  <c r="W673" i="16" s="1"/>
  <c r="X673" i="16" a="1"/>
  <c r="X673" i="16" s="1"/>
  <c r="V674" i="16" a="1"/>
  <c r="V674" i="16" s="1"/>
  <c r="W674" i="16" a="1"/>
  <c r="W674" i="16" s="1"/>
  <c r="X674" i="16" a="1"/>
  <c r="X674" i="16" s="1"/>
  <c r="V675" i="16" a="1"/>
  <c r="V675" i="16" s="1"/>
  <c r="W675" i="16" a="1"/>
  <c r="W675" i="16" s="1"/>
  <c r="X675" i="16" a="1"/>
  <c r="X675" i="16"/>
  <c r="V676" i="16" a="1"/>
  <c r="V676" i="16"/>
  <c r="W676" i="16" a="1"/>
  <c r="W676" i="16" s="1"/>
  <c r="X676" i="16" a="1"/>
  <c r="X676" i="16" s="1"/>
  <c r="V677" i="16" a="1"/>
  <c r="V677" i="16"/>
  <c r="W677" i="16" a="1"/>
  <c r="W677" i="16" s="1"/>
  <c r="X677" i="16" a="1"/>
  <c r="X677" i="16" s="1"/>
  <c r="V678" i="16" a="1"/>
  <c r="V678" i="16" s="1"/>
  <c r="W678" i="16" a="1"/>
  <c r="W678" i="16" s="1"/>
  <c r="X678" i="16" a="1"/>
  <c r="X678" i="16"/>
  <c r="V679" i="16" a="1"/>
  <c r="V679" i="16" s="1"/>
  <c r="W679" i="16" a="1"/>
  <c r="W679" i="16" s="1"/>
  <c r="X679" i="16" a="1"/>
  <c r="X679" i="16" s="1"/>
  <c r="V680" i="16" a="1"/>
  <c r="V680" i="16" s="1"/>
  <c r="W680" i="16" a="1"/>
  <c r="W680" i="16"/>
  <c r="X680" i="16" a="1"/>
  <c r="X680" i="16"/>
  <c r="V681" i="16" a="1"/>
  <c r="V681" i="16" s="1"/>
  <c r="W681" i="16" a="1"/>
  <c r="W681" i="16" s="1"/>
  <c r="X681" i="16" a="1"/>
  <c r="X681" i="16" s="1"/>
  <c r="V682" i="16" a="1"/>
  <c r="V682" i="16" s="1"/>
  <c r="W682" i="16" a="1"/>
  <c r="W682" i="16"/>
  <c r="X682" i="16" a="1"/>
  <c r="X682" i="16" s="1"/>
  <c r="V683" i="16" a="1"/>
  <c r="V683" i="16" s="1"/>
  <c r="W683" i="16" a="1"/>
  <c r="W683" i="16" s="1"/>
  <c r="X683" i="16" a="1"/>
  <c r="X683" i="16" s="1"/>
  <c r="V684" i="16" a="1"/>
  <c r="V684" i="16" s="1"/>
  <c r="W684" i="16" a="1"/>
  <c r="W684" i="16" s="1"/>
  <c r="X684" i="16" a="1"/>
  <c r="X684" i="16" s="1"/>
  <c r="V685" i="16" a="1"/>
  <c r="V685" i="16" s="1"/>
  <c r="W685" i="16" a="1"/>
  <c r="W685" i="16" s="1"/>
  <c r="X685" i="16" a="1"/>
  <c r="X685" i="16" s="1"/>
  <c r="V686" i="16" a="1"/>
  <c r="V686" i="16" s="1"/>
  <c r="W686" i="16" a="1"/>
  <c r="W686" i="16" s="1"/>
  <c r="X686" i="16" a="1"/>
  <c r="X686" i="16" s="1"/>
  <c r="V687" i="16" a="1"/>
  <c r="V687" i="16" s="1"/>
  <c r="W687" i="16" a="1"/>
  <c r="W687" i="16" s="1"/>
  <c r="X687" i="16" a="1"/>
  <c r="X687" i="16"/>
  <c r="V688" i="16" a="1"/>
  <c r="V688" i="16"/>
  <c r="W688" i="16" a="1"/>
  <c r="W688" i="16" s="1"/>
  <c r="X688" i="16" a="1"/>
  <c r="X688" i="16" s="1"/>
  <c r="V689" i="16" a="1"/>
  <c r="V689" i="16" s="1"/>
  <c r="W689" i="16" a="1"/>
  <c r="W689" i="16" s="1"/>
  <c r="X689" i="16" a="1"/>
  <c r="X689" i="16"/>
  <c r="V690" i="16" a="1"/>
  <c r="V690" i="16" s="1"/>
  <c r="W690" i="16" a="1"/>
  <c r="W690" i="16" s="1"/>
  <c r="X690" i="16" a="1"/>
  <c r="X690" i="16" s="1"/>
  <c r="V691" i="16" a="1"/>
  <c r="V691" i="16" s="1"/>
  <c r="W691" i="16" a="1"/>
  <c r="W691" i="16"/>
  <c r="X691" i="16" a="1"/>
  <c r="X691" i="16" s="1"/>
  <c r="V692" i="16" a="1"/>
  <c r="V692" i="16" s="1"/>
  <c r="W692" i="16" a="1"/>
  <c r="W692" i="16"/>
  <c r="X692" i="16" a="1"/>
  <c r="X692" i="16"/>
  <c r="V693" i="16" a="1"/>
  <c r="V693" i="16" s="1"/>
  <c r="W693" i="16" a="1"/>
  <c r="W693" i="16" s="1"/>
  <c r="X693" i="16" a="1"/>
  <c r="X693" i="16"/>
  <c r="V694" i="16" a="1"/>
  <c r="V694" i="16" s="1"/>
  <c r="W694" i="16" a="1"/>
  <c r="W694" i="16" s="1"/>
  <c r="X694" i="16" a="1"/>
  <c r="X694" i="16" s="1"/>
  <c r="V695" i="16" a="1"/>
  <c r="V695" i="16" s="1"/>
  <c r="W695" i="16" a="1"/>
  <c r="W695" i="16" s="1"/>
  <c r="X695" i="16" a="1"/>
  <c r="X695" i="16" s="1"/>
  <c r="V696" i="16" a="1"/>
  <c r="V696" i="16" s="1"/>
  <c r="W696" i="16" a="1"/>
  <c r="W696" i="16"/>
  <c r="X696" i="16" a="1"/>
  <c r="X696" i="16" s="1"/>
  <c r="V697" i="16" a="1"/>
  <c r="V697" i="16" s="1"/>
  <c r="W697" i="16" a="1"/>
  <c r="W697" i="16" s="1"/>
  <c r="X697" i="16" a="1"/>
  <c r="X697" i="16" s="1"/>
  <c r="V698" i="16" a="1"/>
  <c r="V698" i="16" s="1"/>
  <c r="W698" i="16" a="1"/>
  <c r="W698" i="16" s="1"/>
  <c r="X698" i="16" a="1"/>
  <c r="X698" i="16" s="1"/>
  <c r="V699" i="16" a="1"/>
  <c r="V699" i="16"/>
  <c r="W699" i="16" a="1"/>
  <c r="W699" i="16" s="1"/>
  <c r="X699" i="16" a="1"/>
  <c r="X699" i="16" s="1"/>
  <c r="V700" i="16" a="1"/>
  <c r="V700" i="16" s="1"/>
  <c r="W700" i="16" a="1"/>
  <c r="W700" i="16" s="1"/>
  <c r="X700" i="16" a="1"/>
  <c r="X700" i="16" s="1"/>
  <c r="V701" i="16" a="1"/>
  <c r="V701" i="16" s="1"/>
  <c r="W701" i="16" a="1"/>
  <c r="W701" i="16" s="1"/>
  <c r="X701" i="16" a="1"/>
  <c r="X701" i="16" s="1"/>
  <c r="V702" i="16" a="1"/>
  <c r="V702" i="16" s="1"/>
  <c r="W702" i="16" a="1"/>
  <c r="W702" i="16" s="1"/>
  <c r="X702" i="16" a="1"/>
  <c r="X702" i="16" s="1"/>
  <c r="V703" i="16" a="1"/>
  <c r="V703" i="16" s="1"/>
  <c r="W703" i="16" a="1"/>
  <c r="W703" i="16" s="1"/>
  <c r="X703" i="16" a="1"/>
  <c r="X703" i="16" s="1"/>
  <c r="V704" i="16" a="1"/>
  <c r="V704" i="16" s="1"/>
  <c r="W704" i="16" a="1"/>
  <c r="W704" i="16" s="1"/>
  <c r="X704" i="16" a="1"/>
  <c r="X704" i="16" s="1"/>
  <c r="V705" i="16" a="1"/>
  <c r="V705" i="16" s="1"/>
  <c r="W705" i="16" a="1"/>
  <c r="W705" i="16" s="1"/>
  <c r="X705" i="16" a="1"/>
  <c r="X705" i="16"/>
  <c r="V706" i="16" a="1"/>
  <c r="V706" i="16" s="1"/>
  <c r="W706" i="16" a="1"/>
  <c r="W706" i="16" s="1"/>
  <c r="X706" i="16" a="1"/>
  <c r="X706" i="16" s="1"/>
  <c r="V707" i="16" a="1"/>
  <c r="V707" i="16"/>
  <c r="W707" i="16" a="1"/>
  <c r="W707" i="16" s="1"/>
  <c r="X707" i="16" a="1"/>
  <c r="X707" i="16" s="1"/>
  <c r="V708" i="16" a="1"/>
  <c r="V708" i="16"/>
  <c r="W708" i="16" a="1"/>
  <c r="W708" i="16" s="1"/>
  <c r="X708" i="16" a="1"/>
  <c r="X708" i="16" s="1"/>
  <c r="V709" i="16" a="1"/>
  <c r="V709" i="16" s="1"/>
  <c r="W709" i="16" a="1"/>
  <c r="W709" i="16"/>
  <c r="X709" i="16" a="1"/>
  <c r="X709" i="16" s="1"/>
  <c r="V710" i="16" a="1"/>
  <c r="V710" i="16" s="1"/>
  <c r="W710" i="16" a="1"/>
  <c r="W710" i="16" s="1"/>
  <c r="X710" i="16" a="1"/>
  <c r="X710" i="16" s="1"/>
  <c r="V711" i="16" a="1"/>
  <c r="V711" i="16" s="1"/>
  <c r="W711" i="16" a="1"/>
  <c r="W711" i="16" s="1"/>
  <c r="X711" i="16" a="1"/>
  <c r="X711" i="16" s="1"/>
  <c r="V712" i="16" a="1"/>
  <c r="V712" i="16"/>
  <c r="W712" i="16" a="1"/>
  <c r="W712" i="16" s="1"/>
  <c r="X712" i="16" a="1"/>
  <c r="X712" i="16" s="1"/>
  <c r="V713" i="16" a="1"/>
  <c r="V713" i="16" s="1"/>
  <c r="W713" i="16" a="1"/>
  <c r="W713" i="16" s="1"/>
  <c r="X713" i="16" a="1"/>
  <c r="X713" i="16" s="1"/>
  <c r="V714" i="16" a="1"/>
  <c r="V714" i="16" s="1"/>
  <c r="W714" i="16" a="1"/>
  <c r="W714" i="16" s="1"/>
  <c r="X714" i="16" a="1"/>
  <c r="X714" i="16" s="1"/>
  <c r="V715" i="16" a="1"/>
  <c r="V715" i="16" s="1"/>
  <c r="W715" i="16" a="1"/>
  <c r="W715" i="16" s="1"/>
  <c r="X715" i="16" a="1"/>
  <c r="X715" i="16" s="1"/>
  <c r="V716" i="16" a="1"/>
  <c r="V716" i="16" s="1"/>
  <c r="W716" i="16" a="1"/>
  <c r="W716" i="16" s="1"/>
  <c r="X716" i="16" a="1"/>
  <c r="X716" i="16" s="1"/>
  <c r="V717" i="16" a="1"/>
  <c r="V717" i="16" s="1"/>
  <c r="W717" i="16" a="1"/>
  <c r="W717" i="16" s="1"/>
  <c r="X717" i="16" a="1"/>
  <c r="X717" i="16" s="1"/>
  <c r="V718" i="16" a="1"/>
  <c r="V718" i="16" s="1"/>
  <c r="W718" i="16" a="1"/>
  <c r="W718" i="16" s="1"/>
  <c r="X718" i="16" a="1"/>
  <c r="X718" i="16" s="1"/>
  <c r="V719" i="16" a="1"/>
  <c r="V719" i="16" s="1"/>
  <c r="W719" i="16" a="1"/>
  <c r="W719" i="16"/>
  <c r="X719" i="16" a="1"/>
  <c r="X719" i="16" s="1"/>
  <c r="V720" i="16" a="1"/>
  <c r="V720" i="16" s="1"/>
  <c r="W720" i="16" a="1"/>
  <c r="W720" i="16" s="1"/>
  <c r="X720" i="16" a="1"/>
  <c r="X720" i="16" s="1"/>
  <c r="V721" i="16" a="1"/>
  <c r="V721" i="16" s="1"/>
  <c r="W721" i="16" a="1"/>
  <c r="W721" i="16" s="1"/>
  <c r="X721" i="16" a="1"/>
  <c r="X721" i="16" s="1"/>
  <c r="V722" i="16" a="1"/>
  <c r="V722" i="16" s="1"/>
  <c r="W722" i="16" a="1"/>
  <c r="W722" i="16" s="1"/>
  <c r="X722" i="16" a="1"/>
  <c r="X722" i="16" s="1"/>
  <c r="V723" i="16" a="1"/>
  <c r="V723" i="16" s="1"/>
  <c r="W723" i="16" a="1"/>
  <c r="W723" i="16" s="1"/>
  <c r="X723" i="16" a="1"/>
  <c r="X723" i="16" s="1"/>
  <c r="V724" i="16" a="1"/>
  <c r="V724" i="16" s="1"/>
  <c r="W724" i="16" a="1"/>
  <c r="W724" i="16"/>
  <c r="X724" i="16" a="1"/>
  <c r="X724" i="16" s="1"/>
  <c r="V725" i="16" a="1"/>
  <c r="V725" i="16" s="1"/>
  <c r="W725" i="16" a="1"/>
  <c r="W725" i="16" s="1"/>
  <c r="X725" i="16" a="1"/>
  <c r="X725" i="16" s="1"/>
  <c r="V726" i="16" a="1"/>
  <c r="V726" i="16" s="1"/>
  <c r="W726" i="16" a="1"/>
  <c r="W726" i="16" s="1"/>
  <c r="X726" i="16" a="1"/>
  <c r="X726" i="16" s="1"/>
  <c r="V727" i="16" a="1"/>
  <c r="V727" i="16" s="1"/>
  <c r="W727" i="16" a="1"/>
  <c r="W727" i="16"/>
  <c r="X727" i="16" a="1"/>
  <c r="X727" i="16"/>
  <c r="V728" i="16" a="1"/>
  <c r="V728" i="16" s="1"/>
  <c r="W728" i="16" a="1"/>
  <c r="W728" i="16" s="1"/>
  <c r="X728" i="16" a="1"/>
  <c r="X728" i="16" s="1"/>
  <c r="V729" i="16" a="1"/>
  <c r="V729" i="16" s="1"/>
  <c r="W729" i="16" a="1"/>
  <c r="W729" i="16" s="1"/>
  <c r="X729" i="16" a="1"/>
  <c r="X729" i="16" s="1"/>
  <c r="V730" i="16" a="1"/>
  <c r="V730" i="16" s="1"/>
  <c r="W730" i="16" a="1"/>
  <c r="W730" i="16" s="1"/>
  <c r="X730" i="16" a="1"/>
  <c r="X730" i="16" s="1"/>
  <c r="V731" i="16" a="1"/>
  <c r="V731" i="16" s="1"/>
  <c r="W731" i="16" a="1"/>
  <c r="W731" i="16"/>
  <c r="X731" i="16" a="1"/>
  <c r="X731" i="16" s="1"/>
  <c r="V732" i="16" a="1"/>
  <c r="V732" i="16" s="1"/>
  <c r="W732" i="16" a="1"/>
  <c r="W732" i="16"/>
  <c r="X732" i="16" a="1"/>
  <c r="X732" i="16" s="1"/>
  <c r="V733" i="16" a="1"/>
  <c r="V733" i="16" s="1"/>
  <c r="W733" i="16" a="1"/>
  <c r="W733" i="16" s="1"/>
  <c r="X733" i="16" a="1"/>
  <c r="X733" i="16" s="1"/>
  <c r="V734" i="16" a="1"/>
  <c r="V734" i="16"/>
  <c r="W734" i="16" a="1"/>
  <c r="W734" i="16" s="1"/>
  <c r="X734" i="16" a="1"/>
  <c r="X734" i="16" s="1"/>
  <c r="V735" i="16" a="1"/>
  <c r="V735" i="16" s="1"/>
  <c r="W735" i="16" a="1"/>
  <c r="W735" i="16"/>
  <c r="X735" i="16" a="1"/>
  <c r="X735" i="16" s="1"/>
  <c r="V736" i="16" a="1"/>
  <c r="V736" i="16" s="1"/>
  <c r="W736" i="16" a="1"/>
  <c r="W736" i="16" s="1"/>
  <c r="X736" i="16" a="1"/>
  <c r="X736" i="16" s="1"/>
  <c r="V737" i="16" a="1"/>
  <c r="V737" i="16" s="1"/>
  <c r="W737" i="16" a="1"/>
  <c r="W737" i="16"/>
  <c r="X737" i="16" a="1"/>
  <c r="X737" i="16"/>
  <c r="V738" i="16" a="1"/>
  <c r="V738" i="16" s="1"/>
  <c r="W738" i="16" a="1"/>
  <c r="W738" i="16" s="1"/>
  <c r="X738" i="16" a="1"/>
  <c r="X738" i="16" s="1"/>
  <c r="V739" i="16" a="1"/>
  <c r="V739" i="16" s="1"/>
  <c r="W739" i="16" a="1"/>
  <c r="W739" i="16" s="1"/>
  <c r="X739" i="16" a="1"/>
  <c r="X739" i="16" s="1"/>
  <c r="V740" i="16" a="1"/>
  <c r="V740" i="16" s="1"/>
  <c r="W740" i="16" a="1"/>
  <c r="W740" i="16" s="1"/>
  <c r="X740" i="16" a="1"/>
  <c r="X740" i="16" s="1"/>
  <c r="V741" i="16" a="1"/>
  <c r="V741" i="16" s="1"/>
  <c r="W741" i="16" a="1"/>
  <c r="W741" i="16"/>
  <c r="X741" i="16" a="1"/>
  <c r="X741" i="16" s="1"/>
  <c r="V742" i="16" a="1"/>
  <c r="V742" i="16" s="1"/>
  <c r="W742" i="16" a="1"/>
  <c r="W742" i="16" s="1"/>
  <c r="X742" i="16" a="1"/>
  <c r="X742" i="16" s="1"/>
  <c r="V743" i="16" a="1"/>
  <c r="V743" i="16" s="1"/>
  <c r="W743" i="16" a="1"/>
  <c r="W743" i="16" s="1"/>
  <c r="X743" i="16" a="1"/>
  <c r="X743" i="16"/>
  <c r="V744" i="16" a="1"/>
  <c r="V744" i="16" s="1"/>
  <c r="W744" i="16" a="1"/>
  <c r="W744" i="16" s="1"/>
  <c r="X744" i="16" a="1"/>
  <c r="X744" i="16" s="1"/>
  <c r="V745" i="16" a="1"/>
  <c r="V745" i="16"/>
  <c r="W745" i="16" a="1"/>
  <c r="W745" i="16" s="1"/>
  <c r="X745" i="16" a="1"/>
  <c r="X745" i="16" s="1"/>
  <c r="V746" i="16" a="1"/>
  <c r="V746" i="16" s="1"/>
  <c r="W746" i="16" a="1"/>
  <c r="W746" i="16" s="1"/>
  <c r="X746" i="16" a="1"/>
  <c r="X746" i="16" s="1"/>
  <c r="V747" i="16" a="1"/>
  <c r="V747" i="16" s="1"/>
  <c r="W747" i="16" a="1"/>
  <c r="W747" i="16" s="1"/>
  <c r="X747" i="16" a="1"/>
  <c r="X747" i="16" s="1"/>
  <c r="V748" i="16" a="1"/>
  <c r="V748" i="16" s="1"/>
  <c r="W748" i="16" a="1"/>
  <c r="W748" i="16" s="1"/>
  <c r="X748" i="16" a="1"/>
  <c r="X748" i="16" s="1"/>
  <c r="V749" i="16" a="1"/>
  <c r="V749" i="16" s="1"/>
  <c r="W749" i="16" a="1"/>
  <c r="W749" i="16"/>
  <c r="X749" i="16" a="1"/>
  <c r="X749" i="16" s="1"/>
  <c r="V750" i="16" a="1"/>
  <c r="V750" i="16" s="1"/>
  <c r="W750" i="16" a="1"/>
  <c r="W750" i="16" s="1"/>
  <c r="X750" i="16" a="1"/>
  <c r="X750" i="16" s="1"/>
  <c r="V751" i="16" a="1"/>
  <c r="V751" i="16" s="1"/>
  <c r="W751" i="16" a="1"/>
  <c r="W751" i="16" s="1"/>
  <c r="X751" i="16" a="1"/>
  <c r="X751" i="16" s="1"/>
  <c r="V752" i="16" a="1"/>
  <c r="V752" i="16" s="1"/>
  <c r="W752" i="16" a="1"/>
  <c r="W752" i="16" s="1"/>
  <c r="X752" i="16" a="1"/>
  <c r="X752" i="16" s="1"/>
  <c r="V753" i="16" a="1"/>
  <c r="V753" i="16" s="1"/>
  <c r="W753" i="16" a="1"/>
  <c r="W753" i="16" s="1"/>
  <c r="X753" i="16" a="1"/>
  <c r="X753" i="16" s="1"/>
  <c r="V754" i="16" a="1"/>
  <c r="V754" i="16" s="1"/>
  <c r="W754" i="16" a="1"/>
  <c r="W754" i="16" s="1"/>
  <c r="X754" i="16" a="1"/>
  <c r="X754" i="16" s="1"/>
  <c r="V755" i="16" a="1"/>
  <c r="V755" i="16" s="1"/>
  <c r="W755" i="16" a="1"/>
  <c r="W755" i="16" s="1"/>
  <c r="X755" i="16" a="1"/>
  <c r="X755" i="16" s="1"/>
  <c r="V756" i="16" a="1"/>
  <c r="V756" i="16" s="1"/>
  <c r="W756" i="16" a="1"/>
  <c r="W756" i="16" s="1"/>
  <c r="X756" i="16" a="1"/>
  <c r="X756" i="16" s="1"/>
  <c r="V757" i="16" a="1"/>
  <c r="V757" i="16" s="1"/>
  <c r="W757" i="16" a="1"/>
  <c r="W757" i="16" s="1"/>
  <c r="X757" i="16" a="1"/>
  <c r="X757" i="16" s="1"/>
  <c r="V758" i="16" a="1"/>
  <c r="V758" i="16" s="1"/>
  <c r="W758" i="16" a="1"/>
  <c r="W758" i="16" s="1"/>
  <c r="X758" i="16" a="1"/>
  <c r="X758" i="16" s="1"/>
  <c r="V759" i="16" a="1"/>
  <c r="V759" i="16" s="1"/>
  <c r="W759" i="16" a="1"/>
  <c r="W759" i="16" s="1"/>
  <c r="X759" i="16" a="1"/>
  <c r="X759" i="16" s="1"/>
  <c r="V760" i="16" a="1"/>
  <c r="V760" i="16" s="1"/>
  <c r="W760" i="16" a="1"/>
  <c r="W760" i="16" s="1"/>
  <c r="X760" i="16" a="1"/>
  <c r="X760" i="16" s="1"/>
  <c r="V761" i="16" a="1"/>
  <c r="V761" i="16" s="1"/>
  <c r="W761" i="16" a="1"/>
  <c r="W761" i="16" s="1"/>
  <c r="X761" i="16" a="1"/>
  <c r="X761" i="16" s="1"/>
  <c r="V762" i="16" a="1"/>
  <c r="V762" i="16" s="1"/>
  <c r="W762" i="16" a="1"/>
  <c r="W762" i="16" s="1"/>
  <c r="X762" i="16" a="1"/>
  <c r="X762" i="16" s="1"/>
  <c r="V763" i="16" a="1"/>
  <c r="V763" i="16" s="1"/>
  <c r="W763" i="16" a="1"/>
  <c r="W763" i="16" s="1"/>
  <c r="X763" i="16" a="1"/>
  <c r="X763" i="16"/>
  <c r="V764" i="16" a="1"/>
  <c r="V764" i="16" s="1"/>
  <c r="W764" i="16" a="1"/>
  <c r="W764" i="16" s="1"/>
  <c r="X764" i="16" a="1"/>
  <c r="X764" i="16" s="1"/>
  <c r="V765" i="16" a="1"/>
  <c r="V765" i="16" s="1"/>
  <c r="W765" i="16" a="1"/>
  <c r="W765" i="16" s="1"/>
  <c r="X765" i="16" a="1"/>
  <c r="X765" i="16" s="1"/>
  <c r="V766" i="16" a="1"/>
  <c r="V766" i="16" s="1"/>
  <c r="W766" i="16" a="1"/>
  <c r="W766" i="16" s="1"/>
  <c r="X766" i="16" a="1"/>
  <c r="X766" i="16" s="1"/>
  <c r="V767" i="16" a="1"/>
  <c r="V767" i="16" s="1"/>
  <c r="W767" i="16" a="1"/>
  <c r="W767" i="16"/>
  <c r="X767" i="16" a="1"/>
  <c r="X767" i="16" s="1"/>
  <c r="V768" i="16" a="1"/>
  <c r="V768" i="16" s="1"/>
  <c r="W768" i="16" a="1"/>
  <c r="W768" i="16" s="1"/>
  <c r="X768" i="16" a="1"/>
  <c r="X768" i="16" s="1"/>
  <c r="V769" i="16" a="1"/>
  <c r="V769" i="16" s="1"/>
  <c r="W769" i="16" a="1"/>
  <c r="W769" i="16" s="1"/>
  <c r="X769" i="16" a="1"/>
  <c r="X769" i="16" s="1"/>
  <c r="V770" i="16" a="1"/>
  <c r="V770" i="16" s="1"/>
  <c r="W770" i="16" a="1"/>
  <c r="W770" i="16" s="1"/>
  <c r="X770" i="16" a="1"/>
  <c r="X770" i="16" s="1"/>
  <c r="V771" i="16" a="1"/>
  <c r="V771" i="16"/>
  <c r="W771" i="16" a="1"/>
  <c r="W771" i="16" s="1"/>
  <c r="X771" i="16" a="1"/>
  <c r="X771" i="16" s="1"/>
  <c r="V772" i="16" a="1"/>
  <c r="V772" i="16"/>
  <c r="W772" i="16" a="1"/>
  <c r="W772" i="16" s="1"/>
  <c r="X772" i="16" a="1"/>
  <c r="X772" i="16" s="1"/>
  <c r="V773" i="16" a="1"/>
  <c r="V773" i="16" s="1"/>
  <c r="W773" i="16" a="1"/>
  <c r="W773" i="16"/>
  <c r="X773" i="16" a="1"/>
  <c r="X773" i="16" s="1"/>
  <c r="V774" i="16" a="1"/>
  <c r="V774" i="16" s="1"/>
  <c r="W774" i="16" a="1"/>
  <c r="W774" i="16" s="1"/>
  <c r="X774" i="16" a="1"/>
  <c r="X774" i="16" s="1"/>
  <c r="V775" i="16" a="1"/>
  <c r="V775" i="16" s="1"/>
  <c r="W775" i="16" a="1"/>
  <c r="W775" i="16" s="1"/>
  <c r="X775" i="16" a="1"/>
  <c r="X775" i="16"/>
  <c r="V776" i="16" a="1"/>
  <c r="V776" i="16"/>
  <c r="W776" i="16" a="1"/>
  <c r="W776" i="16" s="1"/>
  <c r="X776" i="16" a="1"/>
  <c r="X776" i="16"/>
  <c r="V777" i="16" a="1"/>
  <c r="V777" i="16"/>
  <c r="W777" i="16" a="1"/>
  <c r="W777" i="16" s="1"/>
  <c r="X777" i="16" a="1"/>
  <c r="X777" i="16" s="1"/>
  <c r="V778" i="16" a="1"/>
  <c r="V778" i="16" s="1"/>
  <c r="W778" i="16" a="1"/>
  <c r="W778" i="16" s="1"/>
  <c r="X778" i="16" a="1"/>
  <c r="X778" i="16" s="1"/>
  <c r="V779" i="16" a="1"/>
  <c r="V779" i="16"/>
  <c r="W779" i="16" a="1"/>
  <c r="W779" i="16" s="1"/>
  <c r="X779" i="16" a="1"/>
  <c r="X779" i="16" s="1"/>
  <c r="V780" i="16" a="1"/>
  <c r="V780" i="16" s="1"/>
  <c r="W780" i="16" a="1"/>
  <c r="W780" i="16" s="1"/>
  <c r="X780" i="16" a="1"/>
  <c r="X780" i="16" s="1"/>
  <c r="V781" i="16" a="1"/>
  <c r="V781" i="16" s="1"/>
  <c r="W781" i="16" a="1"/>
  <c r="W781" i="16" s="1"/>
  <c r="X781" i="16" a="1"/>
  <c r="X781" i="16" s="1"/>
  <c r="V782" i="16" a="1"/>
  <c r="V782" i="16" s="1"/>
  <c r="W782" i="16" a="1"/>
  <c r="W782" i="16"/>
  <c r="X782" i="16" a="1"/>
  <c r="X782" i="16" s="1"/>
  <c r="V783" i="16" a="1"/>
  <c r="V783" i="16" s="1"/>
  <c r="W783" i="16" a="1"/>
  <c r="W783" i="16" s="1"/>
  <c r="X783" i="16" a="1"/>
  <c r="X783" i="16" s="1"/>
  <c r="V784" i="16" a="1"/>
  <c r="V784" i="16" s="1"/>
  <c r="W784" i="16" a="1"/>
  <c r="W784" i="16" s="1"/>
  <c r="X784" i="16" a="1"/>
  <c r="X784" i="16" s="1"/>
  <c r="V785" i="16" a="1"/>
  <c r="V785" i="16" s="1"/>
  <c r="W785" i="16" a="1"/>
  <c r="W785" i="16" s="1"/>
  <c r="X785" i="16" a="1"/>
  <c r="X785" i="16" s="1"/>
  <c r="V786" i="16" a="1"/>
  <c r="V786" i="16"/>
  <c r="W786" i="16" a="1"/>
  <c r="W786" i="16" s="1"/>
  <c r="X786" i="16" a="1"/>
  <c r="X786" i="16" s="1"/>
  <c r="V787" i="16" a="1"/>
  <c r="V787" i="16" s="1"/>
  <c r="W787" i="16" a="1"/>
  <c r="W787" i="16" s="1"/>
  <c r="X787" i="16" a="1"/>
  <c r="X787" i="16" s="1"/>
  <c r="V788" i="16" a="1"/>
  <c r="V788" i="16" s="1"/>
  <c r="W788" i="16" a="1"/>
  <c r="W788" i="16" s="1"/>
  <c r="X788" i="16" a="1"/>
  <c r="X788" i="16" s="1"/>
  <c r="V789" i="16" a="1"/>
  <c r="V789" i="16" s="1"/>
  <c r="W789" i="16" a="1"/>
  <c r="W789" i="16" s="1"/>
  <c r="X789" i="16" a="1"/>
  <c r="X789" i="16" s="1"/>
  <c r="V790" i="16" a="1"/>
  <c r="V790" i="16"/>
  <c r="W790" i="16" a="1"/>
  <c r="W790" i="16" s="1"/>
  <c r="X790" i="16" a="1"/>
  <c r="X790" i="16" s="1"/>
  <c r="V791" i="16" a="1"/>
  <c r="V791" i="16" s="1"/>
  <c r="W791" i="16" a="1"/>
  <c r="W791" i="16" s="1"/>
  <c r="X791" i="16" a="1"/>
  <c r="X791" i="16" s="1"/>
  <c r="V792" i="16" a="1"/>
  <c r="V792" i="16"/>
  <c r="W792" i="16" a="1"/>
  <c r="W792" i="16"/>
  <c r="X792" i="16" a="1"/>
  <c r="X792" i="16" s="1"/>
  <c r="V793" i="16" a="1"/>
  <c r="V793" i="16" s="1"/>
  <c r="W793" i="16" a="1"/>
  <c r="W793" i="16" s="1"/>
  <c r="X793" i="16" a="1"/>
  <c r="X793" i="16" s="1"/>
  <c r="V794" i="16" a="1"/>
  <c r="V794" i="16" s="1"/>
  <c r="W794" i="16" a="1"/>
  <c r="W794" i="16" s="1"/>
  <c r="X794" i="16" a="1"/>
  <c r="X794" i="16" s="1"/>
  <c r="V795" i="16" a="1"/>
  <c r="V795" i="16"/>
  <c r="W795" i="16" a="1"/>
  <c r="W795" i="16" s="1"/>
  <c r="X795" i="16" a="1"/>
  <c r="X795" i="16" s="1"/>
  <c r="V796" i="16" a="1"/>
  <c r="V796" i="16" s="1"/>
  <c r="W796" i="16" a="1"/>
  <c r="W796" i="16" s="1"/>
  <c r="X796" i="16" a="1"/>
  <c r="X796" i="16" s="1"/>
  <c r="V797" i="16" a="1"/>
  <c r="V797" i="16" s="1"/>
  <c r="W797" i="16" a="1"/>
  <c r="W797" i="16" s="1"/>
  <c r="X797" i="16" a="1"/>
  <c r="X797" i="16" s="1"/>
  <c r="V798" i="16" a="1"/>
  <c r="V798" i="16" s="1"/>
  <c r="W798" i="16" a="1"/>
  <c r="W798" i="16" s="1"/>
  <c r="X798" i="16" a="1"/>
  <c r="X798" i="16"/>
  <c r="V799" i="16" a="1"/>
  <c r="V799" i="16" s="1"/>
  <c r="W799" i="16" a="1"/>
  <c r="W799" i="16"/>
  <c r="X799" i="16" a="1"/>
  <c r="X799" i="16" s="1"/>
  <c r="V800" i="16" a="1"/>
  <c r="V800" i="16" s="1"/>
  <c r="W800" i="16" a="1"/>
  <c r="W800" i="16" s="1"/>
  <c r="X800" i="16" a="1"/>
  <c r="X800" i="16" s="1"/>
  <c r="V801" i="16" a="1"/>
  <c r="V801" i="16" s="1"/>
  <c r="W801" i="16" a="1"/>
  <c r="W801" i="16" s="1"/>
  <c r="X801" i="16" a="1"/>
  <c r="X801" i="16" s="1"/>
  <c r="V802" i="16" a="1"/>
  <c r="V802" i="16" s="1"/>
  <c r="W802" i="16" a="1"/>
  <c r="W802" i="16" s="1"/>
  <c r="X802" i="16" a="1"/>
  <c r="X802" i="16" s="1"/>
  <c r="V803" i="16" a="1"/>
  <c r="V803" i="16" s="1"/>
  <c r="W803" i="16" a="1"/>
  <c r="W803" i="16" s="1"/>
  <c r="X803" i="16" a="1"/>
  <c r="X803" i="16" s="1"/>
  <c r="V804" i="16" a="1"/>
  <c r="V804" i="16" s="1"/>
  <c r="W804" i="16" a="1"/>
  <c r="W804" i="16" s="1"/>
  <c r="X804" i="16" a="1"/>
  <c r="X804" i="16" s="1"/>
  <c r="V805" i="16" a="1"/>
  <c r="V805" i="16" s="1"/>
  <c r="W805" i="16" a="1"/>
  <c r="W805" i="16" s="1"/>
  <c r="X805" i="16" a="1"/>
  <c r="X805" i="16" s="1"/>
  <c r="V806" i="16" a="1"/>
  <c r="V806" i="16"/>
  <c r="W806" i="16" a="1"/>
  <c r="W806" i="16" s="1"/>
  <c r="X806" i="16" a="1"/>
  <c r="X806" i="16"/>
  <c r="V807" i="16" a="1"/>
  <c r="V807" i="16" s="1"/>
  <c r="W807" i="16" a="1"/>
  <c r="W807" i="16" s="1"/>
  <c r="X807" i="16" a="1"/>
  <c r="X807" i="16" s="1"/>
  <c r="V808" i="16" a="1"/>
  <c r="V808" i="16" s="1"/>
  <c r="W808" i="16" a="1"/>
  <c r="W808" i="16" s="1"/>
  <c r="X808" i="16" a="1"/>
  <c r="X808" i="16"/>
  <c r="V809" i="16" a="1"/>
  <c r="V809" i="16" s="1"/>
  <c r="W809" i="16" a="1"/>
  <c r="W809" i="16" s="1"/>
  <c r="X809" i="16" a="1"/>
  <c r="X809" i="16" s="1"/>
  <c r="V810" i="16" a="1"/>
  <c r="V810" i="16" s="1"/>
  <c r="W810" i="16" a="1"/>
  <c r="W810" i="16" s="1"/>
  <c r="X810" i="16" a="1"/>
  <c r="X810" i="16" s="1"/>
  <c r="V811" i="16" a="1"/>
  <c r="V811" i="16" s="1"/>
  <c r="W811" i="16" a="1"/>
  <c r="W811" i="16" s="1"/>
  <c r="X811" i="16" a="1"/>
  <c r="X811" i="16" s="1"/>
  <c r="V812" i="16" a="1"/>
  <c r="V812" i="16" s="1"/>
  <c r="W812" i="16" a="1"/>
  <c r="W812" i="16"/>
  <c r="X812" i="16" a="1"/>
  <c r="X812" i="16" s="1"/>
  <c r="V813" i="16" a="1"/>
  <c r="V813" i="16" s="1"/>
  <c r="W813" i="16" a="1"/>
  <c r="W813" i="16" s="1"/>
  <c r="X813" i="16" a="1"/>
  <c r="X813" i="16" s="1"/>
  <c r="V814" i="16" a="1"/>
  <c r="V814" i="16" s="1"/>
  <c r="W814" i="16" a="1"/>
  <c r="W814" i="16" s="1"/>
  <c r="X814" i="16" a="1"/>
  <c r="X814" i="16" s="1"/>
  <c r="V815" i="16" a="1"/>
  <c r="V815" i="16"/>
  <c r="W815" i="16" a="1"/>
  <c r="W815" i="16"/>
  <c r="X815" i="16" a="1"/>
  <c r="X815" i="16" s="1"/>
  <c r="V816" i="16" a="1"/>
  <c r="V816" i="16"/>
  <c r="W816" i="16" a="1"/>
  <c r="W816" i="16" s="1"/>
  <c r="X816" i="16" a="1"/>
  <c r="X816" i="16" s="1"/>
  <c r="V817" i="16" a="1"/>
  <c r="V817" i="16" s="1"/>
  <c r="W817" i="16" a="1"/>
  <c r="W817" i="16" s="1"/>
  <c r="X817" i="16" a="1"/>
  <c r="X817" i="16" s="1"/>
  <c r="V818" i="16" a="1"/>
  <c r="V818" i="16" s="1"/>
  <c r="W818" i="16" a="1"/>
  <c r="W818" i="16"/>
  <c r="X818" i="16" a="1"/>
  <c r="X818" i="16" s="1"/>
  <c r="V819" i="16" a="1"/>
  <c r="V819" i="16" s="1"/>
  <c r="W819" i="16" a="1"/>
  <c r="W819" i="16" s="1"/>
  <c r="X819" i="16" a="1"/>
  <c r="X819" i="16" s="1"/>
  <c r="V820" i="16" a="1"/>
  <c r="V820" i="16" s="1"/>
  <c r="W820" i="16" a="1"/>
  <c r="W820" i="16" s="1"/>
  <c r="X820" i="16" a="1"/>
  <c r="X820" i="16" s="1"/>
  <c r="V821" i="16" a="1"/>
  <c r="V821" i="16" s="1"/>
  <c r="W821" i="16" a="1"/>
  <c r="W821" i="16" s="1"/>
  <c r="X821" i="16" a="1"/>
  <c r="X821" i="16"/>
  <c r="V822" i="16" a="1"/>
  <c r="V822" i="16"/>
  <c r="W822" i="16" a="1"/>
  <c r="W822" i="16" s="1"/>
  <c r="X822" i="16" a="1"/>
  <c r="X822" i="16" s="1"/>
  <c r="V823" i="16" a="1"/>
  <c r="V823" i="16" s="1"/>
  <c r="W823" i="16" a="1"/>
  <c r="W823" i="16" s="1"/>
  <c r="X823" i="16" a="1"/>
  <c r="X823" i="16" s="1"/>
  <c r="V824" i="16" a="1"/>
  <c r="V824" i="16" s="1"/>
  <c r="W824" i="16" a="1"/>
  <c r="W824" i="16" s="1"/>
  <c r="X824" i="16" a="1"/>
  <c r="X824" i="16" s="1"/>
  <c r="V825" i="16" a="1"/>
  <c r="V825" i="16"/>
  <c r="W825" i="16" a="1"/>
  <c r="W825" i="16"/>
  <c r="X825" i="16" a="1"/>
  <c r="X825" i="16" s="1"/>
  <c r="V826" i="16" a="1"/>
  <c r="V826" i="16"/>
  <c r="W826" i="16" a="1"/>
  <c r="W826" i="16" s="1"/>
  <c r="X826" i="16" a="1"/>
  <c r="X826" i="16" s="1"/>
  <c r="V827" i="16" a="1"/>
  <c r="V827" i="16"/>
  <c r="W827" i="16" a="1"/>
  <c r="W827" i="16" s="1"/>
  <c r="X827" i="16" a="1"/>
  <c r="X827" i="16" s="1"/>
  <c r="V828" i="16" a="1"/>
  <c r="V828" i="16" s="1"/>
  <c r="W828" i="16" a="1"/>
  <c r="W828" i="16"/>
  <c r="X828" i="16" a="1"/>
  <c r="X828" i="16" s="1"/>
  <c r="V829" i="16" a="1"/>
  <c r="V829" i="16" s="1"/>
  <c r="W829" i="16" a="1"/>
  <c r="W829" i="16" s="1"/>
  <c r="X829" i="16" a="1"/>
  <c r="X829" i="16" s="1"/>
  <c r="V830" i="16" a="1"/>
  <c r="V830" i="16" s="1"/>
  <c r="W830" i="16" a="1"/>
  <c r="W830" i="16" s="1"/>
  <c r="X830" i="16" a="1"/>
  <c r="X830" i="16"/>
  <c r="V831" i="16" a="1"/>
  <c r="V831" i="16" s="1"/>
  <c r="W831" i="16" a="1"/>
  <c r="W831" i="16" s="1"/>
  <c r="X831" i="16" a="1"/>
  <c r="X831" i="16"/>
  <c r="V832" i="16" a="1"/>
  <c r="V832" i="16"/>
  <c r="W832" i="16" a="1"/>
  <c r="W832" i="16" s="1"/>
  <c r="X832" i="16" a="1"/>
  <c r="X832" i="16" s="1"/>
  <c r="V833" i="16" a="1"/>
  <c r="V833" i="16" s="1"/>
  <c r="W833" i="16" a="1"/>
  <c r="W833" i="16" s="1"/>
  <c r="X833" i="16" a="1"/>
  <c r="X833" i="16" s="1"/>
  <c r="V834" i="16" a="1"/>
  <c r="V834" i="16" s="1"/>
  <c r="W834" i="16" a="1"/>
  <c r="W834" i="16" s="1"/>
  <c r="X834" i="16" a="1"/>
  <c r="X834" i="16" s="1"/>
  <c r="V835" i="16" a="1"/>
  <c r="V835" i="16" s="1"/>
  <c r="W835" i="16" a="1"/>
  <c r="W835" i="16"/>
  <c r="X835" i="16" a="1"/>
  <c r="X835" i="16"/>
  <c r="V836" i="16" a="1"/>
  <c r="V836" i="16"/>
  <c r="W836" i="16" a="1"/>
  <c r="W836" i="16" s="1"/>
  <c r="X836" i="16" a="1"/>
  <c r="X836" i="16" s="1"/>
  <c r="V837" i="16" a="1"/>
  <c r="V837" i="16" s="1"/>
  <c r="W837" i="16" a="1"/>
  <c r="W837" i="16" s="1"/>
  <c r="X837" i="16" a="1"/>
  <c r="X837" i="16" s="1"/>
  <c r="V838" i="16" a="1"/>
  <c r="V838" i="16" s="1"/>
  <c r="W838" i="16" a="1"/>
  <c r="W838" i="16" s="1"/>
  <c r="X838" i="16" a="1"/>
  <c r="X838" i="16"/>
  <c r="V839" i="16" a="1"/>
  <c r="V839" i="16" s="1"/>
  <c r="W839" i="16" a="1"/>
  <c r="W839" i="16"/>
  <c r="X839" i="16" a="1"/>
  <c r="X839" i="16" s="1"/>
  <c r="V840" i="16" a="1"/>
  <c r="V840" i="16" s="1"/>
  <c r="W840" i="16" a="1"/>
  <c r="W840" i="16" s="1"/>
  <c r="X840" i="16" a="1"/>
  <c r="X840" i="16" s="1"/>
  <c r="V841" i="16" a="1"/>
  <c r="V841" i="16" s="1"/>
  <c r="W841" i="16" a="1"/>
  <c r="W841" i="16" s="1"/>
  <c r="X841" i="16" a="1"/>
  <c r="X841" i="16"/>
  <c r="V842" i="16" a="1"/>
  <c r="V842" i="16" s="1"/>
  <c r="W842" i="16" a="1"/>
  <c r="W842" i="16" s="1"/>
  <c r="X842" i="16" a="1"/>
  <c r="X842" i="16"/>
  <c r="V843" i="16" a="1"/>
  <c r="V843" i="16" s="1"/>
  <c r="W843" i="16" a="1"/>
  <c r="W843" i="16" s="1"/>
  <c r="X843" i="16" a="1"/>
  <c r="X843" i="16" s="1"/>
  <c r="V844" i="16" a="1"/>
  <c r="V844" i="16" s="1"/>
  <c r="W844" i="16" a="1"/>
  <c r="W844" i="16" s="1"/>
  <c r="X844" i="16" a="1"/>
  <c r="X844" i="16" s="1"/>
  <c r="V845" i="16" a="1"/>
  <c r="V845" i="16" s="1"/>
  <c r="W845" i="16" a="1"/>
  <c r="W845" i="16"/>
  <c r="X845" i="16" a="1"/>
  <c r="X845" i="16" s="1"/>
  <c r="V846" i="16" a="1"/>
  <c r="V846" i="16" s="1"/>
  <c r="W846" i="16" a="1"/>
  <c r="W846" i="16" s="1"/>
  <c r="X846" i="16" a="1"/>
  <c r="X846" i="16" s="1"/>
  <c r="V847" i="16" a="1"/>
  <c r="V847" i="16" s="1"/>
  <c r="W847" i="16" a="1"/>
  <c r="W847" i="16"/>
  <c r="X847" i="16" a="1"/>
  <c r="X847" i="16" s="1"/>
  <c r="V848" i="16" a="1"/>
  <c r="V848" i="16" s="1"/>
  <c r="W848" i="16" a="1"/>
  <c r="W848" i="16"/>
  <c r="X848" i="16" a="1"/>
  <c r="X848" i="16"/>
  <c r="V849" i="16" a="1"/>
  <c r="V849" i="16"/>
  <c r="W849" i="16" a="1"/>
  <c r="W849" i="16" s="1"/>
  <c r="X849" i="16" a="1"/>
  <c r="X849" i="16" s="1"/>
  <c r="V850" i="16" a="1"/>
  <c r="V850" i="16" s="1"/>
  <c r="W850" i="16" a="1"/>
  <c r="W850" i="16" s="1"/>
  <c r="X850" i="16" a="1"/>
  <c r="X850" i="16" s="1"/>
  <c r="V851" i="16" a="1"/>
  <c r="V851" i="16" s="1"/>
  <c r="W851" i="16" a="1"/>
  <c r="W851" i="16" s="1"/>
  <c r="X851" i="16" a="1"/>
  <c r="X851" i="16" s="1"/>
  <c r="V852" i="16" a="1"/>
  <c r="V852" i="16" s="1"/>
  <c r="W852" i="16" a="1"/>
  <c r="W852" i="16" s="1"/>
  <c r="X852" i="16" a="1"/>
  <c r="X852" i="16" s="1"/>
  <c r="V853" i="16" a="1"/>
  <c r="V853" i="16" s="1"/>
  <c r="W853" i="16" a="1"/>
  <c r="W853" i="16" s="1"/>
  <c r="X853" i="16" a="1"/>
  <c r="X853" i="16" s="1"/>
  <c r="V854" i="16" a="1"/>
  <c r="V854" i="16" s="1"/>
  <c r="W854" i="16" a="1"/>
  <c r="W854" i="16" s="1"/>
  <c r="X854" i="16" a="1"/>
  <c r="X854" i="16" s="1"/>
  <c r="V855" i="16" a="1"/>
  <c r="V855" i="16" s="1"/>
  <c r="W855" i="16" a="1"/>
  <c r="W855" i="16" s="1"/>
  <c r="X855" i="16" a="1"/>
  <c r="X855" i="16"/>
  <c r="V856" i="16" a="1"/>
  <c r="V856" i="16" s="1"/>
  <c r="W856" i="16" a="1"/>
  <c r="W856" i="16" s="1"/>
  <c r="X856" i="16" a="1"/>
  <c r="X856" i="16" s="1"/>
  <c r="V857" i="16" a="1"/>
  <c r="V857" i="16" s="1"/>
  <c r="W857" i="16" a="1"/>
  <c r="W857" i="16" s="1"/>
  <c r="X857" i="16" a="1"/>
  <c r="X857" i="16" s="1"/>
  <c r="V858" i="16" a="1"/>
  <c r="V858" i="16" s="1"/>
  <c r="W858" i="16" a="1"/>
  <c r="W858" i="16"/>
  <c r="X858" i="16" a="1"/>
  <c r="X858" i="16" s="1"/>
  <c r="V859" i="16" a="1"/>
  <c r="V859" i="16"/>
  <c r="W859" i="16" a="1"/>
  <c r="W859" i="16"/>
  <c r="X859" i="16" a="1"/>
  <c r="X859" i="16" s="1"/>
  <c r="V860" i="16" a="1"/>
  <c r="V860" i="16" s="1"/>
  <c r="W860" i="16" a="1"/>
  <c r="W860" i="16" s="1"/>
  <c r="X860" i="16" a="1"/>
  <c r="X860" i="16" s="1"/>
  <c r="V861" i="16" a="1"/>
  <c r="V861" i="16" s="1"/>
  <c r="W861" i="16" a="1"/>
  <c r="W861" i="16" s="1"/>
  <c r="X861" i="16" a="1"/>
  <c r="X861" i="16" s="1"/>
  <c r="V862" i="16" a="1"/>
  <c r="V862" i="16"/>
  <c r="W862" i="16" a="1"/>
  <c r="W862" i="16" s="1"/>
  <c r="X862" i="16" a="1"/>
  <c r="X862" i="16" s="1"/>
  <c r="V863" i="16" a="1"/>
  <c r="V863" i="16" s="1"/>
  <c r="W863" i="16" a="1"/>
  <c r="W863" i="16" s="1"/>
  <c r="X863" i="16" a="1"/>
  <c r="X863" i="16" s="1"/>
  <c r="V864" i="16" a="1"/>
  <c r="V864" i="16"/>
  <c r="W864" i="16" a="1"/>
  <c r="W864" i="16" s="1"/>
  <c r="X864" i="16" a="1"/>
  <c r="X864" i="16" s="1"/>
  <c r="V865" i="16" a="1"/>
  <c r="V865" i="16"/>
  <c r="W865" i="16" a="1"/>
  <c r="W865" i="16" s="1"/>
  <c r="X865" i="16" a="1"/>
  <c r="X865" i="16"/>
  <c r="V866" i="16" a="1"/>
  <c r="V866" i="16" s="1"/>
  <c r="W866" i="16" a="1"/>
  <c r="W866" i="16" s="1"/>
  <c r="X866" i="16" a="1"/>
  <c r="X866" i="16" s="1"/>
  <c r="V867" i="16" a="1"/>
  <c r="V867" i="16" s="1"/>
  <c r="W867" i="16" a="1"/>
  <c r="W867" i="16" s="1"/>
  <c r="X867" i="16" a="1"/>
  <c r="X867" i="16"/>
  <c r="V868" i="16" a="1"/>
  <c r="V868" i="16" s="1"/>
  <c r="W868" i="16" a="1"/>
  <c r="W868" i="16"/>
  <c r="X868" i="16" a="1"/>
  <c r="X868" i="16"/>
  <c r="V869" i="16" a="1"/>
  <c r="V869" i="16" s="1"/>
  <c r="W869" i="16" a="1"/>
  <c r="W869" i="16"/>
  <c r="X869" i="16" a="1"/>
  <c r="X869" i="16" s="1"/>
  <c r="V870" i="16" a="1"/>
  <c r="V870" i="16" s="1"/>
  <c r="W870" i="16" a="1"/>
  <c r="W870" i="16" s="1"/>
  <c r="X870" i="16" a="1"/>
  <c r="X870" i="16" s="1"/>
  <c r="V871" i="16" a="1"/>
  <c r="V871" i="16" s="1"/>
  <c r="W871" i="16" a="1"/>
  <c r="W871" i="16" s="1"/>
  <c r="X871" i="16" a="1"/>
  <c r="X871" i="16"/>
  <c r="V872" i="16" a="1"/>
  <c r="V872" i="16"/>
  <c r="W872" i="16" a="1"/>
  <c r="W872" i="16"/>
  <c r="X872" i="16" a="1"/>
  <c r="X872" i="16" s="1"/>
  <c r="V873" i="16" a="1"/>
  <c r="V873" i="16" s="1"/>
  <c r="W873" i="16" a="1"/>
  <c r="W873" i="16"/>
  <c r="X873" i="16" a="1"/>
  <c r="X873" i="16" s="1"/>
  <c r="V874" i="16" a="1"/>
  <c r="V874" i="16" s="1"/>
  <c r="W874" i="16" a="1"/>
  <c r="W874" i="16" s="1"/>
  <c r="X874" i="16" a="1"/>
  <c r="X874" i="16" s="1"/>
  <c r="V875" i="16" a="1"/>
  <c r="V875" i="16" s="1"/>
  <c r="W875" i="16" a="1"/>
  <c r="W875" i="16" s="1"/>
  <c r="X875" i="16" a="1"/>
  <c r="X875" i="16" s="1"/>
  <c r="V876" i="16" a="1"/>
  <c r="V876" i="16" s="1"/>
  <c r="W876" i="16" a="1"/>
  <c r="W876" i="16" s="1"/>
  <c r="X876" i="16" a="1"/>
  <c r="X876" i="16" s="1"/>
  <c r="V877" i="16" a="1"/>
  <c r="V877" i="16"/>
  <c r="W877" i="16" a="1"/>
  <c r="W877" i="16" s="1"/>
  <c r="X877" i="16" a="1"/>
  <c r="X877" i="16" s="1"/>
  <c r="V878" i="16" a="1"/>
  <c r="V878" i="16" s="1"/>
  <c r="W878" i="16" a="1"/>
  <c r="W878" i="16" s="1"/>
  <c r="X878" i="16" a="1"/>
  <c r="X878" i="16" s="1"/>
  <c r="V879" i="16" a="1"/>
  <c r="V879" i="16" s="1"/>
  <c r="W879" i="16" a="1"/>
  <c r="W879" i="16"/>
  <c r="X879" i="16" a="1"/>
  <c r="X879" i="16" s="1"/>
  <c r="V880" i="16" a="1"/>
  <c r="V880" i="16" s="1"/>
  <c r="W880" i="16" a="1"/>
  <c r="W880" i="16" s="1"/>
  <c r="X880" i="16" a="1"/>
  <c r="X880" i="16" s="1"/>
  <c r="V881" i="16" a="1"/>
  <c r="V881" i="16" s="1"/>
  <c r="W881" i="16" a="1"/>
  <c r="W881" i="16" s="1"/>
  <c r="X881" i="16" a="1"/>
  <c r="X881" i="16" s="1"/>
  <c r="V882" i="16" a="1"/>
  <c r="V882" i="16" s="1"/>
  <c r="W882" i="16" a="1"/>
  <c r="W882" i="16" s="1"/>
  <c r="X882" i="16" a="1"/>
  <c r="X882" i="16" s="1"/>
  <c r="V883" i="16" a="1"/>
  <c r="V883" i="16" s="1"/>
  <c r="W883" i="16" a="1"/>
  <c r="W883" i="16" s="1"/>
  <c r="X883" i="16" a="1"/>
  <c r="X883" i="16" s="1"/>
  <c r="V884" i="16" a="1"/>
  <c r="V884" i="16" s="1"/>
  <c r="W884" i="16" a="1"/>
  <c r="W884" i="16" s="1"/>
  <c r="X884" i="16" a="1"/>
  <c r="X884" i="16" s="1"/>
  <c r="V885" i="16" a="1"/>
  <c r="V885" i="16" s="1"/>
  <c r="W885" i="16" a="1"/>
  <c r="W885" i="16" s="1"/>
  <c r="X885" i="16" a="1"/>
  <c r="X885" i="16" s="1"/>
  <c r="V886" i="16" a="1"/>
  <c r="V886" i="16" s="1"/>
  <c r="W886" i="16" a="1"/>
  <c r="W886" i="16" s="1"/>
  <c r="X886" i="16" a="1"/>
  <c r="X886" i="16" s="1"/>
  <c r="V887" i="16" a="1"/>
  <c r="V887" i="16" s="1"/>
  <c r="W887" i="16" a="1"/>
  <c r="W887" i="16" s="1"/>
  <c r="X887" i="16" a="1"/>
  <c r="X887" i="16" s="1"/>
  <c r="V888" i="16" a="1"/>
  <c r="V888" i="16" s="1"/>
  <c r="W888" i="16" a="1"/>
  <c r="W888" i="16" s="1"/>
  <c r="X888" i="16" a="1"/>
  <c r="X888" i="16"/>
  <c r="V889" i="16" a="1"/>
  <c r="V889" i="16" s="1"/>
  <c r="W889" i="16" a="1"/>
  <c r="W889" i="16" s="1"/>
  <c r="X889" i="16" a="1"/>
  <c r="X889" i="16" s="1"/>
  <c r="V890" i="16" a="1"/>
  <c r="V890" i="16" s="1"/>
  <c r="W890" i="16" a="1"/>
  <c r="W890" i="16" s="1"/>
  <c r="X890" i="16" a="1"/>
  <c r="X890" i="16" s="1"/>
  <c r="V891" i="16" a="1"/>
  <c r="V891" i="16" s="1"/>
  <c r="W891" i="16" a="1"/>
  <c r="W891" i="16" s="1"/>
  <c r="X891" i="16" a="1"/>
  <c r="X891" i="16" s="1"/>
  <c r="V892" i="16" a="1"/>
  <c r="V892" i="16" s="1"/>
  <c r="W892" i="16" a="1"/>
  <c r="W892" i="16"/>
  <c r="X892" i="16" a="1"/>
  <c r="X892" i="16" s="1"/>
  <c r="V893" i="16" a="1"/>
  <c r="V893" i="16" s="1"/>
  <c r="W893" i="16" a="1"/>
  <c r="W893" i="16" s="1"/>
  <c r="X893" i="16" a="1"/>
  <c r="X893" i="16" s="1"/>
  <c r="V894" i="16" a="1"/>
  <c r="V894" i="16" s="1"/>
  <c r="W894" i="16" a="1"/>
  <c r="W894" i="16" s="1"/>
  <c r="X894" i="16" a="1"/>
  <c r="X894" i="16" s="1"/>
  <c r="V895" i="16" a="1"/>
  <c r="V895" i="16" s="1"/>
  <c r="W895" i="16" a="1"/>
  <c r="W895" i="16" s="1"/>
  <c r="X895" i="16" a="1"/>
  <c r="X895" i="16" s="1"/>
  <c r="V896" i="16" a="1"/>
  <c r="V896" i="16"/>
  <c r="W896" i="16" a="1"/>
  <c r="W896" i="16" s="1"/>
  <c r="X896" i="16" a="1"/>
  <c r="X896" i="16" s="1"/>
  <c r="V897" i="16" a="1"/>
  <c r="V897" i="16" s="1"/>
  <c r="W897" i="16" a="1"/>
  <c r="W897" i="16"/>
  <c r="X897" i="16" a="1"/>
  <c r="X897" i="16" s="1"/>
  <c r="V898" i="16" a="1"/>
  <c r="V898" i="16" s="1"/>
  <c r="W898" i="16" a="1"/>
  <c r="W898" i="16" s="1"/>
  <c r="X898" i="16" a="1"/>
  <c r="X898" i="16" s="1"/>
  <c r="V899" i="16" a="1"/>
  <c r="V899" i="16" s="1"/>
  <c r="W899" i="16" a="1"/>
  <c r="W899" i="16" s="1"/>
  <c r="X899" i="16" a="1"/>
  <c r="X899" i="16" s="1"/>
  <c r="V900" i="16" a="1"/>
  <c r="V900" i="16" s="1"/>
  <c r="W900" i="16" a="1"/>
  <c r="W900" i="16" s="1"/>
  <c r="X900" i="16" a="1"/>
  <c r="X900" i="16" s="1"/>
  <c r="V901" i="16" a="1"/>
  <c r="V901" i="16"/>
  <c r="W901" i="16" a="1"/>
  <c r="W901" i="16" s="1"/>
  <c r="X901" i="16" a="1"/>
  <c r="X901" i="16" s="1"/>
  <c r="V902" i="16" a="1"/>
  <c r="V902" i="16" s="1"/>
  <c r="W902" i="16" a="1"/>
  <c r="W902" i="16" s="1"/>
  <c r="X902" i="16" a="1"/>
  <c r="X902" i="16"/>
  <c r="V903" i="16" a="1"/>
  <c r="V903" i="16" s="1"/>
  <c r="W903" i="16" a="1"/>
  <c r="W903" i="16" s="1"/>
  <c r="X903" i="16" a="1"/>
  <c r="X903" i="16" s="1"/>
  <c r="V904" i="16" a="1"/>
  <c r="V904" i="16" s="1"/>
  <c r="W904" i="16" a="1"/>
  <c r="W904" i="16" s="1"/>
  <c r="X904" i="16" a="1"/>
  <c r="X904" i="16" s="1"/>
  <c r="V905" i="16" a="1"/>
  <c r="V905" i="16" s="1"/>
  <c r="W905" i="16" a="1"/>
  <c r="W905" i="16" s="1"/>
  <c r="X905" i="16" a="1"/>
  <c r="X905" i="16" s="1"/>
  <c r="V906" i="16" a="1"/>
  <c r="V906" i="16" s="1"/>
  <c r="W906" i="16" a="1"/>
  <c r="W906" i="16" s="1"/>
  <c r="X906" i="16" a="1"/>
  <c r="X906" i="16" s="1"/>
  <c r="V907" i="16" a="1"/>
  <c r="V907" i="16" s="1"/>
  <c r="W907" i="16" a="1"/>
  <c r="W907" i="16" s="1"/>
  <c r="X907" i="16" a="1"/>
  <c r="X907" i="16" s="1"/>
  <c r="V908" i="16" a="1"/>
  <c r="V908" i="16" s="1"/>
  <c r="W908" i="16" a="1"/>
  <c r="W908" i="16"/>
  <c r="X908" i="16" a="1"/>
  <c r="X908" i="16" s="1"/>
  <c r="V909" i="16" a="1"/>
  <c r="V909" i="16"/>
  <c r="W909" i="16" a="1"/>
  <c r="W909" i="16" s="1"/>
  <c r="X909" i="16" a="1"/>
  <c r="X909" i="16" s="1"/>
  <c r="V910" i="16" a="1"/>
  <c r="V910" i="16" s="1"/>
  <c r="W910" i="16" a="1"/>
  <c r="W910" i="16"/>
  <c r="X910" i="16" a="1"/>
  <c r="X910" i="16" s="1"/>
  <c r="V911" i="16" a="1"/>
  <c r="V911" i="16" s="1"/>
  <c r="W911" i="16" a="1"/>
  <c r="W911" i="16" s="1"/>
  <c r="X911" i="16" a="1"/>
  <c r="X911" i="16" s="1"/>
  <c r="V912" i="16" a="1"/>
  <c r="V912" i="16" s="1"/>
  <c r="W912" i="16" a="1"/>
  <c r="W912" i="16" s="1"/>
  <c r="X912" i="16" a="1"/>
  <c r="X912" i="16" s="1"/>
  <c r="V913" i="16" a="1"/>
  <c r="V913" i="16" s="1"/>
  <c r="W913" i="16" a="1"/>
  <c r="W913" i="16" s="1"/>
  <c r="X913" i="16" a="1"/>
  <c r="X913" i="16" s="1"/>
  <c r="V914" i="16" a="1"/>
  <c r="V914" i="16" s="1"/>
  <c r="W914" i="16" a="1"/>
  <c r="W914" i="16" s="1"/>
  <c r="X914" i="16" a="1"/>
  <c r="X914" i="16" s="1"/>
  <c r="V915" i="16" a="1"/>
  <c r="V915" i="16" s="1"/>
  <c r="W915" i="16" a="1"/>
  <c r="W915" i="16" s="1"/>
  <c r="X915" i="16" a="1"/>
  <c r="X915" i="16"/>
  <c r="V916" i="16" a="1"/>
  <c r="V916" i="16" s="1"/>
  <c r="W916" i="16" a="1"/>
  <c r="W916" i="16" s="1"/>
  <c r="X916" i="16" a="1"/>
  <c r="X916" i="16" s="1"/>
  <c r="V917" i="16" a="1"/>
  <c r="V917" i="16" s="1"/>
  <c r="W917" i="16" a="1"/>
  <c r="W917" i="16" s="1"/>
  <c r="X917" i="16" a="1"/>
  <c r="X917" i="16"/>
  <c r="V918" i="16" a="1"/>
  <c r="V918" i="16" s="1"/>
  <c r="W918" i="16" a="1"/>
  <c r="W918" i="16"/>
  <c r="X918" i="16" a="1"/>
  <c r="X918" i="16" s="1"/>
  <c r="V919" i="16" a="1"/>
  <c r="V919" i="16"/>
  <c r="W919" i="16" a="1"/>
  <c r="W919" i="16"/>
  <c r="X919" i="16" a="1"/>
  <c r="X919" i="16" s="1"/>
  <c r="V920" i="16" a="1"/>
  <c r="V920" i="16" s="1"/>
  <c r="W920" i="16" a="1"/>
  <c r="W920" i="16" s="1"/>
  <c r="X920" i="16" a="1"/>
  <c r="X920" i="16" s="1"/>
  <c r="V921" i="16" a="1"/>
  <c r="V921" i="16" s="1"/>
  <c r="W921" i="16" a="1"/>
  <c r="W921" i="16" s="1"/>
  <c r="X921" i="16" a="1"/>
  <c r="X921" i="16" s="1"/>
  <c r="V922" i="16" a="1"/>
  <c r="V922" i="16" s="1"/>
  <c r="W922" i="16" a="1"/>
  <c r="W922" i="16" s="1"/>
  <c r="X922" i="16" a="1"/>
  <c r="X922" i="16"/>
  <c r="V923" i="16" a="1"/>
  <c r="V923" i="16" s="1"/>
  <c r="W923" i="16" a="1"/>
  <c r="W923" i="16"/>
  <c r="X923" i="16" a="1"/>
  <c r="X923" i="16" s="1"/>
  <c r="V924" i="16" a="1"/>
  <c r="V924" i="16"/>
  <c r="W924" i="16" a="1"/>
  <c r="W924" i="16" s="1"/>
  <c r="X924" i="16" a="1"/>
  <c r="X924" i="16" s="1"/>
  <c r="V925" i="16" a="1"/>
  <c r="V925" i="16"/>
  <c r="W925" i="16" a="1"/>
  <c r="W925" i="16" s="1"/>
  <c r="X925" i="16" a="1"/>
  <c r="X925" i="16"/>
  <c r="V926" i="16" a="1"/>
  <c r="V926" i="16" s="1"/>
  <c r="W926" i="16" a="1"/>
  <c r="W926" i="16" s="1"/>
  <c r="X926" i="16" a="1"/>
  <c r="X926" i="16" s="1"/>
  <c r="V927" i="16" a="1"/>
  <c r="V927" i="16"/>
  <c r="W927" i="16" a="1"/>
  <c r="W927" i="16" s="1"/>
  <c r="X927" i="16" a="1"/>
  <c r="X927" i="16" s="1"/>
  <c r="V928" i="16" a="1"/>
  <c r="V928" i="16" s="1"/>
  <c r="W928" i="16" a="1"/>
  <c r="W928" i="16" s="1"/>
  <c r="X928" i="16" a="1"/>
  <c r="X928" i="16"/>
  <c r="V929" i="16" a="1"/>
  <c r="V929" i="16" s="1"/>
  <c r="W929" i="16" a="1"/>
  <c r="W929" i="16" s="1"/>
  <c r="X929" i="16" a="1"/>
  <c r="X929" i="16" s="1"/>
  <c r="V930" i="16" a="1"/>
  <c r="V930" i="16" s="1"/>
  <c r="W930" i="16" a="1"/>
  <c r="W930" i="16" s="1"/>
  <c r="X930" i="16" a="1"/>
  <c r="X930" i="16" s="1"/>
  <c r="V931" i="16" a="1"/>
  <c r="V931" i="16" s="1"/>
  <c r="W931" i="16" a="1"/>
  <c r="W931" i="16" s="1"/>
  <c r="X931" i="16" a="1"/>
  <c r="X931" i="16" s="1"/>
  <c r="V932" i="16" a="1"/>
  <c r="V932" i="16" s="1"/>
  <c r="W932" i="16" a="1"/>
  <c r="W932" i="16" s="1"/>
  <c r="X932" i="16" a="1"/>
  <c r="X932" i="16" s="1"/>
  <c r="V933" i="16" a="1"/>
  <c r="V933" i="16" s="1"/>
  <c r="W933" i="16" a="1"/>
  <c r="W933" i="16" s="1"/>
  <c r="X933" i="16" a="1"/>
  <c r="X933" i="16" s="1"/>
  <c r="V934" i="16" a="1"/>
  <c r="V934" i="16" s="1"/>
  <c r="W934" i="16" a="1"/>
  <c r="W934" i="16" s="1"/>
  <c r="X934" i="16" a="1"/>
  <c r="X934" i="16" s="1"/>
  <c r="V935" i="16" a="1"/>
  <c r="V935" i="16" s="1"/>
  <c r="W935" i="16" a="1"/>
  <c r="W935" i="16" s="1"/>
  <c r="X935" i="16" a="1"/>
  <c r="X935" i="16" s="1"/>
  <c r="V936" i="16" a="1"/>
  <c r="V936" i="16" s="1"/>
  <c r="W936" i="16" a="1"/>
  <c r="W936" i="16" s="1"/>
  <c r="X936" i="16" a="1"/>
  <c r="X936" i="16" s="1"/>
  <c r="V937" i="16" a="1"/>
  <c r="V937" i="16" s="1"/>
  <c r="W937" i="16" a="1"/>
  <c r="W937" i="16" s="1"/>
  <c r="X937" i="16" a="1"/>
  <c r="X937" i="16" s="1"/>
  <c r="V938" i="16" a="1"/>
  <c r="V938" i="16" s="1"/>
  <c r="W938" i="16" a="1"/>
  <c r="W938" i="16" s="1"/>
  <c r="X938" i="16" a="1"/>
  <c r="X938" i="16" s="1"/>
  <c r="V939" i="16" a="1"/>
  <c r="V939" i="16" s="1"/>
  <c r="W939" i="16" a="1"/>
  <c r="W939" i="16"/>
  <c r="X939" i="16" a="1"/>
  <c r="X939" i="16" s="1"/>
  <c r="V940" i="16" a="1"/>
  <c r="V940" i="16"/>
  <c r="W940" i="16" a="1"/>
  <c r="W940" i="16" s="1"/>
  <c r="X940" i="16" a="1"/>
  <c r="X940" i="16"/>
  <c r="V941" i="16" a="1"/>
  <c r="V941" i="16" s="1"/>
  <c r="W941" i="16" a="1"/>
  <c r="W941" i="16" s="1"/>
  <c r="X941" i="16" a="1"/>
  <c r="X941" i="16"/>
  <c r="V942" i="16" a="1"/>
  <c r="V942" i="16" s="1"/>
  <c r="W942" i="16" a="1"/>
  <c r="W942" i="16" s="1"/>
  <c r="X942" i="16" a="1"/>
  <c r="X942" i="16" s="1"/>
  <c r="V943" i="16" a="1"/>
  <c r="V943" i="16" s="1"/>
  <c r="W943" i="16" a="1"/>
  <c r="W943" i="16" s="1"/>
  <c r="X943" i="16" a="1"/>
  <c r="X943" i="16" s="1"/>
  <c r="V944" i="16" a="1"/>
  <c r="V944" i="16" s="1"/>
  <c r="W944" i="16" a="1"/>
  <c r="W944" i="16" s="1"/>
  <c r="X944" i="16" a="1"/>
  <c r="X944" i="16" s="1"/>
  <c r="V945" i="16" a="1"/>
  <c r="V945" i="16" s="1"/>
  <c r="W945" i="16" a="1"/>
  <c r="W945" i="16" s="1"/>
  <c r="X945" i="16" a="1"/>
  <c r="X945" i="16" s="1"/>
  <c r="V946" i="16" a="1"/>
  <c r="V946" i="16" s="1"/>
  <c r="W946" i="16" a="1"/>
  <c r="W946" i="16" s="1"/>
  <c r="X946" i="16" a="1"/>
  <c r="X946" i="16" s="1"/>
  <c r="V947" i="16" a="1"/>
  <c r="V947" i="16" s="1"/>
  <c r="W947" i="16" a="1"/>
  <c r="W947" i="16"/>
  <c r="X947" i="16" a="1"/>
  <c r="X947" i="16" s="1"/>
  <c r="V948" i="16" a="1"/>
  <c r="V948" i="16" s="1"/>
  <c r="W948" i="16" a="1"/>
  <c r="W948" i="16" s="1"/>
  <c r="X948" i="16" a="1"/>
  <c r="X948" i="16" s="1"/>
  <c r="V949" i="16" a="1"/>
  <c r="V949" i="16"/>
  <c r="W949" i="16" a="1"/>
  <c r="W949" i="16" s="1"/>
  <c r="X949" i="16" a="1"/>
  <c r="X949" i="16" s="1"/>
  <c r="V950" i="16" a="1"/>
  <c r="V950" i="16"/>
  <c r="W950" i="16" a="1"/>
  <c r="W950" i="16" s="1"/>
  <c r="X950" i="16" a="1"/>
  <c r="X950" i="16" s="1"/>
  <c r="V951" i="16" a="1"/>
  <c r="V951" i="16" s="1"/>
  <c r="W951" i="16" a="1"/>
  <c r="W951" i="16" s="1"/>
  <c r="X951" i="16" a="1"/>
  <c r="X951" i="16" s="1"/>
  <c r="V952" i="16" a="1"/>
  <c r="V952" i="16" s="1"/>
  <c r="W952" i="16" a="1"/>
  <c r="W952" i="16" s="1"/>
  <c r="X952" i="16" a="1"/>
  <c r="X952" i="16" s="1"/>
  <c r="V953" i="16" a="1"/>
  <c r="V953" i="16" s="1"/>
  <c r="W953" i="16" a="1"/>
  <c r="W953" i="16" s="1"/>
  <c r="X953" i="16" a="1"/>
  <c r="X953" i="16"/>
  <c r="V954" i="16" a="1"/>
  <c r="V954" i="16" s="1"/>
  <c r="W954" i="16" a="1"/>
  <c r="W954" i="16" s="1"/>
  <c r="X954" i="16" a="1"/>
  <c r="X954" i="16" s="1"/>
  <c r="V955" i="16" a="1"/>
  <c r="V955" i="16"/>
  <c r="W955" i="16" a="1"/>
  <c r="W955" i="16"/>
  <c r="X955" i="16" a="1"/>
  <c r="X955" i="16" s="1"/>
  <c r="V956" i="16" a="1"/>
  <c r="V956" i="16"/>
  <c r="W956" i="16" a="1"/>
  <c r="W956" i="16" s="1"/>
  <c r="X956" i="16" a="1"/>
  <c r="X956" i="16"/>
  <c r="V957" i="16" a="1"/>
  <c r="V957" i="16" s="1"/>
  <c r="W957" i="16" a="1"/>
  <c r="W957" i="16" s="1"/>
  <c r="X957" i="16" a="1"/>
  <c r="X957" i="16" s="1"/>
  <c r="V958" i="16" a="1"/>
  <c r="V958" i="16" s="1"/>
  <c r="W958" i="16" a="1"/>
  <c r="W958" i="16"/>
  <c r="X958" i="16" a="1"/>
  <c r="X958" i="16" s="1"/>
  <c r="V959" i="16" a="1"/>
  <c r="V959" i="16" s="1"/>
  <c r="W959" i="16" a="1"/>
  <c r="W959" i="16" s="1"/>
  <c r="X959" i="16" a="1"/>
  <c r="X959" i="16" s="1"/>
  <c r="V960" i="16" a="1"/>
  <c r="V960" i="16" s="1"/>
  <c r="W960" i="16" a="1"/>
  <c r="W960" i="16"/>
  <c r="X960" i="16" a="1"/>
  <c r="X960" i="16" s="1"/>
  <c r="V961" i="16" a="1"/>
  <c r="V961" i="16"/>
  <c r="W961" i="16" a="1"/>
  <c r="W961" i="16" s="1"/>
  <c r="X961" i="16" a="1"/>
  <c r="X961" i="16" s="1"/>
  <c r="V962" i="16" a="1"/>
  <c r="V962" i="16"/>
  <c r="W962" i="16" a="1"/>
  <c r="W962" i="16" s="1"/>
  <c r="X962" i="16" a="1"/>
  <c r="X962" i="16" s="1"/>
  <c r="V963" i="16" a="1"/>
  <c r="V963" i="16" s="1"/>
  <c r="W963" i="16" a="1"/>
  <c r="W963" i="16" s="1"/>
  <c r="X963" i="16" a="1"/>
  <c r="X963" i="16" s="1"/>
  <c r="V964" i="16" a="1"/>
  <c r="V964" i="16" s="1"/>
  <c r="W964" i="16" a="1"/>
  <c r="W964" i="16" s="1"/>
  <c r="X964" i="16" a="1"/>
  <c r="X964" i="16" s="1"/>
  <c r="V965" i="16" a="1"/>
  <c r="V965" i="16"/>
  <c r="W965" i="16" a="1"/>
  <c r="W965" i="16" s="1"/>
  <c r="X965" i="16" a="1"/>
  <c r="X965" i="16"/>
  <c r="V966" i="16" a="1"/>
  <c r="V966" i="16"/>
  <c r="W966" i="16" a="1"/>
  <c r="W966" i="16" s="1"/>
  <c r="X966" i="16" a="1"/>
  <c r="X966" i="16" s="1"/>
  <c r="V967" i="16" a="1"/>
  <c r="V967" i="16" s="1"/>
  <c r="W967" i="16" a="1"/>
  <c r="W967" i="16" s="1"/>
  <c r="X967" i="16" a="1"/>
  <c r="X967" i="16" s="1"/>
  <c r="V968" i="16" a="1"/>
  <c r="V968" i="16" s="1"/>
  <c r="W968" i="16" a="1"/>
  <c r="W968" i="16"/>
  <c r="X968" i="16" a="1"/>
  <c r="X968" i="16"/>
  <c r="V969" i="16" a="1"/>
  <c r="V969" i="16" s="1"/>
  <c r="W969" i="16" a="1"/>
  <c r="W969" i="16"/>
  <c r="X969" i="16" a="1"/>
  <c r="X969" i="16" s="1"/>
  <c r="V970" i="16" a="1"/>
  <c r="V970" i="16" s="1"/>
  <c r="W970" i="16" a="1"/>
  <c r="W970" i="16"/>
  <c r="X970" i="16" a="1"/>
  <c r="X970" i="16" s="1"/>
  <c r="V971" i="16" a="1"/>
  <c r="V971" i="16" s="1"/>
  <c r="W971" i="16" a="1"/>
  <c r="W971" i="16" s="1"/>
  <c r="X971" i="16" a="1"/>
  <c r="X971" i="16" s="1"/>
  <c r="V972" i="16" a="1"/>
  <c r="V972" i="16"/>
  <c r="W972" i="16" a="1"/>
  <c r="W972" i="16" s="1"/>
  <c r="X972" i="16" a="1"/>
  <c r="X972" i="16" s="1"/>
  <c r="V973" i="16" a="1"/>
  <c r="V973" i="16" s="1"/>
  <c r="W973" i="16" a="1"/>
  <c r="W973" i="16" s="1"/>
  <c r="X973" i="16" a="1"/>
  <c r="X973" i="16" s="1"/>
  <c r="V974" i="16" a="1"/>
  <c r="V974" i="16" s="1"/>
  <c r="W974" i="16" a="1"/>
  <c r="W974" i="16" s="1"/>
  <c r="X974" i="16" a="1"/>
  <c r="X974" i="16" s="1"/>
  <c r="V975" i="16" a="1"/>
  <c r="V975" i="16"/>
  <c r="W975" i="16" a="1"/>
  <c r="W975" i="16"/>
  <c r="X975" i="16" a="1"/>
  <c r="X975" i="16"/>
  <c r="V976" i="16" a="1"/>
  <c r="V976" i="16" s="1"/>
  <c r="W976" i="16" a="1"/>
  <c r="W976" i="16" s="1"/>
  <c r="X976" i="16" a="1"/>
  <c r="X976" i="16" s="1"/>
  <c r="V977" i="16" a="1"/>
  <c r="V977" i="16"/>
  <c r="W977" i="16" a="1"/>
  <c r="W977" i="16" s="1"/>
  <c r="X977" i="16" a="1"/>
  <c r="X977" i="16" s="1"/>
  <c r="V978" i="16" a="1"/>
  <c r="V978" i="16" s="1"/>
  <c r="W978" i="16" a="1"/>
  <c r="W978" i="16" s="1"/>
  <c r="X978" i="16" a="1"/>
  <c r="X978" i="16" s="1"/>
  <c r="V979" i="16" a="1"/>
  <c r="V979" i="16"/>
  <c r="W979" i="16" a="1"/>
  <c r="W979" i="16"/>
  <c r="X979" i="16" a="1"/>
  <c r="X979" i="16" s="1"/>
  <c r="V980" i="16" a="1"/>
  <c r="V980" i="16" s="1"/>
  <c r="W980" i="16" a="1"/>
  <c r="W980" i="16" s="1"/>
  <c r="X980" i="16" a="1"/>
  <c r="X980" i="16"/>
  <c r="V981" i="16" a="1"/>
  <c r="V981" i="16" s="1"/>
  <c r="W981" i="16" a="1"/>
  <c r="W981" i="16" s="1"/>
  <c r="X981" i="16" a="1"/>
  <c r="X981" i="16"/>
  <c r="V982" i="16" a="1"/>
  <c r="V982" i="16" s="1"/>
  <c r="W982" i="16" a="1"/>
  <c r="W982" i="16"/>
  <c r="X982" i="16" a="1"/>
  <c r="X982" i="16" s="1"/>
  <c r="V983" i="16" a="1"/>
  <c r="V983" i="16" s="1"/>
  <c r="W983" i="16" a="1"/>
  <c r="W983" i="16"/>
  <c r="X983" i="16" a="1"/>
  <c r="X983" i="16" s="1"/>
  <c r="V984" i="16" a="1"/>
  <c r="V984" i="16" s="1"/>
  <c r="W984" i="16" a="1"/>
  <c r="W984" i="16" s="1"/>
  <c r="X984" i="16" a="1"/>
  <c r="X984" i="16" s="1"/>
  <c r="V985" i="16" a="1"/>
  <c r="V985" i="16" s="1"/>
  <c r="W985" i="16" a="1"/>
  <c r="W985" i="16" s="1"/>
  <c r="X985" i="16" a="1"/>
  <c r="X985" i="16"/>
  <c r="V986" i="16" a="1"/>
  <c r="V986" i="16" s="1"/>
  <c r="W986" i="16" a="1"/>
  <c r="W986" i="16"/>
  <c r="X986" i="16" a="1"/>
  <c r="X986" i="16" s="1"/>
  <c r="V987" i="16" a="1"/>
  <c r="V987" i="16" s="1"/>
  <c r="W987" i="16" a="1"/>
  <c r="W987" i="16" s="1"/>
  <c r="X987" i="16" a="1"/>
  <c r="X987" i="16" s="1"/>
  <c r="V988" i="16" a="1"/>
  <c r="V988" i="16"/>
  <c r="W988" i="16" a="1"/>
  <c r="W988" i="16" s="1"/>
  <c r="X988" i="16" a="1"/>
  <c r="X988" i="16" s="1"/>
  <c r="V989" i="16" a="1"/>
  <c r="V989" i="16" s="1"/>
  <c r="W989" i="16" a="1"/>
  <c r="W989" i="16" s="1"/>
  <c r="X989" i="16" a="1"/>
  <c r="X989" i="16" s="1"/>
  <c r="V990" i="16" a="1"/>
  <c r="V990" i="16" s="1"/>
  <c r="W990" i="16" a="1"/>
  <c r="W990" i="16" s="1"/>
  <c r="X990" i="16" a="1"/>
  <c r="X990" i="16" s="1"/>
  <c r="V991" i="16" a="1"/>
  <c r="V991" i="16" s="1"/>
  <c r="W991" i="16" a="1"/>
  <c r="W991" i="16" s="1"/>
  <c r="X991" i="16" a="1"/>
  <c r="X991" i="16" s="1"/>
  <c r="V992" i="16" a="1"/>
  <c r="V992" i="16" s="1"/>
  <c r="W992" i="16" a="1"/>
  <c r="W992" i="16" s="1"/>
  <c r="X992" i="16" a="1"/>
  <c r="X992" i="16" s="1"/>
  <c r="V993" i="16" a="1"/>
  <c r="V993" i="16" s="1"/>
  <c r="W993" i="16" a="1"/>
  <c r="W993" i="16" s="1"/>
  <c r="X993" i="16" a="1"/>
  <c r="X993" i="16" s="1"/>
  <c r="V994" i="16" a="1"/>
  <c r="V994" i="16" s="1"/>
  <c r="W994" i="16" a="1"/>
  <c r="W994" i="16" s="1"/>
  <c r="X994" i="16" a="1"/>
  <c r="X994" i="16" s="1"/>
  <c r="V995" i="16" a="1"/>
  <c r="V995" i="16" s="1"/>
  <c r="W995" i="16" a="1"/>
  <c r="W995" i="16" s="1"/>
  <c r="X995" i="16" a="1"/>
  <c r="X995" i="16" s="1"/>
  <c r="V996" i="16" a="1"/>
  <c r="V996" i="16" s="1"/>
  <c r="W996" i="16" a="1"/>
  <c r="W996" i="16" s="1"/>
  <c r="X996" i="16" a="1"/>
  <c r="X996" i="16" s="1"/>
  <c r="V997" i="16" a="1"/>
  <c r="V997" i="16" s="1"/>
  <c r="W997" i="16" a="1"/>
  <c r="W997" i="16" s="1"/>
  <c r="X997" i="16" a="1"/>
  <c r="X997" i="16" s="1"/>
  <c r="V998" i="16" a="1"/>
  <c r="V998" i="16" s="1"/>
  <c r="W998" i="16" a="1"/>
  <c r="W998" i="16" s="1"/>
  <c r="X998" i="16" a="1"/>
  <c r="X998" i="16" s="1"/>
  <c r="V999" i="16" a="1"/>
  <c r="V999" i="16" s="1"/>
  <c r="W999" i="16" a="1"/>
  <c r="W999" i="16" s="1"/>
  <c r="X999" i="16" a="1"/>
  <c r="X999" i="16" s="1"/>
  <c r="V1000" i="16" a="1"/>
  <c r="V1000" i="16" s="1"/>
  <c r="W1000" i="16" a="1"/>
  <c r="W1000" i="16" s="1"/>
  <c r="X1000" i="16" a="1"/>
  <c r="X1000" i="16" s="1"/>
  <c r="V1001" i="16" a="1"/>
  <c r="V1001" i="16" s="1"/>
  <c r="W1001" i="16" a="1"/>
  <c r="W1001" i="16" s="1"/>
  <c r="X1001" i="16" a="1"/>
  <c r="X1001" i="16" s="1"/>
  <c r="V1002" i="16" a="1"/>
  <c r="V1002" i="16" s="1"/>
  <c r="W1002" i="16" a="1"/>
  <c r="W1002" i="16" s="1"/>
  <c r="X1002" i="16" a="1"/>
  <c r="X1002" i="16" s="1"/>
  <c r="V1003" i="16" a="1"/>
  <c r="V1003" i="16" s="1"/>
  <c r="W1003" i="16" a="1"/>
  <c r="W1003" i="16" s="1"/>
  <c r="X1003" i="16" a="1"/>
  <c r="X1003" i="16" s="1"/>
  <c r="V1004" i="16" a="1"/>
  <c r="V1004" i="16" s="1"/>
  <c r="W1004" i="16" a="1"/>
  <c r="W1004" i="16" s="1"/>
  <c r="X1004" i="16" a="1"/>
  <c r="X1004" i="16" s="1"/>
  <c r="V1005" i="16" a="1"/>
  <c r="V1005" i="16" s="1"/>
  <c r="W1005" i="16" a="1"/>
  <c r="W1005" i="16" s="1"/>
  <c r="X1005" i="16" a="1"/>
  <c r="X1005" i="16" s="1"/>
  <c r="V1006" i="16" a="1"/>
  <c r="V1006" i="16" s="1"/>
  <c r="W1006" i="16" a="1"/>
  <c r="W1006" i="16" s="1"/>
  <c r="X1006" i="16" a="1"/>
  <c r="X1006" i="16" s="1"/>
  <c r="V1007" i="16" a="1"/>
  <c r="V1007" i="16" s="1"/>
  <c r="W1007" i="16" a="1"/>
  <c r="W1007" i="16" s="1"/>
  <c r="X1007" i="16" a="1"/>
  <c r="X1007" i="16" s="1"/>
  <c r="V1008" i="16" a="1"/>
  <c r="V1008" i="16" s="1"/>
  <c r="W1008" i="16" a="1"/>
  <c r="W1008" i="16" s="1"/>
  <c r="X1008" i="16" a="1"/>
  <c r="X1008" i="16" s="1"/>
  <c r="V1009" i="16" a="1"/>
  <c r="V1009" i="16" s="1"/>
  <c r="W1009" i="16" a="1"/>
  <c r="W1009" i="16" s="1"/>
  <c r="X1009" i="16" a="1"/>
  <c r="X1009" i="16" s="1"/>
  <c r="V1010" i="16" a="1"/>
  <c r="V1010" i="16" s="1"/>
  <c r="W1010" i="16" a="1"/>
  <c r="W1010" i="16" s="1"/>
  <c r="X1010" i="16" a="1"/>
  <c r="X1010" i="16" s="1"/>
  <c r="V1011" i="16" a="1"/>
  <c r="V1011" i="16" s="1"/>
  <c r="W1011" i="16" a="1"/>
  <c r="W1011" i="16" s="1"/>
  <c r="X1011" i="16" a="1"/>
  <c r="X1011" i="16" s="1"/>
  <c r="V1012" i="16" a="1"/>
  <c r="V1012" i="16" s="1"/>
  <c r="W1012" i="16" a="1"/>
  <c r="W1012" i="16" s="1"/>
  <c r="X1012" i="16" a="1"/>
  <c r="X1012" i="16" s="1"/>
  <c r="V1013" i="16" a="1"/>
  <c r="V1013" i="16" s="1"/>
  <c r="W1013" i="16" a="1"/>
  <c r="W1013" i="16" s="1"/>
  <c r="X1013" i="16" a="1"/>
  <c r="X1013" i="16" s="1"/>
  <c r="V1014" i="16" a="1"/>
  <c r="V1014" i="16" s="1"/>
  <c r="W1014" i="16" a="1"/>
  <c r="W1014" i="16" s="1"/>
  <c r="X1014" i="16" a="1"/>
  <c r="X1014" i="16" s="1"/>
  <c r="V1015" i="16" a="1"/>
  <c r="V1015" i="16" s="1"/>
  <c r="W1015" i="16" a="1"/>
  <c r="W1015" i="16" s="1"/>
  <c r="X1015" i="16" a="1"/>
  <c r="X1015" i="16" s="1"/>
  <c r="V17" i="16" a="1"/>
  <c r="V17" i="16"/>
  <c r="W17" i="16" a="1"/>
  <c r="W17" i="16" s="1"/>
  <c r="X17" i="16" a="1"/>
  <c r="X17" i="16" s="1"/>
  <c r="V18" i="16" a="1"/>
  <c r="V18" i="16" s="1"/>
  <c r="W18" i="16" a="1"/>
  <c r="W18" i="16" s="1"/>
  <c r="X18" i="16" a="1"/>
  <c r="X18" i="16" s="1"/>
  <c r="V19" i="16" a="1"/>
  <c r="V19" i="16" s="1"/>
  <c r="W19" i="16" a="1"/>
  <c r="W19" i="16" s="1"/>
  <c r="X19" i="16" a="1"/>
  <c r="X19" i="16" s="1"/>
  <c r="V20" i="16" a="1"/>
  <c r="V20" i="16" s="1"/>
  <c r="W20" i="16" a="1"/>
  <c r="W20" i="16" s="1"/>
  <c r="X20" i="16" a="1"/>
  <c r="X20" i="16" s="1"/>
  <c r="V21" i="16" a="1"/>
  <c r="V21" i="16" s="1"/>
  <c r="W21" i="16" a="1"/>
  <c r="W21" i="16" s="1"/>
  <c r="X21" i="16" a="1"/>
  <c r="X21" i="16" s="1"/>
  <c r="V22" i="16" a="1"/>
  <c r="V22" i="16" s="1"/>
  <c r="W22" i="16" a="1"/>
  <c r="W22" i="16" s="1"/>
  <c r="X22" i="16" a="1"/>
  <c r="X22" i="16" s="1"/>
  <c r="V23" i="16" a="1"/>
  <c r="V23" i="16" s="1"/>
  <c r="W23" i="16" a="1"/>
  <c r="W23" i="16" s="1"/>
  <c r="X23" i="16" a="1"/>
  <c r="X23" i="16" s="1"/>
  <c r="V24" i="16" a="1"/>
  <c r="V24" i="16" s="1"/>
  <c r="W24" i="16" a="1"/>
  <c r="W24" i="16" s="1"/>
  <c r="X24" i="16" a="1"/>
  <c r="X24" i="16" s="1"/>
  <c r="V25" i="16" a="1"/>
  <c r="V25" i="16" s="1"/>
  <c r="W25" i="16" a="1"/>
  <c r="W25" i="16" s="1"/>
  <c r="X25" i="16" a="1"/>
  <c r="X25" i="16" s="1"/>
  <c r="V26" i="16" a="1"/>
  <c r="V26" i="16" s="1"/>
  <c r="W26" i="16" a="1"/>
  <c r="W26" i="16" s="1"/>
  <c r="X26" i="16" a="1"/>
  <c r="X26" i="16" s="1"/>
  <c r="V27" i="16" a="1"/>
  <c r="V27" i="16" s="1"/>
  <c r="W27" i="16" a="1"/>
  <c r="W27" i="16" s="1"/>
  <c r="X27" i="16" a="1"/>
  <c r="X27" i="16" s="1"/>
  <c r="V28" i="16" a="1"/>
  <c r="V28" i="16" s="1"/>
  <c r="W28" i="16" a="1"/>
  <c r="W28" i="16" s="1"/>
  <c r="X28" i="16" a="1"/>
  <c r="X28" i="16" s="1"/>
  <c r="V29" i="16" a="1"/>
  <c r="V29" i="16" s="1"/>
  <c r="W29" i="16" a="1"/>
  <c r="W29" i="16" s="1"/>
  <c r="X29" i="16" a="1"/>
  <c r="X29" i="16" s="1"/>
  <c r="V30" i="16" a="1"/>
  <c r="V30" i="16" s="1"/>
  <c r="W30" i="16" a="1"/>
  <c r="W30" i="16" s="1"/>
  <c r="X30" i="16" a="1"/>
  <c r="X30" i="16" s="1"/>
  <c r="V31" i="16" a="1"/>
  <c r="V31" i="16" s="1"/>
  <c r="W31" i="16" a="1"/>
  <c r="W31" i="16" s="1"/>
  <c r="X31" i="16" a="1"/>
  <c r="X31" i="16" s="1"/>
  <c r="V32" i="16" a="1"/>
  <c r="V32" i="16" s="1"/>
  <c r="W32" i="16" a="1"/>
  <c r="W32" i="16" s="1"/>
  <c r="X32" i="16" a="1"/>
  <c r="X32" i="16" s="1"/>
  <c r="V33" i="16" a="1"/>
  <c r="V33" i="16" s="1"/>
  <c r="W33" i="16" a="1"/>
  <c r="W33" i="16" s="1"/>
  <c r="X33" i="16" a="1"/>
  <c r="X33" i="16" s="1"/>
  <c r="V34" i="16" a="1"/>
  <c r="V34" i="16" s="1"/>
  <c r="W34" i="16" a="1"/>
  <c r="W34" i="16" s="1"/>
  <c r="X34" i="16" a="1"/>
  <c r="X34" i="16" s="1"/>
  <c r="V35" i="16" a="1"/>
  <c r="V35" i="16" s="1"/>
  <c r="W35" i="16" a="1"/>
  <c r="W35" i="16" s="1"/>
  <c r="X35" i="16" a="1"/>
  <c r="X35" i="16" s="1"/>
  <c r="V36" i="16" a="1"/>
  <c r="V36" i="16" s="1"/>
  <c r="W36" i="16" a="1"/>
  <c r="W36" i="16" s="1"/>
  <c r="X36" i="16" a="1"/>
  <c r="X36" i="16" s="1"/>
  <c r="V37" i="16" a="1"/>
  <c r="V37" i="16" s="1"/>
  <c r="W37" i="16" a="1"/>
  <c r="W37" i="16" s="1"/>
  <c r="X37" i="16" a="1"/>
  <c r="X37" i="16" s="1"/>
  <c r="V38" i="16" a="1"/>
  <c r="V38" i="16" s="1"/>
  <c r="W38" i="16" a="1"/>
  <c r="W38" i="16"/>
  <c r="X38" i="16" a="1"/>
  <c r="X38" i="16" s="1"/>
  <c r="V39" i="16" a="1"/>
  <c r="V39" i="16" s="1"/>
  <c r="W39" i="16" a="1"/>
  <c r="W39" i="16" s="1"/>
  <c r="X39" i="16" a="1"/>
  <c r="X39" i="16" s="1"/>
  <c r="V40" i="16" a="1"/>
  <c r="V40" i="16" s="1"/>
  <c r="W40" i="16" a="1"/>
  <c r="W40" i="16" s="1"/>
  <c r="X40" i="16" a="1"/>
  <c r="X40" i="16" s="1"/>
  <c r="V41" i="16" a="1"/>
  <c r="V41" i="16" s="1"/>
  <c r="W41" i="16" a="1"/>
  <c r="W41" i="16" s="1"/>
  <c r="X41" i="16" a="1"/>
  <c r="X41" i="16"/>
  <c r="V42" i="16" a="1"/>
  <c r="V42" i="16" s="1"/>
  <c r="W42" i="16" a="1"/>
  <c r="W42" i="16" s="1"/>
  <c r="X42" i="16" a="1"/>
  <c r="X42" i="16" s="1"/>
  <c r="V43" i="16" a="1"/>
  <c r="V43" i="16" s="1"/>
  <c r="W43" i="16" a="1"/>
  <c r="W43" i="16" s="1"/>
  <c r="X43" i="16" a="1"/>
  <c r="X43" i="16" s="1"/>
  <c r="V44" i="16" a="1"/>
  <c r="V44" i="16" s="1"/>
  <c r="W44" i="16" a="1"/>
  <c r="W44" i="16" s="1"/>
  <c r="X44" i="16" a="1"/>
  <c r="X44" i="16" s="1"/>
  <c r="V45" i="16" a="1"/>
  <c r="V45" i="16" s="1"/>
  <c r="W45" i="16" a="1"/>
  <c r="W45" i="16" s="1"/>
  <c r="X45" i="16" a="1"/>
  <c r="X45" i="16"/>
  <c r="V46" i="16" a="1"/>
  <c r="V46" i="16" s="1"/>
  <c r="W46" i="16" a="1"/>
  <c r="W46" i="16" s="1"/>
  <c r="X46" i="16" a="1"/>
  <c r="X46" i="16" s="1"/>
  <c r="V47" i="16" a="1"/>
  <c r="V47" i="16" s="1"/>
  <c r="W47" i="16" a="1"/>
  <c r="W47" i="16" s="1"/>
  <c r="X47" i="16" a="1"/>
  <c r="X47" i="16" s="1"/>
  <c r="V48" i="16" a="1"/>
  <c r="V48" i="16" s="1"/>
  <c r="W48" i="16" a="1"/>
  <c r="W48" i="16"/>
  <c r="X48" i="16" a="1"/>
  <c r="X48" i="16" s="1"/>
  <c r="V49" i="16" a="1"/>
  <c r="V49" i="16" s="1"/>
  <c r="W49" i="16" a="1"/>
  <c r="W49" i="16" s="1"/>
  <c r="X49" i="16" a="1"/>
  <c r="X49" i="16" s="1"/>
  <c r="V50" i="16" a="1"/>
  <c r="V50" i="16" s="1"/>
  <c r="W50" i="16" a="1"/>
  <c r="W50" i="16" s="1"/>
  <c r="X50" i="16" a="1"/>
  <c r="X50" i="16" s="1"/>
  <c r="V51" i="16" a="1"/>
  <c r="V51" i="16" s="1"/>
  <c r="W51" i="16" a="1"/>
  <c r="W51" i="16" s="1"/>
  <c r="X51" i="16" a="1"/>
  <c r="X51" i="16"/>
  <c r="V52" i="16" a="1"/>
  <c r="V52" i="16"/>
  <c r="W52" i="16" a="1"/>
  <c r="W52" i="16" s="1"/>
  <c r="X52" i="16" a="1"/>
  <c r="X52" i="16" s="1"/>
  <c r="V53" i="16" a="1"/>
  <c r="V53" i="16" s="1"/>
  <c r="W53" i="16" a="1"/>
  <c r="W53" i="16" s="1"/>
  <c r="X53" i="16" a="1"/>
  <c r="X53" i="16" s="1"/>
  <c r="V54" i="16" a="1"/>
  <c r="V54" i="16" s="1"/>
  <c r="W54" i="16" a="1"/>
  <c r="W54" i="16" s="1"/>
  <c r="X54" i="16" a="1"/>
  <c r="X54" i="16" s="1"/>
  <c r="V55" i="16" a="1"/>
  <c r="V55" i="16" s="1"/>
  <c r="W55" i="16" a="1"/>
  <c r="W55" i="16"/>
  <c r="X55" i="16" a="1"/>
  <c r="X55" i="16" s="1"/>
  <c r="V56" i="16" a="1"/>
  <c r="V56" i="16" s="1"/>
  <c r="W56" i="16" a="1"/>
  <c r="W56" i="16" s="1"/>
  <c r="X56" i="16" a="1"/>
  <c r="X56" i="16" s="1"/>
  <c r="V57" i="16" a="1"/>
  <c r="V57" i="16" s="1"/>
  <c r="W57" i="16" a="1"/>
  <c r="W57" i="16" s="1"/>
  <c r="X57" i="16" a="1"/>
  <c r="X57" i="16" s="1"/>
  <c r="V58" i="16" a="1"/>
  <c r="V58" i="16" s="1"/>
  <c r="W58" i="16" a="1"/>
  <c r="W58" i="16" s="1"/>
  <c r="X58" i="16" a="1"/>
  <c r="X58" i="16" s="1"/>
  <c r="V59" i="16" a="1"/>
  <c r="V59" i="16" s="1"/>
  <c r="W59" i="16" a="1"/>
  <c r="W59" i="16" s="1"/>
  <c r="X59" i="16" a="1"/>
  <c r="X59" i="16" s="1"/>
  <c r="V60" i="16" a="1"/>
  <c r="V60" i="16" s="1"/>
  <c r="W60" i="16" a="1"/>
  <c r="W60" i="16" s="1"/>
  <c r="X60" i="16" a="1"/>
  <c r="X60" i="16" s="1"/>
  <c r="V61" i="16" a="1"/>
  <c r="V61" i="16" s="1"/>
  <c r="W61" i="16" a="1"/>
  <c r="W61" i="16" s="1"/>
  <c r="X61" i="16" a="1"/>
  <c r="X61" i="16" s="1"/>
  <c r="V62" i="16" a="1"/>
  <c r="V62" i="16" s="1"/>
  <c r="W62" i="16" a="1"/>
  <c r="W62" i="16"/>
  <c r="X62" i="16" a="1"/>
  <c r="X62" i="16" s="1"/>
  <c r="V63" i="16" a="1"/>
  <c r="V63" i="16" s="1"/>
  <c r="W63" i="16" a="1"/>
  <c r="W63" i="16" s="1"/>
  <c r="X63" i="16" a="1"/>
  <c r="X63" i="16" s="1"/>
  <c r="V64" i="16" a="1"/>
  <c r="V64" i="16" s="1"/>
  <c r="W64" i="16" a="1"/>
  <c r="W64" i="16" s="1"/>
  <c r="X64" i="16" a="1"/>
  <c r="X64" i="16" s="1"/>
  <c r="V65" i="16" a="1"/>
  <c r="V65" i="16"/>
  <c r="W65" i="16" a="1"/>
  <c r="W65" i="16" s="1"/>
  <c r="X65" i="16" a="1"/>
  <c r="X65" i="16" s="1"/>
  <c r="V66" i="16" a="1"/>
  <c r="V66" i="16" s="1"/>
  <c r="W66" i="16" a="1"/>
  <c r="W66" i="16" s="1"/>
  <c r="X66" i="16" a="1"/>
  <c r="X66" i="16" s="1"/>
  <c r="V67" i="16" a="1"/>
  <c r="V67" i="16" s="1"/>
  <c r="W67" i="16" a="1"/>
  <c r="W67" i="16"/>
  <c r="X67" i="16" a="1"/>
  <c r="X67" i="16" s="1"/>
  <c r="V68" i="16" a="1"/>
  <c r="V68" i="16"/>
  <c r="W68" i="16" a="1"/>
  <c r="W68" i="16" s="1"/>
  <c r="X68" i="16" a="1"/>
  <c r="X68" i="16"/>
  <c r="V69" i="16" a="1"/>
  <c r="V69" i="16" s="1"/>
  <c r="W69" i="16" a="1"/>
  <c r="W69" i="16" s="1"/>
  <c r="X69" i="16" a="1"/>
  <c r="X69" i="16" s="1"/>
  <c r="V70" i="16" a="1"/>
  <c r="V70" i="16" s="1"/>
  <c r="W70" i="16" a="1"/>
  <c r="W70" i="16" s="1"/>
  <c r="X70" i="16" a="1"/>
  <c r="X70" i="16" s="1"/>
  <c r="V71" i="16" a="1"/>
  <c r="V71" i="16" s="1"/>
  <c r="W71" i="16" a="1"/>
  <c r="W71" i="16" s="1"/>
  <c r="X71" i="16" a="1"/>
  <c r="X71" i="16" s="1"/>
  <c r="V72" i="16" a="1"/>
  <c r="V72" i="16" s="1"/>
  <c r="W72" i="16" a="1"/>
  <c r="W72" i="16" s="1"/>
  <c r="X72" i="16" a="1"/>
  <c r="X72" i="16" s="1"/>
  <c r="V73" i="16" a="1"/>
  <c r="V73" i="16" s="1"/>
  <c r="W73" i="16" a="1"/>
  <c r="W73" i="16" s="1"/>
  <c r="X73" i="16" a="1"/>
  <c r="X73" i="16" s="1"/>
  <c r="V74" i="16" a="1"/>
  <c r="V74" i="16" s="1"/>
  <c r="W74" i="16" a="1"/>
  <c r="W74" i="16" s="1"/>
  <c r="X74" i="16" a="1"/>
  <c r="X74" i="16"/>
  <c r="V75" i="16" a="1"/>
  <c r="V75" i="16"/>
  <c r="W75" i="16" a="1"/>
  <c r="W75" i="16" s="1"/>
  <c r="X75" i="16" a="1"/>
  <c r="X75" i="16" s="1"/>
  <c r="V76" i="16" a="1"/>
  <c r="V76" i="16" s="1"/>
  <c r="W76" i="16" a="1"/>
  <c r="W76" i="16" s="1"/>
  <c r="X76" i="16" a="1"/>
  <c r="X76" i="16" s="1"/>
  <c r="V77" i="16" a="1"/>
  <c r="V77" i="16" s="1"/>
  <c r="W77" i="16" a="1"/>
  <c r="W77" i="16" s="1"/>
  <c r="X77" i="16" a="1"/>
  <c r="X77" i="16" s="1"/>
  <c r="V78" i="16" a="1"/>
  <c r="V78" i="16" s="1"/>
  <c r="W78" i="16" a="1"/>
  <c r="W78" i="16" s="1"/>
  <c r="X78" i="16" a="1"/>
  <c r="X78" i="16" s="1"/>
  <c r="V79" i="16" a="1"/>
  <c r="V79" i="16"/>
  <c r="W79" i="16" a="1"/>
  <c r="W79" i="16" s="1"/>
  <c r="X79" i="16" a="1"/>
  <c r="X79" i="16" s="1"/>
  <c r="V80" i="16" a="1"/>
  <c r="V80" i="16" s="1"/>
  <c r="W80" i="16" a="1"/>
  <c r="W80" i="16" s="1"/>
  <c r="X80" i="16" a="1"/>
  <c r="X80" i="16" s="1"/>
  <c r="V81" i="16" a="1"/>
  <c r="V81" i="16" s="1"/>
  <c r="W81" i="16" a="1"/>
  <c r="W81" i="16" s="1"/>
  <c r="X81" i="16" a="1"/>
  <c r="X81" i="16" s="1"/>
  <c r="V82" i="16" a="1"/>
  <c r="V82" i="16" s="1"/>
  <c r="W82" i="16" a="1"/>
  <c r="W82" i="16" s="1"/>
  <c r="X82" i="16" a="1"/>
  <c r="X82" i="16" s="1"/>
  <c r="V83" i="16" a="1"/>
  <c r="V83" i="16" s="1"/>
  <c r="W83" i="16" a="1"/>
  <c r="W83" i="16" s="1"/>
  <c r="X83" i="16" a="1"/>
  <c r="X83" i="16" s="1"/>
  <c r="V84" i="16" a="1"/>
  <c r="V84" i="16"/>
  <c r="W84" i="16" a="1"/>
  <c r="W84" i="16" s="1"/>
  <c r="X84" i="16" a="1"/>
  <c r="X84" i="16"/>
  <c r="V85" i="16" a="1"/>
  <c r="V85" i="16" s="1"/>
  <c r="W85" i="16" a="1"/>
  <c r="W85" i="16" s="1"/>
  <c r="X85" i="16" a="1"/>
  <c r="X85" i="16" s="1"/>
  <c r="V86" i="16" a="1"/>
  <c r="V86" i="16" s="1"/>
  <c r="W86" i="16" a="1"/>
  <c r="W86" i="16" s="1"/>
  <c r="X86" i="16" a="1"/>
  <c r="X86" i="16" s="1"/>
  <c r="V87" i="16" a="1"/>
  <c r="V87" i="16" s="1"/>
  <c r="W87" i="16" a="1"/>
  <c r="W87" i="16" s="1"/>
  <c r="X87" i="16" a="1"/>
  <c r="X87" i="16" s="1"/>
  <c r="V88" i="16" a="1"/>
  <c r="V88" i="16" s="1"/>
  <c r="W88" i="16" a="1"/>
  <c r="W88" i="16" s="1"/>
  <c r="X88" i="16" a="1"/>
  <c r="X88" i="16" s="1"/>
  <c r="V89" i="16" a="1"/>
  <c r="V89" i="16"/>
  <c r="W89" i="16" a="1"/>
  <c r="W89" i="16" s="1"/>
  <c r="X89" i="16" a="1"/>
  <c r="X89" i="16" s="1"/>
  <c r="V90" i="16" a="1"/>
  <c r="V90" i="16" s="1"/>
  <c r="W90" i="16" a="1"/>
  <c r="W90" i="16" s="1"/>
  <c r="X90" i="16" a="1"/>
  <c r="X90" i="16" s="1"/>
  <c r="V91" i="16" a="1"/>
  <c r="V91" i="16" s="1"/>
  <c r="W91" i="16" a="1"/>
  <c r="W91" i="16" s="1"/>
  <c r="X91" i="16" a="1"/>
  <c r="X91" i="16"/>
  <c r="V92" i="16" a="1"/>
  <c r="V92" i="16" s="1"/>
  <c r="W92" i="16" a="1"/>
  <c r="W92" i="16" s="1"/>
  <c r="X92" i="16" a="1"/>
  <c r="X92" i="16" s="1"/>
  <c r="V93" i="16" a="1"/>
  <c r="V93" i="16" s="1"/>
  <c r="W93" i="16" a="1"/>
  <c r="W93" i="16" s="1"/>
  <c r="X93" i="16" a="1"/>
  <c r="X93" i="16" s="1"/>
  <c r="V94" i="16" a="1"/>
  <c r="V94" i="16" s="1"/>
  <c r="W94" i="16" a="1"/>
  <c r="W94" i="16" s="1"/>
  <c r="X94" i="16" a="1"/>
  <c r="X94" i="16" s="1"/>
  <c r="V95" i="16" a="1"/>
  <c r="V95" i="16" s="1"/>
  <c r="W95" i="16" a="1"/>
  <c r="W95" i="16" s="1"/>
  <c r="X95" i="16" a="1"/>
  <c r="X95" i="16"/>
  <c r="V96" i="16" a="1"/>
  <c r="V96" i="16" s="1"/>
  <c r="W96" i="16" a="1"/>
  <c r="W96" i="16" s="1"/>
  <c r="X96" i="16" a="1"/>
  <c r="X96" i="16" s="1"/>
  <c r="V97" i="16" a="1"/>
  <c r="V97" i="16" s="1"/>
  <c r="W97" i="16" a="1"/>
  <c r="W97" i="16" s="1"/>
  <c r="X97" i="16" a="1"/>
  <c r="X97" i="16" s="1"/>
  <c r="V98" i="16" a="1"/>
  <c r="V98" i="16" s="1"/>
  <c r="W98" i="16" a="1"/>
  <c r="W98" i="16" s="1"/>
  <c r="X98" i="16" a="1"/>
  <c r="X98" i="16" s="1"/>
  <c r="V99" i="16" a="1"/>
  <c r="V99" i="16" s="1"/>
  <c r="W99" i="16" a="1"/>
  <c r="W99" i="16" s="1"/>
  <c r="X99" i="16" a="1"/>
  <c r="X99" i="16" s="1"/>
  <c r="V100" i="16" a="1"/>
  <c r="V100" i="16" s="1"/>
  <c r="W100" i="16" a="1"/>
  <c r="W100" i="16" s="1"/>
  <c r="X100" i="16" a="1"/>
  <c r="X100" i="16" s="1"/>
  <c r="V101" i="16" a="1"/>
  <c r="V101" i="16" s="1"/>
  <c r="W101" i="16" a="1"/>
  <c r="W101" i="16" s="1"/>
  <c r="X101" i="16" a="1"/>
  <c r="X101" i="16" s="1"/>
  <c r="V102" i="16" a="1"/>
  <c r="V102" i="16" s="1"/>
  <c r="W102" i="16" a="1"/>
  <c r="W102" i="16" s="1"/>
  <c r="X102" i="16" a="1"/>
  <c r="X102" i="16" s="1"/>
  <c r="V103" i="16" a="1"/>
  <c r="V103" i="16" s="1"/>
  <c r="W103" i="16" a="1"/>
  <c r="W103" i="16" s="1"/>
  <c r="X103" i="16" a="1"/>
  <c r="X103" i="16" s="1"/>
  <c r="V104" i="16" a="1"/>
  <c r="V104" i="16" s="1"/>
  <c r="W104" i="16" a="1"/>
  <c r="W104" i="16" s="1"/>
  <c r="X104" i="16" a="1"/>
  <c r="X104" i="16" s="1"/>
  <c r="V105" i="16" a="1"/>
  <c r="V105" i="16" s="1"/>
  <c r="W105" i="16" a="1"/>
  <c r="W105" i="16" s="1"/>
  <c r="X105" i="16" a="1"/>
  <c r="X105" i="16" s="1"/>
  <c r="V106" i="16" a="1"/>
  <c r="V106" i="16" s="1"/>
  <c r="W106" i="16" a="1"/>
  <c r="W106" i="16" s="1"/>
  <c r="X106" i="16" a="1"/>
  <c r="X106" i="16" s="1"/>
  <c r="V107" i="16" a="1"/>
  <c r="V107" i="16" s="1"/>
  <c r="W107" i="16" a="1"/>
  <c r="W107" i="16" s="1"/>
  <c r="X107" i="16" a="1"/>
  <c r="X107" i="16" s="1"/>
  <c r="V108" i="16" a="1"/>
  <c r="V108" i="16" s="1"/>
  <c r="W108" i="16" a="1"/>
  <c r="W108" i="16" s="1"/>
  <c r="X108" i="16" a="1"/>
  <c r="X108" i="16" s="1"/>
  <c r="V109" i="16" a="1"/>
  <c r="V109" i="16" s="1"/>
  <c r="W109" i="16" a="1"/>
  <c r="W109" i="16" s="1"/>
  <c r="X109" i="16" a="1"/>
  <c r="X109" i="16" s="1"/>
  <c r="V110" i="16" a="1"/>
  <c r="V110" i="16" s="1"/>
  <c r="W110" i="16" a="1"/>
  <c r="W110" i="16" s="1"/>
  <c r="X110" i="16" a="1"/>
  <c r="X110" i="16" s="1"/>
  <c r="V111" i="16" a="1"/>
  <c r="V111" i="16" s="1"/>
  <c r="W111" i="16" a="1"/>
  <c r="W111" i="16" s="1"/>
  <c r="X111" i="16" a="1"/>
  <c r="X111" i="16" s="1"/>
  <c r="V112" i="16" a="1"/>
  <c r="V112" i="16" s="1"/>
  <c r="W112" i="16" a="1"/>
  <c r="W112" i="16" s="1"/>
  <c r="X112" i="16" a="1"/>
  <c r="X112" i="16" s="1"/>
  <c r="V113" i="16" a="1"/>
  <c r="V113" i="16" s="1"/>
  <c r="W113" i="16" a="1"/>
  <c r="W113" i="16" s="1"/>
  <c r="X113" i="16" a="1"/>
  <c r="X113" i="16"/>
  <c r="V114" i="16" a="1"/>
  <c r="V114" i="16" s="1"/>
  <c r="W114" i="16" a="1"/>
  <c r="W114" i="16" s="1"/>
  <c r="X114" i="16" a="1"/>
  <c r="X114" i="16"/>
  <c r="V115" i="16" a="1"/>
  <c r="V115" i="16" s="1"/>
  <c r="W115" i="16" a="1"/>
  <c r="W115" i="16" s="1"/>
  <c r="X115" i="16" a="1"/>
  <c r="X115" i="16" s="1"/>
  <c r="V116" i="16" a="1"/>
  <c r="V116" i="16" s="1"/>
  <c r="W116" i="16" a="1"/>
  <c r="W116" i="16" s="1"/>
  <c r="X116" i="16" a="1"/>
  <c r="X116" i="16" s="1"/>
  <c r="V117" i="16" a="1"/>
  <c r="V117" i="16" s="1"/>
  <c r="W117" i="16" a="1"/>
  <c r="W117" i="16" s="1"/>
  <c r="X117" i="16" a="1"/>
  <c r="X117" i="16" s="1"/>
  <c r="V118" i="16" a="1"/>
  <c r="V118" i="16" s="1"/>
  <c r="W118" i="16" a="1"/>
  <c r="W118" i="16" s="1"/>
  <c r="X118" i="16" a="1"/>
  <c r="X118" i="16" s="1"/>
  <c r="V119" i="16" a="1"/>
  <c r="V119" i="16" s="1"/>
  <c r="W119" i="16" a="1"/>
  <c r="W119" i="16" s="1"/>
  <c r="X119" i="16" a="1"/>
  <c r="X119" i="16" s="1"/>
  <c r="V120" i="16" a="1"/>
  <c r="V120" i="16" s="1"/>
  <c r="W120" i="16" a="1"/>
  <c r="W120" i="16" s="1"/>
  <c r="X120" i="16" a="1"/>
  <c r="X120" i="16" s="1"/>
  <c r="V121" i="16" a="1"/>
  <c r="V121" i="16" s="1"/>
  <c r="W121" i="16" a="1"/>
  <c r="W121" i="16" s="1"/>
  <c r="X121" i="16" a="1"/>
  <c r="X121" i="16" s="1"/>
  <c r="V122" i="16" a="1"/>
  <c r="V122" i="16"/>
  <c r="W122" i="16" a="1"/>
  <c r="W122" i="16" s="1"/>
  <c r="X122" i="16" a="1"/>
  <c r="X122" i="16" s="1"/>
  <c r="V123" i="16" a="1"/>
  <c r="V123" i="16" s="1"/>
  <c r="W123" i="16" a="1"/>
  <c r="W123" i="16" s="1"/>
  <c r="X123" i="16" a="1"/>
  <c r="X123" i="16" s="1"/>
  <c r="V124" i="16" a="1"/>
  <c r="V124" i="16" s="1"/>
  <c r="W124" i="16" a="1"/>
  <c r="W124" i="16" s="1"/>
  <c r="X124" i="16" a="1"/>
  <c r="X124" i="16" s="1"/>
  <c r="V125" i="16" a="1"/>
  <c r="V125" i="16" s="1"/>
  <c r="W125" i="16" a="1"/>
  <c r="W125" i="16" s="1"/>
  <c r="X125" i="16" a="1"/>
  <c r="X125" i="16" s="1"/>
  <c r="V126" i="16" a="1"/>
  <c r="V126" i="16" s="1"/>
  <c r="W126" i="16" a="1"/>
  <c r="W126" i="16" s="1"/>
  <c r="X126" i="16" a="1"/>
  <c r="X126" i="16" s="1"/>
  <c r="V127" i="16" a="1"/>
  <c r="V127" i="16" s="1"/>
  <c r="W127" i="16" a="1"/>
  <c r="W127" i="16" s="1"/>
  <c r="X127" i="16" a="1"/>
  <c r="X127" i="16" s="1"/>
  <c r="V128" i="16" a="1"/>
  <c r="V128" i="16" s="1"/>
  <c r="W128" i="16" a="1"/>
  <c r="W128" i="16"/>
  <c r="X128" i="16" a="1"/>
  <c r="X128" i="16" s="1"/>
  <c r="V129" i="16" a="1"/>
  <c r="V129" i="16" s="1"/>
  <c r="W129" i="16" a="1"/>
  <c r="W129" i="16" s="1"/>
  <c r="X129" i="16" a="1"/>
  <c r="X129" i="16" s="1"/>
  <c r="V130" i="16" a="1"/>
  <c r="V130" i="16" s="1"/>
  <c r="W130" i="16" a="1"/>
  <c r="W130" i="16" s="1"/>
  <c r="X130" i="16" a="1"/>
  <c r="X130" i="16"/>
  <c r="V131" i="16" a="1"/>
  <c r="V131" i="16" s="1"/>
  <c r="W131" i="16" a="1"/>
  <c r="W131" i="16"/>
  <c r="X131" i="16" a="1"/>
  <c r="X131" i="16" s="1"/>
  <c r="V132" i="16" a="1"/>
  <c r="V132" i="16" s="1"/>
  <c r="W132" i="16" a="1"/>
  <c r="W132" i="16" s="1"/>
  <c r="X132" i="16" a="1"/>
  <c r="X132" i="16" s="1"/>
  <c r="V133" i="16" a="1"/>
  <c r="V133" i="16" s="1"/>
  <c r="W133" i="16" a="1"/>
  <c r="W133" i="16" s="1"/>
  <c r="X133" i="16" a="1"/>
  <c r="X133" i="16" s="1"/>
  <c r="V134" i="16" a="1"/>
  <c r="V134" i="16" s="1"/>
  <c r="W134" i="16" a="1"/>
  <c r="W134" i="16" s="1"/>
  <c r="X134" i="16" a="1"/>
  <c r="X134" i="16" s="1"/>
  <c r="V135" i="16" a="1"/>
  <c r="V135" i="16" s="1"/>
  <c r="W135" i="16" a="1"/>
  <c r="W135" i="16" s="1"/>
  <c r="X135" i="16" a="1"/>
  <c r="X135" i="16" s="1"/>
  <c r="V136" i="16" a="1"/>
  <c r="V136" i="16" s="1"/>
  <c r="W136" i="16" a="1"/>
  <c r="W136" i="16" s="1"/>
  <c r="X136" i="16" a="1"/>
  <c r="X136" i="16" s="1"/>
  <c r="V137" i="16" a="1"/>
  <c r="V137" i="16" s="1"/>
  <c r="W137" i="16" a="1"/>
  <c r="W137" i="16" s="1"/>
  <c r="X137" i="16" a="1"/>
  <c r="X137" i="16" s="1"/>
  <c r="V138" i="16" a="1"/>
  <c r="V138" i="16" s="1"/>
  <c r="W138" i="16" a="1"/>
  <c r="W138" i="16" s="1"/>
  <c r="X138" i="16" a="1"/>
  <c r="X138" i="16" s="1"/>
  <c r="V139" i="16" a="1"/>
  <c r="V139" i="16"/>
  <c r="W139" i="16" a="1"/>
  <c r="W139" i="16" s="1"/>
  <c r="X139" i="16" a="1"/>
  <c r="X139" i="16" s="1"/>
  <c r="V140" i="16" a="1"/>
  <c r="V140" i="16" s="1"/>
  <c r="W140" i="16" a="1"/>
  <c r="W140" i="16" s="1"/>
  <c r="X140" i="16" a="1"/>
  <c r="X140" i="16" s="1"/>
  <c r="V141" i="16" a="1"/>
  <c r="V141" i="16" s="1"/>
  <c r="W141" i="16" a="1"/>
  <c r="W141" i="16" s="1"/>
  <c r="X141" i="16" a="1"/>
  <c r="X141" i="16" s="1"/>
  <c r="V142" i="16" a="1"/>
  <c r="V142" i="16" s="1"/>
  <c r="W142" i="16" a="1"/>
  <c r="W142" i="16" s="1"/>
  <c r="X142" i="16" a="1"/>
  <c r="X142" i="16" s="1"/>
  <c r="V143" i="16" a="1"/>
  <c r="V143" i="16" s="1"/>
  <c r="W143" i="16" a="1"/>
  <c r="W143" i="16" s="1"/>
  <c r="X143" i="16" a="1"/>
  <c r="X143" i="16" s="1"/>
  <c r="V144" i="16" a="1"/>
  <c r="V144" i="16" s="1"/>
  <c r="W144" i="16" a="1"/>
  <c r="W144" i="16" s="1"/>
  <c r="X144" i="16" a="1"/>
  <c r="X144" i="16"/>
  <c r="V145" i="16" a="1"/>
  <c r="V145" i="16" s="1"/>
  <c r="W145" i="16" a="1"/>
  <c r="W145" i="16" s="1"/>
  <c r="X145" i="16" a="1"/>
  <c r="X145" i="16" s="1"/>
  <c r="V146" i="16" a="1"/>
  <c r="V146" i="16" s="1"/>
  <c r="W146" i="16" a="1"/>
  <c r="W146" i="16" s="1"/>
  <c r="X146" i="16" a="1"/>
  <c r="X146" i="16" s="1"/>
  <c r="V147" i="16" a="1"/>
  <c r="V147" i="16" s="1"/>
  <c r="W147" i="16" a="1"/>
  <c r="W147" i="16" s="1"/>
  <c r="X147" i="16" a="1"/>
  <c r="X147" i="16" s="1"/>
  <c r="V148" i="16" a="1"/>
  <c r="V148" i="16" s="1"/>
  <c r="W148" i="16" a="1"/>
  <c r="W148" i="16" s="1"/>
  <c r="X148" i="16" a="1"/>
  <c r="X148" i="16" s="1"/>
  <c r="V149" i="16" a="1"/>
  <c r="V149" i="16" s="1"/>
  <c r="W149" i="16" a="1"/>
  <c r="W149" i="16" s="1"/>
  <c r="X149" i="16" a="1"/>
  <c r="X149" i="16" s="1"/>
  <c r="V150" i="16" a="1"/>
  <c r="V150" i="16" s="1"/>
  <c r="W150" i="16" a="1"/>
  <c r="W150" i="16" s="1"/>
  <c r="X150" i="16" a="1"/>
  <c r="X150" i="16" s="1"/>
  <c r="V151" i="16" a="1"/>
  <c r="V151" i="16" s="1"/>
  <c r="W151" i="16" a="1"/>
  <c r="W151" i="16" s="1"/>
  <c r="X151" i="16" a="1"/>
  <c r="X151" i="16"/>
  <c r="V152" i="16" a="1"/>
  <c r="V152" i="16" s="1"/>
  <c r="W152" i="16" a="1"/>
  <c r="W152" i="16" s="1"/>
  <c r="X152" i="16" a="1"/>
  <c r="X152" i="16" s="1"/>
  <c r="V153" i="16" a="1"/>
  <c r="V153" i="16" s="1"/>
  <c r="W153" i="16" a="1"/>
  <c r="W153" i="16" s="1"/>
  <c r="X153" i="16" a="1"/>
  <c r="X153" i="16" s="1"/>
  <c r="V154" i="16" a="1"/>
  <c r="V154" i="16" s="1"/>
  <c r="W154" i="16" a="1"/>
  <c r="W154" i="16" s="1"/>
  <c r="X154" i="16" a="1"/>
  <c r="X154" i="16" s="1"/>
  <c r="V155" i="16" a="1"/>
  <c r="V155" i="16" s="1"/>
  <c r="W155" i="16" a="1"/>
  <c r="W155" i="16" s="1"/>
  <c r="X155" i="16" a="1"/>
  <c r="X155" i="16" s="1"/>
  <c r="V156" i="16" a="1"/>
  <c r="V156" i="16" s="1"/>
  <c r="W156" i="16" a="1"/>
  <c r="W156" i="16" s="1"/>
  <c r="X156" i="16" a="1"/>
  <c r="X156" i="16"/>
  <c r="V157" i="16" a="1"/>
  <c r="V157" i="16" s="1"/>
  <c r="W157" i="16" a="1"/>
  <c r="W157" i="16" s="1"/>
  <c r="X157" i="16" a="1"/>
  <c r="X157" i="16"/>
  <c r="V158" i="16" a="1"/>
  <c r="V158" i="16" s="1"/>
  <c r="W158" i="16" a="1"/>
  <c r="W158" i="16" s="1"/>
  <c r="X158" i="16" a="1"/>
  <c r="X158" i="16" s="1"/>
  <c r="V159" i="16" a="1"/>
  <c r="V159" i="16"/>
  <c r="W159" i="16" a="1"/>
  <c r="W159" i="16" s="1"/>
  <c r="X159" i="16" a="1"/>
  <c r="X159" i="16" s="1"/>
  <c r="V160" i="16" a="1"/>
  <c r="V160" i="16"/>
  <c r="W160" i="16" a="1"/>
  <c r="W160" i="16" s="1"/>
  <c r="X160" i="16" a="1"/>
  <c r="X160" i="16" s="1"/>
  <c r="V161" i="16" a="1"/>
  <c r="V161" i="16" s="1"/>
  <c r="W161" i="16" a="1"/>
  <c r="W161" i="16" s="1"/>
  <c r="X161" i="16" a="1"/>
  <c r="X161" i="16" s="1"/>
  <c r="V162" i="16" a="1"/>
  <c r="V162" i="16" s="1"/>
  <c r="W162" i="16" a="1"/>
  <c r="W162" i="16" s="1"/>
  <c r="X162" i="16" a="1"/>
  <c r="X162" i="16" s="1"/>
  <c r="V163" i="16" a="1"/>
  <c r="V163" i="16" s="1"/>
  <c r="W163" i="16" a="1"/>
  <c r="W163" i="16" s="1"/>
  <c r="X163" i="16" a="1"/>
  <c r="X163" i="16" s="1"/>
  <c r="V164" i="16" a="1"/>
  <c r="V164" i="16" s="1"/>
  <c r="W164" i="16" a="1"/>
  <c r="W164" i="16" s="1"/>
  <c r="X164" i="16" a="1"/>
  <c r="X164" i="16" s="1"/>
  <c r="V165" i="16" a="1"/>
  <c r="V165" i="16" s="1"/>
  <c r="W165" i="16" a="1"/>
  <c r="W165" i="16" s="1"/>
  <c r="X165" i="16" a="1"/>
  <c r="X165" i="16" s="1"/>
  <c r="V166" i="16" a="1"/>
  <c r="V166" i="16" s="1"/>
  <c r="W166" i="16" a="1"/>
  <c r="W166" i="16"/>
  <c r="X166" i="16" a="1"/>
  <c r="X166" i="16" s="1"/>
  <c r="V167" i="16" a="1"/>
  <c r="V167" i="16" s="1"/>
  <c r="W167" i="16" a="1"/>
  <c r="W167" i="16" s="1"/>
  <c r="X167" i="16" a="1"/>
  <c r="X167" i="16" s="1"/>
  <c r="V168" i="16" a="1"/>
  <c r="V168" i="16" s="1"/>
  <c r="W168" i="16" a="1"/>
  <c r="W168" i="16" s="1"/>
  <c r="X168" i="16" a="1"/>
  <c r="X168" i="16" s="1"/>
  <c r="V169" i="16" a="1"/>
  <c r="V169" i="16" s="1"/>
  <c r="W169" i="16" a="1"/>
  <c r="W169" i="16"/>
  <c r="X169" i="16" a="1"/>
  <c r="X169" i="16"/>
  <c r="V170" i="16" a="1"/>
  <c r="V170" i="16" s="1"/>
  <c r="W170" i="16" a="1"/>
  <c r="W170" i="16" s="1"/>
  <c r="X170" i="16" a="1"/>
  <c r="X170" i="16" s="1"/>
  <c r="V171" i="16" a="1"/>
  <c r="V171" i="16" s="1"/>
  <c r="W171" i="16" a="1"/>
  <c r="W171" i="16" s="1"/>
  <c r="X171" i="16" a="1"/>
  <c r="X171" i="16" s="1"/>
  <c r="V172" i="16" a="1"/>
  <c r="V172" i="16" s="1"/>
  <c r="W172" i="16" a="1"/>
  <c r="W172" i="16" s="1"/>
  <c r="X172" i="16" a="1"/>
  <c r="X172" i="16" s="1"/>
  <c r="V173" i="16" a="1"/>
  <c r="V173" i="16" s="1"/>
  <c r="W173" i="16" a="1"/>
  <c r="W173" i="16"/>
  <c r="X173" i="16" a="1"/>
  <c r="X173" i="16" s="1"/>
  <c r="V174" i="16" a="1"/>
  <c r="V174" i="16" s="1"/>
  <c r="W174" i="16" a="1"/>
  <c r="W174" i="16" s="1"/>
  <c r="X174" i="16" a="1"/>
  <c r="X174" i="16" s="1"/>
  <c r="V175" i="16" a="1"/>
  <c r="V175" i="16" s="1"/>
  <c r="W175" i="16" a="1"/>
  <c r="W175" i="16" s="1"/>
  <c r="X175" i="16" a="1"/>
  <c r="X175" i="16" s="1"/>
  <c r="V176" i="16" a="1"/>
  <c r="V176" i="16" s="1"/>
  <c r="W176" i="16" a="1"/>
  <c r="W176" i="16" s="1"/>
  <c r="X176" i="16" a="1"/>
  <c r="X176" i="16" s="1"/>
  <c r="V177" i="16" a="1"/>
  <c r="V177" i="16" s="1"/>
  <c r="W177" i="16" a="1"/>
  <c r="W177" i="16" s="1"/>
  <c r="X177" i="16" a="1"/>
  <c r="X177" i="16" s="1"/>
  <c r="V178" i="16" a="1"/>
  <c r="V178" i="16" s="1"/>
  <c r="W178" i="16" a="1"/>
  <c r="W178" i="16" s="1"/>
  <c r="X178" i="16" a="1"/>
  <c r="X178" i="16" s="1"/>
  <c r="V179" i="16" a="1"/>
  <c r="V179" i="16"/>
  <c r="W179" i="16" a="1"/>
  <c r="W179" i="16" s="1"/>
  <c r="X179" i="16" a="1"/>
  <c r="X179" i="16" s="1"/>
  <c r="V180" i="16" a="1"/>
  <c r="V180" i="16" s="1"/>
  <c r="W180" i="16" a="1"/>
  <c r="W180" i="16" s="1"/>
  <c r="X180" i="16" a="1"/>
  <c r="X180" i="16" s="1"/>
  <c r="V181" i="16" a="1"/>
  <c r="V181" i="16" s="1"/>
  <c r="W181" i="16" a="1"/>
  <c r="W181" i="16" s="1"/>
  <c r="X181" i="16" a="1"/>
  <c r="X181" i="16" s="1"/>
  <c r="V182" i="16" a="1"/>
  <c r="V182" i="16" s="1"/>
  <c r="W182" i="16" a="1"/>
  <c r="W182" i="16" s="1"/>
  <c r="X182" i="16" a="1"/>
  <c r="X182" i="16" s="1"/>
  <c r="V183" i="16" a="1"/>
  <c r="V183" i="16" s="1"/>
  <c r="W183" i="16" a="1"/>
  <c r="W183" i="16" s="1"/>
  <c r="X183" i="16" a="1"/>
  <c r="X183" i="16" s="1"/>
  <c r="V184" i="16" a="1"/>
  <c r="V184" i="16" s="1"/>
  <c r="W184" i="16" a="1"/>
  <c r="W184" i="16" s="1"/>
  <c r="X184" i="16" a="1"/>
  <c r="X184" i="16" s="1"/>
  <c r="V185" i="16" a="1"/>
  <c r="V185" i="16" s="1"/>
  <c r="W185" i="16" a="1"/>
  <c r="W185" i="16" s="1"/>
  <c r="X185" i="16" a="1"/>
  <c r="X185" i="16" s="1"/>
  <c r="V186" i="16" a="1"/>
  <c r="V186" i="16" s="1"/>
  <c r="W186" i="16" a="1"/>
  <c r="W186" i="16"/>
  <c r="X186" i="16" a="1"/>
  <c r="X186" i="16" s="1"/>
  <c r="V187" i="16" a="1"/>
  <c r="V187" i="16" s="1"/>
  <c r="W187" i="16" a="1"/>
  <c r="W187" i="16" s="1"/>
  <c r="X187" i="16" a="1"/>
  <c r="X187" i="16" s="1"/>
  <c r="V188" i="16" a="1"/>
  <c r="V188" i="16" s="1"/>
  <c r="W188" i="16" a="1"/>
  <c r="W188" i="16" s="1"/>
  <c r="X188" i="16" a="1"/>
  <c r="X188" i="16" s="1"/>
  <c r="V189" i="16" a="1"/>
  <c r="V189" i="16" s="1"/>
  <c r="W189" i="16" a="1"/>
  <c r="W189" i="16" s="1"/>
  <c r="X189" i="16" a="1"/>
  <c r="X189" i="16" s="1"/>
  <c r="V190" i="16" a="1"/>
  <c r="V190" i="16" s="1"/>
  <c r="W190" i="16" a="1"/>
  <c r="W190" i="16" s="1"/>
  <c r="X190" i="16" a="1"/>
  <c r="X190" i="16" s="1"/>
  <c r="V191" i="16" a="1"/>
  <c r="V191" i="16" s="1"/>
  <c r="W191" i="16" a="1"/>
  <c r="W191" i="16" s="1"/>
  <c r="X191" i="16" a="1"/>
  <c r="X191" i="16" s="1"/>
  <c r="V192" i="16" a="1"/>
  <c r="V192" i="16" s="1"/>
  <c r="W192" i="16" a="1"/>
  <c r="W192" i="16" s="1"/>
  <c r="X192" i="16" a="1"/>
  <c r="X192" i="16" s="1"/>
  <c r="V193" i="16" a="1"/>
  <c r="V193" i="16" s="1"/>
  <c r="W193" i="16" a="1"/>
  <c r="W193" i="16" s="1"/>
  <c r="X193" i="16" a="1"/>
  <c r="X193" i="16" s="1"/>
  <c r="V194" i="16" a="1"/>
  <c r="V194" i="16" s="1"/>
  <c r="W194" i="16" a="1"/>
  <c r="W194" i="16" s="1"/>
  <c r="X194" i="16" a="1"/>
  <c r="X194" i="16" s="1"/>
  <c r="V195" i="16" a="1"/>
  <c r="V195" i="16" s="1"/>
  <c r="W195" i="16" a="1"/>
  <c r="W195" i="16" s="1"/>
  <c r="X195" i="16" a="1"/>
  <c r="X195" i="16" s="1"/>
  <c r="V196" i="16" a="1"/>
  <c r="V196" i="16" s="1"/>
  <c r="W196" i="16" a="1"/>
  <c r="W196" i="16" s="1"/>
  <c r="X196" i="16" a="1"/>
  <c r="X196" i="16" s="1"/>
  <c r="V197" i="16" a="1"/>
  <c r="V197" i="16" s="1"/>
  <c r="W197" i="16" a="1"/>
  <c r="W197" i="16" s="1"/>
  <c r="X197" i="16" a="1"/>
  <c r="X197" i="16" s="1"/>
  <c r="V198" i="16" a="1"/>
  <c r="V198" i="16" s="1"/>
  <c r="W198" i="16" a="1"/>
  <c r="W198" i="16" s="1"/>
  <c r="X198" i="16" a="1"/>
  <c r="X198" i="16" s="1"/>
  <c r="V199" i="16" a="1"/>
  <c r="V199" i="16" s="1"/>
  <c r="W199" i="16" a="1"/>
  <c r="W199" i="16" s="1"/>
  <c r="X199" i="16" a="1"/>
  <c r="X199" i="16" s="1"/>
  <c r="V200" i="16" a="1"/>
  <c r="V200" i="16" s="1"/>
  <c r="W200" i="16" a="1"/>
  <c r="W200" i="16" s="1"/>
  <c r="X200" i="16" a="1"/>
  <c r="X200" i="16" s="1"/>
  <c r="V201" i="16" a="1"/>
  <c r="V201" i="16" s="1"/>
  <c r="W201" i="16" a="1"/>
  <c r="W201" i="16" s="1"/>
  <c r="X201" i="16" a="1"/>
  <c r="X201" i="16" s="1"/>
  <c r="V202" i="16" a="1"/>
  <c r="V202" i="16" s="1"/>
  <c r="W202" i="16" a="1"/>
  <c r="W202" i="16" s="1"/>
  <c r="X202" i="16" a="1"/>
  <c r="X202" i="16" s="1"/>
  <c r="V203" i="16" a="1"/>
  <c r="V203" i="16" s="1"/>
  <c r="W203" i="16" a="1"/>
  <c r="W203" i="16" s="1"/>
  <c r="X203" i="16" a="1"/>
  <c r="X203" i="16" s="1"/>
  <c r="V204" i="16" a="1"/>
  <c r="V204" i="16" s="1"/>
  <c r="W204" i="16" a="1"/>
  <c r="W204" i="16" s="1"/>
  <c r="X204" i="16" a="1"/>
  <c r="X204" i="16" s="1"/>
  <c r="V205" i="16" a="1"/>
  <c r="V205" i="16" s="1"/>
  <c r="W205" i="16" a="1"/>
  <c r="W205" i="16" s="1"/>
  <c r="X205" i="16" a="1"/>
  <c r="X205" i="16"/>
  <c r="V206" i="16" a="1"/>
  <c r="V206" i="16" s="1"/>
  <c r="W206" i="16" a="1"/>
  <c r="W206" i="16"/>
  <c r="X206" i="16" a="1"/>
  <c r="X206" i="16" s="1"/>
  <c r="V207" i="16" a="1"/>
  <c r="V207" i="16" s="1"/>
  <c r="W207" i="16" a="1"/>
  <c r="W207" i="16" s="1"/>
  <c r="X207" i="16" a="1"/>
  <c r="X207" i="16" s="1"/>
  <c r="V208" i="16" a="1"/>
  <c r="V208" i="16" s="1"/>
  <c r="W208" i="16" a="1"/>
  <c r="W208" i="16" s="1"/>
  <c r="X208" i="16" a="1"/>
  <c r="X208" i="16" s="1"/>
  <c r="V209" i="16" a="1"/>
  <c r="V209" i="16"/>
  <c r="W209" i="16" a="1"/>
  <c r="W209" i="16" s="1"/>
  <c r="X209" i="16" a="1"/>
  <c r="X209" i="16" s="1"/>
  <c r="V210" i="16" a="1"/>
  <c r="V210" i="16" s="1"/>
  <c r="W210" i="16" a="1"/>
  <c r="W210" i="16" s="1"/>
  <c r="X210" i="16" a="1"/>
  <c r="X210" i="16" s="1"/>
  <c r="V211" i="16" a="1"/>
  <c r="V211" i="16" s="1"/>
  <c r="W211" i="16" a="1"/>
  <c r="W211" i="16" s="1"/>
  <c r="X211" i="16" a="1"/>
  <c r="X211" i="16" s="1"/>
  <c r="V212" i="16" a="1"/>
  <c r="V212" i="16" s="1"/>
  <c r="W212" i="16" a="1"/>
  <c r="W212" i="16" s="1"/>
  <c r="X212" i="16" a="1"/>
  <c r="X212" i="16" s="1"/>
  <c r="V213" i="16" a="1"/>
  <c r="V213" i="16" s="1"/>
  <c r="W213" i="16" a="1"/>
  <c r="W213" i="16" s="1"/>
  <c r="X213" i="16" a="1"/>
  <c r="X213" i="16" s="1"/>
  <c r="V214" i="16" a="1"/>
  <c r="V214" i="16" s="1"/>
  <c r="W214" i="16" a="1"/>
  <c r="W214" i="16" s="1"/>
  <c r="X214" i="16" a="1"/>
  <c r="X214" i="16" s="1"/>
  <c r="V215" i="16" a="1"/>
  <c r="V215" i="16" s="1"/>
  <c r="W215" i="16" a="1"/>
  <c r="W215" i="16" s="1"/>
  <c r="X215" i="16" a="1"/>
  <c r="X215" i="16" s="1"/>
  <c r="V216" i="16" a="1"/>
  <c r="V216" i="16" s="1"/>
  <c r="W216" i="16" a="1"/>
  <c r="W216" i="16" s="1"/>
  <c r="X216" i="16" a="1"/>
  <c r="X216" i="16" s="1"/>
  <c r="V217" i="16" a="1"/>
  <c r="V217" i="16" s="1"/>
  <c r="W217" i="16" a="1"/>
  <c r="W217" i="16" s="1"/>
  <c r="X217" i="16" a="1"/>
  <c r="X217" i="16" s="1"/>
  <c r="V218" i="16" a="1"/>
  <c r="V218" i="16" s="1"/>
  <c r="W218" i="16" a="1"/>
  <c r="W218" i="16" s="1"/>
  <c r="X218" i="16" a="1"/>
  <c r="X218" i="16" s="1"/>
  <c r="V219" i="16" a="1"/>
  <c r="V219" i="16" s="1"/>
  <c r="W219" i="16" a="1"/>
  <c r="W219" i="16" s="1"/>
  <c r="X219" i="16" a="1"/>
  <c r="X219" i="16" s="1"/>
  <c r="V220" i="16" a="1"/>
  <c r="V220" i="16" s="1"/>
  <c r="W220" i="16" a="1"/>
  <c r="W220" i="16" s="1"/>
  <c r="X220" i="16" a="1"/>
  <c r="X220" i="16" s="1"/>
  <c r="V221" i="16" a="1"/>
  <c r="V221" i="16" s="1"/>
  <c r="W221" i="16" a="1"/>
  <c r="W221" i="16" s="1"/>
  <c r="X221" i="16" a="1"/>
  <c r="X221" i="16" s="1"/>
  <c r="V222" i="16" a="1"/>
  <c r="V222" i="16" s="1"/>
  <c r="W222" i="16" a="1"/>
  <c r="W222" i="16" s="1"/>
  <c r="X222" i="16" a="1"/>
  <c r="X222" i="16" s="1"/>
  <c r="V223" i="16" a="1"/>
  <c r="V223" i="16"/>
  <c r="W223" i="16" a="1"/>
  <c r="W223" i="16" s="1"/>
  <c r="X223" i="16" a="1"/>
  <c r="X223" i="16" s="1"/>
  <c r="V224" i="16" a="1"/>
  <c r="V224" i="16" s="1"/>
  <c r="W224" i="16" a="1"/>
  <c r="W224" i="16" s="1"/>
  <c r="X224" i="16" a="1"/>
  <c r="X224" i="16" s="1"/>
  <c r="V225" i="16" a="1"/>
  <c r="V225" i="16" s="1"/>
  <c r="W225" i="16" a="1"/>
  <c r="W225" i="16" s="1"/>
  <c r="X225" i="16" a="1"/>
  <c r="X225" i="16" s="1"/>
  <c r="V226" i="16" a="1"/>
  <c r="V226" i="16" s="1"/>
  <c r="W226" i="16" a="1"/>
  <c r="W226" i="16" s="1"/>
  <c r="X226" i="16" a="1"/>
  <c r="X226" i="16" s="1"/>
  <c r="V227" i="16" a="1"/>
  <c r="V227" i="16" s="1"/>
  <c r="W227" i="16" a="1"/>
  <c r="W227" i="16" s="1"/>
  <c r="X227" i="16" a="1"/>
  <c r="X227" i="16" s="1"/>
  <c r="V228" i="16" a="1"/>
  <c r="V228" i="16" s="1"/>
  <c r="W228" i="16" a="1"/>
  <c r="W228" i="16" s="1"/>
  <c r="X228" i="16" a="1"/>
  <c r="X228" i="16" s="1"/>
  <c r="V229" i="16" a="1"/>
  <c r="V229" i="16" s="1"/>
  <c r="W229" i="16" a="1"/>
  <c r="W229" i="16" s="1"/>
  <c r="X229" i="16" a="1"/>
  <c r="X229" i="16" s="1"/>
  <c r="V230" i="16" a="1"/>
  <c r="V230" i="16"/>
  <c r="W230" i="16" a="1"/>
  <c r="W230" i="16" s="1"/>
  <c r="X230" i="16" a="1"/>
  <c r="X230" i="16" s="1"/>
  <c r="V231" i="16" a="1"/>
  <c r="V231" i="16" s="1"/>
  <c r="W231" i="16" a="1"/>
  <c r="W231" i="16" s="1"/>
  <c r="X231" i="16" a="1"/>
  <c r="X231" i="16" s="1"/>
  <c r="V232" i="16" a="1"/>
  <c r="V232" i="16" s="1"/>
  <c r="W232" i="16" a="1"/>
  <c r="W232" i="16" s="1"/>
  <c r="X232" i="16" a="1"/>
  <c r="X232" i="16" s="1"/>
  <c r="V233" i="16" a="1"/>
  <c r="V233" i="16" s="1"/>
  <c r="W233" i="16" a="1"/>
  <c r="W233" i="16" s="1"/>
  <c r="X233" i="16" a="1"/>
  <c r="X233" i="16" s="1"/>
  <c r="V234" i="16" a="1"/>
  <c r="V234" i="16" s="1"/>
  <c r="W234" i="16" a="1"/>
  <c r="W234" i="16" s="1"/>
  <c r="X234" i="16" a="1"/>
  <c r="X234" i="16" s="1"/>
  <c r="V235" i="16" a="1"/>
  <c r="V235" i="16" s="1"/>
  <c r="W235" i="16" a="1"/>
  <c r="W235" i="16" s="1"/>
  <c r="X235" i="16" a="1"/>
  <c r="X235" i="16" s="1"/>
  <c r="V236" i="16" a="1"/>
  <c r="V236" i="16" s="1"/>
  <c r="W236" i="16" a="1"/>
  <c r="W236" i="16" s="1"/>
  <c r="X236" i="16" a="1"/>
  <c r="X236" i="16" s="1"/>
  <c r="V237" i="16" a="1"/>
  <c r="V237" i="16" s="1"/>
  <c r="W237" i="16" a="1"/>
  <c r="W237" i="16" s="1"/>
  <c r="X237" i="16" a="1"/>
  <c r="X237" i="16" s="1"/>
  <c r="V238" i="16" a="1"/>
  <c r="V238" i="16" s="1"/>
  <c r="W238" i="16" a="1"/>
  <c r="W238" i="16" s="1"/>
  <c r="X238" i="16" a="1"/>
  <c r="X238" i="16" s="1"/>
  <c r="V239" i="16" a="1"/>
  <c r="V239" i="16" s="1"/>
  <c r="W239" i="16" a="1"/>
  <c r="W239" i="16" s="1"/>
  <c r="X239" i="16" a="1"/>
  <c r="X239" i="16"/>
  <c r="V240" i="16" a="1"/>
  <c r="V240" i="16" s="1"/>
  <c r="W240" i="16" a="1"/>
  <c r="W240" i="16" s="1"/>
  <c r="X240" i="16" a="1"/>
  <c r="X240" i="16" s="1"/>
  <c r="V241" i="16" a="1"/>
  <c r="V241" i="16" s="1"/>
  <c r="W241" i="16" a="1"/>
  <c r="W241" i="16"/>
  <c r="X241" i="16" a="1"/>
  <c r="X241" i="16" s="1"/>
  <c r="V242" i="16" a="1"/>
  <c r="V242" i="16"/>
  <c r="W242" i="16" a="1"/>
  <c r="W242" i="16" s="1"/>
  <c r="X242" i="16" a="1"/>
  <c r="X242" i="16" s="1"/>
  <c r="V243" i="16" a="1"/>
  <c r="V243" i="16" s="1"/>
  <c r="W243" i="16" a="1"/>
  <c r="W243" i="16" s="1"/>
  <c r="X243" i="16" a="1"/>
  <c r="X243" i="16" s="1"/>
  <c r="V244" i="16" a="1"/>
  <c r="V244" i="16" s="1"/>
  <c r="W244" i="16" a="1"/>
  <c r="W244" i="16" s="1"/>
  <c r="X244" i="16" a="1"/>
  <c r="X244" i="16"/>
  <c r="V245" i="16" a="1"/>
  <c r="V245" i="16" s="1"/>
  <c r="W245" i="16" a="1"/>
  <c r="W245" i="16" s="1"/>
  <c r="X245" i="16" a="1"/>
  <c r="X245" i="16" s="1"/>
  <c r="V246" i="16" a="1"/>
  <c r="V246" i="16" s="1"/>
  <c r="W246" i="16" a="1"/>
  <c r="W246" i="16" s="1"/>
  <c r="X246" i="16" a="1"/>
  <c r="X246" i="16" s="1"/>
  <c r="V247" i="16" a="1"/>
  <c r="V247" i="16" s="1"/>
  <c r="W247" i="16" a="1"/>
  <c r="W247" i="16" s="1"/>
  <c r="X247" i="16" a="1"/>
  <c r="X247" i="16" s="1"/>
  <c r="V248" i="16" a="1"/>
  <c r="V248" i="16"/>
  <c r="W248" i="16" a="1"/>
  <c r="W248" i="16" s="1"/>
  <c r="X248" i="16" a="1"/>
  <c r="X248" i="16" s="1"/>
  <c r="V249" i="16" a="1"/>
  <c r="V249" i="16" s="1"/>
  <c r="W249" i="16" a="1"/>
  <c r="W249" i="16" s="1"/>
  <c r="X249" i="16" a="1"/>
  <c r="X249" i="16" s="1"/>
  <c r="V250" i="16" a="1"/>
  <c r="V250" i="16" s="1"/>
  <c r="W250" i="16" a="1"/>
  <c r="W250" i="16" s="1"/>
  <c r="X250" i="16" a="1"/>
  <c r="X250" i="16" s="1"/>
  <c r="V251" i="16" a="1"/>
  <c r="V251" i="16" s="1"/>
  <c r="W251" i="16" a="1"/>
  <c r="W251" i="16" s="1"/>
  <c r="X251" i="16" a="1"/>
  <c r="X251" i="16" s="1"/>
  <c r="V252" i="16" a="1"/>
  <c r="V252" i="16" s="1"/>
  <c r="W252" i="16" a="1"/>
  <c r="W252" i="16" s="1"/>
  <c r="X252" i="16" a="1"/>
  <c r="X252" i="16" s="1"/>
  <c r="V253" i="16" a="1"/>
  <c r="V253" i="16" s="1"/>
  <c r="W253" i="16" a="1"/>
  <c r="W253" i="16" s="1"/>
  <c r="X253" i="16" a="1"/>
  <c r="X253" i="16"/>
  <c r="V254" i="16" a="1"/>
  <c r="V254" i="16" s="1"/>
  <c r="W254" i="16" a="1"/>
  <c r="W254" i="16" s="1"/>
  <c r="X254" i="16" a="1"/>
  <c r="X254" i="16" s="1"/>
  <c r="V255" i="16" a="1"/>
  <c r="V255" i="16" s="1"/>
  <c r="W255" i="16" a="1"/>
  <c r="W255" i="16" s="1"/>
  <c r="X255" i="16" a="1"/>
  <c r="X255" i="16" s="1"/>
  <c r="V256" i="16" a="1"/>
  <c r="V256" i="16" s="1"/>
  <c r="W256" i="16" a="1"/>
  <c r="W256" i="16" s="1"/>
  <c r="X256" i="16" a="1"/>
  <c r="X256" i="16" s="1"/>
  <c r="V257" i="16" a="1"/>
  <c r="V257" i="16" s="1"/>
  <c r="W257" i="16" a="1"/>
  <c r="W257" i="16" s="1"/>
  <c r="X257" i="16" a="1"/>
  <c r="X257" i="16"/>
  <c r="V258" i="16" a="1"/>
  <c r="V258" i="16" s="1"/>
  <c r="W258" i="16" a="1"/>
  <c r="W258" i="16" s="1"/>
  <c r="X258" i="16" a="1"/>
  <c r="X258" i="16"/>
  <c r="V259" i="16" a="1"/>
  <c r="V259" i="16" s="1"/>
  <c r="W259" i="16" a="1"/>
  <c r="W259" i="16" s="1"/>
  <c r="X259" i="16" a="1"/>
  <c r="X259" i="16" s="1"/>
  <c r="V260" i="16" a="1"/>
  <c r="V260" i="16" s="1"/>
  <c r="W260" i="16" a="1"/>
  <c r="W260" i="16" s="1"/>
  <c r="X260" i="16" a="1"/>
  <c r="X260" i="16" s="1"/>
  <c r="V261" i="16" a="1"/>
  <c r="V261" i="16" s="1"/>
  <c r="W261" i="16" a="1"/>
  <c r="W261" i="16"/>
  <c r="X261" i="16" a="1"/>
  <c r="X261" i="16" s="1"/>
  <c r="V262" i="16" a="1"/>
  <c r="V262" i="16" s="1"/>
  <c r="W262" i="16" a="1"/>
  <c r="W262" i="16" s="1"/>
  <c r="X262" i="16" a="1"/>
  <c r="X262" i="16" s="1"/>
  <c r="V263" i="16" a="1"/>
  <c r="V263" i="16" s="1"/>
  <c r="W263" i="16" a="1"/>
  <c r="W263" i="16" s="1"/>
  <c r="X263" i="16" a="1"/>
  <c r="X263" i="16" s="1"/>
  <c r="V264" i="16" a="1"/>
  <c r="V264" i="16" s="1"/>
  <c r="W264" i="16" a="1"/>
  <c r="W264" i="16" s="1"/>
  <c r="X264" i="16" a="1"/>
  <c r="X264" i="16" s="1"/>
  <c r="V265" i="16" a="1"/>
  <c r="V265" i="16" s="1"/>
  <c r="W265" i="16" a="1"/>
  <c r="W265" i="16" s="1"/>
  <c r="X265" i="16" a="1"/>
  <c r="X265" i="16" s="1"/>
  <c r="V266" i="16" a="1"/>
  <c r="V266" i="16" s="1"/>
  <c r="W266" i="16" a="1"/>
  <c r="W266" i="16" s="1"/>
  <c r="X266" i="16" a="1"/>
  <c r="X266" i="16" s="1"/>
  <c r="V267" i="16" a="1"/>
  <c r="V267" i="16"/>
  <c r="W267" i="16" a="1"/>
  <c r="W267" i="16" s="1"/>
  <c r="X267" i="16" a="1"/>
  <c r="X267" i="16" s="1"/>
  <c r="V268" i="16" a="1"/>
  <c r="V268" i="16" s="1"/>
  <c r="W268" i="16" a="1"/>
  <c r="W268" i="16" s="1"/>
  <c r="X268" i="16" a="1"/>
  <c r="X268" i="16" s="1"/>
  <c r="V269" i="16" a="1"/>
  <c r="V269" i="16" s="1"/>
  <c r="W269" i="16" a="1"/>
  <c r="W269" i="16" s="1"/>
  <c r="X269" i="16" a="1"/>
  <c r="X269" i="16" s="1"/>
  <c r="V270" i="16" a="1"/>
  <c r="V270" i="16" s="1"/>
  <c r="W270" i="16" a="1"/>
  <c r="W270" i="16"/>
  <c r="X270" i="16" a="1"/>
  <c r="X270" i="16" s="1"/>
  <c r="V271" i="16" a="1"/>
  <c r="V271" i="16" s="1"/>
  <c r="W271" i="16" a="1"/>
  <c r="W271" i="16" s="1"/>
  <c r="X271" i="16" a="1"/>
  <c r="X271" i="16"/>
  <c r="V272" i="16" a="1"/>
  <c r="V272" i="16" s="1"/>
  <c r="W272" i="16" a="1"/>
  <c r="W272" i="16" s="1"/>
  <c r="X272" i="16" a="1"/>
  <c r="X272" i="16" s="1"/>
  <c r="V273" i="16" a="1"/>
  <c r="V273" i="16" s="1"/>
  <c r="W273" i="16" a="1"/>
  <c r="W273" i="16" s="1"/>
  <c r="X273" i="16" a="1"/>
  <c r="X273" i="16" s="1"/>
  <c r="V274" i="16" a="1"/>
  <c r="V274" i="16" s="1"/>
  <c r="W274" i="16" a="1"/>
  <c r="W274" i="16" s="1"/>
  <c r="X274" i="16" a="1"/>
  <c r="X274" i="16" s="1"/>
  <c r="V275" i="16" a="1"/>
  <c r="V275" i="16" s="1"/>
  <c r="W275" i="16" a="1"/>
  <c r="W275" i="16" s="1"/>
  <c r="X275" i="16" a="1"/>
  <c r="X275" i="16" s="1"/>
  <c r="V276" i="16" a="1"/>
  <c r="V276" i="16"/>
  <c r="W276" i="16" a="1"/>
  <c r="W276" i="16" s="1"/>
  <c r="X276" i="16" a="1"/>
  <c r="X276" i="16" s="1"/>
  <c r="V277" i="16" a="1"/>
  <c r="V277" i="16" s="1"/>
  <c r="W277" i="16" a="1"/>
  <c r="W277" i="16" s="1"/>
  <c r="X277" i="16" a="1"/>
  <c r="X277" i="16" s="1"/>
  <c r="V278" i="16" a="1"/>
  <c r="V278" i="16" s="1"/>
  <c r="W278" i="16" a="1"/>
  <c r="W278" i="16" s="1"/>
  <c r="X278" i="16" a="1"/>
  <c r="X278" i="16" s="1"/>
  <c r="V279" i="16" a="1"/>
  <c r="V279" i="16" s="1"/>
  <c r="W279" i="16" a="1"/>
  <c r="W279" i="16" s="1"/>
  <c r="X279" i="16" a="1"/>
  <c r="X279" i="16" s="1"/>
  <c r="V280" i="16" a="1"/>
  <c r="V280" i="16" s="1"/>
  <c r="W280" i="16" a="1"/>
  <c r="W280" i="16"/>
  <c r="X280" i="16" a="1"/>
  <c r="X280" i="16" s="1"/>
  <c r="V281" i="16" a="1"/>
  <c r="V281" i="16" s="1"/>
  <c r="W281" i="16" a="1"/>
  <c r="W281" i="16" s="1"/>
  <c r="X281" i="16" a="1"/>
  <c r="X281" i="16" s="1"/>
  <c r="V282" i="16" a="1"/>
  <c r="V282" i="16" s="1"/>
  <c r="W282" i="16" a="1"/>
  <c r="W282" i="16" s="1"/>
  <c r="X282" i="16" a="1"/>
  <c r="X282" i="16" s="1"/>
  <c r="V283" i="16" a="1"/>
  <c r="V283" i="16" s="1"/>
  <c r="W283" i="16" a="1"/>
  <c r="W283" i="16" s="1"/>
  <c r="X283" i="16" a="1"/>
  <c r="X283" i="16"/>
  <c r="V284" i="16" a="1"/>
  <c r="V284" i="16" s="1"/>
  <c r="W284" i="16" a="1"/>
  <c r="W284" i="16" s="1"/>
  <c r="X284" i="16" a="1"/>
  <c r="X284" i="16" s="1"/>
  <c r="V285" i="16" a="1"/>
  <c r="V285" i="16" s="1"/>
  <c r="W285" i="16" a="1"/>
  <c r="W285" i="16" s="1"/>
  <c r="X285" i="16" a="1"/>
  <c r="X285" i="16" s="1"/>
  <c r="V286" i="16" a="1"/>
  <c r="V286" i="16"/>
  <c r="W286" i="16" a="1"/>
  <c r="W286" i="16" s="1"/>
  <c r="X286" i="16" a="1"/>
  <c r="X286" i="16" s="1"/>
  <c r="V287" i="16" a="1"/>
  <c r="V287" i="16" s="1"/>
  <c r="W287" i="16" a="1"/>
  <c r="W287" i="16" s="1"/>
  <c r="X287" i="16" a="1"/>
  <c r="X287" i="16" s="1"/>
  <c r="V288" i="16" a="1"/>
  <c r="V288" i="16" s="1"/>
  <c r="W288" i="16" a="1"/>
  <c r="W288" i="16" s="1"/>
  <c r="X288" i="16" a="1"/>
  <c r="X288" i="16" s="1"/>
  <c r="V289" i="16" a="1"/>
  <c r="V289" i="16" s="1"/>
  <c r="W289" i="16" a="1"/>
  <c r="W289" i="16"/>
  <c r="X289" i="16" a="1"/>
  <c r="X289" i="16" s="1"/>
  <c r="V290" i="16" a="1"/>
  <c r="V290" i="16" s="1"/>
  <c r="W290" i="16" a="1"/>
  <c r="W290" i="16" s="1"/>
  <c r="X290" i="16" a="1"/>
  <c r="X290" i="16" s="1"/>
  <c r="V291" i="16" a="1"/>
  <c r="V291" i="16" s="1"/>
  <c r="W291" i="16" a="1"/>
  <c r="W291" i="16" s="1"/>
  <c r="X291" i="16" a="1"/>
  <c r="X291" i="16" s="1"/>
  <c r="V292" i="16" a="1"/>
  <c r="V292" i="16"/>
  <c r="W292" i="16" a="1"/>
  <c r="W292" i="16" s="1"/>
  <c r="X292" i="16" a="1"/>
  <c r="X292" i="16" s="1"/>
  <c r="V293" i="16" a="1"/>
  <c r="V293" i="16" s="1"/>
  <c r="W293" i="16" a="1"/>
  <c r="W293" i="16" s="1"/>
  <c r="X293" i="16" a="1"/>
  <c r="X293" i="16" s="1"/>
  <c r="V294" i="16" a="1"/>
  <c r="V294" i="16" s="1"/>
  <c r="W294" i="16" a="1"/>
  <c r="W294" i="16" s="1"/>
  <c r="X294" i="16" a="1"/>
  <c r="X294" i="16" s="1"/>
  <c r="V295" i="16" a="1"/>
  <c r="V295" i="16" s="1"/>
  <c r="W295" i="16" a="1"/>
  <c r="W295" i="16" s="1"/>
  <c r="X295" i="16" a="1"/>
  <c r="X295" i="16" s="1"/>
  <c r="V296" i="16" a="1"/>
  <c r="V296" i="16" s="1"/>
  <c r="W296" i="16" a="1"/>
  <c r="W296" i="16" s="1"/>
  <c r="X296" i="16" a="1"/>
  <c r="X296" i="16" s="1"/>
  <c r="V297" i="16" a="1"/>
  <c r="V297" i="16" s="1"/>
  <c r="W297" i="16" a="1"/>
  <c r="W297" i="16" s="1"/>
  <c r="X297" i="16" a="1"/>
  <c r="X297" i="16"/>
  <c r="V298" i="16" a="1"/>
  <c r="V298" i="16" s="1"/>
  <c r="W298" i="16" a="1"/>
  <c r="W298" i="16"/>
  <c r="X298" i="16" a="1"/>
  <c r="X298" i="16" s="1"/>
  <c r="V299" i="16" a="1"/>
  <c r="V299" i="16" s="1"/>
  <c r="W299" i="16" a="1"/>
  <c r="W299" i="16" s="1"/>
  <c r="X299" i="16" a="1"/>
  <c r="X299" i="16" s="1"/>
  <c r="V300" i="16" a="1"/>
  <c r="V300" i="16" s="1"/>
  <c r="W300" i="16" a="1"/>
  <c r="W300" i="16" s="1"/>
  <c r="X300" i="16" a="1"/>
  <c r="X300" i="16" s="1"/>
  <c r="V301" i="16" a="1"/>
  <c r="V301" i="16" s="1"/>
  <c r="W301" i="16" a="1"/>
  <c r="W301" i="16"/>
  <c r="X301" i="16" a="1"/>
  <c r="X301" i="16" s="1"/>
  <c r="V302" i="16" a="1"/>
  <c r="V302" i="16" s="1"/>
  <c r="W302" i="16" a="1"/>
  <c r="W302" i="16" s="1"/>
  <c r="X302" i="16" a="1"/>
  <c r="X302" i="16" s="1"/>
  <c r="V303" i="16" a="1"/>
  <c r="V303" i="16" s="1"/>
  <c r="W303" i="16" a="1"/>
  <c r="W303" i="16" s="1"/>
  <c r="X303" i="16" a="1"/>
  <c r="X303" i="16" s="1"/>
  <c r="V304" i="16" a="1"/>
  <c r="V304" i="16" s="1"/>
  <c r="W304" i="16" a="1"/>
  <c r="W304" i="16" s="1"/>
  <c r="X304" i="16" a="1"/>
  <c r="X304" i="16" s="1"/>
  <c r="V305" i="16" a="1"/>
  <c r="V305" i="16" s="1"/>
  <c r="W305" i="16" a="1"/>
  <c r="W305" i="16" s="1"/>
  <c r="X305" i="16" a="1"/>
  <c r="X305" i="16" s="1"/>
  <c r="V306" i="16" a="1"/>
  <c r="V306" i="16" s="1"/>
  <c r="W306" i="16" a="1"/>
  <c r="W306" i="16"/>
  <c r="X306" i="16" a="1"/>
  <c r="X306" i="16" s="1"/>
  <c r="V307" i="16" a="1"/>
  <c r="V307" i="16" s="1"/>
  <c r="W307" i="16" a="1"/>
  <c r="W307" i="16" s="1"/>
  <c r="X307" i="16" a="1"/>
  <c r="X307" i="16" s="1"/>
  <c r="V308" i="16" a="1"/>
  <c r="V308" i="16" s="1"/>
  <c r="W308" i="16" a="1"/>
  <c r="W308" i="16" s="1"/>
  <c r="X308" i="16" a="1"/>
  <c r="X308" i="16" s="1"/>
  <c r="V309" i="16" a="1"/>
  <c r="V309" i="16" s="1"/>
  <c r="W309" i="16" a="1"/>
  <c r="W309" i="16" s="1"/>
  <c r="X309" i="16" a="1"/>
  <c r="X309" i="16" s="1"/>
  <c r="V310" i="16" a="1"/>
  <c r="V310" i="16" s="1"/>
  <c r="W310" i="16" a="1"/>
  <c r="W310" i="16" s="1"/>
  <c r="X310" i="16" a="1"/>
  <c r="X310" i="16" s="1"/>
  <c r="V311" i="16" a="1"/>
  <c r="V311" i="16" s="1"/>
  <c r="W311" i="16" a="1"/>
  <c r="W311" i="16" s="1"/>
  <c r="X311" i="16" a="1"/>
  <c r="X311" i="16" s="1"/>
  <c r="V312" i="16" a="1"/>
  <c r="V312" i="16" s="1"/>
  <c r="W312" i="16" a="1"/>
  <c r="W312" i="16" s="1"/>
  <c r="X312" i="16" a="1"/>
  <c r="X312" i="16" s="1"/>
  <c r="V313" i="16" a="1"/>
  <c r="V313" i="16" s="1"/>
  <c r="W313" i="16" a="1"/>
  <c r="W313" i="16" s="1"/>
  <c r="X313" i="16" a="1"/>
  <c r="X313" i="16" s="1"/>
  <c r="V314" i="16" a="1"/>
  <c r="V314" i="16" s="1"/>
  <c r="W314" i="16" a="1"/>
  <c r="W314" i="16"/>
  <c r="X314" i="16" a="1"/>
  <c r="X314" i="16" s="1"/>
  <c r="V315" i="16" a="1"/>
  <c r="V315" i="16" s="1"/>
  <c r="W315" i="16" a="1"/>
  <c r="W315" i="16" s="1"/>
  <c r="X315" i="16" a="1"/>
  <c r="X315" i="16" s="1"/>
  <c r="V316" i="16" a="1"/>
  <c r="V316" i="16" s="1"/>
  <c r="W316" i="16" a="1"/>
  <c r="W316" i="16" s="1"/>
  <c r="X316" i="16" a="1"/>
  <c r="X316" i="16" s="1"/>
  <c r="V317" i="16" a="1"/>
  <c r="V317" i="16"/>
  <c r="W317" i="16" a="1"/>
  <c r="W317" i="16" s="1"/>
  <c r="X317" i="16" a="1"/>
  <c r="X317" i="16" s="1"/>
  <c r="V318" i="16" a="1"/>
  <c r="V318" i="16" s="1"/>
  <c r="W318" i="16" a="1"/>
  <c r="W318" i="16" s="1"/>
  <c r="X318" i="16" a="1"/>
  <c r="X318" i="16"/>
  <c r="V319" i="16" a="1"/>
  <c r="V319" i="16" s="1"/>
  <c r="W319" i="16" a="1"/>
  <c r="W319" i="16" s="1"/>
  <c r="X319" i="16" a="1"/>
  <c r="X319" i="16" s="1"/>
  <c r="V320" i="16" a="1"/>
  <c r="V320" i="16" s="1"/>
  <c r="W320" i="16" a="1"/>
  <c r="W320" i="16" s="1"/>
  <c r="X320" i="16" a="1"/>
  <c r="X320" i="16" s="1"/>
  <c r="V321" i="16" a="1"/>
  <c r="V321" i="16" s="1"/>
  <c r="W321" i="16" a="1"/>
  <c r="W321" i="16" s="1"/>
  <c r="X321" i="16" a="1"/>
  <c r="X321" i="16"/>
  <c r="V322" i="16" a="1"/>
  <c r="V322" i="16" s="1"/>
  <c r="W322" i="16" a="1"/>
  <c r="W322" i="16" s="1"/>
  <c r="X322" i="16" a="1"/>
  <c r="X322" i="16" s="1"/>
  <c r="V323" i="16" a="1"/>
  <c r="V323" i="16" s="1"/>
  <c r="W323" i="16" a="1"/>
  <c r="W323" i="16" s="1"/>
  <c r="X323" i="16" a="1"/>
  <c r="X323" i="16" s="1"/>
  <c r="V324" i="16" a="1"/>
  <c r="V324" i="16" s="1"/>
  <c r="W324" i="16" a="1"/>
  <c r="W324" i="16" s="1"/>
  <c r="X324" i="16" a="1"/>
  <c r="X324" i="16" s="1"/>
  <c r="V325" i="16" a="1"/>
  <c r="V325" i="16" s="1"/>
  <c r="W325" i="16" a="1"/>
  <c r="W325" i="16"/>
  <c r="X325" i="16" a="1"/>
  <c r="X325" i="16" s="1"/>
  <c r="V326" i="16" a="1"/>
  <c r="V326" i="16" s="1"/>
  <c r="W326" i="16" a="1"/>
  <c r="W326" i="16"/>
  <c r="X326" i="16" a="1"/>
  <c r="X326" i="16" s="1"/>
  <c r="V327" i="16" a="1"/>
  <c r="V327" i="16" s="1"/>
  <c r="W327" i="16" a="1"/>
  <c r="W327" i="16" s="1"/>
  <c r="X327" i="16" a="1"/>
  <c r="X327" i="16" s="1"/>
  <c r="V328" i="16" a="1"/>
  <c r="V328" i="16"/>
  <c r="W328" i="16" a="1"/>
  <c r="W328" i="16" s="1"/>
  <c r="X328" i="16" a="1"/>
  <c r="X328" i="16" s="1"/>
  <c r="V329" i="16" a="1"/>
  <c r="V329" i="16" s="1"/>
  <c r="W329" i="16" a="1"/>
  <c r="W329" i="16" s="1"/>
  <c r="X329" i="16" a="1"/>
  <c r="X329" i="16" s="1"/>
  <c r="V330" i="16" a="1"/>
  <c r="V330" i="16" s="1"/>
  <c r="W330" i="16" a="1"/>
  <c r="W330" i="16" s="1"/>
  <c r="X330" i="16" a="1"/>
  <c r="X330" i="16" s="1"/>
  <c r="V331" i="16" a="1"/>
  <c r="V331" i="16" s="1"/>
  <c r="W331" i="16" a="1"/>
  <c r="W331" i="16" s="1"/>
  <c r="X331" i="16" a="1"/>
  <c r="X331" i="16" s="1"/>
  <c r="V332" i="16" a="1"/>
  <c r="V332" i="16" s="1"/>
  <c r="W332" i="16" a="1"/>
  <c r="W332" i="16" s="1"/>
  <c r="X332" i="16" a="1"/>
  <c r="X332" i="16" s="1"/>
  <c r="V333" i="16" a="1"/>
  <c r="V333" i="16"/>
  <c r="W333" i="16" a="1"/>
  <c r="W333" i="16" s="1"/>
  <c r="X333" i="16" a="1"/>
  <c r="X333" i="16" s="1"/>
  <c r="V334" i="16" a="1"/>
  <c r="V334" i="16" s="1"/>
  <c r="W334" i="16" a="1"/>
  <c r="W334" i="16" s="1"/>
  <c r="X334" i="16" a="1"/>
  <c r="X334" i="16" s="1"/>
  <c r="V335" i="16" a="1"/>
  <c r="V335" i="16" s="1"/>
  <c r="W335" i="16" a="1"/>
  <c r="W335" i="16" s="1"/>
  <c r="X335" i="16" a="1"/>
  <c r="X335" i="16" s="1"/>
  <c r="V336" i="16" a="1"/>
  <c r="V336" i="16" s="1"/>
  <c r="W336" i="16" a="1"/>
  <c r="W336" i="16" s="1"/>
  <c r="X336" i="16" a="1"/>
  <c r="X336" i="16" s="1"/>
  <c r="V337" i="16" a="1"/>
  <c r="V337" i="16"/>
  <c r="W337" i="16" a="1"/>
  <c r="W337" i="16" s="1"/>
  <c r="X337" i="16" a="1"/>
  <c r="X337" i="16" s="1"/>
  <c r="V338" i="16" a="1"/>
  <c r="V338" i="16" s="1"/>
  <c r="W338" i="16" a="1"/>
  <c r="W338" i="16" s="1"/>
  <c r="X338" i="16" a="1"/>
  <c r="X338" i="16" s="1"/>
  <c r="V339" i="16" a="1"/>
  <c r="V339" i="16" s="1"/>
  <c r="W339" i="16" a="1"/>
  <c r="W339" i="16" s="1"/>
  <c r="X339" i="16" a="1"/>
  <c r="X339" i="16" s="1"/>
  <c r="V340" i="16" a="1"/>
  <c r="V340" i="16" s="1"/>
  <c r="W340" i="16" a="1"/>
  <c r="W340" i="16" s="1"/>
  <c r="X340" i="16" a="1"/>
  <c r="X340" i="16" s="1"/>
  <c r="V341" i="16" a="1"/>
  <c r="V341" i="16" s="1"/>
  <c r="W341" i="16" a="1"/>
  <c r="W341" i="16" s="1"/>
  <c r="X341" i="16" a="1"/>
  <c r="X341" i="16" s="1"/>
  <c r="V342" i="16" a="1"/>
  <c r="V342" i="16" s="1"/>
  <c r="W342" i="16" a="1"/>
  <c r="W342" i="16" s="1"/>
  <c r="X342" i="16" a="1"/>
  <c r="X342" i="16" s="1"/>
  <c r="V343" i="16" a="1"/>
  <c r="V343" i="16" s="1"/>
  <c r="W343" i="16" a="1"/>
  <c r="W343" i="16" s="1"/>
  <c r="X343" i="16" a="1"/>
  <c r="X343" i="16" s="1"/>
  <c r="V344" i="16" a="1"/>
  <c r="V344" i="16" s="1"/>
  <c r="W344" i="16" a="1"/>
  <c r="W344" i="16" s="1"/>
  <c r="X344" i="16" a="1"/>
  <c r="X344" i="16" s="1"/>
  <c r="V345" i="16" a="1"/>
  <c r="V345" i="16" s="1"/>
  <c r="W345" i="16" a="1"/>
  <c r="W345" i="16" s="1"/>
  <c r="X345" i="16" a="1"/>
  <c r="X345" i="16" s="1"/>
  <c r="V346" i="16" a="1"/>
  <c r="V346" i="16" s="1"/>
  <c r="W346" i="16" a="1"/>
  <c r="W346" i="16" s="1"/>
  <c r="X346" i="16" a="1"/>
  <c r="X346" i="16"/>
  <c r="V347" i="16" a="1"/>
  <c r="V347" i="16" s="1"/>
  <c r="W347" i="16" a="1"/>
  <c r="W347" i="16" s="1"/>
  <c r="X347" i="16" a="1"/>
  <c r="X347" i="16" s="1"/>
  <c r="V348" i="16" a="1"/>
  <c r="V348" i="16" s="1"/>
  <c r="W348" i="16" a="1"/>
  <c r="W348" i="16" s="1"/>
  <c r="X348" i="16" a="1"/>
  <c r="X348" i="16" s="1"/>
  <c r="V349" i="16" a="1"/>
  <c r="V349" i="16" s="1"/>
  <c r="W349" i="16" a="1"/>
  <c r="W349" i="16" s="1"/>
  <c r="X349" i="16" a="1"/>
  <c r="X349" i="16" s="1"/>
  <c r="V350" i="16" a="1"/>
  <c r="V350" i="16" s="1"/>
  <c r="W350" i="16" a="1"/>
  <c r="W350" i="16" s="1"/>
  <c r="X350" i="16" a="1"/>
  <c r="X350" i="16" s="1"/>
  <c r="V351" i="16" a="1"/>
  <c r="V351" i="16" s="1"/>
  <c r="W351" i="16" a="1"/>
  <c r="W351" i="16" s="1"/>
  <c r="X351" i="16" a="1"/>
  <c r="X351" i="16"/>
  <c r="V352" i="16" a="1"/>
  <c r="V352" i="16" s="1"/>
  <c r="W352" i="16" a="1"/>
  <c r="W352" i="16" s="1"/>
  <c r="X352" i="16" a="1"/>
  <c r="X352" i="16" s="1"/>
  <c r="V353" i="16" a="1"/>
  <c r="V353" i="16" s="1"/>
  <c r="W353" i="16" a="1"/>
  <c r="W353" i="16" s="1"/>
  <c r="X353" i="16" a="1"/>
  <c r="X353" i="16" s="1"/>
  <c r="V354" i="16" a="1"/>
  <c r="V354" i="16" s="1"/>
  <c r="W354" i="16" a="1"/>
  <c r="W354" i="16" s="1"/>
  <c r="X354" i="16" a="1"/>
  <c r="X354" i="16" s="1"/>
  <c r="V355" i="16" a="1"/>
  <c r="V355" i="16" s="1"/>
  <c r="W355" i="16" a="1"/>
  <c r="W355" i="16" s="1"/>
  <c r="X355" i="16" a="1"/>
  <c r="X355" i="16" s="1"/>
  <c r="V356" i="16" a="1"/>
  <c r="V356" i="16" s="1"/>
  <c r="W356" i="16" a="1"/>
  <c r="W356" i="16"/>
  <c r="X356" i="16" a="1"/>
  <c r="X356" i="16" s="1"/>
  <c r="V357" i="16" a="1"/>
  <c r="V357" i="16" s="1"/>
  <c r="W357" i="16" a="1"/>
  <c r="W357" i="16" s="1"/>
  <c r="X357" i="16" a="1"/>
  <c r="X357" i="16" s="1"/>
  <c r="V358" i="16" a="1"/>
  <c r="V358" i="16"/>
  <c r="W358" i="16" a="1"/>
  <c r="W358" i="16" s="1"/>
  <c r="X358" i="16" a="1"/>
  <c r="X358" i="16" s="1"/>
  <c r="V359" i="16" a="1"/>
  <c r="V359" i="16"/>
  <c r="W359" i="16" a="1"/>
  <c r="W359" i="16" s="1"/>
  <c r="X359" i="16" a="1"/>
  <c r="X359" i="16" s="1"/>
  <c r="V360" i="16" a="1"/>
  <c r="V360" i="16" s="1"/>
  <c r="W360" i="16" a="1"/>
  <c r="W360" i="16" s="1"/>
  <c r="X360" i="16" a="1"/>
  <c r="X360" i="16" s="1"/>
  <c r="V361" i="16" a="1"/>
  <c r="V361" i="16" s="1"/>
  <c r="W361" i="16" a="1"/>
  <c r="W361" i="16" s="1"/>
  <c r="X361" i="16" a="1"/>
  <c r="X361" i="16" s="1"/>
  <c r="V362" i="16" a="1"/>
  <c r="V362" i="16" s="1"/>
  <c r="W362" i="16" a="1"/>
  <c r="W362" i="16" s="1"/>
  <c r="X362" i="16" a="1"/>
  <c r="X362" i="16" s="1"/>
  <c r="V363" i="16" a="1"/>
  <c r="V363" i="16" s="1"/>
  <c r="W363" i="16" a="1"/>
  <c r="W363" i="16" s="1"/>
  <c r="X363" i="16" a="1"/>
  <c r="X363" i="16" s="1"/>
  <c r="V364" i="16" a="1"/>
  <c r="V364" i="16" s="1"/>
  <c r="W364" i="16" a="1"/>
  <c r="W364" i="16" s="1"/>
  <c r="X364" i="16" a="1"/>
  <c r="X364" i="16" s="1"/>
  <c r="V365" i="16" a="1"/>
  <c r="V365" i="16" s="1"/>
  <c r="W365" i="16" a="1"/>
  <c r="W365" i="16"/>
  <c r="X365" i="16" a="1"/>
  <c r="X365" i="16" s="1"/>
  <c r="V366" i="16" a="1"/>
  <c r="V366" i="16" s="1"/>
  <c r="W366" i="16" a="1"/>
  <c r="W366" i="16" s="1"/>
  <c r="X366" i="16" a="1"/>
  <c r="X366" i="16" s="1"/>
  <c r="V367" i="16" a="1"/>
  <c r="V367" i="16" s="1"/>
  <c r="W367" i="16" a="1"/>
  <c r="W367" i="16" s="1"/>
  <c r="X367" i="16" a="1"/>
  <c r="X367" i="16" s="1"/>
  <c r="V368" i="16" a="1"/>
  <c r="V368" i="16" s="1"/>
  <c r="W368" i="16" a="1"/>
  <c r="W368" i="16"/>
  <c r="X368" i="16" a="1"/>
  <c r="X368" i="16" s="1"/>
  <c r="V369" i="16" a="1"/>
  <c r="V369" i="16" s="1"/>
  <c r="W369" i="16" a="1"/>
  <c r="W369" i="16" s="1"/>
  <c r="X369" i="16" a="1"/>
  <c r="X369" i="16" s="1"/>
  <c r="V370" i="16" a="1"/>
  <c r="V370" i="16" s="1"/>
  <c r="W370" i="16" a="1"/>
  <c r="W370" i="16" s="1"/>
  <c r="X370" i="16" a="1"/>
  <c r="X370" i="16" s="1"/>
  <c r="V371" i="16" a="1"/>
  <c r="V371" i="16" s="1"/>
  <c r="W371" i="16" a="1"/>
  <c r="W371" i="16" s="1"/>
  <c r="X371" i="16" a="1"/>
  <c r="X371" i="16" s="1"/>
  <c r="V372" i="16" a="1"/>
  <c r="V372" i="16" s="1"/>
  <c r="W372" i="16" a="1"/>
  <c r="W372" i="16" s="1"/>
  <c r="X372" i="16" a="1"/>
  <c r="X372" i="16" s="1"/>
  <c r="V373" i="16" a="1"/>
  <c r="V373" i="16" s="1"/>
  <c r="W373" i="16" a="1"/>
  <c r="W373" i="16" s="1"/>
  <c r="X373" i="16" a="1"/>
  <c r="X373" i="16" s="1"/>
  <c r="V374" i="16" a="1"/>
  <c r="V374" i="16" s="1"/>
  <c r="W374" i="16" a="1"/>
  <c r="W374" i="16" s="1"/>
  <c r="X374" i="16" a="1"/>
  <c r="X374" i="16"/>
  <c r="V375" i="16" a="1"/>
  <c r="V375" i="16" s="1"/>
  <c r="W375" i="16" a="1"/>
  <c r="W375" i="16" s="1"/>
  <c r="X375" i="16" a="1"/>
  <c r="X375" i="16" s="1"/>
  <c r="V376" i="16" a="1"/>
  <c r="V376" i="16" s="1"/>
  <c r="W376" i="16" a="1"/>
  <c r="W376" i="16" s="1"/>
  <c r="X376" i="16" a="1"/>
  <c r="X376" i="16" s="1"/>
  <c r="V377" i="16" a="1"/>
  <c r="V377" i="16" s="1"/>
  <c r="W377" i="16" a="1"/>
  <c r="W377" i="16" s="1"/>
  <c r="X377" i="16" a="1"/>
  <c r="X377" i="16" s="1"/>
  <c r="V378" i="16" a="1"/>
  <c r="V378" i="16"/>
  <c r="W378" i="16" a="1"/>
  <c r="W378" i="16" s="1"/>
  <c r="X378" i="16" a="1"/>
  <c r="X378" i="16" s="1"/>
  <c r="V379" i="16" a="1"/>
  <c r="V379" i="16" s="1"/>
  <c r="W379" i="16" a="1"/>
  <c r="W379" i="16" s="1"/>
  <c r="X379" i="16" a="1"/>
  <c r="X379" i="16" s="1"/>
  <c r="V380" i="16" a="1"/>
  <c r="V380" i="16" s="1"/>
  <c r="W380" i="16" a="1"/>
  <c r="W380" i="16" s="1"/>
  <c r="X380" i="16" a="1"/>
  <c r="X380" i="16" s="1"/>
  <c r="V381" i="16" a="1"/>
  <c r="V381" i="16" s="1"/>
  <c r="W381" i="16" a="1"/>
  <c r="W381" i="16" s="1"/>
  <c r="X381" i="16" a="1"/>
  <c r="X381" i="16" s="1"/>
  <c r="V382" i="16" a="1"/>
  <c r="V382" i="16" s="1"/>
  <c r="W382" i="16" a="1"/>
  <c r="W382" i="16" s="1"/>
  <c r="X382" i="16" a="1"/>
  <c r="X382" i="16" s="1"/>
  <c r="V383" i="16" a="1"/>
  <c r="V383" i="16" s="1"/>
  <c r="W383" i="16" a="1"/>
  <c r="W383" i="16" s="1"/>
  <c r="X383" i="16" a="1"/>
  <c r="X383" i="16" s="1"/>
  <c r="V384" i="16" a="1"/>
  <c r="V384" i="16" s="1"/>
  <c r="W384" i="16" a="1"/>
  <c r="W384" i="16" s="1"/>
  <c r="X384" i="16" a="1"/>
  <c r="X384" i="16" s="1"/>
  <c r="V385" i="16" a="1"/>
  <c r="V385" i="16" s="1"/>
  <c r="W385" i="16" a="1"/>
  <c r="W385" i="16"/>
  <c r="X385" i="16" a="1"/>
  <c r="X385" i="16"/>
  <c r="V386" i="16" a="1"/>
  <c r="V386" i="16" s="1"/>
  <c r="W386" i="16" a="1"/>
  <c r="W386" i="16" s="1"/>
  <c r="X386" i="16" a="1"/>
  <c r="X386" i="16" s="1"/>
  <c r="V387" i="16" a="1"/>
  <c r="V387" i="16" s="1"/>
  <c r="W387" i="16" a="1"/>
  <c r="W387" i="16" s="1"/>
  <c r="X387" i="16" a="1"/>
  <c r="X387" i="16" s="1"/>
  <c r="V388" i="16" a="1"/>
  <c r="V388" i="16" s="1"/>
  <c r="W388" i="16" a="1"/>
  <c r="W388" i="16" s="1"/>
  <c r="X388" i="16" a="1"/>
  <c r="X388" i="16" s="1"/>
  <c r="V389" i="16" a="1"/>
  <c r="V389" i="16" s="1"/>
  <c r="W389" i="16" a="1"/>
  <c r="W389" i="16" s="1"/>
  <c r="X389" i="16" a="1"/>
  <c r="X389" i="16" s="1"/>
  <c r="V390" i="16" a="1"/>
  <c r="V390" i="16" s="1"/>
  <c r="W390" i="16" a="1"/>
  <c r="W390" i="16" s="1"/>
  <c r="X390" i="16" a="1"/>
  <c r="X390" i="16" s="1"/>
  <c r="V391" i="16" a="1"/>
  <c r="V391" i="16" s="1"/>
  <c r="W391" i="16" a="1"/>
  <c r="W391" i="16"/>
  <c r="X391" i="16" a="1"/>
  <c r="X391" i="16" s="1"/>
  <c r="V392" i="16" a="1"/>
  <c r="V392" i="16"/>
  <c r="W392" i="16" a="1"/>
  <c r="W392" i="16"/>
  <c r="X392" i="16" a="1"/>
  <c r="X392" i="16" s="1"/>
  <c r="V393" i="16" a="1"/>
  <c r="V393" i="16" s="1"/>
  <c r="W393" i="16" a="1"/>
  <c r="W393" i="16" s="1"/>
  <c r="X393" i="16" a="1"/>
  <c r="X393" i="16" s="1"/>
  <c r="V394" i="16" a="1"/>
  <c r="V394" i="16" s="1"/>
  <c r="W394" i="16" a="1"/>
  <c r="W394" i="16" s="1"/>
  <c r="X394" i="16" a="1"/>
  <c r="X394" i="16" s="1"/>
  <c r="V395" i="16" a="1"/>
  <c r="V395" i="16" s="1"/>
  <c r="W395" i="16" a="1"/>
  <c r="W395" i="16" s="1"/>
  <c r="X395" i="16" a="1"/>
  <c r="X395" i="16" s="1"/>
  <c r="V396" i="16" a="1"/>
  <c r="V396" i="16" s="1"/>
  <c r="W396" i="16" a="1"/>
  <c r="W396" i="16" s="1"/>
  <c r="X396" i="16" a="1"/>
  <c r="X396" i="16" s="1"/>
  <c r="V397" i="16" a="1"/>
  <c r="V397" i="16" s="1"/>
  <c r="W397" i="16" a="1"/>
  <c r="W397" i="16" s="1"/>
  <c r="X397" i="16" a="1"/>
  <c r="X397" i="16" s="1"/>
  <c r="V398" i="16" a="1"/>
  <c r="V398" i="16" s="1"/>
  <c r="W398" i="16" a="1"/>
  <c r="W398" i="16"/>
  <c r="X398" i="16" a="1"/>
  <c r="X398" i="16" s="1"/>
  <c r="V399" i="16" a="1"/>
  <c r="V399" i="16" s="1"/>
  <c r="W399" i="16" a="1"/>
  <c r="W399" i="16" s="1"/>
  <c r="X399" i="16" a="1"/>
  <c r="X399" i="16" s="1"/>
  <c r="V400" i="16" a="1"/>
  <c r="V400" i="16" s="1"/>
  <c r="W400" i="16" a="1"/>
  <c r="W400" i="16"/>
  <c r="X400" i="16" a="1"/>
  <c r="X400" i="16"/>
  <c r="V401" i="16" a="1"/>
  <c r="V401" i="16" s="1"/>
  <c r="W401" i="16" a="1"/>
  <c r="W401" i="16" s="1"/>
  <c r="X401" i="16" a="1"/>
  <c r="X401" i="16" s="1"/>
  <c r="V402" i="16" a="1"/>
  <c r="V402" i="16"/>
  <c r="W402" i="16" a="1"/>
  <c r="W402" i="16" s="1"/>
  <c r="X402" i="16" a="1"/>
  <c r="X402" i="16" s="1"/>
  <c r="V403" i="16" a="1"/>
  <c r="V403" i="16" s="1"/>
  <c r="W403" i="16" a="1"/>
  <c r="W403" i="16" s="1"/>
  <c r="X403" i="16" a="1"/>
  <c r="X403" i="16" s="1"/>
  <c r="V404" i="16" a="1"/>
  <c r="V404" i="16" s="1"/>
  <c r="W404" i="16" a="1"/>
  <c r="W404" i="16" s="1"/>
  <c r="X404" i="16" a="1"/>
  <c r="X404" i="16" s="1"/>
  <c r="V405" i="16" a="1"/>
  <c r="V405" i="16" s="1"/>
  <c r="W405" i="16" a="1"/>
  <c r="W405" i="16" s="1"/>
  <c r="X405" i="16" a="1"/>
  <c r="X405" i="16"/>
  <c r="V406" i="16" a="1"/>
  <c r="V406" i="16" s="1"/>
  <c r="W406" i="16" a="1"/>
  <c r="W406" i="16"/>
  <c r="X406" i="16" a="1"/>
  <c r="X406" i="16" s="1"/>
  <c r="V407" i="16" a="1"/>
  <c r="V407" i="16" s="1"/>
  <c r="W407" i="16" a="1"/>
  <c r="W407" i="16" s="1"/>
  <c r="X407" i="16" a="1"/>
  <c r="X407" i="16" s="1"/>
  <c r="V408" i="16" a="1"/>
  <c r="V408" i="16" s="1"/>
  <c r="W408" i="16" a="1"/>
  <c r="W408" i="16" s="1"/>
  <c r="X408" i="16" a="1"/>
  <c r="X408" i="16" s="1"/>
  <c r="V409" i="16" a="1"/>
  <c r="V409" i="16"/>
  <c r="W409" i="16" a="1"/>
  <c r="W409" i="16" s="1"/>
  <c r="X409" i="16" a="1"/>
  <c r="X409" i="16" s="1"/>
  <c r="V410" i="16" a="1"/>
  <c r="V410" i="16" s="1"/>
  <c r="W410" i="16" a="1"/>
  <c r="W410" i="16" s="1"/>
  <c r="X410" i="16" a="1"/>
  <c r="X410" i="16" s="1"/>
  <c r="V411" i="16" a="1"/>
  <c r="V411" i="16" s="1"/>
  <c r="W411" i="16" a="1"/>
  <c r="W411" i="16" s="1"/>
  <c r="X411" i="16" a="1"/>
  <c r="X411" i="16" s="1"/>
  <c r="V412" i="16" a="1"/>
  <c r="V412" i="16" s="1"/>
  <c r="W412" i="16" a="1"/>
  <c r="W412" i="16" s="1"/>
  <c r="X412" i="16" a="1"/>
  <c r="X412" i="16" s="1"/>
  <c r="V413" i="16" a="1"/>
  <c r="V413" i="16" s="1"/>
  <c r="W413" i="16" a="1"/>
  <c r="W413" i="16" s="1"/>
  <c r="X413" i="16" a="1"/>
  <c r="X413" i="16"/>
  <c r="V414" i="16" a="1"/>
  <c r="V414" i="16"/>
  <c r="W414" i="16" a="1"/>
  <c r="W414" i="16" s="1"/>
  <c r="X414" i="16" a="1"/>
  <c r="X414" i="16"/>
  <c r="V415" i="16" a="1"/>
  <c r="V415" i="16" s="1"/>
  <c r="W415" i="16" a="1"/>
  <c r="W415" i="16"/>
  <c r="X415" i="16" a="1"/>
  <c r="X415" i="16" s="1"/>
  <c r="V416" i="16" a="1"/>
  <c r="V416" i="16" s="1"/>
  <c r="W416" i="16" a="1"/>
  <c r="W416" i="16" s="1"/>
  <c r="X416" i="16" a="1"/>
  <c r="X416" i="16" s="1"/>
  <c r="V417" i="16" a="1"/>
  <c r="V417" i="16" s="1"/>
  <c r="W417" i="16" a="1"/>
  <c r="W417" i="16" s="1"/>
  <c r="X417" i="16" a="1"/>
  <c r="X417" i="16" s="1"/>
  <c r="V418" i="16" a="1"/>
  <c r="V418" i="16" s="1"/>
  <c r="W418" i="16" a="1"/>
  <c r="W418" i="16" s="1"/>
  <c r="X418" i="16" a="1"/>
  <c r="X418" i="16" s="1"/>
  <c r="V419" i="16" a="1"/>
  <c r="V419" i="16" s="1"/>
  <c r="W419" i="16" a="1"/>
  <c r="W419" i="16" s="1"/>
  <c r="X419" i="16" a="1"/>
  <c r="X419" i="16" s="1"/>
  <c r="V420" i="16" a="1"/>
  <c r="V420" i="16" s="1"/>
  <c r="W420" i="16" a="1"/>
  <c r="W420" i="16" s="1"/>
  <c r="X420" i="16" a="1"/>
  <c r="X420" i="16" s="1"/>
  <c r="V421" i="16" a="1"/>
  <c r="V421" i="16" s="1"/>
  <c r="W421" i="16" a="1"/>
  <c r="W421" i="16" s="1"/>
  <c r="X421" i="16" a="1"/>
  <c r="X421" i="16" s="1"/>
  <c r="V422" i="16" a="1"/>
  <c r="V422" i="16" s="1"/>
  <c r="W422" i="16" a="1"/>
  <c r="W422" i="16" s="1"/>
  <c r="X422" i="16" a="1"/>
  <c r="X422" i="16" s="1"/>
  <c r="V423" i="16" a="1"/>
  <c r="V423" i="16"/>
  <c r="W423" i="16" a="1"/>
  <c r="W423" i="16" s="1"/>
  <c r="X423" i="16" a="1"/>
  <c r="X423" i="16" s="1"/>
  <c r="V424" i="16" a="1"/>
  <c r="V424" i="16" s="1"/>
  <c r="W424" i="16" a="1"/>
  <c r="W424" i="16" s="1"/>
  <c r="X424" i="16" a="1"/>
  <c r="X424" i="16" s="1"/>
  <c r="V425" i="16" a="1"/>
  <c r="V425" i="16" s="1"/>
  <c r="W425" i="16" a="1"/>
  <c r="W425" i="16" s="1"/>
  <c r="X425" i="16" a="1"/>
  <c r="X425" i="16" s="1"/>
  <c r="V426" i="16" a="1"/>
  <c r="V426" i="16" s="1"/>
  <c r="W426" i="16" a="1"/>
  <c r="W426" i="16" s="1"/>
  <c r="X426" i="16" a="1"/>
  <c r="X426" i="16" s="1"/>
  <c r="V427" i="16" a="1"/>
  <c r="V427" i="16" s="1"/>
  <c r="W427" i="16" a="1"/>
  <c r="W427" i="16" s="1"/>
  <c r="X427" i="16" a="1"/>
  <c r="X427" i="16" s="1"/>
  <c r="V428" i="16" a="1"/>
  <c r="V428" i="16" s="1"/>
  <c r="W428" i="16" a="1"/>
  <c r="W428" i="16" s="1"/>
  <c r="X428" i="16" a="1"/>
  <c r="X428" i="16" s="1"/>
  <c r="V429" i="16" a="1"/>
  <c r="V429" i="16" s="1"/>
  <c r="W429" i="16" a="1"/>
  <c r="W429" i="16" s="1"/>
  <c r="X429" i="16" a="1"/>
  <c r="X429" i="16" s="1"/>
  <c r="V430" i="16" a="1"/>
  <c r="V430" i="16" s="1"/>
  <c r="W430" i="16" a="1"/>
  <c r="W430" i="16" s="1"/>
  <c r="X430" i="16" a="1"/>
  <c r="X430" i="16" s="1"/>
  <c r="V431" i="16" a="1"/>
  <c r="V431" i="16" s="1"/>
  <c r="W431" i="16" a="1"/>
  <c r="W431" i="16" s="1"/>
  <c r="X431" i="16" a="1"/>
  <c r="X431" i="16" s="1"/>
  <c r="V432" i="16" a="1"/>
  <c r="V432" i="16" s="1"/>
  <c r="W432" i="16" a="1"/>
  <c r="W432" i="16" s="1"/>
  <c r="X432" i="16" a="1"/>
  <c r="X432" i="16" s="1"/>
  <c r="V433" i="16" a="1"/>
  <c r="V433" i="16" s="1"/>
  <c r="W433" i="16" a="1"/>
  <c r="W433" i="16" s="1"/>
  <c r="X433" i="16" a="1"/>
  <c r="X433" i="16" s="1"/>
  <c r="V434" i="16" a="1"/>
  <c r="V434" i="16" s="1"/>
  <c r="W434" i="16" a="1"/>
  <c r="W434" i="16" s="1"/>
  <c r="X434" i="16" a="1"/>
  <c r="X434" i="16" s="1"/>
  <c r="V435" i="16" a="1"/>
  <c r="V435" i="16" s="1"/>
  <c r="W435" i="16" a="1"/>
  <c r="W435" i="16" s="1"/>
  <c r="X435" i="16" a="1"/>
  <c r="X435" i="16" s="1"/>
  <c r="V436" i="16" a="1"/>
  <c r="V436" i="16" s="1"/>
  <c r="W436" i="16" a="1"/>
  <c r="W436" i="16" s="1"/>
  <c r="X436" i="16" a="1"/>
  <c r="X436" i="16" s="1"/>
  <c r="V437" i="16" a="1"/>
  <c r="V437" i="16" s="1"/>
  <c r="W437" i="16" a="1"/>
  <c r="W437" i="16" s="1"/>
  <c r="X437" i="16" a="1"/>
  <c r="X437" i="16" s="1"/>
  <c r="V438" i="16" a="1"/>
  <c r="V438" i="16" s="1"/>
  <c r="W438" i="16" a="1"/>
  <c r="W438" i="16" s="1"/>
  <c r="X438" i="16" a="1"/>
  <c r="X438" i="16" s="1"/>
  <c r="V439" i="16" a="1"/>
  <c r="V439" i="16" s="1"/>
  <c r="W439" i="16" a="1"/>
  <c r="W439" i="16" s="1"/>
  <c r="X439" i="16" a="1"/>
  <c r="X439" i="16" s="1"/>
  <c r="V440" i="16" a="1"/>
  <c r="V440" i="16" s="1"/>
  <c r="W440" i="16" a="1"/>
  <c r="W440" i="16" s="1"/>
  <c r="X440" i="16" a="1"/>
  <c r="X440" i="16" s="1"/>
  <c r="V441" i="16" a="1"/>
  <c r="V441" i="16" s="1"/>
  <c r="W441" i="16" a="1"/>
  <c r="W441" i="16" s="1"/>
  <c r="X441" i="16" a="1"/>
  <c r="X441" i="16" s="1"/>
  <c r="V442" i="16" a="1"/>
  <c r="V442" i="16" s="1"/>
  <c r="W442" i="16" a="1"/>
  <c r="W442" i="16" s="1"/>
  <c r="X442" i="16" a="1"/>
  <c r="X442" i="16" s="1"/>
  <c r="V443" i="16" a="1"/>
  <c r="V443" i="16" s="1"/>
  <c r="W443" i="16" a="1"/>
  <c r="W443" i="16"/>
  <c r="X443" i="16" a="1"/>
  <c r="X443" i="16" s="1"/>
  <c r="V444" i="16" a="1"/>
  <c r="V444" i="16" s="1"/>
  <c r="W444" i="16" a="1"/>
  <c r="W444" i="16" s="1"/>
  <c r="X444" i="16" a="1"/>
  <c r="X444" i="16" s="1"/>
  <c r="V445" i="16" a="1"/>
  <c r="V445" i="16" s="1"/>
  <c r="W445" i="16" a="1"/>
  <c r="W445" i="16" s="1"/>
  <c r="X445" i="16" a="1"/>
  <c r="X445" i="16" s="1"/>
  <c r="V446" i="16" a="1"/>
  <c r="V446" i="16" s="1"/>
  <c r="W446" i="16" a="1"/>
  <c r="W446" i="16" s="1"/>
  <c r="X446" i="16" a="1"/>
  <c r="X446" i="16" s="1"/>
  <c r="V447" i="16" a="1"/>
  <c r="V447" i="16" s="1"/>
  <c r="W447" i="16" a="1"/>
  <c r="W447" i="16" s="1"/>
  <c r="X447" i="16" a="1"/>
  <c r="X447" i="16" s="1"/>
  <c r="V448" i="16" a="1"/>
  <c r="V448" i="16" s="1"/>
  <c r="W448" i="16" a="1"/>
  <c r="W448" i="16" s="1"/>
  <c r="X448" i="16" a="1"/>
  <c r="X448" i="16" s="1"/>
  <c r="V449" i="16" a="1"/>
  <c r="V449" i="16" s="1"/>
  <c r="W449" i="16" a="1"/>
  <c r="W449" i="16" s="1"/>
  <c r="X449" i="16" a="1"/>
  <c r="X449" i="16" s="1"/>
  <c r="V450" i="16" a="1"/>
  <c r="V450" i="16"/>
  <c r="W450" i="16" a="1"/>
  <c r="W450" i="16" s="1"/>
  <c r="X450" i="16" a="1"/>
  <c r="X450" i="16" s="1"/>
  <c r="V451" i="16" a="1"/>
  <c r="V451" i="16" s="1"/>
  <c r="W451" i="16" a="1"/>
  <c r="W451" i="16" s="1"/>
  <c r="X451" i="16" a="1"/>
  <c r="X451" i="16" s="1"/>
  <c r="V452" i="16" a="1"/>
  <c r="V452" i="16" s="1"/>
  <c r="W452" i="16" a="1"/>
  <c r="W452" i="16" s="1"/>
  <c r="X452" i="16" a="1"/>
  <c r="X452" i="16" s="1"/>
  <c r="V453" i="16" a="1"/>
  <c r="V453" i="16" s="1"/>
  <c r="W453" i="16" a="1"/>
  <c r="W453" i="16" s="1"/>
  <c r="X453" i="16" a="1"/>
  <c r="X453" i="16" s="1"/>
  <c r="V454" i="16" a="1"/>
  <c r="V454" i="16" s="1"/>
  <c r="W454" i="16" a="1"/>
  <c r="W454" i="16" s="1"/>
  <c r="X454" i="16" a="1"/>
  <c r="X454" i="16" s="1"/>
  <c r="V455" i="16" a="1"/>
  <c r="V455" i="16" s="1"/>
  <c r="W455" i="16" a="1"/>
  <c r="W455" i="16" s="1"/>
  <c r="X455" i="16" a="1"/>
  <c r="X455" i="16" s="1"/>
  <c r="V456" i="16" a="1"/>
  <c r="V456" i="16" s="1"/>
  <c r="W456" i="16" a="1"/>
  <c r="W456" i="16" s="1"/>
  <c r="X456" i="16" a="1"/>
  <c r="X456" i="16" s="1"/>
  <c r="V457" i="16" a="1"/>
  <c r="V457" i="16" s="1"/>
  <c r="W457" i="16" a="1"/>
  <c r="W457" i="16" s="1"/>
  <c r="X457" i="16" a="1"/>
  <c r="X457" i="16" s="1"/>
  <c r="V458" i="16" a="1"/>
  <c r="V458" i="16" s="1"/>
  <c r="W458" i="16" a="1"/>
  <c r="W458" i="16" s="1"/>
  <c r="X458" i="16" a="1"/>
  <c r="X458" i="16" s="1"/>
  <c r="V459" i="16" a="1"/>
  <c r="V459" i="16" s="1"/>
  <c r="W459" i="16" a="1"/>
  <c r="W459" i="16" s="1"/>
  <c r="X459" i="16" a="1"/>
  <c r="X459" i="16" s="1"/>
  <c r="V460" i="16" a="1"/>
  <c r="V460" i="16" s="1"/>
  <c r="W460" i="16" a="1"/>
  <c r="W460" i="16" s="1"/>
  <c r="X460" i="16" a="1"/>
  <c r="X460" i="16" s="1"/>
  <c r="V461" i="16" a="1"/>
  <c r="V461" i="16" s="1"/>
  <c r="W461" i="16" a="1"/>
  <c r="W461" i="16" s="1"/>
  <c r="X461" i="16" a="1"/>
  <c r="X461" i="16" s="1"/>
  <c r="V462" i="16" a="1"/>
  <c r="V462" i="16" s="1"/>
  <c r="W462" i="16" a="1"/>
  <c r="W462" i="16" s="1"/>
  <c r="X462" i="16" a="1"/>
  <c r="X462" i="16" s="1"/>
  <c r="V463" i="16" a="1"/>
  <c r="V463" i="16" s="1"/>
  <c r="W463" i="16" a="1"/>
  <c r="W463" i="16" s="1"/>
  <c r="X463" i="16" a="1"/>
  <c r="X463" i="16" s="1"/>
  <c r="V464" i="16" a="1"/>
  <c r="V464" i="16" s="1"/>
  <c r="W464" i="16" a="1"/>
  <c r="W464" i="16" s="1"/>
  <c r="X464" i="16" a="1"/>
  <c r="X464" i="16" s="1"/>
  <c r="V465" i="16" a="1"/>
  <c r="V465" i="16" s="1"/>
  <c r="W465" i="16" a="1"/>
  <c r="W465" i="16" s="1"/>
  <c r="X465" i="16" a="1"/>
  <c r="X465" i="16" s="1"/>
  <c r="V466" i="16" a="1"/>
  <c r="V466" i="16" s="1"/>
  <c r="W466" i="16" a="1"/>
  <c r="W466" i="16" s="1"/>
  <c r="X466" i="16" a="1"/>
  <c r="X466" i="16" s="1"/>
  <c r="V467" i="16" a="1"/>
  <c r="V467" i="16" s="1"/>
  <c r="W467" i="16" a="1"/>
  <c r="W467" i="16" s="1"/>
  <c r="X467" i="16" a="1"/>
  <c r="X467" i="16" s="1"/>
  <c r="V468" i="16" a="1"/>
  <c r="V468" i="16" s="1"/>
  <c r="W468" i="16" a="1"/>
  <c r="W468" i="16" s="1"/>
  <c r="X468" i="16" a="1"/>
  <c r="X468" i="16" s="1"/>
  <c r="V469" i="16" a="1"/>
  <c r="V469" i="16" s="1"/>
  <c r="W469" i="16" a="1"/>
  <c r="W469" i="16" s="1"/>
  <c r="X469" i="16" a="1"/>
  <c r="X469" i="16" s="1"/>
  <c r="V470" i="16" a="1"/>
  <c r="V470" i="16" s="1"/>
  <c r="W470" i="16" a="1"/>
  <c r="W470" i="16" s="1"/>
  <c r="X470" i="16" a="1"/>
  <c r="X470" i="16" s="1"/>
  <c r="V471" i="16" a="1"/>
  <c r="V471" i="16" s="1"/>
  <c r="W471" i="16" a="1"/>
  <c r="W471" i="16" s="1"/>
  <c r="X471" i="16" a="1"/>
  <c r="X471" i="16" s="1"/>
  <c r="V472" i="16" a="1"/>
  <c r="V472" i="16" s="1"/>
  <c r="W472" i="16" a="1"/>
  <c r="W472" i="16" s="1"/>
  <c r="X472" i="16" a="1"/>
  <c r="X472" i="16" s="1"/>
  <c r="V473" i="16" a="1"/>
  <c r="V473" i="16" s="1"/>
  <c r="W473" i="16" a="1"/>
  <c r="W473" i="16" s="1"/>
  <c r="X473" i="16" a="1"/>
  <c r="X473" i="16" s="1"/>
  <c r="V474" i="16" a="1"/>
  <c r="V474" i="16" s="1"/>
  <c r="W474" i="16" a="1"/>
  <c r="W474" i="16" s="1"/>
  <c r="X474" i="16" a="1"/>
  <c r="X474" i="16" s="1"/>
  <c r="V475" i="16" a="1"/>
  <c r="V475" i="16" s="1"/>
  <c r="W475" i="16" a="1"/>
  <c r="W475" i="16" s="1"/>
  <c r="X475" i="16" a="1"/>
  <c r="X475" i="16" s="1"/>
  <c r="V476" i="16" a="1"/>
  <c r="V476" i="16" s="1"/>
  <c r="W476" i="16" a="1"/>
  <c r="W476" i="16" s="1"/>
  <c r="X476" i="16" a="1"/>
  <c r="X476" i="16" s="1"/>
  <c r="V477" i="16" a="1"/>
  <c r="V477" i="16" s="1"/>
  <c r="W477" i="16" a="1"/>
  <c r="W477" i="16" s="1"/>
  <c r="X477" i="16" a="1"/>
  <c r="X477" i="16" s="1"/>
  <c r="V478" i="16" a="1"/>
  <c r="V478" i="16" s="1"/>
  <c r="W478" i="16" a="1"/>
  <c r="W478" i="16" s="1"/>
  <c r="X478" i="16" a="1"/>
  <c r="X478" i="16" s="1"/>
  <c r="V479" i="16" a="1"/>
  <c r="V479" i="16" s="1"/>
  <c r="W479" i="16" a="1"/>
  <c r="W479" i="16" s="1"/>
  <c r="X479" i="16" a="1"/>
  <c r="X479" i="16" s="1"/>
  <c r="V480" i="16" a="1"/>
  <c r="V480" i="16" s="1"/>
  <c r="W480" i="16" a="1"/>
  <c r="W480" i="16" s="1"/>
  <c r="X480" i="16" a="1"/>
  <c r="X480" i="16" s="1"/>
  <c r="V481" i="16" a="1"/>
  <c r="V481" i="16" s="1"/>
  <c r="W481" i="16" a="1"/>
  <c r="W481" i="16" s="1"/>
  <c r="X481" i="16" a="1"/>
  <c r="X481" i="16" s="1"/>
  <c r="V482" i="16" a="1"/>
  <c r="V482" i="16" s="1"/>
  <c r="W482" i="16" a="1"/>
  <c r="W482" i="16" s="1"/>
  <c r="X482" i="16" a="1"/>
  <c r="X482" i="16" s="1"/>
  <c r="V483" i="16" a="1"/>
  <c r="V483" i="16" s="1"/>
  <c r="W483" i="16" a="1"/>
  <c r="W483" i="16" s="1"/>
  <c r="X483" i="16" a="1"/>
  <c r="X483" i="16" s="1"/>
  <c r="V484" i="16" a="1"/>
  <c r="V484" i="16" s="1"/>
  <c r="W484" i="16" a="1"/>
  <c r="W484" i="16" s="1"/>
  <c r="X484" i="16" a="1"/>
  <c r="X484" i="16" s="1"/>
  <c r="V485" i="16" a="1"/>
  <c r="V485" i="16" s="1"/>
  <c r="W485" i="16" a="1"/>
  <c r="W485" i="16" s="1"/>
  <c r="X485" i="16" a="1"/>
  <c r="X485" i="16" s="1"/>
  <c r="V486" i="16" a="1"/>
  <c r="V486" i="16" s="1"/>
  <c r="W486" i="16" a="1"/>
  <c r="W486" i="16" s="1"/>
  <c r="X486" i="16" a="1"/>
  <c r="X486" i="16" s="1"/>
  <c r="V487" i="16" a="1"/>
  <c r="V487" i="16" s="1"/>
  <c r="W487" i="16" a="1"/>
  <c r="W487" i="16" s="1"/>
  <c r="X487" i="16" a="1"/>
  <c r="X487" i="16" s="1"/>
  <c r="V488" i="16" a="1"/>
  <c r="V488" i="16" s="1"/>
  <c r="W488" i="16" a="1"/>
  <c r="W488" i="16" s="1"/>
  <c r="X488" i="16" a="1"/>
  <c r="X488" i="16" s="1"/>
  <c r="V489" i="16" a="1"/>
  <c r="V489" i="16" s="1"/>
  <c r="W489" i="16" a="1"/>
  <c r="W489" i="16" s="1"/>
  <c r="X489" i="16" a="1"/>
  <c r="X489" i="16" s="1"/>
  <c r="V490" i="16" a="1"/>
  <c r="V490" i="16" s="1"/>
  <c r="W490" i="16" a="1"/>
  <c r="W490" i="16" s="1"/>
  <c r="X490" i="16" a="1"/>
  <c r="X490" i="16" s="1"/>
  <c r="V491" i="16" a="1"/>
  <c r="V491" i="16" s="1"/>
  <c r="W491" i="16" a="1"/>
  <c r="W491" i="16" s="1"/>
  <c r="X491" i="16" a="1"/>
  <c r="X491" i="16" s="1"/>
  <c r="V492" i="16" a="1"/>
  <c r="V492" i="16" s="1"/>
  <c r="W492" i="16" a="1"/>
  <c r="W492" i="16" s="1"/>
  <c r="X492" i="16" a="1"/>
  <c r="X492" i="16" s="1"/>
  <c r="V493" i="16" a="1"/>
  <c r="V493" i="16" s="1"/>
  <c r="W493" i="16" a="1"/>
  <c r="W493" i="16" s="1"/>
  <c r="X493" i="16" a="1"/>
  <c r="X493" i="16" s="1"/>
  <c r="V494" i="16" a="1"/>
  <c r="V494" i="16" s="1"/>
  <c r="W494" i="16" a="1"/>
  <c r="W494" i="16" s="1"/>
  <c r="X494" i="16" a="1"/>
  <c r="X494" i="16" s="1"/>
  <c r="V495" i="16" a="1"/>
  <c r="V495" i="16" s="1"/>
  <c r="W495" i="16" a="1"/>
  <c r="W495" i="16" s="1"/>
  <c r="X495" i="16" a="1"/>
  <c r="X495" i="16" s="1"/>
  <c r="V496" i="16" a="1"/>
  <c r="V496" i="16" s="1"/>
  <c r="W496" i="16" a="1"/>
  <c r="W496" i="16" s="1"/>
  <c r="X496" i="16" a="1"/>
  <c r="X496" i="16" s="1"/>
  <c r="V497" i="16" a="1"/>
  <c r="V497" i="16" s="1"/>
  <c r="W497" i="16" a="1"/>
  <c r="W497" i="16" s="1"/>
  <c r="X497" i="16" a="1"/>
  <c r="X497" i="16" s="1"/>
  <c r="V498" i="16" a="1"/>
  <c r="V498" i="16" s="1"/>
  <c r="W498" i="16" a="1"/>
  <c r="W498" i="16" s="1"/>
  <c r="X498" i="16" a="1"/>
  <c r="X498" i="16" s="1"/>
  <c r="V499" i="16" a="1"/>
  <c r="V499" i="16" s="1"/>
  <c r="W499" i="16" a="1"/>
  <c r="W499" i="16" s="1"/>
  <c r="X499" i="16" a="1"/>
  <c r="X499" i="16" s="1"/>
  <c r="V500" i="16" a="1"/>
  <c r="V500" i="16" s="1"/>
  <c r="W500" i="16" a="1"/>
  <c r="W500" i="16" s="1"/>
  <c r="X500" i="16" a="1"/>
  <c r="X500" i="16" s="1"/>
  <c r="V501" i="16" a="1"/>
  <c r="V501" i="16" s="1"/>
  <c r="W501" i="16" a="1"/>
  <c r="W501" i="16" s="1"/>
  <c r="X501" i="16" a="1"/>
  <c r="X501" i="16" s="1"/>
  <c r="V502" i="16" a="1"/>
  <c r="V502" i="16" s="1"/>
  <c r="W502" i="16" a="1"/>
  <c r="W502" i="16" s="1"/>
  <c r="X502" i="16" a="1"/>
  <c r="X502" i="16" s="1"/>
  <c r="V503" i="16" a="1"/>
  <c r="V503" i="16" s="1"/>
  <c r="W503" i="16" a="1"/>
  <c r="W503" i="16" s="1"/>
  <c r="X503" i="16" a="1"/>
  <c r="X503" i="16" s="1"/>
  <c r="V504" i="16" a="1"/>
  <c r="V504" i="16" s="1"/>
  <c r="W504" i="16" a="1"/>
  <c r="W504" i="16" s="1"/>
  <c r="X504" i="16" a="1"/>
  <c r="X504" i="16" s="1"/>
  <c r="V505" i="16" a="1"/>
  <c r="V505" i="16" s="1"/>
  <c r="W505" i="16" a="1"/>
  <c r="W505" i="16" s="1"/>
  <c r="X505" i="16" a="1"/>
  <c r="X505" i="16" s="1"/>
  <c r="V506" i="16" a="1"/>
  <c r="V506" i="16" s="1"/>
  <c r="W506" i="16" a="1"/>
  <c r="W506" i="16" s="1"/>
  <c r="X506" i="16" a="1"/>
  <c r="X506" i="16" s="1"/>
  <c r="V507" i="16" a="1"/>
  <c r="V507" i="16" s="1"/>
  <c r="W507" i="16" a="1"/>
  <c r="W507" i="16" s="1"/>
  <c r="X507" i="16" a="1"/>
  <c r="X507" i="16" s="1"/>
  <c r="V508" i="16" a="1"/>
  <c r="V508" i="16" s="1"/>
  <c r="W508" i="16" a="1"/>
  <c r="W508" i="16" s="1"/>
  <c r="X508" i="16" a="1"/>
  <c r="X508" i="16" s="1"/>
  <c r="V509" i="16" a="1"/>
  <c r="V509" i="16" s="1"/>
  <c r="W509" i="16" a="1"/>
  <c r="W509" i="16" s="1"/>
  <c r="X509" i="16" a="1"/>
  <c r="X509" i="16" s="1"/>
  <c r="V510" i="16" a="1"/>
  <c r="V510" i="16" s="1"/>
  <c r="W510" i="16" a="1"/>
  <c r="W510" i="16" s="1"/>
  <c r="X510" i="16" a="1"/>
  <c r="X510" i="16" s="1"/>
  <c r="V511" i="16" a="1"/>
  <c r="V511" i="16" s="1"/>
  <c r="W511" i="16" a="1"/>
  <c r="W511" i="16" s="1"/>
  <c r="X511" i="16" a="1"/>
  <c r="X511" i="16" s="1"/>
  <c r="V512" i="16" a="1"/>
  <c r="V512" i="16" s="1"/>
  <c r="W512" i="16" a="1"/>
  <c r="W512" i="16" s="1"/>
  <c r="X512" i="16" a="1"/>
  <c r="X512" i="16" s="1"/>
  <c r="V513" i="16" a="1"/>
  <c r="V513" i="16" s="1"/>
  <c r="W513" i="16" a="1"/>
  <c r="W513" i="16" s="1"/>
  <c r="X513" i="16" a="1"/>
  <c r="X513" i="16" s="1"/>
  <c r="V514" i="16" a="1"/>
  <c r="V514" i="16" s="1"/>
  <c r="W514" i="16" a="1"/>
  <c r="W514" i="16" s="1"/>
  <c r="X514" i="16" a="1"/>
  <c r="X514" i="16" s="1"/>
  <c r="V515" i="16" a="1"/>
  <c r="V515" i="16" s="1"/>
  <c r="W515" i="16" a="1"/>
  <c r="W515" i="16" s="1"/>
  <c r="X515" i="16" a="1"/>
  <c r="X515" i="16" s="1"/>
  <c r="R1016" i="16" a="1"/>
  <c r="R1016" i="16" s="1"/>
  <c r="S1016" i="16" a="1"/>
  <c r="S1016" i="16"/>
  <c r="T1016" i="16" a="1"/>
  <c r="T1016" i="16" s="1"/>
  <c r="R1017" i="16" a="1"/>
  <c r="R1017" i="16" s="1"/>
  <c r="S1017" i="16" a="1"/>
  <c r="S1017" i="16" s="1"/>
  <c r="T1017" i="16" a="1"/>
  <c r="T1017" i="16"/>
  <c r="R1018" i="16" a="1"/>
  <c r="R1018" i="16" s="1"/>
  <c r="S1018" i="16" a="1"/>
  <c r="S1018" i="16"/>
  <c r="T1018" i="16" a="1"/>
  <c r="T1018" i="16" s="1"/>
  <c r="R1019" i="16" a="1"/>
  <c r="R1019" i="16" s="1"/>
  <c r="S1019" i="16" a="1"/>
  <c r="S1019" i="16" s="1"/>
  <c r="T1019" i="16" a="1"/>
  <c r="T1019" i="16" s="1"/>
  <c r="R1020" i="16" a="1"/>
  <c r="R1020" i="16" s="1"/>
  <c r="S1020" i="16" a="1"/>
  <c r="S1020" i="16" s="1"/>
  <c r="T1020" i="16" a="1"/>
  <c r="T1020" i="16" s="1"/>
  <c r="R1021" i="16" a="1"/>
  <c r="R1021" i="16" s="1"/>
  <c r="S1021" i="16" a="1"/>
  <c r="S1021" i="16" s="1"/>
  <c r="T1021" i="16" a="1"/>
  <c r="T1021" i="16"/>
  <c r="R1022" i="16" a="1"/>
  <c r="R1022" i="16" s="1"/>
  <c r="S1022" i="16" a="1"/>
  <c r="S1022" i="16" s="1"/>
  <c r="T1022" i="16" a="1"/>
  <c r="T1022" i="16" s="1"/>
  <c r="R1023" i="16" a="1"/>
  <c r="R1023" i="16" s="1"/>
  <c r="S1023" i="16" a="1"/>
  <c r="S1023" i="16"/>
  <c r="T1023" i="16" a="1"/>
  <c r="T1023" i="16" s="1"/>
  <c r="R1024" i="16" a="1"/>
  <c r="R1024" i="16" s="1"/>
  <c r="S1024" i="16" a="1"/>
  <c r="S1024" i="16" s="1"/>
  <c r="T1024" i="16" a="1"/>
  <c r="T1024" i="16" s="1"/>
  <c r="R1025" i="16" a="1"/>
  <c r="R1025" i="16" s="1"/>
  <c r="S1025" i="16" a="1"/>
  <c r="S1025" i="16" s="1"/>
  <c r="T1025" i="16" a="1"/>
  <c r="T1025" i="16" s="1"/>
  <c r="R516" i="16" a="1"/>
  <c r="R516" i="16" s="1"/>
  <c r="S516" i="16" a="1"/>
  <c r="S516" i="16"/>
  <c r="T516" i="16" a="1"/>
  <c r="T516" i="16" s="1"/>
  <c r="R517" i="16" a="1"/>
  <c r="R517" i="16"/>
  <c r="S517" i="16" a="1"/>
  <c r="S517" i="16" s="1"/>
  <c r="T517" i="16" a="1"/>
  <c r="T517" i="16" s="1"/>
  <c r="R518" i="16" a="1"/>
  <c r="R518" i="16" s="1"/>
  <c r="S518" i="16" a="1"/>
  <c r="S518" i="16" s="1"/>
  <c r="T518" i="16" a="1"/>
  <c r="T518" i="16" s="1"/>
  <c r="R519" i="16" a="1"/>
  <c r="R519" i="16" s="1"/>
  <c r="S519" i="16" a="1"/>
  <c r="S519" i="16" s="1"/>
  <c r="T519" i="16" a="1"/>
  <c r="T519" i="16" s="1"/>
  <c r="R520" i="16" a="1"/>
  <c r="R520" i="16" s="1"/>
  <c r="S520" i="16" a="1"/>
  <c r="S520" i="16" s="1"/>
  <c r="T520" i="16" a="1"/>
  <c r="T520" i="16" s="1"/>
  <c r="R521" i="16" a="1"/>
  <c r="R521" i="16" s="1"/>
  <c r="S521" i="16" a="1"/>
  <c r="S521" i="16" s="1"/>
  <c r="T521" i="16" a="1"/>
  <c r="T521" i="16" s="1"/>
  <c r="R522" i="16" a="1"/>
  <c r="R522" i="16" s="1"/>
  <c r="S522" i="16" a="1"/>
  <c r="S522" i="16" s="1"/>
  <c r="T522" i="16" a="1"/>
  <c r="T522" i="16" s="1"/>
  <c r="R523" i="16" a="1"/>
  <c r="R523" i="16" s="1"/>
  <c r="S523" i="16" a="1"/>
  <c r="S523" i="16" s="1"/>
  <c r="T523" i="16" a="1"/>
  <c r="T523" i="16" s="1"/>
  <c r="R524" i="16" a="1"/>
  <c r="R524" i="16" s="1"/>
  <c r="S524" i="16" a="1"/>
  <c r="S524" i="16" s="1"/>
  <c r="T524" i="16" a="1"/>
  <c r="T524" i="16" s="1"/>
  <c r="R525" i="16" a="1"/>
  <c r="R525" i="16" s="1"/>
  <c r="S525" i="16" a="1"/>
  <c r="S525" i="16" s="1"/>
  <c r="T525" i="16" a="1"/>
  <c r="T525" i="16" s="1"/>
  <c r="R526" i="16" a="1"/>
  <c r="R526" i="16" s="1"/>
  <c r="S526" i="16" a="1"/>
  <c r="S526" i="16" s="1"/>
  <c r="T526" i="16" a="1"/>
  <c r="T526" i="16" s="1"/>
  <c r="R527" i="16" a="1"/>
  <c r="R527" i="16" s="1"/>
  <c r="S527" i="16" a="1"/>
  <c r="S527" i="16" s="1"/>
  <c r="T527" i="16" a="1"/>
  <c r="T527" i="16" s="1"/>
  <c r="R528" i="16" a="1"/>
  <c r="R528" i="16" s="1"/>
  <c r="S528" i="16" a="1"/>
  <c r="S528" i="16" s="1"/>
  <c r="T528" i="16" a="1"/>
  <c r="T528" i="16" s="1"/>
  <c r="R529" i="16" a="1"/>
  <c r="R529" i="16" s="1"/>
  <c r="S529" i="16" a="1"/>
  <c r="S529" i="16" s="1"/>
  <c r="T529" i="16" a="1"/>
  <c r="T529" i="16" s="1"/>
  <c r="R530" i="16" a="1"/>
  <c r="R530" i="16" s="1"/>
  <c r="S530" i="16" a="1"/>
  <c r="S530" i="16" s="1"/>
  <c r="T530" i="16" a="1"/>
  <c r="T530" i="16" s="1"/>
  <c r="R531" i="16" a="1"/>
  <c r="R531" i="16" s="1"/>
  <c r="S531" i="16" a="1"/>
  <c r="S531" i="16" s="1"/>
  <c r="T531" i="16" a="1"/>
  <c r="T531" i="16" s="1"/>
  <c r="R532" i="16" a="1"/>
  <c r="R532" i="16" s="1"/>
  <c r="S532" i="16" a="1"/>
  <c r="S532" i="16" s="1"/>
  <c r="T532" i="16" a="1"/>
  <c r="T532" i="16" s="1"/>
  <c r="R533" i="16" a="1"/>
  <c r="R533" i="16" s="1"/>
  <c r="S533" i="16" a="1"/>
  <c r="S533" i="16" s="1"/>
  <c r="T533" i="16" a="1"/>
  <c r="T533" i="16" s="1"/>
  <c r="R534" i="16" a="1"/>
  <c r="R534" i="16" s="1"/>
  <c r="S534" i="16" a="1"/>
  <c r="S534" i="16" s="1"/>
  <c r="T534" i="16" a="1"/>
  <c r="T534" i="16" s="1"/>
  <c r="R535" i="16" a="1"/>
  <c r="R535" i="16" s="1"/>
  <c r="S535" i="16" a="1"/>
  <c r="S535" i="16" s="1"/>
  <c r="T535" i="16" a="1"/>
  <c r="T535" i="16" s="1"/>
  <c r="R536" i="16" a="1"/>
  <c r="R536" i="16" s="1"/>
  <c r="S536" i="16" a="1"/>
  <c r="S536" i="16" s="1"/>
  <c r="T536" i="16" a="1"/>
  <c r="T536" i="16"/>
  <c r="R537" i="16" a="1"/>
  <c r="R537" i="16"/>
  <c r="S537" i="16" a="1"/>
  <c r="S537" i="16" s="1"/>
  <c r="T537" i="16" a="1"/>
  <c r="T537" i="16" s="1"/>
  <c r="R538" i="16" a="1"/>
  <c r="R538" i="16" s="1"/>
  <c r="S538" i="16" a="1"/>
  <c r="S538" i="16" s="1"/>
  <c r="T538" i="16" a="1"/>
  <c r="T538" i="16" s="1"/>
  <c r="R539" i="16" a="1"/>
  <c r="R539" i="16" s="1"/>
  <c r="S539" i="16" a="1"/>
  <c r="S539" i="16" s="1"/>
  <c r="T539" i="16" a="1"/>
  <c r="T539" i="16"/>
  <c r="R540" i="16" a="1"/>
  <c r="R540" i="16" s="1"/>
  <c r="S540" i="16" a="1"/>
  <c r="S540" i="16" s="1"/>
  <c r="T540" i="16" a="1"/>
  <c r="T540" i="16" s="1"/>
  <c r="R541" i="16" a="1"/>
  <c r="R541" i="16" s="1"/>
  <c r="S541" i="16" a="1"/>
  <c r="S541" i="16" s="1"/>
  <c r="T541" i="16" a="1"/>
  <c r="T541" i="16" s="1"/>
  <c r="R542" i="16" a="1"/>
  <c r="R542" i="16" s="1"/>
  <c r="S542" i="16" a="1"/>
  <c r="S542" i="16" s="1"/>
  <c r="T542" i="16" a="1"/>
  <c r="T542" i="16" s="1"/>
  <c r="R543" i="16" a="1"/>
  <c r="R543" i="16" s="1"/>
  <c r="S543" i="16" a="1"/>
  <c r="S543" i="16" s="1"/>
  <c r="T543" i="16" a="1"/>
  <c r="T543" i="16"/>
  <c r="R544" i="16" a="1"/>
  <c r="R544" i="16"/>
  <c r="S544" i="16" a="1"/>
  <c r="S544" i="16" s="1"/>
  <c r="T544" i="16" a="1"/>
  <c r="T544" i="16" s="1"/>
  <c r="R545" i="16" a="1"/>
  <c r="R545" i="16" s="1"/>
  <c r="S545" i="16" a="1"/>
  <c r="S545" i="16" s="1"/>
  <c r="T545" i="16" a="1"/>
  <c r="T545" i="16" s="1"/>
  <c r="R546" i="16" a="1"/>
  <c r="R546" i="16" s="1"/>
  <c r="S546" i="16" a="1"/>
  <c r="S546" i="16"/>
  <c r="T546" i="16" a="1"/>
  <c r="T546" i="16"/>
  <c r="R547" i="16" a="1"/>
  <c r="R547" i="16" s="1"/>
  <c r="S547" i="16" a="1"/>
  <c r="S547" i="16" s="1"/>
  <c r="T547" i="16" a="1"/>
  <c r="T547" i="16" s="1"/>
  <c r="R548" i="16" a="1"/>
  <c r="R548" i="16" s="1"/>
  <c r="S548" i="16" a="1"/>
  <c r="S548" i="16" s="1"/>
  <c r="T548" i="16" a="1"/>
  <c r="T548" i="16" s="1"/>
  <c r="R549" i="16" a="1"/>
  <c r="R549" i="16" s="1"/>
  <c r="S549" i="16" a="1"/>
  <c r="S549" i="16" s="1"/>
  <c r="T549" i="16" a="1"/>
  <c r="T549" i="16" s="1"/>
  <c r="R550" i="16" a="1"/>
  <c r="R550" i="16" s="1"/>
  <c r="S550" i="16" a="1"/>
  <c r="S550" i="16" s="1"/>
  <c r="T550" i="16" a="1"/>
  <c r="T550" i="16"/>
  <c r="R551" i="16" a="1"/>
  <c r="R551" i="16" s="1"/>
  <c r="S551" i="16" a="1"/>
  <c r="S551" i="16" s="1"/>
  <c r="T551" i="16" a="1"/>
  <c r="T551" i="16" s="1"/>
  <c r="R552" i="16" a="1"/>
  <c r="R552" i="16" s="1"/>
  <c r="S552" i="16" a="1"/>
  <c r="S552" i="16" s="1"/>
  <c r="T552" i="16" a="1"/>
  <c r="T552" i="16" s="1"/>
  <c r="R553" i="16" a="1"/>
  <c r="R553" i="16" s="1"/>
  <c r="S553" i="16" a="1"/>
  <c r="S553" i="16"/>
  <c r="T553" i="16" a="1"/>
  <c r="T553" i="16" s="1"/>
  <c r="R554" i="16" a="1"/>
  <c r="R554" i="16" s="1"/>
  <c r="S554" i="16" a="1"/>
  <c r="S554" i="16" s="1"/>
  <c r="T554" i="16" a="1"/>
  <c r="T554" i="16" s="1"/>
  <c r="R555" i="16" a="1"/>
  <c r="R555" i="16" s="1"/>
  <c r="S555" i="16" a="1"/>
  <c r="S555" i="16" s="1"/>
  <c r="T555" i="16" a="1"/>
  <c r="T555" i="16" s="1"/>
  <c r="R556" i="16" a="1"/>
  <c r="R556" i="16" s="1"/>
  <c r="S556" i="16" a="1"/>
  <c r="S556" i="16" s="1"/>
  <c r="T556" i="16" a="1"/>
  <c r="T556" i="16" s="1"/>
  <c r="R557" i="16" a="1"/>
  <c r="R557" i="16" s="1"/>
  <c r="S557" i="16" a="1"/>
  <c r="S557" i="16" s="1"/>
  <c r="T557" i="16" a="1"/>
  <c r="T557" i="16" s="1"/>
  <c r="R558" i="16" a="1"/>
  <c r="R558" i="16" s="1"/>
  <c r="S558" i="16" a="1"/>
  <c r="S558" i="16"/>
  <c r="T558" i="16" a="1"/>
  <c r="T558" i="16" s="1"/>
  <c r="R559" i="16" a="1"/>
  <c r="R559" i="16" s="1"/>
  <c r="S559" i="16" a="1"/>
  <c r="S559" i="16" s="1"/>
  <c r="T559" i="16" a="1"/>
  <c r="T559" i="16"/>
  <c r="R560" i="16" a="1"/>
  <c r="R560" i="16"/>
  <c r="S560" i="16" a="1"/>
  <c r="S560" i="16" s="1"/>
  <c r="T560" i="16" a="1"/>
  <c r="T560" i="16" s="1"/>
  <c r="R561" i="16" a="1"/>
  <c r="R561" i="16" s="1"/>
  <c r="S561" i="16" a="1"/>
  <c r="S561" i="16" s="1"/>
  <c r="T561" i="16" a="1"/>
  <c r="T561" i="16" s="1"/>
  <c r="R562" i="16" a="1"/>
  <c r="R562" i="16" s="1"/>
  <c r="S562" i="16" a="1"/>
  <c r="S562" i="16" s="1"/>
  <c r="T562" i="16" a="1"/>
  <c r="T562" i="16" s="1"/>
  <c r="R563" i="16" a="1"/>
  <c r="R563" i="16" s="1"/>
  <c r="S563" i="16" a="1"/>
  <c r="S563" i="16" s="1"/>
  <c r="T563" i="16" a="1"/>
  <c r="T563" i="16"/>
  <c r="R564" i="16" a="1"/>
  <c r="R564" i="16" s="1"/>
  <c r="S564" i="16" a="1"/>
  <c r="S564" i="16" s="1"/>
  <c r="T564" i="16" a="1"/>
  <c r="T564" i="16" s="1"/>
  <c r="R565" i="16" a="1"/>
  <c r="R565" i="16" s="1"/>
  <c r="S565" i="16" a="1"/>
  <c r="S565" i="16" s="1"/>
  <c r="T565" i="16" a="1"/>
  <c r="T565" i="16"/>
  <c r="R566" i="16" a="1"/>
  <c r="R566" i="16" s="1"/>
  <c r="S566" i="16" a="1"/>
  <c r="S566" i="16"/>
  <c r="T566" i="16" a="1"/>
  <c r="T566" i="16"/>
  <c r="R567" i="16" a="1"/>
  <c r="R567" i="16" s="1"/>
  <c r="S567" i="16" a="1"/>
  <c r="S567" i="16" s="1"/>
  <c r="T567" i="16" a="1"/>
  <c r="T567" i="16" s="1"/>
  <c r="R568" i="16" a="1"/>
  <c r="R568" i="16"/>
  <c r="S568" i="16" a="1"/>
  <c r="S568" i="16" s="1"/>
  <c r="T568" i="16" a="1"/>
  <c r="T568" i="16" s="1"/>
  <c r="R569" i="16" a="1"/>
  <c r="R569" i="16" s="1"/>
  <c r="S569" i="16" a="1"/>
  <c r="S569" i="16" s="1"/>
  <c r="T569" i="16" a="1"/>
  <c r="T569" i="16" s="1"/>
  <c r="R570" i="16" a="1"/>
  <c r="R570" i="16" s="1"/>
  <c r="S570" i="16" a="1"/>
  <c r="S570" i="16" s="1"/>
  <c r="T570" i="16" a="1"/>
  <c r="T570" i="16"/>
  <c r="R571" i="16" a="1"/>
  <c r="R571" i="16" s="1"/>
  <c r="S571" i="16" a="1"/>
  <c r="S571" i="16"/>
  <c r="T571" i="16" a="1"/>
  <c r="T571" i="16"/>
  <c r="R572" i="16" a="1"/>
  <c r="R572" i="16" s="1"/>
  <c r="S572" i="16" a="1"/>
  <c r="S572" i="16" s="1"/>
  <c r="T572" i="16" a="1"/>
  <c r="T572" i="16" s="1"/>
  <c r="R573" i="16" a="1"/>
  <c r="R573" i="16" s="1"/>
  <c r="S573" i="16" a="1"/>
  <c r="S573" i="16" s="1"/>
  <c r="T573" i="16" a="1"/>
  <c r="T573" i="16" s="1"/>
  <c r="R574" i="16" a="1"/>
  <c r="R574" i="16" s="1"/>
  <c r="S574" i="16" a="1"/>
  <c r="S574" i="16" s="1"/>
  <c r="T574" i="16" a="1"/>
  <c r="T574" i="16" s="1"/>
  <c r="R575" i="16" a="1"/>
  <c r="R575" i="16" s="1"/>
  <c r="S575" i="16" a="1"/>
  <c r="S575" i="16"/>
  <c r="T575" i="16" a="1"/>
  <c r="T575" i="16" s="1"/>
  <c r="R576" i="16" a="1"/>
  <c r="R576" i="16" s="1"/>
  <c r="S576" i="16" a="1"/>
  <c r="S576" i="16" s="1"/>
  <c r="T576" i="16" a="1"/>
  <c r="T576" i="16" s="1"/>
  <c r="R577" i="16" a="1"/>
  <c r="R577" i="16" s="1"/>
  <c r="S577" i="16" a="1"/>
  <c r="S577" i="16" s="1"/>
  <c r="T577" i="16" a="1"/>
  <c r="T577" i="16" s="1"/>
  <c r="R578" i="16" a="1"/>
  <c r="R578" i="16" s="1"/>
  <c r="S578" i="16" a="1"/>
  <c r="S578" i="16" s="1"/>
  <c r="T578" i="16" a="1"/>
  <c r="T578" i="16"/>
  <c r="R579" i="16" a="1"/>
  <c r="R579" i="16"/>
  <c r="S579" i="16" a="1"/>
  <c r="S579" i="16" s="1"/>
  <c r="T579" i="16" a="1"/>
  <c r="T579" i="16" s="1"/>
  <c r="R580" i="16" a="1"/>
  <c r="R580" i="16"/>
  <c r="S580" i="16" a="1"/>
  <c r="S580" i="16" s="1"/>
  <c r="T580" i="16" a="1"/>
  <c r="T580" i="16" s="1"/>
  <c r="R581" i="16" a="1"/>
  <c r="R581" i="16" s="1"/>
  <c r="S581" i="16" a="1"/>
  <c r="S581" i="16" s="1"/>
  <c r="T581" i="16" a="1"/>
  <c r="T581" i="16" s="1"/>
  <c r="R582" i="16" a="1"/>
  <c r="R582" i="16" s="1"/>
  <c r="S582" i="16" a="1"/>
  <c r="S582" i="16" s="1"/>
  <c r="T582" i="16" a="1"/>
  <c r="T582" i="16" s="1"/>
  <c r="R583" i="16" a="1"/>
  <c r="R583" i="16" s="1"/>
  <c r="S583" i="16" a="1"/>
  <c r="S583" i="16"/>
  <c r="T583" i="16" a="1"/>
  <c r="T583" i="16"/>
  <c r="R584" i="16" a="1"/>
  <c r="R584" i="16" s="1"/>
  <c r="S584" i="16" a="1"/>
  <c r="S584" i="16" s="1"/>
  <c r="T584" i="16" a="1"/>
  <c r="T584" i="16"/>
  <c r="R585" i="16" a="1"/>
  <c r="R585" i="16" s="1"/>
  <c r="S585" i="16" a="1"/>
  <c r="S585" i="16" s="1"/>
  <c r="T585" i="16" a="1"/>
  <c r="T585" i="16" s="1"/>
  <c r="R586" i="16" a="1"/>
  <c r="R586" i="16" s="1"/>
  <c r="S586" i="16" a="1"/>
  <c r="S586" i="16" s="1"/>
  <c r="T586" i="16" a="1"/>
  <c r="T586" i="16" s="1"/>
  <c r="R587" i="16" a="1"/>
  <c r="R587" i="16" s="1"/>
  <c r="S587" i="16" a="1"/>
  <c r="S587" i="16"/>
  <c r="T587" i="16" a="1"/>
  <c r="T587" i="16" s="1"/>
  <c r="R588" i="16" a="1"/>
  <c r="R588" i="16"/>
  <c r="S588" i="16" a="1"/>
  <c r="S588" i="16"/>
  <c r="T588" i="16" a="1"/>
  <c r="T588" i="16" s="1"/>
  <c r="R589" i="16" a="1"/>
  <c r="R589" i="16" s="1"/>
  <c r="S589" i="16" a="1"/>
  <c r="S589" i="16" s="1"/>
  <c r="T589" i="16" a="1"/>
  <c r="T589" i="16"/>
  <c r="R590" i="16" a="1"/>
  <c r="R590" i="16" s="1"/>
  <c r="S590" i="16" a="1"/>
  <c r="S590" i="16"/>
  <c r="T590" i="16" a="1"/>
  <c r="T590" i="16"/>
  <c r="R591" i="16" a="1"/>
  <c r="R591" i="16" s="1"/>
  <c r="S591" i="16" a="1"/>
  <c r="S591" i="16" s="1"/>
  <c r="T591" i="16" a="1"/>
  <c r="T591" i="16" s="1"/>
  <c r="R592" i="16" a="1"/>
  <c r="R592" i="16"/>
  <c r="S592" i="16" a="1"/>
  <c r="S592" i="16" s="1"/>
  <c r="T592" i="16" a="1"/>
  <c r="T592" i="16" s="1"/>
  <c r="R593" i="16" a="1"/>
  <c r="R593" i="16" s="1"/>
  <c r="S593" i="16" a="1"/>
  <c r="S593" i="16" s="1"/>
  <c r="T593" i="16" a="1"/>
  <c r="T593" i="16" s="1"/>
  <c r="R594" i="16" a="1"/>
  <c r="R594" i="16"/>
  <c r="S594" i="16" a="1"/>
  <c r="S594" i="16" s="1"/>
  <c r="T594" i="16" a="1"/>
  <c r="T594" i="16" s="1"/>
  <c r="R595" i="16" a="1"/>
  <c r="R595" i="16" s="1"/>
  <c r="S595" i="16" a="1"/>
  <c r="S595" i="16" s="1"/>
  <c r="T595" i="16" a="1"/>
  <c r="T595" i="16"/>
  <c r="R596" i="16" a="1"/>
  <c r="R596" i="16" s="1"/>
  <c r="S596" i="16" a="1"/>
  <c r="S596" i="16" s="1"/>
  <c r="T596" i="16" a="1"/>
  <c r="T596" i="16"/>
  <c r="R597" i="16" a="1"/>
  <c r="R597" i="16" s="1"/>
  <c r="S597" i="16" a="1"/>
  <c r="S597" i="16" s="1"/>
  <c r="T597" i="16" a="1"/>
  <c r="T597" i="16" s="1"/>
  <c r="R598" i="16" a="1"/>
  <c r="R598" i="16" s="1"/>
  <c r="S598" i="16" a="1"/>
  <c r="S598" i="16" s="1"/>
  <c r="T598" i="16" a="1"/>
  <c r="T598" i="16" s="1"/>
  <c r="R599" i="16" a="1"/>
  <c r="R599" i="16" s="1"/>
  <c r="S599" i="16" a="1"/>
  <c r="S599" i="16" s="1"/>
  <c r="T599" i="16" a="1"/>
  <c r="T599" i="16" s="1"/>
  <c r="R600" i="16" a="1"/>
  <c r="R600" i="16"/>
  <c r="S600" i="16" a="1"/>
  <c r="S600" i="16"/>
  <c r="T600" i="16" a="1"/>
  <c r="T600" i="16"/>
  <c r="R601" i="16" a="1"/>
  <c r="R601" i="16" s="1"/>
  <c r="S601" i="16" a="1"/>
  <c r="S601" i="16"/>
  <c r="T601" i="16" a="1"/>
  <c r="T601" i="16" s="1"/>
  <c r="R602" i="16" a="1"/>
  <c r="R602" i="16" s="1"/>
  <c r="S602" i="16" a="1"/>
  <c r="S602" i="16" s="1"/>
  <c r="T602" i="16" a="1"/>
  <c r="T602" i="16" s="1"/>
  <c r="R603" i="16" a="1"/>
  <c r="R603" i="16" s="1"/>
  <c r="S603" i="16" a="1"/>
  <c r="S603" i="16"/>
  <c r="T603" i="16" a="1"/>
  <c r="T603" i="16"/>
  <c r="R604" i="16" a="1"/>
  <c r="R604" i="16" s="1"/>
  <c r="S604" i="16" a="1"/>
  <c r="S604" i="16" s="1"/>
  <c r="T604" i="16" a="1"/>
  <c r="T604" i="16" s="1"/>
  <c r="R605" i="16" a="1"/>
  <c r="R605" i="16"/>
  <c r="S605" i="16" a="1"/>
  <c r="S605" i="16" s="1"/>
  <c r="T605" i="16" a="1"/>
  <c r="T605" i="16" s="1"/>
  <c r="R606" i="16" a="1"/>
  <c r="R606" i="16" s="1"/>
  <c r="S606" i="16" a="1"/>
  <c r="S606" i="16"/>
  <c r="T606" i="16" a="1"/>
  <c r="T606" i="16" s="1"/>
  <c r="R607" i="16" a="1"/>
  <c r="R607" i="16"/>
  <c r="S607" i="16" a="1"/>
  <c r="S607" i="16"/>
  <c r="T607" i="16" a="1"/>
  <c r="T607" i="16" s="1"/>
  <c r="R608" i="16" a="1"/>
  <c r="R608" i="16" s="1"/>
  <c r="S608" i="16" a="1"/>
  <c r="S608" i="16" s="1"/>
  <c r="T608" i="16" a="1"/>
  <c r="T608" i="16"/>
  <c r="R609" i="16" a="1"/>
  <c r="R609" i="16" s="1"/>
  <c r="S609" i="16" a="1"/>
  <c r="S609" i="16" s="1"/>
  <c r="T609" i="16" a="1"/>
  <c r="T609" i="16"/>
  <c r="R610" i="16" a="1"/>
  <c r="R610" i="16" s="1"/>
  <c r="S610" i="16" a="1"/>
  <c r="S610" i="16" s="1"/>
  <c r="T610" i="16" a="1"/>
  <c r="T610" i="16"/>
  <c r="R611" i="16" a="1"/>
  <c r="R611" i="16" s="1"/>
  <c r="S611" i="16" a="1"/>
  <c r="S611" i="16" s="1"/>
  <c r="T611" i="16" a="1"/>
  <c r="T611" i="16" s="1"/>
  <c r="R612" i="16" a="1"/>
  <c r="R612" i="16" s="1"/>
  <c r="S612" i="16" a="1"/>
  <c r="S612" i="16"/>
  <c r="T612" i="16" a="1"/>
  <c r="T612" i="16" s="1"/>
  <c r="R613" i="16" a="1"/>
  <c r="R613" i="16" s="1"/>
  <c r="S613" i="16" a="1"/>
  <c r="S613" i="16"/>
  <c r="T613" i="16" a="1"/>
  <c r="T613" i="16" s="1"/>
  <c r="R614" i="16" a="1"/>
  <c r="R614" i="16" s="1"/>
  <c r="S614" i="16" a="1"/>
  <c r="S614" i="16" s="1"/>
  <c r="T614" i="16" a="1"/>
  <c r="T614" i="16" s="1"/>
  <c r="R615" i="16" a="1"/>
  <c r="R615" i="16" s="1"/>
  <c r="S615" i="16" a="1"/>
  <c r="S615" i="16" s="1"/>
  <c r="T615" i="16" a="1"/>
  <c r="T615" i="16" s="1"/>
  <c r="R616" i="16" a="1"/>
  <c r="R616" i="16" s="1"/>
  <c r="S616" i="16" a="1"/>
  <c r="S616" i="16" s="1"/>
  <c r="T616" i="16" a="1"/>
  <c r="T616" i="16"/>
  <c r="R617" i="16" a="1"/>
  <c r="R617" i="16"/>
  <c r="S617" i="16" a="1"/>
  <c r="S617" i="16"/>
  <c r="T617" i="16" a="1"/>
  <c r="T617" i="16" s="1"/>
  <c r="R618" i="16" a="1"/>
  <c r="R618" i="16"/>
  <c r="S618" i="16" a="1"/>
  <c r="S618" i="16" s="1"/>
  <c r="T618" i="16" a="1"/>
  <c r="T618" i="16" s="1"/>
  <c r="R619" i="16" a="1"/>
  <c r="R619" i="16" s="1"/>
  <c r="S619" i="16" a="1"/>
  <c r="S619" i="16" s="1"/>
  <c r="T619" i="16" a="1"/>
  <c r="T619" i="16" s="1"/>
  <c r="R620" i="16" a="1"/>
  <c r="R620" i="16"/>
  <c r="S620" i="16" a="1"/>
  <c r="S620" i="16"/>
  <c r="T620" i="16" a="1"/>
  <c r="T620" i="16" s="1"/>
  <c r="R621" i="16" a="1"/>
  <c r="R621" i="16" s="1"/>
  <c r="S621" i="16" a="1"/>
  <c r="S621" i="16" s="1"/>
  <c r="T621" i="16" a="1"/>
  <c r="T621" i="16"/>
  <c r="R622" i="16" a="1"/>
  <c r="R622" i="16" s="1"/>
  <c r="S622" i="16" a="1"/>
  <c r="S622" i="16" s="1"/>
  <c r="T622" i="16" a="1"/>
  <c r="T622" i="16" s="1"/>
  <c r="R623" i="16" a="1"/>
  <c r="R623" i="16"/>
  <c r="S623" i="16" a="1"/>
  <c r="S623" i="16" s="1"/>
  <c r="T623" i="16" a="1"/>
  <c r="T623" i="16"/>
  <c r="R624" i="16" a="1"/>
  <c r="R624" i="16"/>
  <c r="S624" i="16" a="1"/>
  <c r="S624" i="16" s="1"/>
  <c r="T624" i="16" a="1"/>
  <c r="T624" i="16" s="1"/>
  <c r="R625" i="16" a="1"/>
  <c r="R625" i="16" s="1"/>
  <c r="S625" i="16" a="1"/>
  <c r="S625" i="16" s="1"/>
  <c r="T625" i="16" a="1"/>
  <c r="T625" i="16" s="1"/>
  <c r="R626" i="16" a="1"/>
  <c r="R626" i="16" s="1"/>
  <c r="S626" i="16" a="1"/>
  <c r="S626" i="16"/>
  <c r="T626" i="16" a="1"/>
  <c r="T626" i="16" s="1"/>
  <c r="R627" i="16" a="1"/>
  <c r="R627" i="16" s="1"/>
  <c r="S627" i="16" a="1"/>
  <c r="S627" i="16" s="1"/>
  <c r="T627" i="16" a="1"/>
  <c r="T627" i="16" s="1"/>
  <c r="R628" i="16" a="1"/>
  <c r="R628" i="16" s="1"/>
  <c r="S628" i="16" a="1"/>
  <c r="S628" i="16" s="1"/>
  <c r="T628" i="16" a="1"/>
  <c r="T628" i="16" s="1"/>
  <c r="R629" i="16" a="1"/>
  <c r="R629" i="16" s="1"/>
  <c r="S629" i="16" a="1"/>
  <c r="S629" i="16" s="1"/>
  <c r="T629" i="16" a="1"/>
  <c r="T629" i="16" s="1"/>
  <c r="R630" i="16" a="1"/>
  <c r="R630" i="16" s="1"/>
  <c r="S630" i="16" a="1"/>
  <c r="S630" i="16"/>
  <c r="T630" i="16" a="1"/>
  <c r="T630" i="16" s="1"/>
  <c r="R631" i="16" a="1"/>
  <c r="R631" i="16" s="1"/>
  <c r="S631" i="16" a="1"/>
  <c r="S631" i="16" s="1"/>
  <c r="T631" i="16" a="1"/>
  <c r="T631" i="16" s="1"/>
  <c r="R632" i="16" a="1"/>
  <c r="R632" i="16" s="1"/>
  <c r="S632" i="16" a="1"/>
  <c r="S632" i="16" s="1"/>
  <c r="T632" i="16" a="1"/>
  <c r="T632" i="16" s="1"/>
  <c r="R633" i="16" a="1"/>
  <c r="R633" i="16"/>
  <c r="S633" i="16" a="1"/>
  <c r="S633" i="16" s="1"/>
  <c r="T633" i="16" a="1"/>
  <c r="T633" i="16"/>
  <c r="R634" i="16" a="1"/>
  <c r="R634" i="16" s="1"/>
  <c r="S634" i="16" a="1"/>
  <c r="S634" i="16" s="1"/>
  <c r="T634" i="16" a="1"/>
  <c r="T634" i="16" s="1"/>
  <c r="R635" i="16" a="1"/>
  <c r="R635" i="16" s="1"/>
  <c r="S635" i="16" a="1"/>
  <c r="S635" i="16" s="1"/>
  <c r="T635" i="16" a="1"/>
  <c r="T635" i="16" s="1"/>
  <c r="R636" i="16" a="1"/>
  <c r="R636" i="16" s="1"/>
  <c r="S636" i="16" a="1"/>
  <c r="S636" i="16" s="1"/>
  <c r="T636" i="16" a="1"/>
  <c r="T636" i="16"/>
  <c r="R637" i="16" a="1"/>
  <c r="R637" i="16" s="1"/>
  <c r="S637" i="16" a="1"/>
  <c r="S637" i="16" s="1"/>
  <c r="T637" i="16" a="1"/>
  <c r="T637" i="16" s="1"/>
  <c r="R638" i="16" a="1"/>
  <c r="R638" i="16" s="1"/>
  <c r="S638" i="16" a="1"/>
  <c r="S638" i="16" s="1"/>
  <c r="T638" i="16" a="1"/>
  <c r="T638" i="16" s="1"/>
  <c r="R639" i="16" a="1"/>
  <c r="R639" i="16" s="1"/>
  <c r="S639" i="16" a="1"/>
  <c r="S639" i="16" s="1"/>
  <c r="T639" i="16" a="1"/>
  <c r="T639" i="16" s="1"/>
  <c r="R640" i="16" a="1"/>
  <c r="R640" i="16" s="1"/>
  <c r="S640" i="16" a="1"/>
  <c r="S640" i="16"/>
  <c r="T640" i="16" a="1"/>
  <c r="T640" i="16" s="1"/>
  <c r="R641" i="16" a="1"/>
  <c r="R641" i="16" s="1"/>
  <c r="S641" i="16" a="1"/>
  <c r="S641" i="16" s="1"/>
  <c r="T641" i="16" a="1"/>
  <c r="T641" i="16" s="1"/>
  <c r="R642" i="16" a="1"/>
  <c r="R642" i="16" s="1"/>
  <c r="S642" i="16" a="1"/>
  <c r="S642" i="16" s="1"/>
  <c r="T642" i="16" a="1"/>
  <c r="T642" i="16" s="1"/>
  <c r="R643" i="16" a="1"/>
  <c r="R643" i="16" s="1"/>
  <c r="S643" i="16" a="1"/>
  <c r="S643" i="16"/>
  <c r="T643" i="16" a="1"/>
  <c r="T643" i="16" s="1"/>
  <c r="R644" i="16" a="1"/>
  <c r="R644" i="16"/>
  <c r="S644" i="16" a="1"/>
  <c r="S644" i="16" s="1"/>
  <c r="T644" i="16" a="1"/>
  <c r="T644" i="16" s="1"/>
  <c r="R645" i="16" a="1"/>
  <c r="R645" i="16" s="1"/>
  <c r="S645" i="16" a="1"/>
  <c r="S645" i="16" s="1"/>
  <c r="T645" i="16" a="1"/>
  <c r="T645" i="16" s="1"/>
  <c r="R646" i="16" a="1"/>
  <c r="R646" i="16" s="1"/>
  <c r="S646" i="16" a="1"/>
  <c r="S646" i="16" s="1"/>
  <c r="T646" i="16" a="1"/>
  <c r="T646" i="16"/>
  <c r="R647" i="16" a="1"/>
  <c r="R647" i="16" s="1"/>
  <c r="S647" i="16" a="1"/>
  <c r="S647" i="16" s="1"/>
  <c r="T647" i="16" a="1"/>
  <c r="T647" i="16" s="1"/>
  <c r="R648" i="16" a="1"/>
  <c r="R648" i="16" s="1"/>
  <c r="S648" i="16" a="1"/>
  <c r="S648" i="16" s="1"/>
  <c r="T648" i="16" a="1"/>
  <c r="T648" i="16" s="1"/>
  <c r="R649" i="16" a="1"/>
  <c r="R649" i="16" s="1"/>
  <c r="S649" i="16" a="1"/>
  <c r="S649" i="16" s="1"/>
  <c r="T649" i="16" a="1"/>
  <c r="T649" i="16" s="1"/>
  <c r="R650" i="16" a="1"/>
  <c r="R650" i="16"/>
  <c r="S650" i="16" a="1"/>
  <c r="S650" i="16" s="1"/>
  <c r="T650" i="16" a="1"/>
  <c r="T650" i="16" s="1"/>
  <c r="R651" i="16" a="1"/>
  <c r="R651" i="16" s="1"/>
  <c r="S651" i="16" a="1"/>
  <c r="S651" i="16" s="1"/>
  <c r="T651" i="16" a="1"/>
  <c r="T651" i="16" s="1"/>
  <c r="R652" i="16" a="1"/>
  <c r="R652" i="16" s="1"/>
  <c r="S652" i="16" a="1"/>
  <c r="S652" i="16" s="1"/>
  <c r="T652" i="16" a="1"/>
  <c r="T652" i="16" s="1"/>
  <c r="R653" i="16" a="1"/>
  <c r="R653" i="16" s="1"/>
  <c r="S653" i="16" a="1"/>
  <c r="S653" i="16" s="1"/>
  <c r="T653" i="16" a="1"/>
  <c r="T653" i="16"/>
  <c r="R654" i="16" a="1"/>
  <c r="R654" i="16"/>
  <c r="S654" i="16" a="1"/>
  <c r="S654" i="16" s="1"/>
  <c r="T654" i="16" a="1"/>
  <c r="T654" i="16" s="1"/>
  <c r="R655" i="16" a="1"/>
  <c r="R655" i="16" s="1"/>
  <c r="S655" i="16" a="1"/>
  <c r="S655" i="16" s="1"/>
  <c r="T655" i="16" a="1"/>
  <c r="T655" i="16" s="1"/>
  <c r="R656" i="16" a="1"/>
  <c r="R656" i="16" s="1"/>
  <c r="S656" i="16" a="1"/>
  <c r="S656" i="16"/>
  <c r="T656" i="16" a="1"/>
  <c r="T656" i="16" s="1"/>
  <c r="R657" i="16" a="1"/>
  <c r="R657" i="16" s="1"/>
  <c r="S657" i="16" a="1"/>
  <c r="S657" i="16" s="1"/>
  <c r="T657" i="16" a="1"/>
  <c r="T657" i="16" s="1"/>
  <c r="R658" i="16" a="1"/>
  <c r="R658" i="16"/>
  <c r="S658" i="16" a="1"/>
  <c r="S658" i="16" s="1"/>
  <c r="T658" i="16" a="1"/>
  <c r="T658" i="16"/>
  <c r="R659" i="16" a="1"/>
  <c r="R659" i="16" s="1"/>
  <c r="S659" i="16" a="1"/>
  <c r="S659" i="16" s="1"/>
  <c r="T659" i="16" a="1"/>
  <c r="T659" i="16" s="1"/>
  <c r="R660" i="16" a="1"/>
  <c r="R660" i="16" s="1"/>
  <c r="S660" i="16" a="1"/>
  <c r="S660" i="16" s="1"/>
  <c r="T660" i="16" a="1"/>
  <c r="T660" i="16" s="1"/>
  <c r="R661" i="16" a="1"/>
  <c r="R661" i="16" s="1"/>
  <c r="S661" i="16" a="1"/>
  <c r="S661" i="16"/>
  <c r="T661" i="16" a="1"/>
  <c r="T661" i="16" s="1"/>
  <c r="R662" i="16" a="1"/>
  <c r="R662" i="16" s="1"/>
  <c r="S662" i="16" a="1"/>
  <c r="S662" i="16"/>
  <c r="T662" i="16" a="1"/>
  <c r="T662" i="16" s="1"/>
  <c r="R663" i="16" a="1"/>
  <c r="R663" i="16" s="1"/>
  <c r="S663" i="16" a="1"/>
  <c r="S663" i="16" s="1"/>
  <c r="T663" i="16" a="1"/>
  <c r="T663" i="16" s="1"/>
  <c r="R664" i="16" a="1"/>
  <c r="R664" i="16" s="1"/>
  <c r="S664" i="16" a="1"/>
  <c r="S664" i="16" s="1"/>
  <c r="T664" i="16" a="1"/>
  <c r="T664" i="16" s="1"/>
  <c r="R665" i="16" a="1"/>
  <c r="R665" i="16" s="1"/>
  <c r="S665" i="16" a="1"/>
  <c r="S665" i="16" s="1"/>
  <c r="T665" i="16" a="1"/>
  <c r="T665" i="16"/>
  <c r="R666" i="16" a="1"/>
  <c r="R666" i="16"/>
  <c r="S666" i="16" a="1"/>
  <c r="S666" i="16" s="1"/>
  <c r="T666" i="16" a="1"/>
  <c r="T666" i="16" s="1"/>
  <c r="R667" i="16" a="1"/>
  <c r="R667" i="16" s="1"/>
  <c r="S667" i="16" a="1"/>
  <c r="S667" i="16" s="1"/>
  <c r="T667" i="16" a="1"/>
  <c r="T667" i="16" s="1"/>
  <c r="R668" i="16" a="1"/>
  <c r="R668" i="16" s="1"/>
  <c r="S668" i="16" a="1"/>
  <c r="S668" i="16" s="1"/>
  <c r="T668" i="16" a="1"/>
  <c r="T668" i="16"/>
  <c r="R669" i="16" a="1"/>
  <c r="R669" i="16"/>
  <c r="S669" i="16" a="1"/>
  <c r="S669" i="16" s="1"/>
  <c r="T669" i="16" a="1"/>
  <c r="T669" i="16" s="1"/>
  <c r="R670" i="16" a="1"/>
  <c r="R670" i="16" s="1"/>
  <c r="S670" i="16" a="1"/>
  <c r="S670" i="16" s="1"/>
  <c r="T670" i="16" a="1"/>
  <c r="T670" i="16" s="1"/>
  <c r="R671" i="16" a="1"/>
  <c r="R671" i="16" s="1"/>
  <c r="S671" i="16" a="1"/>
  <c r="S671" i="16" s="1"/>
  <c r="T671" i="16" a="1"/>
  <c r="T671" i="16" s="1"/>
  <c r="R672" i="16" a="1"/>
  <c r="R672" i="16" s="1"/>
  <c r="S672" i="16" a="1"/>
  <c r="S672" i="16"/>
  <c r="T672" i="16" a="1"/>
  <c r="T672" i="16" s="1"/>
  <c r="R673" i="16" a="1"/>
  <c r="R673" i="16"/>
  <c r="S673" i="16" a="1"/>
  <c r="S673" i="16" s="1"/>
  <c r="T673" i="16" a="1"/>
  <c r="T673" i="16"/>
  <c r="R674" i="16" a="1"/>
  <c r="R674" i="16" s="1"/>
  <c r="S674" i="16" a="1"/>
  <c r="S674" i="16" s="1"/>
  <c r="T674" i="16" a="1"/>
  <c r="T674" i="16" s="1"/>
  <c r="R675" i="16" a="1"/>
  <c r="R675" i="16" s="1"/>
  <c r="S675" i="16" a="1"/>
  <c r="S675" i="16"/>
  <c r="T675" i="16" a="1"/>
  <c r="T675" i="16" s="1"/>
  <c r="R676" i="16" a="1"/>
  <c r="R676" i="16" s="1"/>
  <c r="S676" i="16" a="1"/>
  <c r="S676" i="16" s="1"/>
  <c r="T676" i="16" a="1"/>
  <c r="T676" i="16" s="1"/>
  <c r="R677" i="16" a="1"/>
  <c r="R677" i="16" s="1"/>
  <c r="S677" i="16" a="1"/>
  <c r="S677" i="16" s="1"/>
  <c r="T677" i="16" a="1"/>
  <c r="T677" i="16" s="1"/>
  <c r="R678" i="16" a="1"/>
  <c r="R678" i="16" s="1"/>
  <c r="S678" i="16" a="1"/>
  <c r="S678" i="16" s="1"/>
  <c r="T678" i="16" a="1"/>
  <c r="T678" i="16" s="1"/>
  <c r="R679" i="16" a="1"/>
  <c r="R679" i="16"/>
  <c r="S679" i="16" a="1"/>
  <c r="S679" i="16" s="1"/>
  <c r="T679" i="16" a="1"/>
  <c r="T679" i="16"/>
  <c r="R680" i="16" a="1"/>
  <c r="R680" i="16" s="1"/>
  <c r="S680" i="16" a="1"/>
  <c r="S680" i="16" s="1"/>
  <c r="T680" i="16" a="1"/>
  <c r="T680" i="16" s="1"/>
  <c r="R681" i="16" a="1"/>
  <c r="R681" i="16" s="1"/>
  <c r="S681" i="16" a="1"/>
  <c r="S681" i="16" s="1"/>
  <c r="T681" i="16" a="1"/>
  <c r="T681" i="16" s="1"/>
  <c r="R682" i="16" a="1"/>
  <c r="R682" i="16" s="1"/>
  <c r="S682" i="16" a="1"/>
  <c r="S682" i="16" s="1"/>
  <c r="T682" i="16" a="1"/>
  <c r="T682" i="16" s="1"/>
  <c r="R683" i="16" a="1"/>
  <c r="R683" i="16"/>
  <c r="S683" i="16" a="1"/>
  <c r="S683" i="16" s="1"/>
  <c r="T683" i="16" a="1"/>
  <c r="T683" i="16" s="1"/>
  <c r="R684" i="16" a="1"/>
  <c r="R684" i="16" s="1"/>
  <c r="S684" i="16" a="1"/>
  <c r="S684" i="16" s="1"/>
  <c r="T684" i="16" a="1"/>
  <c r="T684" i="16" s="1"/>
  <c r="R685" i="16" a="1"/>
  <c r="R685" i="16" s="1"/>
  <c r="S685" i="16" a="1"/>
  <c r="S685" i="16" s="1"/>
  <c r="T685" i="16" a="1"/>
  <c r="T685" i="16" s="1"/>
  <c r="R686" i="16" a="1"/>
  <c r="R686" i="16"/>
  <c r="S686" i="16" a="1"/>
  <c r="S686" i="16" s="1"/>
  <c r="T686" i="16" a="1"/>
  <c r="T686" i="16" s="1"/>
  <c r="R687" i="16" a="1"/>
  <c r="R687" i="16" s="1"/>
  <c r="S687" i="16" a="1"/>
  <c r="S687" i="16" s="1"/>
  <c r="T687" i="16" a="1"/>
  <c r="T687" i="16" s="1"/>
  <c r="R688" i="16" a="1"/>
  <c r="R688" i="16" s="1"/>
  <c r="S688" i="16" a="1"/>
  <c r="S688" i="16" s="1"/>
  <c r="T688" i="16" a="1"/>
  <c r="T688" i="16"/>
  <c r="R689" i="16" a="1"/>
  <c r="R689" i="16" s="1"/>
  <c r="S689" i="16" a="1"/>
  <c r="S689" i="16" s="1"/>
  <c r="T689" i="16" a="1"/>
  <c r="T689" i="16"/>
  <c r="R690" i="16" a="1"/>
  <c r="R690" i="16" s="1"/>
  <c r="S690" i="16" a="1"/>
  <c r="S690" i="16" s="1"/>
  <c r="T690" i="16" a="1"/>
  <c r="T690" i="16" s="1"/>
  <c r="R691" i="16" a="1"/>
  <c r="R691" i="16" s="1"/>
  <c r="S691" i="16" a="1"/>
  <c r="S691" i="16" s="1"/>
  <c r="T691" i="16" a="1"/>
  <c r="T691" i="16" s="1"/>
  <c r="R692" i="16" a="1"/>
  <c r="R692" i="16"/>
  <c r="S692" i="16" a="1"/>
  <c r="S692" i="16" s="1"/>
  <c r="T692" i="16" a="1"/>
  <c r="T692" i="16" s="1"/>
  <c r="R693" i="16" a="1"/>
  <c r="R693" i="16" s="1"/>
  <c r="S693" i="16" a="1"/>
  <c r="S693" i="16" s="1"/>
  <c r="T693" i="16" a="1"/>
  <c r="T693" i="16" s="1"/>
  <c r="R694" i="16" a="1"/>
  <c r="R694" i="16" s="1"/>
  <c r="S694" i="16" a="1"/>
  <c r="S694" i="16" s="1"/>
  <c r="T694" i="16" a="1"/>
  <c r="T694" i="16" s="1"/>
  <c r="R695" i="16" a="1"/>
  <c r="R695" i="16" s="1"/>
  <c r="S695" i="16" a="1"/>
  <c r="S695" i="16"/>
  <c r="T695" i="16" a="1"/>
  <c r="T695" i="16" s="1"/>
  <c r="R696" i="16" a="1"/>
  <c r="R696" i="16"/>
  <c r="S696" i="16" a="1"/>
  <c r="S696" i="16" s="1"/>
  <c r="T696" i="16" a="1"/>
  <c r="T696" i="16" s="1"/>
  <c r="R697" i="16" a="1"/>
  <c r="R697" i="16" s="1"/>
  <c r="S697" i="16" a="1"/>
  <c r="S697" i="16" s="1"/>
  <c r="T697" i="16" a="1"/>
  <c r="T697" i="16" s="1"/>
  <c r="R698" i="16" a="1"/>
  <c r="R698" i="16" s="1"/>
  <c r="S698" i="16" a="1"/>
  <c r="S698" i="16" s="1"/>
  <c r="T698" i="16" a="1"/>
  <c r="T698" i="16"/>
  <c r="R699" i="16" a="1"/>
  <c r="R699" i="16" s="1"/>
  <c r="S699" i="16" a="1"/>
  <c r="S699" i="16" s="1"/>
  <c r="T699" i="16" a="1"/>
  <c r="T699" i="16" s="1"/>
  <c r="R700" i="16" a="1"/>
  <c r="R700" i="16" s="1"/>
  <c r="S700" i="16" a="1"/>
  <c r="S700" i="16" s="1"/>
  <c r="T700" i="16" a="1"/>
  <c r="T700" i="16" s="1"/>
  <c r="R701" i="16" a="1"/>
  <c r="R701" i="16" s="1"/>
  <c r="S701" i="16" a="1"/>
  <c r="S701" i="16" s="1"/>
  <c r="T701" i="16" a="1"/>
  <c r="T701" i="16" s="1"/>
  <c r="R702" i="16" a="1"/>
  <c r="R702" i="16"/>
  <c r="S702" i="16" a="1"/>
  <c r="S702" i="16" s="1"/>
  <c r="T702" i="16" a="1"/>
  <c r="T702" i="16" s="1"/>
  <c r="R703" i="16" a="1"/>
  <c r="R703" i="16" s="1"/>
  <c r="S703" i="16" a="1"/>
  <c r="S703" i="16" s="1"/>
  <c r="T703" i="16" a="1"/>
  <c r="T703" i="16" s="1"/>
  <c r="R704" i="16" a="1"/>
  <c r="R704" i="16" s="1"/>
  <c r="S704" i="16" a="1"/>
  <c r="S704" i="16" s="1"/>
  <c r="T704" i="16" a="1"/>
  <c r="T704" i="16" s="1"/>
  <c r="R705" i="16" a="1"/>
  <c r="R705" i="16" s="1"/>
  <c r="S705" i="16" a="1"/>
  <c r="S705" i="16" s="1"/>
  <c r="T705" i="16" a="1"/>
  <c r="T705" i="16" s="1"/>
  <c r="R706" i="16" a="1"/>
  <c r="R706" i="16"/>
  <c r="S706" i="16" a="1"/>
  <c r="S706" i="16" s="1"/>
  <c r="T706" i="16" a="1"/>
  <c r="T706" i="16" s="1"/>
  <c r="R707" i="16" a="1"/>
  <c r="R707" i="16" s="1"/>
  <c r="S707" i="16" a="1"/>
  <c r="S707" i="16" s="1"/>
  <c r="T707" i="16" a="1"/>
  <c r="T707" i="16" s="1"/>
  <c r="R708" i="16" a="1"/>
  <c r="R708" i="16" s="1"/>
  <c r="S708" i="16" a="1"/>
  <c r="S708" i="16" s="1"/>
  <c r="T708" i="16" a="1"/>
  <c r="T708" i="16"/>
  <c r="R709" i="16" a="1"/>
  <c r="R709" i="16" s="1"/>
  <c r="S709" i="16" a="1"/>
  <c r="S709" i="16" s="1"/>
  <c r="T709" i="16" a="1"/>
  <c r="T709" i="16"/>
  <c r="R710" i="16" a="1"/>
  <c r="R710" i="16" s="1"/>
  <c r="S710" i="16" a="1"/>
  <c r="S710" i="16" s="1"/>
  <c r="T710" i="16" a="1"/>
  <c r="T710" i="16"/>
  <c r="R711" i="16" a="1"/>
  <c r="R711" i="16" s="1"/>
  <c r="S711" i="16" a="1"/>
  <c r="S711" i="16" s="1"/>
  <c r="T711" i="16" a="1"/>
  <c r="T711" i="16" s="1"/>
  <c r="R712" i="16" a="1"/>
  <c r="R712" i="16" s="1"/>
  <c r="S712" i="16" a="1"/>
  <c r="S712" i="16" s="1"/>
  <c r="T712" i="16" a="1"/>
  <c r="T712" i="16" s="1"/>
  <c r="R713" i="16" a="1"/>
  <c r="R713" i="16"/>
  <c r="S713" i="16" a="1"/>
  <c r="S713" i="16" s="1"/>
  <c r="T713" i="16" a="1"/>
  <c r="T713" i="16" s="1"/>
  <c r="R714" i="16" a="1"/>
  <c r="R714" i="16" s="1"/>
  <c r="S714" i="16" a="1"/>
  <c r="S714" i="16" s="1"/>
  <c r="T714" i="16" a="1"/>
  <c r="T714" i="16" s="1"/>
  <c r="R715" i="16" a="1"/>
  <c r="R715" i="16" s="1"/>
  <c r="S715" i="16" a="1"/>
  <c r="S715" i="16" s="1"/>
  <c r="T715" i="16" a="1"/>
  <c r="T715" i="16"/>
  <c r="R716" i="16" a="1"/>
  <c r="R716" i="16" s="1"/>
  <c r="S716" i="16" a="1"/>
  <c r="S716" i="16" s="1"/>
  <c r="T716" i="16" a="1"/>
  <c r="T716" i="16" s="1"/>
  <c r="R717" i="16" a="1"/>
  <c r="R717" i="16" s="1"/>
  <c r="S717" i="16" a="1"/>
  <c r="S717" i="16" s="1"/>
  <c r="T717" i="16" a="1"/>
  <c r="T717" i="16" s="1"/>
  <c r="R718" i="16" a="1"/>
  <c r="R718" i="16"/>
  <c r="S718" i="16" a="1"/>
  <c r="S718" i="16" s="1"/>
  <c r="T718" i="16" a="1"/>
  <c r="T718" i="16"/>
  <c r="R719" i="16" a="1"/>
  <c r="R719" i="16" s="1"/>
  <c r="S719" i="16" a="1"/>
  <c r="S719" i="16" s="1"/>
  <c r="T719" i="16" a="1"/>
  <c r="T719" i="16" s="1"/>
  <c r="R720" i="16" a="1"/>
  <c r="R720" i="16" s="1"/>
  <c r="S720" i="16" a="1"/>
  <c r="S720" i="16" s="1"/>
  <c r="T720" i="16" a="1"/>
  <c r="T720" i="16" s="1"/>
  <c r="R721" i="16" a="1"/>
  <c r="R721" i="16" s="1"/>
  <c r="S721" i="16" a="1"/>
  <c r="S721" i="16" s="1"/>
  <c r="T721" i="16" a="1"/>
  <c r="T721" i="16" s="1"/>
  <c r="R722" i="16" a="1"/>
  <c r="R722" i="16" s="1"/>
  <c r="S722" i="16" a="1"/>
  <c r="S722" i="16" s="1"/>
  <c r="T722" i="16" a="1"/>
  <c r="T722" i="16" s="1"/>
  <c r="R723" i="16" a="1"/>
  <c r="R723" i="16" s="1"/>
  <c r="S723" i="16" a="1"/>
  <c r="S723" i="16" s="1"/>
  <c r="T723" i="16" a="1"/>
  <c r="T723" i="16" s="1"/>
  <c r="R724" i="16" a="1"/>
  <c r="R724" i="16" s="1"/>
  <c r="S724" i="16" a="1"/>
  <c r="S724" i="16" s="1"/>
  <c r="T724" i="16" a="1"/>
  <c r="T724" i="16" s="1"/>
  <c r="R725" i="16" a="1"/>
  <c r="R725" i="16" s="1"/>
  <c r="S725" i="16" a="1"/>
  <c r="S725" i="16" s="1"/>
  <c r="T725" i="16" a="1"/>
  <c r="T725" i="16" s="1"/>
  <c r="R726" i="16" a="1"/>
  <c r="R726" i="16" s="1"/>
  <c r="S726" i="16" a="1"/>
  <c r="S726" i="16" s="1"/>
  <c r="T726" i="16" a="1"/>
  <c r="T726" i="16" s="1"/>
  <c r="R727" i="16" a="1"/>
  <c r="R727" i="16" s="1"/>
  <c r="S727" i="16" a="1"/>
  <c r="S727" i="16"/>
  <c r="T727" i="16" a="1"/>
  <c r="T727" i="16" s="1"/>
  <c r="R728" i="16" a="1"/>
  <c r="R728" i="16"/>
  <c r="S728" i="16" a="1"/>
  <c r="S728" i="16" s="1"/>
  <c r="T728" i="16" a="1"/>
  <c r="T728" i="16"/>
  <c r="R729" i="16" a="1"/>
  <c r="R729" i="16" s="1"/>
  <c r="S729" i="16" a="1"/>
  <c r="S729" i="16" s="1"/>
  <c r="T729" i="16" a="1"/>
  <c r="T729" i="16"/>
  <c r="R730" i="16" a="1"/>
  <c r="R730" i="16" s="1"/>
  <c r="S730" i="16" a="1"/>
  <c r="S730" i="16" s="1"/>
  <c r="T730" i="16" a="1"/>
  <c r="T730" i="16" s="1"/>
  <c r="R731" i="16" a="1"/>
  <c r="R731" i="16"/>
  <c r="S731" i="16" a="1"/>
  <c r="S731" i="16" s="1"/>
  <c r="T731" i="16" a="1"/>
  <c r="T731" i="16" s="1"/>
  <c r="R732" i="16" a="1"/>
  <c r="R732" i="16"/>
  <c r="S732" i="16" a="1"/>
  <c r="S732" i="16" s="1"/>
  <c r="T732" i="16" a="1"/>
  <c r="T732" i="16"/>
  <c r="R733" i="16" a="1"/>
  <c r="R733" i="16" s="1"/>
  <c r="S733" i="16" a="1"/>
  <c r="S733" i="16" s="1"/>
  <c r="T733" i="16" a="1"/>
  <c r="T733" i="16" s="1"/>
  <c r="R734" i="16" a="1"/>
  <c r="R734" i="16" s="1"/>
  <c r="S734" i="16" a="1"/>
  <c r="S734" i="16" s="1"/>
  <c r="T734" i="16" a="1"/>
  <c r="T734" i="16"/>
  <c r="R735" i="16" a="1"/>
  <c r="R735" i="16" s="1"/>
  <c r="S735" i="16" a="1"/>
  <c r="S735" i="16"/>
  <c r="T735" i="16" a="1"/>
  <c r="T735" i="16" s="1"/>
  <c r="R736" i="16" a="1"/>
  <c r="R736" i="16" s="1"/>
  <c r="S736" i="16" a="1"/>
  <c r="S736" i="16"/>
  <c r="T736" i="16" a="1"/>
  <c r="T736" i="16" s="1"/>
  <c r="R737" i="16" a="1"/>
  <c r="R737" i="16" s="1"/>
  <c r="S737" i="16" a="1"/>
  <c r="S737" i="16" s="1"/>
  <c r="T737" i="16" a="1"/>
  <c r="T737" i="16" s="1"/>
  <c r="R738" i="16" a="1"/>
  <c r="R738" i="16" s="1"/>
  <c r="S738" i="16" a="1"/>
  <c r="S738" i="16" s="1"/>
  <c r="T738" i="16" a="1"/>
  <c r="T738" i="16" s="1"/>
  <c r="R739" i="16" a="1"/>
  <c r="R739" i="16" s="1"/>
  <c r="S739" i="16" a="1"/>
  <c r="S739" i="16"/>
  <c r="T739" i="16" a="1"/>
  <c r="T739" i="16" s="1"/>
  <c r="R740" i="16" a="1"/>
  <c r="R740" i="16" s="1"/>
  <c r="S740" i="16" a="1"/>
  <c r="S740" i="16" s="1"/>
  <c r="T740" i="16" a="1"/>
  <c r="T740" i="16" s="1"/>
  <c r="R741" i="16" a="1"/>
  <c r="R741" i="16" s="1"/>
  <c r="S741" i="16" a="1"/>
  <c r="S741" i="16" s="1"/>
  <c r="T741" i="16" a="1"/>
  <c r="T741" i="16" s="1"/>
  <c r="R742" i="16" a="1"/>
  <c r="R742" i="16"/>
  <c r="S742" i="16" a="1"/>
  <c r="S742" i="16" s="1"/>
  <c r="T742" i="16" a="1"/>
  <c r="T742" i="16" s="1"/>
  <c r="R743" i="16" a="1"/>
  <c r="R743" i="16" s="1"/>
  <c r="S743" i="16" a="1"/>
  <c r="S743" i="16" s="1"/>
  <c r="T743" i="16" a="1"/>
  <c r="T743" i="16" s="1"/>
  <c r="R744" i="16" a="1"/>
  <c r="R744" i="16"/>
  <c r="S744" i="16" a="1"/>
  <c r="S744" i="16" s="1"/>
  <c r="T744" i="16" a="1"/>
  <c r="T744" i="16" s="1"/>
  <c r="R745" i="16" a="1"/>
  <c r="R745" i="16" s="1"/>
  <c r="S745" i="16" a="1"/>
  <c r="S745" i="16" s="1"/>
  <c r="T745" i="16" a="1"/>
  <c r="T745" i="16" s="1"/>
  <c r="R746" i="16" a="1"/>
  <c r="R746" i="16" s="1"/>
  <c r="S746" i="16" a="1"/>
  <c r="S746" i="16" s="1"/>
  <c r="T746" i="16" a="1"/>
  <c r="T746" i="16" s="1"/>
  <c r="R747" i="16" a="1"/>
  <c r="R747" i="16" s="1"/>
  <c r="S747" i="16" a="1"/>
  <c r="S747" i="16" s="1"/>
  <c r="T747" i="16" a="1"/>
  <c r="T747" i="16"/>
  <c r="R748" i="16" a="1"/>
  <c r="R748" i="16" s="1"/>
  <c r="S748" i="16" a="1"/>
  <c r="S748" i="16" s="1"/>
  <c r="T748" i="16" a="1"/>
  <c r="T748" i="16" s="1"/>
  <c r="R749" i="16" a="1"/>
  <c r="R749" i="16" s="1"/>
  <c r="S749" i="16" a="1"/>
  <c r="S749" i="16" s="1"/>
  <c r="T749" i="16" a="1"/>
  <c r="T749" i="16" s="1"/>
  <c r="R750" i="16" a="1"/>
  <c r="R750" i="16" s="1"/>
  <c r="S750" i="16" a="1"/>
  <c r="S750" i="16" s="1"/>
  <c r="T750" i="16" a="1"/>
  <c r="T750" i="16" s="1"/>
  <c r="R751" i="16" a="1"/>
  <c r="R751" i="16" s="1"/>
  <c r="S751" i="16" a="1"/>
  <c r="S751" i="16"/>
  <c r="T751" i="16" a="1"/>
  <c r="T751" i="16" s="1"/>
  <c r="R752" i="16" a="1"/>
  <c r="R752" i="16"/>
  <c r="S752" i="16" a="1"/>
  <c r="S752" i="16" s="1"/>
  <c r="T752" i="16" a="1"/>
  <c r="T752" i="16" s="1"/>
  <c r="R753" i="16" a="1"/>
  <c r="R753" i="16" s="1"/>
  <c r="S753" i="16" a="1"/>
  <c r="S753" i="16" s="1"/>
  <c r="T753" i="16" a="1"/>
  <c r="T753" i="16" s="1"/>
  <c r="R754" i="16" a="1"/>
  <c r="R754" i="16"/>
  <c r="S754" i="16" a="1"/>
  <c r="S754" i="16" s="1"/>
  <c r="T754" i="16" a="1"/>
  <c r="T754" i="16" s="1"/>
  <c r="R755" i="16" a="1"/>
  <c r="R755" i="16" s="1"/>
  <c r="S755" i="16" a="1"/>
  <c r="S755" i="16" s="1"/>
  <c r="T755" i="16" a="1"/>
  <c r="T755" i="16" s="1"/>
  <c r="R756" i="16" a="1"/>
  <c r="R756" i="16"/>
  <c r="S756" i="16" a="1"/>
  <c r="S756" i="16" s="1"/>
  <c r="T756" i="16" a="1"/>
  <c r="T756" i="16" s="1"/>
  <c r="R757" i="16" a="1"/>
  <c r="R757" i="16" s="1"/>
  <c r="S757" i="16" a="1"/>
  <c r="S757" i="16" s="1"/>
  <c r="T757" i="16" a="1"/>
  <c r="T757" i="16" s="1"/>
  <c r="R758" i="16" a="1"/>
  <c r="R758" i="16" s="1"/>
  <c r="S758" i="16" a="1"/>
  <c r="S758" i="16" s="1"/>
  <c r="T758" i="16" a="1"/>
  <c r="T758" i="16" s="1"/>
  <c r="R759" i="16" a="1"/>
  <c r="R759" i="16" s="1"/>
  <c r="S759" i="16" a="1"/>
  <c r="S759" i="16" s="1"/>
  <c r="T759" i="16" a="1"/>
  <c r="T759" i="16"/>
  <c r="R760" i="16" a="1"/>
  <c r="R760" i="16"/>
  <c r="S760" i="16" a="1"/>
  <c r="S760" i="16" s="1"/>
  <c r="T760" i="16" a="1"/>
  <c r="T760" i="16" s="1"/>
  <c r="R761" i="16" a="1"/>
  <c r="R761" i="16" s="1"/>
  <c r="S761" i="16" a="1"/>
  <c r="S761" i="16" s="1"/>
  <c r="T761" i="16" a="1"/>
  <c r="T761" i="16" s="1"/>
  <c r="R762" i="16" a="1"/>
  <c r="R762" i="16" s="1"/>
  <c r="S762" i="16" a="1"/>
  <c r="S762" i="16" s="1"/>
  <c r="T762" i="16" a="1"/>
  <c r="T762" i="16"/>
  <c r="R763" i="16" a="1"/>
  <c r="R763" i="16" s="1"/>
  <c r="S763" i="16" a="1"/>
  <c r="S763" i="16"/>
  <c r="T763" i="16" a="1"/>
  <c r="T763" i="16" s="1"/>
  <c r="R764" i="16" a="1"/>
  <c r="R764" i="16" s="1"/>
  <c r="S764" i="16" a="1"/>
  <c r="S764" i="16" s="1"/>
  <c r="T764" i="16" a="1"/>
  <c r="T764" i="16"/>
  <c r="R765" i="16" a="1"/>
  <c r="R765" i="16" s="1"/>
  <c r="S765" i="16" a="1"/>
  <c r="S765" i="16" s="1"/>
  <c r="T765" i="16" a="1"/>
  <c r="T765" i="16" s="1"/>
  <c r="R766" i="16" a="1"/>
  <c r="R766" i="16"/>
  <c r="S766" i="16" a="1"/>
  <c r="S766" i="16" s="1"/>
  <c r="T766" i="16" a="1"/>
  <c r="T766" i="16" s="1"/>
  <c r="R767" i="16" a="1"/>
  <c r="R767" i="16" s="1"/>
  <c r="S767" i="16" a="1"/>
  <c r="S767" i="16"/>
  <c r="T767" i="16" a="1"/>
  <c r="T767" i="16" s="1"/>
  <c r="R768" i="16" a="1"/>
  <c r="R768" i="16" s="1"/>
  <c r="S768" i="16" a="1"/>
  <c r="S768" i="16"/>
  <c r="T768" i="16" a="1"/>
  <c r="T768" i="16" s="1"/>
  <c r="R769" i="16" a="1"/>
  <c r="R769" i="16"/>
  <c r="S769" i="16" a="1"/>
  <c r="S769" i="16" s="1"/>
  <c r="T769" i="16" a="1"/>
  <c r="T769" i="16"/>
  <c r="R770" i="16" a="1"/>
  <c r="R770" i="16" s="1"/>
  <c r="S770" i="16" a="1"/>
  <c r="S770" i="16" s="1"/>
  <c r="T770" i="16" a="1"/>
  <c r="T770" i="16" s="1"/>
  <c r="R771" i="16" a="1"/>
  <c r="R771" i="16"/>
  <c r="S771" i="16" a="1"/>
  <c r="S771" i="16" s="1"/>
  <c r="T771" i="16" a="1"/>
  <c r="T771" i="16" s="1"/>
  <c r="R772" i="16" a="1"/>
  <c r="R772" i="16" s="1"/>
  <c r="S772" i="16" a="1"/>
  <c r="S772" i="16" s="1"/>
  <c r="T772" i="16" a="1"/>
  <c r="T772" i="16"/>
  <c r="R773" i="16" a="1"/>
  <c r="R773" i="16" s="1"/>
  <c r="S773" i="16" a="1"/>
  <c r="S773" i="16" s="1"/>
  <c r="T773" i="16" a="1"/>
  <c r="T773" i="16" s="1"/>
  <c r="R774" i="16" a="1"/>
  <c r="R774" i="16"/>
  <c r="S774" i="16" a="1"/>
  <c r="S774" i="16"/>
  <c r="T774" i="16" a="1"/>
  <c r="T774" i="16"/>
  <c r="R775" i="16" a="1"/>
  <c r="R775" i="16" s="1"/>
  <c r="S775" i="16" a="1"/>
  <c r="S775" i="16" s="1"/>
  <c r="T775" i="16" a="1"/>
  <c r="T775" i="16" s="1"/>
  <c r="R776" i="16" a="1"/>
  <c r="R776" i="16" s="1"/>
  <c r="S776" i="16" a="1"/>
  <c r="S776" i="16"/>
  <c r="T776" i="16" a="1"/>
  <c r="T776" i="16" s="1"/>
  <c r="R777" i="16" a="1"/>
  <c r="R777" i="16" s="1"/>
  <c r="S777" i="16" a="1"/>
  <c r="S777" i="16" s="1"/>
  <c r="T777" i="16" a="1"/>
  <c r="T777" i="16"/>
  <c r="R778" i="16" a="1"/>
  <c r="R778" i="16" s="1"/>
  <c r="S778" i="16" a="1"/>
  <c r="S778" i="16" s="1"/>
  <c r="T778" i="16" a="1"/>
  <c r="T778" i="16" s="1"/>
  <c r="R779" i="16" a="1"/>
  <c r="R779" i="16"/>
  <c r="S779" i="16" a="1"/>
  <c r="S779" i="16" s="1"/>
  <c r="T779" i="16" a="1"/>
  <c r="T779" i="16" s="1"/>
  <c r="R780" i="16" a="1"/>
  <c r="R780" i="16" s="1"/>
  <c r="S780" i="16" a="1"/>
  <c r="S780" i="16" s="1"/>
  <c r="T780" i="16" a="1"/>
  <c r="T780" i="16" s="1"/>
  <c r="R781" i="16" a="1"/>
  <c r="R781" i="16" s="1"/>
  <c r="S781" i="16" a="1"/>
  <c r="S781" i="16"/>
  <c r="T781" i="16" a="1"/>
  <c r="T781" i="16" s="1"/>
  <c r="R782" i="16" a="1"/>
  <c r="R782" i="16" s="1"/>
  <c r="S782" i="16" a="1"/>
  <c r="S782" i="16" s="1"/>
  <c r="T782" i="16" a="1"/>
  <c r="T782" i="16"/>
  <c r="R783" i="16" a="1"/>
  <c r="R783" i="16" s="1"/>
  <c r="S783" i="16" a="1"/>
  <c r="S783" i="16" s="1"/>
  <c r="T783" i="16" a="1"/>
  <c r="T783" i="16" s="1"/>
  <c r="R784" i="16" a="1"/>
  <c r="R784" i="16" s="1"/>
  <c r="S784" i="16" a="1"/>
  <c r="S784" i="16" s="1"/>
  <c r="T784" i="16" a="1"/>
  <c r="T784" i="16" s="1"/>
  <c r="R785" i="16" a="1"/>
  <c r="R785" i="16"/>
  <c r="S785" i="16" a="1"/>
  <c r="S785" i="16" s="1"/>
  <c r="T785" i="16" a="1"/>
  <c r="T785" i="16"/>
  <c r="R786" i="16" a="1"/>
  <c r="R786" i="16" s="1"/>
  <c r="S786" i="16" a="1"/>
  <c r="S786" i="16"/>
  <c r="T786" i="16" a="1"/>
  <c r="T786" i="16" s="1"/>
  <c r="R787" i="16" a="1"/>
  <c r="R787" i="16" s="1"/>
  <c r="S787" i="16" a="1"/>
  <c r="S787" i="16"/>
  <c r="T787" i="16" a="1"/>
  <c r="T787" i="16"/>
  <c r="R788" i="16" a="1"/>
  <c r="R788" i="16" s="1"/>
  <c r="S788" i="16" a="1"/>
  <c r="S788" i="16" s="1"/>
  <c r="T788" i="16" a="1"/>
  <c r="T788" i="16" s="1"/>
  <c r="R789" i="16" a="1"/>
  <c r="R789" i="16" s="1"/>
  <c r="S789" i="16" a="1"/>
  <c r="S789" i="16" s="1"/>
  <c r="T789" i="16" a="1"/>
  <c r="T789" i="16"/>
  <c r="R790" i="16" a="1"/>
  <c r="R790" i="16"/>
  <c r="S790" i="16" a="1"/>
  <c r="S790" i="16" s="1"/>
  <c r="T790" i="16" a="1"/>
  <c r="T790" i="16" s="1"/>
  <c r="R791" i="16" a="1"/>
  <c r="R791" i="16"/>
  <c r="S791" i="16" a="1"/>
  <c r="S791" i="16"/>
  <c r="T791" i="16" a="1"/>
  <c r="T791" i="16" s="1"/>
  <c r="R792" i="16" a="1"/>
  <c r="R792" i="16" s="1"/>
  <c r="S792" i="16" a="1"/>
  <c r="S792" i="16"/>
  <c r="T792" i="16" a="1"/>
  <c r="T792" i="16" s="1"/>
  <c r="R793" i="16" a="1"/>
  <c r="R793" i="16"/>
  <c r="S793" i="16" a="1"/>
  <c r="S793" i="16" s="1"/>
  <c r="T793" i="16" a="1"/>
  <c r="T793" i="16" s="1"/>
  <c r="R794" i="16" a="1"/>
  <c r="R794" i="16" s="1"/>
  <c r="S794" i="16" a="1"/>
  <c r="S794" i="16"/>
  <c r="T794" i="16" a="1"/>
  <c r="T794" i="16" s="1"/>
  <c r="R795" i="16" a="1"/>
  <c r="R795" i="16"/>
  <c r="S795" i="16" a="1"/>
  <c r="S795" i="16" s="1"/>
  <c r="T795" i="16" a="1"/>
  <c r="T795" i="16"/>
  <c r="R796" i="16" a="1"/>
  <c r="R796" i="16" s="1"/>
  <c r="S796" i="16" a="1"/>
  <c r="S796" i="16" s="1"/>
  <c r="T796" i="16" a="1"/>
  <c r="T796" i="16"/>
  <c r="R797" i="16" a="1"/>
  <c r="R797" i="16" s="1"/>
  <c r="S797" i="16" a="1"/>
  <c r="S797" i="16" s="1"/>
  <c r="T797" i="16" a="1"/>
  <c r="T797" i="16" s="1"/>
  <c r="R798" i="16" a="1"/>
  <c r="R798" i="16" s="1"/>
  <c r="S798" i="16" a="1"/>
  <c r="S798" i="16"/>
  <c r="T798" i="16" a="1"/>
  <c r="T798" i="16" s="1"/>
  <c r="R799" i="16" a="1"/>
  <c r="R799" i="16"/>
  <c r="S799" i="16" a="1"/>
  <c r="S799" i="16" s="1"/>
  <c r="T799" i="16" a="1"/>
  <c r="T799" i="16" s="1"/>
  <c r="R800" i="16" a="1"/>
  <c r="R800" i="16" s="1"/>
  <c r="S800" i="16" a="1"/>
  <c r="S800" i="16" s="1"/>
  <c r="T800" i="16" a="1"/>
  <c r="T800" i="16"/>
  <c r="R801" i="16" a="1"/>
  <c r="R801" i="16" s="1"/>
  <c r="S801" i="16" a="1"/>
  <c r="S801" i="16" s="1"/>
  <c r="T801" i="16" a="1"/>
  <c r="T801" i="16" s="1"/>
  <c r="R802" i="16" a="1"/>
  <c r="R802" i="16" s="1"/>
  <c r="S802" i="16" a="1"/>
  <c r="S802" i="16" s="1"/>
  <c r="T802" i="16" a="1"/>
  <c r="T802" i="16" s="1"/>
  <c r="R803" i="16" a="1"/>
  <c r="R803" i="16"/>
  <c r="S803" i="16" a="1"/>
  <c r="S803" i="16" s="1"/>
  <c r="T803" i="16" a="1"/>
  <c r="T803" i="16" s="1"/>
  <c r="R804" i="16" a="1"/>
  <c r="R804" i="16" s="1"/>
  <c r="S804" i="16" a="1"/>
  <c r="S804" i="16"/>
  <c r="T804" i="16" a="1"/>
  <c r="T804" i="16" s="1"/>
  <c r="R805" i="16" a="1"/>
  <c r="R805" i="16" s="1"/>
  <c r="S805" i="16" a="1"/>
  <c r="S805" i="16" s="1"/>
  <c r="T805" i="16" a="1"/>
  <c r="T805" i="16" s="1"/>
  <c r="R806" i="16" a="1"/>
  <c r="R806" i="16" s="1"/>
  <c r="S806" i="16" a="1"/>
  <c r="S806" i="16"/>
  <c r="T806" i="16" a="1"/>
  <c r="T806" i="16" s="1"/>
  <c r="R807" i="16" a="1"/>
  <c r="R807" i="16" s="1"/>
  <c r="S807" i="16" a="1"/>
  <c r="S807" i="16" s="1"/>
  <c r="T807" i="16" a="1"/>
  <c r="T807" i="16"/>
  <c r="R808" i="16" a="1"/>
  <c r="R808" i="16" s="1"/>
  <c r="S808" i="16" a="1"/>
  <c r="S808" i="16" s="1"/>
  <c r="T808" i="16" a="1"/>
  <c r="T808" i="16" s="1"/>
  <c r="R809" i="16" a="1"/>
  <c r="R809" i="16" s="1"/>
  <c r="S809" i="16" a="1"/>
  <c r="S809" i="16" s="1"/>
  <c r="T809" i="16" a="1"/>
  <c r="T809" i="16" s="1"/>
  <c r="R810" i="16" a="1"/>
  <c r="R810" i="16"/>
  <c r="S810" i="16" a="1"/>
  <c r="S810" i="16" s="1"/>
  <c r="T810" i="16" a="1"/>
  <c r="T810" i="16" s="1"/>
  <c r="R811" i="16" a="1"/>
  <c r="R811" i="16"/>
  <c r="S811" i="16" a="1"/>
  <c r="S811" i="16" s="1"/>
  <c r="T811" i="16" a="1"/>
  <c r="T811" i="16"/>
  <c r="R812" i="16" a="1"/>
  <c r="R812" i="16" s="1"/>
  <c r="S812" i="16" a="1"/>
  <c r="S812" i="16"/>
  <c r="T812" i="16" a="1"/>
  <c r="T812" i="16" s="1"/>
  <c r="R813" i="16" a="1"/>
  <c r="R813" i="16" s="1"/>
  <c r="S813" i="16" a="1"/>
  <c r="S813" i="16" s="1"/>
  <c r="T813" i="16" a="1"/>
  <c r="T813" i="16" s="1"/>
  <c r="R814" i="16" a="1"/>
  <c r="R814" i="16" s="1"/>
  <c r="S814" i="16" a="1"/>
  <c r="S814" i="16" s="1"/>
  <c r="T814" i="16" a="1"/>
  <c r="T814" i="16" s="1"/>
  <c r="R815" i="16" a="1"/>
  <c r="R815" i="16"/>
  <c r="S815" i="16" a="1"/>
  <c r="S815" i="16" s="1"/>
  <c r="T815" i="16" a="1"/>
  <c r="T815" i="16"/>
  <c r="R816" i="16" a="1"/>
  <c r="R816" i="16" s="1"/>
  <c r="S816" i="16" a="1"/>
  <c r="S816" i="16" s="1"/>
  <c r="T816" i="16" a="1"/>
  <c r="T816" i="16" s="1"/>
  <c r="R817" i="16" a="1"/>
  <c r="R817" i="16" s="1"/>
  <c r="S817" i="16" a="1"/>
  <c r="S817" i="16"/>
  <c r="T817" i="16" a="1"/>
  <c r="T817" i="16" s="1"/>
  <c r="R818" i="16" a="1"/>
  <c r="R818" i="16" s="1"/>
  <c r="S818" i="16" a="1"/>
  <c r="S818" i="16"/>
  <c r="T818" i="16" a="1"/>
  <c r="T818" i="16" s="1"/>
  <c r="R819" i="16" a="1"/>
  <c r="R819" i="16" s="1"/>
  <c r="S819" i="16" a="1"/>
  <c r="S819" i="16" s="1"/>
  <c r="T819" i="16" a="1"/>
  <c r="T819" i="16"/>
  <c r="R820" i="16" a="1"/>
  <c r="R820" i="16" s="1"/>
  <c r="S820" i="16" a="1"/>
  <c r="S820" i="16" s="1"/>
  <c r="T820" i="16" a="1"/>
  <c r="T820" i="16" s="1"/>
  <c r="R821" i="16" a="1"/>
  <c r="R821" i="16"/>
  <c r="S821" i="16" a="1"/>
  <c r="S821" i="16" s="1"/>
  <c r="T821" i="16" a="1"/>
  <c r="T821" i="16" s="1"/>
  <c r="R822" i="16" a="1"/>
  <c r="R822" i="16" s="1"/>
  <c r="S822" i="16" a="1"/>
  <c r="S822" i="16" s="1"/>
  <c r="T822" i="16" a="1"/>
  <c r="T822" i="16" s="1"/>
  <c r="R823" i="16" a="1"/>
  <c r="R823" i="16"/>
  <c r="S823" i="16" a="1"/>
  <c r="S823" i="16" s="1"/>
  <c r="T823" i="16" a="1"/>
  <c r="T823" i="16" s="1"/>
  <c r="R824" i="16" a="1"/>
  <c r="R824" i="16" s="1"/>
  <c r="S824" i="16" a="1"/>
  <c r="S824" i="16"/>
  <c r="T824" i="16" a="1"/>
  <c r="T824" i="16" s="1"/>
  <c r="R825" i="16" a="1"/>
  <c r="R825" i="16" s="1"/>
  <c r="S825" i="16" a="1"/>
  <c r="S825" i="16" s="1"/>
  <c r="T825" i="16" a="1"/>
  <c r="T825" i="16" s="1"/>
  <c r="R826" i="16" a="1"/>
  <c r="R826" i="16" s="1"/>
  <c r="S826" i="16" a="1"/>
  <c r="S826" i="16" s="1"/>
  <c r="T826" i="16" a="1"/>
  <c r="T826" i="16"/>
  <c r="R827" i="16" a="1"/>
  <c r="R827" i="16" s="1"/>
  <c r="S827" i="16" a="1"/>
  <c r="S827" i="16" s="1"/>
  <c r="T827" i="16" a="1"/>
  <c r="T827" i="16"/>
  <c r="R828" i="16" a="1"/>
  <c r="R828" i="16" s="1"/>
  <c r="S828" i="16" a="1"/>
  <c r="S828" i="16"/>
  <c r="T828" i="16" a="1"/>
  <c r="T828" i="16" s="1"/>
  <c r="R829" i="16" a="1"/>
  <c r="R829" i="16" s="1"/>
  <c r="S829" i="16" a="1"/>
  <c r="S829" i="16" s="1"/>
  <c r="T829" i="16" a="1"/>
  <c r="T829" i="16" s="1"/>
  <c r="R830" i="16" a="1"/>
  <c r="R830" i="16" s="1"/>
  <c r="S830" i="16" a="1"/>
  <c r="S830" i="16" s="1"/>
  <c r="T830" i="16" a="1"/>
  <c r="T830" i="16" s="1"/>
  <c r="R831" i="16" a="1"/>
  <c r="R831" i="16" s="1"/>
  <c r="S831" i="16" a="1"/>
  <c r="S831" i="16"/>
  <c r="T831" i="16" a="1"/>
  <c r="T831" i="16"/>
  <c r="R832" i="16" a="1"/>
  <c r="R832" i="16" s="1"/>
  <c r="S832" i="16" a="1"/>
  <c r="S832" i="16" s="1"/>
  <c r="T832" i="16" a="1"/>
  <c r="T832" i="16" s="1"/>
  <c r="R833" i="16" a="1"/>
  <c r="R833" i="16" s="1"/>
  <c r="S833" i="16" a="1"/>
  <c r="S833" i="16" s="1"/>
  <c r="T833" i="16" a="1"/>
  <c r="T833" i="16" s="1"/>
  <c r="R834" i="16" a="1"/>
  <c r="R834" i="16" s="1"/>
  <c r="S834" i="16" a="1"/>
  <c r="S834" i="16" s="1"/>
  <c r="T834" i="16" a="1"/>
  <c r="T834" i="16" s="1"/>
  <c r="R835" i="16" a="1"/>
  <c r="R835" i="16" s="1"/>
  <c r="S835" i="16" a="1"/>
  <c r="S835" i="16" s="1"/>
  <c r="T835" i="16" a="1"/>
  <c r="T835" i="16" s="1"/>
  <c r="R836" i="16" a="1"/>
  <c r="R836" i="16"/>
  <c r="S836" i="16" a="1"/>
  <c r="S836" i="16" s="1"/>
  <c r="T836" i="16" a="1"/>
  <c r="T836" i="16" s="1"/>
  <c r="R837" i="16" a="1"/>
  <c r="R837" i="16" s="1"/>
  <c r="S837" i="16" a="1"/>
  <c r="S837" i="16" s="1"/>
  <c r="T837" i="16" a="1"/>
  <c r="T837" i="16" s="1"/>
  <c r="R838" i="16" a="1"/>
  <c r="R838" i="16" s="1"/>
  <c r="S838" i="16" a="1"/>
  <c r="S838" i="16" s="1"/>
  <c r="T838" i="16" a="1"/>
  <c r="T838" i="16" s="1"/>
  <c r="R839" i="16" a="1"/>
  <c r="R839" i="16" s="1"/>
  <c r="S839" i="16" a="1"/>
  <c r="S839" i="16" s="1"/>
  <c r="T839" i="16" a="1"/>
  <c r="T839" i="16"/>
  <c r="R840" i="16" a="1"/>
  <c r="R840" i="16" s="1"/>
  <c r="S840" i="16" a="1"/>
  <c r="S840" i="16" s="1"/>
  <c r="T840" i="16" a="1"/>
  <c r="T840" i="16" s="1"/>
  <c r="R841" i="16" a="1"/>
  <c r="R841" i="16"/>
  <c r="S841" i="16" a="1"/>
  <c r="S841" i="16" s="1"/>
  <c r="T841" i="16" a="1"/>
  <c r="T841" i="16"/>
  <c r="R842" i="16" a="1"/>
  <c r="R842" i="16" s="1"/>
  <c r="S842" i="16" a="1"/>
  <c r="S842" i="16" s="1"/>
  <c r="T842" i="16" a="1"/>
  <c r="T842" i="16" s="1"/>
  <c r="R843" i="16" a="1"/>
  <c r="R843" i="16" s="1"/>
  <c r="S843" i="16" a="1"/>
  <c r="S843" i="16" s="1"/>
  <c r="T843" i="16" a="1"/>
  <c r="T843" i="16" s="1"/>
  <c r="R844" i="16" a="1"/>
  <c r="R844" i="16" s="1"/>
  <c r="S844" i="16" a="1"/>
  <c r="S844" i="16"/>
  <c r="T844" i="16" a="1"/>
  <c r="T844" i="16" s="1"/>
  <c r="R845" i="16" a="1"/>
  <c r="R845" i="16"/>
  <c r="S845" i="16" a="1"/>
  <c r="S845" i="16" s="1"/>
  <c r="T845" i="16" a="1"/>
  <c r="T845" i="16" s="1"/>
  <c r="R846" i="16" a="1"/>
  <c r="R846" i="16" s="1"/>
  <c r="S846" i="16" a="1"/>
  <c r="S846" i="16" s="1"/>
  <c r="T846" i="16" a="1"/>
  <c r="T846" i="16" s="1"/>
  <c r="R847" i="16" a="1"/>
  <c r="R847" i="16" s="1"/>
  <c r="S847" i="16" a="1"/>
  <c r="S847" i="16" s="1"/>
  <c r="T847" i="16" a="1"/>
  <c r="T847" i="16" s="1"/>
  <c r="R848" i="16" a="1"/>
  <c r="R848" i="16"/>
  <c r="S848" i="16" a="1"/>
  <c r="S848" i="16" s="1"/>
  <c r="T848" i="16" a="1"/>
  <c r="T848" i="16" s="1"/>
  <c r="R849" i="16" a="1"/>
  <c r="R849" i="16"/>
  <c r="S849" i="16" a="1"/>
  <c r="S849" i="16"/>
  <c r="T849" i="16" a="1"/>
  <c r="T849" i="16" s="1"/>
  <c r="R850" i="16" a="1"/>
  <c r="R850" i="16" s="1"/>
  <c r="S850" i="16" a="1"/>
  <c r="S850" i="16" s="1"/>
  <c r="T850" i="16" a="1"/>
  <c r="T850" i="16" s="1"/>
  <c r="R851" i="16" a="1"/>
  <c r="R851" i="16" s="1"/>
  <c r="S851" i="16" a="1"/>
  <c r="S851" i="16" s="1"/>
  <c r="T851" i="16" a="1"/>
  <c r="T851" i="16"/>
  <c r="R852" i="16" a="1"/>
  <c r="R852" i="16" s="1"/>
  <c r="S852" i="16" a="1"/>
  <c r="S852" i="16" s="1"/>
  <c r="T852" i="16" a="1"/>
  <c r="T852" i="16" s="1"/>
  <c r="R853" i="16" a="1"/>
  <c r="R853" i="16" s="1"/>
  <c r="S853" i="16" a="1"/>
  <c r="S853" i="16" s="1"/>
  <c r="T853" i="16" a="1"/>
  <c r="T853" i="16" s="1"/>
  <c r="R854" i="16" a="1"/>
  <c r="R854" i="16"/>
  <c r="S854" i="16" a="1"/>
  <c r="S854" i="16"/>
  <c r="T854" i="16" a="1"/>
  <c r="T854" i="16" s="1"/>
  <c r="R855" i="16" a="1"/>
  <c r="R855" i="16" s="1"/>
  <c r="S855" i="16" a="1"/>
  <c r="S855" i="16" s="1"/>
  <c r="T855" i="16" a="1"/>
  <c r="T855" i="16" s="1"/>
  <c r="R856" i="16" a="1"/>
  <c r="R856" i="16" s="1"/>
  <c r="S856" i="16" a="1"/>
  <c r="S856" i="16" s="1"/>
  <c r="T856" i="16" a="1"/>
  <c r="T856" i="16" s="1"/>
  <c r="R857" i="16" a="1"/>
  <c r="R857" i="16" s="1"/>
  <c r="S857" i="16" a="1"/>
  <c r="S857" i="16" s="1"/>
  <c r="T857" i="16" a="1"/>
  <c r="T857" i="16"/>
  <c r="R858" i="16" a="1"/>
  <c r="R858" i="16" s="1"/>
  <c r="S858" i="16" a="1"/>
  <c r="S858" i="16"/>
  <c r="T858" i="16" a="1"/>
  <c r="T858" i="16" s="1"/>
  <c r="R859" i="16" a="1"/>
  <c r="R859" i="16"/>
  <c r="S859" i="16" a="1"/>
  <c r="S859" i="16" s="1"/>
  <c r="T859" i="16" a="1"/>
  <c r="T859" i="16" s="1"/>
  <c r="R860" i="16" a="1"/>
  <c r="R860" i="16" s="1"/>
  <c r="S860" i="16" a="1"/>
  <c r="S860" i="16" s="1"/>
  <c r="T860" i="16" a="1"/>
  <c r="T860" i="16" s="1"/>
  <c r="R861" i="16" a="1"/>
  <c r="R861" i="16"/>
  <c r="S861" i="16" a="1"/>
  <c r="S861" i="16"/>
  <c r="T861" i="16" a="1"/>
  <c r="T861" i="16" s="1"/>
  <c r="R862" i="16" a="1"/>
  <c r="R862" i="16" s="1"/>
  <c r="S862" i="16" a="1"/>
  <c r="S862" i="16"/>
  <c r="T862" i="16" a="1"/>
  <c r="T862" i="16" s="1"/>
  <c r="R863" i="16" a="1"/>
  <c r="R863" i="16" s="1"/>
  <c r="S863" i="16" a="1"/>
  <c r="S863" i="16" s="1"/>
  <c r="T863" i="16" a="1"/>
  <c r="T863" i="16" s="1"/>
  <c r="R864" i="16" a="1"/>
  <c r="R864" i="16" s="1"/>
  <c r="S864" i="16" a="1"/>
  <c r="S864" i="16"/>
  <c r="T864" i="16" a="1"/>
  <c r="T864" i="16" s="1"/>
  <c r="R865" i="16" a="1"/>
  <c r="R865" i="16"/>
  <c r="S865" i="16" a="1"/>
  <c r="S865" i="16" s="1"/>
  <c r="T865" i="16" a="1"/>
  <c r="T865" i="16" s="1"/>
  <c r="R866" i="16" a="1"/>
  <c r="R866" i="16" s="1"/>
  <c r="S866" i="16" a="1"/>
  <c r="S866" i="16" s="1"/>
  <c r="T866" i="16" a="1"/>
  <c r="T866" i="16" s="1"/>
  <c r="R867" i="16" a="1"/>
  <c r="R867" i="16" s="1"/>
  <c r="S867" i="16" a="1"/>
  <c r="S867" i="16" s="1"/>
  <c r="T867" i="16" a="1"/>
  <c r="T867" i="16" s="1"/>
  <c r="R868" i="16" a="1"/>
  <c r="R868" i="16" s="1"/>
  <c r="S868" i="16" a="1"/>
  <c r="S868" i="16" s="1"/>
  <c r="T868" i="16" a="1"/>
  <c r="T868" i="16" s="1"/>
  <c r="R869" i="16" a="1"/>
  <c r="R869" i="16" s="1"/>
  <c r="S869" i="16" a="1"/>
  <c r="S869" i="16" s="1"/>
  <c r="T869" i="16" a="1"/>
  <c r="T869" i="16" s="1"/>
  <c r="R870" i="16" a="1"/>
  <c r="R870" i="16" s="1"/>
  <c r="S870" i="16" a="1"/>
  <c r="S870" i="16" s="1"/>
  <c r="T870" i="16" a="1"/>
  <c r="T870" i="16" s="1"/>
  <c r="R871" i="16" a="1"/>
  <c r="R871" i="16"/>
  <c r="S871" i="16" a="1"/>
  <c r="S871" i="16" s="1"/>
  <c r="T871" i="16" a="1"/>
  <c r="T871" i="16" s="1"/>
  <c r="R872" i="16" a="1"/>
  <c r="R872" i="16"/>
  <c r="S872" i="16" a="1"/>
  <c r="S872" i="16"/>
  <c r="T872" i="16" a="1"/>
  <c r="T872" i="16" s="1"/>
  <c r="R873" i="16" a="1"/>
  <c r="R873" i="16" s="1"/>
  <c r="S873" i="16" a="1"/>
  <c r="S873" i="16" s="1"/>
  <c r="T873" i="16" a="1"/>
  <c r="T873" i="16" s="1"/>
  <c r="R874" i="16" a="1"/>
  <c r="R874" i="16" s="1"/>
  <c r="S874" i="16" a="1"/>
  <c r="S874" i="16" s="1"/>
  <c r="T874" i="16" a="1"/>
  <c r="T874" i="16" s="1"/>
  <c r="R875" i="16" a="1"/>
  <c r="R875" i="16" s="1"/>
  <c r="S875" i="16" a="1"/>
  <c r="S875" i="16" s="1"/>
  <c r="T875" i="16" a="1"/>
  <c r="T875" i="16"/>
  <c r="R876" i="16" a="1"/>
  <c r="R876" i="16"/>
  <c r="S876" i="16" a="1"/>
  <c r="S876" i="16" s="1"/>
  <c r="T876" i="16" a="1"/>
  <c r="T876" i="16" s="1"/>
  <c r="R877" i="16" a="1"/>
  <c r="R877" i="16" s="1"/>
  <c r="S877" i="16" a="1"/>
  <c r="S877" i="16"/>
  <c r="T877" i="16" a="1"/>
  <c r="T877" i="16" s="1"/>
  <c r="R878" i="16" a="1"/>
  <c r="R878" i="16" s="1"/>
  <c r="S878" i="16" a="1"/>
  <c r="S878" i="16" s="1"/>
  <c r="T878" i="16" a="1"/>
  <c r="T878" i="16" s="1"/>
  <c r="R879" i="16" a="1"/>
  <c r="R879" i="16"/>
  <c r="S879" i="16" a="1"/>
  <c r="S879" i="16" s="1"/>
  <c r="T879" i="16" a="1"/>
  <c r="T879" i="16" s="1"/>
  <c r="R880" i="16" a="1"/>
  <c r="R880" i="16" s="1"/>
  <c r="S880" i="16" a="1"/>
  <c r="S880" i="16"/>
  <c r="T880" i="16" a="1"/>
  <c r="T880" i="16" s="1"/>
  <c r="R881" i="16" a="1"/>
  <c r="R881" i="16" s="1"/>
  <c r="S881" i="16" a="1"/>
  <c r="S881" i="16" s="1"/>
  <c r="T881" i="16" a="1"/>
  <c r="T881" i="16" s="1"/>
  <c r="R882" i="16" a="1"/>
  <c r="R882" i="16" s="1"/>
  <c r="S882" i="16" a="1"/>
  <c r="S882" i="16" s="1"/>
  <c r="T882" i="16" a="1"/>
  <c r="T882" i="16"/>
  <c r="R883" i="16" a="1"/>
  <c r="R883" i="16" s="1"/>
  <c r="S883" i="16" a="1"/>
  <c r="S883" i="16" s="1"/>
  <c r="T883" i="16" a="1"/>
  <c r="T883" i="16" s="1"/>
  <c r="R884" i="16" a="1"/>
  <c r="R884" i="16" s="1"/>
  <c r="S884" i="16" a="1"/>
  <c r="S884" i="16" s="1"/>
  <c r="T884" i="16" a="1"/>
  <c r="T884" i="16" s="1"/>
  <c r="R885" i="16" a="1"/>
  <c r="R885" i="16" s="1"/>
  <c r="S885" i="16" a="1"/>
  <c r="S885" i="16" s="1"/>
  <c r="T885" i="16" a="1"/>
  <c r="T885" i="16" s="1"/>
  <c r="R886" i="16" a="1"/>
  <c r="R886" i="16" s="1"/>
  <c r="S886" i="16" a="1"/>
  <c r="S886" i="16"/>
  <c r="T886" i="16" a="1"/>
  <c r="T886" i="16" s="1"/>
  <c r="R887" i="16" a="1"/>
  <c r="R887" i="16" s="1"/>
  <c r="S887" i="16" a="1"/>
  <c r="S887" i="16" s="1"/>
  <c r="T887" i="16" a="1"/>
  <c r="T887" i="16" s="1"/>
  <c r="R888" i="16" a="1"/>
  <c r="R888" i="16" s="1"/>
  <c r="S888" i="16" a="1"/>
  <c r="S888" i="16" s="1"/>
  <c r="T888" i="16" a="1"/>
  <c r="T888" i="16"/>
  <c r="R889" i="16" a="1"/>
  <c r="R889" i="16"/>
  <c r="S889" i="16" a="1"/>
  <c r="S889" i="16"/>
  <c r="T889" i="16" a="1"/>
  <c r="T889" i="16" s="1"/>
  <c r="R890" i="16" a="1"/>
  <c r="R890" i="16" s="1"/>
  <c r="S890" i="16" a="1"/>
  <c r="S890" i="16"/>
  <c r="T890" i="16" a="1"/>
  <c r="T890" i="16" s="1"/>
  <c r="R891" i="16" a="1"/>
  <c r="R891" i="16" s="1"/>
  <c r="S891" i="16" a="1"/>
  <c r="S891" i="16" s="1"/>
  <c r="T891" i="16" a="1"/>
  <c r="T891" i="16" s="1"/>
  <c r="R892" i="16" a="1"/>
  <c r="R892" i="16" s="1"/>
  <c r="S892" i="16" a="1"/>
  <c r="S892" i="16"/>
  <c r="T892" i="16" a="1"/>
  <c r="T892" i="16"/>
  <c r="R893" i="16" a="1"/>
  <c r="R893" i="16" s="1"/>
  <c r="S893" i="16" a="1"/>
  <c r="S893" i="16" s="1"/>
  <c r="T893" i="16" a="1"/>
  <c r="T893" i="16" s="1"/>
  <c r="R894" i="16" a="1"/>
  <c r="R894" i="16" s="1"/>
  <c r="S894" i="16" a="1"/>
  <c r="S894" i="16" s="1"/>
  <c r="T894" i="16" a="1"/>
  <c r="T894" i="16" s="1"/>
  <c r="R895" i="16" a="1"/>
  <c r="R895" i="16" s="1"/>
  <c r="S895" i="16" a="1"/>
  <c r="S895" i="16"/>
  <c r="T895" i="16" a="1"/>
  <c r="T895" i="16" s="1"/>
  <c r="R896" i="16" a="1"/>
  <c r="R896" i="16" s="1"/>
  <c r="S896" i="16" a="1"/>
  <c r="S896" i="16"/>
  <c r="T896" i="16" a="1"/>
  <c r="T896" i="16" s="1"/>
  <c r="R897" i="16" a="1"/>
  <c r="R897" i="16" s="1"/>
  <c r="S897" i="16" a="1"/>
  <c r="S897" i="16" s="1"/>
  <c r="T897" i="16" a="1"/>
  <c r="T897" i="16"/>
  <c r="R898" i="16" a="1"/>
  <c r="R898" i="16" s="1"/>
  <c r="S898" i="16" a="1"/>
  <c r="S898" i="16" s="1"/>
  <c r="T898" i="16" a="1"/>
  <c r="T898" i="16"/>
  <c r="R899" i="16" a="1"/>
  <c r="R899" i="16" s="1"/>
  <c r="S899" i="16" a="1"/>
  <c r="S899" i="16" s="1"/>
  <c r="T899" i="16" a="1"/>
  <c r="T899" i="16" s="1"/>
  <c r="R900" i="16" a="1"/>
  <c r="R900" i="16" s="1"/>
  <c r="S900" i="16" a="1"/>
  <c r="S900" i="16" s="1"/>
  <c r="T900" i="16" a="1"/>
  <c r="T900" i="16" s="1"/>
  <c r="R901" i="16" a="1"/>
  <c r="R901" i="16" s="1"/>
  <c r="S901" i="16" a="1"/>
  <c r="S901" i="16"/>
  <c r="T901" i="16" a="1"/>
  <c r="T901" i="16" s="1"/>
  <c r="R902" i="16" a="1"/>
  <c r="R902" i="16" s="1"/>
  <c r="S902" i="16" a="1"/>
  <c r="S902" i="16"/>
  <c r="T902" i="16" a="1"/>
  <c r="T902" i="16"/>
  <c r="R903" i="16" a="1"/>
  <c r="R903" i="16" s="1"/>
  <c r="S903" i="16" a="1"/>
  <c r="S903" i="16" s="1"/>
  <c r="T903" i="16" a="1"/>
  <c r="T903" i="16" s="1"/>
  <c r="R904" i="16" a="1"/>
  <c r="R904" i="16" s="1"/>
  <c r="S904" i="16" a="1"/>
  <c r="S904" i="16" s="1"/>
  <c r="T904" i="16" a="1"/>
  <c r="T904" i="16" s="1"/>
  <c r="R905" i="16" a="1"/>
  <c r="R905" i="16" s="1"/>
  <c r="S905" i="16" a="1"/>
  <c r="S905" i="16" s="1"/>
  <c r="T905" i="16" a="1"/>
  <c r="T905" i="16"/>
  <c r="R906" i="16" a="1"/>
  <c r="R906" i="16"/>
  <c r="S906" i="16" a="1"/>
  <c r="S906" i="16"/>
  <c r="T906" i="16" a="1"/>
  <c r="T906" i="16" s="1"/>
  <c r="R907" i="16" a="1"/>
  <c r="R907" i="16"/>
  <c r="S907" i="16" a="1"/>
  <c r="S907" i="16" s="1"/>
  <c r="T907" i="16" a="1"/>
  <c r="T907" i="16" s="1"/>
  <c r="R908" i="16" a="1"/>
  <c r="R908" i="16" s="1"/>
  <c r="S908" i="16" a="1"/>
  <c r="S908" i="16" s="1"/>
  <c r="T908" i="16" a="1"/>
  <c r="T908" i="16"/>
  <c r="R909" i="16" a="1"/>
  <c r="R909" i="16" s="1"/>
  <c r="S909" i="16" a="1"/>
  <c r="S909" i="16"/>
  <c r="T909" i="16" a="1"/>
  <c r="T909" i="16" s="1"/>
  <c r="R910" i="16" a="1"/>
  <c r="R910" i="16" s="1"/>
  <c r="S910" i="16" a="1"/>
  <c r="S910" i="16" s="1"/>
  <c r="T910" i="16" a="1"/>
  <c r="T910" i="16"/>
  <c r="R911" i="16" a="1"/>
  <c r="R911" i="16" s="1"/>
  <c r="S911" i="16" a="1"/>
  <c r="S911" i="16" s="1"/>
  <c r="T911" i="16" a="1"/>
  <c r="T911" i="16" s="1"/>
  <c r="R912" i="16" a="1"/>
  <c r="R912" i="16"/>
  <c r="S912" i="16" a="1"/>
  <c r="S912" i="16"/>
  <c r="T912" i="16" a="1"/>
  <c r="T912" i="16" s="1"/>
  <c r="R913" i="16" a="1"/>
  <c r="R913" i="16"/>
  <c r="S913" i="16" a="1"/>
  <c r="S913" i="16" s="1"/>
  <c r="T913" i="16" a="1"/>
  <c r="T913" i="16" s="1"/>
  <c r="R914" i="16" a="1"/>
  <c r="R914" i="16" s="1"/>
  <c r="S914" i="16" a="1"/>
  <c r="S914" i="16"/>
  <c r="T914" i="16" a="1"/>
  <c r="T914" i="16" s="1"/>
  <c r="R915" i="16" a="1"/>
  <c r="R915" i="16" s="1"/>
  <c r="S915" i="16" a="1"/>
  <c r="S915" i="16" s="1"/>
  <c r="T915" i="16" a="1"/>
  <c r="T915" i="16"/>
  <c r="R916" i="16" a="1"/>
  <c r="R916" i="16" s="1"/>
  <c r="S916" i="16" a="1"/>
  <c r="S916" i="16" s="1"/>
  <c r="T916" i="16" a="1"/>
  <c r="T916" i="16" s="1"/>
  <c r="R917" i="16" a="1"/>
  <c r="R917" i="16" s="1"/>
  <c r="S917" i="16" a="1"/>
  <c r="S917" i="16" s="1"/>
  <c r="T917" i="16" a="1"/>
  <c r="T917" i="16" s="1"/>
  <c r="R918" i="16" a="1"/>
  <c r="R918" i="16" s="1"/>
  <c r="S918" i="16" a="1"/>
  <c r="S918" i="16" s="1"/>
  <c r="T918" i="16" a="1"/>
  <c r="T918" i="16" s="1"/>
  <c r="R919" i="16" a="1"/>
  <c r="R919" i="16"/>
  <c r="S919" i="16" a="1"/>
  <c r="S919" i="16" s="1"/>
  <c r="T919" i="16" a="1"/>
  <c r="T919" i="16" s="1"/>
  <c r="R920" i="16" a="1"/>
  <c r="R920" i="16" s="1"/>
  <c r="S920" i="16" a="1"/>
  <c r="S920" i="16" s="1"/>
  <c r="T920" i="16" a="1"/>
  <c r="T920" i="16" s="1"/>
  <c r="R921" i="16" a="1"/>
  <c r="R921" i="16" s="1"/>
  <c r="S921" i="16" a="1"/>
  <c r="S921" i="16" s="1"/>
  <c r="T921" i="16" a="1"/>
  <c r="T921" i="16" s="1"/>
  <c r="R922" i="16" a="1"/>
  <c r="R922" i="16" s="1"/>
  <c r="S922" i="16" a="1"/>
  <c r="S922" i="16"/>
  <c r="T922" i="16" a="1"/>
  <c r="T922" i="16" s="1"/>
  <c r="R923" i="16" a="1"/>
  <c r="R923" i="16"/>
  <c r="S923" i="16" a="1"/>
  <c r="S923" i="16" s="1"/>
  <c r="T923" i="16" a="1"/>
  <c r="T923" i="16"/>
  <c r="R924" i="16" a="1"/>
  <c r="R924" i="16" s="1"/>
  <c r="S924" i="16" a="1"/>
  <c r="S924" i="16" s="1"/>
  <c r="T924" i="16" a="1"/>
  <c r="T924" i="16" s="1"/>
  <c r="R925" i="16" a="1"/>
  <c r="R925" i="16" s="1"/>
  <c r="S925" i="16" a="1"/>
  <c r="S925" i="16"/>
  <c r="T925" i="16" a="1"/>
  <c r="T925" i="16" s="1"/>
  <c r="R926" i="16" a="1"/>
  <c r="R926" i="16" s="1"/>
  <c r="S926" i="16" a="1"/>
  <c r="S926" i="16" s="1"/>
  <c r="T926" i="16" a="1"/>
  <c r="T926" i="16" s="1"/>
  <c r="R927" i="16" a="1"/>
  <c r="R927" i="16"/>
  <c r="S927" i="16" a="1"/>
  <c r="S927" i="16"/>
  <c r="T927" i="16" a="1"/>
  <c r="T927" i="16" s="1"/>
  <c r="R928" i="16" a="1"/>
  <c r="R928" i="16" s="1"/>
  <c r="S928" i="16" a="1"/>
  <c r="S928" i="16" s="1"/>
  <c r="T928" i="16" a="1"/>
  <c r="T928" i="16" s="1"/>
  <c r="R929" i="16" a="1"/>
  <c r="R929" i="16" s="1"/>
  <c r="S929" i="16" a="1"/>
  <c r="S929" i="16" s="1"/>
  <c r="T929" i="16" a="1"/>
  <c r="T929" i="16"/>
  <c r="R930" i="16" a="1"/>
  <c r="R930" i="16" s="1"/>
  <c r="S930" i="16" a="1"/>
  <c r="S930" i="16" s="1"/>
  <c r="T930" i="16" a="1"/>
  <c r="T930" i="16"/>
  <c r="R931" i="16" a="1"/>
  <c r="R931" i="16" s="1"/>
  <c r="S931" i="16" a="1"/>
  <c r="S931" i="16" s="1"/>
  <c r="T931" i="16" a="1"/>
  <c r="T931" i="16" s="1"/>
  <c r="R932" i="16" a="1"/>
  <c r="R932" i="16"/>
  <c r="S932" i="16" a="1"/>
  <c r="S932" i="16" s="1"/>
  <c r="T932" i="16" a="1"/>
  <c r="T932" i="16"/>
  <c r="R933" i="16" a="1"/>
  <c r="R933" i="16" s="1"/>
  <c r="S933" i="16" a="1"/>
  <c r="S933" i="16" s="1"/>
  <c r="T933" i="16" a="1"/>
  <c r="T933" i="16" s="1"/>
  <c r="R934" i="16" a="1"/>
  <c r="R934" i="16" s="1"/>
  <c r="S934" i="16" a="1"/>
  <c r="S934" i="16" s="1"/>
  <c r="T934" i="16" a="1"/>
  <c r="T934" i="16" s="1"/>
  <c r="R935" i="16" a="1"/>
  <c r="R935" i="16" s="1"/>
  <c r="S935" i="16" a="1"/>
  <c r="S935" i="16" s="1"/>
  <c r="T935" i="16" a="1"/>
  <c r="T935" i="16" s="1"/>
  <c r="R936" i="16" a="1"/>
  <c r="R936" i="16" s="1"/>
  <c r="S936" i="16" a="1"/>
  <c r="S936" i="16"/>
  <c r="T936" i="16" a="1"/>
  <c r="T936" i="16" s="1"/>
  <c r="R937" i="16" a="1"/>
  <c r="R937" i="16" s="1"/>
  <c r="S937" i="16" a="1"/>
  <c r="S937" i="16" s="1"/>
  <c r="T937" i="16" a="1"/>
  <c r="T937" i="16" s="1"/>
  <c r="R938" i="16" a="1"/>
  <c r="R938" i="16" s="1"/>
  <c r="S938" i="16" a="1"/>
  <c r="S938" i="16" s="1"/>
  <c r="T938" i="16" a="1"/>
  <c r="T938" i="16" s="1"/>
  <c r="R939" i="16" a="1"/>
  <c r="R939" i="16" s="1"/>
  <c r="S939" i="16" a="1"/>
  <c r="S939" i="16"/>
  <c r="T939" i="16" a="1"/>
  <c r="T939" i="16" s="1"/>
  <c r="R940" i="16" a="1"/>
  <c r="R940" i="16" s="1"/>
  <c r="S940" i="16" a="1"/>
  <c r="S940" i="16" s="1"/>
  <c r="T940" i="16" a="1"/>
  <c r="T940" i="16" s="1"/>
  <c r="R941" i="16" a="1"/>
  <c r="R941" i="16" s="1"/>
  <c r="S941" i="16" a="1"/>
  <c r="S941" i="16" s="1"/>
  <c r="T941" i="16" a="1"/>
  <c r="T941" i="16" s="1"/>
  <c r="R942" i="16" a="1"/>
  <c r="R942" i="16" s="1"/>
  <c r="S942" i="16" a="1"/>
  <c r="S942" i="16" s="1"/>
  <c r="T942" i="16" a="1"/>
  <c r="T942" i="16"/>
  <c r="R943" i="16" a="1"/>
  <c r="R943" i="16" s="1"/>
  <c r="S943" i="16" a="1"/>
  <c r="S943" i="16" s="1"/>
  <c r="T943" i="16" a="1"/>
  <c r="T943" i="16"/>
  <c r="R944" i="16" a="1"/>
  <c r="R944" i="16" s="1"/>
  <c r="S944" i="16" a="1"/>
  <c r="S944" i="16" s="1"/>
  <c r="T944" i="16" a="1"/>
  <c r="T944" i="16" s="1"/>
  <c r="R945" i="16" a="1"/>
  <c r="R945" i="16" s="1"/>
  <c r="S945" i="16" a="1"/>
  <c r="S945" i="16" s="1"/>
  <c r="T945" i="16" a="1"/>
  <c r="T945" i="16" s="1"/>
  <c r="R946" i="16" a="1"/>
  <c r="R946" i="16" s="1"/>
  <c r="S946" i="16" a="1"/>
  <c r="S946" i="16"/>
  <c r="T946" i="16" a="1"/>
  <c r="T946" i="16" s="1"/>
  <c r="R947" i="16" a="1"/>
  <c r="R947" i="16" s="1"/>
  <c r="S947" i="16" a="1"/>
  <c r="S947" i="16" s="1"/>
  <c r="T947" i="16" a="1"/>
  <c r="T947" i="16" s="1"/>
  <c r="R948" i="16" a="1"/>
  <c r="R948" i="16" s="1"/>
  <c r="S948" i="16" a="1"/>
  <c r="S948" i="16" s="1"/>
  <c r="T948" i="16" a="1"/>
  <c r="T948" i="16" s="1"/>
  <c r="R949" i="16" a="1"/>
  <c r="R949" i="16" s="1"/>
  <c r="S949" i="16" a="1"/>
  <c r="S949" i="16" s="1"/>
  <c r="T949" i="16" a="1"/>
  <c r="T949" i="16" s="1"/>
  <c r="R950" i="16" a="1"/>
  <c r="R950" i="16" s="1"/>
  <c r="S950" i="16" a="1"/>
  <c r="S950" i="16" s="1"/>
  <c r="T950" i="16" a="1"/>
  <c r="T950" i="16" s="1"/>
  <c r="R951" i="16" a="1"/>
  <c r="R951" i="16" s="1"/>
  <c r="S951" i="16" a="1"/>
  <c r="S951" i="16" s="1"/>
  <c r="T951" i="16" a="1"/>
  <c r="T951" i="16" s="1"/>
  <c r="R952" i="16" a="1"/>
  <c r="R952" i="16" s="1"/>
  <c r="S952" i="16" a="1"/>
  <c r="S952" i="16"/>
  <c r="T952" i="16" a="1"/>
  <c r="T952" i="16" s="1"/>
  <c r="R953" i="16" a="1"/>
  <c r="R953" i="16" s="1"/>
  <c r="S953" i="16" a="1"/>
  <c r="S953" i="16" s="1"/>
  <c r="T953" i="16" a="1"/>
  <c r="T953" i="16" s="1"/>
  <c r="R954" i="16" a="1"/>
  <c r="R954" i="16" s="1"/>
  <c r="S954" i="16" a="1"/>
  <c r="S954" i="16" s="1"/>
  <c r="T954" i="16" a="1"/>
  <c r="T954" i="16" s="1"/>
  <c r="R955" i="16" a="1"/>
  <c r="R955" i="16" s="1"/>
  <c r="S955" i="16" a="1"/>
  <c r="S955" i="16" s="1"/>
  <c r="T955" i="16" a="1"/>
  <c r="T955" i="16"/>
  <c r="R956" i="16" a="1"/>
  <c r="R956" i="16" s="1"/>
  <c r="S956" i="16" a="1"/>
  <c r="S956" i="16" s="1"/>
  <c r="T956" i="16" a="1"/>
  <c r="T956" i="16" s="1"/>
  <c r="R957" i="16" a="1"/>
  <c r="R957" i="16" s="1"/>
  <c r="S957" i="16" a="1"/>
  <c r="S957" i="16" s="1"/>
  <c r="T957" i="16" a="1"/>
  <c r="T957" i="16" s="1"/>
  <c r="R958" i="16" a="1"/>
  <c r="R958" i="16" s="1"/>
  <c r="S958" i="16" a="1"/>
  <c r="S958" i="16" s="1"/>
  <c r="T958" i="16" a="1"/>
  <c r="T958" i="16" s="1"/>
  <c r="R959" i="16" a="1"/>
  <c r="R959" i="16" s="1"/>
  <c r="S959" i="16" a="1"/>
  <c r="S959" i="16" s="1"/>
  <c r="T959" i="16" a="1"/>
  <c r="T959" i="16" s="1"/>
  <c r="R960" i="16" a="1"/>
  <c r="R960" i="16" s="1"/>
  <c r="S960" i="16" a="1"/>
  <c r="S960" i="16"/>
  <c r="T960" i="16" a="1"/>
  <c r="T960" i="16" s="1"/>
  <c r="R961" i="16" a="1"/>
  <c r="R961" i="16" s="1"/>
  <c r="S961" i="16" a="1"/>
  <c r="S961" i="16" s="1"/>
  <c r="T961" i="16" a="1"/>
  <c r="T961" i="16" s="1"/>
  <c r="R962" i="16" a="1"/>
  <c r="R962" i="16" s="1"/>
  <c r="S962" i="16" a="1"/>
  <c r="S962" i="16" s="1"/>
  <c r="T962" i="16" a="1"/>
  <c r="T962" i="16" s="1"/>
  <c r="R963" i="16" a="1"/>
  <c r="R963" i="16"/>
  <c r="S963" i="16" a="1"/>
  <c r="S963" i="16" s="1"/>
  <c r="T963" i="16" a="1"/>
  <c r="T963" i="16" s="1"/>
  <c r="R964" i="16" a="1"/>
  <c r="R964" i="16" s="1"/>
  <c r="S964" i="16" a="1"/>
  <c r="S964" i="16" s="1"/>
  <c r="T964" i="16" a="1"/>
  <c r="T964" i="16" s="1"/>
  <c r="R965" i="16" a="1"/>
  <c r="R965" i="16" s="1"/>
  <c r="S965" i="16" a="1"/>
  <c r="S965" i="16" s="1"/>
  <c r="T965" i="16" a="1"/>
  <c r="T965" i="16"/>
  <c r="R966" i="16" a="1"/>
  <c r="R966" i="16" s="1"/>
  <c r="S966" i="16" a="1"/>
  <c r="S966" i="16" s="1"/>
  <c r="T966" i="16" a="1"/>
  <c r="T966" i="16" s="1"/>
  <c r="R967" i="16" a="1"/>
  <c r="R967" i="16" s="1"/>
  <c r="S967" i="16" a="1"/>
  <c r="S967" i="16" s="1"/>
  <c r="T967" i="16" a="1"/>
  <c r="T967" i="16" s="1"/>
  <c r="R968" i="16" a="1"/>
  <c r="R968" i="16" s="1"/>
  <c r="S968" i="16" a="1"/>
  <c r="S968" i="16" s="1"/>
  <c r="T968" i="16" a="1"/>
  <c r="T968" i="16" s="1"/>
  <c r="R969" i="16" a="1"/>
  <c r="R969" i="16"/>
  <c r="S969" i="16" a="1"/>
  <c r="S969" i="16" s="1"/>
  <c r="T969" i="16" a="1"/>
  <c r="T969" i="16" s="1"/>
  <c r="R970" i="16" a="1"/>
  <c r="R970" i="16" s="1"/>
  <c r="S970" i="16" a="1"/>
  <c r="S970" i="16" s="1"/>
  <c r="T970" i="16" a="1"/>
  <c r="T970" i="16" s="1"/>
  <c r="R971" i="16" a="1"/>
  <c r="R971" i="16" s="1"/>
  <c r="S971" i="16" a="1"/>
  <c r="S971" i="16" s="1"/>
  <c r="T971" i="16" a="1"/>
  <c r="T971" i="16" s="1"/>
  <c r="R972" i="16" a="1"/>
  <c r="R972" i="16" s="1"/>
  <c r="S972" i="16" a="1"/>
  <c r="S972" i="16" s="1"/>
  <c r="T972" i="16" a="1"/>
  <c r="T972" i="16" s="1"/>
  <c r="R973" i="16" a="1"/>
  <c r="R973" i="16" s="1"/>
  <c r="S973" i="16" a="1"/>
  <c r="S973" i="16" s="1"/>
  <c r="T973" i="16" a="1"/>
  <c r="T973" i="16" s="1"/>
  <c r="R974" i="16" a="1"/>
  <c r="R974" i="16" s="1"/>
  <c r="S974" i="16" a="1"/>
  <c r="S974" i="16" s="1"/>
  <c r="T974" i="16" a="1"/>
  <c r="T974" i="16" s="1"/>
  <c r="R975" i="16" a="1"/>
  <c r="R975" i="16" s="1"/>
  <c r="S975" i="16" a="1"/>
  <c r="S975" i="16" s="1"/>
  <c r="T975" i="16" a="1"/>
  <c r="T975" i="16" s="1"/>
  <c r="R976" i="16" a="1"/>
  <c r="R976" i="16" s="1"/>
  <c r="S976" i="16" a="1"/>
  <c r="S976" i="16" s="1"/>
  <c r="T976" i="16" a="1"/>
  <c r="T976" i="16" s="1"/>
  <c r="R977" i="16" a="1"/>
  <c r="R977" i="16" s="1"/>
  <c r="S977" i="16" a="1"/>
  <c r="S977" i="16" s="1"/>
  <c r="T977" i="16" a="1"/>
  <c r="T977" i="16" s="1"/>
  <c r="R978" i="16" a="1"/>
  <c r="R978" i="16" s="1"/>
  <c r="S978" i="16" a="1"/>
  <c r="S978" i="16" s="1"/>
  <c r="T978" i="16" a="1"/>
  <c r="T978" i="16" s="1"/>
  <c r="R979" i="16" a="1"/>
  <c r="R979" i="16" s="1"/>
  <c r="S979" i="16" a="1"/>
  <c r="S979" i="16" s="1"/>
  <c r="T979" i="16" a="1"/>
  <c r="T979" i="16" s="1"/>
  <c r="R980" i="16" a="1"/>
  <c r="R980" i="16" s="1"/>
  <c r="S980" i="16" a="1"/>
  <c r="S980" i="16" s="1"/>
  <c r="T980" i="16" a="1"/>
  <c r="T980" i="16" s="1"/>
  <c r="R981" i="16" a="1"/>
  <c r="R981" i="16" s="1"/>
  <c r="S981" i="16" a="1"/>
  <c r="S981" i="16" s="1"/>
  <c r="T981" i="16" a="1"/>
  <c r="T981" i="16" s="1"/>
  <c r="R982" i="16" a="1"/>
  <c r="R982" i="16" s="1"/>
  <c r="S982" i="16" a="1"/>
  <c r="S982" i="16" s="1"/>
  <c r="T982" i="16" a="1"/>
  <c r="T982" i="16" s="1"/>
  <c r="R983" i="16" a="1"/>
  <c r="R983" i="16" s="1"/>
  <c r="S983" i="16" a="1"/>
  <c r="S983" i="16" s="1"/>
  <c r="T983" i="16" a="1"/>
  <c r="T983" i="16" s="1"/>
  <c r="R984" i="16" a="1"/>
  <c r="R984" i="16" s="1"/>
  <c r="S984" i="16" a="1"/>
  <c r="S984" i="16" s="1"/>
  <c r="T984" i="16" a="1"/>
  <c r="T984" i="16" s="1"/>
  <c r="R985" i="16" a="1"/>
  <c r="R985" i="16" s="1"/>
  <c r="S985" i="16" a="1"/>
  <c r="S985" i="16" s="1"/>
  <c r="T985" i="16" a="1"/>
  <c r="T985" i="16" s="1"/>
  <c r="R986" i="16" a="1"/>
  <c r="R986" i="16" s="1"/>
  <c r="S986" i="16" a="1"/>
  <c r="S986" i="16" s="1"/>
  <c r="T986" i="16" a="1"/>
  <c r="T986" i="16" s="1"/>
  <c r="R987" i="16" a="1"/>
  <c r="R987" i="16" s="1"/>
  <c r="S987" i="16" a="1"/>
  <c r="S987" i="16" s="1"/>
  <c r="T987" i="16" a="1"/>
  <c r="T987" i="16" s="1"/>
  <c r="R988" i="16" a="1"/>
  <c r="R988" i="16" s="1"/>
  <c r="S988" i="16" a="1"/>
  <c r="S988" i="16" s="1"/>
  <c r="T988" i="16" a="1"/>
  <c r="T988" i="16" s="1"/>
  <c r="R989" i="16" a="1"/>
  <c r="R989" i="16" s="1"/>
  <c r="S989" i="16" a="1"/>
  <c r="S989" i="16" s="1"/>
  <c r="T989" i="16" a="1"/>
  <c r="T989" i="16" s="1"/>
  <c r="R990" i="16" a="1"/>
  <c r="R990" i="16" s="1"/>
  <c r="S990" i="16" a="1"/>
  <c r="S990" i="16" s="1"/>
  <c r="T990" i="16" a="1"/>
  <c r="T990" i="16" s="1"/>
  <c r="R991" i="16" a="1"/>
  <c r="R991" i="16" s="1"/>
  <c r="S991" i="16" a="1"/>
  <c r="S991" i="16" s="1"/>
  <c r="T991" i="16" a="1"/>
  <c r="T991" i="16" s="1"/>
  <c r="R992" i="16" a="1"/>
  <c r="R992" i="16" s="1"/>
  <c r="S992" i="16" a="1"/>
  <c r="S992" i="16" s="1"/>
  <c r="T992" i="16" a="1"/>
  <c r="T992" i="16" s="1"/>
  <c r="R993" i="16" a="1"/>
  <c r="R993" i="16" s="1"/>
  <c r="S993" i="16" a="1"/>
  <c r="S993" i="16" s="1"/>
  <c r="T993" i="16" a="1"/>
  <c r="T993" i="16" s="1"/>
  <c r="R994" i="16" a="1"/>
  <c r="R994" i="16" s="1"/>
  <c r="S994" i="16" a="1"/>
  <c r="S994" i="16" s="1"/>
  <c r="T994" i="16" a="1"/>
  <c r="T994" i="16" s="1"/>
  <c r="R995" i="16" a="1"/>
  <c r="R995" i="16" s="1"/>
  <c r="S995" i="16" a="1"/>
  <c r="S995" i="16" s="1"/>
  <c r="T995" i="16" a="1"/>
  <c r="T995" i="16" s="1"/>
  <c r="R996" i="16" a="1"/>
  <c r="R996" i="16" s="1"/>
  <c r="S996" i="16" a="1"/>
  <c r="S996" i="16" s="1"/>
  <c r="T996" i="16" a="1"/>
  <c r="T996" i="16" s="1"/>
  <c r="R997" i="16" a="1"/>
  <c r="R997" i="16" s="1"/>
  <c r="S997" i="16" a="1"/>
  <c r="S997" i="16" s="1"/>
  <c r="T997" i="16" a="1"/>
  <c r="T997" i="16" s="1"/>
  <c r="R998" i="16" a="1"/>
  <c r="R998" i="16" s="1"/>
  <c r="S998" i="16" a="1"/>
  <c r="S998" i="16" s="1"/>
  <c r="T998" i="16" a="1"/>
  <c r="T998" i="16" s="1"/>
  <c r="R999" i="16" a="1"/>
  <c r="R999" i="16" s="1"/>
  <c r="S999" i="16" a="1"/>
  <c r="S999" i="16" s="1"/>
  <c r="T999" i="16" a="1"/>
  <c r="T999" i="16" s="1"/>
  <c r="R1000" i="16" a="1"/>
  <c r="R1000" i="16" s="1"/>
  <c r="S1000" i="16" a="1"/>
  <c r="S1000" i="16" s="1"/>
  <c r="T1000" i="16" a="1"/>
  <c r="T1000" i="16" s="1"/>
  <c r="R1001" i="16" a="1"/>
  <c r="R1001" i="16" s="1"/>
  <c r="S1001" i="16" a="1"/>
  <c r="S1001" i="16" s="1"/>
  <c r="T1001" i="16" a="1"/>
  <c r="T1001" i="16" s="1"/>
  <c r="R1002" i="16" a="1"/>
  <c r="R1002" i="16" s="1"/>
  <c r="S1002" i="16" a="1"/>
  <c r="S1002" i="16" s="1"/>
  <c r="T1002" i="16" a="1"/>
  <c r="T1002" i="16" s="1"/>
  <c r="R1003" i="16" a="1"/>
  <c r="R1003" i="16" s="1"/>
  <c r="S1003" i="16" a="1"/>
  <c r="S1003" i="16" s="1"/>
  <c r="T1003" i="16" a="1"/>
  <c r="T1003" i="16" s="1"/>
  <c r="R1004" i="16" a="1"/>
  <c r="R1004" i="16" s="1"/>
  <c r="S1004" i="16" a="1"/>
  <c r="S1004" i="16" s="1"/>
  <c r="T1004" i="16" a="1"/>
  <c r="T1004" i="16" s="1"/>
  <c r="R1005" i="16" a="1"/>
  <c r="R1005" i="16" s="1"/>
  <c r="S1005" i="16" a="1"/>
  <c r="S1005" i="16" s="1"/>
  <c r="T1005" i="16" a="1"/>
  <c r="T1005" i="16" s="1"/>
  <c r="R1006" i="16" a="1"/>
  <c r="R1006" i="16" s="1"/>
  <c r="S1006" i="16" a="1"/>
  <c r="S1006" i="16" s="1"/>
  <c r="T1006" i="16" a="1"/>
  <c r="T1006" i="16" s="1"/>
  <c r="R1007" i="16" a="1"/>
  <c r="R1007" i="16" s="1"/>
  <c r="S1007" i="16" a="1"/>
  <c r="S1007" i="16" s="1"/>
  <c r="T1007" i="16" a="1"/>
  <c r="T1007" i="16" s="1"/>
  <c r="R1008" i="16" a="1"/>
  <c r="R1008" i="16" s="1"/>
  <c r="S1008" i="16" a="1"/>
  <c r="S1008" i="16" s="1"/>
  <c r="T1008" i="16" a="1"/>
  <c r="T1008" i="16" s="1"/>
  <c r="R1009" i="16" a="1"/>
  <c r="R1009" i="16" s="1"/>
  <c r="S1009" i="16" a="1"/>
  <c r="S1009" i="16" s="1"/>
  <c r="T1009" i="16" a="1"/>
  <c r="T1009" i="16" s="1"/>
  <c r="R1010" i="16" a="1"/>
  <c r="R1010" i="16" s="1"/>
  <c r="S1010" i="16" a="1"/>
  <c r="S1010" i="16" s="1"/>
  <c r="T1010" i="16" a="1"/>
  <c r="T1010" i="16" s="1"/>
  <c r="R1011" i="16" a="1"/>
  <c r="R1011" i="16" s="1"/>
  <c r="S1011" i="16" a="1"/>
  <c r="S1011" i="16" s="1"/>
  <c r="T1011" i="16" a="1"/>
  <c r="T1011" i="16" s="1"/>
  <c r="R1012" i="16" a="1"/>
  <c r="R1012" i="16" s="1"/>
  <c r="S1012" i="16" a="1"/>
  <c r="S1012" i="16" s="1"/>
  <c r="T1012" i="16" a="1"/>
  <c r="T1012" i="16" s="1"/>
  <c r="R1013" i="16" a="1"/>
  <c r="R1013" i="16" s="1"/>
  <c r="S1013" i="16" a="1"/>
  <c r="S1013" i="16" s="1"/>
  <c r="T1013" i="16" a="1"/>
  <c r="T1013" i="16" s="1"/>
  <c r="R1014" i="16" a="1"/>
  <c r="R1014" i="16" s="1"/>
  <c r="S1014" i="16" a="1"/>
  <c r="S1014" i="16" s="1"/>
  <c r="T1014" i="16" a="1"/>
  <c r="T1014" i="16" s="1"/>
  <c r="R1015" i="16" a="1"/>
  <c r="R1015" i="16" s="1"/>
  <c r="S1015" i="16" a="1"/>
  <c r="S1015" i="16" s="1"/>
  <c r="T1015" i="16" a="1"/>
  <c r="T1015" i="16" s="1"/>
  <c r="R17" i="16" a="1"/>
  <c r="R17" i="16" s="1"/>
  <c r="S17" i="16" a="1"/>
  <c r="S17" i="16" s="1"/>
  <c r="T17" i="16" a="1"/>
  <c r="T17" i="16" s="1"/>
  <c r="R18" i="16" a="1"/>
  <c r="R18" i="16" s="1"/>
  <c r="S18" i="16" a="1"/>
  <c r="S18" i="16" s="1"/>
  <c r="T18" i="16" a="1"/>
  <c r="T18" i="16" s="1"/>
  <c r="R19" i="16" a="1"/>
  <c r="R19" i="16" s="1"/>
  <c r="S19" i="16" a="1"/>
  <c r="S19" i="16" s="1"/>
  <c r="T19" i="16" a="1"/>
  <c r="T19" i="16" s="1"/>
  <c r="R20" i="16" a="1"/>
  <c r="R20" i="16" s="1"/>
  <c r="S20" i="16" a="1"/>
  <c r="S20" i="16" s="1"/>
  <c r="T20" i="16" a="1"/>
  <c r="T20" i="16" s="1"/>
  <c r="R21" i="16" a="1"/>
  <c r="R21" i="16" s="1"/>
  <c r="S21" i="16" a="1"/>
  <c r="S21" i="16" s="1"/>
  <c r="T21" i="16" a="1"/>
  <c r="T21" i="16" s="1"/>
  <c r="R22" i="16" a="1"/>
  <c r="R22" i="16" s="1"/>
  <c r="S22" i="16" a="1"/>
  <c r="S22" i="16" s="1"/>
  <c r="T22" i="16" a="1"/>
  <c r="T22" i="16" s="1"/>
  <c r="R23" i="16" a="1"/>
  <c r="R23" i="16" s="1"/>
  <c r="S23" i="16" a="1"/>
  <c r="S23" i="16" s="1"/>
  <c r="T23" i="16" a="1"/>
  <c r="T23" i="16" s="1"/>
  <c r="R24" i="16" a="1"/>
  <c r="R24" i="16" s="1"/>
  <c r="S24" i="16" a="1"/>
  <c r="S24" i="16" s="1"/>
  <c r="T24" i="16" a="1"/>
  <c r="T24" i="16" s="1"/>
  <c r="R25" i="16" a="1"/>
  <c r="R25" i="16" s="1"/>
  <c r="S25" i="16" a="1"/>
  <c r="S25" i="16" s="1"/>
  <c r="T25" i="16" a="1"/>
  <c r="T25" i="16" s="1"/>
  <c r="R26" i="16" a="1"/>
  <c r="R26" i="16" s="1"/>
  <c r="S26" i="16" a="1"/>
  <c r="S26" i="16" s="1"/>
  <c r="T26" i="16" a="1"/>
  <c r="T26" i="16" s="1"/>
  <c r="R27" i="16" a="1"/>
  <c r="R27" i="16" s="1"/>
  <c r="S27" i="16" a="1"/>
  <c r="S27" i="16" s="1"/>
  <c r="T27" i="16" a="1"/>
  <c r="T27" i="16" s="1"/>
  <c r="R28" i="16" a="1"/>
  <c r="R28" i="16" s="1"/>
  <c r="S28" i="16" a="1"/>
  <c r="S28" i="16" s="1"/>
  <c r="T28" i="16" a="1"/>
  <c r="T28" i="16" s="1"/>
  <c r="R29" i="16" a="1"/>
  <c r="R29" i="16" s="1"/>
  <c r="S29" i="16" a="1"/>
  <c r="S29" i="16" s="1"/>
  <c r="T29" i="16" a="1"/>
  <c r="T29" i="16"/>
  <c r="R30" i="16" a="1"/>
  <c r="R30" i="16" s="1"/>
  <c r="S30" i="16" a="1"/>
  <c r="S30" i="16" s="1"/>
  <c r="T30" i="16" a="1"/>
  <c r="T30" i="16" s="1"/>
  <c r="R31" i="16" a="1"/>
  <c r="R31" i="16" s="1"/>
  <c r="S31" i="16" a="1"/>
  <c r="S31" i="16" s="1"/>
  <c r="T31" i="16" a="1"/>
  <c r="T31" i="16" s="1"/>
  <c r="R32" i="16" a="1"/>
  <c r="R32" i="16" s="1"/>
  <c r="S32" i="16" a="1"/>
  <c r="S32" i="16" s="1"/>
  <c r="T32" i="16" a="1"/>
  <c r="T32" i="16" s="1"/>
  <c r="R33" i="16" a="1"/>
  <c r="R33" i="16" s="1"/>
  <c r="S33" i="16" a="1"/>
  <c r="S33" i="16" s="1"/>
  <c r="T33" i="16" a="1"/>
  <c r="T33" i="16" s="1"/>
  <c r="R34" i="16" a="1"/>
  <c r="R34" i="16" s="1"/>
  <c r="S34" i="16" a="1"/>
  <c r="S34" i="16" s="1"/>
  <c r="T34" i="16" a="1"/>
  <c r="T34" i="16"/>
  <c r="R35" i="16" a="1"/>
  <c r="R35" i="16" s="1"/>
  <c r="S35" i="16" a="1"/>
  <c r="S35" i="16" s="1"/>
  <c r="T35" i="16" a="1"/>
  <c r="T35" i="16" s="1"/>
  <c r="R36" i="16" a="1"/>
  <c r="R36" i="16" s="1"/>
  <c r="S36" i="16" a="1"/>
  <c r="S36" i="16" s="1"/>
  <c r="T36" i="16" a="1"/>
  <c r="T36" i="16" s="1"/>
  <c r="R37" i="16" a="1"/>
  <c r="R37" i="16"/>
  <c r="S37" i="16" a="1"/>
  <c r="S37" i="16" s="1"/>
  <c r="T37" i="16" a="1"/>
  <c r="T37" i="16" s="1"/>
  <c r="R38" i="16" a="1"/>
  <c r="R38" i="16" s="1"/>
  <c r="S38" i="16" a="1"/>
  <c r="S38" i="16" s="1"/>
  <c r="T38" i="16" a="1"/>
  <c r="T38" i="16" s="1"/>
  <c r="R39" i="16" a="1"/>
  <c r="R39" i="16" s="1"/>
  <c r="S39" i="16" a="1"/>
  <c r="S39" i="16" s="1"/>
  <c r="T39" i="16" a="1"/>
  <c r="T39" i="16" s="1"/>
  <c r="R40" i="16" a="1"/>
  <c r="R40" i="16" s="1"/>
  <c r="S40" i="16" a="1"/>
  <c r="S40" i="16" s="1"/>
  <c r="T40" i="16" a="1"/>
  <c r="T40" i="16"/>
  <c r="R41" i="16" a="1"/>
  <c r="R41" i="16" s="1"/>
  <c r="S41" i="16" a="1"/>
  <c r="S41" i="16" s="1"/>
  <c r="T41" i="16" a="1"/>
  <c r="T41" i="16" s="1"/>
  <c r="R42" i="16" a="1"/>
  <c r="R42" i="16" s="1"/>
  <c r="S42" i="16" a="1"/>
  <c r="S42" i="16" s="1"/>
  <c r="T42" i="16" a="1"/>
  <c r="T42" i="16" s="1"/>
  <c r="R43" i="16" a="1"/>
  <c r="R43" i="16" s="1"/>
  <c r="S43" i="16" a="1"/>
  <c r="S43" i="16"/>
  <c r="T43" i="16" a="1"/>
  <c r="T43" i="16" s="1"/>
  <c r="R44" i="16" a="1"/>
  <c r="R44" i="16" s="1"/>
  <c r="S44" i="16" a="1"/>
  <c r="S44" i="16" s="1"/>
  <c r="T44" i="16" a="1"/>
  <c r="T44" i="16" s="1"/>
  <c r="R45" i="16" a="1"/>
  <c r="R45" i="16" s="1"/>
  <c r="S45" i="16" a="1"/>
  <c r="S45" i="16" s="1"/>
  <c r="T45" i="16" a="1"/>
  <c r="T45" i="16" s="1"/>
  <c r="R46" i="16" a="1"/>
  <c r="R46" i="16" s="1"/>
  <c r="S46" i="16" a="1"/>
  <c r="S46" i="16" s="1"/>
  <c r="T46" i="16" a="1"/>
  <c r="T46" i="16" s="1"/>
  <c r="R47" i="16" a="1"/>
  <c r="R47" i="16" s="1"/>
  <c r="S47" i="16" a="1"/>
  <c r="S47" i="16" s="1"/>
  <c r="T47" i="16" a="1"/>
  <c r="T47" i="16" s="1"/>
  <c r="R48" i="16" a="1"/>
  <c r="R48" i="16" s="1"/>
  <c r="S48" i="16" a="1"/>
  <c r="S48" i="16" s="1"/>
  <c r="T48" i="16" a="1"/>
  <c r="T48" i="16" s="1"/>
  <c r="R49" i="16" a="1"/>
  <c r="R49" i="16" s="1"/>
  <c r="S49" i="16" a="1"/>
  <c r="S49" i="16" s="1"/>
  <c r="T49" i="16" a="1"/>
  <c r="T49" i="16" s="1"/>
  <c r="R50" i="16" a="1"/>
  <c r="R50" i="16" s="1"/>
  <c r="S50" i="16" a="1"/>
  <c r="S50" i="16" s="1"/>
  <c r="T50" i="16" a="1"/>
  <c r="T50" i="16" s="1"/>
  <c r="R51" i="16" a="1"/>
  <c r="R51" i="16" s="1"/>
  <c r="S51" i="16" a="1"/>
  <c r="S51" i="16" s="1"/>
  <c r="T51" i="16" a="1"/>
  <c r="T51" i="16" s="1"/>
  <c r="R52" i="16" a="1"/>
  <c r="R52" i="16"/>
  <c r="S52" i="16" a="1"/>
  <c r="S52" i="16" s="1"/>
  <c r="T52" i="16" a="1"/>
  <c r="T52" i="16" s="1"/>
  <c r="R53" i="16" a="1"/>
  <c r="R53" i="16" s="1"/>
  <c r="S53" i="16" a="1"/>
  <c r="S53" i="16" s="1"/>
  <c r="T53" i="16" a="1"/>
  <c r="T53" i="16" s="1"/>
  <c r="R54" i="16" a="1"/>
  <c r="R54" i="16" s="1"/>
  <c r="S54" i="16" a="1"/>
  <c r="S54" i="16" s="1"/>
  <c r="T54" i="16" a="1"/>
  <c r="T54" i="16" s="1"/>
  <c r="R55" i="16" a="1"/>
  <c r="R55" i="16" s="1"/>
  <c r="S55" i="16" a="1"/>
  <c r="S55" i="16" s="1"/>
  <c r="T55" i="16" a="1"/>
  <c r="T55" i="16"/>
  <c r="R56" i="16" a="1"/>
  <c r="R56" i="16" s="1"/>
  <c r="S56" i="16" a="1"/>
  <c r="S56" i="16" s="1"/>
  <c r="T56" i="16" a="1"/>
  <c r="T56" i="16" s="1"/>
  <c r="R57" i="16" a="1"/>
  <c r="R57" i="16" s="1"/>
  <c r="S57" i="16" a="1"/>
  <c r="S57" i="16" s="1"/>
  <c r="T57" i="16" a="1"/>
  <c r="T57" i="16" s="1"/>
  <c r="R58" i="16" a="1"/>
  <c r="R58" i="16" s="1"/>
  <c r="S58" i="16" a="1"/>
  <c r="S58" i="16" s="1"/>
  <c r="T58" i="16" a="1"/>
  <c r="T58" i="16" s="1"/>
  <c r="R59" i="16" a="1"/>
  <c r="R59" i="16" s="1"/>
  <c r="S59" i="16" a="1"/>
  <c r="S59" i="16" s="1"/>
  <c r="T59" i="16" a="1"/>
  <c r="T59" i="16" s="1"/>
  <c r="R60" i="16" a="1"/>
  <c r="R60" i="16" s="1"/>
  <c r="S60" i="16" a="1"/>
  <c r="S60" i="16" s="1"/>
  <c r="T60" i="16" a="1"/>
  <c r="T60" i="16"/>
  <c r="R61" i="16" a="1"/>
  <c r="R61" i="16" s="1"/>
  <c r="S61" i="16" a="1"/>
  <c r="S61" i="16" s="1"/>
  <c r="T61" i="16" a="1"/>
  <c r="T61" i="16" s="1"/>
  <c r="R62" i="16" a="1"/>
  <c r="R62" i="16" s="1"/>
  <c r="S62" i="16" a="1"/>
  <c r="S62" i="16" s="1"/>
  <c r="T62" i="16" a="1"/>
  <c r="T62" i="16" s="1"/>
  <c r="R63" i="16" a="1"/>
  <c r="R63" i="16" s="1"/>
  <c r="S63" i="16" a="1"/>
  <c r="S63" i="16"/>
  <c r="T63" i="16" a="1"/>
  <c r="T63" i="16" s="1"/>
  <c r="R64" i="16" a="1"/>
  <c r="R64" i="16" s="1"/>
  <c r="S64" i="16" a="1"/>
  <c r="S64" i="16" s="1"/>
  <c r="T64" i="16" a="1"/>
  <c r="T64" i="16" s="1"/>
  <c r="R65" i="16" a="1"/>
  <c r="R65" i="16" s="1"/>
  <c r="S65" i="16" a="1"/>
  <c r="S65" i="16" s="1"/>
  <c r="T65" i="16" a="1"/>
  <c r="T65" i="16" s="1"/>
  <c r="R66" i="16" a="1"/>
  <c r="R66" i="16" s="1"/>
  <c r="S66" i="16" a="1"/>
  <c r="S66" i="16" s="1"/>
  <c r="T66" i="16" a="1"/>
  <c r="T66" i="16" s="1"/>
  <c r="R67" i="16" a="1"/>
  <c r="R67" i="16"/>
  <c r="S67" i="16" a="1"/>
  <c r="S67" i="16" s="1"/>
  <c r="T67" i="16" a="1"/>
  <c r="T67" i="16" s="1"/>
  <c r="R68" i="16" a="1"/>
  <c r="R68" i="16" s="1"/>
  <c r="S68" i="16" a="1"/>
  <c r="S68" i="16" s="1"/>
  <c r="T68" i="16" a="1"/>
  <c r="T68" i="16" s="1"/>
  <c r="R69" i="16" a="1"/>
  <c r="R69" i="16" s="1"/>
  <c r="S69" i="16" a="1"/>
  <c r="S69" i="16" s="1"/>
  <c r="T69" i="16" a="1"/>
  <c r="T69" i="16" s="1"/>
  <c r="R70" i="16" a="1"/>
  <c r="R70" i="16" s="1"/>
  <c r="S70" i="16" a="1"/>
  <c r="S70" i="16" s="1"/>
  <c r="T70" i="16" a="1"/>
  <c r="T70" i="16" s="1"/>
  <c r="R71" i="16" a="1"/>
  <c r="R71" i="16" s="1"/>
  <c r="S71" i="16" a="1"/>
  <c r="S71" i="16" s="1"/>
  <c r="T71" i="16" a="1"/>
  <c r="T71" i="16" s="1"/>
  <c r="R72" i="16" a="1"/>
  <c r="R72" i="16" s="1"/>
  <c r="S72" i="16" a="1"/>
  <c r="S72" i="16"/>
  <c r="T72" i="16" a="1"/>
  <c r="T72" i="16" s="1"/>
  <c r="R73" i="16" a="1"/>
  <c r="R73" i="16" s="1"/>
  <c r="S73" i="16" a="1"/>
  <c r="S73" i="16" s="1"/>
  <c r="T73" i="16" a="1"/>
  <c r="T73" i="16" s="1"/>
  <c r="R74" i="16" a="1"/>
  <c r="R74" i="16" s="1"/>
  <c r="S74" i="16" a="1"/>
  <c r="S74" i="16" s="1"/>
  <c r="T74" i="16" a="1"/>
  <c r="T74" i="16" s="1"/>
  <c r="R75" i="16" a="1"/>
  <c r="R75" i="16" s="1"/>
  <c r="S75" i="16" a="1"/>
  <c r="S75" i="16" s="1"/>
  <c r="T75" i="16" a="1"/>
  <c r="T75" i="16" s="1"/>
  <c r="R76" i="16" a="1"/>
  <c r="R76" i="16" s="1"/>
  <c r="S76" i="16" a="1"/>
  <c r="S76" i="16" s="1"/>
  <c r="T76" i="16" a="1"/>
  <c r="T76" i="16" s="1"/>
  <c r="R77" i="16" a="1"/>
  <c r="R77" i="16" s="1"/>
  <c r="S77" i="16" a="1"/>
  <c r="S77" i="16" s="1"/>
  <c r="T77" i="16" a="1"/>
  <c r="T77" i="16" s="1"/>
  <c r="R78" i="16" a="1"/>
  <c r="R78" i="16" s="1"/>
  <c r="S78" i="16" a="1"/>
  <c r="S78" i="16" s="1"/>
  <c r="T78" i="16" a="1"/>
  <c r="T78" i="16" s="1"/>
  <c r="R79" i="16" a="1"/>
  <c r="R79" i="16" s="1"/>
  <c r="S79" i="16" a="1"/>
  <c r="S79" i="16" s="1"/>
  <c r="T79" i="16" a="1"/>
  <c r="T79" i="16" s="1"/>
  <c r="R80" i="16" a="1"/>
  <c r="R80" i="16" s="1"/>
  <c r="S80" i="16" a="1"/>
  <c r="S80" i="16" s="1"/>
  <c r="T80" i="16" a="1"/>
  <c r="T80" i="16" s="1"/>
  <c r="R81" i="16" a="1"/>
  <c r="R81" i="16" s="1"/>
  <c r="S81" i="16" a="1"/>
  <c r="S81" i="16" s="1"/>
  <c r="T81" i="16" a="1"/>
  <c r="T81" i="16" s="1"/>
  <c r="R82" i="16" a="1"/>
  <c r="R82" i="16" s="1"/>
  <c r="S82" i="16" a="1"/>
  <c r="S82" i="16" s="1"/>
  <c r="T82" i="16" a="1"/>
  <c r="T82" i="16" s="1"/>
  <c r="R83" i="16" a="1"/>
  <c r="R83" i="16" s="1"/>
  <c r="S83" i="16" a="1"/>
  <c r="S83" i="16" s="1"/>
  <c r="T83" i="16" a="1"/>
  <c r="T83" i="16" s="1"/>
  <c r="R84" i="16" a="1"/>
  <c r="R84" i="16" s="1"/>
  <c r="S84" i="16" a="1"/>
  <c r="S84" i="16" s="1"/>
  <c r="T84" i="16" a="1"/>
  <c r="T84" i="16" s="1"/>
  <c r="R85" i="16" a="1"/>
  <c r="R85" i="16" s="1"/>
  <c r="S85" i="16" a="1"/>
  <c r="S85" i="16" s="1"/>
  <c r="T85" i="16" a="1"/>
  <c r="T85" i="16" s="1"/>
  <c r="R86" i="16" a="1"/>
  <c r="R86" i="16" s="1"/>
  <c r="S86" i="16" a="1"/>
  <c r="S86" i="16" s="1"/>
  <c r="T86" i="16" a="1"/>
  <c r="T86" i="16" s="1"/>
  <c r="R87" i="16" a="1"/>
  <c r="R87" i="16" s="1"/>
  <c r="S87" i="16" a="1"/>
  <c r="S87" i="16"/>
  <c r="T87" i="16" a="1"/>
  <c r="T87" i="16" s="1"/>
  <c r="R88" i="16" a="1"/>
  <c r="R88" i="16" s="1"/>
  <c r="S88" i="16" a="1"/>
  <c r="S88" i="16" s="1"/>
  <c r="T88" i="16" a="1"/>
  <c r="T88" i="16" s="1"/>
  <c r="R89" i="16" a="1"/>
  <c r="R89" i="16" s="1"/>
  <c r="S89" i="16" a="1"/>
  <c r="S89" i="16" s="1"/>
  <c r="T89" i="16" a="1"/>
  <c r="T89" i="16" s="1"/>
  <c r="R90" i="16" a="1"/>
  <c r="R90" i="16" s="1"/>
  <c r="S90" i="16" a="1"/>
  <c r="S90" i="16" s="1"/>
  <c r="T90" i="16" a="1"/>
  <c r="T90" i="16" s="1"/>
  <c r="R91" i="16" a="1"/>
  <c r="R91" i="16" s="1"/>
  <c r="S91" i="16" a="1"/>
  <c r="S91" i="16" s="1"/>
  <c r="T91" i="16" a="1"/>
  <c r="T91" i="16" s="1"/>
  <c r="R92" i="16" a="1"/>
  <c r="R92" i="16" s="1"/>
  <c r="S92" i="16" a="1"/>
  <c r="S92" i="16" s="1"/>
  <c r="T92" i="16" a="1"/>
  <c r="T92" i="16" s="1"/>
  <c r="R93" i="16" a="1"/>
  <c r="R93" i="16" s="1"/>
  <c r="S93" i="16" a="1"/>
  <c r="S93" i="16"/>
  <c r="T93" i="16" a="1"/>
  <c r="T93" i="16" s="1"/>
  <c r="R94" i="16" a="1"/>
  <c r="R94" i="16" s="1"/>
  <c r="S94" i="16" a="1"/>
  <c r="S94" i="16" s="1"/>
  <c r="T94" i="16" a="1"/>
  <c r="T94" i="16" s="1"/>
  <c r="R95" i="16" a="1"/>
  <c r="R95" i="16" s="1"/>
  <c r="S95" i="16" a="1"/>
  <c r="S95" i="16" s="1"/>
  <c r="T95" i="16" a="1"/>
  <c r="T95" i="16" s="1"/>
  <c r="R96" i="16" a="1"/>
  <c r="R96" i="16" s="1"/>
  <c r="S96" i="16" a="1"/>
  <c r="S96" i="16" s="1"/>
  <c r="T96" i="16" a="1"/>
  <c r="T96" i="16" s="1"/>
  <c r="R97" i="16" a="1"/>
  <c r="R97" i="16"/>
  <c r="S97" i="16" a="1"/>
  <c r="S97" i="16" s="1"/>
  <c r="T97" i="16" a="1"/>
  <c r="T97" i="16" s="1"/>
  <c r="R98" i="16" a="1"/>
  <c r="R98" i="16" s="1"/>
  <c r="S98" i="16" a="1"/>
  <c r="S98" i="16" s="1"/>
  <c r="T98" i="16" a="1"/>
  <c r="T98" i="16" s="1"/>
  <c r="R99" i="16" a="1"/>
  <c r="R99" i="16" s="1"/>
  <c r="S99" i="16" a="1"/>
  <c r="S99" i="16" s="1"/>
  <c r="T99" i="16" a="1"/>
  <c r="T99" i="16" s="1"/>
  <c r="R100" i="16" a="1"/>
  <c r="R100" i="16" s="1"/>
  <c r="S100" i="16" a="1"/>
  <c r="S100" i="16" s="1"/>
  <c r="T100" i="16" a="1"/>
  <c r="T100" i="16" s="1"/>
  <c r="R101" i="16" a="1"/>
  <c r="R101" i="16" s="1"/>
  <c r="S101" i="16" a="1"/>
  <c r="S101" i="16" s="1"/>
  <c r="T101" i="16" a="1"/>
  <c r="T101" i="16" s="1"/>
  <c r="R102" i="16" a="1"/>
  <c r="R102" i="16" s="1"/>
  <c r="S102" i="16" a="1"/>
  <c r="S102" i="16" s="1"/>
  <c r="T102" i="16" a="1"/>
  <c r="T102" i="16" s="1"/>
  <c r="R103" i="16" a="1"/>
  <c r="R103" i="16"/>
  <c r="S103" i="16" a="1"/>
  <c r="S103" i="16" s="1"/>
  <c r="T103" i="16" a="1"/>
  <c r="T103" i="16" s="1"/>
  <c r="R104" i="16" a="1"/>
  <c r="R104" i="16" s="1"/>
  <c r="S104" i="16" a="1"/>
  <c r="S104" i="16" s="1"/>
  <c r="T104" i="16" a="1"/>
  <c r="T104" i="16" s="1"/>
  <c r="R105" i="16" a="1"/>
  <c r="R105" i="16" s="1"/>
  <c r="S105" i="16" a="1"/>
  <c r="S105" i="16" s="1"/>
  <c r="T105" i="16" a="1"/>
  <c r="T105" i="16" s="1"/>
  <c r="R106" i="16" a="1"/>
  <c r="R106" i="16" s="1"/>
  <c r="S106" i="16" a="1"/>
  <c r="S106" i="16" s="1"/>
  <c r="T106" i="16" a="1"/>
  <c r="T106" i="16" s="1"/>
  <c r="R107" i="16" a="1"/>
  <c r="R107" i="16" s="1"/>
  <c r="S107" i="16" a="1"/>
  <c r="S107" i="16" s="1"/>
  <c r="T107" i="16" a="1"/>
  <c r="T107" i="16" s="1"/>
  <c r="R108" i="16" a="1"/>
  <c r="R108" i="16" s="1"/>
  <c r="S108" i="16" a="1"/>
  <c r="S108" i="16" s="1"/>
  <c r="T108" i="16" a="1"/>
  <c r="T108" i="16" s="1"/>
  <c r="R109" i="16" a="1"/>
  <c r="R109" i="16" s="1"/>
  <c r="S109" i="16" a="1"/>
  <c r="S109" i="16" s="1"/>
  <c r="T109" i="16" a="1"/>
  <c r="T109" i="16" s="1"/>
  <c r="R110" i="16" a="1"/>
  <c r="R110" i="16"/>
  <c r="S110" i="16" a="1"/>
  <c r="S110" i="16"/>
  <c r="T110" i="16" a="1"/>
  <c r="T110" i="16" s="1"/>
  <c r="R111" i="16" a="1"/>
  <c r="R111" i="16" s="1"/>
  <c r="S111" i="16" a="1"/>
  <c r="S111" i="16" s="1"/>
  <c r="T111" i="16" a="1"/>
  <c r="T111" i="16" s="1"/>
  <c r="R112" i="16" a="1"/>
  <c r="R112" i="16" s="1"/>
  <c r="S112" i="16" a="1"/>
  <c r="S112" i="16" s="1"/>
  <c r="T112" i="16" a="1"/>
  <c r="T112" i="16" s="1"/>
  <c r="R113" i="16" a="1"/>
  <c r="R113" i="16" s="1"/>
  <c r="S113" i="16" a="1"/>
  <c r="S113" i="16" s="1"/>
  <c r="T113" i="16" a="1"/>
  <c r="T113" i="16" s="1"/>
  <c r="R114" i="16" a="1"/>
  <c r="R114" i="16" s="1"/>
  <c r="S114" i="16" a="1"/>
  <c r="S114" i="16" s="1"/>
  <c r="T114" i="16" a="1"/>
  <c r="T114" i="16" s="1"/>
  <c r="R115" i="16" a="1"/>
  <c r="R115" i="16" s="1"/>
  <c r="S115" i="16" a="1"/>
  <c r="S115" i="16" s="1"/>
  <c r="T115" i="16" a="1"/>
  <c r="T115" i="16" s="1"/>
  <c r="R116" i="16" a="1"/>
  <c r="R116" i="16" s="1"/>
  <c r="S116" i="16" a="1"/>
  <c r="S116" i="16"/>
  <c r="T116" i="16" a="1"/>
  <c r="T116" i="16" s="1"/>
  <c r="R117" i="16" a="1"/>
  <c r="R117" i="16" s="1"/>
  <c r="S117" i="16" a="1"/>
  <c r="S117" i="16" s="1"/>
  <c r="T117" i="16" a="1"/>
  <c r="T117" i="16" s="1"/>
  <c r="R118" i="16" a="1"/>
  <c r="R118" i="16" s="1"/>
  <c r="S118" i="16" a="1"/>
  <c r="S118" i="16" s="1"/>
  <c r="T118" i="16" a="1"/>
  <c r="T118" i="16"/>
  <c r="R119" i="16" a="1"/>
  <c r="R119" i="16" s="1"/>
  <c r="S119" i="16" a="1"/>
  <c r="S119" i="16" s="1"/>
  <c r="T119" i="16" a="1"/>
  <c r="T119" i="16" s="1"/>
  <c r="R120" i="16" a="1"/>
  <c r="R120" i="16" s="1"/>
  <c r="S120" i="16" a="1"/>
  <c r="S120" i="16" s="1"/>
  <c r="T120" i="16" a="1"/>
  <c r="T120" i="16" s="1"/>
  <c r="R121" i="16" a="1"/>
  <c r="R121" i="16" s="1"/>
  <c r="S121" i="16" a="1"/>
  <c r="S121" i="16" s="1"/>
  <c r="T121" i="16" a="1"/>
  <c r="T121" i="16" s="1"/>
  <c r="R122" i="16" a="1"/>
  <c r="R122" i="16" s="1"/>
  <c r="S122" i="16" a="1"/>
  <c r="S122" i="16"/>
  <c r="T122" i="16" a="1"/>
  <c r="T122" i="16" s="1"/>
  <c r="R123" i="16" a="1"/>
  <c r="R123" i="16" s="1"/>
  <c r="S123" i="16" a="1"/>
  <c r="S123" i="16" s="1"/>
  <c r="T123" i="16" a="1"/>
  <c r="T123" i="16" s="1"/>
  <c r="R124" i="16" a="1"/>
  <c r="R124" i="16" s="1"/>
  <c r="S124" i="16" a="1"/>
  <c r="S124" i="16" s="1"/>
  <c r="T124" i="16" a="1"/>
  <c r="T124" i="16" s="1"/>
  <c r="R125" i="16" a="1"/>
  <c r="R125" i="16" s="1"/>
  <c r="S125" i="16" a="1"/>
  <c r="S125" i="16" s="1"/>
  <c r="T125" i="16" a="1"/>
  <c r="T125" i="16" s="1"/>
  <c r="R126" i="16" a="1"/>
  <c r="R126" i="16" s="1"/>
  <c r="S126" i="16" a="1"/>
  <c r="S126" i="16" s="1"/>
  <c r="T126" i="16" a="1"/>
  <c r="T126" i="16" s="1"/>
  <c r="R127" i="16" a="1"/>
  <c r="R127" i="16" s="1"/>
  <c r="S127" i="16" a="1"/>
  <c r="S127" i="16" s="1"/>
  <c r="T127" i="16" a="1"/>
  <c r="T127" i="16" s="1"/>
  <c r="R128" i="16" a="1"/>
  <c r="R128" i="16" s="1"/>
  <c r="S128" i="16" a="1"/>
  <c r="S128" i="16" s="1"/>
  <c r="T128" i="16" a="1"/>
  <c r="T128" i="16" s="1"/>
  <c r="R129" i="16" a="1"/>
  <c r="R129" i="16" s="1"/>
  <c r="S129" i="16" a="1"/>
  <c r="S129" i="16" s="1"/>
  <c r="T129" i="16" a="1"/>
  <c r="T129" i="16" s="1"/>
  <c r="R130" i="16" a="1"/>
  <c r="R130" i="16" s="1"/>
  <c r="S130" i="16" a="1"/>
  <c r="S130" i="16"/>
  <c r="T130" i="16" a="1"/>
  <c r="T130" i="16" s="1"/>
  <c r="R131" i="16" a="1"/>
  <c r="R131" i="16" s="1"/>
  <c r="S131" i="16" a="1"/>
  <c r="S131" i="16" s="1"/>
  <c r="T131" i="16" a="1"/>
  <c r="T131" i="16" s="1"/>
  <c r="R132" i="16" a="1"/>
  <c r="R132" i="16" s="1"/>
  <c r="S132" i="16" a="1"/>
  <c r="S132" i="16" s="1"/>
  <c r="T132" i="16" a="1"/>
  <c r="T132" i="16" s="1"/>
  <c r="R133" i="16" a="1"/>
  <c r="R133" i="16" s="1"/>
  <c r="S133" i="16" a="1"/>
  <c r="S133" i="16" s="1"/>
  <c r="T133" i="16" a="1"/>
  <c r="T133" i="16" s="1"/>
  <c r="R134" i="16" a="1"/>
  <c r="R134" i="16" s="1"/>
  <c r="S134" i="16" a="1"/>
  <c r="S134" i="16" s="1"/>
  <c r="T134" i="16" a="1"/>
  <c r="T134" i="16" s="1"/>
  <c r="R135" i="16" a="1"/>
  <c r="R135" i="16" s="1"/>
  <c r="S135" i="16" a="1"/>
  <c r="S135" i="16" s="1"/>
  <c r="T135" i="16" a="1"/>
  <c r="T135" i="16" s="1"/>
  <c r="R136" i="16" a="1"/>
  <c r="R136" i="16" s="1"/>
  <c r="S136" i="16" a="1"/>
  <c r="S136" i="16" s="1"/>
  <c r="T136" i="16" a="1"/>
  <c r="T136" i="16" s="1"/>
  <c r="R137" i="16" a="1"/>
  <c r="R137" i="16" s="1"/>
  <c r="S137" i="16" a="1"/>
  <c r="S137" i="16" s="1"/>
  <c r="T137" i="16" a="1"/>
  <c r="T137" i="16" s="1"/>
  <c r="R138" i="16" a="1"/>
  <c r="R138" i="16" s="1"/>
  <c r="S138" i="16" a="1"/>
  <c r="S138" i="16" s="1"/>
  <c r="T138" i="16" a="1"/>
  <c r="T138" i="16" s="1"/>
  <c r="R139" i="16" a="1"/>
  <c r="R139" i="16" s="1"/>
  <c r="S139" i="16" a="1"/>
  <c r="S139" i="16" s="1"/>
  <c r="T139" i="16" a="1"/>
  <c r="T139" i="16"/>
  <c r="R140" i="16" a="1"/>
  <c r="R140" i="16" s="1"/>
  <c r="S140" i="16" a="1"/>
  <c r="S140" i="16" s="1"/>
  <c r="T140" i="16" a="1"/>
  <c r="T140" i="16" s="1"/>
  <c r="R141" i="16" a="1"/>
  <c r="R141" i="16" s="1"/>
  <c r="S141" i="16" a="1"/>
  <c r="S141" i="16" s="1"/>
  <c r="T141" i="16" a="1"/>
  <c r="T141" i="16" s="1"/>
  <c r="R142" i="16" a="1"/>
  <c r="R142" i="16" s="1"/>
  <c r="S142" i="16" a="1"/>
  <c r="S142" i="16" s="1"/>
  <c r="T142" i="16" a="1"/>
  <c r="T142" i="16" s="1"/>
  <c r="R143" i="16" a="1"/>
  <c r="R143" i="16" s="1"/>
  <c r="S143" i="16" a="1"/>
  <c r="S143" i="16" s="1"/>
  <c r="T143" i="16" a="1"/>
  <c r="T143" i="16" s="1"/>
  <c r="R144" i="16" a="1"/>
  <c r="R144" i="16" s="1"/>
  <c r="S144" i="16" a="1"/>
  <c r="S144" i="16" s="1"/>
  <c r="T144" i="16" a="1"/>
  <c r="T144" i="16" s="1"/>
  <c r="R145" i="16" a="1"/>
  <c r="R145" i="16" s="1"/>
  <c r="S145" i="16" a="1"/>
  <c r="S145" i="16" s="1"/>
  <c r="T145" i="16" a="1"/>
  <c r="T145" i="16" s="1"/>
  <c r="R146" i="16" a="1"/>
  <c r="R146" i="16" s="1"/>
  <c r="S146" i="16" a="1"/>
  <c r="S146" i="16" s="1"/>
  <c r="T146" i="16" a="1"/>
  <c r="T146" i="16"/>
  <c r="R147" i="16" a="1"/>
  <c r="R147" i="16" s="1"/>
  <c r="S147" i="16" a="1"/>
  <c r="S147" i="16" s="1"/>
  <c r="T147" i="16" a="1"/>
  <c r="T147" i="16" s="1"/>
  <c r="R148" i="16" a="1"/>
  <c r="R148" i="16" s="1"/>
  <c r="S148" i="16" a="1"/>
  <c r="S148" i="16" s="1"/>
  <c r="T148" i="16" a="1"/>
  <c r="T148" i="16" s="1"/>
  <c r="R149" i="16" a="1"/>
  <c r="R149" i="16" s="1"/>
  <c r="S149" i="16" a="1"/>
  <c r="S149" i="16" s="1"/>
  <c r="T149" i="16" a="1"/>
  <c r="T149" i="16" s="1"/>
  <c r="R150" i="16" a="1"/>
  <c r="R150" i="16" s="1"/>
  <c r="S150" i="16" a="1"/>
  <c r="S150" i="16" s="1"/>
  <c r="T150" i="16" a="1"/>
  <c r="T150" i="16" s="1"/>
  <c r="R151" i="16" a="1"/>
  <c r="R151" i="16" s="1"/>
  <c r="S151" i="16" a="1"/>
  <c r="S151" i="16" s="1"/>
  <c r="T151" i="16" a="1"/>
  <c r="T151" i="16" s="1"/>
  <c r="R152" i="16" a="1"/>
  <c r="R152" i="16" s="1"/>
  <c r="S152" i="16" a="1"/>
  <c r="S152" i="16" s="1"/>
  <c r="T152" i="16" a="1"/>
  <c r="T152" i="16" s="1"/>
  <c r="R153" i="16" a="1"/>
  <c r="R153" i="16" s="1"/>
  <c r="S153" i="16" a="1"/>
  <c r="S153" i="16" s="1"/>
  <c r="T153" i="16" a="1"/>
  <c r="T153" i="16" s="1"/>
  <c r="R154" i="16" a="1"/>
  <c r="R154" i="16" s="1"/>
  <c r="S154" i="16" a="1"/>
  <c r="S154" i="16" s="1"/>
  <c r="T154" i="16" a="1"/>
  <c r="T154" i="16" s="1"/>
  <c r="R155" i="16" a="1"/>
  <c r="R155" i="16" s="1"/>
  <c r="S155" i="16" a="1"/>
  <c r="S155" i="16" s="1"/>
  <c r="T155" i="16" a="1"/>
  <c r="T155" i="16" s="1"/>
  <c r="R156" i="16" a="1"/>
  <c r="R156" i="16" s="1"/>
  <c r="S156" i="16" a="1"/>
  <c r="S156" i="16" s="1"/>
  <c r="T156" i="16" a="1"/>
  <c r="T156" i="16" s="1"/>
  <c r="R157" i="16" a="1"/>
  <c r="R157" i="16" s="1"/>
  <c r="S157" i="16" a="1"/>
  <c r="S157" i="16" s="1"/>
  <c r="T157" i="16" a="1"/>
  <c r="T157" i="16" s="1"/>
  <c r="R158" i="16" a="1"/>
  <c r="R158" i="16" s="1"/>
  <c r="S158" i="16" a="1"/>
  <c r="S158" i="16" s="1"/>
  <c r="T158" i="16" a="1"/>
  <c r="T158" i="16" s="1"/>
  <c r="R159" i="16" a="1"/>
  <c r="R159" i="16" s="1"/>
  <c r="S159" i="16" a="1"/>
  <c r="S159" i="16" s="1"/>
  <c r="T159" i="16" a="1"/>
  <c r="T159" i="16" s="1"/>
  <c r="R160" i="16" a="1"/>
  <c r="R160" i="16" s="1"/>
  <c r="S160" i="16" a="1"/>
  <c r="S160" i="16" s="1"/>
  <c r="T160" i="16" a="1"/>
  <c r="T160" i="16" s="1"/>
  <c r="R161" i="16" a="1"/>
  <c r="R161" i="16" s="1"/>
  <c r="S161" i="16" a="1"/>
  <c r="S161" i="16" s="1"/>
  <c r="T161" i="16" a="1"/>
  <c r="T161" i="16" s="1"/>
  <c r="R162" i="16" a="1"/>
  <c r="R162" i="16" s="1"/>
  <c r="S162" i="16" a="1"/>
  <c r="S162" i="16" s="1"/>
  <c r="T162" i="16" a="1"/>
  <c r="T162" i="16" s="1"/>
  <c r="R163" i="16" a="1"/>
  <c r="R163" i="16" s="1"/>
  <c r="S163" i="16" a="1"/>
  <c r="S163" i="16" s="1"/>
  <c r="T163" i="16" a="1"/>
  <c r="T163" i="16" s="1"/>
  <c r="R164" i="16" a="1"/>
  <c r="R164" i="16" s="1"/>
  <c r="S164" i="16" a="1"/>
  <c r="S164" i="16" s="1"/>
  <c r="T164" i="16" a="1"/>
  <c r="T164" i="16" s="1"/>
  <c r="R165" i="16" a="1"/>
  <c r="R165" i="16" s="1"/>
  <c r="S165" i="16" a="1"/>
  <c r="S165" i="16" s="1"/>
  <c r="T165" i="16" a="1"/>
  <c r="T165" i="16" s="1"/>
  <c r="R166" i="16" a="1"/>
  <c r="R166" i="16" s="1"/>
  <c r="S166" i="16" a="1"/>
  <c r="S166" i="16"/>
  <c r="T166" i="16" a="1"/>
  <c r="T166" i="16" s="1"/>
  <c r="R167" i="16" a="1"/>
  <c r="R167" i="16" s="1"/>
  <c r="S167" i="16" a="1"/>
  <c r="S167" i="16" s="1"/>
  <c r="T167" i="16" a="1"/>
  <c r="T167" i="16"/>
  <c r="R168" i="16" a="1"/>
  <c r="R168" i="16" s="1"/>
  <c r="S168" i="16" a="1"/>
  <c r="S168" i="16" s="1"/>
  <c r="T168" i="16" a="1"/>
  <c r="T168" i="16" s="1"/>
  <c r="R169" i="16" a="1"/>
  <c r="R169" i="16"/>
  <c r="S169" i="16" a="1"/>
  <c r="S169" i="16" s="1"/>
  <c r="T169" i="16" a="1"/>
  <c r="T169" i="16" s="1"/>
  <c r="R170" i="16" a="1"/>
  <c r="R170" i="16" s="1"/>
  <c r="S170" i="16" a="1"/>
  <c r="S170" i="16" s="1"/>
  <c r="T170" i="16" a="1"/>
  <c r="T170" i="16" s="1"/>
  <c r="R171" i="16" a="1"/>
  <c r="R171" i="16" s="1"/>
  <c r="S171" i="16" a="1"/>
  <c r="S171" i="16" s="1"/>
  <c r="T171" i="16" a="1"/>
  <c r="T171" i="16" s="1"/>
  <c r="R172" i="16" a="1"/>
  <c r="R172" i="16" s="1"/>
  <c r="S172" i="16" a="1"/>
  <c r="S172" i="16" s="1"/>
  <c r="T172" i="16" a="1"/>
  <c r="T172" i="16" s="1"/>
  <c r="R173" i="16" a="1"/>
  <c r="R173" i="16" s="1"/>
  <c r="S173" i="16" a="1"/>
  <c r="S173" i="16" s="1"/>
  <c r="T173" i="16" a="1"/>
  <c r="T173" i="16" s="1"/>
  <c r="R174" i="16" a="1"/>
  <c r="R174" i="16" s="1"/>
  <c r="S174" i="16" a="1"/>
  <c r="S174" i="16" s="1"/>
  <c r="T174" i="16" a="1"/>
  <c r="T174" i="16" s="1"/>
  <c r="R175" i="16" a="1"/>
  <c r="R175" i="16" s="1"/>
  <c r="S175" i="16" a="1"/>
  <c r="S175" i="16" s="1"/>
  <c r="T175" i="16" a="1"/>
  <c r="T175" i="16" s="1"/>
  <c r="R176" i="16" a="1"/>
  <c r="R176" i="16" s="1"/>
  <c r="S176" i="16" a="1"/>
  <c r="S176" i="16" s="1"/>
  <c r="T176" i="16" a="1"/>
  <c r="T176" i="16" s="1"/>
  <c r="R177" i="16" a="1"/>
  <c r="R177" i="16"/>
  <c r="S177" i="16" a="1"/>
  <c r="S177" i="16" s="1"/>
  <c r="T177" i="16" a="1"/>
  <c r="T177" i="16" s="1"/>
  <c r="R178" i="16" a="1"/>
  <c r="R178" i="16" s="1"/>
  <c r="S178" i="16" a="1"/>
  <c r="S178" i="16" s="1"/>
  <c r="T178" i="16" a="1"/>
  <c r="T178" i="16" s="1"/>
  <c r="R179" i="16" a="1"/>
  <c r="R179" i="16" s="1"/>
  <c r="S179" i="16" a="1"/>
  <c r="S179" i="16" s="1"/>
  <c r="T179" i="16" a="1"/>
  <c r="T179" i="16" s="1"/>
  <c r="R180" i="16" a="1"/>
  <c r="R180" i="16" s="1"/>
  <c r="S180" i="16" a="1"/>
  <c r="S180" i="16" s="1"/>
  <c r="T180" i="16" a="1"/>
  <c r="T180" i="16" s="1"/>
  <c r="R181" i="16" a="1"/>
  <c r="R181" i="16" s="1"/>
  <c r="S181" i="16" a="1"/>
  <c r="S181" i="16" s="1"/>
  <c r="T181" i="16" a="1"/>
  <c r="T181" i="16" s="1"/>
  <c r="R182" i="16" a="1"/>
  <c r="R182" i="16" s="1"/>
  <c r="S182" i="16" a="1"/>
  <c r="S182" i="16" s="1"/>
  <c r="T182" i="16" a="1"/>
  <c r="T182" i="16" s="1"/>
  <c r="R183" i="16" a="1"/>
  <c r="R183" i="16" s="1"/>
  <c r="S183" i="16" a="1"/>
  <c r="S183" i="16" s="1"/>
  <c r="T183" i="16" a="1"/>
  <c r="T183" i="16" s="1"/>
  <c r="R184" i="16" a="1"/>
  <c r="R184" i="16" s="1"/>
  <c r="S184" i="16" a="1"/>
  <c r="S184" i="16" s="1"/>
  <c r="T184" i="16" a="1"/>
  <c r="T184" i="16" s="1"/>
  <c r="R185" i="16" a="1"/>
  <c r="R185" i="16" s="1"/>
  <c r="S185" i="16" a="1"/>
  <c r="S185" i="16" s="1"/>
  <c r="T185" i="16" a="1"/>
  <c r="T185" i="16"/>
  <c r="R186" i="16" a="1"/>
  <c r="R186" i="16" s="1"/>
  <c r="S186" i="16" a="1"/>
  <c r="S186" i="16" s="1"/>
  <c r="T186" i="16" a="1"/>
  <c r="T186" i="16" s="1"/>
  <c r="R187" i="16" a="1"/>
  <c r="R187" i="16" s="1"/>
  <c r="S187" i="16" a="1"/>
  <c r="S187" i="16" s="1"/>
  <c r="T187" i="16" a="1"/>
  <c r="T187" i="16"/>
  <c r="R188" i="16" a="1"/>
  <c r="R188" i="16" s="1"/>
  <c r="S188" i="16" a="1"/>
  <c r="S188" i="16" s="1"/>
  <c r="T188" i="16" a="1"/>
  <c r="T188" i="16" s="1"/>
  <c r="R189" i="16" a="1"/>
  <c r="R189" i="16" s="1"/>
  <c r="S189" i="16" a="1"/>
  <c r="S189" i="16" s="1"/>
  <c r="T189" i="16" a="1"/>
  <c r="T189" i="16" s="1"/>
  <c r="R190" i="16" a="1"/>
  <c r="R190" i="16" s="1"/>
  <c r="S190" i="16" a="1"/>
  <c r="S190" i="16"/>
  <c r="T190" i="16" a="1"/>
  <c r="T190" i="16" s="1"/>
  <c r="R191" i="16" a="1"/>
  <c r="R191" i="16" s="1"/>
  <c r="S191" i="16" a="1"/>
  <c r="S191" i="16" s="1"/>
  <c r="T191" i="16" a="1"/>
  <c r="T191" i="16" s="1"/>
  <c r="R192" i="16" a="1"/>
  <c r="R192" i="16" s="1"/>
  <c r="S192" i="16" a="1"/>
  <c r="S192" i="16" s="1"/>
  <c r="T192" i="16" a="1"/>
  <c r="T192" i="16" s="1"/>
  <c r="R193" i="16" a="1"/>
  <c r="R193" i="16"/>
  <c r="S193" i="16" a="1"/>
  <c r="S193" i="16" s="1"/>
  <c r="T193" i="16" a="1"/>
  <c r="T193" i="16" s="1"/>
  <c r="R194" i="16" a="1"/>
  <c r="R194" i="16" s="1"/>
  <c r="S194" i="16" a="1"/>
  <c r="S194" i="16" s="1"/>
  <c r="T194" i="16" a="1"/>
  <c r="T194" i="16" s="1"/>
  <c r="R195" i="16" a="1"/>
  <c r="R195" i="16" s="1"/>
  <c r="S195" i="16" a="1"/>
  <c r="S195" i="16" s="1"/>
  <c r="T195" i="16" a="1"/>
  <c r="T195" i="16"/>
  <c r="R196" i="16" a="1"/>
  <c r="R196" i="16" s="1"/>
  <c r="S196" i="16" a="1"/>
  <c r="S196" i="16" s="1"/>
  <c r="T196" i="16" a="1"/>
  <c r="T196" i="16" s="1"/>
  <c r="R197" i="16" a="1"/>
  <c r="R197" i="16" s="1"/>
  <c r="S197" i="16" a="1"/>
  <c r="S197" i="16" s="1"/>
  <c r="T197" i="16" a="1"/>
  <c r="T197" i="16" s="1"/>
  <c r="R198" i="16" a="1"/>
  <c r="R198" i="16" s="1"/>
  <c r="S198" i="16" a="1"/>
  <c r="S198" i="16" s="1"/>
  <c r="T198" i="16" a="1"/>
  <c r="T198" i="16"/>
  <c r="R199" i="16" a="1"/>
  <c r="R199" i="16" s="1"/>
  <c r="S199" i="16" a="1"/>
  <c r="S199" i="16"/>
  <c r="T199" i="16" a="1"/>
  <c r="T199" i="16" s="1"/>
  <c r="R200" i="16" a="1"/>
  <c r="R200" i="16" s="1"/>
  <c r="S200" i="16" a="1"/>
  <c r="S200" i="16" s="1"/>
  <c r="T200" i="16" a="1"/>
  <c r="T200" i="16"/>
  <c r="R201" i="16" a="1"/>
  <c r="R201" i="16"/>
  <c r="S201" i="16" a="1"/>
  <c r="S201" i="16" s="1"/>
  <c r="T201" i="16" a="1"/>
  <c r="T201" i="16" s="1"/>
  <c r="R202" i="16" a="1"/>
  <c r="R202" i="16" s="1"/>
  <c r="S202" i="16" a="1"/>
  <c r="S202" i="16" s="1"/>
  <c r="T202" i="16" a="1"/>
  <c r="T202" i="16" s="1"/>
  <c r="R203" i="16" a="1"/>
  <c r="R203" i="16" s="1"/>
  <c r="S203" i="16" a="1"/>
  <c r="S203" i="16" s="1"/>
  <c r="T203" i="16" a="1"/>
  <c r="T203" i="16" s="1"/>
  <c r="R204" i="16" a="1"/>
  <c r="R204" i="16" s="1"/>
  <c r="S204" i="16" a="1"/>
  <c r="S204" i="16"/>
  <c r="T204" i="16" a="1"/>
  <c r="T204" i="16" s="1"/>
  <c r="R205" i="16" a="1"/>
  <c r="R205" i="16" s="1"/>
  <c r="S205" i="16" a="1"/>
  <c r="S205" i="16" s="1"/>
  <c r="T205" i="16" a="1"/>
  <c r="T205" i="16" s="1"/>
  <c r="R206" i="16" a="1"/>
  <c r="R206" i="16"/>
  <c r="S206" i="16" a="1"/>
  <c r="S206" i="16" s="1"/>
  <c r="T206" i="16" a="1"/>
  <c r="T206" i="16" s="1"/>
  <c r="R207" i="16" a="1"/>
  <c r="R207" i="16" s="1"/>
  <c r="S207" i="16" a="1"/>
  <c r="S207" i="16" s="1"/>
  <c r="T207" i="16" a="1"/>
  <c r="T207" i="16" s="1"/>
  <c r="R208" i="16" a="1"/>
  <c r="R208" i="16"/>
  <c r="S208" i="16" a="1"/>
  <c r="S208" i="16" s="1"/>
  <c r="T208" i="16" a="1"/>
  <c r="T208" i="16"/>
  <c r="R209" i="16" a="1"/>
  <c r="R209" i="16" s="1"/>
  <c r="S209" i="16" a="1"/>
  <c r="S209" i="16" s="1"/>
  <c r="T209" i="16" a="1"/>
  <c r="T209" i="16"/>
  <c r="R210" i="16" a="1"/>
  <c r="R210" i="16" s="1"/>
  <c r="S210" i="16" a="1"/>
  <c r="S210" i="16"/>
  <c r="T210" i="16" a="1"/>
  <c r="T210" i="16" s="1"/>
  <c r="R211" i="16" a="1"/>
  <c r="R211" i="16" s="1"/>
  <c r="S211" i="16" a="1"/>
  <c r="S211" i="16" s="1"/>
  <c r="T211" i="16" a="1"/>
  <c r="T211" i="16" s="1"/>
  <c r="R212" i="16" a="1"/>
  <c r="R212" i="16" s="1"/>
  <c r="S212" i="16" a="1"/>
  <c r="S212" i="16" s="1"/>
  <c r="T212" i="16" a="1"/>
  <c r="T212" i="16" s="1"/>
  <c r="R213" i="16" a="1"/>
  <c r="R213" i="16" s="1"/>
  <c r="S213" i="16" a="1"/>
  <c r="S213" i="16" s="1"/>
  <c r="T213" i="16" a="1"/>
  <c r="T213" i="16" s="1"/>
  <c r="R214" i="16" a="1"/>
  <c r="R214" i="16" s="1"/>
  <c r="S214" i="16" a="1"/>
  <c r="S214" i="16"/>
  <c r="T214" i="16" a="1"/>
  <c r="T214" i="16" s="1"/>
  <c r="R215" i="16" a="1"/>
  <c r="R215" i="16" s="1"/>
  <c r="S215" i="16" a="1"/>
  <c r="S215" i="16"/>
  <c r="T215" i="16" a="1"/>
  <c r="T215" i="16" s="1"/>
  <c r="R216" i="16" a="1"/>
  <c r="R216" i="16"/>
  <c r="S216" i="16" a="1"/>
  <c r="S216" i="16" s="1"/>
  <c r="T216" i="16" a="1"/>
  <c r="T216" i="16" s="1"/>
  <c r="R217" i="16" a="1"/>
  <c r="R217" i="16" s="1"/>
  <c r="S217" i="16" a="1"/>
  <c r="S217" i="16" s="1"/>
  <c r="T217" i="16" a="1"/>
  <c r="T217" i="16" s="1"/>
  <c r="R218" i="16" a="1"/>
  <c r="R218" i="16" s="1"/>
  <c r="S218" i="16" a="1"/>
  <c r="S218" i="16" s="1"/>
  <c r="T218" i="16" a="1"/>
  <c r="T218" i="16" s="1"/>
  <c r="R219" i="16" a="1"/>
  <c r="R219" i="16" s="1"/>
  <c r="S219" i="16" a="1"/>
  <c r="S219" i="16" s="1"/>
  <c r="T219" i="16" a="1"/>
  <c r="T219" i="16" s="1"/>
  <c r="R220" i="16" a="1"/>
  <c r="R220" i="16" s="1"/>
  <c r="S220" i="16" a="1"/>
  <c r="S220" i="16"/>
  <c r="T220" i="16" a="1"/>
  <c r="T220" i="16" s="1"/>
  <c r="R221" i="16" a="1"/>
  <c r="R221" i="16" s="1"/>
  <c r="S221" i="16" a="1"/>
  <c r="S221" i="16"/>
  <c r="T221" i="16" a="1"/>
  <c r="T221" i="16" s="1"/>
  <c r="R222" i="16" a="1"/>
  <c r="R222" i="16" s="1"/>
  <c r="S222" i="16" a="1"/>
  <c r="S222" i="16" s="1"/>
  <c r="T222" i="16" a="1"/>
  <c r="T222" i="16" s="1"/>
  <c r="R223" i="16" a="1"/>
  <c r="R223" i="16" s="1"/>
  <c r="S223" i="16" a="1"/>
  <c r="S223" i="16" s="1"/>
  <c r="T223" i="16" a="1"/>
  <c r="T223" i="16" s="1"/>
  <c r="R224" i="16" a="1"/>
  <c r="R224" i="16"/>
  <c r="S224" i="16" a="1"/>
  <c r="S224" i="16" s="1"/>
  <c r="T224" i="16" a="1"/>
  <c r="T224" i="16"/>
  <c r="R225" i="16" a="1"/>
  <c r="R225" i="16" s="1"/>
  <c r="S225" i="16" a="1"/>
  <c r="S225" i="16" s="1"/>
  <c r="T225" i="16" a="1"/>
  <c r="T225" i="16" s="1"/>
  <c r="R226" i="16" a="1"/>
  <c r="R226" i="16" s="1"/>
  <c r="S226" i="16" a="1"/>
  <c r="S226" i="16" s="1"/>
  <c r="T226" i="16" a="1"/>
  <c r="T226" i="16" s="1"/>
  <c r="R227" i="16" a="1"/>
  <c r="R227" i="16" s="1"/>
  <c r="S227" i="16" a="1"/>
  <c r="S227" i="16" s="1"/>
  <c r="T227" i="16" a="1"/>
  <c r="T227" i="16"/>
  <c r="R228" i="16" a="1"/>
  <c r="R228" i="16" s="1"/>
  <c r="S228" i="16" a="1"/>
  <c r="S228" i="16" s="1"/>
  <c r="T228" i="16" a="1"/>
  <c r="T228" i="16" s="1"/>
  <c r="R229" i="16" a="1"/>
  <c r="R229" i="16" s="1"/>
  <c r="S229" i="16" a="1"/>
  <c r="S229" i="16" s="1"/>
  <c r="T229" i="16" a="1"/>
  <c r="T229" i="16" s="1"/>
  <c r="R230" i="16" a="1"/>
  <c r="R230" i="16" s="1"/>
  <c r="S230" i="16" a="1"/>
  <c r="S230" i="16" s="1"/>
  <c r="T230" i="16" a="1"/>
  <c r="T230" i="16" s="1"/>
  <c r="R231" i="16" a="1"/>
  <c r="R231" i="16" s="1"/>
  <c r="S231" i="16" a="1"/>
  <c r="S231" i="16" s="1"/>
  <c r="T231" i="16" a="1"/>
  <c r="T231" i="16" s="1"/>
  <c r="R232" i="16" a="1"/>
  <c r="R232" i="16" s="1"/>
  <c r="S232" i="16" a="1"/>
  <c r="S232" i="16" s="1"/>
  <c r="T232" i="16" a="1"/>
  <c r="T232" i="16" s="1"/>
  <c r="R233" i="16" a="1"/>
  <c r="R233" i="16" s="1"/>
  <c r="S233" i="16" a="1"/>
  <c r="S233" i="16" s="1"/>
  <c r="T233" i="16" a="1"/>
  <c r="T233" i="16" s="1"/>
  <c r="R234" i="16" a="1"/>
  <c r="R234" i="16" s="1"/>
  <c r="S234" i="16" a="1"/>
  <c r="S234" i="16"/>
  <c r="T234" i="16" a="1"/>
  <c r="T234" i="16" s="1"/>
  <c r="R235" i="16" a="1"/>
  <c r="R235" i="16" s="1"/>
  <c r="S235" i="16" a="1"/>
  <c r="S235" i="16"/>
  <c r="T235" i="16" a="1"/>
  <c r="T235" i="16" s="1"/>
  <c r="R236" i="16" a="1"/>
  <c r="R236" i="16" s="1"/>
  <c r="S236" i="16" a="1"/>
  <c r="S236" i="16" s="1"/>
  <c r="T236" i="16" a="1"/>
  <c r="T236" i="16" s="1"/>
  <c r="R237" i="16" a="1"/>
  <c r="R237" i="16"/>
  <c r="S237" i="16" a="1"/>
  <c r="S237" i="16" s="1"/>
  <c r="T237" i="16" a="1"/>
  <c r="T237" i="16" s="1"/>
  <c r="R238" i="16" a="1"/>
  <c r="R238" i="16" s="1"/>
  <c r="S238" i="16" a="1"/>
  <c r="S238" i="16" s="1"/>
  <c r="T238" i="16" a="1"/>
  <c r="T238" i="16" s="1"/>
  <c r="R239" i="16" a="1"/>
  <c r="R239" i="16" s="1"/>
  <c r="S239" i="16" a="1"/>
  <c r="S239" i="16" s="1"/>
  <c r="T239" i="16" a="1"/>
  <c r="T239" i="16" s="1"/>
  <c r="R240" i="16" a="1"/>
  <c r="R240" i="16" s="1"/>
  <c r="S240" i="16" a="1"/>
  <c r="S240" i="16" s="1"/>
  <c r="T240" i="16" a="1"/>
  <c r="T240" i="16"/>
  <c r="R241" i="16" a="1"/>
  <c r="R241" i="16" s="1"/>
  <c r="S241" i="16" a="1"/>
  <c r="S241" i="16" s="1"/>
  <c r="T241" i="16" a="1"/>
  <c r="T241" i="16" s="1"/>
  <c r="R242" i="16" a="1"/>
  <c r="R242" i="16" s="1"/>
  <c r="S242" i="16" a="1"/>
  <c r="S242" i="16" s="1"/>
  <c r="T242" i="16" a="1"/>
  <c r="T242" i="16" s="1"/>
  <c r="R243" i="16" a="1"/>
  <c r="R243" i="16" s="1"/>
  <c r="S243" i="16" a="1"/>
  <c r="S243" i="16" s="1"/>
  <c r="T243" i="16" a="1"/>
  <c r="T243" i="16" s="1"/>
  <c r="R244" i="16" a="1"/>
  <c r="R244" i="16" s="1"/>
  <c r="S244" i="16" a="1"/>
  <c r="S244" i="16" s="1"/>
  <c r="T244" i="16" a="1"/>
  <c r="T244" i="16" s="1"/>
  <c r="R245" i="16" a="1"/>
  <c r="R245" i="16" s="1"/>
  <c r="S245" i="16" a="1"/>
  <c r="S245" i="16" s="1"/>
  <c r="T245" i="16" a="1"/>
  <c r="T245" i="16" s="1"/>
  <c r="R246" i="16" a="1"/>
  <c r="R246" i="16" s="1"/>
  <c r="S246" i="16" a="1"/>
  <c r="S246" i="16" s="1"/>
  <c r="T246" i="16" a="1"/>
  <c r="T246" i="16" s="1"/>
  <c r="R247" i="16" a="1"/>
  <c r="R247" i="16" s="1"/>
  <c r="S247" i="16" a="1"/>
  <c r="S247" i="16" s="1"/>
  <c r="T247" i="16" a="1"/>
  <c r="T247" i="16" s="1"/>
  <c r="R248" i="16" a="1"/>
  <c r="R248" i="16" s="1"/>
  <c r="S248" i="16" a="1"/>
  <c r="S248" i="16" s="1"/>
  <c r="T248" i="16" a="1"/>
  <c r="T248" i="16" s="1"/>
  <c r="R249" i="16" a="1"/>
  <c r="R249" i="16" s="1"/>
  <c r="S249" i="16" a="1"/>
  <c r="S249" i="16" s="1"/>
  <c r="T249" i="16" a="1"/>
  <c r="T249" i="16" s="1"/>
  <c r="R250" i="16" a="1"/>
  <c r="R250" i="16" s="1"/>
  <c r="S250" i="16" a="1"/>
  <c r="S250" i="16" s="1"/>
  <c r="T250" i="16" a="1"/>
  <c r="T250" i="16"/>
  <c r="R251" i="16" a="1"/>
  <c r="R251" i="16" s="1"/>
  <c r="S251" i="16" a="1"/>
  <c r="S251" i="16" s="1"/>
  <c r="T251" i="16" a="1"/>
  <c r="T251" i="16" s="1"/>
  <c r="R252" i="16" a="1"/>
  <c r="R252" i="16" s="1"/>
  <c r="S252" i="16" a="1"/>
  <c r="S252" i="16" s="1"/>
  <c r="T252" i="16" a="1"/>
  <c r="T252" i="16" s="1"/>
  <c r="R253" i="16" a="1"/>
  <c r="R253" i="16" s="1"/>
  <c r="S253" i="16" a="1"/>
  <c r="S253" i="16" s="1"/>
  <c r="T253" i="16" a="1"/>
  <c r="T253" i="16" s="1"/>
  <c r="R254" i="16" a="1"/>
  <c r="R254" i="16" s="1"/>
  <c r="S254" i="16" a="1"/>
  <c r="S254" i="16" s="1"/>
  <c r="T254" i="16" a="1"/>
  <c r="T254" i="16" s="1"/>
  <c r="R255" i="16" a="1"/>
  <c r="R255" i="16" s="1"/>
  <c r="S255" i="16" a="1"/>
  <c r="S255" i="16" s="1"/>
  <c r="T255" i="16" a="1"/>
  <c r="T255" i="16" s="1"/>
  <c r="R256" i="16" a="1"/>
  <c r="R256" i="16" s="1"/>
  <c r="S256" i="16" a="1"/>
  <c r="S256" i="16" s="1"/>
  <c r="T256" i="16" a="1"/>
  <c r="T256" i="16" s="1"/>
  <c r="R257" i="16" a="1"/>
  <c r="R257" i="16" s="1"/>
  <c r="S257" i="16" a="1"/>
  <c r="S257" i="16" s="1"/>
  <c r="T257" i="16" a="1"/>
  <c r="T257" i="16" s="1"/>
  <c r="R258" i="16" a="1"/>
  <c r="R258" i="16" s="1"/>
  <c r="S258" i="16" a="1"/>
  <c r="S258" i="16" s="1"/>
  <c r="T258" i="16" a="1"/>
  <c r="T258" i="16" s="1"/>
  <c r="R259" i="16" a="1"/>
  <c r="R259" i="16"/>
  <c r="S259" i="16" a="1"/>
  <c r="S259" i="16" s="1"/>
  <c r="T259" i="16" a="1"/>
  <c r="T259" i="16" s="1"/>
  <c r="R260" i="16" a="1"/>
  <c r="R260" i="16" s="1"/>
  <c r="S260" i="16" a="1"/>
  <c r="S260" i="16" s="1"/>
  <c r="T260" i="16" a="1"/>
  <c r="T260" i="16" s="1"/>
  <c r="R261" i="16" a="1"/>
  <c r="R261" i="16" s="1"/>
  <c r="S261" i="16" a="1"/>
  <c r="S261" i="16" s="1"/>
  <c r="T261" i="16" a="1"/>
  <c r="T261" i="16" s="1"/>
  <c r="R262" i="16" a="1"/>
  <c r="R262" i="16" s="1"/>
  <c r="S262" i="16" a="1"/>
  <c r="S262" i="16" s="1"/>
  <c r="T262" i="16" a="1"/>
  <c r="T262" i="16" s="1"/>
  <c r="R263" i="16" a="1"/>
  <c r="R263" i="16" s="1"/>
  <c r="S263" i="16" a="1"/>
  <c r="S263" i="16" s="1"/>
  <c r="T263" i="16" a="1"/>
  <c r="T263" i="16" s="1"/>
  <c r="R264" i="16" a="1"/>
  <c r="R264" i="16" s="1"/>
  <c r="S264" i="16" a="1"/>
  <c r="S264" i="16" s="1"/>
  <c r="T264" i="16" a="1"/>
  <c r="T264" i="16" s="1"/>
  <c r="R265" i="16" a="1"/>
  <c r="R265" i="16" s="1"/>
  <c r="S265" i="16" a="1"/>
  <c r="S265" i="16" s="1"/>
  <c r="T265" i="16" a="1"/>
  <c r="T265" i="16" s="1"/>
  <c r="R266" i="16" a="1"/>
  <c r="R266" i="16" s="1"/>
  <c r="S266" i="16" a="1"/>
  <c r="S266" i="16" s="1"/>
  <c r="T266" i="16" a="1"/>
  <c r="T266" i="16" s="1"/>
  <c r="R267" i="16" a="1"/>
  <c r="R267" i="16" s="1"/>
  <c r="S267" i="16" a="1"/>
  <c r="S267" i="16" s="1"/>
  <c r="T267" i="16" a="1"/>
  <c r="T267" i="16"/>
  <c r="R268" i="16" a="1"/>
  <c r="R268" i="16" s="1"/>
  <c r="S268" i="16" a="1"/>
  <c r="S268" i="16" s="1"/>
  <c r="T268" i="16" a="1"/>
  <c r="T268" i="16" s="1"/>
  <c r="R269" i="16" a="1"/>
  <c r="R269" i="16" s="1"/>
  <c r="S269" i="16" a="1"/>
  <c r="S269" i="16" s="1"/>
  <c r="T269" i="16" a="1"/>
  <c r="T269" i="16" s="1"/>
  <c r="R270" i="16" a="1"/>
  <c r="R270" i="16" s="1"/>
  <c r="S270" i="16" a="1"/>
  <c r="S270" i="16" s="1"/>
  <c r="T270" i="16" a="1"/>
  <c r="T270" i="16" s="1"/>
  <c r="R271" i="16" a="1"/>
  <c r="R271" i="16" s="1"/>
  <c r="S271" i="16" a="1"/>
  <c r="S271" i="16" s="1"/>
  <c r="T271" i="16" a="1"/>
  <c r="T271" i="16" s="1"/>
  <c r="R272" i="16" a="1"/>
  <c r="R272" i="16" s="1"/>
  <c r="S272" i="16" a="1"/>
  <c r="S272" i="16" s="1"/>
  <c r="T272" i="16" a="1"/>
  <c r="T272" i="16" s="1"/>
  <c r="R273" i="16" a="1"/>
  <c r="R273" i="16" s="1"/>
  <c r="S273" i="16" a="1"/>
  <c r="S273" i="16" s="1"/>
  <c r="T273" i="16" a="1"/>
  <c r="T273" i="16" s="1"/>
  <c r="R274" i="16" a="1"/>
  <c r="R274" i="16" s="1"/>
  <c r="S274" i="16" a="1"/>
  <c r="S274" i="16" s="1"/>
  <c r="T274" i="16" a="1"/>
  <c r="T274" i="16" s="1"/>
  <c r="R275" i="16" a="1"/>
  <c r="R275" i="16" s="1"/>
  <c r="S275" i="16" a="1"/>
  <c r="S275" i="16" s="1"/>
  <c r="T275" i="16" a="1"/>
  <c r="T275" i="16" s="1"/>
  <c r="R276" i="16" a="1"/>
  <c r="R276" i="16" s="1"/>
  <c r="S276" i="16" a="1"/>
  <c r="S276" i="16" s="1"/>
  <c r="T276" i="16" a="1"/>
  <c r="T276" i="16" s="1"/>
  <c r="R277" i="16" a="1"/>
  <c r="R277" i="16" s="1"/>
  <c r="S277" i="16" a="1"/>
  <c r="S277" i="16" s="1"/>
  <c r="T277" i="16" a="1"/>
  <c r="T277" i="16" s="1"/>
  <c r="R278" i="16" a="1"/>
  <c r="R278" i="16" s="1"/>
  <c r="S278" i="16" a="1"/>
  <c r="S278" i="16" s="1"/>
  <c r="T278" i="16" a="1"/>
  <c r="T278" i="16" s="1"/>
  <c r="R279" i="16" a="1"/>
  <c r="R279" i="16" s="1"/>
  <c r="S279" i="16" a="1"/>
  <c r="S279" i="16" s="1"/>
  <c r="T279" i="16" a="1"/>
  <c r="T279" i="16" s="1"/>
  <c r="R280" i="16" a="1"/>
  <c r="R280" i="16" s="1"/>
  <c r="S280" i="16" a="1"/>
  <c r="S280" i="16" s="1"/>
  <c r="T280" i="16" a="1"/>
  <c r="T280" i="16" s="1"/>
  <c r="R281" i="16" a="1"/>
  <c r="R281" i="16" s="1"/>
  <c r="S281" i="16" a="1"/>
  <c r="S281" i="16" s="1"/>
  <c r="T281" i="16" a="1"/>
  <c r="T281" i="16" s="1"/>
  <c r="R282" i="16" a="1"/>
  <c r="R282" i="16" s="1"/>
  <c r="S282" i="16" a="1"/>
  <c r="S282" i="16" s="1"/>
  <c r="T282" i="16" a="1"/>
  <c r="T282" i="16" s="1"/>
  <c r="R283" i="16" a="1"/>
  <c r="R283" i="16" s="1"/>
  <c r="S283" i="16" a="1"/>
  <c r="S283" i="16" s="1"/>
  <c r="T283" i="16" a="1"/>
  <c r="T283" i="16"/>
  <c r="R284" i="16" a="1"/>
  <c r="R284" i="16" s="1"/>
  <c r="S284" i="16" a="1"/>
  <c r="S284" i="16" s="1"/>
  <c r="T284" i="16" a="1"/>
  <c r="T284" i="16" s="1"/>
  <c r="R285" i="16" a="1"/>
  <c r="R285" i="16" s="1"/>
  <c r="S285" i="16" a="1"/>
  <c r="S285" i="16" s="1"/>
  <c r="T285" i="16" a="1"/>
  <c r="T285" i="16" s="1"/>
  <c r="R286" i="16" a="1"/>
  <c r="R286" i="16" s="1"/>
  <c r="S286" i="16" a="1"/>
  <c r="S286" i="16" s="1"/>
  <c r="T286" i="16" a="1"/>
  <c r="T286" i="16" s="1"/>
  <c r="R287" i="16" a="1"/>
  <c r="R287" i="16" s="1"/>
  <c r="S287" i="16" a="1"/>
  <c r="S287" i="16"/>
  <c r="T287" i="16" a="1"/>
  <c r="T287" i="16" s="1"/>
  <c r="R288" i="16" a="1"/>
  <c r="R288" i="16" s="1"/>
  <c r="S288" i="16" a="1"/>
  <c r="S288" i="16" s="1"/>
  <c r="T288" i="16" a="1"/>
  <c r="T288" i="16" s="1"/>
  <c r="R289" i="16" a="1"/>
  <c r="R289" i="16" s="1"/>
  <c r="S289" i="16" a="1"/>
  <c r="S289" i="16" s="1"/>
  <c r="T289" i="16" a="1"/>
  <c r="T289" i="16" s="1"/>
  <c r="R290" i="16" a="1"/>
  <c r="R290" i="16"/>
  <c r="S290" i="16" a="1"/>
  <c r="S290" i="16" s="1"/>
  <c r="T290" i="16" a="1"/>
  <c r="T290" i="16" s="1"/>
  <c r="R291" i="16" a="1"/>
  <c r="R291" i="16" s="1"/>
  <c r="S291" i="16" a="1"/>
  <c r="S291" i="16" s="1"/>
  <c r="T291" i="16" a="1"/>
  <c r="T291" i="16" s="1"/>
  <c r="R292" i="16" a="1"/>
  <c r="R292" i="16" s="1"/>
  <c r="S292" i="16" a="1"/>
  <c r="S292" i="16" s="1"/>
  <c r="T292" i="16" a="1"/>
  <c r="T292" i="16" s="1"/>
  <c r="R293" i="16" a="1"/>
  <c r="R293" i="16" s="1"/>
  <c r="S293" i="16" a="1"/>
  <c r="S293" i="16" s="1"/>
  <c r="T293" i="16" a="1"/>
  <c r="T293" i="16" s="1"/>
  <c r="R294" i="16" a="1"/>
  <c r="R294" i="16" s="1"/>
  <c r="S294" i="16" a="1"/>
  <c r="S294" i="16" s="1"/>
  <c r="T294" i="16" a="1"/>
  <c r="T294" i="16" s="1"/>
  <c r="R295" i="16" a="1"/>
  <c r="R295" i="16" s="1"/>
  <c r="S295" i="16" a="1"/>
  <c r="S295" i="16" s="1"/>
  <c r="T295" i="16" a="1"/>
  <c r="T295" i="16" s="1"/>
  <c r="R296" i="16" a="1"/>
  <c r="R296" i="16" s="1"/>
  <c r="S296" i="16" a="1"/>
  <c r="S296" i="16" s="1"/>
  <c r="T296" i="16" a="1"/>
  <c r="T296" i="16" s="1"/>
  <c r="R297" i="16" a="1"/>
  <c r="R297" i="16" s="1"/>
  <c r="S297" i="16" a="1"/>
  <c r="S297" i="16"/>
  <c r="T297" i="16" a="1"/>
  <c r="T297" i="16" s="1"/>
  <c r="R298" i="16" a="1"/>
  <c r="R298" i="16" s="1"/>
  <c r="S298" i="16" a="1"/>
  <c r="S298" i="16" s="1"/>
  <c r="T298" i="16" a="1"/>
  <c r="T298" i="16" s="1"/>
  <c r="R299" i="16" a="1"/>
  <c r="R299" i="16" s="1"/>
  <c r="S299" i="16" a="1"/>
  <c r="S299" i="16" s="1"/>
  <c r="T299" i="16" a="1"/>
  <c r="T299" i="16" s="1"/>
  <c r="R300" i="16" a="1"/>
  <c r="R300" i="16" s="1"/>
  <c r="S300" i="16" a="1"/>
  <c r="S300" i="16"/>
  <c r="T300" i="16" a="1"/>
  <c r="T300" i="16" s="1"/>
  <c r="R301" i="16" a="1"/>
  <c r="R301" i="16" s="1"/>
  <c r="S301" i="16" a="1"/>
  <c r="S301" i="16" s="1"/>
  <c r="T301" i="16" a="1"/>
  <c r="T301" i="16" s="1"/>
  <c r="R302" i="16" a="1"/>
  <c r="R302" i="16" s="1"/>
  <c r="S302" i="16" a="1"/>
  <c r="S302" i="16"/>
  <c r="T302" i="16" a="1"/>
  <c r="T302" i="16" s="1"/>
  <c r="R303" i="16" a="1"/>
  <c r="R303" i="16" s="1"/>
  <c r="S303" i="16" a="1"/>
  <c r="S303" i="16" s="1"/>
  <c r="T303" i="16" a="1"/>
  <c r="T303" i="16" s="1"/>
  <c r="R304" i="16" a="1"/>
  <c r="R304" i="16" s="1"/>
  <c r="S304" i="16" a="1"/>
  <c r="S304" i="16" s="1"/>
  <c r="T304" i="16" a="1"/>
  <c r="T304" i="16" s="1"/>
  <c r="R305" i="16" a="1"/>
  <c r="R305" i="16" s="1"/>
  <c r="S305" i="16" a="1"/>
  <c r="S305" i="16"/>
  <c r="T305" i="16" a="1"/>
  <c r="T305" i="16" s="1"/>
  <c r="R306" i="16" a="1"/>
  <c r="R306" i="16" s="1"/>
  <c r="S306" i="16" a="1"/>
  <c r="S306" i="16" s="1"/>
  <c r="T306" i="16" a="1"/>
  <c r="T306" i="16" s="1"/>
  <c r="R307" i="16" a="1"/>
  <c r="R307" i="16"/>
  <c r="S307" i="16" a="1"/>
  <c r="S307" i="16" s="1"/>
  <c r="T307" i="16" a="1"/>
  <c r="T307" i="16" s="1"/>
  <c r="R308" i="16" a="1"/>
  <c r="R308" i="16" s="1"/>
  <c r="S308" i="16" a="1"/>
  <c r="S308" i="16" s="1"/>
  <c r="T308" i="16" a="1"/>
  <c r="T308" i="16" s="1"/>
  <c r="R309" i="16" a="1"/>
  <c r="R309" i="16" s="1"/>
  <c r="S309" i="16" a="1"/>
  <c r="S309" i="16" s="1"/>
  <c r="T309" i="16" a="1"/>
  <c r="T309" i="16" s="1"/>
  <c r="R310" i="16" a="1"/>
  <c r="R310" i="16" s="1"/>
  <c r="S310" i="16" a="1"/>
  <c r="S310" i="16" s="1"/>
  <c r="T310" i="16" a="1"/>
  <c r="T310" i="16" s="1"/>
  <c r="R311" i="16" a="1"/>
  <c r="R311" i="16" s="1"/>
  <c r="S311" i="16" a="1"/>
  <c r="S311" i="16" s="1"/>
  <c r="T311" i="16" a="1"/>
  <c r="T311" i="16" s="1"/>
  <c r="R312" i="16" a="1"/>
  <c r="R312" i="16" s="1"/>
  <c r="S312" i="16" a="1"/>
  <c r="S312" i="16" s="1"/>
  <c r="T312" i="16" a="1"/>
  <c r="T312" i="16" s="1"/>
  <c r="R313" i="16" a="1"/>
  <c r="R313" i="16" s="1"/>
  <c r="S313" i="16" a="1"/>
  <c r="S313" i="16" s="1"/>
  <c r="T313" i="16" a="1"/>
  <c r="T313" i="16" s="1"/>
  <c r="R314" i="16" a="1"/>
  <c r="R314" i="16" s="1"/>
  <c r="S314" i="16" a="1"/>
  <c r="S314" i="16"/>
  <c r="T314" i="16" a="1"/>
  <c r="T314" i="16" s="1"/>
  <c r="R315" i="16" a="1"/>
  <c r="R315" i="16" s="1"/>
  <c r="S315" i="16" a="1"/>
  <c r="S315" i="16" s="1"/>
  <c r="T315" i="16" a="1"/>
  <c r="T315" i="16" s="1"/>
  <c r="R316" i="16" a="1"/>
  <c r="R316" i="16" s="1"/>
  <c r="S316" i="16" a="1"/>
  <c r="S316" i="16" s="1"/>
  <c r="T316" i="16" a="1"/>
  <c r="T316" i="16" s="1"/>
  <c r="R317" i="16" a="1"/>
  <c r="R317" i="16"/>
  <c r="S317" i="16" a="1"/>
  <c r="S317" i="16" s="1"/>
  <c r="T317" i="16" a="1"/>
  <c r="T317" i="16"/>
  <c r="R318" i="16" a="1"/>
  <c r="R318" i="16" s="1"/>
  <c r="S318" i="16" a="1"/>
  <c r="S318" i="16" s="1"/>
  <c r="T318" i="16" a="1"/>
  <c r="T318" i="16" s="1"/>
  <c r="R319" i="16" a="1"/>
  <c r="R319" i="16" s="1"/>
  <c r="S319" i="16" a="1"/>
  <c r="S319" i="16" s="1"/>
  <c r="T319" i="16" a="1"/>
  <c r="T319" i="16" s="1"/>
  <c r="R320" i="16" a="1"/>
  <c r="R320" i="16" s="1"/>
  <c r="S320" i="16" a="1"/>
  <c r="S320" i="16" s="1"/>
  <c r="T320" i="16" a="1"/>
  <c r="T320" i="16" s="1"/>
  <c r="R321" i="16" a="1"/>
  <c r="R321" i="16" s="1"/>
  <c r="S321" i="16" a="1"/>
  <c r="S321" i="16" s="1"/>
  <c r="T321" i="16" a="1"/>
  <c r="T321" i="16" s="1"/>
  <c r="R322" i="16" a="1"/>
  <c r="R322" i="16" s="1"/>
  <c r="S322" i="16" a="1"/>
  <c r="S322" i="16" s="1"/>
  <c r="T322" i="16" a="1"/>
  <c r="T322" i="16" s="1"/>
  <c r="R323" i="16" a="1"/>
  <c r="R323" i="16" s="1"/>
  <c r="S323" i="16" a="1"/>
  <c r="S323" i="16" s="1"/>
  <c r="T323" i="16" a="1"/>
  <c r="T323" i="16" s="1"/>
  <c r="R324" i="16" a="1"/>
  <c r="R324" i="16" s="1"/>
  <c r="S324" i="16" a="1"/>
  <c r="S324" i="16" s="1"/>
  <c r="T324" i="16" a="1"/>
  <c r="T324" i="16" s="1"/>
  <c r="R325" i="16" a="1"/>
  <c r="R325" i="16" s="1"/>
  <c r="S325" i="16" a="1"/>
  <c r="S325" i="16" s="1"/>
  <c r="T325" i="16" a="1"/>
  <c r="T325" i="16"/>
  <c r="R326" i="16" a="1"/>
  <c r="R326" i="16" s="1"/>
  <c r="S326" i="16" a="1"/>
  <c r="S326" i="16" s="1"/>
  <c r="T326" i="16" a="1"/>
  <c r="T326" i="16" s="1"/>
  <c r="R327" i="16" a="1"/>
  <c r="R327" i="16" s="1"/>
  <c r="S327" i="16" a="1"/>
  <c r="S327" i="16" s="1"/>
  <c r="T327" i="16" a="1"/>
  <c r="T327" i="16" s="1"/>
  <c r="R328" i="16" a="1"/>
  <c r="R328" i="16" s="1"/>
  <c r="S328" i="16" a="1"/>
  <c r="S328" i="16" s="1"/>
  <c r="T328" i="16" a="1"/>
  <c r="T328" i="16" s="1"/>
  <c r="R329" i="16" a="1"/>
  <c r="R329" i="16" s="1"/>
  <c r="S329" i="16" a="1"/>
  <c r="S329" i="16" s="1"/>
  <c r="T329" i="16" a="1"/>
  <c r="T329" i="16" s="1"/>
  <c r="R330" i="16" a="1"/>
  <c r="R330" i="16" s="1"/>
  <c r="S330" i="16" a="1"/>
  <c r="S330" i="16" s="1"/>
  <c r="T330" i="16" a="1"/>
  <c r="T330" i="16"/>
  <c r="R331" i="16" a="1"/>
  <c r="R331" i="16" s="1"/>
  <c r="S331" i="16" a="1"/>
  <c r="S331" i="16" s="1"/>
  <c r="T331" i="16" a="1"/>
  <c r="T331" i="16" s="1"/>
  <c r="R332" i="16" a="1"/>
  <c r="R332" i="16" s="1"/>
  <c r="S332" i="16" a="1"/>
  <c r="S332" i="16" s="1"/>
  <c r="T332" i="16" a="1"/>
  <c r="T332" i="16" s="1"/>
  <c r="R333" i="16" a="1"/>
  <c r="R333" i="16" s="1"/>
  <c r="S333" i="16" a="1"/>
  <c r="S333" i="16" s="1"/>
  <c r="T333" i="16" a="1"/>
  <c r="T333" i="16" s="1"/>
  <c r="R334" i="16" a="1"/>
  <c r="R334" i="16" s="1"/>
  <c r="S334" i="16" a="1"/>
  <c r="S334" i="16" s="1"/>
  <c r="T334" i="16" a="1"/>
  <c r="T334" i="16" s="1"/>
  <c r="R335" i="16" a="1"/>
  <c r="R335" i="16" s="1"/>
  <c r="S335" i="16" a="1"/>
  <c r="S335" i="16" s="1"/>
  <c r="T335" i="16" a="1"/>
  <c r="T335" i="16" s="1"/>
  <c r="R336" i="16" a="1"/>
  <c r="R336" i="16" s="1"/>
  <c r="S336" i="16" a="1"/>
  <c r="S336" i="16" s="1"/>
  <c r="T336" i="16" a="1"/>
  <c r="T336" i="16"/>
  <c r="R337" i="16" a="1"/>
  <c r="R337" i="16" s="1"/>
  <c r="S337" i="16" a="1"/>
  <c r="S337" i="16" s="1"/>
  <c r="T337" i="16" a="1"/>
  <c r="T337" i="16" s="1"/>
  <c r="R338" i="16" a="1"/>
  <c r="R338" i="16" s="1"/>
  <c r="S338" i="16" a="1"/>
  <c r="S338" i="16" s="1"/>
  <c r="T338" i="16" a="1"/>
  <c r="T338" i="16" s="1"/>
  <c r="R339" i="16" a="1"/>
  <c r="R339" i="16" s="1"/>
  <c r="S339" i="16" a="1"/>
  <c r="S339" i="16" s="1"/>
  <c r="T339" i="16" a="1"/>
  <c r="T339" i="16" s="1"/>
  <c r="R340" i="16" a="1"/>
  <c r="R340" i="16" s="1"/>
  <c r="S340" i="16" a="1"/>
  <c r="S340" i="16" s="1"/>
  <c r="T340" i="16" a="1"/>
  <c r="T340" i="16" s="1"/>
  <c r="R341" i="16" a="1"/>
  <c r="R341" i="16" s="1"/>
  <c r="S341" i="16" a="1"/>
  <c r="S341" i="16" s="1"/>
  <c r="T341" i="16" a="1"/>
  <c r="T341" i="16" s="1"/>
  <c r="R342" i="16" a="1"/>
  <c r="R342" i="16" s="1"/>
  <c r="S342" i="16" a="1"/>
  <c r="S342" i="16" s="1"/>
  <c r="T342" i="16" a="1"/>
  <c r="T342" i="16" s="1"/>
  <c r="R343" i="16" a="1"/>
  <c r="R343" i="16" s="1"/>
  <c r="S343" i="16" a="1"/>
  <c r="S343" i="16" s="1"/>
  <c r="T343" i="16" a="1"/>
  <c r="T343" i="16" s="1"/>
  <c r="R344" i="16" a="1"/>
  <c r="R344" i="16" s="1"/>
  <c r="S344" i="16" a="1"/>
  <c r="S344" i="16" s="1"/>
  <c r="T344" i="16" a="1"/>
  <c r="T344" i="16" s="1"/>
  <c r="R345" i="16" a="1"/>
  <c r="R345" i="16" s="1"/>
  <c r="S345" i="16" a="1"/>
  <c r="S345" i="16" s="1"/>
  <c r="T345" i="16" a="1"/>
  <c r="T345" i="16" s="1"/>
  <c r="R346" i="16" a="1"/>
  <c r="R346" i="16" s="1"/>
  <c r="S346" i="16" a="1"/>
  <c r="S346" i="16" s="1"/>
  <c r="T346" i="16" a="1"/>
  <c r="T346" i="16"/>
  <c r="R347" i="16" a="1"/>
  <c r="R347" i="16" s="1"/>
  <c r="S347" i="16" a="1"/>
  <c r="S347" i="16" s="1"/>
  <c r="T347" i="16" a="1"/>
  <c r="T347" i="16" s="1"/>
  <c r="R348" i="16" a="1"/>
  <c r="R348" i="16" s="1"/>
  <c r="S348" i="16" a="1"/>
  <c r="S348" i="16" s="1"/>
  <c r="T348" i="16" a="1"/>
  <c r="T348" i="16" s="1"/>
  <c r="R349" i="16" a="1"/>
  <c r="R349" i="16" s="1"/>
  <c r="S349" i="16" a="1"/>
  <c r="S349" i="16" s="1"/>
  <c r="T349" i="16" a="1"/>
  <c r="T349" i="16" s="1"/>
  <c r="R350" i="16" a="1"/>
  <c r="R350" i="16" s="1"/>
  <c r="S350" i="16" a="1"/>
  <c r="S350" i="16" s="1"/>
  <c r="T350" i="16" a="1"/>
  <c r="T350" i="16" s="1"/>
  <c r="R351" i="16" a="1"/>
  <c r="R351" i="16" s="1"/>
  <c r="S351" i="16" a="1"/>
  <c r="S351" i="16" s="1"/>
  <c r="T351" i="16" a="1"/>
  <c r="T351" i="16" s="1"/>
  <c r="R352" i="16" a="1"/>
  <c r="R352" i="16"/>
  <c r="S352" i="16" a="1"/>
  <c r="S352" i="16" s="1"/>
  <c r="T352" i="16" a="1"/>
  <c r="T352" i="16" s="1"/>
  <c r="R353" i="16" a="1"/>
  <c r="R353" i="16" s="1"/>
  <c r="S353" i="16" a="1"/>
  <c r="S353" i="16"/>
  <c r="T353" i="16" a="1"/>
  <c r="T353" i="16" s="1"/>
  <c r="R354" i="16" a="1"/>
  <c r="R354" i="16"/>
  <c r="S354" i="16" a="1"/>
  <c r="S354" i="16"/>
  <c r="T354" i="16" a="1"/>
  <c r="T354" i="16" s="1"/>
  <c r="R355" i="16" a="1"/>
  <c r="R355" i="16" s="1"/>
  <c r="S355" i="16" a="1"/>
  <c r="S355" i="16" s="1"/>
  <c r="T355" i="16" a="1"/>
  <c r="T355" i="16"/>
  <c r="R356" i="16" a="1"/>
  <c r="R356" i="16" s="1"/>
  <c r="S356" i="16" a="1"/>
  <c r="S356" i="16" s="1"/>
  <c r="T356" i="16" a="1"/>
  <c r="T356" i="16" s="1"/>
  <c r="R357" i="16" a="1"/>
  <c r="R357" i="16" s="1"/>
  <c r="S357" i="16" a="1"/>
  <c r="S357" i="16" s="1"/>
  <c r="T357" i="16" a="1"/>
  <c r="T357" i="16"/>
  <c r="R358" i="16" a="1"/>
  <c r="R358" i="16" s="1"/>
  <c r="S358" i="16" a="1"/>
  <c r="S358" i="16" s="1"/>
  <c r="T358" i="16" a="1"/>
  <c r="T358" i="16" s="1"/>
  <c r="R359" i="16" a="1"/>
  <c r="R359" i="16" s="1"/>
  <c r="S359" i="16" a="1"/>
  <c r="S359" i="16" s="1"/>
  <c r="T359" i="16" a="1"/>
  <c r="T359" i="16" s="1"/>
  <c r="R360" i="16" a="1"/>
  <c r="R360" i="16" s="1"/>
  <c r="S360" i="16" a="1"/>
  <c r="S360" i="16" s="1"/>
  <c r="T360" i="16" a="1"/>
  <c r="T360" i="16"/>
  <c r="R361" i="16" a="1"/>
  <c r="R361" i="16" s="1"/>
  <c r="S361" i="16" a="1"/>
  <c r="S361" i="16" s="1"/>
  <c r="T361" i="16" a="1"/>
  <c r="T361" i="16" s="1"/>
  <c r="R362" i="16" a="1"/>
  <c r="R362" i="16" s="1"/>
  <c r="S362" i="16" a="1"/>
  <c r="S362" i="16" s="1"/>
  <c r="T362" i="16" a="1"/>
  <c r="T362" i="16" s="1"/>
  <c r="R363" i="16" a="1"/>
  <c r="R363" i="16" s="1"/>
  <c r="S363" i="16" a="1"/>
  <c r="S363" i="16" s="1"/>
  <c r="T363" i="16" a="1"/>
  <c r="T363" i="16" s="1"/>
  <c r="R364" i="16" a="1"/>
  <c r="R364" i="16" s="1"/>
  <c r="S364" i="16" a="1"/>
  <c r="S364" i="16" s="1"/>
  <c r="T364" i="16" a="1"/>
  <c r="T364" i="16" s="1"/>
  <c r="R365" i="16" a="1"/>
  <c r="R365" i="16" s="1"/>
  <c r="S365" i="16" a="1"/>
  <c r="S365" i="16"/>
  <c r="T365" i="16" a="1"/>
  <c r="T365" i="16" s="1"/>
  <c r="R366" i="16" a="1"/>
  <c r="R366" i="16" s="1"/>
  <c r="S366" i="16" a="1"/>
  <c r="S366" i="16" s="1"/>
  <c r="T366" i="16" a="1"/>
  <c r="T366" i="16" s="1"/>
  <c r="R367" i="16" a="1"/>
  <c r="R367" i="16" s="1"/>
  <c r="S367" i="16" a="1"/>
  <c r="S367" i="16" s="1"/>
  <c r="T367" i="16" a="1"/>
  <c r="T367" i="16"/>
  <c r="R368" i="16" a="1"/>
  <c r="R368" i="16" s="1"/>
  <c r="S368" i="16" a="1"/>
  <c r="S368" i="16" s="1"/>
  <c r="T368" i="16" a="1"/>
  <c r="T368" i="16"/>
  <c r="R369" i="16" a="1"/>
  <c r="R369" i="16" s="1"/>
  <c r="S369" i="16" a="1"/>
  <c r="S369" i="16" s="1"/>
  <c r="T369" i="16" a="1"/>
  <c r="T369" i="16" s="1"/>
  <c r="R370" i="16" a="1"/>
  <c r="R370" i="16" s="1"/>
  <c r="S370" i="16" a="1"/>
  <c r="S370" i="16" s="1"/>
  <c r="T370" i="16" a="1"/>
  <c r="T370" i="16" s="1"/>
  <c r="R371" i="16" a="1"/>
  <c r="R371" i="16" s="1"/>
  <c r="S371" i="16" a="1"/>
  <c r="S371" i="16" s="1"/>
  <c r="T371" i="16" a="1"/>
  <c r="T371" i="16" s="1"/>
  <c r="R372" i="16" a="1"/>
  <c r="R372" i="16" s="1"/>
  <c r="S372" i="16" a="1"/>
  <c r="S372" i="16" s="1"/>
  <c r="T372" i="16" a="1"/>
  <c r="T372" i="16" s="1"/>
  <c r="R373" i="16" a="1"/>
  <c r="R373" i="16" s="1"/>
  <c r="S373" i="16" a="1"/>
  <c r="S373" i="16" s="1"/>
  <c r="T373" i="16" a="1"/>
  <c r="T373" i="16"/>
  <c r="R374" i="16" a="1"/>
  <c r="R374" i="16" s="1"/>
  <c r="S374" i="16" a="1"/>
  <c r="S374" i="16" s="1"/>
  <c r="T374" i="16" a="1"/>
  <c r="T374" i="16" s="1"/>
  <c r="R375" i="16" a="1"/>
  <c r="R375" i="16" s="1"/>
  <c r="S375" i="16" a="1"/>
  <c r="S375" i="16" s="1"/>
  <c r="T375" i="16" a="1"/>
  <c r="T375" i="16" s="1"/>
  <c r="R376" i="16" a="1"/>
  <c r="R376" i="16" s="1"/>
  <c r="S376" i="16" a="1"/>
  <c r="S376" i="16" s="1"/>
  <c r="T376" i="16" a="1"/>
  <c r="T376" i="16" s="1"/>
  <c r="R377" i="16" a="1"/>
  <c r="R377" i="16" s="1"/>
  <c r="S377" i="16" a="1"/>
  <c r="S377" i="16" s="1"/>
  <c r="T377" i="16" a="1"/>
  <c r="T377" i="16" s="1"/>
  <c r="R378" i="16" a="1"/>
  <c r="R378" i="16" s="1"/>
  <c r="S378" i="16" a="1"/>
  <c r="S378" i="16" s="1"/>
  <c r="T378" i="16" a="1"/>
  <c r="T378" i="16" s="1"/>
  <c r="R379" i="16" a="1"/>
  <c r="R379" i="16" s="1"/>
  <c r="S379" i="16" a="1"/>
  <c r="S379" i="16" s="1"/>
  <c r="T379" i="16" a="1"/>
  <c r="T379" i="16" s="1"/>
  <c r="R380" i="16" a="1"/>
  <c r="R380" i="16" s="1"/>
  <c r="S380" i="16" a="1"/>
  <c r="S380" i="16" s="1"/>
  <c r="T380" i="16" a="1"/>
  <c r="T380" i="16" s="1"/>
  <c r="R381" i="16" a="1"/>
  <c r="R381" i="16"/>
  <c r="S381" i="16" a="1"/>
  <c r="S381" i="16" s="1"/>
  <c r="T381" i="16" a="1"/>
  <c r="T381" i="16" s="1"/>
  <c r="R382" i="16" a="1"/>
  <c r="R382" i="16" s="1"/>
  <c r="S382" i="16" a="1"/>
  <c r="S382" i="16" s="1"/>
  <c r="T382" i="16" a="1"/>
  <c r="T382" i="16" s="1"/>
  <c r="R383" i="16" a="1"/>
  <c r="R383" i="16" s="1"/>
  <c r="S383" i="16" a="1"/>
  <c r="S383" i="16" s="1"/>
  <c r="T383" i="16" a="1"/>
  <c r="T383" i="16" s="1"/>
  <c r="R384" i="16" a="1"/>
  <c r="R384" i="16" s="1"/>
  <c r="S384" i="16" a="1"/>
  <c r="S384" i="16" s="1"/>
  <c r="T384" i="16" a="1"/>
  <c r="T384" i="16" s="1"/>
  <c r="R385" i="16" a="1"/>
  <c r="R385" i="16" s="1"/>
  <c r="S385" i="16" a="1"/>
  <c r="S385" i="16" s="1"/>
  <c r="T385" i="16" a="1"/>
  <c r="T385" i="16" s="1"/>
  <c r="R386" i="16" a="1"/>
  <c r="R386" i="16" s="1"/>
  <c r="S386" i="16" a="1"/>
  <c r="S386" i="16" s="1"/>
  <c r="T386" i="16" a="1"/>
  <c r="T386" i="16" s="1"/>
  <c r="R387" i="16" a="1"/>
  <c r="R387" i="16" s="1"/>
  <c r="S387" i="16" a="1"/>
  <c r="S387" i="16" s="1"/>
  <c r="T387" i="16" a="1"/>
  <c r="T387" i="16" s="1"/>
  <c r="R388" i="16" a="1"/>
  <c r="R388" i="16" s="1"/>
  <c r="S388" i="16" a="1"/>
  <c r="S388" i="16" s="1"/>
  <c r="T388" i="16" a="1"/>
  <c r="T388" i="16" s="1"/>
  <c r="R389" i="16" a="1"/>
  <c r="R389" i="16" s="1"/>
  <c r="S389" i="16" a="1"/>
  <c r="S389" i="16" s="1"/>
  <c r="T389" i="16" a="1"/>
  <c r="T389" i="16" s="1"/>
  <c r="R390" i="16" a="1"/>
  <c r="R390" i="16" s="1"/>
  <c r="S390" i="16" a="1"/>
  <c r="S390" i="16"/>
  <c r="T390" i="16" a="1"/>
  <c r="T390" i="16" s="1"/>
  <c r="R391" i="16" a="1"/>
  <c r="R391" i="16" s="1"/>
  <c r="S391" i="16" a="1"/>
  <c r="S391" i="16" s="1"/>
  <c r="T391" i="16" a="1"/>
  <c r="T391" i="16" s="1"/>
  <c r="R392" i="16" a="1"/>
  <c r="R392" i="16" s="1"/>
  <c r="S392" i="16" a="1"/>
  <c r="S392" i="16" s="1"/>
  <c r="T392" i="16" a="1"/>
  <c r="T392" i="16" s="1"/>
  <c r="R393" i="16" a="1"/>
  <c r="R393" i="16" s="1"/>
  <c r="S393" i="16" a="1"/>
  <c r="S393" i="16" s="1"/>
  <c r="T393" i="16" a="1"/>
  <c r="T393" i="16" s="1"/>
  <c r="R394" i="16" a="1"/>
  <c r="R394" i="16" s="1"/>
  <c r="S394" i="16" a="1"/>
  <c r="S394" i="16" s="1"/>
  <c r="T394" i="16" a="1"/>
  <c r="T394" i="16" s="1"/>
  <c r="R395" i="16" a="1"/>
  <c r="R395" i="16" s="1"/>
  <c r="S395" i="16" a="1"/>
  <c r="S395" i="16" s="1"/>
  <c r="T395" i="16" a="1"/>
  <c r="T395" i="16" s="1"/>
  <c r="R396" i="16" a="1"/>
  <c r="R396" i="16" s="1"/>
  <c r="S396" i="16" a="1"/>
  <c r="S396" i="16" s="1"/>
  <c r="T396" i="16" a="1"/>
  <c r="T396" i="16"/>
  <c r="R397" i="16" a="1"/>
  <c r="R397" i="16" s="1"/>
  <c r="S397" i="16" a="1"/>
  <c r="S397" i="16" s="1"/>
  <c r="T397" i="16" a="1"/>
  <c r="T397" i="16" s="1"/>
  <c r="R398" i="16" a="1"/>
  <c r="R398" i="16" s="1"/>
  <c r="S398" i="16" a="1"/>
  <c r="S398" i="16" s="1"/>
  <c r="T398" i="16" a="1"/>
  <c r="T398" i="16"/>
  <c r="R399" i="16" a="1"/>
  <c r="R399" i="16" s="1"/>
  <c r="S399" i="16" a="1"/>
  <c r="S399" i="16" s="1"/>
  <c r="T399" i="16" a="1"/>
  <c r="T399" i="16" s="1"/>
  <c r="R400" i="16" a="1"/>
  <c r="R400" i="16" s="1"/>
  <c r="S400" i="16" a="1"/>
  <c r="S400" i="16" s="1"/>
  <c r="T400" i="16" a="1"/>
  <c r="T400" i="16" s="1"/>
  <c r="R401" i="16" a="1"/>
  <c r="R401" i="16" s="1"/>
  <c r="S401" i="16" a="1"/>
  <c r="S401" i="16" s="1"/>
  <c r="T401" i="16" a="1"/>
  <c r="T401" i="16" s="1"/>
  <c r="R402" i="16" a="1"/>
  <c r="R402" i="16" s="1"/>
  <c r="S402" i="16" a="1"/>
  <c r="S402" i="16" s="1"/>
  <c r="T402" i="16" a="1"/>
  <c r="T402" i="16" s="1"/>
  <c r="R403" i="16" a="1"/>
  <c r="R403" i="16" s="1"/>
  <c r="S403" i="16" a="1"/>
  <c r="S403" i="16" s="1"/>
  <c r="T403" i="16" a="1"/>
  <c r="T403" i="16" s="1"/>
  <c r="R404" i="16" a="1"/>
  <c r="R404" i="16" s="1"/>
  <c r="S404" i="16" a="1"/>
  <c r="S404" i="16" s="1"/>
  <c r="T404" i="16" a="1"/>
  <c r="T404" i="16" s="1"/>
  <c r="R405" i="16" a="1"/>
  <c r="R405" i="16" s="1"/>
  <c r="S405" i="16" a="1"/>
  <c r="S405" i="16" s="1"/>
  <c r="T405" i="16" a="1"/>
  <c r="T405" i="16" s="1"/>
  <c r="R406" i="16" a="1"/>
  <c r="R406" i="16" s="1"/>
  <c r="S406" i="16" a="1"/>
  <c r="S406" i="16" s="1"/>
  <c r="T406" i="16" a="1"/>
  <c r="T406" i="16" s="1"/>
  <c r="R407" i="16" a="1"/>
  <c r="R407" i="16" s="1"/>
  <c r="S407" i="16" a="1"/>
  <c r="S407" i="16" s="1"/>
  <c r="T407" i="16" a="1"/>
  <c r="T407" i="16" s="1"/>
  <c r="R408" i="16" a="1"/>
  <c r="R408" i="16" s="1"/>
  <c r="S408" i="16" a="1"/>
  <c r="S408" i="16" s="1"/>
  <c r="T408" i="16" a="1"/>
  <c r="T408" i="16" s="1"/>
  <c r="R409" i="16" a="1"/>
  <c r="R409" i="16" s="1"/>
  <c r="S409" i="16" a="1"/>
  <c r="S409" i="16" s="1"/>
  <c r="T409" i="16" a="1"/>
  <c r="T409" i="16" s="1"/>
  <c r="R410" i="16" a="1"/>
  <c r="R410" i="16" s="1"/>
  <c r="S410" i="16" a="1"/>
  <c r="S410" i="16" s="1"/>
  <c r="T410" i="16" a="1"/>
  <c r="T410" i="16" s="1"/>
  <c r="R411" i="16" a="1"/>
  <c r="R411" i="16" s="1"/>
  <c r="S411" i="16" a="1"/>
  <c r="S411" i="16" s="1"/>
  <c r="T411" i="16" a="1"/>
  <c r="T411" i="16" s="1"/>
  <c r="R412" i="16" a="1"/>
  <c r="R412" i="16" s="1"/>
  <c r="S412" i="16" a="1"/>
  <c r="S412" i="16" s="1"/>
  <c r="T412" i="16" a="1"/>
  <c r="T412" i="16" s="1"/>
  <c r="R413" i="16" a="1"/>
  <c r="R413" i="16" s="1"/>
  <c r="S413" i="16" a="1"/>
  <c r="S413" i="16" s="1"/>
  <c r="T413" i="16" a="1"/>
  <c r="T413" i="16" s="1"/>
  <c r="R414" i="16" a="1"/>
  <c r="R414" i="16" s="1"/>
  <c r="S414" i="16" a="1"/>
  <c r="S414" i="16" s="1"/>
  <c r="T414" i="16" a="1"/>
  <c r="T414" i="16" s="1"/>
  <c r="R415" i="16" a="1"/>
  <c r="R415" i="16" s="1"/>
  <c r="S415" i="16" a="1"/>
  <c r="S415" i="16" s="1"/>
  <c r="T415" i="16" a="1"/>
  <c r="T415" i="16" s="1"/>
  <c r="R416" i="16" a="1"/>
  <c r="R416" i="16" s="1"/>
  <c r="S416" i="16" a="1"/>
  <c r="S416" i="16" s="1"/>
  <c r="T416" i="16" a="1"/>
  <c r="T416" i="16" s="1"/>
  <c r="R417" i="16" a="1"/>
  <c r="R417" i="16" s="1"/>
  <c r="S417" i="16" a="1"/>
  <c r="S417" i="16" s="1"/>
  <c r="T417" i="16" a="1"/>
  <c r="T417" i="16" s="1"/>
  <c r="R418" i="16" a="1"/>
  <c r="R418" i="16" s="1"/>
  <c r="S418" i="16" a="1"/>
  <c r="S418" i="16" s="1"/>
  <c r="T418" i="16" a="1"/>
  <c r="T418" i="16" s="1"/>
  <c r="R419" i="16" a="1"/>
  <c r="R419" i="16" s="1"/>
  <c r="S419" i="16" a="1"/>
  <c r="S419" i="16" s="1"/>
  <c r="T419" i="16" a="1"/>
  <c r="T419" i="16" s="1"/>
  <c r="R420" i="16" a="1"/>
  <c r="R420" i="16" s="1"/>
  <c r="S420" i="16" a="1"/>
  <c r="S420" i="16" s="1"/>
  <c r="T420" i="16" a="1"/>
  <c r="T420" i="16" s="1"/>
  <c r="R421" i="16" a="1"/>
  <c r="R421" i="16" s="1"/>
  <c r="S421" i="16" a="1"/>
  <c r="S421" i="16" s="1"/>
  <c r="T421" i="16" a="1"/>
  <c r="T421" i="16" s="1"/>
  <c r="R422" i="16" a="1"/>
  <c r="R422" i="16" s="1"/>
  <c r="S422" i="16" a="1"/>
  <c r="S422" i="16" s="1"/>
  <c r="T422" i="16" a="1"/>
  <c r="T422" i="16" s="1"/>
  <c r="R423" i="16" a="1"/>
  <c r="R423" i="16" s="1"/>
  <c r="S423" i="16" a="1"/>
  <c r="S423" i="16" s="1"/>
  <c r="T423" i="16" a="1"/>
  <c r="T423" i="16" s="1"/>
  <c r="R424" i="16" a="1"/>
  <c r="R424" i="16" s="1"/>
  <c r="S424" i="16" a="1"/>
  <c r="S424" i="16" s="1"/>
  <c r="T424" i="16" a="1"/>
  <c r="T424" i="16" s="1"/>
  <c r="R425" i="16" a="1"/>
  <c r="R425" i="16" s="1"/>
  <c r="S425" i="16" a="1"/>
  <c r="S425" i="16" s="1"/>
  <c r="T425" i="16" a="1"/>
  <c r="T425" i="16" s="1"/>
  <c r="R426" i="16" a="1"/>
  <c r="R426" i="16" s="1"/>
  <c r="S426" i="16" a="1"/>
  <c r="S426" i="16" s="1"/>
  <c r="T426" i="16" a="1"/>
  <c r="T426" i="16" s="1"/>
  <c r="R427" i="16" a="1"/>
  <c r="R427" i="16" s="1"/>
  <c r="S427" i="16" a="1"/>
  <c r="S427" i="16" s="1"/>
  <c r="T427" i="16" a="1"/>
  <c r="T427" i="16" s="1"/>
  <c r="R428" i="16" a="1"/>
  <c r="R428" i="16" s="1"/>
  <c r="S428" i="16" a="1"/>
  <c r="S428" i="16" s="1"/>
  <c r="T428" i="16" a="1"/>
  <c r="T428" i="16" s="1"/>
  <c r="R429" i="16" a="1"/>
  <c r="R429" i="16" s="1"/>
  <c r="S429" i="16" a="1"/>
  <c r="S429" i="16" s="1"/>
  <c r="T429" i="16" a="1"/>
  <c r="T429" i="16" s="1"/>
  <c r="R430" i="16" a="1"/>
  <c r="R430" i="16" s="1"/>
  <c r="S430" i="16" a="1"/>
  <c r="S430" i="16" s="1"/>
  <c r="T430" i="16" a="1"/>
  <c r="T430" i="16" s="1"/>
  <c r="R431" i="16" a="1"/>
  <c r="R431" i="16" s="1"/>
  <c r="S431" i="16" a="1"/>
  <c r="S431" i="16" s="1"/>
  <c r="T431" i="16" a="1"/>
  <c r="T431" i="16" s="1"/>
  <c r="R432" i="16" a="1"/>
  <c r="R432" i="16" s="1"/>
  <c r="S432" i="16" a="1"/>
  <c r="S432" i="16" s="1"/>
  <c r="T432" i="16" a="1"/>
  <c r="T432" i="16" s="1"/>
  <c r="R433" i="16" a="1"/>
  <c r="R433" i="16" s="1"/>
  <c r="S433" i="16" a="1"/>
  <c r="S433" i="16" s="1"/>
  <c r="T433" i="16" a="1"/>
  <c r="T433" i="16" s="1"/>
  <c r="R434" i="16" a="1"/>
  <c r="R434" i="16" s="1"/>
  <c r="S434" i="16" a="1"/>
  <c r="S434" i="16" s="1"/>
  <c r="T434" i="16" a="1"/>
  <c r="T434" i="16" s="1"/>
  <c r="R435" i="16" a="1"/>
  <c r="R435" i="16" s="1"/>
  <c r="S435" i="16" a="1"/>
  <c r="S435" i="16" s="1"/>
  <c r="T435" i="16" a="1"/>
  <c r="T435" i="16" s="1"/>
  <c r="R436" i="16" a="1"/>
  <c r="R436" i="16" s="1"/>
  <c r="S436" i="16" a="1"/>
  <c r="S436" i="16" s="1"/>
  <c r="T436" i="16" a="1"/>
  <c r="T436" i="16" s="1"/>
  <c r="R437" i="16" a="1"/>
  <c r="R437" i="16" s="1"/>
  <c r="S437" i="16" a="1"/>
  <c r="S437" i="16" s="1"/>
  <c r="T437" i="16" a="1"/>
  <c r="T437" i="16" s="1"/>
  <c r="R438" i="16" a="1"/>
  <c r="R438" i="16" s="1"/>
  <c r="S438" i="16" a="1"/>
  <c r="S438" i="16" s="1"/>
  <c r="T438" i="16" a="1"/>
  <c r="T438" i="16" s="1"/>
  <c r="R439" i="16" a="1"/>
  <c r="R439" i="16" s="1"/>
  <c r="S439" i="16" a="1"/>
  <c r="S439" i="16" s="1"/>
  <c r="T439" i="16" a="1"/>
  <c r="T439" i="16" s="1"/>
  <c r="R440" i="16" a="1"/>
  <c r="R440" i="16" s="1"/>
  <c r="S440" i="16" a="1"/>
  <c r="S440" i="16" s="1"/>
  <c r="T440" i="16" a="1"/>
  <c r="T440" i="16" s="1"/>
  <c r="R441" i="16" a="1"/>
  <c r="R441" i="16" s="1"/>
  <c r="S441" i="16" a="1"/>
  <c r="S441" i="16" s="1"/>
  <c r="T441" i="16" a="1"/>
  <c r="T441" i="16" s="1"/>
  <c r="R442" i="16" a="1"/>
  <c r="R442" i="16" s="1"/>
  <c r="S442" i="16" a="1"/>
  <c r="S442" i="16" s="1"/>
  <c r="T442" i="16" a="1"/>
  <c r="T442" i="16" s="1"/>
  <c r="R443" i="16" a="1"/>
  <c r="R443" i="16" s="1"/>
  <c r="S443" i="16" a="1"/>
  <c r="S443" i="16" s="1"/>
  <c r="T443" i="16" a="1"/>
  <c r="T443" i="16" s="1"/>
  <c r="R444" i="16" a="1"/>
  <c r="R444" i="16" s="1"/>
  <c r="S444" i="16" a="1"/>
  <c r="S444" i="16" s="1"/>
  <c r="T444" i="16" a="1"/>
  <c r="T444" i="16" s="1"/>
  <c r="R445" i="16" a="1"/>
  <c r="R445" i="16" s="1"/>
  <c r="S445" i="16" a="1"/>
  <c r="S445" i="16" s="1"/>
  <c r="T445" i="16" a="1"/>
  <c r="T445" i="16" s="1"/>
  <c r="R446" i="16" a="1"/>
  <c r="R446" i="16" s="1"/>
  <c r="S446" i="16" a="1"/>
  <c r="S446" i="16" s="1"/>
  <c r="T446" i="16" a="1"/>
  <c r="T446" i="16" s="1"/>
  <c r="R447" i="16" a="1"/>
  <c r="R447" i="16" s="1"/>
  <c r="S447" i="16" a="1"/>
  <c r="S447" i="16" s="1"/>
  <c r="T447" i="16" a="1"/>
  <c r="T447" i="16" s="1"/>
  <c r="R448" i="16" a="1"/>
  <c r="R448" i="16" s="1"/>
  <c r="S448" i="16" a="1"/>
  <c r="S448" i="16" s="1"/>
  <c r="T448" i="16" a="1"/>
  <c r="T448" i="16" s="1"/>
  <c r="R449" i="16" a="1"/>
  <c r="R449" i="16" s="1"/>
  <c r="S449" i="16" a="1"/>
  <c r="S449" i="16" s="1"/>
  <c r="T449" i="16" a="1"/>
  <c r="T449" i="16" s="1"/>
  <c r="R450" i="16" a="1"/>
  <c r="R450" i="16" s="1"/>
  <c r="S450" i="16" a="1"/>
  <c r="S450" i="16" s="1"/>
  <c r="T450" i="16" a="1"/>
  <c r="T450" i="16" s="1"/>
  <c r="R451" i="16" a="1"/>
  <c r="R451" i="16" s="1"/>
  <c r="S451" i="16" a="1"/>
  <c r="S451" i="16" s="1"/>
  <c r="T451" i="16" a="1"/>
  <c r="T451" i="16" s="1"/>
  <c r="R452" i="16" a="1"/>
  <c r="R452" i="16" s="1"/>
  <c r="S452" i="16" a="1"/>
  <c r="S452" i="16" s="1"/>
  <c r="T452" i="16" a="1"/>
  <c r="T452" i="16" s="1"/>
  <c r="R453" i="16" a="1"/>
  <c r="R453" i="16" s="1"/>
  <c r="S453" i="16" a="1"/>
  <c r="S453" i="16" s="1"/>
  <c r="T453" i="16" a="1"/>
  <c r="T453" i="16" s="1"/>
  <c r="R454" i="16" a="1"/>
  <c r="R454" i="16" s="1"/>
  <c r="S454" i="16" a="1"/>
  <c r="S454" i="16" s="1"/>
  <c r="T454" i="16" a="1"/>
  <c r="T454" i="16" s="1"/>
  <c r="R455" i="16" a="1"/>
  <c r="R455" i="16" s="1"/>
  <c r="S455" i="16" a="1"/>
  <c r="S455" i="16" s="1"/>
  <c r="T455" i="16" a="1"/>
  <c r="T455" i="16" s="1"/>
  <c r="R456" i="16" a="1"/>
  <c r="R456" i="16" s="1"/>
  <c r="S456" i="16" a="1"/>
  <c r="S456" i="16" s="1"/>
  <c r="T456" i="16" a="1"/>
  <c r="T456" i="16" s="1"/>
  <c r="R457" i="16" a="1"/>
  <c r="R457" i="16" s="1"/>
  <c r="S457" i="16" a="1"/>
  <c r="S457" i="16" s="1"/>
  <c r="T457" i="16" a="1"/>
  <c r="T457" i="16" s="1"/>
  <c r="R458" i="16" a="1"/>
  <c r="R458" i="16" s="1"/>
  <c r="S458" i="16" a="1"/>
  <c r="S458" i="16" s="1"/>
  <c r="T458" i="16" a="1"/>
  <c r="T458" i="16" s="1"/>
  <c r="R459" i="16" a="1"/>
  <c r="R459" i="16" s="1"/>
  <c r="S459" i="16" a="1"/>
  <c r="S459" i="16" s="1"/>
  <c r="T459" i="16" a="1"/>
  <c r="T459" i="16" s="1"/>
  <c r="R460" i="16" a="1"/>
  <c r="R460" i="16" s="1"/>
  <c r="S460" i="16" a="1"/>
  <c r="S460" i="16" s="1"/>
  <c r="T460" i="16" a="1"/>
  <c r="T460" i="16" s="1"/>
  <c r="R461" i="16" a="1"/>
  <c r="R461" i="16" s="1"/>
  <c r="S461" i="16" a="1"/>
  <c r="S461" i="16" s="1"/>
  <c r="T461" i="16" a="1"/>
  <c r="T461" i="16" s="1"/>
  <c r="R462" i="16" a="1"/>
  <c r="R462" i="16" s="1"/>
  <c r="S462" i="16" a="1"/>
  <c r="S462" i="16" s="1"/>
  <c r="T462" i="16" a="1"/>
  <c r="T462" i="16" s="1"/>
  <c r="R463" i="16" a="1"/>
  <c r="R463" i="16" s="1"/>
  <c r="S463" i="16" a="1"/>
  <c r="S463" i="16" s="1"/>
  <c r="T463" i="16" a="1"/>
  <c r="T463" i="16" s="1"/>
  <c r="R464" i="16" a="1"/>
  <c r="R464" i="16" s="1"/>
  <c r="S464" i="16" a="1"/>
  <c r="S464" i="16" s="1"/>
  <c r="T464" i="16" a="1"/>
  <c r="T464" i="16" s="1"/>
  <c r="R465" i="16" a="1"/>
  <c r="R465" i="16" s="1"/>
  <c r="S465" i="16" a="1"/>
  <c r="S465" i="16" s="1"/>
  <c r="T465" i="16" a="1"/>
  <c r="T465" i="16" s="1"/>
  <c r="R466" i="16" a="1"/>
  <c r="R466" i="16" s="1"/>
  <c r="S466" i="16" a="1"/>
  <c r="S466" i="16" s="1"/>
  <c r="T466" i="16" a="1"/>
  <c r="T466" i="16" s="1"/>
  <c r="R467" i="16" a="1"/>
  <c r="R467" i="16" s="1"/>
  <c r="S467" i="16" a="1"/>
  <c r="S467" i="16" s="1"/>
  <c r="T467" i="16" a="1"/>
  <c r="T467" i="16" s="1"/>
  <c r="R468" i="16" a="1"/>
  <c r="R468" i="16" s="1"/>
  <c r="S468" i="16" a="1"/>
  <c r="S468" i="16" s="1"/>
  <c r="T468" i="16" a="1"/>
  <c r="T468" i="16" s="1"/>
  <c r="R469" i="16" a="1"/>
  <c r="R469" i="16" s="1"/>
  <c r="S469" i="16" a="1"/>
  <c r="S469" i="16" s="1"/>
  <c r="T469" i="16" a="1"/>
  <c r="T469" i="16" s="1"/>
  <c r="R470" i="16" a="1"/>
  <c r="R470" i="16" s="1"/>
  <c r="S470" i="16" a="1"/>
  <c r="S470" i="16" s="1"/>
  <c r="T470" i="16" a="1"/>
  <c r="T470" i="16" s="1"/>
  <c r="R471" i="16" a="1"/>
  <c r="R471" i="16" s="1"/>
  <c r="S471" i="16" a="1"/>
  <c r="S471" i="16" s="1"/>
  <c r="T471" i="16" a="1"/>
  <c r="T471" i="16" s="1"/>
  <c r="R472" i="16" a="1"/>
  <c r="R472" i="16" s="1"/>
  <c r="S472" i="16" a="1"/>
  <c r="S472" i="16" s="1"/>
  <c r="T472" i="16" a="1"/>
  <c r="T472" i="16" s="1"/>
  <c r="R473" i="16" a="1"/>
  <c r="R473" i="16" s="1"/>
  <c r="S473" i="16" a="1"/>
  <c r="S473" i="16" s="1"/>
  <c r="T473" i="16" a="1"/>
  <c r="T473" i="16" s="1"/>
  <c r="R474" i="16" a="1"/>
  <c r="R474" i="16" s="1"/>
  <c r="S474" i="16" a="1"/>
  <c r="S474" i="16" s="1"/>
  <c r="T474" i="16" a="1"/>
  <c r="T474" i="16" s="1"/>
  <c r="R475" i="16" a="1"/>
  <c r="R475" i="16" s="1"/>
  <c r="S475" i="16" a="1"/>
  <c r="S475" i="16" s="1"/>
  <c r="T475" i="16" a="1"/>
  <c r="T475" i="16" s="1"/>
  <c r="R476" i="16" a="1"/>
  <c r="R476" i="16" s="1"/>
  <c r="S476" i="16" a="1"/>
  <c r="S476" i="16" s="1"/>
  <c r="T476" i="16" a="1"/>
  <c r="T476" i="16" s="1"/>
  <c r="R477" i="16" a="1"/>
  <c r="R477" i="16" s="1"/>
  <c r="S477" i="16" a="1"/>
  <c r="S477" i="16" s="1"/>
  <c r="T477" i="16" a="1"/>
  <c r="T477" i="16" s="1"/>
  <c r="R478" i="16" a="1"/>
  <c r="R478" i="16" s="1"/>
  <c r="S478" i="16" a="1"/>
  <c r="S478" i="16" s="1"/>
  <c r="T478" i="16" a="1"/>
  <c r="T478" i="16" s="1"/>
  <c r="R479" i="16" a="1"/>
  <c r="R479" i="16" s="1"/>
  <c r="S479" i="16" a="1"/>
  <c r="S479" i="16" s="1"/>
  <c r="T479" i="16" a="1"/>
  <c r="T479" i="16" s="1"/>
  <c r="R480" i="16" a="1"/>
  <c r="R480" i="16" s="1"/>
  <c r="S480" i="16" a="1"/>
  <c r="S480" i="16" s="1"/>
  <c r="T480" i="16" a="1"/>
  <c r="T480" i="16" s="1"/>
  <c r="R481" i="16" a="1"/>
  <c r="R481" i="16" s="1"/>
  <c r="S481" i="16" a="1"/>
  <c r="S481" i="16" s="1"/>
  <c r="T481" i="16" a="1"/>
  <c r="T481" i="16" s="1"/>
  <c r="R482" i="16" a="1"/>
  <c r="R482" i="16" s="1"/>
  <c r="S482" i="16" a="1"/>
  <c r="S482" i="16" s="1"/>
  <c r="T482" i="16" a="1"/>
  <c r="T482" i="16" s="1"/>
  <c r="R483" i="16" a="1"/>
  <c r="R483" i="16" s="1"/>
  <c r="S483" i="16" a="1"/>
  <c r="S483" i="16" s="1"/>
  <c r="T483" i="16" a="1"/>
  <c r="T483" i="16" s="1"/>
  <c r="R484" i="16" a="1"/>
  <c r="R484" i="16" s="1"/>
  <c r="S484" i="16" a="1"/>
  <c r="S484" i="16" s="1"/>
  <c r="T484" i="16" a="1"/>
  <c r="T484" i="16" s="1"/>
  <c r="R485" i="16" a="1"/>
  <c r="R485" i="16" s="1"/>
  <c r="S485" i="16" a="1"/>
  <c r="S485" i="16" s="1"/>
  <c r="T485" i="16" a="1"/>
  <c r="T485" i="16" s="1"/>
  <c r="R486" i="16" a="1"/>
  <c r="R486" i="16" s="1"/>
  <c r="S486" i="16" a="1"/>
  <c r="S486" i="16" s="1"/>
  <c r="T486" i="16" a="1"/>
  <c r="T486" i="16" s="1"/>
  <c r="R487" i="16" a="1"/>
  <c r="R487" i="16" s="1"/>
  <c r="S487" i="16" a="1"/>
  <c r="S487" i="16" s="1"/>
  <c r="T487" i="16" a="1"/>
  <c r="T487" i="16" s="1"/>
  <c r="R488" i="16" a="1"/>
  <c r="R488" i="16" s="1"/>
  <c r="S488" i="16" a="1"/>
  <c r="S488" i="16" s="1"/>
  <c r="T488" i="16" a="1"/>
  <c r="T488" i="16" s="1"/>
  <c r="R489" i="16" a="1"/>
  <c r="R489" i="16" s="1"/>
  <c r="S489" i="16" a="1"/>
  <c r="S489" i="16" s="1"/>
  <c r="T489" i="16" a="1"/>
  <c r="T489" i="16" s="1"/>
  <c r="R490" i="16" a="1"/>
  <c r="R490" i="16" s="1"/>
  <c r="S490" i="16" a="1"/>
  <c r="S490" i="16" s="1"/>
  <c r="T490" i="16" a="1"/>
  <c r="T490" i="16" s="1"/>
  <c r="R491" i="16" a="1"/>
  <c r="R491" i="16" s="1"/>
  <c r="S491" i="16" a="1"/>
  <c r="S491" i="16" s="1"/>
  <c r="T491" i="16" a="1"/>
  <c r="T491" i="16" s="1"/>
  <c r="R492" i="16" a="1"/>
  <c r="R492" i="16" s="1"/>
  <c r="S492" i="16" a="1"/>
  <c r="S492" i="16" s="1"/>
  <c r="T492" i="16" a="1"/>
  <c r="T492" i="16" s="1"/>
  <c r="R493" i="16" a="1"/>
  <c r="R493" i="16" s="1"/>
  <c r="S493" i="16" a="1"/>
  <c r="S493" i="16" s="1"/>
  <c r="T493" i="16" a="1"/>
  <c r="T493" i="16" s="1"/>
  <c r="R494" i="16" a="1"/>
  <c r="R494" i="16"/>
  <c r="S494" i="16" a="1"/>
  <c r="S494" i="16" s="1"/>
  <c r="T494" i="16" a="1"/>
  <c r="T494" i="16" s="1"/>
  <c r="R495" i="16" a="1"/>
  <c r="R495" i="16" s="1"/>
  <c r="S495" i="16" a="1"/>
  <c r="S495" i="16" s="1"/>
  <c r="T495" i="16" a="1"/>
  <c r="T495" i="16" s="1"/>
  <c r="R496" i="16" a="1"/>
  <c r="R496" i="16" s="1"/>
  <c r="S496" i="16" a="1"/>
  <c r="S496" i="16" s="1"/>
  <c r="T496" i="16" a="1"/>
  <c r="T496" i="16" s="1"/>
  <c r="R497" i="16" a="1"/>
  <c r="R497" i="16" s="1"/>
  <c r="S497" i="16" a="1"/>
  <c r="S497" i="16" s="1"/>
  <c r="T497" i="16" a="1"/>
  <c r="T497" i="16" s="1"/>
  <c r="R498" i="16" a="1"/>
  <c r="R498" i="16" s="1"/>
  <c r="S498" i="16" a="1"/>
  <c r="S498" i="16" s="1"/>
  <c r="T498" i="16" a="1"/>
  <c r="T498" i="16" s="1"/>
  <c r="R499" i="16" a="1"/>
  <c r="R499" i="16" s="1"/>
  <c r="S499" i="16" a="1"/>
  <c r="S499" i="16" s="1"/>
  <c r="T499" i="16" a="1"/>
  <c r="T499" i="16" s="1"/>
  <c r="R500" i="16" a="1"/>
  <c r="R500" i="16" s="1"/>
  <c r="S500" i="16" a="1"/>
  <c r="S500" i="16" s="1"/>
  <c r="T500" i="16" a="1"/>
  <c r="T500" i="16" s="1"/>
  <c r="R501" i="16" a="1"/>
  <c r="R501" i="16" s="1"/>
  <c r="S501" i="16" a="1"/>
  <c r="S501" i="16" s="1"/>
  <c r="T501" i="16" a="1"/>
  <c r="T501" i="16" s="1"/>
  <c r="R502" i="16" a="1"/>
  <c r="R502" i="16" s="1"/>
  <c r="S502" i="16" a="1"/>
  <c r="S502" i="16" s="1"/>
  <c r="T502" i="16" a="1"/>
  <c r="T502" i="16" s="1"/>
  <c r="R503" i="16" a="1"/>
  <c r="R503" i="16" s="1"/>
  <c r="S503" i="16" a="1"/>
  <c r="S503" i="16" s="1"/>
  <c r="T503" i="16" a="1"/>
  <c r="T503" i="16" s="1"/>
  <c r="R504" i="16" a="1"/>
  <c r="R504" i="16" s="1"/>
  <c r="S504" i="16" a="1"/>
  <c r="S504" i="16" s="1"/>
  <c r="T504" i="16" a="1"/>
  <c r="T504" i="16" s="1"/>
  <c r="R505" i="16" a="1"/>
  <c r="R505" i="16" s="1"/>
  <c r="S505" i="16" a="1"/>
  <c r="S505" i="16" s="1"/>
  <c r="T505" i="16" a="1"/>
  <c r="T505" i="16" s="1"/>
  <c r="R506" i="16" a="1"/>
  <c r="R506" i="16" s="1"/>
  <c r="S506" i="16" a="1"/>
  <c r="S506" i="16"/>
  <c r="T506" i="16" a="1"/>
  <c r="T506" i="16" s="1"/>
  <c r="R507" i="16" a="1"/>
  <c r="R507" i="16" s="1"/>
  <c r="S507" i="16" a="1"/>
  <c r="S507" i="16" s="1"/>
  <c r="T507" i="16" a="1"/>
  <c r="T507" i="16" s="1"/>
  <c r="R508" i="16" a="1"/>
  <c r="R508" i="16" s="1"/>
  <c r="S508" i="16" a="1"/>
  <c r="S508" i="16" s="1"/>
  <c r="T508" i="16" a="1"/>
  <c r="T508" i="16" s="1"/>
  <c r="R509" i="16" a="1"/>
  <c r="R509" i="16" s="1"/>
  <c r="S509" i="16" a="1"/>
  <c r="S509" i="16" s="1"/>
  <c r="T509" i="16" a="1"/>
  <c r="T509" i="16" s="1"/>
  <c r="R510" i="16" a="1"/>
  <c r="R510" i="16" s="1"/>
  <c r="S510" i="16" a="1"/>
  <c r="S510" i="16" s="1"/>
  <c r="T510" i="16" a="1"/>
  <c r="T510" i="16"/>
  <c r="R511" i="16" a="1"/>
  <c r="R511" i="16" s="1"/>
  <c r="S511" i="16" a="1"/>
  <c r="S511" i="16" s="1"/>
  <c r="T511" i="16" a="1"/>
  <c r="T511" i="16" s="1"/>
  <c r="R512" i="16" a="1"/>
  <c r="R512" i="16" s="1"/>
  <c r="S512" i="16" a="1"/>
  <c r="S512" i="16" s="1"/>
  <c r="T512" i="16" a="1"/>
  <c r="T512" i="16" s="1"/>
  <c r="R513" i="16" a="1"/>
  <c r="R513" i="16" s="1"/>
  <c r="S513" i="16" a="1"/>
  <c r="S513" i="16"/>
  <c r="T513" i="16" a="1"/>
  <c r="T513" i="16" s="1"/>
  <c r="R514" i="16" a="1"/>
  <c r="R514" i="16" s="1"/>
  <c r="S514" i="16" a="1"/>
  <c r="S514" i="16" s="1"/>
  <c r="T514" i="16" a="1"/>
  <c r="T514" i="16" s="1"/>
  <c r="R515" i="16" a="1"/>
  <c r="R515" i="16" s="1"/>
  <c r="S515" i="16" a="1"/>
  <c r="S515" i="16" s="1"/>
  <c r="T515" i="16" a="1"/>
  <c r="T515" i="16" s="1"/>
  <c r="N1016" i="16" a="1"/>
  <c r="N1016" i="16" s="1"/>
  <c r="O1016" i="16" a="1"/>
  <c r="O1016" i="16" s="1"/>
  <c r="P1016" i="16" a="1"/>
  <c r="P1016" i="16"/>
  <c r="N1017" i="16" a="1"/>
  <c r="N1017" i="16" s="1"/>
  <c r="O1017" i="16" a="1"/>
  <c r="O1017" i="16" s="1"/>
  <c r="P1017" i="16" a="1"/>
  <c r="P1017" i="16" s="1"/>
  <c r="N1018" i="16" a="1"/>
  <c r="N1018" i="16" s="1"/>
  <c r="O1018" i="16" a="1"/>
  <c r="O1018" i="16" s="1"/>
  <c r="P1018" i="16" a="1"/>
  <c r="P1018" i="16" s="1"/>
  <c r="N1019" i="16" a="1"/>
  <c r="N1019" i="16" s="1"/>
  <c r="O1019" i="16" a="1"/>
  <c r="O1019" i="16" s="1"/>
  <c r="P1019" i="16" a="1"/>
  <c r="P1019" i="16" s="1"/>
  <c r="N1020" i="16" a="1"/>
  <c r="N1020" i="16" s="1"/>
  <c r="O1020" i="16" a="1"/>
  <c r="O1020" i="16" s="1"/>
  <c r="P1020" i="16" a="1"/>
  <c r="P1020" i="16" s="1"/>
  <c r="N1021" i="16" a="1"/>
  <c r="N1021" i="16" s="1"/>
  <c r="O1021" i="16" a="1"/>
  <c r="O1021" i="16" s="1"/>
  <c r="P1021" i="16" a="1"/>
  <c r="P1021" i="16" s="1"/>
  <c r="N1022" i="16" a="1"/>
  <c r="N1022" i="16" s="1"/>
  <c r="O1022" i="16" a="1"/>
  <c r="O1022" i="16" s="1"/>
  <c r="P1022" i="16" a="1"/>
  <c r="P1022" i="16" s="1"/>
  <c r="N1023" i="16" a="1"/>
  <c r="N1023" i="16" s="1"/>
  <c r="O1023" i="16" a="1"/>
  <c r="O1023" i="16" s="1"/>
  <c r="P1023" i="16" a="1"/>
  <c r="P1023" i="16" s="1"/>
  <c r="N1024" i="16" a="1"/>
  <c r="N1024" i="16" s="1"/>
  <c r="O1024" i="16" a="1"/>
  <c r="O1024" i="16" s="1"/>
  <c r="P1024" i="16" a="1"/>
  <c r="P1024" i="16" s="1"/>
  <c r="N1025" i="16" a="1"/>
  <c r="N1025" i="16" s="1"/>
  <c r="O1025" i="16" a="1"/>
  <c r="O1025" i="16" s="1"/>
  <c r="P1025" i="16" a="1"/>
  <c r="P1025" i="16" s="1"/>
  <c r="N516" i="16" a="1"/>
  <c r="N516" i="16" s="1"/>
  <c r="O516" i="16" a="1"/>
  <c r="O516" i="16"/>
  <c r="P516" i="16" a="1"/>
  <c r="P516" i="16" s="1"/>
  <c r="N517" i="16" a="1"/>
  <c r="N517" i="16" s="1"/>
  <c r="O517" i="16" a="1"/>
  <c r="O517" i="16" s="1"/>
  <c r="P517" i="16" a="1"/>
  <c r="P517" i="16" s="1"/>
  <c r="N518" i="16" a="1"/>
  <c r="N518" i="16" s="1"/>
  <c r="O518" i="16" a="1"/>
  <c r="O518" i="16" s="1"/>
  <c r="P518" i="16" a="1"/>
  <c r="P518" i="16" s="1"/>
  <c r="N519" i="16" a="1"/>
  <c r="N519" i="16" s="1"/>
  <c r="O519" i="16" a="1"/>
  <c r="O519" i="16" s="1"/>
  <c r="P519" i="16" a="1"/>
  <c r="P519" i="16" s="1"/>
  <c r="N520" i="16" a="1"/>
  <c r="N520" i="16" s="1"/>
  <c r="O520" i="16" a="1"/>
  <c r="O520" i="16" s="1"/>
  <c r="P520" i="16" a="1"/>
  <c r="P520" i="16" s="1"/>
  <c r="N521" i="16" a="1"/>
  <c r="N521" i="16" s="1"/>
  <c r="O521" i="16" a="1"/>
  <c r="O521" i="16" s="1"/>
  <c r="P521" i="16" a="1"/>
  <c r="P521" i="16" s="1"/>
  <c r="N522" i="16" a="1"/>
  <c r="N522" i="16" s="1"/>
  <c r="O522" i="16" a="1"/>
  <c r="O522" i="16" s="1"/>
  <c r="P522" i="16" a="1"/>
  <c r="P522" i="16" s="1"/>
  <c r="N523" i="16" a="1"/>
  <c r="N523" i="16" s="1"/>
  <c r="O523" i="16" a="1"/>
  <c r="O523" i="16" s="1"/>
  <c r="P523" i="16" a="1"/>
  <c r="P523" i="16" s="1"/>
  <c r="N524" i="16" a="1"/>
  <c r="N524" i="16" s="1"/>
  <c r="O524" i="16" a="1"/>
  <c r="O524" i="16" s="1"/>
  <c r="P524" i="16" a="1"/>
  <c r="P524" i="16" s="1"/>
  <c r="N525" i="16" a="1"/>
  <c r="N525" i="16" s="1"/>
  <c r="O525" i="16" a="1"/>
  <c r="O525" i="16" s="1"/>
  <c r="P525" i="16" a="1"/>
  <c r="P525" i="16" s="1"/>
  <c r="N526" i="16" a="1"/>
  <c r="N526" i="16" s="1"/>
  <c r="O526" i="16" a="1"/>
  <c r="O526" i="16" s="1"/>
  <c r="P526" i="16" a="1"/>
  <c r="P526" i="16"/>
  <c r="N527" i="16" a="1"/>
  <c r="N527" i="16" s="1"/>
  <c r="O527" i="16" a="1"/>
  <c r="O527" i="16" s="1"/>
  <c r="P527" i="16" a="1"/>
  <c r="P527" i="16" s="1"/>
  <c r="N528" i="16" a="1"/>
  <c r="N528" i="16" s="1"/>
  <c r="O528" i="16" a="1"/>
  <c r="O528" i="16" s="1"/>
  <c r="P528" i="16" a="1"/>
  <c r="P528" i="16"/>
  <c r="N529" i="16" a="1"/>
  <c r="N529" i="16" s="1"/>
  <c r="O529" i="16" a="1"/>
  <c r="O529" i="16" s="1"/>
  <c r="P529" i="16" a="1"/>
  <c r="P529" i="16" s="1"/>
  <c r="N530" i="16" a="1"/>
  <c r="N530" i="16" s="1"/>
  <c r="O530" i="16" a="1"/>
  <c r="O530" i="16" s="1"/>
  <c r="P530" i="16" a="1"/>
  <c r="P530" i="16" s="1"/>
  <c r="N531" i="16" a="1"/>
  <c r="N531" i="16" s="1"/>
  <c r="O531" i="16" a="1"/>
  <c r="O531" i="16"/>
  <c r="P531" i="16" a="1"/>
  <c r="P531" i="16" s="1"/>
  <c r="N532" i="16" a="1"/>
  <c r="N532" i="16" s="1"/>
  <c r="O532" i="16" a="1"/>
  <c r="O532" i="16" s="1"/>
  <c r="P532" i="16" a="1"/>
  <c r="P532" i="16" s="1"/>
  <c r="N533" i="16" a="1"/>
  <c r="N533" i="16" s="1"/>
  <c r="O533" i="16" a="1"/>
  <c r="O533" i="16" s="1"/>
  <c r="P533" i="16" a="1"/>
  <c r="P533" i="16" s="1"/>
  <c r="N534" i="16" a="1"/>
  <c r="N534" i="16" s="1"/>
  <c r="O534" i="16" a="1"/>
  <c r="O534" i="16" s="1"/>
  <c r="P534" i="16" a="1"/>
  <c r="P534" i="16" s="1"/>
  <c r="N535" i="16" a="1"/>
  <c r="N535" i="16" s="1"/>
  <c r="O535" i="16" a="1"/>
  <c r="O535" i="16" s="1"/>
  <c r="P535" i="16" a="1"/>
  <c r="P535" i="16" s="1"/>
  <c r="N536" i="16" a="1"/>
  <c r="N536" i="16" s="1"/>
  <c r="O536" i="16" a="1"/>
  <c r="O536" i="16" s="1"/>
  <c r="P536" i="16" a="1"/>
  <c r="P536" i="16" s="1"/>
  <c r="N537" i="16" a="1"/>
  <c r="N537" i="16" s="1"/>
  <c r="O537" i="16" a="1"/>
  <c r="O537" i="16" s="1"/>
  <c r="P537" i="16" a="1"/>
  <c r="P537" i="16" s="1"/>
  <c r="N538" i="16" a="1"/>
  <c r="N538" i="16" s="1"/>
  <c r="O538" i="16" a="1"/>
  <c r="O538" i="16" s="1"/>
  <c r="P538" i="16" a="1"/>
  <c r="P538" i="16" s="1"/>
  <c r="N539" i="16" a="1"/>
  <c r="N539" i="16" s="1"/>
  <c r="O539" i="16" a="1"/>
  <c r="O539" i="16" s="1"/>
  <c r="P539" i="16" a="1"/>
  <c r="P539" i="16" s="1"/>
  <c r="N540" i="16" a="1"/>
  <c r="N540" i="16" s="1"/>
  <c r="O540" i="16" a="1"/>
  <c r="O540" i="16" s="1"/>
  <c r="P540" i="16" a="1"/>
  <c r="P540" i="16" s="1"/>
  <c r="N541" i="16" a="1"/>
  <c r="N541" i="16" s="1"/>
  <c r="O541" i="16" a="1"/>
  <c r="O541" i="16" s="1"/>
  <c r="P541" i="16" a="1"/>
  <c r="P541" i="16" s="1"/>
  <c r="N542" i="16" a="1"/>
  <c r="N542" i="16" s="1"/>
  <c r="O542" i="16" a="1"/>
  <c r="O542" i="16" s="1"/>
  <c r="P542" i="16" a="1"/>
  <c r="P542" i="16" s="1"/>
  <c r="N543" i="16" a="1"/>
  <c r="N543" i="16" s="1"/>
  <c r="O543" i="16" a="1"/>
  <c r="O543" i="16" s="1"/>
  <c r="P543" i="16" a="1"/>
  <c r="P543" i="16" s="1"/>
  <c r="N544" i="16" a="1"/>
  <c r="N544" i="16" s="1"/>
  <c r="O544" i="16" a="1"/>
  <c r="O544" i="16" s="1"/>
  <c r="P544" i="16" a="1"/>
  <c r="P544" i="16" s="1"/>
  <c r="N545" i="16" a="1"/>
  <c r="N545" i="16" s="1"/>
  <c r="O545" i="16" a="1"/>
  <c r="O545" i="16" s="1"/>
  <c r="P545" i="16" a="1"/>
  <c r="P545" i="16" s="1"/>
  <c r="N546" i="16" a="1"/>
  <c r="N546" i="16" s="1"/>
  <c r="O546" i="16" a="1"/>
  <c r="O546" i="16" s="1"/>
  <c r="P546" i="16" a="1"/>
  <c r="P546" i="16" s="1"/>
  <c r="N547" i="16" a="1"/>
  <c r="N547" i="16" s="1"/>
  <c r="O547" i="16" a="1"/>
  <c r="O547" i="16" s="1"/>
  <c r="P547" i="16" a="1"/>
  <c r="P547" i="16" s="1"/>
  <c r="N548" i="16" a="1"/>
  <c r="N548" i="16" s="1"/>
  <c r="O548" i="16" a="1"/>
  <c r="O548" i="16" s="1"/>
  <c r="P548" i="16" a="1"/>
  <c r="P548" i="16" s="1"/>
  <c r="N549" i="16" a="1"/>
  <c r="N549" i="16" s="1"/>
  <c r="O549" i="16" a="1"/>
  <c r="O549" i="16" s="1"/>
  <c r="P549" i="16" a="1"/>
  <c r="P549" i="16" s="1"/>
  <c r="N550" i="16" a="1"/>
  <c r="N550" i="16" s="1"/>
  <c r="O550" i="16" a="1"/>
  <c r="O550" i="16" s="1"/>
  <c r="P550" i="16" a="1"/>
  <c r="P550" i="16" s="1"/>
  <c r="N551" i="16" a="1"/>
  <c r="N551" i="16" s="1"/>
  <c r="O551" i="16" a="1"/>
  <c r="O551" i="16" s="1"/>
  <c r="P551" i="16" a="1"/>
  <c r="P551" i="16" s="1"/>
  <c r="N552" i="16" a="1"/>
  <c r="N552" i="16" s="1"/>
  <c r="O552" i="16" a="1"/>
  <c r="O552" i="16" s="1"/>
  <c r="P552" i="16" a="1"/>
  <c r="P552" i="16" s="1"/>
  <c r="N553" i="16" a="1"/>
  <c r="N553" i="16" s="1"/>
  <c r="O553" i="16" a="1"/>
  <c r="O553" i="16" s="1"/>
  <c r="P553" i="16" a="1"/>
  <c r="P553" i="16" s="1"/>
  <c r="N554" i="16" a="1"/>
  <c r="N554" i="16" s="1"/>
  <c r="O554" i="16" a="1"/>
  <c r="O554" i="16" s="1"/>
  <c r="P554" i="16" a="1"/>
  <c r="P554" i="16" s="1"/>
  <c r="N555" i="16" a="1"/>
  <c r="N555" i="16" s="1"/>
  <c r="O555" i="16" a="1"/>
  <c r="O555" i="16" s="1"/>
  <c r="P555" i="16" a="1"/>
  <c r="P555" i="16" s="1"/>
  <c r="N556" i="16" a="1"/>
  <c r="N556" i="16" s="1"/>
  <c r="O556" i="16" a="1"/>
  <c r="O556" i="16"/>
  <c r="P556" i="16" a="1"/>
  <c r="P556" i="16"/>
  <c r="N557" i="16" a="1"/>
  <c r="N557" i="16"/>
  <c r="O557" i="16" a="1"/>
  <c r="O557" i="16" s="1"/>
  <c r="P557" i="16" a="1"/>
  <c r="P557" i="16" s="1"/>
  <c r="N558" i="16" a="1"/>
  <c r="N558" i="16" s="1"/>
  <c r="O558" i="16" a="1"/>
  <c r="O558" i="16" s="1"/>
  <c r="P558" i="16" a="1"/>
  <c r="P558" i="16" s="1"/>
  <c r="N559" i="16" a="1"/>
  <c r="N559" i="16" s="1"/>
  <c r="O559" i="16" a="1"/>
  <c r="O559" i="16" s="1"/>
  <c r="P559" i="16" a="1"/>
  <c r="P559" i="16"/>
  <c r="N560" i="16" a="1"/>
  <c r="N560" i="16" s="1"/>
  <c r="O560" i="16" a="1"/>
  <c r="O560" i="16"/>
  <c r="P560" i="16" a="1"/>
  <c r="P560" i="16"/>
  <c r="N561" i="16" a="1"/>
  <c r="N561" i="16" s="1"/>
  <c r="O561" i="16" a="1"/>
  <c r="O561" i="16" s="1"/>
  <c r="P561" i="16" a="1"/>
  <c r="P561" i="16" s="1"/>
  <c r="N562" i="16" a="1"/>
  <c r="N562" i="16" s="1"/>
  <c r="O562" i="16" a="1"/>
  <c r="O562" i="16" s="1"/>
  <c r="P562" i="16" a="1"/>
  <c r="P562" i="16" s="1"/>
  <c r="N563" i="16" a="1"/>
  <c r="N563" i="16"/>
  <c r="O563" i="16" a="1"/>
  <c r="O563" i="16"/>
  <c r="P563" i="16" a="1"/>
  <c r="P563" i="16"/>
  <c r="N564" i="16" a="1"/>
  <c r="N564" i="16"/>
  <c r="O564" i="16" a="1"/>
  <c r="O564" i="16" s="1"/>
  <c r="P564" i="16" a="1"/>
  <c r="P564" i="16" s="1"/>
  <c r="N565" i="16" a="1"/>
  <c r="N565" i="16" s="1"/>
  <c r="O565" i="16" a="1"/>
  <c r="O565" i="16" s="1"/>
  <c r="P565" i="16" a="1"/>
  <c r="P565" i="16" s="1"/>
  <c r="N566" i="16" a="1"/>
  <c r="N566" i="16" s="1"/>
  <c r="O566" i="16" a="1"/>
  <c r="O566" i="16"/>
  <c r="P566" i="16" a="1"/>
  <c r="P566" i="16"/>
  <c r="N567" i="16" a="1"/>
  <c r="N567" i="16" s="1"/>
  <c r="O567" i="16" a="1"/>
  <c r="O567" i="16"/>
  <c r="P567" i="16" a="1"/>
  <c r="P567" i="16" s="1"/>
  <c r="N568" i="16" a="1"/>
  <c r="N568" i="16" s="1"/>
  <c r="O568" i="16" a="1"/>
  <c r="O568" i="16" s="1"/>
  <c r="P568" i="16" a="1"/>
  <c r="P568" i="16" s="1"/>
  <c r="N569" i="16" a="1"/>
  <c r="N569" i="16" s="1"/>
  <c r="O569" i="16" a="1"/>
  <c r="O569" i="16" s="1"/>
  <c r="P569" i="16" a="1"/>
  <c r="P569" i="16" s="1"/>
  <c r="N570" i="16" a="1"/>
  <c r="N570" i="16"/>
  <c r="O570" i="16" a="1"/>
  <c r="O570" i="16"/>
  <c r="P570" i="16" a="1"/>
  <c r="P570" i="16"/>
  <c r="N571" i="16" a="1"/>
  <c r="N571" i="16" s="1"/>
  <c r="O571" i="16" a="1"/>
  <c r="O571" i="16" s="1"/>
  <c r="P571" i="16" a="1"/>
  <c r="P571" i="16" s="1"/>
  <c r="N572" i="16" a="1"/>
  <c r="N572" i="16" s="1"/>
  <c r="O572" i="16" a="1"/>
  <c r="O572" i="16" s="1"/>
  <c r="P572" i="16" a="1"/>
  <c r="P572" i="16" s="1"/>
  <c r="N573" i="16" a="1"/>
  <c r="N573" i="16"/>
  <c r="O573" i="16" a="1"/>
  <c r="O573" i="16"/>
  <c r="P573" i="16" a="1"/>
  <c r="P573" i="16"/>
  <c r="N574" i="16" a="1"/>
  <c r="N574" i="16" s="1"/>
  <c r="O574" i="16" a="1"/>
  <c r="O574" i="16" s="1"/>
  <c r="P574" i="16" a="1"/>
  <c r="P574" i="16" s="1"/>
  <c r="N575" i="16" a="1"/>
  <c r="N575" i="16" s="1"/>
  <c r="O575" i="16" a="1"/>
  <c r="O575" i="16" s="1"/>
  <c r="P575" i="16" a="1"/>
  <c r="P575" i="16" s="1"/>
  <c r="N576" i="16" a="1"/>
  <c r="N576" i="16" s="1"/>
  <c r="O576" i="16" a="1"/>
  <c r="O576" i="16"/>
  <c r="P576" i="16" a="1"/>
  <c r="P576" i="16" s="1"/>
  <c r="N577" i="16" a="1"/>
  <c r="N577" i="16"/>
  <c r="O577" i="16" a="1"/>
  <c r="O577" i="16"/>
  <c r="P577" i="16" a="1"/>
  <c r="P577" i="16" s="1"/>
  <c r="N578" i="16" a="1"/>
  <c r="N578" i="16" s="1"/>
  <c r="O578" i="16" a="1"/>
  <c r="O578" i="16" s="1"/>
  <c r="P578" i="16" a="1"/>
  <c r="P578" i="16" s="1"/>
  <c r="N579" i="16" a="1"/>
  <c r="N579" i="16" s="1"/>
  <c r="O579" i="16" a="1"/>
  <c r="O579" i="16" s="1"/>
  <c r="P579" i="16" a="1"/>
  <c r="P579" i="16"/>
  <c r="N580" i="16" a="1"/>
  <c r="N580" i="16"/>
  <c r="O580" i="16" a="1"/>
  <c r="O580" i="16"/>
  <c r="P580" i="16" a="1"/>
  <c r="P580" i="16"/>
  <c r="N581" i="16" a="1"/>
  <c r="N581" i="16" s="1"/>
  <c r="O581" i="16" a="1"/>
  <c r="O581" i="16" s="1"/>
  <c r="P581" i="16" a="1"/>
  <c r="P581" i="16" s="1"/>
  <c r="N582" i="16" a="1"/>
  <c r="N582" i="16" s="1"/>
  <c r="O582" i="16" a="1"/>
  <c r="O582" i="16" s="1"/>
  <c r="P582" i="16" a="1"/>
  <c r="P582" i="16" s="1"/>
  <c r="N583" i="16" a="1"/>
  <c r="N583" i="16"/>
  <c r="O583" i="16" a="1"/>
  <c r="O583" i="16"/>
  <c r="P583" i="16" a="1"/>
  <c r="P583" i="16" s="1"/>
  <c r="N584" i="16" a="1"/>
  <c r="N584" i="16"/>
  <c r="O584" i="16" a="1"/>
  <c r="O584" i="16" s="1"/>
  <c r="P584" i="16" a="1"/>
  <c r="P584" i="16" s="1"/>
  <c r="N585" i="16" a="1"/>
  <c r="N585" i="16" s="1"/>
  <c r="O585" i="16" a="1"/>
  <c r="O585" i="16" s="1"/>
  <c r="P585" i="16" a="1"/>
  <c r="P585" i="16" s="1"/>
  <c r="N586" i="16" a="1"/>
  <c r="N586" i="16" s="1"/>
  <c r="O586" i="16" a="1"/>
  <c r="O586" i="16" s="1"/>
  <c r="P586" i="16" a="1"/>
  <c r="P586" i="16"/>
  <c r="N587" i="16" a="1"/>
  <c r="N587" i="16"/>
  <c r="O587" i="16" a="1"/>
  <c r="O587" i="16"/>
  <c r="P587" i="16" a="1"/>
  <c r="P587" i="16" s="1"/>
  <c r="N588" i="16" a="1"/>
  <c r="N588" i="16" s="1"/>
  <c r="O588" i="16" a="1"/>
  <c r="O588" i="16" s="1"/>
  <c r="P588" i="16" a="1"/>
  <c r="P588" i="16" s="1"/>
  <c r="N589" i="16" a="1"/>
  <c r="N589" i="16" s="1"/>
  <c r="O589" i="16" a="1"/>
  <c r="O589" i="16" s="1"/>
  <c r="P589" i="16" a="1"/>
  <c r="P589" i="16"/>
  <c r="N590" i="16" a="1"/>
  <c r="N590" i="16"/>
  <c r="O590" i="16" a="1"/>
  <c r="O590" i="16"/>
  <c r="P590" i="16" a="1"/>
  <c r="P590" i="16" s="1"/>
  <c r="N591" i="16" a="1"/>
  <c r="N591" i="16" s="1"/>
  <c r="O591" i="16" a="1"/>
  <c r="O591" i="16" s="1"/>
  <c r="P591" i="16" a="1"/>
  <c r="P591" i="16" s="1"/>
  <c r="N592" i="16" a="1"/>
  <c r="N592" i="16" s="1"/>
  <c r="O592" i="16" a="1"/>
  <c r="O592" i="16" s="1"/>
  <c r="P592" i="16" a="1"/>
  <c r="P592" i="16" s="1"/>
  <c r="N593" i="16" a="1"/>
  <c r="N593" i="16"/>
  <c r="O593" i="16" a="1"/>
  <c r="O593" i="16" s="1"/>
  <c r="P593" i="16" a="1"/>
  <c r="P593" i="16"/>
  <c r="N594" i="16" a="1"/>
  <c r="N594" i="16"/>
  <c r="O594" i="16" a="1"/>
  <c r="O594" i="16" s="1"/>
  <c r="P594" i="16" a="1"/>
  <c r="P594" i="16" s="1"/>
  <c r="N595" i="16" a="1"/>
  <c r="N595" i="16" s="1"/>
  <c r="O595" i="16" a="1"/>
  <c r="O595" i="16" s="1"/>
  <c r="P595" i="16" a="1"/>
  <c r="P595" i="16" s="1"/>
  <c r="N596" i="16" a="1"/>
  <c r="N596" i="16" s="1"/>
  <c r="O596" i="16" a="1"/>
  <c r="O596" i="16"/>
  <c r="P596" i="16" a="1"/>
  <c r="P596" i="16"/>
  <c r="N597" i="16" a="1"/>
  <c r="N597" i="16"/>
  <c r="O597" i="16" a="1"/>
  <c r="O597" i="16"/>
  <c r="P597" i="16" a="1"/>
  <c r="P597" i="16" s="1"/>
  <c r="N598" i="16" a="1"/>
  <c r="N598" i="16" s="1"/>
  <c r="O598" i="16" a="1"/>
  <c r="O598" i="16" s="1"/>
  <c r="P598" i="16" a="1"/>
  <c r="P598" i="16" s="1"/>
  <c r="N599" i="16" a="1"/>
  <c r="N599" i="16" s="1"/>
  <c r="O599" i="16" a="1"/>
  <c r="O599" i="16" s="1"/>
  <c r="P599" i="16" a="1"/>
  <c r="P599" i="16"/>
  <c r="N600" i="16" a="1"/>
  <c r="N600" i="16"/>
  <c r="O600" i="16" a="1"/>
  <c r="O600" i="16" s="1"/>
  <c r="P600" i="16" a="1"/>
  <c r="P600" i="16"/>
  <c r="N601" i="16" a="1"/>
  <c r="N601" i="16" s="1"/>
  <c r="O601" i="16" a="1"/>
  <c r="O601" i="16" s="1"/>
  <c r="P601" i="16" a="1"/>
  <c r="P601" i="16" s="1"/>
  <c r="N602" i="16" a="1"/>
  <c r="N602" i="16" s="1"/>
  <c r="O602" i="16" a="1"/>
  <c r="O602" i="16" s="1"/>
  <c r="P602" i="16" a="1"/>
  <c r="P602" i="16" s="1"/>
  <c r="N603" i="16" a="1"/>
  <c r="N603" i="16" s="1"/>
  <c r="O603" i="16" a="1"/>
  <c r="O603" i="16"/>
  <c r="P603" i="16" a="1"/>
  <c r="P603" i="16"/>
  <c r="N604" i="16" a="1"/>
  <c r="N604" i="16"/>
  <c r="O604" i="16" a="1"/>
  <c r="O604" i="16" s="1"/>
  <c r="P604" i="16" a="1"/>
  <c r="P604" i="16" s="1"/>
  <c r="N605" i="16" a="1"/>
  <c r="N605" i="16" s="1"/>
  <c r="O605" i="16" a="1"/>
  <c r="O605" i="16" s="1"/>
  <c r="P605" i="16" a="1"/>
  <c r="P605" i="16" s="1"/>
  <c r="N606" i="16" a="1"/>
  <c r="N606" i="16" s="1"/>
  <c r="O606" i="16" a="1"/>
  <c r="O606" i="16"/>
  <c r="P606" i="16" a="1"/>
  <c r="P606" i="16"/>
  <c r="N607" i="16" a="1"/>
  <c r="N607" i="16"/>
  <c r="O607" i="16" a="1"/>
  <c r="O607" i="16" s="1"/>
  <c r="P607" i="16" a="1"/>
  <c r="P607" i="16" s="1"/>
  <c r="N608" i="16" a="1"/>
  <c r="N608" i="16" s="1"/>
  <c r="O608" i="16" a="1"/>
  <c r="O608" i="16" s="1"/>
  <c r="P608" i="16" a="1"/>
  <c r="P608" i="16" s="1"/>
  <c r="N609" i="16" a="1"/>
  <c r="N609" i="16" s="1"/>
  <c r="O609" i="16" a="1"/>
  <c r="O609" i="16" s="1"/>
  <c r="P609" i="16" a="1"/>
  <c r="P609" i="16"/>
  <c r="N610" i="16" a="1"/>
  <c r="N610" i="16" s="1"/>
  <c r="O610" i="16" a="1"/>
  <c r="O610" i="16"/>
  <c r="P610" i="16" a="1"/>
  <c r="P610" i="16"/>
  <c r="N611" i="16" a="1"/>
  <c r="N611" i="16" s="1"/>
  <c r="O611" i="16" a="1"/>
  <c r="O611" i="16" s="1"/>
  <c r="P611" i="16" a="1"/>
  <c r="P611" i="16" s="1"/>
  <c r="N612" i="16" a="1"/>
  <c r="N612" i="16" s="1"/>
  <c r="O612" i="16" a="1"/>
  <c r="O612" i="16" s="1"/>
  <c r="P612" i="16" a="1"/>
  <c r="P612" i="16" s="1"/>
  <c r="N613" i="16" a="1"/>
  <c r="N613" i="16"/>
  <c r="O613" i="16" a="1"/>
  <c r="O613" i="16"/>
  <c r="P613" i="16" a="1"/>
  <c r="P613" i="16" s="1"/>
  <c r="N614" i="16" a="1"/>
  <c r="N614" i="16"/>
  <c r="O614" i="16" a="1"/>
  <c r="O614" i="16" s="1"/>
  <c r="P614" i="16" a="1"/>
  <c r="P614" i="16" s="1"/>
  <c r="N615" i="16" a="1"/>
  <c r="N615" i="16" s="1"/>
  <c r="O615" i="16" a="1"/>
  <c r="O615" i="16" s="1"/>
  <c r="P615" i="16" a="1"/>
  <c r="P615" i="16" s="1"/>
  <c r="N616" i="16" a="1"/>
  <c r="N616" i="16" s="1"/>
  <c r="O616" i="16" a="1"/>
  <c r="O616" i="16" s="1"/>
  <c r="P616" i="16" a="1"/>
  <c r="P616" i="16"/>
  <c r="N617" i="16" a="1"/>
  <c r="N617" i="16" s="1"/>
  <c r="O617" i="16" a="1"/>
  <c r="O617" i="16"/>
  <c r="P617" i="16" a="1"/>
  <c r="P617" i="16" s="1"/>
  <c r="N618" i="16" a="1"/>
  <c r="N618" i="16" s="1"/>
  <c r="O618" i="16" a="1"/>
  <c r="O618" i="16" s="1"/>
  <c r="P618" i="16" a="1"/>
  <c r="P618" i="16" s="1"/>
  <c r="N619" i="16" a="1"/>
  <c r="N619" i="16" s="1"/>
  <c r="O619" i="16" a="1"/>
  <c r="O619" i="16" s="1"/>
  <c r="P619" i="16" a="1"/>
  <c r="P619" i="16" s="1"/>
  <c r="N620" i="16" a="1"/>
  <c r="N620" i="16"/>
  <c r="O620" i="16" a="1"/>
  <c r="O620" i="16"/>
  <c r="P620" i="16" a="1"/>
  <c r="P620" i="16" s="1"/>
  <c r="N621" i="16" a="1"/>
  <c r="N621" i="16" s="1"/>
  <c r="O621" i="16" a="1"/>
  <c r="O621" i="16" s="1"/>
  <c r="P621" i="16" a="1"/>
  <c r="P621" i="16" s="1"/>
  <c r="N622" i="16" a="1"/>
  <c r="N622" i="16" s="1"/>
  <c r="O622" i="16" a="1"/>
  <c r="O622" i="16" s="1"/>
  <c r="P622" i="16" a="1"/>
  <c r="P622" i="16" s="1"/>
  <c r="N623" i="16" a="1"/>
  <c r="N623" i="16"/>
  <c r="O623" i="16" a="1"/>
  <c r="O623" i="16" s="1"/>
  <c r="P623" i="16" a="1"/>
  <c r="P623" i="16"/>
  <c r="N624" i="16" a="1"/>
  <c r="N624" i="16" s="1"/>
  <c r="O624" i="16" a="1"/>
  <c r="O624" i="16" s="1"/>
  <c r="P624" i="16" a="1"/>
  <c r="P624" i="16" s="1"/>
  <c r="N625" i="16" a="1"/>
  <c r="N625" i="16" s="1"/>
  <c r="O625" i="16" a="1"/>
  <c r="O625" i="16" s="1"/>
  <c r="P625" i="16" a="1"/>
  <c r="P625" i="16" s="1"/>
  <c r="N626" i="16" a="1"/>
  <c r="N626" i="16" s="1"/>
  <c r="O626" i="16" a="1"/>
  <c r="O626" i="16"/>
  <c r="P626" i="16" a="1"/>
  <c r="P626" i="16" s="1"/>
  <c r="N627" i="16" a="1"/>
  <c r="N627" i="16"/>
  <c r="O627" i="16" a="1"/>
  <c r="O627" i="16"/>
  <c r="P627" i="16" a="1"/>
  <c r="P627" i="16" s="1"/>
  <c r="N628" i="16" a="1"/>
  <c r="N628" i="16" s="1"/>
  <c r="O628" i="16" a="1"/>
  <c r="O628" i="16" s="1"/>
  <c r="P628" i="16" a="1"/>
  <c r="P628" i="16" s="1"/>
  <c r="N629" i="16" a="1"/>
  <c r="N629" i="16" s="1"/>
  <c r="O629" i="16" a="1"/>
  <c r="O629" i="16" s="1"/>
  <c r="P629" i="16" a="1"/>
  <c r="P629" i="16"/>
  <c r="N630" i="16" a="1"/>
  <c r="N630" i="16"/>
  <c r="O630" i="16" a="1"/>
  <c r="O630" i="16" s="1"/>
  <c r="P630" i="16" a="1"/>
  <c r="P630" i="16"/>
  <c r="N631" i="16" a="1"/>
  <c r="N631" i="16" s="1"/>
  <c r="O631" i="16" a="1"/>
  <c r="O631" i="16" s="1"/>
  <c r="P631" i="16" a="1"/>
  <c r="P631" i="16" s="1"/>
  <c r="N632" i="16" a="1"/>
  <c r="N632" i="16" s="1"/>
  <c r="O632" i="16" a="1"/>
  <c r="O632" i="16" s="1"/>
  <c r="P632" i="16" a="1"/>
  <c r="P632" i="16" s="1"/>
  <c r="N633" i="16" a="1"/>
  <c r="N633" i="16" s="1"/>
  <c r="O633" i="16" a="1"/>
  <c r="O633" i="16"/>
  <c r="P633" i="16" a="1"/>
  <c r="P633" i="16" s="1"/>
  <c r="N634" i="16" a="1"/>
  <c r="N634" i="16"/>
  <c r="O634" i="16" a="1"/>
  <c r="O634" i="16" s="1"/>
  <c r="P634" i="16" a="1"/>
  <c r="P634" i="16" s="1"/>
  <c r="N635" i="16" a="1"/>
  <c r="N635" i="16" s="1"/>
  <c r="O635" i="16" a="1"/>
  <c r="O635" i="16" s="1"/>
  <c r="P635" i="16" a="1"/>
  <c r="P635" i="16" s="1"/>
  <c r="N636" i="16" a="1"/>
  <c r="N636" i="16" s="1"/>
  <c r="O636" i="16" a="1"/>
  <c r="O636" i="16" s="1"/>
  <c r="P636" i="16" a="1"/>
  <c r="P636" i="16"/>
  <c r="N637" i="16" a="1"/>
  <c r="N637" i="16"/>
  <c r="O637" i="16" a="1"/>
  <c r="O637" i="16" s="1"/>
  <c r="P637" i="16" a="1"/>
  <c r="P637" i="16" s="1"/>
  <c r="N638" i="16" a="1"/>
  <c r="N638" i="16" s="1"/>
  <c r="O638" i="16" a="1"/>
  <c r="O638" i="16" s="1"/>
  <c r="P638" i="16" a="1"/>
  <c r="P638" i="16" s="1"/>
  <c r="N639" i="16" a="1"/>
  <c r="N639" i="16" s="1"/>
  <c r="O639" i="16" a="1"/>
  <c r="O639" i="16" s="1"/>
  <c r="P639" i="16" a="1"/>
  <c r="P639" i="16" s="1"/>
  <c r="N640" i="16" a="1"/>
  <c r="N640" i="16" s="1"/>
  <c r="O640" i="16" a="1"/>
  <c r="O640" i="16"/>
  <c r="P640" i="16" a="1"/>
  <c r="P640" i="16" s="1"/>
  <c r="N641" i="16" a="1"/>
  <c r="N641" i="16" s="1"/>
  <c r="O641" i="16" a="1"/>
  <c r="O641" i="16" s="1"/>
  <c r="P641" i="16" a="1"/>
  <c r="P641" i="16" s="1"/>
  <c r="N642" i="16" a="1"/>
  <c r="N642" i="16" s="1"/>
  <c r="O642" i="16" a="1"/>
  <c r="O642" i="16" s="1"/>
  <c r="P642" i="16" a="1"/>
  <c r="P642" i="16" s="1"/>
  <c r="N643" i="16" a="1"/>
  <c r="N643" i="16"/>
  <c r="O643" i="16" a="1"/>
  <c r="O643" i="16" s="1"/>
  <c r="P643" i="16" a="1"/>
  <c r="P643" i="16"/>
  <c r="N644" i="16" a="1"/>
  <c r="N644" i="16" s="1"/>
  <c r="O644" i="16" a="1"/>
  <c r="O644" i="16" s="1"/>
  <c r="P644" i="16" a="1"/>
  <c r="P644" i="16" s="1"/>
  <c r="N645" i="16" a="1"/>
  <c r="N645" i="16" s="1"/>
  <c r="O645" i="16" a="1"/>
  <c r="O645" i="16" s="1"/>
  <c r="P645" i="16" a="1"/>
  <c r="P645" i="16" s="1"/>
  <c r="N646" i="16" a="1"/>
  <c r="N646" i="16" s="1"/>
  <c r="O646" i="16" a="1"/>
  <c r="O646" i="16"/>
  <c r="P646" i="16" a="1"/>
  <c r="P646" i="16" s="1"/>
  <c r="N647" i="16" a="1"/>
  <c r="N647" i="16" s="1"/>
  <c r="O647" i="16" a="1"/>
  <c r="O647" i="16"/>
  <c r="P647" i="16" a="1"/>
  <c r="P647" i="16" s="1"/>
  <c r="N648" i="16" a="1"/>
  <c r="N648" i="16" s="1"/>
  <c r="O648" i="16" a="1"/>
  <c r="O648" i="16" s="1"/>
  <c r="P648" i="16" a="1"/>
  <c r="P648" i="16" s="1"/>
  <c r="N649" i="16" a="1"/>
  <c r="N649" i="16" s="1"/>
  <c r="O649" i="16" a="1"/>
  <c r="O649" i="16" s="1"/>
  <c r="P649" i="16" a="1"/>
  <c r="P649" i="16" s="1"/>
  <c r="N650" i="16" a="1"/>
  <c r="N650" i="16"/>
  <c r="O650" i="16" a="1"/>
  <c r="O650" i="16" s="1"/>
  <c r="P650" i="16" a="1"/>
  <c r="P650" i="16"/>
  <c r="N651" i="16" a="1"/>
  <c r="N651" i="16" s="1"/>
  <c r="O651" i="16" a="1"/>
  <c r="O651" i="16" s="1"/>
  <c r="P651" i="16" a="1"/>
  <c r="P651" i="16" s="1"/>
  <c r="N652" i="16" a="1"/>
  <c r="N652" i="16" s="1"/>
  <c r="O652" i="16" a="1"/>
  <c r="O652" i="16" s="1"/>
  <c r="P652" i="16" a="1"/>
  <c r="P652" i="16" s="1"/>
  <c r="N653" i="16" a="1"/>
  <c r="N653" i="16" s="1"/>
  <c r="O653" i="16" a="1"/>
  <c r="O653" i="16"/>
  <c r="P653" i="16" a="1"/>
  <c r="P653" i="16" s="1"/>
  <c r="N654" i="16" a="1"/>
  <c r="N654" i="16" s="1"/>
  <c r="O654" i="16" a="1"/>
  <c r="O654" i="16" s="1"/>
  <c r="P654" i="16" a="1"/>
  <c r="P654" i="16" s="1"/>
  <c r="N655" i="16" a="1"/>
  <c r="N655" i="16" s="1"/>
  <c r="O655" i="16" a="1"/>
  <c r="O655" i="16" s="1"/>
  <c r="P655" i="16" a="1"/>
  <c r="P655" i="16" s="1"/>
  <c r="N656" i="16" a="1"/>
  <c r="N656" i="16" s="1"/>
  <c r="O656" i="16" a="1"/>
  <c r="O656" i="16" s="1"/>
  <c r="P656" i="16" a="1"/>
  <c r="P656" i="16" s="1"/>
  <c r="N657" i="16" a="1"/>
  <c r="N657" i="16"/>
  <c r="O657" i="16" a="1"/>
  <c r="O657" i="16" s="1"/>
  <c r="P657" i="16" a="1"/>
  <c r="P657" i="16"/>
  <c r="N658" i="16" a="1"/>
  <c r="N658" i="16" s="1"/>
  <c r="O658" i="16" a="1"/>
  <c r="O658" i="16" s="1"/>
  <c r="P658" i="16" a="1"/>
  <c r="P658" i="16"/>
  <c r="N659" i="16" a="1"/>
  <c r="N659" i="16" s="1"/>
  <c r="O659" i="16" a="1"/>
  <c r="O659" i="16"/>
  <c r="P659" i="16" a="1"/>
  <c r="P659" i="16" s="1"/>
  <c r="N660" i="16" a="1"/>
  <c r="N660" i="16" s="1"/>
  <c r="O660" i="16" a="1"/>
  <c r="O660" i="16"/>
  <c r="P660" i="16" a="1"/>
  <c r="P660" i="16" s="1"/>
  <c r="N661" i="16" a="1"/>
  <c r="N661" i="16"/>
  <c r="O661" i="16" a="1"/>
  <c r="O661" i="16" s="1"/>
  <c r="P661" i="16" a="1"/>
  <c r="P661" i="16" s="1"/>
  <c r="N662" i="16" a="1"/>
  <c r="N662" i="16"/>
  <c r="O662" i="16" a="1"/>
  <c r="O662" i="16" s="1"/>
  <c r="P662" i="16" a="1"/>
  <c r="P662" i="16"/>
  <c r="N663" i="16" a="1"/>
  <c r="N663" i="16" s="1"/>
  <c r="O663" i="16" a="1"/>
  <c r="O663" i="16" s="1"/>
  <c r="P663" i="16" a="1"/>
  <c r="P663" i="16"/>
  <c r="N664" i="16" a="1"/>
  <c r="N664" i="16" s="1"/>
  <c r="O664" i="16" a="1"/>
  <c r="O664" i="16"/>
  <c r="P664" i="16" a="1"/>
  <c r="P664" i="16" s="1"/>
  <c r="N665" i="16" a="1"/>
  <c r="N665" i="16" s="1"/>
  <c r="O665" i="16" a="1"/>
  <c r="O665" i="16"/>
  <c r="P665" i="16" a="1"/>
  <c r="P665" i="16" s="1"/>
  <c r="N666" i="16" a="1"/>
  <c r="N666" i="16"/>
  <c r="O666" i="16" a="1"/>
  <c r="O666" i="16" s="1"/>
  <c r="P666" i="16" a="1"/>
  <c r="P666" i="16" s="1"/>
  <c r="N667" i="16" a="1"/>
  <c r="N667" i="16"/>
  <c r="O667" i="16" a="1"/>
  <c r="O667" i="16" s="1"/>
  <c r="P667" i="16" a="1"/>
  <c r="P667" i="16"/>
  <c r="N668" i="16" a="1"/>
  <c r="N668" i="16" s="1"/>
  <c r="O668" i="16" a="1"/>
  <c r="O668" i="16" s="1"/>
  <c r="P668" i="16" a="1"/>
  <c r="P668" i="16"/>
  <c r="N669" i="16" a="1"/>
  <c r="N669" i="16" s="1"/>
  <c r="O669" i="16" a="1"/>
  <c r="O669" i="16"/>
  <c r="P669" i="16" a="1"/>
  <c r="P669" i="16" s="1"/>
  <c r="N670" i="16" a="1"/>
  <c r="N670" i="16" s="1"/>
  <c r="O670" i="16" a="1"/>
  <c r="O670" i="16"/>
  <c r="P670" i="16" a="1"/>
  <c r="P670" i="16" s="1"/>
  <c r="N671" i="16" a="1"/>
  <c r="N671" i="16"/>
  <c r="O671" i="16" a="1"/>
  <c r="O671" i="16" s="1"/>
  <c r="P671" i="16" a="1"/>
  <c r="P671" i="16"/>
  <c r="N672" i="16" a="1"/>
  <c r="N672" i="16"/>
  <c r="O672" i="16" a="1"/>
  <c r="O672" i="16"/>
  <c r="P672" i="16" a="1"/>
  <c r="P672" i="16"/>
  <c r="N673" i="16" a="1"/>
  <c r="N673" i="16" s="1"/>
  <c r="O673" i="16" a="1"/>
  <c r="O673" i="16" s="1"/>
  <c r="P673" i="16" a="1"/>
  <c r="P673" i="16" s="1"/>
  <c r="N674" i="16" a="1"/>
  <c r="N674" i="16"/>
  <c r="O674" i="16" a="1"/>
  <c r="O674" i="16" s="1"/>
  <c r="P674" i="16" a="1"/>
  <c r="P674" i="16" s="1"/>
  <c r="N675" i="16" a="1"/>
  <c r="N675" i="16" s="1"/>
  <c r="O675" i="16" a="1"/>
  <c r="O675" i="16"/>
  <c r="P675" i="16" a="1"/>
  <c r="P675" i="16"/>
  <c r="N676" i="16" a="1"/>
  <c r="N676" i="16"/>
  <c r="O676" i="16" a="1"/>
  <c r="O676" i="16" s="1"/>
  <c r="P676" i="16" a="1"/>
  <c r="P676" i="16"/>
  <c r="N677" i="16" a="1"/>
  <c r="N677" i="16" s="1"/>
  <c r="O677" i="16" a="1"/>
  <c r="O677" i="16" s="1"/>
  <c r="P677" i="16" a="1"/>
  <c r="P677" i="16"/>
  <c r="N678" i="16" a="1"/>
  <c r="N678" i="16" s="1"/>
  <c r="O678" i="16" a="1"/>
  <c r="O678" i="16"/>
  <c r="P678" i="16" a="1"/>
  <c r="P678" i="16" s="1"/>
  <c r="N679" i="16" a="1"/>
  <c r="N679" i="16" s="1"/>
  <c r="O679" i="16" a="1"/>
  <c r="O679" i="16" s="1"/>
  <c r="P679" i="16" a="1"/>
  <c r="P679" i="16" s="1"/>
  <c r="N680" i="16" a="1"/>
  <c r="N680" i="16"/>
  <c r="O680" i="16" a="1"/>
  <c r="O680" i="16" s="1"/>
  <c r="P680" i="16" a="1"/>
  <c r="P680" i="16"/>
  <c r="N681" i="16" a="1"/>
  <c r="N681" i="16" s="1"/>
  <c r="O681" i="16" a="1"/>
  <c r="O681" i="16" s="1"/>
  <c r="P681" i="16" a="1"/>
  <c r="P681" i="16" s="1"/>
  <c r="N682" i="16" a="1"/>
  <c r="N682" i="16" s="1"/>
  <c r="O682" i="16" a="1"/>
  <c r="O682" i="16"/>
  <c r="P682" i="16" a="1"/>
  <c r="P682" i="16"/>
  <c r="N683" i="16" a="1"/>
  <c r="N683" i="16" s="1"/>
  <c r="O683" i="16" a="1"/>
  <c r="O683" i="16" s="1"/>
  <c r="P683" i="16" a="1"/>
  <c r="P683" i="16" s="1"/>
  <c r="N684" i="16" a="1"/>
  <c r="N684" i="16" s="1"/>
  <c r="O684" i="16" a="1"/>
  <c r="O684" i="16"/>
  <c r="P684" i="16" a="1"/>
  <c r="P684" i="16" s="1"/>
  <c r="N685" i="16" a="1"/>
  <c r="N685" i="16" s="1"/>
  <c r="O685" i="16" a="1"/>
  <c r="O685" i="16" s="1"/>
  <c r="P685" i="16" a="1"/>
  <c r="P685" i="16" s="1"/>
  <c r="N686" i="16" a="1"/>
  <c r="N686" i="16"/>
  <c r="O686" i="16" a="1"/>
  <c r="O686" i="16" s="1"/>
  <c r="P686" i="16" a="1"/>
  <c r="P686" i="16" s="1"/>
  <c r="N687" i="16" a="1"/>
  <c r="N687" i="16" s="1"/>
  <c r="O687" i="16" a="1"/>
  <c r="O687" i="16" s="1"/>
  <c r="P687" i="16" a="1"/>
  <c r="P687" i="16"/>
  <c r="N688" i="16" a="1"/>
  <c r="N688" i="16" s="1"/>
  <c r="O688" i="16" a="1"/>
  <c r="O688" i="16" s="1"/>
  <c r="P688" i="16" a="1"/>
  <c r="P688" i="16" s="1"/>
  <c r="N689" i="16" a="1"/>
  <c r="N689" i="16" s="1"/>
  <c r="O689" i="16" a="1"/>
  <c r="O689" i="16"/>
  <c r="P689" i="16" a="1"/>
  <c r="P689" i="16" s="1"/>
  <c r="N690" i="16" a="1"/>
  <c r="N690" i="16" s="1"/>
  <c r="O690" i="16" a="1"/>
  <c r="O690" i="16" s="1"/>
  <c r="P690" i="16" a="1"/>
  <c r="P690" i="16" s="1"/>
  <c r="N691" i="16" a="1"/>
  <c r="N691" i="16" s="1"/>
  <c r="O691" i="16" a="1"/>
  <c r="O691" i="16" s="1"/>
  <c r="P691" i="16" a="1"/>
  <c r="P691" i="16" s="1"/>
  <c r="N692" i="16" a="1"/>
  <c r="N692" i="16" s="1"/>
  <c r="O692" i="16" a="1"/>
  <c r="O692" i="16"/>
  <c r="P692" i="16" a="1"/>
  <c r="P692" i="16" s="1"/>
  <c r="N693" i="16" a="1"/>
  <c r="N693" i="16" s="1"/>
  <c r="O693" i="16" a="1"/>
  <c r="O693" i="16" s="1"/>
  <c r="P693" i="16" a="1"/>
  <c r="P693" i="16" s="1"/>
  <c r="N694" i="16" a="1"/>
  <c r="N694" i="16" s="1"/>
  <c r="O694" i="16" a="1"/>
  <c r="O694" i="16" s="1"/>
  <c r="P694" i="16" a="1"/>
  <c r="P694" i="16" s="1"/>
  <c r="N695" i="16" a="1"/>
  <c r="N695" i="16"/>
  <c r="O695" i="16" a="1"/>
  <c r="O695" i="16" s="1"/>
  <c r="P695" i="16" a="1"/>
  <c r="P695" i="16" s="1"/>
  <c r="N696" i="16" a="1"/>
  <c r="N696" i="16"/>
  <c r="O696" i="16" a="1"/>
  <c r="O696" i="16" s="1"/>
  <c r="P696" i="16" a="1"/>
  <c r="P696" i="16" s="1"/>
  <c r="N697" i="16" a="1"/>
  <c r="N697" i="16" s="1"/>
  <c r="O697" i="16" a="1"/>
  <c r="O697" i="16" s="1"/>
  <c r="P697" i="16" a="1"/>
  <c r="P697" i="16" s="1"/>
  <c r="N698" i="16" a="1"/>
  <c r="N698" i="16" s="1"/>
  <c r="O698" i="16" a="1"/>
  <c r="O698" i="16"/>
  <c r="P698" i="16" a="1"/>
  <c r="P698" i="16"/>
  <c r="N699" i="16" a="1"/>
  <c r="N699" i="16" s="1"/>
  <c r="O699" i="16" a="1"/>
  <c r="O699" i="16" s="1"/>
  <c r="P699" i="16" a="1"/>
  <c r="P699" i="16"/>
  <c r="N700" i="16" a="1"/>
  <c r="N700" i="16" s="1"/>
  <c r="O700" i="16" a="1"/>
  <c r="O700" i="16" s="1"/>
  <c r="P700" i="16" a="1"/>
  <c r="P700" i="16" s="1"/>
  <c r="N701" i="16" a="1"/>
  <c r="N701" i="16" s="1"/>
  <c r="O701" i="16" a="1"/>
  <c r="O701" i="16" s="1"/>
  <c r="P701" i="16" a="1"/>
  <c r="P701" i="16" s="1"/>
  <c r="N702" i="16" a="1"/>
  <c r="N702" i="16" s="1"/>
  <c r="O702" i="16" a="1"/>
  <c r="O702" i="16" s="1"/>
  <c r="P702" i="16" a="1"/>
  <c r="P702" i="16" s="1"/>
  <c r="N703" i="16" a="1"/>
  <c r="N703" i="16" s="1"/>
  <c r="O703" i="16" a="1"/>
  <c r="O703" i="16"/>
  <c r="P703" i="16" a="1"/>
  <c r="P703" i="16"/>
  <c r="N704" i="16" a="1"/>
  <c r="N704" i="16" s="1"/>
  <c r="O704" i="16" a="1"/>
  <c r="O704" i="16" s="1"/>
  <c r="P704" i="16" a="1"/>
  <c r="P704" i="16"/>
  <c r="N705" i="16" a="1"/>
  <c r="N705" i="16" s="1"/>
  <c r="O705" i="16" a="1"/>
  <c r="O705" i="16" s="1"/>
  <c r="P705" i="16" a="1"/>
  <c r="P705" i="16" s="1"/>
  <c r="N706" i="16" a="1"/>
  <c r="N706" i="16" s="1"/>
  <c r="O706" i="16" a="1"/>
  <c r="O706" i="16" s="1"/>
  <c r="P706" i="16" a="1"/>
  <c r="P706" i="16" s="1"/>
  <c r="N707" i="16" a="1"/>
  <c r="N707" i="16" s="1"/>
  <c r="O707" i="16" a="1"/>
  <c r="O707" i="16" s="1"/>
  <c r="P707" i="16" a="1"/>
  <c r="P707" i="16" s="1"/>
  <c r="N708" i="16" a="1"/>
  <c r="N708" i="16"/>
  <c r="O708" i="16" a="1"/>
  <c r="O708" i="16"/>
  <c r="P708" i="16" a="1"/>
  <c r="P708" i="16" s="1"/>
  <c r="N709" i="16" a="1"/>
  <c r="N709" i="16" s="1"/>
  <c r="O709" i="16" a="1"/>
  <c r="O709" i="16" s="1"/>
  <c r="P709" i="16" a="1"/>
  <c r="P709" i="16" s="1"/>
  <c r="N710" i="16" a="1"/>
  <c r="N710" i="16" s="1"/>
  <c r="O710" i="16" a="1"/>
  <c r="O710" i="16" s="1"/>
  <c r="P710" i="16" a="1"/>
  <c r="P710" i="16" s="1"/>
  <c r="N711" i="16" a="1"/>
  <c r="N711" i="16" s="1"/>
  <c r="O711" i="16" a="1"/>
  <c r="O711" i="16" s="1"/>
  <c r="P711" i="16" a="1"/>
  <c r="P711" i="16"/>
  <c r="N712" i="16" a="1"/>
  <c r="N712" i="16"/>
  <c r="O712" i="16" a="1"/>
  <c r="O712" i="16" s="1"/>
  <c r="P712" i="16" a="1"/>
  <c r="P712" i="16" s="1"/>
  <c r="N713" i="16" a="1"/>
  <c r="N713" i="16" s="1"/>
  <c r="O713" i="16" a="1"/>
  <c r="O713" i="16" s="1"/>
  <c r="P713" i="16" a="1"/>
  <c r="P713" i="16" s="1"/>
  <c r="N714" i="16" a="1"/>
  <c r="N714" i="16" s="1"/>
  <c r="O714" i="16" a="1"/>
  <c r="O714" i="16" s="1"/>
  <c r="P714" i="16" a="1"/>
  <c r="P714" i="16" s="1"/>
  <c r="N715" i="16" a="1"/>
  <c r="N715" i="16"/>
  <c r="O715" i="16" a="1"/>
  <c r="O715" i="16" s="1"/>
  <c r="P715" i="16" a="1"/>
  <c r="P715" i="16" s="1"/>
  <c r="N716" i="16" a="1"/>
  <c r="N716" i="16" s="1"/>
  <c r="O716" i="16" a="1"/>
  <c r="O716" i="16"/>
  <c r="P716" i="16" a="1"/>
  <c r="P716" i="16" s="1"/>
  <c r="N717" i="16" a="1"/>
  <c r="N717" i="16" s="1"/>
  <c r="O717" i="16" a="1"/>
  <c r="O717" i="16" s="1"/>
  <c r="P717" i="16" a="1"/>
  <c r="P717" i="16" s="1"/>
  <c r="N718" i="16" a="1"/>
  <c r="N718" i="16" s="1"/>
  <c r="O718" i="16" a="1"/>
  <c r="O718" i="16" s="1"/>
  <c r="P718" i="16" a="1"/>
  <c r="P718" i="16"/>
  <c r="N719" i="16" a="1"/>
  <c r="N719" i="16" s="1"/>
  <c r="O719" i="16" a="1"/>
  <c r="O719" i="16" s="1"/>
  <c r="P719" i="16" a="1"/>
  <c r="P719" i="16" s="1"/>
  <c r="N720" i="16" a="1"/>
  <c r="N720" i="16"/>
  <c r="O720" i="16" a="1"/>
  <c r="O720" i="16" s="1"/>
  <c r="P720" i="16" a="1"/>
  <c r="P720" i="16" s="1"/>
  <c r="N721" i="16" a="1"/>
  <c r="N721" i="16" s="1"/>
  <c r="O721" i="16" a="1"/>
  <c r="O721" i="16"/>
  <c r="P721" i="16" a="1"/>
  <c r="P721" i="16" s="1"/>
  <c r="N722" i="16" a="1"/>
  <c r="N722" i="16" s="1"/>
  <c r="O722" i="16" a="1"/>
  <c r="O722" i="16" s="1"/>
  <c r="P722" i="16" a="1"/>
  <c r="P722" i="16" s="1"/>
  <c r="N723" i="16" a="1"/>
  <c r="N723" i="16" s="1"/>
  <c r="O723" i="16" a="1"/>
  <c r="O723" i="16" s="1"/>
  <c r="P723" i="16" a="1"/>
  <c r="P723" i="16" s="1"/>
  <c r="N724" i="16" a="1"/>
  <c r="N724" i="16" s="1"/>
  <c r="O724" i="16" a="1"/>
  <c r="O724" i="16"/>
  <c r="P724" i="16" a="1"/>
  <c r="P724" i="16"/>
  <c r="N725" i="16" a="1"/>
  <c r="N725" i="16" s="1"/>
  <c r="O725" i="16" a="1"/>
  <c r="O725" i="16" s="1"/>
  <c r="P725" i="16" a="1"/>
  <c r="P725" i="16" s="1"/>
  <c r="N726" i="16" a="1"/>
  <c r="N726" i="16" s="1"/>
  <c r="O726" i="16" a="1"/>
  <c r="O726" i="16" s="1"/>
  <c r="P726" i="16" a="1"/>
  <c r="P726" i="16" s="1"/>
  <c r="N727" i="16" a="1"/>
  <c r="N727" i="16" s="1"/>
  <c r="O727" i="16" a="1"/>
  <c r="O727" i="16" s="1"/>
  <c r="P727" i="16" a="1"/>
  <c r="P727" i="16" s="1"/>
  <c r="N728" i="16" a="1"/>
  <c r="N728" i="16" s="1"/>
  <c r="O728" i="16" a="1"/>
  <c r="O728" i="16"/>
  <c r="P728" i="16" a="1"/>
  <c r="P728" i="16"/>
  <c r="N729" i="16" a="1"/>
  <c r="N729" i="16" s="1"/>
  <c r="O729" i="16" a="1"/>
  <c r="O729" i="16" s="1"/>
  <c r="P729" i="16" a="1"/>
  <c r="P729" i="16" s="1"/>
  <c r="N730" i="16" a="1"/>
  <c r="N730" i="16" s="1"/>
  <c r="O730" i="16" a="1"/>
  <c r="O730" i="16" s="1"/>
  <c r="P730" i="16" a="1"/>
  <c r="P730" i="16" s="1"/>
  <c r="N731" i="16" a="1"/>
  <c r="N731" i="16" s="1"/>
  <c r="O731" i="16" a="1"/>
  <c r="O731" i="16" s="1"/>
  <c r="P731" i="16" a="1"/>
  <c r="P731" i="16"/>
  <c r="N732" i="16" a="1"/>
  <c r="N732" i="16"/>
  <c r="O732" i="16" a="1"/>
  <c r="O732" i="16" s="1"/>
  <c r="P732" i="16" a="1"/>
  <c r="P732" i="16" s="1"/>
  <c r="N733" i="16" a="1"/>
  <c r="N733" i="16" s="1"/>
  <c r="O733" i="16" a="1"/>
  <c r="O733" i="16" s="1"/>
  <c r="P733" i="16" a="1"/>
  <c r="P733" i="16" s="1"/>
  <c r="N734" i="16" a="1"/>
  <c r="N734" i="16" s="1"/>
  <c r="O734" i="16" a="1"/>
  <c r="O734" i="16"/>
  <c r="P734" i="16" a="1"/>
  <c r="P734" i="16"/>
  <c r="N735" i="16" a="1"/>
  <c r="N735" i="16" s="1"/>
  <c r="O735" i="16" a="1"/>
  <c r="O735" i="16" s="1"/>
  <c r="P735" i="16" a="1"/>
  <c r="P735" i="16" s="1"/>
  <c r="N736" i="16" a="1"/>
  <c r="N736" i="16" s="1"/>
  <c r="O736" i="16" a="1"/>
  <c r="O736" i="16" s="1"/>
  <c r="P736" i="16" a="1"/>
  <c r="P736" i="16" s="1"/>
  <c r="N737" i="16" a="1"/>
  <c r="N737" i="16" s="1"/>
  <c r="O737" i="16" a="1"/>
  <c r="O737" i="16" s="1"/>
  <c r="P737" i="16" a="1"/>
  <c r="P737" i="16"/>
  <c r="N738" i="16" a="1"/>
  <c r="N738" i="16" s="1"/>
  <c r="O738" i="16" a="1"/>
  <c r="O738" i="16" s="1"/>
  <c r="P738" i="16" a="1"/>
  <c r="P738" i="16" s="1"/>
  <c r="N739" i="16" a="1"/>
  <c r="N739" i="16" s="1"/>
  <c r="O739" i="16" a="1"/>
  <c r="O739" i="16" s="1"/>
  <c r="P739" i="16" a="1"/>
  <c r="P739" i="16" s="1"/>
  <c r="N740" i="16" a="1"/>
  <c r="N740" i="16" s="1"/>
  <c r="O740" i="16" a="1"/>
  <c r="O740" i="16" s="1"/>
  <c r="P740" i="16" a="1"/>
  <c r="P740" i="16" s="1"/>
  <c r="N741" i="16" a="1"/>
  <c r="N741" i="16" s="1"/>
  <c r="O741" i="16" a="1"/>
  <c r="O741" i="16"/>
  <c r="P741" i="16" a="1"/>
  <c r="P741" i="16" s="1"/>
  <c r="N742" i="16" a="1"/>
  <c r="N742" i="16"/>
  <c r="O742" i="16" a="1"/>
  <c r="O742" i="16" s="1"/>
  <c r="P742" i="16" a="1"/>
  <c r="P742" i="16"/>
  <c r="N743" i="16" a="1"/>
  <c r="N743" i="16" s="1"/>
  <c r="O743" i="16" a="1"/>
  <c r="O743" i="16" s="1"/>
  <c r="P743" i="16" a="1"/>
  <c r="P743" i="16" s="1"/>
  <c r="N744" i="16" a="1"/>
  <c r="N744" i="16" s="1"/>
  <c r="O744" i="16" a="1"/>
  <c r="O744" i="16" s="1"/>
  <c r="P744" i="16" a="1"/>
  <c r="P744" i="16"/>
  <c r="N745" i="16" a="1"/>
  <c r="N745" i="16" s="1"/>
  <c r="O745" i="16" a="1"/>
  <c r="O745" i="16" s="1"/>
  <c r="P745" i="16" a="1"/>
  <c r="P745" i="16" s="1"/>
  <c r="N746" i="16" a="1"/>
  <c r="N746" i="16"/>
  <c r="O746" i="16" a="1"/>
  <c r="O746" i="16" s="1"/>
  <c r="P746" i="16" a="1"/>
  <c r="P746" i="16" s="1"/>
  <c r="N747" i="16" a="1"/>
  <c r="N747" i="16" s="1"/>
  <c r="O747" i="16" a="1"/>
  <c r="O747" i="16" s="1"/>
  <c r="P747" i="16" a="1"/>
  <c r="P747" i="16" s="1"/>
  <c r="N748" i="16" a="1"/>
  <c r="N748" i="16" s="1"/>
  <c r="O748" i="16" a="1"/>
  <c r="O748" i="16"/>
  <c r="P748" i="16" a="1"/>
  <c r="P748" i="16"/>
  <c r="N749" i="16" a="1"/>
  <c r="N749" i="16" s="1"/>
  <c r="O749" i="16" a="1"/>
  <c r="O749" i="16" s="1"/>
  <c r="P749" i="16" a="1"/>
  <c r="P749" i="16" s="1"/>
  <c r="N750" i="16" a="1"/>
  <c r="N750" i="16" s="1"/>
  <c r="O750" i="16" a="1"/>
  <c r="O750" i="16" s="1"/>
  <c r="P750" i="16" a="1"/>
  <c r="P750" i="16" s="1"/>
  <c r="N751" i="16" a="1"/>
  <c r="N751" i="16"/>
  <c r="O751" i="16" a="1"/>
  <c r="O751" i="16" s="1"/>
  <c r="P751" i="16" a="1"/>
  <c r="P751" i="16" s="1"/>
  <c r="N752" i="16" a="1"/>
  <c r="N752" i="16"/>
  <c r="O752" i="16" a="1"/>
  <c r="O752" i="16" s="1"/>
  <c r="P752" i="16" a="1"/>
  <c r="P752" i="16" s="1"/>
  <c r="N753" i="16" a="1"/>
  <c r="N753" i="16" s="1"/>
  <c r="O753" i="16" a="1"/>
  <c r="O753" i="16"/>
  <c r="P753" i="16" a="1"/>
  <c r="P753" i="16"/>
  <c r="N754" i="16" a="1"/>
  <c r="N754" i="16" s="1"/>
  <c r="O754" i="16" a="1"/>
  <c r="O754" i="16"/>
  <c r="P754" i="16" a="1"/>
  <c r="P754" i="16" s="1"/>
  <c r="N755" i="16" a="1"/>
  <c r="N755" i="16" s="1"/>
  <c r="O755" i="16" a="1"/>
  <c r="O755" i="16" s="1"/>
  <c r="P755" i="16" a="1"/>
  <c r="P755" i="16" s="1"/>
  <c r="N756" i="16" a="1"/>
  <c r="N756" i="16" s="1"/>
  <c r="O756" i="16" a="1"/>
  <c r="O756" i="16" s="1"/>
  <c r="P756" i="16" a="1"/>
  <c r="P756" i="16" s="1"/>
  <c r="N757" i="16" a="1"/>
  <c r="N757" i="16"/>
  <c r="O757" i="16" a="1"/>
  <c r="O757" i="16" s="1"/>
  <c r="P757" i="16" a="1"/>
  <c r="P757" i="16"/>
  <c r="N758" i="16" a="1"/>
  <c r="N758" i="16" s="1"/>
  <c r="O758" i="16" a="1"/>
  <c r="O758" i="16"/>
  <c r="P758" i="16" a="1"/>
  <c r="P758" i="16" s="1"/>
  <c r="N759" i="16" a="1"/>
  <c r="N759" i="16" s="1"/>
  <c r="O759" i="16" a="1"/>
  <c r="O759" i="16" s="1"/>
  <c r="P759" i="16" a="1"/>
  <c r="P759" i="16" s="1"/>
  <c r="N760" i="16" a="1"/>
  <c r="N760" i="16" s="1"/>
  <c r="O760" i="16" a="1"/>
  <c r="O760" i="16" s="1"/>
  <c r="P760" i="16" a="1"/>
  <c r="P760" i="16" s="1"/>
  <c r="N761" i="16" a="1"/>
  <c r="N761" i="16" s="1"/>
  <c r="O761" i="16" a="1"/>
  <c r="O761" i="16" s="1"/>
  <c r="P761" i="16" a="1"/>
  <c r="P761" i="16"/>
  <c r="N762" i="16" a="1"/>
  <c r="N762" i="16" s="1"/>
  <c r="O762" i="16" a="1"/>
  <c r="O762" i="16" s="1"/>
  <c r="P762" i="16" a="1"/>
  <c r="P762" i="16" s="1"/>
  <c r="N763" i="16" a="1"/>
  <c r="N763" i="16"/>
  <c r="O763" i="16" a="1"/>
  <c r="O763" i="16" s="1"/>
  <c r="P763" i="16" a="1"/>
  <c r="P763" i="16" s="1"/>
  <c r="N764" i="16" a="1"/>
  <c r="N764" i="16" s="1"/>
  <c r="O764" i="16" a="1"/>
  <c r="O764" i="16" s="1"/>
  <c r="P764" i="16" a="1"/>
  <c r="P764" i="16" s="1"/>
  <c r="N765" i="16" a="1"/>
  <c r="N765" i="16" s="1"/>
  <c r="O765" i="16" a="1"/>
  <c r="O765" i="16"/>
  <c r="P765" i="16" a="1"/>
  <c r="P765" i="16" s="1"/>
  <c r="N766" i="16" a="1"/>
  <c r="N766" i="16" s="1"/>
  <c r="O766" i="16" a="1"/>
  <c r="O766" i="16"/>
  <c r="P766" i="16" a="1"/>
  <c r="P766" i="16" s="1"/>
  <c r="N767" i="16" a="1"/>
  <c r="N767" i="16" s="1"/>
  <c r="O767" i="16" a="1"/>
  <c r="O767" i="16" s="1"/>
  <c r="P767" i="16" a="1"/>
  <c r="P767" i="16"/>
  <c r="N768" i="16" a="1"/>
  <c r="N768" i="16" s="1"/>
  <c r="O768" i="16" a="1"/>
  <c r="O768" i="16" s="1"/>
  <c r="P768" i="16" a="1"/>
  <c r="P768" i="16"/>
  <c r="N769" i="16" a="1"/>
  <c r="N769" i="16" s="1"/>
  <c r="O769" i="16" a="1"/>
  <c r="O769" i="16" s="1"/>
  <c r="P769" i="16" a="1"/>
  <c r="P769" i="16" s="1"/>
  <c r="N770" i="16" a="1"/>
  <c r="N770" i="16" s="1"/>
  <c r="O770" i="16" a="1"/>
  <c r="O770" i="16"/>
  <c r="P770" i="16" a="1"/>
  <c r="P770" i="16" s="1"/>
  <c r="N771" i="16" a="1"/>
  <c r="N771" i="16"/>
  <c r="O771" i="16" a="1"/>
  <c r="O771" i="16" s="1"/>
  <c r="P771" i="16" a="1"/>
  <c r="P771" i="16" s="1"/>
  <c r="N772" i="16" a="1"/>
  <c r="N772" i="16" s="1"/>
  <c r="O772" i="16" a="1"/>
  <c r="O772" i="16" s="1"/>
  <c r="P772" i="16" a="1"/>
  <c r="P772" i="16" s="1"/>
  <c r="N773" i="16" a="1"/>
  <c r="N773" i="16" s="1"/>
  <c r="O773" i="16" a="1"/>
  <c r="O773" i="16" s="1"/>
  <c r="P773" i="16" a="1"/>
  <c r="P773" i="16"/>
  <c r="N774" i="16" a="1"/>
  <c r="N774" i="16" s="1"/>
  <c r="O774" i="16" a="1"/>
  <c r="O774" i="16"/>
  <c r="P774" i="16" a="1"/>
  <c r="P774" i="16" s="1"/>
  <c r="N775" i="16" a="1"/>
  <c r="N775" i="16"/>
  <c r="O775" i="16" a="1"/>
  <c r="O775" i="16" s="1"/>
  <c r="P775" i="16" a="1"/>
  <c r="P775" i="16" s="1"/>
  <c r="N776" i="16" a="1"/>
  <c r="N776" i="16" s="1"/>
  <c r="O776" i="16" a="1"/>
  <c r="O776" i="16" s="1"/>
  <c r="P776" i="16" a="1"/>
  <c r="P776" i="16" s="1"/>
  <c r="N777" i="16" a="1"/>
  <c r="N777" i="16" s="1"/>
  <c r="O777" i="16" a="1"/>
  <c r="O777" i="16" s="1"/>
  <c r="P777" i="16" a="1"/>
  <c r="P777" i="16" s="1"/>
  <c r="N778" i="16" a="1"/>
  <c r="N778" i="16" s="1"/>
  <c r="O778" i="16" a="1"/>
  <c r="O778" i="16"/>
  <c r="P778" i="16" a="1"/>
  <c r="P778" i="16" s="1"/>
  <c r="N779" i="16" a="1"/>
  <c r="N779" i="16" s="1"/>
  <c r="O779" i="16" a="1"/>
  <c r="O779" i="16" s="1"/>
  <c r="P779" i="16" a="1"/>
  <c r="P779" i="16"/>
  <c r="N780" i="16" a="1"/>
  <c r="N780" i="16" s="1"/>
  <c r="O780" i="16" a="1"/>
  <c r="O780" i="16" s="1"/>
  <c r="P780" i="16" a="1"/>
  <c r="P780" i="16" s="1"/>
  <c r="N781" i="16" a="1"/>
  <c r="N781" i="16" s="1"/>
  <c r="O781" i="16" a="1"/>
  <c r="O781" i="16" s="1"/>
  <c r="P781" i="16" a="1"/>
  <c r="P781" i="16" s="1"/>
  <c r="N782" i="16" a="1"/>
  <c r="N782" i="16"/>
  <c r="O782" i="16" a="1"/>
  <c r="O782" i="16" s="1"/>
  <c r="P782" i="16" a="1"/>
  <c r="P782" i="16" s="1"/>
  <c r="N783" i="16" a="1"/>
  <c r="N783" i="16"/>
  <c r="O783" i="16" a="1"/>
  <c r="O783" i="16" s="1"/>
  <c r="P783" i="16" a="1"/>
  <c r="P783" i="16" s="1"/>
  <c r="N784" i="16" a="1"/>
  <c r="N784" i="16" s="1"/>
  <c r="O784" i="16" a="1"/>
  <c r="O784" i="16"/>
  <c r="P784" i="16" a="1"/>
  <c r="P784" i="16" s="1"/>
  <c r="N785" i="16" a="1"/>
  <c r="N785" i="16" s="1"/>
  <c r="O785" i="16" a="1"/>
  <c r="O785" i="16"/>
  <c r="P785" i="16" a="1"/>
  <c r="P785" i="16" s="1"/>
  <c r="N786" i="16" a="1"/>
  <c r="N786" i="16" s="1"/>
  <c r="O786" i="16" a="1"/>
  <c r="O786" i="16" s="1"/>
  <c r="P786" i="16" a="1"/>
  <c r="P786" i="16" s="1"/>
  <c r="N787" i="16" a="1"/>
  <c r="N787" i="16"/>
  <c r="O787" i="16" a="1"/>
  <c r="O787" i="16" s="1"/>
  <c r="P787" i="16" a="1"/>
  <c r="P787" i="16"/>
  <c r="N788" i="16" a="1"/>
  <c r="N788" i="16" s="1"/>
  <c r="O788" i="16" a="1"/>
  <c r="O788" i="16" s="1"/>
  <c r="P788" i="16" a="1"/>
  <c r="P788" i="16" s="1"/>
  <c r="N789" i="16" a="1"/>
  <c r="N789" i="16" s="1"/>
  <c r="O789" i="16" a="1"/>
  <c r="O789" i="16" s="1"/>
  <c r="P789" i="16" a="1"/>
  <c r="P789" i="16" s="1"/>
  <c r="N790" i="16" a="1"/>
  <c r="N790" i="16" s="1"/>
  <c r="O790" i="16" a="1"/>
  <c r="O790" i="16" s="1"/>
  <c r="P790" i="16" a="1"/>
  <c r="P790" i="16" s="1"/>
  <c r="N791" i="16" a="1"/>
  <c r="N791" i="16" s="1"/>
  <c r="O791" i="16" a="1"/>
  <c r="O791" i="16"/>
  <c r="P791" i="16" a="1"/>
  <c r="P791" i="16" s="1"/>
  <c r="N792" i="16" a="1"/>
  <c r="N792" i="16" s="1"/>
  <c r="O792" i="16" a="1"/>
  <c r="O792" i="16" s="1"/>
  <c r="P792" i="16" a="1"/>
  <c r="P792" i="16"/>
  <c r="N793" i="16" a="1"/>
  <c r="N793" i="16" s="1"/>
  <c r="O793" i="16" a="1"/>
  <c r="O793" i="16" s="1"/>
  <c r="P793" i="16" a="1"/>
  <c r="P793" i="16" s="1"/>
  <c r="N794" i="16" a="1"/>
  <c r="N794" i="16" s="1"/>
  <c r="O794" i="16" a="1"/>
  <c r="O794" i="16" s="1"/>
  <c r="P794" i="16" a="1"/>
  <c r="P794" i="16"/>
  <c r="N795" i="16" a="1"/>
  <c r="N795" i="16" s="1"/>
  <c r="O795" i="16" a="1"/>
  <c r="O795" i="16"/>
  <c r="P795" i="16" a="1"/>
  <c r="P795" i="16" s="1"/>
  <c r="N796" i="16" a="1"/>
  <c r="N796" i="16" s="1"/>
  <c r="O796" i="16" a="1"/>
  <c r="O796" i="16" s="1"/>
  <c r="P796" i="16" a="1"/>
  <c r="P796" i="16" s="1"/>
  <c r="N797" i="16" a="1"/>
  <c r="N797" i="16" s="1"/>
  <c r="O797" i="16" a="1"/>
  <c r="O797" i="16" s="1"/>
  <c r="P797" i="16" a="1"/>
  <c r="P797" i="16" s="1"/>
  <c r="N798" i="16" a="1"/>
  <c r="N798" i="16" s="1"/>
  <c r="O798" i="16" a="1"/>
  <c r="O798" i="16" s="1"/>
  <c r="P798" i="16" a="1"/>
  <c r="P798" i="16"/>
  <c r="N799" i="16" a="1"/>
  <c r="N799" i="16" s="1"/>
  <c r="O799" i="16" a="1"/>
  <c r="O799" i="16" s="1"/>
  <c r="P799" i="16" a="1"/>
  <c r="P799" i="16" s="1"/>
  <c r="N800" i="16" a="1"/>
  <c r="N800" i="16" s="1"/>
  <c r="O800" i="16" a="1"/>
  <c r="O800" i="16" s="1"/>
  <c r="P800" i="16" a="1"/>
  <c r="P800" i="16" s="1"/>
  <c r="N801" i="16" a="1"/>
  <c r="N801" i="16" s="1"/>
  <c r="O801" i="16" a="1"/>
  <c r="O801" i="16" s="1"/>
  <c r="P801" i="16" a="1"/>
  <c r="P801" i="16" s="1"/>
  <c r="N802" i="16" a="1"/>
  <c r="N802" i="16"/>
  <c r="O802" i="16" a="1"/>
  <c r="O802" i="16" s="1"/>
  <c r="P802" i="16" a="1"/>
  <c r="P802" i="16" s="1"/>
  <c r="N803" i="16" a="1"/>
  <c r="N803" i="16" s="1"/>
  <c r="O803" i="16" a="1"/>
  <c r="O803" i="16" s="1"/>
  <c r="P803" i="16" a="1"/>
  <c r="P803" i="16" s="1"/>
  <c r="N804" i="16" a="1"/>
  <c r="N804" i="16" s="1"/>
  <c r="O804" i="16" a="1"/>
  <c r="O804" i="16" s="1"/>
  <c r="P804" i="16" a="1"/>
  <c r="P804" i="16"/>
  <c r="N805" i="16" a="1"/>
  <c r="N805" i="16" s="1"/>
  <c r="O805" i="16" a="1"/>
  <c r="O805" i="16" s="1"/>
  <c r="P805" i="16" a="1"/>
  <c r="P805" i="16" s="1"/>
  <c r="N806" i="16" a="1"/>
  <c r="N806" i="16" s="1"/>
  <c r="O806" i="16" a="1"/>
  <c r="O806" i="16" s="1"/>
  <c r="P806" i="16" a="1"/>
  <c r="P806" i="16" s="1"/>
  <c r="N807" i="16" a="1"/>
  <c r="N807" i="16" s="1"/>
  <c r="O807" i="16" a="1"/>
  <c r="O807" i="16" s="1"/>
  <c r="P807" i="16" a="1"/>
  <c r="P807" i="16"/>
  <c r="N808" i="16" a="1"/>
  <c r="N808" i="16"/>
  <c r="O808" i="16" a="1"/>
  <c r="O808" i="16" s="1"/>
  <c r="P808" i="16" a="1"/>
  <c r="P808" i="16" s="1"/>
  <c r="N809" i="16" a="1"/>
  <c r="N809" i="16" s="1"/>
  <c r="O809" i="16" a="1"/>
  <c r="O809" i="16" s="1"/>
  <c r="P809" i="16" a="1"/>
  <c r="P809" i="16" s="1"/>
  <c r="N810" i="16" a="1"/>
  <c r="N810" i="16" s="1"/>
  <c r="O810" i="16" a="1"/>
  <c r="O810" i="16" s="1"/>
  <c r="P810" i="16" a="1"/>
  <c r="P810" i="16" s="1"/>
  <c r="N811" i="16" a="1"/>
  <c r="N811" i="16" s="1"/>
  <c r="O811" i="16" a="1"/>
  <c r="O811" i="16" s="1"/>
  <c r="P811" i="16" a="1"/>
  <c r="P811" i="16" s="1"/>
  <c r="N812" i="16" a="1"/>
  <c r="N812" i="16"/>
  <c r="O812" i="16" a="1"/>
  <c r="O812" i="16" s="1"/>
  <c r="P812" i="16" a="1"/>
  <c r="P812" i="16" s="1"/>
  <c r="N813" i="16" a="1"/>
  <c r="N813" i="16"/>
  <c r="O813" i="16" a="1"/>
  <c r="O813" i="16" s="1"/>
  <c r="P813" i="16" a="1"/>
  <c r="P813" i="16" s="1"/>
  <c r="N814" i="16" a="1"/>
  <c r="N814" i="16" s="1"/>
  <c r="O814" i="16" a="1"/>
  <c r="O814" i="16" s="1"/>
  <c r="P814" i="16" a="1"/>
  <c r="P814" i="16" s="1"/>
  <c r="N815" i="16" a="1"/>
  <c r="N815" i="16"/>
  <c r="O815" i="16" a="1"/>
  <c r="O815" i="16"/>
  <c r="P815" i="16" a="1"/>
  <c r="P815" i="16" s="1"/>
  <c r="N816" i="16" a="1"/>
  <c r="N816" i="16" s="1"/>
  <c r="O816" i="16" a="1"/>
  <c r="O816" i="16" s="1"/>
  <c r="P816" i="16" a="1"/>
  <c r="P816" i="16" s="1"/>
  <c r="N817" i="16" a="1"/>
  <c r="N817" i="16" s="1"/>
  <c r="O817" i="16" a="1"/>
  <c r="O817" i="16" s="1"/>
  <c r="P817" i="16" a="1"/>
  <c r="P817" i="16" s="1"/>
  <c r="N818" i="16" a="1"/>
  <c r="N818" i="16" s="1"/>
  <c r="O818" i="16" a="1"/>
  <c r="O818" i="16" s="1"/>
  <c r="P818" i="16" a="1"/>
  <c r="P818" i="16" s="1"/>
  <c r="N819" i="16" a="1"/>
  <c r="N819" i="16" s="1"/>
  <c r="O819" i="16" a="1"/>
  <c r="O819" i="16" s="1"/>
  <c r="P819" i="16" a="1"/>
  <c r="P819" i="16" s="1"/>
  <c r="N820" i="16" a="1"/>
  <c r="N820" i="16" s="1"/>
  <c r="O820" i="16" a="1"/>
  <c r="O820" i="16" s="1"/>
  <c r="P820" i="16" a="1"/>
  <c r="P820" i="16" s="1"/>
  <c r="N821" i="16" a="1"/>
  <c r="N821" i="16" s="1"/>
  <c r="O821" i="16" a="1"/>
  <c r="O821" i="16"/>
  <c r="P821" i="16" a="1"/>
  <c r="P821" i="16" s="1"/>
  <c r="N822" i="16" a="1"/>
  <c r="N822" i="16" s="1"/>
  <c r="O822" i="16" a="1"/>
  <c r="O822" i="16" s="1"/>
  <c r="P822" i="16" a="1"/>
  <c r="P822" i="16" s="1"/>
  <c r="N823" i="16" a="1"/>
  <c r="N823" i="16" s="1"/>
  <c r="O823" i="16" a="1"/>
  <c r="O823" i="16" s="1"/>
  <c r="P823" i="16" a="1"/>
  <c r="P823" i="16" s="1"/>
  <c r="N824" i="16" a="1"/>
  <c r="N824" i="16" s="1"/>
  <c r="O824" i="16" a="1"/>
  <c r="O824" i="16"/>
  <c r="P824" i="16" a="1"/>
  <c r="P824" i="16" s="1"/>
  <c r="N825" i="16" a="1"/>
  <c r="N825" i="16"/>
  <c r="O825" i="16" a="1"/>
  <c r="O825" i="16" s="1"/>
  <c r="P825" i="16" a="1"/>
  <c r="P825" i="16" s="1"/>
  <c r="N826" i="16" a="1"/>
  <c r="N826" i="16" s="1"/>
  <c r="O826" i="16" a="1"/>
  <c r="O826" i="16" s="1"/>
  <c r="P826" i="16" a="1"/>
  <c r="P826" i="16" s="1"/>
  <c r="N827" i="16" a="1"/>
  <c r="N827" i="16" s="1"/>
  <c r="O827" i="16" a="1"/>
  <c r="O827" i="16" s="1"/>
  <c r="P827" i="16" a="1"/>
  <c r="P827" i="16" s="1"/>
  <c r="N828" i="16" a="1"/>
  <c r="N828" i="16" s="1"/>
  <c r="O828" i="16" a="1"/>
  <c r="O828" i="16"/>
  <c r="P828" i="16" a="1"/>
  <c r="P828" i="16" s="1"/>
  <c r="N829" i="16" a="1"/>
  <c r="N829" i="16" s="1"/>
  <c r="O829" i="16" a="1"/>
  <c r="O829" i="16" s="1"/>
  <c r="P829" i="16" a="1"/>
  <c r="P829" i="16"/>
  <c r="N830" i="16" a="1"/>
  <c r="N830" i="16" s="1"/>
  <c r="O830" i="16" a="1"/>
  <c r="O830" i="16" s="1"/>
  <c r="P830" i="16" a="1"/>
  <c r="P830" i="16" s="1"/>
  <c r="N831" i="16" a="1"/>
  <c r="N831" i="16" s="1"/>
  <c r="O831" i="16" a="1"/>
  <c r="O831" i="16" s="1"/>
  <c r="P831" i="16" a="1"/>
  <c r="P831" i="16"/>
  <c r="N832" i="16" a="1"/>
  <c r="N832" i="16" s="1"/>
  <c r="O832" i="16" a="1"/>
  <c r="O832" i="16" s="1"/>
  <c r="P832" i="16" a="1"/>
  <c r="P832" i="16" s="1"/>
  <c r="N833" i="16" a="1"/>
  <c r="N833" i="16" s="1"/>
  <c r="O833" i="16" a="1"/>
  <c r="O833" i="16"/>
  <c r="P833" i="16" a="1"/>
  <c r="P833" i="16" s="1"/>
  <c r="N834" i="16" a="1"/>
  <c r="N834" i="16" s="1"/>
  <c r="O834" i="16" a="1"/>
  <c r="O834" i="16" s="1"/>
  <c r="P834" i="16" a="1"/>
  <c r="P834" i="16" s="1"/>
  <c r="N835" i="16" a="1"/>
  <c r="N835" i="16" s="1"/>
  <c r="O835" i="16" a="1"/>
  <c r="O835" i="16" s="1"/>
  <c r="P835" i="16" a="1"/>
  <c r="P835" i="16" s="1"/>
  <c r="N836" i="16" a="1"/>
  <c r="N836" i="16" s="1"/>
  <c r="O836" i="16" a="1"/>
  <c r="O836" i="16" s="1"/>
  <c r="P836" i="16" a="1"/>
  <c r="P836" i="16" s="1"/>
  <c r="N837" i="16" a="1"/>
  <c r="N837" i="16" s="1"/>
  <c r="O837" i="16" a="1"/>
  <c r="O837" i="16" s="1"/>
  <c r="P837" i="16" a="1"/>
  <c r="P837" i="16"/>
  <c r="N838" i="16" a="1"/>
  <c r="N838" i="16"/>
  <c r="O838" i="16" a="1"/>
  <c r="O838" i="16" s="1"/>
  <c r="P838" i="16" a="1"/>
  <c r="P838" i="16" s="1"/>
  <c r="N839" i="16" a="1"/>
  <c r="N839" i="16" s="1"/>
  <c r="O839" i="16" a="1"/>
  <c r="O839" i="16" s="1"/>
  <c r="P839" i="16" a="1"/>
  <c r="P839" i="16" s="1"/>
  <c r="N840" i="16" a="1"/>
  <c r="N840" i="16" s="1"/>
  <c r="O840" i="16" a="1"/>
  <c r="O840" i="16" s="1"/>
  <c r="P840" i="16" a="1"/>
  <c r="P840" i="16" s="1"/>
  <c r="N841" i="16" a="1"/>
  <c r="N841" i="16"/>
  <c r="O841" i="16" a="1"/>
  <c r="O841" i="16" s="1"/>
  <c r="P841" i="16" a="1"/>
  <c r="P841" i="16"/>
  <c r="N842" i="16" a="1"/>
  <c r="N842" i="16" s="1"/>
  <c r="O842" i="16" a="1"/>
  <c r="O842" i="16" s="1"/>
  <c r="P842" i="16" a="1"/>
  <c r="P842" i="16"/>
  <c r="N843" i="16" a="1"/>
  <c r="N843" i="16" s="1"/>
  <c r="O843" i="16" a="1"/>
  <c r="O843" i="16" s="1"/>
  <c r="P843" i="16" a="1"/>
  <c r="P843" i="16" s="1"/>
  <c r="N844" i="16" a="1"/>
  <c r="N844" i="16" s="1"/>
  <c r="O844" i="16" a="1"/>
  <c r="O844" i="16" s="1"/>
  <c r="P844" i="16" a="1"/>
  <c r="P844" i="16" s="1"/>
  <c r="N845" i="16" a="1"/>
  <c r="N845" i="16"/>
  <c r="O845" i="16" a="1"/>
  <c r="O845" i="16" s="1"/>
  <c r="P845" i="16" a="1"/>
  <c r="P845" i="16" s="1"/>
  <c r="N846" i="16" a="1"/>
  <c r="N846" i="16" s="1"/>
  <c r="O846" i="16" a="1"/>
  <c r="O846" i="16" s="1"/>
  <c r="P846" i="16" a="1"/>
  <c r="P846" i="16" s="1"/>
  <c r="N847" i="16" a="1"/>
  <c r="N847" i="16" s="1"/>
  <c r="O847" i="16" a="1"/>
  <c r="O847" i="16" s="1"/>
  <c r="P847" i="16" a="1"/>
  <c r="P847" i="16" s="1"/>
  <c r="N848" i="16" a="1"/>
  <c r="N848" i="16" s="1"/>
  <c r="O848" i="16" a="1"/>
  <c r="O848" i="16"/>
  <c r="P848" i="16" a="1"/>
  <c r="P848" i="16" s="1"/>
  <c r="N849" i="16" a="1"/>
  <c r="N849" i="16" s="1"/>
  <c r="O849" i="16" a="1"/>
  <c r="O849" i="16" s="1"/>
  <c r="P849" i="16" a="1"/>
  <c r="P849" i="16" s="1"/>
  <c r="N850" i="16" a="1"/>
  <c r="N850" i="16"/>
  <c r="O850" i="16" a="1"/>
  <c r="O850" i="16" s="1"/>
  <c r="P850" i="16" a="1"/>
  <c r="P850" i="16" s="1"/>
  <c r="N851" i="16" a="1"/>
  <c r="N851" i="16"/>
  <c r="O851" i="16" a="1"/>
  <c r="O851" i="16" s="1"/>
  <c r="P851" i="16" a="1"/>
  <c r="P851" i="16" s="1"/>
  <c r="N852" i="16" a="1"/>
  <c r="N852" i="16" s="1"/>
  <c r="O852" i="16" a="1"/>
  <c r="O852" i="16" s="1"/>
  <c r="P852" i="16" a="1"/>
  <c r="P852" i="16" s="1"/>
  <c r="N853" i="16" a="1"/>
  <c r="N853" i="16" s="1"/>
  <c r="O853" i="16" a="1"/>
  <c r="O853" i="16" s="1"/>
  <c r="P853" i="16" a="1"/>
  <c r="P853" i="16"/>
  <c r="N854" i="16" a="1"/>
  <c r="N854" i="16" s="1"/>
  <c r="O854" i="16" a="1"/>
  <c r="O854" i="16"/>
  <c r="P854" i="16" a="1"/>
  <c r="P854" i="16" s="1"/>
  <c r="N855" i="16" a="1"/>
  <c r="N855" i="16" s="1"/>
  <c r="O855" i="16" a="1"/>
  <c r="O855" i="16" s="1"/>
  <c r="P855" i="16" a="1"/>
  <c r="P855" i="16" s="1"/>
  <c r="N856" i="16" a="1"/>
  <c r="N856" i="16" s="1"/>
  <c r="O856" i="16" a="1"/>
  <c r="O856" i="16" s="1"/>
  <c r="P856" i="16" a="1"/>
  <c r="P856" i="16" s="1"/>
  <c r="N857" i="16" a="1"/>
  <c r="N857" i="16" s="1"/>
  <c r="O857" i="16" a="1"/>
  <c r="O857" i="16" s="1"/>
  <c r="P857" i="16" a="1"/>
  <c r="P857" i="16" s="1"/>
  <c r="N858" i="16" a="1"/>
  <c r="N858" i="16"/>
  <c r="O858" i="16" a="1"/>
  <c r="O858" i="16"/>
  <c r="P858" i="16" a="1"/>
  <c r="P858" i="16" s="1"/>
  <c r="N859" i="16" a="1"/>
  <c r="N859" i="16" s="1"/>
  <c r="O859" i="16" a="1"/>
  <c r="O859" i="16"/>
  <c r="P859" i="16" a="1"/>
  <c r="P859" i="16" s="1"/>
  <c r="N860" i="16" a="1"/>
  <c r="N860" i="16" s="1"/>
  <c r="O860" i="16" a="1"/>
  <c r="O860" i="16" s="1"/>
  <c r="P860" i="16" a="1"/>
  <c r="P860" i="16" s="1"/>
  <c r="N861" i="16" a="1"/>
  <c r="N861" i="16" s="1"/>
  <c r="O861" i="16" a="1"/>
  <c r="O861" i="16"/>
  <c r="P861" i="16" a="1"/>
  <c r="P861" i="16" s="1"/>
  <c r="N862" i="16" a="1"/>
  <c r="N862" i="16" s="1"/>
  <c r="O862" i="16" a="1"/>
  <c r="O862" i="16" s="1"/>
  <c r="P862" i="16" a="1"/>
  <c r="P862" i="16" s="1"/>
  <c r="N863" i="16" a="1"/>
  <c r="N863" i="16" s="1"/>
  <c r="O863" i="16" a="1"/>
  <c r="O863" i="16" s="1"/>
  <c r="P863" i="16" a="1"/>
  <c r="P863" i="16" s="1"/>
  <c r="N864" i="16" a="1"/>
  <c r="N864" i="16" s="1"/>
  <c r="O864" i="16" a="1"/>
  <c r="O864" i="16" s="1"/>
  <c r="P864" i="16" a="1"/>
  <c r="P864" i="16" s="1"/>
  <c r="N865" i="16" a="1"/>
  <c r="N865" i="16" s="1"/>
  <c r="O865" i="16" a="1"/>
  <c r="O865" i="16"/>
  <c r="P865" i="16" a="1"/>
  <c r="P865" i="16" s="1"/>
  <c r="N866" i="16" a="1"/>
  <c r="N866" i="16" s="1"/>
  <c r="O866" i="16" a="1"/>
  <c r="O866" i="16" s="1"/>
  <c r="P866" i="16" a="1"/>
  <c r="P866" i="16" s="1"/>
  <c r="N867" i="16" a="1"/>
  <c r="N867" i="16" s="1"/>
  <c r="O867" i="16" a="1"/>
  <c r="O867" i="16" s="1"/>
  <c r="P867" i="16" a="1"/>
  <c r="P867" i="16" s="1"/>
  <c r="N868" i="16" a="1"/>
  <c r="N868" i="16" s="1"/>
  <c r="O868" i="16" a="1"/>
  <c r="O868" i="16" s="1"/>
  <c r="P868" i="16" a="1"/>
  <c r="P868" i="16"/>
  <c r="N869" i="16" a="1"/>
  <c r="N869" i="16" s="1"/>
  <c r="O869" i="16" a="1"/>
  <c r="O869" i="16" s="1"/>
  <c r="P869" i="16" a="1"/>
  <c r="P869" i="16" s="1"/>
  <c r="N870" i="16" a="1"/>
  <c r="N870" i="16" s="1"/>
  <c r="O870" i="16" a="1"/>
  <c r="O870" i="16" s="1"/>
  <c r="P870" i="16" a="1"/>
  <c r="P870" i="16" s="1"/>
  <c r="N871" i="16" a="1"/>
  <c r="N871" i="16" s="1"/>
  <c r="O871" i="16" a="1"/>
  <c r="O871" i="16"/>
  <c r="P871" i="16" a="1"/>
  <c r="P871" i="16" s="1"/>
  <c r="N872" i="16" a="1"/>
  <c r="N872" i="16" s="1"/>
  <c r="O872" i="16" a="1"/>
  <c r="O872" i="16" s="1"/>
  <c r="P872" i="16" a="1"/>
  <c r="P872" i="16" s="1"/>
  <c r="N873" i="16" a="1"/>
  <c r="N873" i="16" s="1"/>
  <c r="O873" i="16" a="1"/>
  <c r="O873" i="16" s="1"/>
  <c r="P873" i="16" a="1"/>
  <c r="P873" i="16" s="1"/>
  <c r="N874" i="16" a="1"/>
  <c r="N874" i="16" s="1"/>
  <c r="O874" i="16" a="1"/>
  <c r="O874" i="16"/>
  <c r="P874" i="16" a="1"/>
  <c r="P874" i="16" s="1"/>
  <c r="N875" i="16" a="1"/>
  <c r="N875" i="16" s="1"/>
  <c r="O875" i="16" a="1"/>
  <c r="O875" i="16" s="1"/>
  <c r="P875" i="16" a="1"/>
  <c r="P875" i="16" s="1"/>
  <c r="N876" i="16" a="1"/>
  <c r="N876" i="16" s="1"/>
  <c r="O876" i="16" a="1"/>
  <c r="O876" i="16" s="1"/>
  <c r="P876" i="16" a="1"/>
  <c r="P876" i="16" s="1"/>
  <c r="N877" i="16" a="1"/>
  <c r="N877" i="16" s="1"/>
  <c r="O877" i="16" a="1"/>
  <c r="O877" i="16" s="1"/>
  <c r="P877" i="16" a="1"/>
  <c r="P877" i="16" s="1"/>
  <c r="N878" i="16" a="1"/>
  <c r="N878" i="16" s="1"/>
  <c r="O878" i="16" a="1"/>
  <c r="O878" i="16"/>
  <c r="P878" i="16" a="1"/>
  <c r="P878" i="16" s="1"/>
  <c r="N879" i="16" a="1"/>
  <c r="N879" i="16" s="1"/>
  <c r="O879" i="16" a="1"/>
  <c r="O879" i="16" s="1"/>
  <c r="P879" i="16" a="1"/>
  <c r="P879" i="16" s="1"/>
  <c r="N880" i="16" a="1"/>
  <c r="N880" i="16" s="1"/>
  <c r="O880" i="16" a="1"/>
  <c r="O880" i="16" s="1"/>
  <c r="P880" i="16" a="1"/>
  <c r="P880" i="16" s="1"/>
  <c r="N881" i="16" a="1"/>
  <c r="N881" i="16" s="1"/>
  <c r="O881" i="16" a="1"/>
  <c r="O881" i="16" s="1"/>
  <c r="P881" i="16" a="1"/>
  <c r="P881" i="16" s="1"/>
  <c r="N882" i="16" a="1"/>
  <c r="N882" i="16"/>
  <c r="O882" i="16" a="1"/>
  <c r="O882" i="16" s="1"/>
  <c r="P882" i="16" a="1"/>
  <c r="P882" i="16" s="1"/>
  <c r="N883" i="16" a="1"/>
  <c r="N883" i="16" s="1"/>
  <c r="O883" i="16" a="1"/>
  <c r="O883" i="16" s="1"/>
  <c r="P883" i="16" a="1"/>
  <c r="P883" i="16" s="1"/>
  <c r="N884" i="16" a="1"/>
  <c r="N884" i="16" s="1"/>
  <c r="O884" i="16" a="1"/>
  <c r="O884" i="16" s="1"/>
  <c r="P884" i="16" a="1"/>
  <c r="P884" i="16" s="1"/>
  <c r="N885" i="16" a="1"/>
  <c r="N885" i="16" s="1"/>
  <c r="O885" i="16" a="1"/>
  <c r="O885" i="16" s="1"/>
  <c r="P885" i="16" a="1"/>
  <c r="P885" i="16" s="1"/>
  <c r="N886" i="16" a="1"/>
  <c r="N886" i="16" s="1"/>
  <c r="O886" i="16" a="1"/>
  <c r="O886" i="16" s="1"/>
  <c r="P886" i="16" a="1"/>
  <c r="P886" i="16" s="1"/>
  <c r="N887" i="16" a="1"/>
  <c r="N887" i="16" s="1"/>
  <c r="O887" i="16" a="1"/>
  <c r="O887" i="16" s="1"/>
  <c r="P887" i="16" a="1"/>
  <c r="P887" i="16" s="1"/>
  <c r="N888" i="16" a="1"/>
  <c r="N888" i="16"/>
  <c r="O888" i="16" a="1"/>
  <c r="O888" i="16" s="1"/>
  <c r="P888" i="16" a="1"/>
  <c r="P888" i="16" s="1"/>
  <c r="N889" i="16" a="1"/>
  <c r="N889" i="16" s="1"/>
  <c r="O889" i="16" a="1"/>
  <c r="O889" i="16" s="1"/>
  <c r="P889" i="16" a="1"/>
  <c r="P889" i="16" s="1"/>
  <c r="N890" i="16" a="1"/>
  <c r="N890" i="16" s="1"/>
  <c r="O890" i="16" a="1"/>
  <c r="O890" i="16" s="1"/>
  <c r="P890" i="16" a="1"/>
  <c r="P890" i="16" s="1"/>
  <c r="N891" i="16" a="1"/>
  <c r="N891" i="16" s="1"/>
  <c r="O891" i="16" a="1"/>
  <c r="O891" i="16"/>
  <c r="P891" i="16" a="1"/>
  <c r="P891" i="16" s="1"/>
  <c r="N892" i="16" a="1"/>
  <c r="N892" i="16" s="1"/>
  <c r="O892" i="16" a="1"/>
  <c r="O892" i="16" s="1"/>
  <c r="P892" i="16" a="1"/>
  <c r="P892" i="16" s="1"/>
  <c r="N893" i="16" a="1"/>
  <c r="N893" i="16" s="1"/>
  <c r="O893" i="16" a="1"/>
  <c r="O893" i="16" s="1"/>
  <c r="P893" i="16" a="1"/>
  <c r="P893" i="16" s="1"/>
  <c r="N894" i="16" a="1"/>
  <c r="N894" i="16" s="1"/>
  <c r="O894" i="16" a="1"/>
  <c r="O894" i="16" s="1"/>
  <c r="P894" i="16" a="1"/>
  <c r="P894" i="16" s="1"/>
  <c r="N895" i="16" a="1"/>
  <c r="N895" i="16"/>
  <c r="O895" i="16" a="1"/>
  <c r="O895" i="16" s="1"/>
  <c r="P895" i="16" a="1"/>
  <c r="P895" i="16" s="1"/>
  <c r="N896" i="16" a="1"/>
  <c r="N896" i="16" s="1"/>
  <c r="O896" i="16" a="1"/>
  <c r="O896" i="16" s="1"/>
  <c r="P896" i="16" a="1"/>
  <c r="P896" i="16" s="1"/>
  <c r="N897" i="16" a="1"/>
  <c r="N897" i="16" s="1"/>
  <c r="O897" i="16" a="1"/>
  <c r="O897" i="16" s="1"/>
  <c r="P897" i="16" a="1"/>
  <c r="P897" i="16" s="1"/>
  <c r="N898" i="16" a="1"/>
  <c r="N898" i="16" s="1"/>
  <c r="O898" i="16" a="1"/>
  <c r="O898" i="16"/>
  <c r="P898" i="16" a="1"/>
  <c r="P898" i="16" s="1"/>
  <c r="N899" i="16" a="1"/>
  <c r="N899" i="16" s="1"/>
  <c r="O899" i="16" a="1"/>
  <c r="O899" i="16" s="1"/>
  <c r="P899" i="16" a="1"/>
  <c r="P899" i="16"/>
  <c r="N900" i="16" a="1"/>
  <c r="N900" i="16" s="1"/>
  <c r="O900" i="16" a="1"/>
  <c r="O900" i="16" s="1"/>
  <c r="P900" i="16" a="1"/>
  <c r="P900" i="16" s="1"/>
  <c r="N901" i="16" a="1"/>
  <c r="N901" i="16" s="1"/>
  <c r="O901" i="16" a="1"/>
  <c r="O901" i="16"/>
  <c r="P901" i="16" a="1"/>
  <c r="P901" i="16" s="1"/>
  <c r="N902" i="16" a="1"/>
  <c r="N902" i="16"/>
  <c r="O902" i="16" a="1"/>
  <c r="O902" i="16" s="1"/>
  <c r="P902" i="16" a="1"/>
  <c r="P902" i="16" s="1"/>
  <c r="N903" i="16" a="1"/>
  <c r="N903" i="16" s="1"/>
  <c r="O903" i="16" a="1"/>
  <c r="O903" i="16" s="1"/>
  <c r="P903" i="16" a="1"/>
  <c r="P903" i="16"/>
  <c r="N904" i="16" a="1"/>
  <c r="N904" i="16" s="1"/>
  <c r="O904" i="16" a="1"/>
  <c r="O904" i="16"/>
  <c r="P904" i="16" a="1"/>
  <c r="P904" i="16" s="1"/>
  <c r="N905" i="16" a="1"/>
  <c r="N905" i="16"/>
  <c r="O905" i="16" a="1"/>
  <c r="O905" i="16" s="1"/>
  <c r="P905" i="16" a="1"/>
  <c r="P905" i="16" s="1"/>
  <c r="N906" i="16" a="1"/>
  <c r="N906" i="16" s="1"/>
  <c r="O906" i="16" a="1"/>
  <c r="O906" i="16" s="1"/>
  <c r="P906" i="16" a="1"/>
  <c r="P906" i="16" s="1"/>
  <c r="N907" i="16" a="1"/>
  <c r="N907" i="16"/>
  <c r="O907" i="16" a="1"/>
  <c r="O907" i="16" s="1"/>
  <c r="P907" i="16" a="1"/>
  <c r="P907" i="16"/>
  <c r="N908" i="16" a="1"/>
  <c r="N908" i="16" s="1"/>
  <c r="O908" i="16" a="1"/>
  <c r="O908" i="16"/>
  <c r="P908" i="16" a="1"/>
  <c r="P908" i="16" s="1"/>
  <c r="N909" i="16" a="1"/>
  <c r="N909" i="16" s="1"/>
  <c r="O909" i="16" a="1"/>
  <c r="O909" i="16" s="1"/>
  <c r="P909" i="16" a="1"/>
  <c r="P909" i="16" s="1"/>
  <c r="N910" i="16" a="1"/>
  <c r="N910" i="16" s="1"/>
  <c r="O910" i="16" a="1"/>
  <c r="O910" i="16" s="1"/>
  <c r="P910" i="16" a="1"/>
  <c r="P910" i="16" s="1"/>
  <c r="N911" i="16" a="1"/>
  <c r="N911" i="16" s="1"/>
  <c r="O911" i="16" a="1"/>
  <c r="O911" i="16"/>
  <c r="P911" i="16" a="1"/>
  <c r="P911" i="16"/>
  <c r="N912" i="16" a="1"/>
  <c r="N912" i="16" s="1"/>
  <c r="O912" i="16" a="1"/>
  <c r="O912" i="16" s="1"/>
  <c r="P912" i="16" a="1"/>
  <c r="P912" i="16" s="1"/>
  <c r="N913" i="16" a="1"/>
  <c r="N913" i="16" s="1"/>
  <c r="O913" i="16" a="1"/>
  <c r="O913" i="16" s="1"/>
  <c r="P913" i="16" a="1"/>
  <c r="P913" i="16" s="1"/>
  <c r="N914" i="16" a="1"/>
  <c r="N914" i="16" s="1"/>
  <c r="O914" i="16" a="1"/>
  <c r="O914" i="16"/>
  <c r="P914" i="16" a="1"/>
  <c r="P914" i="16" s="1"/>
  <c r="N915" i="16" a="1"/>
  <c r="N915" i="16"/>
  <c r="O915" i="16" a="1"/>
  <c r="O915" i="16" s="1"/>
  <c r="P915" i="16" a="1"/>
  <c r="P915" i="16" s="1"/>
  <c r="N916" i="16" a="1"/>
  <c r="N916" i="16" s="1"/>
  <c r="O916" i="16" a="1"/>
  <c r="O916" i="16" s="1"/>
  <c r="P916" i="16" a="1"/>
  <c r="P916" i="16"/>
  <c r="N917" i="16" a="1"/>
  <c r="N917" i="16" s="1"/>
  <c r="O917" i="16" a="1"/>
  <c r="O917" i="16" s="1"/>
  <c r="P917" i="16" a="1"/>
  <c r="P917" i="16" s="1"/>
  <c r="N918" i="16" a="1"/>
  <c r="N918" i="16"/>
  <c r="O918" i="16" a="1"/>
  <c r="O918" i="16" s="1"/>
  <c r="P918" i="16" a="1"/>
  <c r="P918" i="16"/>
  <c r="N919" i="16" a="1"/>
  <c r="N919" i="16" s="1"/>
  <c r="O919" i="16" a="1"/>
  <c r="O919" i="16" s="1"/>
  <c r="P919" i="16" a="1"/>
  <c r="P919" i="16" s="1"/>
  <c r="N920" i="16" a="1"/>
  <c r="N920" i="16" s="1"/>
  <c r="O920" i="16" a="1"/>
  <c r="O920" i="16" s="1"/>
  <c r="P920" i="16" a="1"/>
  <c r="P920" i="16" s="1"/>
  <c r="N921" i="16" a="1"/>
  <c r="N921" i="16" s="1"/>
  <c r="O921" i="16" a="1"/>
  <c r="O921" i="16"/>
  <c r="P921" i="16" a="1"/>
  <c r="P921" i="16" s="1"/>
  <c r="N922" i="16" a="1"/>
  <c r="N922" i="16" s="1"/>
  <c r="O922" i="16" a="1"/>
  <c r="O922" i="16" s="1"/>
  <c r="P922" i="16" a="1"/>
  <c r="P922" i="16" s="1"/>
  <c r="N923" i="16" a="1"/>
  <c r="N923" i="16" s="1"/>
  <c r="O923" i="16" a="1"/>
  <c r="O923" i="16" s="1"/>
  <c r="P923" i="16" a="1"/>
  <c r="P923" i="16" s="1"/>
  <c r="N924" i="16" a="1"/>
  <c r="N924" i="16" s="1"/>
  <c r="O924" i="16" a="1"/>
  <c r="O924" i="16" s="1"/>
  <c r="P924" i="16" a="1"/>
  <c r="P924" i="16"/>
  <c r="N925" i="16" a="1"/>
  <c r="N925" i="16" s="1"/>
  <c r="O925" i="16" a="1"/>
  <c r="O925" i="16"/>
  <c r="P925" i="16" a="1"/>
  <c r="P925" i="16" s="1"/>
  <c r="N926" i="16" a="1"/>
  <c r="N926" i="16"/>
  <c r="O926" i="16" a="1"/>
  <c r="O926" i="16" s="1"/>
  <c r="P926" i="16" a="1"/>
  <c r="P926" i="16" s="1"/>
  <c r="N927" i="16" a="1"/>
  <c r="N927" i="16" s="1"/>
  <c r="O927" i="16" a="1"/>
  <c r="O927" i="16" s="1"/>
  <c r="P927" i="16" a="1"/>
  <c r="P927" i="16" s="1"/>
  <c r="N928" i="16" a="1"/>
  <c r="N928" i="16"/>
  <c r="O928" i="16" a="1"/>
  <c r="O928" i="16"/>
  <c r="P928" i="16" a="1"/>
  <c r="P928" i="16" s="1"/>
  <c r="N929" i="16" a="1"/>
  <c r="N929" i="16" s="1"/>
  <c r="O929" i="16" a="1"/>
  <c r="O929" i="16" s="1"/>
  <c r="P929" i="16" a="1"/>
  <c r="P929" i="16" s="1"/>
  <c r="N930" i="16" a="1"/>
  <c r="N930" i="16" s="1"/>
  <c r="O930" i="16" a="1"/>
  <c r="O930" i="16" s="1"/>
  <c r="P930" i="16" a="1"/>
  <c r="P930" i="16" s="1"/>
  <c r="N931" i="16" a="1"/>
  <c r="N931" i="16"/>
  <c r="O931" i="16" a="1"/>
  <c r="O931" i="16" s="1"/>
  <c r="P931" i="16" a="1"/>
  <c r="P931" i="16"/>
  <c r="N932" i="16" a="1"/>
  <c r="N932" i="16" s="1"/>
  <c r="O932" i="16" a="1"/>
  <c r="O932" i="16" s="1"/>
  <c r="P932" i="16" a="1"/>
  <c r="P932" i="16" s="1"/>
  <c r="N933" i="16" a="1"/>
  <c r="N933" i="16" s="1"/>
  <c r="O933" i="16" a="1"/>
  <c r="O933" i="16"/>
  <c r="P933" i="16" a="1"/>
  <c r="P933" i="16" s="1"/>
  <c r="N934" i="16" a="1"/>
  <c r="N934" i="16" s="1"/>
  <c r="O934" i="16" a="1"/>
  <c r="O934" i="16" s="1"/>
  <c r="P934" i="16" a="1"/>
  <c r="P934" i="16"/>
  <c r="N935" i="16" a="1"/>
  <c r="N935" i="16" s="1"/>
  <c r="O935" i="16" a="1"/>
  <c r="O935" i="16"/>
  <c r="P935" i="16" a="1"/>
  <c r="P935" i="16" s="1"/>
  <c r="N936" i="16" a="1"/>
  <c r="N936" i="16" s="1"/>
  <c r="O936" i="16" a="1"/>
  <c r="O936" i="16" s="1"/>
  <c r="P936" i="16" a="1"/>
  <c r="P936" i="16" s="1"/>
  <c r="N937" i="16" a="1"/>
  <c r="N937" i="16" s="1"/>
  <c r="O937" i="16" a="1"/>
  <c r="O937" i="16" s="1"/>
  <c r="P937" i="16" a="1"/>
  <c r="P937" i="16" s="1"/>
  <c r="N938" i="16" a="1"/>
  <c r="N938" i="16"/>
  <c r="O938" i="16" a="1"/>
  <c r="O938" i="16" s="1"/>
  <c r="P938" i="16" a="1"/>
  <c r="P938" i="16" s="1"/>
  <c r="N939" i="16" a="1"/>
  <c r="N939" i="16" s="1"/>
  <c r="O939" i="16" a="1"/>
  <c r="O939" i="16" s="1"/>
  <c r="P939" i="16" a="1"/>
  <c r="P939" i="16" s="1"/>
  <c r="N940" i="16" a="1"/>
  <c r="N940" i="16" s="1"/>
  <c r="O940" i="16" a="1"/>
  <c r="O940" i="16" s="1"/>
  <c r="P940" i="16" a="1"/>
  <c r="P940" i="16" s="1"/>
  <c r="N941" i="16" a="1"/>
  <c r="N941" i="16" s="1"/>
  <c r="O941" i="16" a="1"/>
  <c r="O941" i="16"/>
  <c r="P941" i="16" a="1"/>
  <c r="P941" i="16" s="1"/>
  <c r="N942" i="16" a="1"/>
  <c r="N942" i="16"/>
  <c r="O942" i="16" a="1"/>
  <c r="O942" i="16" s="1"/>
  <c r="P942" i="16" a="1"/>
  <c r="P942" i="16"/>
  <c r="N943" i="16" a="1"/>
  <c r="N943" i="16" s="1"/>
  <c r="O943" i="16" a="1"/>
  <c r="O943" i="16" s="1"/>
  <c r="P943" i="16" a="1"/>
  <c r="P943" i="16" s="1"/>
  <c r="N944" i="16" a="1"/>
  <c r="N944" i="16" s="1"/>
  <c r="O944" i="16" a="1"/>
  <c r="O944" i="16" s="1"/>
  <c r="P944" i="16" a="1"/>
  <c r="P944" i="16"/>
  <c r="N945" i="16" a="1"/>
  <c r="N945" i="16"/>
  <c r="O945" i="16" a="1"/>
  <c r="O945" i="16"/>
  <c r="P945" i="16" a="1"/>
  <c r="P945" i="16" s="1"/>
  <c r="N946" i="16" a="1"/>
  <c r="N946" i="16" s="1"/>
  <c r="O946" i="16" a="1"/>
  <c r="O946" i="16" s="1"/>
  <c r="P946" i="16" a="1"/>
  <c r="P946" i="16" s="1"/>
  <c r="N947" i="16" a="1"/>
  <c r="N947" i="16" s="1"/>
  <c r="O947" i="16" a="1"/>
  <c r="O947" i="16" s="1"/>
  <c r="P947" i="16" a="1"/>
  <c r="P947" i="16"/>
  <c r="N948" i="16" a="1"/>
  <c r="N948" i="16" s="1"/>
  <c r="O948" i="16" a="1"/>
  <c r="O948" i="16"/>
  <c r="P948" i="16" a="1"/>
  <c r="P948" i="16" s="1"/>
  <c r="N949" i="16" a="1"/>
  <c r="N949" i="16" s="1"/>
  <c r="O949" i="16" a="1"/>
  <c r="O949" i="16" s="1"/>
  <c r="P949" i="16" a="1"/>
  <c r="P949" i="16" s="1"/>
  <c r="N950" i="16" a="1"/>
  <c r="N950" i="16"/>
  <c r="O950" i="16" a="1"/>
  <c r="O950" i="16" s="1"/>
  <c r="P950" i="16" a="1"/>
  <c r="P950" i="16" s="1"/>
  <c r="N951" i="16" a="1"/>
  <c r="N951" i="16" s="1"/>
  <c r="O951" i="16" a="1"/>
  <c r="O951" i="16"/>
  <c r="P951" i="16" a="1"/>
  <c r="P951" i="16" s="1"/>
  <c r="N952" i="16" a="1"/>
  <c r="N952" i="16" s="1"/>
  <c r="O952" i="16" a="1"/>
  <c r="O952" i="16" s="1"/>
  <c r="P952" i="16" a="1"/>
  <c r="P952" i="16" s="1"/>
  <c r="N953" i="16" a="1"/>
  <c r="N953" i="16" s="1"/>
  <c r="O953" i="16" a="1"/>
  <c r="O953" i="16" s="1"/>
  <c r="P953" i="16" a="1"/>
  <c r="P953" i="16"/>
  <c r="N954" i="16" a="1"/>
  <c r="N954" i="16" s="1"/>
  <c r="O954" i="16" a="1"/>
  <c r="O954" i="16" s="1"/>
  <c r="P954" i="16" a="1"/>
  <c r="P954" i="16" s="1"/>
  <c r="N955" i="16" a="1"/>
  <c r="N955" i="16"/>
  <c r="O955" i="16" a="1"/>
  <c r="O955" i="16" s="1"/>
  <c r="P955" i="16" a="1"/>
  <c r="P955" i="16" s="1"/>
  <c r="N956" i="16" a="1"/>
  <c r="N956" i="16" s="1"/>
  <c r="O956" i="16" a="1"/>
  <c r="O956" i="16" s="1"/>
  <c r="P956" i="16" a="1"/>
  <c r="P956" i="16" s="1"/>
  <c r="N957" i="16" a="1"/>
  <c r="N957" i="16" s="1"/>
  <c r="O957" i="16" a="1"/>
  <c r="O957" i="16" s="1"/>
  <c r="P957" i="16" a="1"/>
  <c r="P957" i="16"/>
  <c r="N958" i="16" a="1"/>
  <c r="N958" i="16" s="1"/>
  <c r="O958" i="16" a="1"/>
  <c r="O958" i="16"/>
  <c r="P958" i="16" a="1"/>
  <c r="P958" i="16" s="1"/>
  <c r="N959" i="16" a="1"/>
  <c r="N959" i="16" s="1"/>
  <c r="O959" i="16" a="1"/>
  <c r="O959" i="16" s="1"/>
  <c r="P959" i="16" a="1"/>
  <c r="P959" i="16" s="1"/>
  <c r="N960" i="16" a="1"/>
  <c r="N960" i="16" s="1"/>
  <c r="O960" i="16" a="1"/>
  <c r="O960" i="16"/>
  <c r="P960" i="16" a="1"/>
  <c r="P960" i="16" s="1"/>
  <c r="N961" i="16" a="1"/>
  <c r="N961" i="16" s="1"/>
  <c r="O961" i="16" a="1"/>
  <c r="O961" i="16" s="1"/>
  <c r="P961" i="16" a="1"/>
  <c r="P961" i="16"/>
  <c r="N962" i="16" a="1"/>
  <c r="N962" i="16"/>
  <c r="O962" i="16" a="1"/>
  <c r="O962" i="16" s="1"/>
  <c r="P962" i="16" a="1"/>
  <c r="P962" i="16" s="1"/>
  <c r="N963" i="16" a="1"/>
  <c r="N963" i="16"/>
  <c r="O963" i="16" a="1"/>
  <c r="O963" i="16" s="1"/>
  <c r="P963" i="16" a="1"/>
  <c r="P963" i="16" s="1"/>
  <c r="N964" i="16" a="1"/>
  <c r="N964" i="16" s="1"/>
  <c r="O964" i="16" a="1"/>
  <c r="O964" i="16" s="1"/>
  <c r="P964" i="16" a="1"/>
  <c r="P964" i="16" s="1"/>
  <c r="N965" i="16" a="1"/>
  <c r="N965" i="16" s="1"/>
  <c r="O965" i="16" a="1"/>
  <c r="O965" i="16" s="1"/>
  <c r="P965" i="16" a="1"/>
  <c r="P965" i="16" s="1"/>
  <c r="N966" i="16" a="1"/>
  <c r="N966" i="16" s="1"/>
  <c r="O966" i="16" a="1"/>
  <c r="O966" i="16" s="1"/>
  <c r="P966" i="16" a="1"/>
  <c r="P966" i="16"/>
  <c r="N967" i="16" a="1"/>
  <c r="N967" i="16" s="1"/>
  <c r="O967" i="16" a="1"/>
  <c r="O967" i="16" s="1"/>
  <c r="P967" i="16" a="1"/>
  <c r="P967" i="16" s="1"/>
  <c r="N968" i="16" a="1"/>
  <c r="N968" i="16" s="1"/>
  <c r="O968" i="16" a="1"/>
  <c r="O968" i="16" s="1"/>
  <c r="P968" i="16" a="1"/>
  <c r="P968" i="16" s="1"/>
  <c r="N969" i="16" a="1"/>
  <c r="N969" i="16" s="1"/>
  <c r="O969" i="16" a="1"/>
  <c r="O969" i="16" s="1"/>
  <c r="P969" i="16" a="1"/>
  <c r="P969" i="16"/>
  <c r="N970" i="16" a="1"/>
  <c r="N970" i="16"/>
  <c r="O970" i="16" a="1"/>
  <c r="O970" i="16" s="1"/>
  <c r="P970" i="16" a="1"/>
  <c r="P970" i="16" s="1"/>
  <c r="N971" i="16" a="1"/>
  <c r="N971" i="16" s="1"/>
  <c r="O971" i="16" a="1"/>
  <c r="O971" i="16"/>
  <c r="P971" i="16" a="1"/>
  <c r="P971" i="16" s="1"/>
  <c r="N972" i="16" a="1"/>
  <c r="N972" i="16" s="1"/>
  <c r="O972" i="16" a="1"/>
  <c r="O972" i="16" s="1"/>
  <c r="P972" i="16" a="1"/>
  <c r="P972" i="16" s="1"/>
  <c r="N973" i="16" a="1"/>
  <c r="N973" i="16" s="1"/>
  <c r="O973" i="16" a="1"/>
  <c r="O973" i="16" s="1"/>
  <c r="P973" i="16" a="1"/>
  <c r="P973" i="16" s="1"/>
  <c r="N974" i="16" a="1"/>
  <c r="N974" i="16" s="1"/>
  <c r="O974" i="16" a="1"/>
  <c r="O974" i="16" s="1"/>
  <c r="P974" i="16" a="1"/>
  <c r="P974" i="16" s="1"/>
  <c r="N975" i="16" a="1"/>
  <c r="N975" i="16"/>
  <c r="O975" i="16" a="1"/>
  <c r="O975" i="16" s="1"/>
  <c r="P975" i="16" a="1"/>
  <c r="P975" i="16" s="1"/>
  <c r="N976" i="16" a="1"/>
  <c r="N976" i="16" s="1"/>
  <c r="O976" i="16" a="1"/>
  <c r="O976" i="16"/>
  <c r="P976" i="16" a="1"/>
  <c r="P976" i="16" s="1"/>
  <c r="N977" i="16" a="1"/>
  <c r="N977" i="16" s="1"/>
  <c r="O977" i="16" a="1"/>
  <c r="O977" i="16" s="1"/>
  <c r="P977" i="16" a="1"/>
  <c r="P977" i="16" s="1"/>
  <c r="N978" i="16" a="1"/>
  <c r="N978" i="16" s="1"/>
  <c r="O978" i="16" a="1"/>
  <c r="O978" i="16" s="1"/>
  <c r="P978" i="16" a="1"/>
  <c r="P978" i="16" s="1"/>
  <c r="N979" i="16" a="1"/>
  <c r="N979" i="16" s="1"/>
  <c r="O979" i="16" a="1"/>
  <c r="O979" i="16"/>
  <c r="P979" i="16" a="1"/>
  <c r="P979" i="16"/>
  <c r="N980" i="16" a="1"/>
  <c r="N980" i="16" s="1"/>
  <c r="O980" i="16" a="1"/>
  <c r="O980" i="16" s="1"/>
  <c r="P980" i="16" a="1"/>
  <c r="P980" i="16" s="1"/>
  <c r="N981" i="16" a="1"/>
  <c r="N981" i="16" s="1"/>
  <c r="O981" i="16" a="1"/>
  <c r="O981" i="16" s="1"/>
  <c r="P981" i="16" a="1"/>
  <c r="P981" i="16" s="1"/>
  <c r="N982" i="16" a="1"/>
  <c r="N982" i="16" s="1"/>
  <c r="O982" i="16" a="1"/>
  <c r="O982" i="16" s="1"/>
  <c r="P982" i="16" a="1"/>
  <c r="P982" i="16" s="1"/>
  <c r="N983" i="16" a="1"/>
  <c r="N983" i="16"/>
  <c r="O983" i="16" a="1"/>
  <c r="O983" i="16" s="1"/>
  <c r="P983" i="16" a="1"/>
  <c r="P983" i="16" s="1"/>
  <c r="N984" i="16" a="1"/>
  <c r="N984" i="16" s="1"/>
  <c r="O984" i="16" a="1"/>
  <c r="O984" i="16" s="1"/>
  <c r="P984" i="16" a="1"/>
  <c r="P984" i="16" s="1"/>
  <c r="N985" i="16" a="1"/>
  <c r="N985" i="16" s="1"/>
  <c r="O985" i="16" a="1"/>
  <c r="O985" i="16" s="1"/>
  <c r="P985" i="16" a="1"/>
  <c r="P985" i="16"/>
  <c r="N986" i="16" a="1"/>
  <c r="N986" i="16" s="1"/>
  <c r="O986" i="16" a="1"/>
  <c r="O986" i="16" s="1"/>
  <c r="P986" i="16" a="1"/>
  <c r="P986" i="16" s="1"/>
  <c r="N987" i="16" a="1"/>
  <c r="N987" i="16" s="1"/>
  <c r="O987" i="16" a="1"/>
  <c r="O987" i="16" s="1"/>
  <c r="P987" i="16" a="1"/>
  <c r="P987" i="16" s="1"/>
  <c r="N988" i="16" a="1"/>
  <c r="N988" i="16" s="1"/>
  <c r="O988" i="16" a="1"/>
  <c r="O988" i="16" s="1"/>
  <c r="P988" i="16" a="1"/>
  <c r="P988" i="16"/>
  <c r="N989" i="16" a="1"/>
  <c r="N989" i="16" s="1"/>
  <c r="O989" i="16" a="1"/>
  <c r="O989" i="16" s="1"/>
  <c r="P989" i="16" a="1"/>
  <c r="P989" i="16" s="1"/>
  <c r="N990" i="16" a="1"/>
  <c r="N990" i="16" s="1"/>
  <c r="O990" i="16" a="1"/>
  <c r="O990" i="16" s="1"/>
  <c r="P990" i="16" a="1"/>
  <c r="P990" i="16" s="1"/>
  <c r="N991" i="16" a="1"/>
  <c r="N991" i="16" s="1"/>
  <c r="O991" i="16" a="1"/>
  <c r="O991" i="16" s="1"/>
  <c r="P991" i="16" a="1"/>
  <c r="P991" i="16" s="1"/>
  <c r="N992" i="16" a="1"/>
  <c r="N992" i="16" s="1"/>
  <c r="O992" i="16" a="1"/>
  <c r="O992" i="16" s="1"/>
  <c r="P992" i="16" a="1"/>
  <c r="P992" i="16" s="1"/>
  <c r="N993" i="16" a="1"/>
  <c r="N993" i="16"/>
  <c r="O993" i="16" a="1"/>
  <c r="O993" i="16" s="1"/>
  <c r="P993" i="16" a="1"/>
  <c r="P993" i="16" s="1"/>
  <c r="N994" i="16" a="1"/>
  <c r="N994" i="16"/>
  <c r="O994" i="16" a="1"/>
  <c r="O994" i="16" s="1"/>
  <c r="P994" i="16" a="1"/>
  <c r="P994" i="16" s="1"/>
  <c r="N995" i="16" a="1"/>
  <c r="N995" i="16" s="1"/>
  <c r="O995" i="16" a="1"/>
  <c r="O995" i="16" s="1"/>
  <c r="P995" i="16" a="1"/>
  <c r="P995" i="16" s="1"/>
  <c r="N996" i="16" a="1"/>
  <c r="N996" i="16"/>
  <c r="O996" i="16" a="1"/>
  <c r="O996" i="16" s="1"/>
  <c r="P996" i="16" a="1"/>
  <c r="P996" i="16" s="1"/>
  <c r="N997" i="16" a="1"/>
  <c r="N997" i="16" s="1"/>
  <c r="O997" i="16" a="1"/>
  <c r="O997" i="16"/>
  <c r="P997" i="16" a="1"/>
  <c r="P997" i="16" s="1"/>
  <c r="N998" i="16" a="1"/>
  <c r="N998" i="16" s="1"/>
  <c r="O998" i="16" a="1"/>
  <c r="O998" i="16" s="1"/>
  <c r="P998" i="16" a="1"/>
  <c r="P998" i="16" s="1"/>
  <c r="N999" i="16" a="1"/>
  <c r="N999" i="16"/>
  <c r="O999" i="16" a="1"/>
  <c r="O999" i="16" s="1"/>
  <c r="P999" i="16" a="1"/>
  <c r="P999" i="16"/>
  <c r="N1000" i="16" a="1"/>
  <c r="N1000" i="16" s="1"/>
  <c r="O1000" i="16" a="1"/>
  <c r="O1000" i="16" s="1"/>
  <c r="P1000" i="16" a="1"/>
  <c r="P1000" i="16"/>
  <c r="N1001" i="16" a="1"/>
  <c r="N1001" i="16" s="1"/>
  <c r="O1001" i="16" a="1"/>
  <c r="O1001" i="16"/>
  <c r="P1001" i="16" a="1"/>
  <c r="P1001" i="16" s="1"/>
  <c r="N1002" i="16" a="1"/>
  <c r="N1002" i="16" s="1"/>
  <c r="O1002" i="16" a="1"/>
  <c r="O1002" i="16"/>
  <c r="P1002" i="16" a="1"/>
  <c r="P1002" i="16" s="1"/>
  <c r="N1003" i="16" a="1"/>
  <c r="N1003" i="16" s="1"/>
  <c r="O1003" i="16" a="1"/>
  <c r="O1003" i="16" s="1"/>
  <c r="P1003" i="16" a="1"/>
  <c r="P1003" i="16" s="1"/>
  <c r="N1004" i="16" a="1"/>
  <c r="N1004" i="16"/>
  <c r="O1004" i="16" a="1"/>
  <c r="O1004" i="16" s="1"/>
  <c r="P1004" i="16" a="1"/>
  <c r="P1004" i="16" s="1"/>
  <c r="N1005" i="16" a="1"/>
  <c r="N1005" i="16" s="1"/>
  <c r="O1005" i="16" a="1"/>
  <c r="O1005" i="16" s="1"/>
  <c r="P1005" i="16" a="1"/>
  <c r="P1005" i="16" s="1"/>
  <c r="N1006" i="16" a="1"/>
  <c r="N1006" i="16" s="1"/>
  <c r="O1006" i="16" a="1"/>
  <c r="O1006" i="16" s="1"/>
  <c r="P1006" i="16" a="1"/>
  <c r="P1006" i="16" s="1"/>
  <c r="N1007" i="16" a="1"/>
  <c r="N1007" i="16" s="1"/>
  <c r="O1007" i="16" a="1"/>
  <c r="O1007" i="16" s="1"/>
  <c r="P1007" i="16" a="1"/>
  <c r="P1007" i="16" s="1"/>
  <c r="N1008" i="16" a="1"/>
  <c r="N1008" i="16" s="1"/>
  <c r="O1008" i="16" a="1"/>
  <c r="O1008" i="16" s="1"/>
  <c r="P1008" i="16" a="1"/>
  <c r="P1008" i="16" s="1"/>
  <c r="N1009" i="16" a="1"/>
  <c r="N1009" i="16" s="1"/>
  <c r="O1009" i="16" a="1"/>
  <c r="O1009" i="16" s="1"/>
  <c r="P1009" i="16" a="1"/>
  <c r="P1009" i="16" s="1"/>
  <c r="N1010" i="16" a="1"/>
  <c r="N1010" i="16" s="1"/>
  <c r="O1010" i="16" a="1"/>
  <c r="O1010" i="16" s="1"/>
  <c r="P1010" i="16" a="1"/>
  <c r="P1010" i="16" s="1"/>
  <c r="N1011" i="16" a="1"/>
  <c r="N1011" i="16" s="1"/>
  <c r="O1011" i="16" a="1"/>
  <c r="O1011" i="16" s="1"/>
  <c r="P1011" i="16" a="1"/>
  <c r="P1011" i="16" s="1"/>
  <c r="N1012" i="16" a="1"/>
  <c r="N1012" i="16" s="1"/>
  <c r="O1012" i="16" a="1"/>
  <c r="O1012" i="16" s="1"/>
  <c r="P1012" i="16" a="1"/>
  <c r="P1012" i="16" s="1"/>
  <c r="N1013" i="16" a="1"/>
  <c r="N1013" i="16" s="1"/>
  <c r="O1013" i="16" a="1"/>
  <c r="O1013" i="16" s="1"/>
  <c r="P1013" i="16" a="1"/>
  <c r="P1013" i="16" s="1"/>
  <c r="N1014" i="16" a="1"/>
  <c r="N1014" i="16" s="1"/>
  <c r="O1014" i="16" a="1"/>
  <c r="O1014" i="16" s="1"/>
  <c r="P1014" i="16" a="1"/>
  <c r="P1014" i="16" s="1"/>
  <c r="N1015" i="16" a="1"/>
  <c r="N1015" i="16" s="1"/>
  <c r="O1015" i="16" a="1"/>
  <c r="O1015" i="16" s="1"/>
  <c r="P1015" i="16" a="1"/>
  <c r="P1015" i="16" s="1"/>
  <c r="N17" i="16" a="1"/>
  <c r="N17" i="16" s="1"/>
  <c r="O17" i="16" a="1"/>
  <c r="O17" i="16" s="1"/>
  <c r="P17" i="16" a="1"/>
  <c r="P17" i="16" s="1"/>
  <c r="N18" i="16" a="1"/>
  <c r="N18" i="16" s="1"/>
  <c r="O18" i="16" a="1"/>
  <c r="O18" i="16" s="1"/>
  <c r="P18" i="16" a="1"/>
  <c r="P18" i="16"/>
  <c r="N19" i="16" a="1"/>
  <c r="N19" i="16" s="1"/>
  <c r="O19" i="16" a="1"/>
  <c r="O19" i="16" s="1"/>
  <c r="P19" i="16" a="1"/>
  <c r="P19" i="16" s="1"/>
  <c r="N20" i="16" a="1"/>
  <c r="N20" i="16" s="1"/>
  <c r="O20" i="16" a="1"/>
  <c r="O20" i="16" s="1"/>
  <c r="P20" i="16" a="1"/>
  <c r="P20" i="16" s="1"/>
  <c r="N21" i="16" a="1"/>
  <c r="N21" i="16" s="1"/>
  <c r="O21" i="16" a="1"/>
  <c r="O21" i="16" s="1"/>
  <c r="P21" i="16" a="1"/>
  <c r="P21" i="16" s="1"/>
  <c r="N22" i="16" a="1"/>
  <c r="N22" i="16" s="1"/>
  <c r="O22" i="16" a="1"/>
  <c r="O22" i="16" s="1"/>
  <c r="P22" i="16" a="1"/>
  <c r="P22" i="16" s="1"/>
  <c r="N23" i="16" a="1"/>
  <c r="N23" i="16"/>
  <c r="O23" i="16" a="1"/>
  <c r="O23" i="16" s="1"/>
  <c r="P23" i="16" a="1"/>
  <c r="P23" i="16" s="1"/>
  <c r="N24" i="16" a="1"/>
  <c r="N24" i="16" s="1"/>
  <c r="O24" i="16" a="1"/>
  <c r="O24" i="16" s="1"/>
  <c r="P24" i="16" a="1"/>
  <c r="P24" i="16"/>
  <c r="N25" i="16" a="1"/>
  <c r="N25" i="16" s="1"/>
  <c r="O25" i="16" a="1"/>
  <c r="O25" i="16" s="1"/>
  <c r="P25" i="16" a="1"/>
  <c r="P25" i="16" s="1"/>
  <c r="N26" i="16" a="1"/>
  <c r="N26" i="16" s="1"/>
  <c r="O26" i="16" a="1"/>
  <c r="O26" i="16" s="1"/>
  <c r="P26" i="16" a="1"/>
  <c r="P26" i="16" s="1"/>
  <c r="N27" i="16" a="1"/>
  <c r="N27" i="16" s="1"/>
  <c r="O27" i="16" a="1"/>
  <c r="O27" i="16" s="1"/>
  <c r="P27" i="16" a="1"/>
  <c r="P27" i="16" s="1"/>
  <c r="N28" i="16" a="1"/>
  <c r="N28" i="16" s="1"/>
  <c r="O28" i="16" a="1"/>
  <c r="O28" i="16" s="1"/>
  <c r="P28" i="16" a="1"/>
  <c r="P28" i="16"/>
  <c r="N29" i="16" a="1"/>
  <c r="N29" i="16" s="1"/>
  <c r="O29" i="16" a="1"/>
  <c r="O29" i="16" s="1"/>
  <c r="P29" i="16" a="1"/>
  <c r="P29" i="16" s="1"/>
  <c r="N30" i="16" a="1"/>
  <c r="N30" i="16" s="1"/>
  <c r="O30" i="16" a="1"/>
  <c r="O30" i="16" s="1"/>
  <c r="P30" i="16" a="1"/>
  <c r="P30" i="16" s="1"/>
  <c r="N31" i="16" a="1"/>
  <c r="N31" i="16" s="1"/>
  <c r="O31" i="16" a="1"/>
  <c r="O31" i="16" s="1"/>
  <c r="P31" i="16" a="1"/>
  <c r="P31" i="16" s="1"/>
  <c r="N32" i="16" a="1"/>
  <c r="N32" i="16" s="1"/>
  <c r="O32" i="16" a="1"/>
  <c r="O32" i="16" s="1"/>
  <c r="P32" i="16" a="1"/>
  <c r="P32" i="16" s="1"/>
  <c r="N33" i="16" a="1"/>
  <c r="N33" i="16" s="1"/>
  <c r="O33" i="16" a="1"/>
  <c r="O33" i="16" s="1"/>
  <c r="P33" i="16" a="1"/>
  <c r="P33" i="16" s="1"/>
  <c r="N34" i="16" a="1"/>
  <c r="N34" i="16" s="1"/>
  <c r="O34" i="16" a="1"/>
  <c r="O34" i="16" s="1"/>
  <c r="P34" i="16" a="1"/>
  <c r="P34" i="16" s="1"/>
  <c r="N35" i="16" a="1"/>
  <c r="N35" i="16" s="1"/>
  <c r="O35" i="16" a="1"/>
  <c r="O35" i="16" s="1"/>
  <c r="P35" i="16" a="1"/>
  <c r="P35" i="16" s="1"/>
  <c r="N36" i="16" a="1"/>
  <c r="N36" i="16" s="1"/>
  <c r="O36" i="16" a="1"/>
  <c r="O36" i="16" s="1"/>
  <c r="P36" i="16" a="1"/>
  <c r="P36" i="16" s="1"/>
  <c r="N37" i="16" a="1"/>
  <c r="N37" i="16" s="1"/>
  <c r="O37" i="16" a="1"/>
  <c r="O37" i="16" s="1"/>
  <c r="P37" i="16" a="1"/>
  <c r="P37" i="16" s="1"/>
  <c r="N38" i="16" a="1"/>
  <c r="N38" i="16" s="1"/>
  <c r="O38" i="16" a="1"/>
  <c r="O38" i="16" s="1"/>
  <c r="P38" i="16" a="1"/>
  <c r="P38" i="16" s="1"/>
  <c r="N39" i="16" a="1"/>
  <c r="N39" i="16" s="1"/>
  <c r="O39" i="16" a="1"/>
  <c r="O39" i="16" s="1"/>
  <c r="P39" i="16" a="1"/>
  <c r="P39" i="16" s="1"/>
  <c r="N40" i="16" a="1"/>
  <c r="N40" i="16" s="1"/>
  <c r="O40" i="16" a="1"/>
  <c r="O40" i="16" s="1"/>
  <c r="P40" i="16" a="1"/>
  <c r="P40" i="16" s="1"/>
  <c r="N41" i="16" a="1"/>
  <c r="N41" i="16" s="1"/>
  <c r="O41" i="16" a="1"/>
  <c r="O41" i="16" s="1"/>
  <c r="P41" i="16" a="1"/>
  <c r="P41" i="16" s="1"/>
  <c r="N42" i="16" a="1"/>
  <c r="N42" i="16" s="1"/>
  <c r="O42" i="16" a="1"/>
  <c r="O42" i="16" s="1"/>
  <c r="P42" i="16" a="1"/>
  <c r="P42" i="16" s="1"/>
  <c r="N43" i="16" a="1"/>
  <c r="N43" i="16" s="1"/>
  <c r="O43" i="16" a="1"/>
  <c r="O43" i="16" s="1"/>
  <c r="P43" i="16" a="1"/>
  <c r="P43" i="16" s="1"/>
  <c r="N44" i="16" a="1"/>
  <c r="N44" i="16" s="1"/>
  <c r="O44" i="16" a="1"/>
  <c r="O44" i="16" s="1"/>
  <c r="P44" i="16" a="1"/>
  <c r="P44" i="16" s="1"/>
  <c r="N45" i="16" a="1"/>
  <c r="N45" i="16" s="1"/>
  <c r="O45" i="16" a="1"/>
  <c r="O45" i="16"/>
  <c r="P45" i="16" a="1"/>
  <c r="P45" i="16" s="1"/>
  <c r="N46" i="16" a="1"/>
  <c r="N46" i="16" s="1"/>
  <c r="O46" i="16" a="1"/>
  <c r="O46" i="16" s="1"/>
  <c r="P46" i="16" a="1"/>
  <c r="P46" i="16" s="1"/>
  <c r="N47" i="16" a="1"/>
  <c r="N47" i="16" s="1"/>
  <c r="O47" i="16" a="1"/>
  <c r="O47" i="16" s="1"/>
  <c r="P47" i="16" a="1"/>
  <c r="P47" i="16" s="1"/>
  <c r="N48" i="16" a="1"/>
  <c r="N48" i="16"/>
  <c r="O48" i="16" a="1"/>
  <c r="O48" i="16" s="1"/>
  <c r="P48" i="16" a="1"/>
  <c r="P48" i="16" s="1"/>
  <c r="N49" i="16" a="1"/>
  <c r="N49" i="16"/>
  <c r="O49" i="16" a="1"/>
  <c r="O49" i="16" s="1"/>
  <c r="P49" i="16" a="1"/>
  <c r="P49" i="16" s="1"/>
  <c r="N50" i="16" a="1"/>
  <c r="N50" i="16" s="1"/>
  <c r="O50" i="16" a="1"/>
  <c r="O50" i="16" s="1"/>
  <c r="P50" i="16" a="1"/>
  <c r="P50" i="16" s="1"/>
  <c r="N51" i="16" a="1"/>
  <c r="N51" i="16" s="1"/>
  <c r="O51" i="16" a="1"/>
  <c r="O51" i="16" s="1"/>
  <c r="P51" i="16" a="1"/>
  <c r="P51" i="16" s="1"/>
  <c r="N52" i="16" a="1"/>
  <c r="N52" i="16"/>
  <c r="O52" i="16" a="1"/>
  <c r="O52" i="16"/>
  <c r="P52" i="16" a="1"/>
  <c r="P52" i="16" s="1"/>
  <c r="N53" i="16" a="1"/>
  <c r="N53" i="16" s="1"/>
  <c r="O53" i="16" a="1"/>
  <c r="O53" i="16" s="1"/>
  <c r="P53" i="16" a="1"/>
  <c r="P53" i="16" s="1"/>
  <c r="N54" i="16" a="1"/>
  <c r="N54" i="16" s="1"/>
  <c r="O54" i="16" a="1"/>
  <c r="O54" i="16" s="1"/>
  <c r="P54" i="16" a="1"/>
  <c r="P54" i="16"/>
  <c r="N55" i="16" a="1"/>
  <c r="N55" i="16" s="1"/>
  <c r="O55" i="16" a="1"/>
  <c r="O55" i="16" s="1"/>
  <c r="P55" i="16" a="1"/>
  <c r="P55" i="16" s="1"/>
  <c r="N56" i="16" a="1"/>
  <c r="N56" i="16" s="1"/>
  <c r="O56" i="16" a="1"/>
  <c r="O56" i="16" s="1"/>
  <c r="P56" i="16" a="1"/>
  <c r="P56" i="16" s="1"/>
  <c r="N57" i="16" a="1"/>
  <c r="N57" i="16" s="1"/>
  <c r="O57" i="16" a="1"/>
  <c r="O57" i="16" s="1"/>
  <c r="P57" i="16" a="1"/>
  <c r="P57" i="16" s="1"/>
  <c r="N58" i="16" a="1"/>
  <c r="N58" i="16"/>
  <c r="O58" i="16" a="1"/>
  <c r="O58" i="16" s="1"/>
  <c r="P58" i="16" a="1"/>
  <c r="P58" i="16" s="1"/>
  <c r="N59" i="16" a="1"/>
  <c r="N59" i="16" s="1"/>
  <c r="O59" i="16" a="1"/>
  <c r="O59" i="16" s="1"/>
  <c r="P59" i="16" a="1"/>
  <c r="P59" i="16" s="1"/>
  <c r="N60" i="16" a="1"/>
  <c r="N60" i="16" s="1"/>
  <c r="O60" i="16" a="1"/>
  <c r="O60" i="16" s="1"/>
  <c r="P60" i="16" a="1"/>
  <c r="P60" i="16" s="1"/>
  <c r="N61" i="16" a="1"/>
  <c r="N61" i="16" s="1"/>
  <c r="O61" i="16" a="1"/>
  <c r="O61" i="16" s="1"/>
  <c r="P61" i="16" a="1"/>
  <c r="P61" i="16" s="1"/>
  <c r="N62" i="16" a="1"/>
  <c r="N62" i="16" s="1"/>
  <c r="O62" i="16" a="1"/>
  <c r="O62" i="16"/>
  <c r="P62" i="16" a="1"/>
  <c r="P62" i="16" s="1"/>
  <c r="N63" i="16" a="1"/>
  <c r="N63" i="16" s="1"/>
  <c r="O63" i="16" a="1"/>
  <c r="O63" i="16" s="1"/>
  <c r="P63" i="16" a="1"/>
  <c r="P63" i="16" s="1"/>
  <c r="N64" i="16" a="1"/>
  <c r="N64" i="16" s="1"/>
  <c r="O64" i="16" a="1"/>
  <c r="O64" i="16" s="1"/>
  <c r="P64" i="16" a="1"/>
  <c r="P64" i="16" s="1"/>
  <c r="N65" i="16" a="1"/>
  <c r="N65" i="16" s="1"/>
  <c r="O65" i="16" a="1"/>
  <c r="O65" i="16"/>
  <c r="P65" i="16" a="1"/>
  <c r="P65" i="16" s="1"/>
  <c r="N66" i="16" a="1"/>
  <c r="N66" i="16" s="1"/>
  <c r="O66" i="16" a="1"/>
  <c r="O66" i="16" s="1"/>
  <c r="P66" i="16" a="1"/>
  <c r="P66" i="16" s="1"/>
  <c r="N67" i="16" a="1"/>
  <c r="N67" i="16" s="1"/>
  <c r="O67" i="16" a="1"/>
  <c r="O67" i="16" s="1"/>
  <c r="P67" i="16" a="1"/>
  <c r="P67" i="16" s="1"/>
  <c r="N68" i="16" a="1"/>
  <c r="N68" i="16"/>
  <c r="O68" i="16" a="1"/>
  <c r="O68" i="16" s="1"/>
  <c r="P68" i="16" a="1"/>
  <c r="P68" i="16" s="1"/>
  <c r="N69" i="16" a="1"/>
  <c r="N69" i="16"/>
  <c r="O69" i="16" a="1"/>
  <c r="O69" i="16" s="1"/>
  <c r="P69" i="16" a="1"/>
  <c r="P69" i="16" s="1"/>
  <c r="N70" i="16" a="1"/>
  <c r="N70" i="16" s="1"/>
  <c r="O70" i="16" a="1"/>
  <c r="O70" i="16" s="1"/>
  <c r="P70" i="16" a="1"/>
  <c r="P70" i="16" s="1"/>
  <c r="N71" i="16" a="1"/>
  <c r="N71" i="16" s="1"/>
  <c r="O71" i="16" a="1"/>
  <c r="O71" i="16" s="1"/>
  <c r="P71" i="16" a="1"/>
  <c r="P71" i="16" s="1"/>
  <c r="N72" i="16" a="1"/>
  <c r="N72" i="16" s="1"/>
  <c r="O72" i="16" a="1"/>
  <c r="O72" i="16" s="1"/>
  <c r="P72" i="16" a="1"/>
  <c r="P72" i="16" s="1"/>
  <c r="N73" i="16" a="1"/>
  <c r="N73" i="16" s="1"/>
  <c r="O73" i="16" a="1"/>
  <c r="O73" i="16" s="1"/>
  <c r="P73" i="16" a="1"/>
  <c r="P73" i="16" s="1"/>
  <c r="N74" i="16" a="1"/>
  <c r="N74" i="16" s="1"/>
  <c r="O74" i="16" a="1"/>
  <c r="O74" i="16" s="1"/>
  <c r="P74" i="16" a="1"/>
  <c r="P74" i="16" s="1"/>
  <c r="N75" i="16" a="1"/>
  <c r="N75" i="16" s="1"/>
  <c r="O75" i="16" a="1"/>
  <c r="O75" i="16"/>
  <c r="P75" i="16" a="1"/>
  <c r="P75" i="16" s="1"/>
  <c r="N76" i="16" a="1"/>
  <c r="N76" i="16" s="1"/>
  <c r="O76" i="16" a="1"/>
  <c r="O76" i="16" s="1"/>
  <c r="P76" i="16" a="1"/>
  <c r="P76" i="16" s="1"/>
  <c r="N77" i="16" a="1"/>
  <c r="N77" i="16" s="1"/>
  <c r="O77" i="16" a="1"/>
  <c r="O77" i="16" s="1"/>
  <c r="P77" i="16" a="1"/>
  <c r="P77" i="16" s="1"/>
  <c r="N78" i="16" a="1"/>
  <c r="N78" i="16"/>
  <c r="O78" i="16" a="1"/>
  <c r="O78" i="16" s="1"/>
  <c r="P78" i="16" a="1"/>
  <c r="P78" i="16" s="1"/>
  <c r="N79" i="16" a="1"/>
  <c r="N79" i="16" s="1"/>
  <c r="O79" i="16" a="1"/>
  <c r="O79" i="16" s="1"/>
  <c r="P79" i="16" a="1"/>
  <c r="P79" i="16" s="1"/>
  <c r="N80" i="16" a="1"/>
  <c r="N80" i="16" s="1"/>
  <c r="O80" i="16" a="1"/>
  <c r="O80" i="16" s="1"/>
  <c r="P80" i="16" a="1"/>
  <c r="P80" i="16" s="1"/>
  <c r="N81" i="16" a="1"/>
  <c r="N81" i="16" s="1"/>
  <c r="O81" i="16" a="1"/>
  <c r="O81" i="16" s="1"/>
  <c r="P81" i="16" a="1"/>
  <c r="P81" i="16" s="1"/>
  <c r="N82" i="16" a="1"/>
  <c r="N82" i="16" s="1"/>
  <c r="O82" i="16" a="1"/>
  <c r="O82" i="16" s="1"/>
  <c r="P82" i="16" a="1"/>
  <c r="P82" i="16" s="1"/>
  <c r="N83" i="16" a="1"/>
  <c r="N83" i="16" s="1"/>
  <c r="O83" i="16" a="1"/>
  <c r="O83" i="16" s="1"/>
  <c r="P83" i="16" a="1"/>
  <c r="P83" i="16" s="1"/>
  <c r="N84" i="16" a="1"/>
  <c r="N84" i="16" s="1"/>
  <c r="O84" i="16" a="1"/>
  <c r="O84" i="16" s="1"/>
  <c r="P84" i="16" a="1"/>
  <c r="P84" i="16" s="1"/>
  <c r="N85" i="16" a="1"/>
  <c r="N85" i="16"/>
  <c r="O85" i="16" a="1"/>
  <c r="O85" i="16" s="1"/>
  <c r="P85" i="16" a="1"/>
  <c r="P85" i="16" s="1"/>
  <c r="N86" i="16" a="1"/>
  <c r="N86" i="16" s="1"/>
  <c r="O86" i="16" a="1"/>
  <c r="O86" i="16"/>
  <c r="P86" i="16" a="1"/>
  <c r="P86" i="16" s="1"/>
  <c r="N87" i="16" a="1"/>
  <c r="N87" i="16" s="1"/>
  <c r="O87" i="16" a="1"/>
  <c r="O87" i="16" s="1"/>
  <c r="P87" i="16" a="1"/>
  <c r="P87" i="16" s="1"/>
  <c r="N88" i="16" a="1"/>
  <c r="N88" i="16" s="1"/>
  <c r="O88" i="16" a="1"/>
  <c r="O88" i="16" s="1"/>
  <c r="P88" i="16" a="1"/>
  <c r="P88" i="16"/>
  <c r="N89" i="16" a="1"/>
  <c r="N89" i="16" s="1"/>
  <c r="O89" i="16" a="1"/>
  <c r="O89" i="16" s="1"/>
  <c r="P89" i="16" a="1"/>
  <c r="P89" i="16" s="1"/>
  <c r="N90" i="16" a="1"/>
  <c r="N90" i="16" s="1"/>
  <c r="O90" i="16" a="1"/>
  <c r="O90" i="16" s="1"/>
  <c r="P90" i="16" a="1"/>
  <c r="P90" i="16" s="1"/>
  <c r="N91" i="16" a="1"/>
  <c r="N91" i="16" s="1"/>
  <c r="O91" i="16" a="1"/>
  <c r="O91" i="16" s="1"/>
  <c r="P91" i="16" a="1"/>
  <c r="P91" i="16"/>
  <c r="N92" i="16" a="1"/>
  <c r="N92" i="16" s="1"/>
  <c r="O92" i="16" a="1"/>
  <c r="O92" i="16" s="1"/>
  <c r="P92" i="16" a="1"/>
  <c r="P92" i="16" s="1"/>
  <c r="N93" i="16" a="1"/>
  <c r="N93" i="16" s="1"/>
  <c r="O93" i="16" a="1"/>
  <c r="O93" i="16" s="1"/>
  <c r="P93" i="16" a="1"/>
  <c r="P93" i="16" s="1"/>
  <c r="N94" i="16" a="1"/>
  <c r="N94" i="16" s="1"/>
  <c r="O94" i="16" a="1"/>
  <c r="O94" i="16" s="1"/>
  <c r="P94" i="16" a="1"/>
  <c r="P94" i="16" s="1"/>
  <c r="N95" i="16" a="1"/>
  <c r="N95" i="16"/>
  <c r="O95" i="16" a="1"/>
  <c r="O95" i="16" s="1"/>
  <c r="P95" i="16" a="1"/>
  <c r="P95" i="16" s="1"/>
  <c r="N96" i="16" a="1"/>
  <c r="N96" i="16" s="1"/>
  <c r="O96" i="16" a="1"/>
  <c r="O96" i="16" s="1"/>
  <c r="P96" i="16" a="1"/>
  <c r="P96" i="16" s="1"/>
  <c r="N97" i="16" a="1"/>
  <c r="N97" i="16" s="1"/>
  <c r="O97" i="16" a="1"/>
  <c r="O97" i="16"/>
  <c r="P97" i="16" a="1"/>
  <c r="P97" i="16" s="1"/>
  <c r="N98" i="16" a="1"/>
  <c r="N98" i="16" s="1"/>
  <c r="O98" i="16" a="1"/>
  <c r="O98" i="16" s="1"/>
  <c r="P98" i="16" a="1"/>
  <c r="P98" i="16" s="1"/>
  <c r="N99" i="16" a="1"/>
  <c r="N99" i="16" s="1"/>
  <c r="O99" i="16" a="1"/>
  <c r="O99" i="16" s="1"/>
  <c r="P99" i="16" a="1"/>
  <c r="P99" i="16" s="1"/>
  <c r="N100" i="16" a="1"/>
  <c r="N100" i="16" s="1"/>
  <c r="O100" i="16" a="1"/>
  <c r="O100" i="16" s="1"/>
  <c r="P100" i="16" a="1"/>
  <c r="P100" i="16" s="1"/>
  <c r="N101" i="16" a="1"/>
  <c r="N101" i="16" s="1"/>
  <c r="O101" i="16" a="1"/>
  <c r="O101" i="16" s="1"/>
  <c r="P101" i="16" a="1"/>
  <c r="P101" i="16" s="1"/>
  <c r="N102" i="16" a="1"/>
  <c r="N102" i="16" s="1"/>
  <c r="O102" i="16" a="1"/>
  <c r="O102" i="16" s="1"/>
  <c r="P102" i="16" a="1"/>
  <c r="P102" i="16" s="1"/>
  <c r="N103" i="16" a="1"/>
  <c r="N103" i="16"/>
  <c r="O103" i="16" a="1"/>
  <c r="O103" i="16" s="1"/>
  <c r="P103" i="16" a="1"/>
  <c r="P103" i="16" s="1"/>
  <c r="N104" i="16" a="1"/>
  <c r="N104" i="16" s="1"/>
  <c r="O104" i="16" a="1"/>
  <c r="O104" i="16" s="1"/>
  <c r="P104" i="16" a="1"/>
  <c r="P104" i="16" s="1"/>
  <c r="N105" i="16" a="1"/>
  <c r="N105" i="16" s="1"/>
  <c r="O105" i="16" a="1"/>
  <c r="O105" i="16" s="1"/>
  <c r="P105" i="16" a="1"/>
  <c r="P105" i="16" s="1"/>
  <c r="N106" i="16" a="1"/>
  <c r="N106" i="16" s="1"/>
  <c r="O106" i="16" a="1"/>
  <c r="O106" i="16" s="1"/>
  <c r="P106" i="16" a="1"/>
  <c r="P106" i="16" s="1"/>
  <c r="N107" i="16" a="1"/>
  <c r="N107" i="16" s="1"/>
  <c r="O107" i="16" a="1"/>
  <c r="O107" i="16" s="1"/>
  <c r="P107" i="16" a="1"/>
  <c r="P107" i="16" s="1"/>
  <c r="N108" i="16" a="1"/>
  <c r="N108" i="16" s="1"/>
  <c r="O108" i="16" a="1"/>
  <c r="O108" i="16" s="1"/>
  <c r="P108" i="16" a="1"/>
  <c r="P108" i="16" s="1"/>
  <c r="N109" i="16" a="1"/>
  <c r="N109" i="16" s="1"/>
  <c r="O109" i="16" a="1"/>
  <c r="O109" i="16" s="1"/>
  <c r="P109" i="16" a="1"/>
  <c r="P109" i="16" s="1"/>
  <c r="N110" i="16" a="1"/>
  <c r="N110" i="16" s="1"/>
  <c r="O110" i="16" a="1"/>
  <c r="O110" i="16" s="1"/>
  <c r="P110" i="16" a="1"/>
  <c r="P110" i="16" s="1"/>
  <c r="N111" i="16" a="1"/>
  <c r="N111" i="16" s="1"/>
  <c r="O111" i="16" a="1"/>
  <c r="O111" i="16" s="1"/>
  <c r="P111" i="16" a="1"/>
  <c r="P111" i="16" s="1"/>
  <c r="N112" i="16" a="1"/>
  <c r="N112" i="16"/>
  <c r="O112" i="16" a="1"/>
  <c r="O112" i="16" s="1"/>
  <c r="P112" i="16" a="1"/>
  <c r="P112" i="16" s="1"/>
  <c r="N113" i="16" a="1"/>
  <c r="N113" i="16" s="1"/>
  <c r="O113" i="16" a="1"/>
  <c r="O113" i="16" s="1"/>
  <c r="P113" i="16" a="1"/>
  <c r="P113" i="16" s="1"/>
  <c r="N114" i="16" a="1"/>
  <c r="N114" i="16" s="1"/>
  <c r="O114" i="16" a="1"/>
  <c r="O114" i="16" s="1"/>
  <c r="P114" i="16" a="1"/>
  <c r="P114" i="16" s="1"/>
  <c r="N115" i="16" a="1"/>
  <c r="N115" i="16" s="1"/>
  <c r="O115" i="16" a="1"/>
  <c r="O115" i="16" s="1"/>
  <c r="P115" i="16" a="1"/>
  <c r="P115" i="16" s="1"/>
  <c r="N116" i="16" a="1"/>
  <c r="N116" i="16" s="1"/>
  <c r="O116" i="16" a="1"/>
  <c r="O116" i="16" s="1"/>
  <c r="P116" i="16" a="1"/>
  <c r="P116" i="16" s="1"/>
  <c r="N117" i="16" a="1"/>
  <c r="N117" i="16" s="1"/>
  <c r="O117" i="16" a="1"/>
  <c r="O117" i="16" s="1"/>
  <c r="P117" i="16" a="1"/>
  <c r="P117" i="16" s="1"/>
  <c r="N118" i="16" a="1"/>
  <c r="N118" i="16"/>
  <c r="O118" i="16" a="1"/>
  <c r="O118" i="16" s="1"/>
  <c r="P118" i="16" a="1"/>
  <c r="P118" i="16"/>
  <c r="N119" i="16" a="1"/>
  <c r="N119" i="16" s="1"/>
  <c r="O119" i="16" a="1"/>
  <c r="O119" i="16" s="1"/>
  <c r="P119" i="16" a="1"/>
  <c r="P119" i="16" s="1"/>
  <c r="N120" i="16" a="1"/>
  <c r="N120" i="16" s="1"/>
  <c r="O120" i="16" a="1"/>
  <c r="O120" i="16" s="1"/>
  <c r="P120" i="16" a="1"/>
  <c r="P120" i="16" s="1"/>
  <c r="N121" i="16" a="1"/>
  <c r="N121" i="16" s="1"/>
  <c r="O121" i="16" a="1"/>
  <c r="O121" i="16" s="1"/>
  <c r="P121" i="16" a="1"/>
  <c r="P121" i="16" s="1"/>
  <c r="N122" i="16" a="1"/>
  <c r="N122" i="16" s="1"/>
  <c r="O122" i="16" a="1"/>
  <c r="O122" i="16" s="1"/>
  <c r="P122" i="16" a="1"/>
  <c r="P122" i="16" s="1"/>
  <c r="N123" i="16" a="1"/>
  <c r="N123" i="16" s="1"/>
  <c r="O123" i="16" a="1"/>
  <c r="O123" i="16"/>
  <c r="P123" i="16" a="1"/>
  <c r="P123" i="16" s="1"/>
  <c r="N124" i="16" a="1"/>
  <c r="N124" i="16" s="1"/>
  <c r="O124" i="16" a="1"/>
  <c r="O124" i="16" s="1"/>
  <c r="P124" i="16" a="1"/>
  <c r="P124" i="16" s="1"/>
  <c r="N125" i="16" a="1"/>
  <c r="N125" i="16" s="1"/>
  <c r="O125" i="16" a="1"/>
  <c r="O125" i="16" s="1"/>
  <c r="P125" i="16" a="1"/>
  <c r="P125" i="16" s="1"/>
  <c r="N126" i="16" a="1"/>
  <c r="N126" i="16" s="1"/>
  <c r="O126" i="16" a="1"/>
  <c r="O126" i="16" s="1"/>
  <c r="P126" i="16" a="1"/>
  <c r="P126" i="16" s="1"/>
  <c r="N127" i="16" a="1"/>
  <c r="N127" i="16" s="1"/>
  <c r="O127" i="16" a="1"/>
  <c r="O127" i="16"/>
  <c r="P127" i="16" a="1"/>
  <c r="P127" i="16" s="1"/>
  <c r="N128" i="16" a="1"/>
  <c r="N128" i="16" s="1"/>
  <c r="O128" i="16" a="1"/>
  <c r="O128" i="16" s="1"/>
  <c r="P128" i="16" a="1"/>
  <c r="P128" i="16" s="1"/>
  <c r="N129" i="16" a="1"/>
  <c r="N129" i="16" s="1"/>
  <c r="O129" i="16" a="1"/>
  <c r="O129" i="16" s="1"/>
  <c r="P129" i="16" a="1"/>
  <c r="P129" i="16" s="1"/>
  <c r="N130" i="16" a="1"/>
  <c r="N130" i="16" s="1"/>
  <c r="O130" i="16" a="1"/>
  <c r="O130" i="16" s="1"/>
  <c r="P130" i="16" a="1"/>
  <c r="P130" i="16" s="1"/>
  <c r="N131" i="16" a="1"/>
  <c r="N131" i="16" s="1"/>
  <c r="O131" i="16" a="1"/>
  <c r="O131" i="16" s="1"/>
  <c r="P131" i="16" a="1"/>
  <c r="P131" i="16" s="1"/>
  <c r="N132" i="16" a="1"/>
  <c r="N132" i="16" s="1"/>
  <c r="O132" i="16" a="1"/>
  <c r="O132" i="16" s="1"/>
  <c r="P132" i="16" a="1"/>
  <c r="P132" i="16" s="1"/>
  <c r="N133" i="16" a="1"/>
  <c r="N133" i="16" s="1"/>
  <c r="O133" i="16" a="1"/>
  <c r="O133" i="16" s="1"/>
  <c r="P133" i="16" a="1"/>
  <c r="P133" i="16" s="1"/>
  <c r="N134" i="16" a="1"/>
  <c r="N134" i="16" s="1"/>
  <c r="O134" i="16" a="1"/>
  <c r="O134" i="16" s="1"/>
  <c r="P134" i="16" a="1"/>
  <c r="P134" i="16"/>
  <c r="N135" i="16" a="1"/>
  <c r="N135" i="16" s="1"/>
  <c r="O135" i="16" a="1"/>
  <c r="O135" i="16" s="1"/>
  <c r="P135" i="16" a="1"/>
  <c r="P135" i="16" s="1"/>
  <c r="N136" i="16" a="1"/>
  <c r="N136" i="16" s="1"/>
  <c r="O136" i="16" a="1"/>
  <c r="O136" i="16" s="1"/>
  <c r="P136" i="16" a="1"/>
  <c r="P136" i="16" s="1"/>
  <c r="N137" i="16" a="1"/>
  <c r="N137" i="16" s="1"/>
  <c r="O137" i="16" a="1"/>
  <c r="O137" i="16" s="1"/>
  <c r="P137" i="16" a="1"/>
  <c r="P137" i="16" s="1"/>
  <c r="N138" i="16" a="1"/>
  <c r="N138" i="16" s="1"/>
  <c r="O138" i="16" a="1"/>
  <c r="O138" i="16" s="1"/>
  <c r="P138" i="16" a="1"/>
  <c r="P138" i="16" s="1"/>
  <c r="N139" i="16" a="1"/>
  <c r="N139" i="16" s="1"/>
  <c r="O139" i="16" a="1"/>
  <c r="O139" i="16" s="1"/>
  <c r="P139" i="16" a="1"/>
  <c r="P139" i="16" s="1"/>
  <c r="N140" i="16" a="1"/>
  <c r="N140" i="16" s="1"/>
  <c r="O140" i="16" a="1"/>
  <c r="O140" i="16"/>
  <c r="P140" i="16" a="1"/>
  <c r="P140" i="16" s="1"/>
  <c r="N141" i="16" a="1"/>
  <c r="N141" i="16" s="1"/>
  <c r="O141" i="16" a="1"/>
  <c r="O141" i="16" s="1"/>
  <c r="P141" i="16" a="1"/>
  <c r="P141" i="16" s="1"/>
  <c r="N142" i="16" a="1"/>
  <c r="N142" i="16" s="1"/>
  <c r="O142" i="16" a="1"/>
  <c r="O142" i="16" s="1"/>
  <c r="P142" i="16" a="1"/>
  <c r="P142" i="16" s="1"/>
  <c r="N143" i="16" a="1"/>
  <c r="N143" i="16" s="1"/>
  <c r="O143" i="16" a="1"/>
  <c r="O143" i="16"/>
  <c r="P143" i="16" a="1"/>
  <c r="P143" i="16"/>
  <c r="N144" i="16" a="1"/>
  <c r="N144" i="16" s="1"/>
  <c r="O144" i="16" a="1"/>
  <c r="O144" i="16" s="1"/>
  <c r="P144" i="16" a="1"/>
  <c r="P144" i="16"/>
  <c r="N145" i="16" a="1"/>
  <c r="N145" i="16" s="1"/>
  <c r="O145" i="16" a="1"/>
  <c r="O145" i="16" s="1"/>
  <c r="P145" i="16" a="1"/>
  <c r="P145" i="16"/>
  <c r="N146" i="16" a="1"/>
  <c r="N146" i="16" s="1"/>
  <c r="O146" i="16" a="1"/>
  <c r="O146" i="16" s="1"/>
  <c r="P146" i="16" a="1"/>
  <c r="P146" i="16" s="1"/>
  <c r="N147" i="16" a="1"/>
  <c r="N147" i="16" s="1"/>
  <c r="O147" i="16" a="1"/>
  <c r="O147" i="16" s="1"/>
  <c r="P147" i="16" a="1"/>
  <c r="P147" i="16" s="1"/>
  <c r="N148" i="16" a="1"/>
  <c r="N148" i="16" s="1"/>
  <c r="O148" i="16" a="1"/>
  <c r="O148" i="16" s="1"/>
  <c r="P148" i="16" a="1"/>
  <c r="P148" i="16" s="1"/>
  <c r="N149" i="16" a="1"/>
  <c r="N149" i="16" s="1"/>
  <c r="O149" i="16" a="1"/>
  <c r="O149" i="16" s="1"/>
  <c r="P149" i="16" a="1"/>
  <c r="P149" i="16" s="1"/>
  <c r="N150" i="16" a="1"/>
  <c r="N150" i="16" s="1"/>
  <c r="O150" i="16" a="1"/>
  <c r="O150" i="16" s="1"/>
  <c r="P150" i="16" a="1"/>
  <c r="P150" i="16" s="1"/>
  <c r="N151" i="16" a="1"/>
  <c r="N151" i="16" s="1"/>
  <c r="O151" i="16" a="1"/>
  <c r="O151" i="16" s="1"/>
  <c r="P151" i="16" a="1"/>
  <c r="P151" i="16" s="1"/>
  <c r="N152" i="16" a="1"/>
  <c r="N152" i="16" s="1"/>
  <c r="O152" i="16" a="1"/>
  <c r="O152" i="16" s="1"/>
  <c r="P152" i="16" a="1"/>
  <c r="P152" i="16" s="1"/>
  <c r="N153" i="16" a="1"/>
  <c r="N153" i="16" s="1"/>
  <c r="O153" i="16" a="1"/>
  <c r="O153" i="16" s="1"/>
  <c r="P153" i="16" a="1"/>
  <c r="P153" i="16" s="1"/>
  <c r="N154" i="16" a="1"/>
  <c r="N154" i="16" s="1"/>
  <c r="O154" i="16" a="1"/>
  <c r="O154" i="16" s="1"/>
  <c r="P154" i="16" a="1"/>
  <c r="P154" i="16" s="1"/>
  <c r="N155" i="16" a="1"/>
  <c r="N155" i="16" s="1"/>
  <c r="O155" i="16" a="1"/>
  <c r="O155" i="16" s="1"/>
  <c r="P155" i="16" a="1"/>
  <c r="P155" i="16"/>
  <c r="N156" i="16" a="1"/>
  <c r="N156" i="16" s="1"/>
  <c r="O156" i="16" a="1"/>
  <c r="O156" i="16" s="1"/>
  <c r="P156" i="16" a="1"/>
  <c r="P156" i="16"/>
  <c r="N157" i="16" a="1"/>
  <c r="N157" i="16" s="1"/>
  <c r="O157" i="16" a="1"/>
  <c r="O157" i="16" s="1"/>
  <c r="P157" i="16" a="1"/>
  <c r="P157" i="16" s="1"/>
  <c r="N158" i="16" a="1"/>
  <c r="N158" i="16" s="1"/>
  <c r="O158" i="16" a="1"/>
  <c r="O158" i="16" s="1"/>
  <c r="P158" i="16" a="1"/>
  <c r="P158" i="16" s="1"/>
  <c r="N159" i="16" a="1"/>
  <c r="N159" i="16" s="1"/>
  <c r="O159" i="16" a="1"/>
  <c r="O159" i="16"/>
  <c r="P159" i="16" a="1"/>
  <c r="P159" i="16" s="1"/>
  <c r="N160" i="16" a="1"/>
  <c r="N160" i="16" s="1"/>
  <c r="O160" i="16" a="1"/>
  <c r="O160" i="16" s="1"/>
  <c r="P160" i="16" a="1"/>
  <c r="P160" i="16" s="1"/>
  <c r="N161" i="16" a="1"/>
  <c r="N161" i="16" s="1"/>
  <c r="O161" i="16" a="1"/>
  <c r="O161" i="16" s="1"/>
  <c r="P161" i="16" a="1"/>
  <c r="P161" i="16" s="1"/>
  <c r="N162" i="16" a="1"/>
  <c r="N162" i="16" s="1"/>
  <c r="O162" i="16" a="1"/>
  <c r="O162" i="16" s="1"/>
  <c r="P162" i="16" a="1"/>
  <c r="P162" i="16" s="1"/>
  <c r="N163" i="16" a="1"/>
  <c r="N163" i="16" s="1"/>
  <c r="O163" i="16" a="1"/>
  <c r="O163" i="16" s="1"/>
  <c r="P163" i="16" a="1"/>
  <c r="P163" i="16" s="1"/>
  <c r="N164" i="16" a="1"/>
  <c r="N164" i="16" s="1"/>
  <c r="O164" i="16" a="1"/>
  <c r="O164" i="16" s="1"/>
  <c r="P164" i="16" a="1"/>
  <c r="P164" i="16" s="1"/>
  <c r="N165" i="16" a="1"/>
  <c r="N165" i="16" s="1"/>
  <c r="O165" i="16" a="1"/>
  <c r="O165" i="16" s="1"/>
  <c r="P165" i="16" a="1"/>
  <c r="P165" i="16" s="1"/>
  <c r="N166" i="16" a="1"/>
  <c r="N166" i="16" s="1"/>
  <c r="O166" i="16" a="1"/>
  <c r="O166" i="16" s="1"/>
  <c r="P166" i="16" a="1"/>
  <c r="P166" i="16" s="1"/>
  <c r="N167" i="16" a="1"/>
  <c r="N167" i="16" s="1"/>
  <c r="O167" i="16" a="1"/>
  <c r="O167" i="16" s="1"/>
  <c r="P167" i="16" a="1"/>
  <c r="P167" i="16" s="1"/>
  <c r="N168" i="16" a="1"/>
  <c r="N168" i="16" s="1"/>
  <c r="O168" i="16" a="1"/>
  <c r="O168" i="16" s="1"/>
  <c r="P168" i="16" a="1"/>
  <c r="P168" i="16" s="1"/>
  <c r="N169" i="16" a="1"/>
  <c r="N169" i="16" s="1"/>
  <c r="O169" i="16" a="1"/>
  <c r="O169" i="16" s="1"/>
  <c r="P169" i="16" a="1"/>
  <c r="P169" i="16" s="1"/>
  <c r="N170" i="16" a="1"/>
  <c r="N170" i="16" s="1"/>
  <c r="O170" i="16" a="1"/>
  <c r="O170" i="16" s="1"/>
  <c r="P170" i="16" a="1"/>
  <c r="P170" i="16" s="1"/>
  <c r="N171" i="16" a="1"/>
  <c r="N171" i="16" s="1"/>
  <c r="O171" i="16" a="1"/>
  <c r="O171" i="16" s="1"/>
  <c r="P171" i="16" a="1"/>
  <c r="P171" i="16" s="1"/>
  <c r="N172" i="16" a="1"/>
  <c r="N172" i="16" s="1"/>
  <c r="O172" i="16" a="1"/>
  <c r="O172" i="16" s="1"/>
  <c r="P172" i="16" a="1"/>
  <c r="P172" i="16" s="1"/>
  <c r="N173" i="16" a="1"/>
  <c r="N173" i="16" s="1"/>
  <c r="O173" i="16" a="1"/>
  <c r="O173" i="16" s="1"/>
  <c r="P173" i="16" a="1"/>
  <c r="P173" i="16" s="1"/>
  <c r="N174" i="16" a="1"/>
  <c r="N174" i="16" s="1"/>
  <c r="O174" i="16" a="1"/>
  <c r="O174" i="16" s="1"/>
  <c r="P174" i="16" a="1"/>
  <c r="P174" i="16" s="1"/>
  <c r="N175" i="16" a="1"/>
  <c r="N175" i="16" s="1"/>
  <c r="O175" i="16" a="1"/>
  <c r="O175" i="16" s="1"/>
  <c r="P175" i="16" a="1"/>
  <c r="P175" i="16" s="1"/>
  <c r="N176" i="16" a="1"/>
  <c r="N176" i="16" s="1"/>
  <c r="O176" i="16" a="1"/>
  <c r="O176" i="16" s="1"/>
  <c r="P176" i="16" a="1"/>
  <c r="P176" i="16" s="1"/>
  <c r="N177" i="16" a="1"/>
  <c r="N177" i="16" s="1"/>
  <c r="O177" i="16" a="1"/>
  <c r="O177" i="16" s="1"/>
  <c r="P177" i="16" a="1"/>
  <c r="P177" i="16" s="1"/>
  <c r="N178" i="16" a="1"/>
  <c r="N178" i="16" s="1"/>
  <c r="O178" i="16" a="1"/>
  <c r="O178" i="16" s="1"/>
  <c r="P178" i="16" a="1"/>
  <c r="P178" i="16" s="1"/>
  <c r="N179" i="16" a="1"/>
  <c r="N179" i="16" s="1"/>
  <c r="O179" i="16" a="1"/>
  <c r="O179" i="16"/>
  <c r="P179" i="16" a="1"/>
  <c r="P179" i="16" s="1"/>
  <c r="N180" i="16" a="1"/>
  <c r="N180" i="16" s="1"/>
  <c r="O180" i="16" a="1"/>
  <c r="O180" i="16" s="1"/>
  <c r="P180" i="16" a="1"/>
  <c r="P180" i="16" s="1"/>
  <c r="N181" i="16" a="1"/>
  <c r="N181" i="16"/>
  <c r="O181" i="16" a="1"/>
  <c r="O181" i="16" s="1"/>
  <c r="P181" i="16" a="1"/>
  <c r="P181" i="16" s="1"/>
  <c r="N182" i="16" a="1"/>
  <c r="N182" i="16" s="1"/>
  <c r="O182" i="16" a="1"/>
  <c r="O182" i="16" s="1"/>
  <c r="P182" i="16" a="1"/>
  <c r="P182" i="16" s="1"/>
  <c r="N183" i="16" a="1"/>
  <c r="N183" i="16" s="1"/>
  <c r="O183" i="16" a="1"/>
  <c r="O183" i="16" s="1"/>
  <c r="P183" i="16" a="1"/>
  <c r="P183" i="16" s="1"/>
  <c r="N184" i="16" a="1"/>
  <c r="N184" i="16" s="1"/>
  <c r="O184" i="16" a="1"/>
  <c r="O184" i="16" s="1"/>
  <c r="P184" i="16" a="1"/>
  <c r="P184" i="16" s="1"/>
  <c r="N185" i="16" a="1"/>
  <c r="N185" i="16" s="1"/>
  <c r="O185" i="16" a="1"/>
  <c r="O185" i="16" s="1"/>
  <c r="P185" i="16" a="1"/>
  <c r="P185" i="16" s="1"/>
  <c r="N186" i="16" a="1"/>
  <c r="N186" i="16" s="1"/>
  <c r="O186" i="16" a="1"/>
  <c r="O186" i="16"/>
  <c r="P186" i="16" a="1"/>
  <c r="P186" i="16" s="1"/>
  <c r="N187" i="16" a="1"/>
  <c r="N187" i="16" s="1"/>
  <c r="O187" i="16" a="1"/>
  <c r="O187" i="16" s="1"/>
  <c r="P187" i="16" a="1"/>
  <c r="P187" i="16" s="1"/>
  <c r="N188" i="16" a="1"/>
  <c r="N188" i="16" s="1"/>
  <c r="O188" i="16" a="1"/>
  <c r="O188" i="16" s="1"/>
  <c r="P188" i="16" a="1"/>
  <c r="P188" i="16" s="1"/>
  <c r="N189" i="16" a="1"/>
  <c r="N189" i="16" s="1"/>
  <c r="O189" i="16" a="1"/>
  <c r="O189" i="16" s="1"/>
  <c r="P189" i="16" a="1"/>
  <c r="P189" i="16" s="1"/>
  <c r="N190" i="16" a="1"/>
  <c r="N190" i="16" s="1"/>
  <c r="O190" i="16" a="1"/>
  <c r="O190" i="16"/>
  <c r="P190" i="16" a="1"/>
  <c r="P190" i="16" s="1"/>
  <c r="N191" i="16" a="1"/>
  <c r="N191" i="16" s="1"/>
  <c r="O191" i="16" a="1"/>
  <c r="O191" i="16" s="1"/>
  <c r="P191" i="16" a="1"/>
  <c r="P191" i="16" s="1"/>
  <c r="N192" i="16" a="1"/>
  <c r="N192" i="16" s="1"/>
  <c r="O192" i="16" a="1"/>
  <c r="O192" i="16" s="1"/>
  <c r="P192" i="16" a="1"/>
  <c r="P192" i="16" s="1"/>
  <c r="N193" i="16" a="1"/>
  <c r="N193" i="16" s="1"/>
  <c r="O193" i="16" a="1"/>
  <c r="O193" i="16"/>
  <c r="P193" i="16" a="1"/>
  <c r="P193" i="16" s="1"/>
  <c r="N194" i="16" a="1"/>
  <c r="N194" i="16" s="1"/>
  <c r="O194" i="16" a="1"/>
  <c r="O194" i="16" s="1"/>
  <c r="P194" i="16" a="1"/>
  <c r="P194" i="16" s="1"/>
  <c r="N195" i="16" a="1"/>
  <c r="N195" i="16" s="1"/>
  <c r="O195" i="16" a="1"/>
  <c r="O195" i="16" s="1"/>
  <c r="P195" i="16" a="1"/>
  <c r="P195" i="16" s="1"/>
  <c r="N196" i="16" a="1"/>
  <c r="N196" i="16"/>
  <c r="O196" i="16" a="1"/>
  <c r="O196" i="16" s="1"/>
  <c r="P196" i="16" a="1"/>
  <c r="P196" i="16" s="1"/>
  <c r="N197" i="16" a="1"/>
  <c r="N197" i="16" s="1"/>
  <c r="O197" i="16" a="1"/>
  <c r="O197" i="16" s="1"/>
  <c r="P197" i="16" a="1"/>
  <c r="P197" i="16" s="1"/>
  <c r="N198" i="16" a="1"/>
  <c r="N198" i="16" s="1"/>
  <c r="O198" i="16" a="1"/>
  <c r="O198" i="16" s="1"/>
  <c r="P198" i="16" a="1"/>
  <c r="P198" i="16" s="1"/>
  <c r="N199" i="16" a="1"/>
  <c r="N199" i="16" s="1"/>
  <c r="O199" i="16" a="1"/>
  <c r="O199" i="16" s="1"/>
  <c r="P199" i="16" a="1"/>
  <c r="P199" i="16"/>
  <c r="N200" i="16" a="1"/>
  <c r="N200" i="16" s="1"/>
  <c r="O200" i="16" a="1"/>
  <c r="O200" i="16" s="1"/>
  <c r="P200" i="16" a="1"/>
  <c r="P200" i="16" s="1"/>
  <c r="N201" i="16" a="1"/>
  <c r="N201" i="16" s="1"/>
  <c r="O201" i="16" a="1"/>
  <c r="O201" i="16" s="1"/>
  <c r="P201" i="16" a="1"/>
  <c r="P201" i="16" s="1"/>
  <c r="N202" i="16" a="1"/>
  <c r="N202" i="16" s="1"/>
  <c r="O202" i="16" a="1"/>
  <c r="O202" i="16" s="1"/>
  <c r="P202" i="16" a="1"/>
  <c r="P202" i="16" s="1"/>
  <c r="N203" i="16" a="1"/>
  <c r="N203" i="16" s="1"/>
  <c r="O203" i="16" a="1"/>
  <c r="O203" i="16" s="1"/>
  <c r="P203" i="16" a="1"/>
  <c r="P203" i="16" s="1"/>
  <c r="N204" i="16" a="1"/>
  <c r="N204" i="16" s="1"/>
  <c r="O204" i="16" a="1"/>
  <c r="O204" i="16" s="1"/>
  <c r="P204" i="16" a="1"/>
  <c r="P204" i="16" s="1"/>
  <c r="N205" i="16" a="1"/>
  <c r="N205" i="16" s="1"/>
  <c r="O205" i="16" a="1"/>
  <c r="O205" i="16" s="1"/>
  <c r="P205" i="16" a="1"/>
  <c r="P205" i="16" s="1"/>
  <c r="N206" i="16" a="1"/>
  <c r="N206" i="16" s="1"/>
  <c r="O206" i="16" a="1"/>
  <c r="O206" i="16" s="1"/>
  <c r="P206" i="16" a="1"/>
  <c r="P206" i="16" s="1"/>
  <c r="N207" i="16" a="1"/>
  <c r="N207" i="16" s="1"/>
  <c r="O207" i="16" a="1"/>
  <c r="O207" i="16" s="1"/>
  <c r="P207" i="16" a="1"/>
  <c r="P207" i="16" s="1"/>
  <c r="N208" i="16" a="1"/>
  <c r="N208" i="16" s="1"/>
  <c r="O208" i="16" a="1"/>
  <c r="O208" i="16" s="1"/>
  <c r="P208" i="16" a="1"/>
  <c r="P208" i="16" s="1"/>
  <c r="N209" i="16" a="1"/>
  <c r="N209" i="16" s="1"/>
  <c r="O209" i="16" a="1"/>
  <c r="O209" i="16" s="1"/>
  <c r="P209" i="16" a="1"/>
  <c r="P209" i="16" s="1"/>
  <c r="N210" i="16" a="1"/>
  <c r="N210" i="16" s="1"/>
  <c r="O210" i="16" a="1"/>
  <c r="O210" i="16"/>
  <c r="P210" i="16" a="1"/>
  <c r="P210" i="16" s="1"/>
  <c r="N211" i="16" a="1"/>
  <c r="N211" i="16" s="1"/>
  <c r="O211" i="16" a="1"/>
  <c r="O211" i="16" s="1"/>
  <c r="P211" i="16" a="1"/>
  <c r="P211" i="16" s="1"/>
  <c r="N212" i="16" a="1"/>
  <c r="N212" i="16" s="1"/>
  <c r="O212" i="16" a="1"/>
  <c r="O212" i="16" s="1"/>
  <c r="P212" i="16" a="1"/>
  <c r="P212" i="16" s="1"/>
  <c r="N213" i="16" a="1"/>
  <c r="N213" i="16" s="1"/>
  <c r="O213" i="16" a="1"/>
  <c r="O213" i="16" s="1"/>
  <c r="P213" i="16" a="1"/>
  <c r="P213" i="16"/>
  <c r="N214" i="16" a="1"/>
  <c r="N214" i="16" s="1"/>
  <c r="O214" i="16" a="1"/>
  <c r="O214" i="16" s="1"/>
  <c r="P214" i="16" a="1"/>
  <c r="P214" i="16" s="1"/>
  <c r="N215" i="16" a="1"/>
  <c r="N215" i="16" s="1"/>
  <c r="O215" i="16" a="1"/>
  <c r="O215" i="16" s="1"/>
  <c r="P215" i="16" a="1"/>
  <c r="P215" i="16" s="1"/>
  <c r="N216" i="16" a="1"/>
  <c r="N216" i="16"/>
  <c r="O216" i="16" a="1"/>
  <c r="O216" i="16"/>
  <c r="P216" i="16" a="1"/>
  <c r="P216" i="16" s="1"/>
  <c r="N217" i="16" a="1"/>
  <c r="N217" i="16" s="1"/>
  <c r="O217" i="16" a="1"/>
  <c r="O217" i="16" s="1"/>
  <c r="P217" i="16" a="1"/>
  <c r="P217" i="16" s="1"/>
  <c r="N218" i="16" a="1"/>
  <c r="N218" i="16" s="1"/>
  <c r="O218" i="16" a="1"/>
  <c r="O218" i="16" s="1"/>
  <c r="P218" i="16" a="1"/>
  <c r="P218" i="16" s="1"/>
  <c r="N219" i="16" a="1"/>
  <c r="N219" i="16" s="1"/>
  <c r="O219" i="16" a="1"/>
  <c r="O219" i="16" s="1"/>
  <c r="P219" i="16" a="1"/>
  <c r="P219" i="16" s="1"/>
  <c r="N220" i="16" a="1"/>
  <c r="N220" i="16" s="1"/>
  <c r="O220" i="16" a="1"/>
  <c r="O220" i="16"/>
  <c r="P220" i="16" a="1"/>
  <c r="P220" i="16" s="1"/>
  <c r="N221" i="16" a="1"/>
  <c r="N221" i="16" s="1"/>
  <c r="O221" i="16" a="1"/>
  <c r="O221" i="16" s="1"/>
  <c r="P221" i="16" a="1"/>
  <c r="P221" i="16"/>
  <c r="N222" i="16" a="1"/>
  <c r="N222" i="16" s="1"/>
  <c r="O222" i="16" a="1"/>
  <c r="O222" i="16" s="1"/>
  <c r="P222" i="16" a="1"/>
  <c r="P222" i="16" s="1"/>
  <c r="N223" i="16" a="1"/>
  <c r="N223" i="16" s="1"/>
  <c r="O223" i="16" a="1"/>
  <c r="O223" i="16" s="1"/>
  <c r="P223" i="16" a="1"/>
  <c r="P223" i="16" s="1"/>
  <c r="N224" i="16" a="1"/>
  <c r="N224" i="16" s="1"/>
  <c r="O224" i="16" a="1"/>
  <c r="O224" i="16" s="1"/>
  <c r="P224" i="16" a="1"/>
  <c r="P224" i="16" s="1"/>
  <c r="N225" i="16" a="1"/>
  <c r="N225" i="16" s="1"/>
  <c r="O225" i="16" a="1"/>
  <c r="O225" i="16" s="1"/>
  <c r="P225" i="16" a="1"/>
  <c r="P225" i="16" s="1"/>
  <c r="N226" i="16" a="1"/>
  <c r="N226" i="16" s="1"/>
  <c r="O226" i="16" a="1"/>
  <c r="O226" i="16" s="1"/>
  <c r="P226" i="16" a="1"/>
  <c r="P226" i="16" s="1"/>
  <c r="N227" i="16" a="1"/>
  <c r="N227" i="16" s="1"/>
  <c r="O227" i="16" a="1"/>
  <c r="O227" i="16" s="1"/>
  <c r="P227" i="16" a="1"/>
  <c r="P227" i="16" s="1"/>
  <c r="N228" i="16" a="1"/>
  <c r="N228" i="16" s="1"/>
  <c r="O228" i="16" a="1"/>
  <c r="O228" i="16" s="1"/>
  <c r="P228" i="16" a="1"/>
  <c r="P228" i="16" s="1"/>
  <c r="N229" i="16" a="1"/>
  <c r="N229" i="16" s="1"/>
  <c r="O229" i="16" a="1"/>
  <c r="O229" i="16" s="1"/>
  <c r="P229" i="16" a="1"/>
  <c r="P229" i="16" s="1"/>
  <c r="N230" i="16" a="1"/>
  <c r="N230" i="16" s="1"/>
  <c r="O230" i="16" a="1"/>
  <c r="O230" i="16" s="1"/>
  <c r="P230" i="16" a="1"/>
  <c r="P230" i="16" s="1"/>
  <c r="N231" i="16" a="1"/>
  <c r="N231" i="16" s="1"/>
  <c r="O231" i="16" a="1"/>
  <c r="O231" i="16" s="1"/>
  <c r="P231" i="16" a="1"/>
  <c r="P231" i="16" s="1"/>
  <c r="N232" i="16" a="1"/>
  <c r="N232" i="16" s="1"/>
  <c r="O232" i="16" a="1"/>
  <c r="O232" i="16" s="1"/>
  <c r="P232" i="16" a="1"/>
  <c r="P232" i="16" s="1"/>
  <c r="N233" i="16" a="1"/>
  <c r="N233" i="16" s="1"/>
  <c r="O233" i="16" a="1"/>
  <c r="O233" i="16" s="1"/>
  <c r="P233" i="16" a="1"/>
  <c r="P233" i="16" s="1"/>
  <c r="N234" i="16" a="1"/>
  <c r="N234" i="16" s="1"/>
  <c r="O234" i="16" a="1"/>
  <c r="O234" i="16" s="1"/>
  <c r="P234" i="16" a="1"/>
  <c r="P234" i="16" s="1"/>
  <c r="N235" i="16" a="1"/>
  <c r="N235" i="16" s="1"/>
  <c r="O235" i="16" a="1"/>
  <c r="O235" i="16" s="1"/>
  <c r="P235" i="16" a="1"/>
  <c r="P235" i="16" s="1"/>
  <c r="N236" i="16" a="1"/>
  <c r="N236" i="16" s="1"/>
  <c r="O236" i="16" a="1"/>
  <c r="O236" i="16" s="1"/>
  <c r="P236" i="16" a="1"/>
  <c r="P236" i="16" s="1"/>
  <c r="N237" i="16" a="1"/>
  <c r="N237" i="16" s="1"/>
  <c r="O237" i="16" a="1"/>
  <c r="O237" i="16" s="1"/>
  <c r="P237" i="16" a="1"/>
  <c r="P237" i="16" s="1"/>
  <c r="N238" i="16" a="1"/>
  <c r="N238" i="16"/>
  <c r="O238" i="16" a="1"/>
  <c r="O238" i="16" s="1"/>
  <c r="P238" i="16" a="1"/>
  <c r="P238" i="16" s="1"/>
  <c r="N239" i="16" a="1"/>
  <c r="N239" i="16" s="1"/>
  <c r="O239" i="16" a="1"/>
  <c r="O239" i="16" s="1"/>
  <c r="P239" i="16" a="1"/>
  <c r="P239" i="16" s="1"/>
  <c r="N240" i="16" a="1"/>
  <c r="N240" i="16" s="1"/>
  <c r="O240" i="16" a="1"/>
  <c r="O240" i="16" s="1"/>
  <c r="P240" i="16" a="1"/>
  <c r="P240" i="16" s="1"/>
  <c r="N241" i="16" a="1"/>
  <c r="N241" i="16" s="1"/>
  <c r="O241" i="16" a="1"/>
  <c r="O241" i="16" s="1"/>
  <c r="P241" i="16" a="1"/>
  <c r="P241" i="16" s="1"/>
  <c r="N242" i="16" a="1"/>
  <c r="N242" i="16" s="1"/>
  <c r="O242" i="16" a="1"/>
  <c r="O242" i="16" s="1"/>
  <c r="P242" i="16" a="1"/>
  <c r="P242" i="16" s="1"/>
  <c r="N243" i="16" a="1"/>
  <c r="N243" i="16" s="1"/>
  <c r="O243" i="16" a="1"/>
  <c r="O243" i="16"/>
  <c r="P243" i="16" a="1"/>
  <c r="P243" i="16" s="1"/>
  <c r="N244" i="16" a="1"/>
  <c r="N244" i="16" s="1"/>
  <c r="O244" i="16" a="1"/>
  <c r="O244" i="16" s="1"/>
  <c r="P244" i="16" a="1"/>
  <c r="P244" i="16"/>
  <c r="N245" i="16" a="1"/>
  <c r="N245" i="16" s="1"/>
  <c r="O245" i="16" a="1"/>
  <c r="O245" i="16" s="1"/>
  <c r="P245" i="16" a="1"/>
  <c r="P245" i="16" s="1"/>
  <c r="N246" i="16" a="1"/>
  <c r="N246" i="16" s="1"/>
  <c r="O246" i="16" a="1"/>
  <c r="O246" i="16" s="1"/>
  <c r="P246" i="16" a="1"/>
  <c r="P246" i="16" s="1"/>
  <c r="N247" i="16" a="1"/>
  <c r="N247" i="16" s="1"/>
  <c r="O247" i="16" a="1"/>
  <c r="O247" i="16" s="1"/>
  <c r="P247" i="16" a="1"/>
  <c r="P247" i="16" s="1"/>
  <c r="N248" i="16" a="1"/>
  <c r="N248" i="16" s="1"/>
  <c r="O248" i="16" a="1"/>
  <c r="O248" i="16" s="1"/>
  <c r="P248" i="16" a="1"/>
  <c r="P248" i="16" s="1"/>
  <c r="N249" i="16" a="1"/>
  <c r="N249" i="16"/>
  <c r="O249" i="16" a="1"/>
  <c r="O249" i="16" s="1"/>
  <c r="P249" i="16" a="1"/>
  <c r="P249" i="16" s="1"/>
  <c r="N250" i="16" a="1"/>
  <c r="N250" i="16" s="1"/>
  <c r="O250" i="16" a="1"/>
  <c r="O250" i="16" s="1"/>
  <c r="P250" i="16" a="1"/>
  <c r="P250" i="16" s="1"/>
  <c r="N251" i="16" a="1"/>
  <c r="N251" i="16" s="1"/>
  <c r="O251" i="16" a="1"/>
  <c r="O251" i="16" s="1"/>
  <c r="P251" i="16" a="1"/>
  <c r="P251" i="16" s="1"/>
  <c r="N252" i="16" a="1"/>
  <c r="N252" i="16" s="1"/>
  <c r="O252" i="16" a="1"/>
  <c r="O252" i="16" s="1"/>
  <c r="P252" i="16" a="1"/>
  <c r="P252" i="16" s="1"/>
  <c r="N253" i="16" a="1"/>
  <c r="N253" i="16" s="1"/>
  <c r="O253" i="16" a="1"/>
  <c r="O253" i="16" s="1"/>
  <c r="P253" i="16" a="1"/>
  <c r="P253" i="16" s="1"/>
  <c r="N254" i="16" a="1"/>
  <c r="N254" i="16" s="1"/>
  <c r="O254" i="16" a="1"/>
  <c r="O254" i="16" s="1"/>
  <c r="P254" i="16" a="1"/>
  <c r="P254" i="16" s="1"/>
  <c r="N255" i="16" a="1"/>
  <c r="N255" i="16" s="1"/>
  <c r="O255" i="16" a="1"/>
  <c r="O255" i="16" s="1"/>
  <c r="P255" i="16" a="1"/>
  <c r="P255" i="16" s="1"/>
  <c r="N256" i="16" a="1"/>
  <c r="N256" i="16" s="1"/>
  <c r="O256" i="16" a="1"/>
  <c r="O256" i="16" s="1"/>
  <c r="P256" i="16" a="1"/>
  <c r="P256" i="16" s="1"/>
  <c r="N257" i="16" a="1"/>
  <c r="N257" i="16" s="1"/>
  <c r="O257" i="16" a="1"/>
  <c r="O257" i="16" s="1"/>
  <c r="P257" i="16" a="1"/>
  <c r="P257" i="16"/>
  <c r="N258" i="16" a="1"/>
  <c r="N258" i="16" s="1"/>
  <c r="O258" i="16" a="1"/>
  <c r="O258" i="16" s="1"/>
  <c r="P258" i="16" a="1"/>
  <c r="P258" i="16" s="1"/>
  <c r="N259" i="16" a="1"/>
  <c r="N259" i="16" s="1"/>
  <c r="O259" i="16" a="1"/>
  <c r="O259" i="16" s="1"/>
  <c r="P259" i="16" a="1"/>
  <c r="P259" i="16" s="1"/>
  <c r="N260" i="16" a="1"/>
  <c r="N260" i="16" s="1"/>
  <c r="O260" i="16" a="1"/>
  <c r="O260" i="16" s="1"/>
  <c r="P260" i="16" a="1"/>
  <c r="P260" i="16" s="1"/>
  <c r="N261" i="16" a="1"/>
  <c r="N261" i="16" s="1"/>
  <c r="O261" i="16" a="1"/>
  <c r="O261" i="16" s="1"/>
  <c r="P261" i="16" a="1"/>
  <c r="P261" i="16" s="1"/>
  <c r="N262" i="16" a="1"/>
  <c r="N262" i="16" s="1"/>
  <c r="O262" i="16" a="1"/>
  <c r="O262" i="16" s="1"/>
  <c r="P262" i="16" a="1"/>
  <c r="P262" i="16" s="1"/>
  <c r="N263" i="16" a="1"/>
  <c r="N263" i="16" s="1"/>
  <c r="O263" i="16" a="1"/>
  <c r="O263" i="16" s="1"/>
  <c r="P263" i="16" a="1"/>
  <c r="P263" i="16" s="1"/>
  <c r="N264" i="16" a="1"/>
  <c r="N264" i="16" s="1"/>
  <c r="O264" i="16" a="1"/>
  <c r="O264" i="16" s="1"/>
  <c r="P264" i="16" a="1"/>
  <c r="P264" i="16" s="1"/>
  <c r="N265" i="16" a="1"/>
  <c r="N265" i="16" s="1"/>
  <c r="O265" i="16" a="1"/>
  <c r="O265" i="16" s="1"/>
  <c r="P265" i="16" a="1"/>
  <c r="P265" i="16" s="1"/>
  <c r="N266" i="16" a="1"/>
  <c r="N266" i="16"/>
  <c r="O266" i="16" a="1"/>
  <c r="O266" i="16" s="1"/>
  <c r="P266" i="16" a="1"/>
  <c r="P266" i="16" s="1"/>
  <c r="N267" i="16" a="1"/>
  <c r="N267" i="16" s="1"/>
  <c r="O267" i="16" a="1"/>
  <c r="O267" i="16" s="1"/>
  <c r="P267" i="16" a="1"/>
  <c r="P267" i="16" s="1"/>
  <c r="N268" i="16" a="1"/>
  <c r="N268" i="16" s="1"/>
  <c r="O268" i="16" a="1"/>
  <c r="O268" i="16" s="1"/>
  <c r="P268" i="16" a="1"/>
  <c r="P268" i="16" s="1"/>
  <c r="N269" i="16" a="1"/>
  <c r="N269" i="16" s="1"/>
  <c r="O269" i="16" a="1"/>
  <c r="O269" i="16"/>
  <c r="P269" i="16" a="1"/>
  <c r="P269" i="16" s="1"/>
  <c r="N270" i="16" a="1"/>
  <c r="N270" i="16" s="1"/>
  <c r="O270" i="16" a="1"/>
  <c r="O270" i="16" s="1"/>
  <c r="P270" i="16" a="1"/>
  <c r="P270" i="16"/>
  <c r="N271" i="16" a="1"/>
  <c r="N271" i="16" s="1"/>
  <c r="O271" i="16" a="1"/>
  <c r="O271" i="16" s="1"/>
  <c r="P271" i="16" a="1"/>
  <c r="P271" i="16" s="1"/>
  <c r="N272" i="16" a="1"/>
  <c r="N272" i="16" s="1"/>
  <c r="O272" i="16" a="1"/>
  <c r="O272" i="16" s="1"/>
  <c r="P272" i="16" a="1"/>
  <c r="P272" i="16" s="1"/>
  <c r="N273" i="16" a="1"/>
  <c r="N273" i="16" s="1"/>
  <c r="O273" i="16" a="1"/>
  <c r="O273" i="16" s="1"/>
  <c r="P273" i="16" a="1"/>
  <c r="P273" i="16" s="1"/>
  <c r="N274" i="16" a="1"/>
  <c r="N274" i="16" s="1"/>
  <c r="O274" i="16" a="1"/>
  <c r="O274" i="16" s="1"/>
  <c r="P274" i="16" a="1"/>
  <c r="P274" i="16" s="1"/>
  <c r="N275" i="16" a="1"/>
  <c r="N275" i="16" s="1"/>
  <c r="O275" i="16" a="1"/>
  <c r="O275" i="16" s="1"/>
  <c r="P275" i="16" a="1"/>
  <c r="P275" i="16" s="1"/>
  <c r="N276" i="16" a="1"/>
  <c r="N276" i="16" s="1"/>
  <c r="O276" i="16" a="1"/>
  <c r="O276" i="16" s="1"/>
  <c r="P276" i="16" a="1"/>
  <c r="P276" i="16" s="1"/>
  <c r="N277" i="16" a="1"/>
  <c r="N277" i="16" s="1"/>
  <c r="O277" i="16" a="1"/>
  <c r="O277" i="16" s="1"/>
  <c r="P277" i="16" a="1"/>
  <c r="P277" i="16" s="1"/>
  <c r="N278" i="16" a="1"/>
  <c r="N278" i="16"/>
  <c r="O278" i="16" a="1"/>
  <c r="O278" i="16" s="1"/>
  <c r="P278" i="16" a="1"/>
  <c r="P278" i="16" s="1"/>
  <c r="N279" i="16" a="1"/>
  <c r="N279" i="16"/>
  <c r="O279" i="16" a="1"/>
  <c r="O279" i="16" s="1"/>
  <c r="P279" i="16" a="1"/>
  <c r="P279" i="16" s="1"/>
  <c r="N280" i="16" a="1"/>
  <c r="N280" i="16" s="1"/>
  <c r="O280" i="16" a="1"/>
  <c r="O280" i="16" s="1"/>
  <c r="P280" i="16" a="1"/>
  <c r="P280" i="16" s="1"/>
  <c r="N281" i="16" a="1"/>
  <c r="N281" i="16" s="1"/>
  <c r="O281" i="16" a="1"/>
  <c r="O281" i="16" s="1"/>
  <c r="P281" i="16" a="1"/>
  <c r="P281" i="16" s="1"/>
  <c r="N282" i="16" a="1"/>
  <c r="N282" i="16" s="1"/>
  <c r="O282" i="16" a="1"/>
  <c r="O282" i="16" s="1"/>
  <c r="P282" i="16" a="1"/>
  <c r="P282" i="16" s="1"/>
  <c r="N283" i="16" a="1"/>
  <c r="N283" i="16" s="1"/>
  <c r="O283" i="16" a="1"/>
  <c r="O283" i="16" s="1"/>
  <c r="P283" i="16" a="1"/>
  <c r="P283" i="16" s="1"/>
  <c r="N284" i="16" a="1"/>
  <c r="N284" i="16" s="1"/>
  <c r="O284" i="16" a="1"/>
  <c r="O284" i="16" s="1"/>
  <c r="P284" i="16" a="1"/>
  <c r="P284" i="16" s="1"/>
  <c r="N285" i="16" a="1"/>
  <c r="N285" i="16" s="1"/>
  <c r="O285" i="16" a="1"/>
  <c r="O285" i="16" s="1"/>
  <c r="P285" i="16" a="1"/>
  <c r="P285" i="16" s="1"/>
  <c r="N286" i="16" a="1"/>
  <c r="N286" i="16" s="1"/>
  <c r="O286" i="16" a="1"/>
  <c r="O286" i="16" s="1"/>
  <c r="P286" i="16" a="1"/>
  <c r="P286" i="16" s="1"/>
  <c r="N287" i="16" a="1"/>
  <c r="N287" i="16" s="1"/>
  <c r="O287" i="16" a="1"/>
  <c r="O287" i="16" s="1"/>
  <c r="P287" i="16" a="1"/>
  <c r="P287" i="16" s="1"/>
  <c r="N288" i="16" a="1"/>
  <c r="N288" i="16" s="1"/>
  <c r="O288" i="16" a="1"/>
  <c r="O288" i="16" s="1"/>
  <c r="P288" i="16" a="1"/>
  <c r="P288" i="16" s="1"/>
  <c r="N289" i="16" a="1"/>
  <c r="N289" i="16"/>
  <c r="O289" i="16" a="1"/>
  <c r="O289" i="16" s="1"/>
  <c r="P289" i="16" a="1"/>
  <c r="P289" i="16" s="1"/>
  <c r="N290" i="16" a="1"/>
  <c r="N290" i="16" s="1"/>
  <c r="O290" i="16" a="1"/>
  <c r="O290" i="16" s="1"/>
  <c r="P290" i="16" a="1"/>
  <c r="P290" i="16" s="1"/>
  <c r="N291" i="16" a="1"/>
  <c r="N291" i="16" s="1"/>
  <c r="O291" i="16" a="1"/>
  <c r="O291" i="16" s="1"/>
  <c r="P291" i="16" a="1"/>
  <c r="P291" i="16" s="1"/>
  <c r="N292" i="16" a="1"/>
  <c r="N292" i="16" s="1"/>
  <c r="O292" i="16" a="1"/>
  <c r="O292" i="16" s="1"/>
  <c r="P292" i="16" a="1"/>
  <c r="P292" i="16" s="1"/>
  <c r="N293" i="16" a="1"/>
  <c r="N293" i="16" s="1"/>
  <c r="O293" i="16" a="1"/>
  <c r="O293" i="16" s="1"/>
  <c r="P293" i="16" a="1"/>
  <c r="P293" i="16" s="1"/>
  <c r="N294" i="16" a="1"/>
  <c r="N294" i="16" s="1"/>
  <c r="O294" i="16" a="1"/>
  <c r="O294" i="16" s="1"/>
  <c r="P294" i="16" a="1"/>
  <c r="P294" i="16"/>
  <c r="N295" i="16" a="1"/>
  <c r="N295" i="16"/>
  <c r="O295" i="16" a="1"/>
  <c r="O295" i="16" s="1"/>
  <c r="P295" i="16" a="1"/>
  <c r="P295" i="16" s="1"/>
  <c r="N296" i="16" a="1"/>
  <c r="N296" i="16" s="1"/>
  <c r="O296" i="16" a="1"/>
  <c r="O296" i="16" s="1"/>
  <c r="P296" i="16" a="1"/>
  <c r="P296" i="16" s="1"/>
  <c r="N297" i="16" a="1"/>
  <c r="N297" i="16" s="1"/>
  <c r="O297" i="16" a="1"/>
  <c r="O297" i="16" s="1"/>
  <c r="P297" i="16" a="1"/>
  <c r="P297" i="16" s="1"/>
  <c r="N298" i="16" a="1"/>
  <c r="N298" i="16" s="1"/>
  <c r="O298" i="16" a="1"/>
  <c r="O298" i="16" s="1"/>
  <c r="P298" i="16" a="1"/>
  <c r="P298" i="16" s="1"/>
  <c r="N299" i="16" a="1"/>
  <c r="N299" i="16" s="1"/>
  <c r="O299" i="16" a="1"/>
  <c r="O299" i="16"/>
  <c r="P299" i="16" a="1"/>
  <c r="P299" i="16" s="1"/>
  <c r="N300" i="16" a="1"/>
  <c r="N300" i="16" s="1"/>
  <c r="O300" i="16" a="1"/>
  <c r="O300" i="16" s="1"/>
  <c r="P300" i="16" a="1"/>
  <c r="P300" i="16" s="1"/>
  <c r="N301" i="16" a="1"/>
  <c r="N301" i="16" s="1"/>
  <c r="O301" i="16" a="1"/>
  <c r="O301" i="16" s="1"/>
  <c r="P301" i="16" a="1"/>
  <c r="P301" i="16" s="1"/>
  <c r="N302" i="16" a="1"/>
  <c r="N302" i="16" s="1"/>
  <c r="O302" i="16" a="1"/>
  <c r="O302" i="16" s="1"/>
  <c r="P302" i="16" a="1"/>
  <c r="P302" i="16" s="1"/>
  <c r="N303" i="16" a="1"/>
  <c r="N303" i="16" s="1"/>
  <c r="O303" i="16" a="1"/>
  <c r="O303" i="16" s="1"/>
  <c r="P303" i="16" a="1"/>
  <c r="P303" i="16" s="1"/>
  <c r="N304" i="16" a="1"/>
  <c r="N304" i="16" s="1"/>
  <c r="O304" i="16" a="1"/>
  <c r="O304" i="16" s="1"/>
  <c r="P304" i="16" a="1"/>
  <c r="P304" i="16" s="1"/>
  <c r="N305" i="16" a="1"/>
  <c r="N305" i="16" s="1"/>
  <c r="O305" i="16" a="1"/>
  <c r="O305" i="16" s="1"/>
  <c r="P305" i="16" a="1"/>
  <c r="P305" i="16"/>
  <c r="N306" i="16" a="1"/>
  <c r="N306" i="16" s="1"/>
  <c r="O306" i="16" a="1"/>
  <c r="O306" i="16" s="1"/>
  <c r="P306" i="16" a="1"/>
  <c r="P306" i="16" s="1"/>
  <c r="N307" i="16" a="1"/>
  <c r="N307" i="16" s="1"/>
  <c r="O307" i="16" a="1"/>
  <c r="O307" i="16" s="1"/>
  <c r="P307" i="16" a="1"/>
  <c r="P307" i="16" s="1"/>
  <c r="N308" i="16" a="1"/>
  <c r="N308" i="16" s="1"/>
  <c r="O308" i="16" a="1"/>
  <c r="O308" i="16" s="1"/>
  <c r="P308" i="16" a="1"/>
  <c r="P308" i="16" s="1"/>
  <c r="N309" i="16" a="1"/>
  <c r="N309" i="16" s="1"/>
  <c r="O309" i="16" a="1"/>
  <c r="O309" i="16" s="1"/>
  <c r="P309" i="16" a="1"/>
  <c r="P309" i="16" s="1"/>
  <c r="N310" i="16" a="1"/>
  <c r="N310" i="16"/>
  <c r="O310" i="16" a="1"/>
  <c r="O310" i="16" s="1"/>
  <c r="P310" i="16" a="1"/>
  <c r="P310" i="16" s="1"/>
  <c r="N311" i="16" a="1"/>
  <c r="N311" i="16" s="1"/>
  <c r="O311" i="16" a="1"/>
  <c r="O311" i="16" s="1"/>
  <c r="P311" i="16" a="1"/>
  <c r="P311" i="16" s="1"/>
  <c r="N312" i="16" a="1"/>
  <c r="N312" i="16" s="1"/>
  <c r="O312" i="16" a="1"/>
  <c r="O312" i="16"/>
  <c r="P312" i="16" a="1"/>
  <c r="P312" i="16" s="1"/>
  <c r="N313" i="16" a="1"/>
  <c r="N313" i="16" s="1"/>
  <c r="O313" i="16" a="1"/>
  <c r="O313" i="16" s="1"/>
  <c r="P313" i="16" a="1"/>
  <c r="P313" i="16" s="1"/>
  <c r="N314" i="16" a="1"/>
  <c r="N314" i="16" s="1"/>
  <c r="O314" i="16" a="1"/>
  <c r="O314" i="16" s="1"/>
  <c r="P314" i="16" a="1"/>
  <c r="P314" i="16" s="1"/>
  <c r="N315" i="16" a="1"/>
  <c r="N315" i="16"/>
  <c r="O315" i="16" a="1"/>
  <c r="O315" i="16" s="1"/>
  <c r="P315" i="16" a="1"/>
  <c r="P315" i="16" s="1"/>
  <c r="N316" i="16" a="1"/>
  <c r="N316" i="16" s="1"/>
  <c r="O316" i="16" a="1"/>
  <c r="O316" i="16" s="1"/>
  <c r="P316" i="16" a="1"/>
  <c r="P316" i="16" s="1"/>
  <c r="N317" i="16" a="1"/>
  <c r="N317" i="16" s="1"/>
  <c r="O317" i="16" a="1"/>
  <c r="O317" i="16" s="1"/>
  <c r="P317" i="16" a="1"/>
  <c r="P317" i="16" s="1"/>
  <c r="N318" i="16" a="1"/>
  <c r="N318" i="16" s="1"/>
  <c r="O318" i="16" a="1"/>
  <c r="O318" i="16" s="1"/>
  <c r="P318" i="16" a="1"/>
  <c r="P318" i="16" s="1"/>
  <c r="N319" i="16" a="1"/>
  <c r="N319" i="16" s="1"/>
  <c r="O319" i="16" a="1"/>
  <c r="O319" i="16" s="1"/>
  <c r="P319" i="16" a="1"/>
  <c r="P319" i="16" s="1"/>
  <c r="N320" i="16" a="1"/>
  <c r="N320" i="16" s="1"/>
  <c r="O320" i="16" a="1"/>
  <c r="O320" i="16" s="1"/>
  <c r="P320" i="16" a="1"/>
  <c r="P320" i="16" s="1"/>
  <c r="N321" i="16" a="1"/>
  <c r="N321" i="16" s="1"/>
  <c r="O321" i="16" a="1"/>
  <c r="O321" i="16" s="1"/>
  <c r="P321" i="16" a="1"/>
  <c r="P321" i="16" s="1"/>
  <c r="N322" i="16" a="1"/>
  <c r="N322" i="16" s="1"/>
  <c r="O322" i="16" a="1"/>
  <c r="O322" i="16" s="1"/>
  <c r="P322" i="16" a="1"/>
  <c r="P322" i="16" s="1"/>
  <c r="N323" i="16" a="1"/>
  <c r="N323" i="16" s="1"/>
  <c r="O323" i="16" a="1"/>
  <c r="O323" i="16" s="1"/>
  <c r="P323" i="16" a="1"/>
  <c r="P323" i="16" s="1"/>
  <c r="N324" i="16" a="1"/>
  <c r="N324" i="16"/>
  <c r="O324" i="16" a="1"/>
  <c r="O324" i="16" s="1"/>
  <c r="P324" i="16" a="1"/>
  <c r="P324" i="16" s="1"/>
  <c r="N325" i="16" a="1"/>
  <c r="N325" i="16" s="1"/>
  <c r="O325" i="16" a="1"/>
  <c r="O325" i="16" s="1"/>
  <c r="P325" i="16" a="1"/>
  <c r="P325" i="16" s="1"/>
  <c r="N326" i="16" a="1"/>
  <c r="N326" i="16" s="1"/>
  <c r="O326" i="16" a="1"/>
  <c r="O326" i="16" s="1"/>
  <c r="P326" i="16" a="1"/>
  <c r="P326" i="16"/>
  <c r="N327" i="16" a="1"/>
  <c r="N327" i="16" s="1"/>
  <c r="O327" i="16" a="1"/>
  <c r="O327" i="16" s="1"/>
  <c r="P327" i="16" a="1"/>
  <c r="P327" i="16" s="1"/>
  <c r="N328" i="16" a="1"/>
  <c r="N328" i="16" s="1"/>
  <c r="O328" i="16" a="1"/>
  <c r="O328" i="16" s="1"/>
  <c r="P328" i="16" a="1"/>
  <c r="P328" i="16" s="1"/>
  <c r="N329" i="16" a="1"/>
  <c r="N329" i="16" s="1"/>
  <c r="O329" i="16" a="1"/>
  <c r="O329" i="16" s="1"/>
  <c r="P329" i="16" a="1"/>
  <c r="P329" i="16" s="1"/>
  <c r="N330" i="16" a="1"/>
  <c r="N330" i="16" s="1"/>
  <c r="O330" i="16" a="1"/>
  <c r="O330" i="16" s="1"/>
  <c r="P330" i="16" a="1"/>
  <c r="P330" i="16" s="1"/>
  <c r="N331" i="16" a="1"/>
  <c r="N331" i="16"/>
  <c r="O331" i="16" a="1"/>
  <c r="O331" i="16" s="1"/>
  <c r="P331" i="16" a="1"/>
  <c r="P331" i="16" s="1"/>
  <c r="N332" i="16" a="1"/>
  <c r="N332" i="16" s="1"/>
  <c r="O332" i="16" a="1"/>
  <c r="O332" i="16" s="1"/>
  <c r="P332" i="16" a="1"/>
  <c r="P332" i="16" s="1"/>
  <c r="N333" i="16" a="1"/>
  <c r="N333" i="16" s="1"/>
  <c r="O333" i="16" a="1"/>
  <c r="O333" i="16" s="1"/>
  <c r="P333" i="16" a="1"/>
  <c r="P333" i="16" s="1"/>
  <c r="N334" i="16" a="1"/>
  <c r="N334" i="16" s="1"/>
  <c r="O334" i="16" a="1"/>
  <c r="O334" i="16" s="1"/>
  <c r="P334" i="16" a="1"/>
  <c r="P334" i="16" s="1"/>
  <c r="N335" i="16" a="1"/>
  <c r="N335" i="16" s="1"/>
  <c r="O335" i="16" a="1"/>
  <c r="O335" i="16" s="1"/>
  <c r="P335" i="16" a="1"/>
  <c r="P335" i="16" s="1"/>
  <c r="N336" i="16" a="1"/>
  <c r="N336" i="16" s="1"/>
  <c r="O336" i="16" a="1"/>
  <c r="O336" i="16" s="1"/>
  <c r="P336" i="16" a="1"/>
  <c r="P336" i="16" s="1"/>
  <c r="N337" i="16" a="1"/>
  <c r="N337" i="16" s="1"/>
  <c r="O337" i="16" a="1"/>
  <c r="O337" i="16" s="1"/>
  <c r="P337" i="16" a="1"/>
  <c r="P337" i="16" s="1"/>
  <c r="N338" i="16" a="1"/>
  <c r="N338" i="16" s="1"/>
  <c r="O338" i="16" a="1"/>
  <c r="O338" i="16" s="1"/>
  <c r="P338" i="16" a="1"/>
  <c r="P338" i="16" s="1"/>
  <c r="N339" i="16" a="1"/>
  <c r="N339" i="16"/>
  <c r="O339" i="16" a="1"/>
  <c r="O339" i="16" s="1"/>
  <c r="P339" i="16" a="1"/>
  <c r="P339" i="16" s="1"/>
  <c r="N340" i="16" a="1"/>
  <c r="N340" i="16"/>
  <c r="O340" i="16" a="1"/>
  <c r="O340" i="16" s="1"/>
  <c r="P340" i="16" a="1"/>
  <c r="P340" i="16" s="1"/>
  <c r="N341" i="16" a="1"/>
  <c r="N341" i="16"/>
  <c r="O341" i="16" a="1"/>
  <c r="O341" i="16" s="1"/>
  <c r="P341" i="16" a="1"/>
  <c r="P341" i="16" s="1"/>
  <c r="N342" i="16" a="1"/>
  <c r="N342" i="16" s="1"/>
  <c r="O342" i="16" a="1"/>
  <c r="O342" i="16" s="1"/>
  <c r="P342" i="16" a="1"/>
  <c r="P342" i="16" s="1"/>
  <c r="N343" i="16" a="1"/>
  <c r="N343" i="16" s="1"/>
  <c r="O343" i="16" a="1"/>
  <c r="O343" i="16" s="1"/>
  <c r="P343" i="16" a="1"/>
  <c r="P343" i="16" s="1"/>
  <c r="N344" i="16" a="1"/>
  <c r="N344" i="16"/>
  <c r="O344" i="16" a="1"/>
  <c r="O344" i="16" s="1"/>
  <c r="P344" i="16" a="1"/>
  <c r="P344" i="16" s="1"/>
  <c r="N345" i="16" a="1"/>
  <c r="N345" i="16" s="1"/>
  <c r="O345" i="16" a="1"/>
  <c r="O345" i="16" s="1"/>
  <c r="P345" i="16" a="1"/>
  <c r="P345" i="16" s="1"/>
  <c r="N346" i="16" a="1"/>
  <c r="N346" i="16" s="1"/>
  <c r="O346" i="16" a="1"/>
  <c r="O346" i="16" s="1"/>
  <c r="P346" i="16" a="1"/>
  <c r="P346" i="16" s="1"/>
  <c r="N347" i="16" a="1"/>
  <c r="N347" i="16" s="1"/>
  <c r="O347" i="16" a="1"/>
  <c r="O347" i="16" s="1"/>
  <c r="P347" i="16" a="1"/>
  <c r="P347" i="16" s="1"/>
  <c r="N348" i="16" a="1"/>
  <c r="N348" i="16" s="1"/>
  <c r="O348" i="16" a="1"/>
  <c r="O348" i="16" s="1"/>
  <c r="P348" i="16" a="1"/>
  <c r="P348" i="16" s="1"/>
  <c r="N349" i="16" a="1"/>
  <c r="N349" i="16" s="1"/>
  <c r="O349" i="16" a="1"/>
  <c r="O349" i="16" s="1"/>
  <c r="P349" i="16" a="1"/>
  <c r="P349" i="16" s="1"/>
  <c r="N350" i="16" a="1"/>
  <c r="N350" i="16" s="1"/>
  <c r="O350" i="16" a="1"/>
  <c r="O350" i="16" s="1"/>
  <c r="P350" i="16" a="1"/>
  <c r="P350" i="16" s="1"/>
  <c r="N351" i="16" a="1"/>
  <c r="N351" i="16" s="1"/>
  <c r="O351" i="16" a="1"/>
  <c r="O351" i="16" s="1"/>
  <c r="P351" i="16" a="1"/>
  <c r="P351" i="16" s="1"/>
  <c r="N352" i="16" a="1"/>
  <c r="N352" i="16" s="1"/>
  <c r="O352" i="16" a="1"/>
  <c r="O352" i="16" s="1"/>
  <c r="P352" i="16" a="1"/>
  <c r="P352" i="16" s="1"/>
  <c r="N353" i="16" a="1"/>
  <c r="N353" i="16" s="1"/>
  <c r="O353" i="16" a="1"/>
  <c r="O353" i="16" s="1"/>
  <c r="P353" i="16" a="1"/>
  <c r="P353" i="16" s="1"/>
  <c r="N354" i="16" a="1"/>
  <c r="N354" i="16" s="1"/>
  <c r="O354" i="16" a="1"/>
  <c r="O354" i="16" s="1"/>
  <c r="P354" i="16" a="1"/>
  <c r="P354" i="16" s="1"/>
  <c r="N355" i="16" a="1"/>
  <c r="N355" i="16" s="1"/>
  <c r="O355" i="16" a="1"/>
  <c r="O355" i="16" s="1"/>
  <c r="P355" i="16" a="1"/>
  <c r="P355" i="16" s="1"/>
  <c r="N356" i="16" a="1"/>
  <c r="N356" i="16" s="1"/>
  <c r="O356" i="16" a="1"/>
  <c r="O356" i="16" s="1"/>
  <c r="P356" i="16" a="1"/>
  <c r="P356" i="16" s="1"/>
  <c r="N357" i="16" a="1"/>
  <c r="N357" i="16" s="1"/>
  <c r="O357" i="16" a="1"/>
  <c r="O357" i="16" s="1"/>
  <c r="P357" i="16" a="1"/>
  <c r="P357" i="16" s="1"/>
  <c r="N358" i="16" a="1"/>
  <c r="N358" i="16" s="1"/>
  <c r="O358" i="16" a="1"/>
  <c r="O358" i="16" s="1"/>
  <c r="P358" i="16" a="1"/>
  <c r="P358" i="16"/>
  <c r="N359" i="16" a="1"/>
  <c r="N359" i="16" s="1"/>
  <c r="O359" i="16" a="1"/>
  <c r="O359" i="16" s="1"/>
  <c r="P359" i="16" a="1"/>
  <c r="P359" i="16" s="1"/>
  <c r="N360" i="16" a="1"/>
  <c r="N360" i="16" s="1"/>
  <c r="O360" i="16" a="1"/>
  <c r="O360" i="16" s="1"/>
  <c r="P360" i="16" a="1"/>
  <c r="P360" i="16" s="1"/>
  <c r="N361" i="16" a="1"/>
  <c r="N361" i="16" s="1"/>
  <c r="O361" i="16" a="1"/>
  <c r="O361" i="16" s="1"/>
  <c r="P361" i="16" a="1"/>
  <c r="P361" i="16" s="1"/>
  <c r="N362" i="16" a="1"/>
  <c r="N362" i="16" s="1"/>
  <c r="O362" i="16" a="1"/>
  <c r="O362" i="16" s="1"/>
  <c r="P362" i="16" a="1"/>
  <c r="P362" i="16" s="1"/>
  <c r="N363" i="16" a="1"/>
  <c r="N363" i="16" s="1"/>
  <c r="O363" i="16" a="1"/>
  <c r="O363" i="16" s="1"/>
  <c r="P363" i="16" a="1"/>
  <c r="P363" i="16" s="1"/>
  <c r="N364" i="16" a="1"/>
  <c r="N364" i="16" s="1"/>
  <c r="O364" i="16" a="1"/>
  <c r="O364" i="16" s="1"/>
  <c r="P364" i="16" a="1"/>
  <c r="P364" i="16" s="1"/>
  <c r="N365" i="16" a="1"/>
  <c r="N365" i="16" s="1"/>
  <c r="O365" i="16" a="1"/>
  <c r="O365" i="16" s="1"/>
  <c r="P365" i="16" a="1"/>
  <c r="P365" i="16" s="1"/>
  <c r="N366" i="16" a="1"/>
  <c r="N366" i="16" s="1"/>
  <c r="O366" i="16" a="1"/>
  <c r="O366" i="16" s="1"/>
  <c r="P366" i="16" a="1"/>
  <c r="P366" i="16" s="1"/>
  <c r="N367" i="16" a="1"/>
  <c r="N367" i="16" s="1"/>
  <c r="O367" i="16" a="1"/>
  <c r="O367" i="16" s="1"/>
  <c r="P367" i="16" a="1"/>
  <c r="P367" i="16" s="1"/>
  <c r="N368" i="16" a="1"/>
  <c r="N368" i="16" s="1"/>
  <c r="O368" i="16" a="1"/>
  <c r="O368" i="16" s="1"/>
  <c r="P368" i="16" a="1"/>
  <c r="P368" i="16" s="1"/>
  <c r="N369" i="16" a="1"/>
  <c r="N369" i="16"/>
  <c r="O369" i="16" a="1"/>
  <c r="O369" i="16" s="1"/>
  <c r="P369" i="16" a="1"/>
  <c r="P369" i="16" s="1"/>
  <c r="N370" i="16" a="1"/>
  <c r="N370" i="16" s="1"/>
  <c r="O370" i="16" a="1"/>
  <c r="O370" i="16" s="1"/>
  <c r="P370" i="16" a="1"/>
  <c r="P370" i="16" s="1"/>
  <c r="N371" i="16" a="1"/>
  <c r="N371" i="16" s="1"/>
  <c r="O371" i="16" a="1"/>
  <c r="O371" i="16" s="1"/>
  <c r="P371" i="16" a="1"/>
  <c r="P371" i="16" s="1"/>
  <c r="N372" i="16" a="1"/>
  <c r="N372" i="16"/>
  <c r="O372" i="16" a="1"/>
  <c r="O372" i="16"/>
  <c r="P372" i="16" a="1"/>
  <c r="P372" i="16" s="1"/>
  <c r="N373" i="16" a="1"/>
  <c r="N373" i="16" s="1"/>
  <c r="O373" i="16" a="1"/>
  <c r="O373" i="16" s="1"/>
  <c r="P373" i="16" a="1"/>
  <c r="P373" i="16" s="1"/>
  <c r="N374" i="16" a="1"/>
  <c r="N374" i="16" s="1"/>
  <c r="O374" i="16" a="1"/>
  <c r="O374" i="16" s="1"/>
  <c r="P374" i="16" a="1"/>
  <c r="P374" i="16" s="1"/>
  <c r="N375" i="16" a="1"/>
  <c r="N375" i="16" s="1"/>
  <c r="O375" i="16" a="1"/>
  <c r="O375" i="16"/>
  <c r="P375" i="16" a="1"/>
  <c r="P375" i="16" s="1"/>
  <c r="N376" i="16" a="1"/>
  <c r="N376" i="16" s="1"/>
  <c r="O376" i="16" a="1"/>
  <c r="O376" i="16" s="1"/>
  <c r="P376" i="16" a="1"/>
  <c r="P376" i="16" s="1"/>
  <c r="N377" i="16" a="1"/>
  <c r="N377" i="16" s="1"/>
  <c r="O377" i="16" a="1"/>
  <c r="O377" i="16" s="1"/>
  <c r="P377" i="16" a="1"/>
  <c r="P377" i="16" s="1"/>
  <c r="N378" i="16" a="1"/>
  <c r="N378" i="16" s="1"/>
  <c r="O378" i="16" a="1"/>
  <c r="O378" i="16" s="1"/>
  <c r="P378" i="16" a="1"/>
  <c r="P378" i="16" s="1"/>
  <c r="N379" i="16" a="1"/>
  <c r="N379" i="16" s="1"/>
  <c r="O379" i="16" a="1"/>
  <c r="O379" i="16" s="1"/>
  <c r="P379" i="16" a="1"/>
  <c r="P379" i="16" s="1"/>
  <c r="N380" i="16" a="1"/>
  <c r="N380" i="16" s="1"/>
  <c r="O380" i="16" a="1"/>
  <c r="O380" i="16" s="1"/>
  <c r="P380" i="16" a="1"/>
  <c r="P380" i="16" s="1"/>
  <c r="N381" i="16" a="1"/>
  <c r="N381" i="16" s="1"/>
  <c r="O381" i="16" a="1"/>
  <c r="O381" i="16" s="1"/>
  <c r="P381" i="16" a="1"/>
  <c r="P381" i="16" s="1"/>
  <c r="N382" i="16" a="1"/>
  <c r="N382" i="16" s="1"/>
  <c r="O382" i="16" a="1"/>
  <c r="O382" i="16" s="1"/>
  <c r="P382" i="16" a="1"/>
  <c r="P382" i="16" s="1"/>
  <c r="N383" i="16" a="1"/>
  <c r="N383" i="16" s="1"/>
  <c r="O383" i="16" a="1"/>
  <c r="O383" i="16" s="1"/>
  <c r="P383" i="16" a="1"/>
  <c r="P383" i="16" s="1"/>
  <c r="N384" i="16" a="1"/>
  <c r="N384" i="16" s="1"/>
  <c r="O384" i="16" a="1"/>
  <c r="O384" i="16" s="1"/>
  <c r="P384" i="16" a="1"/>
  <c r="P384" i="16" s="1"/>
  <c r="N385" i="16" a="1"/>
  <c r="N385" i="16" s="1"/>
  <c r="O385" i="16" a="1"/>
  <c r="O385" i="16" s="1"/>
  <c r="P385" i="16" a="1"/>
  <c r="P385" i="16" s="1"/>
  <c r="N386" i="16" a="1"/>
  <c r="N386" i="16" s="1"/>
  <c r="O386" i="16" a="1"/>
  <c r="O386" i="16" s="1"/>
  <c r="P386" i="16" a="1"/>
  <c r="P386" i="16" s="1"/>
  <c r="N387" i="16" a="1"/>
  <c r="N387" i="16" s="1"/>
  <c r="O387" i="16" a="1"/>
  <c r="O387" i="16" s="1"/>
  <c r="P387" i="16" a="1"/>
  <c r="P387" i="16" s="1"/>
  <c r="N388" i="16" a="1"/>
  <c r="N388" i="16" s="1"/>
  <c r="O388" i="16" a="1"/>
  <c r="O388" i="16" s="1"/>
  <c r="P388" i="16" a="1"/>
  <c r="P388" i="16" s="1"/>
  <c r="N389" i="16" a="1"/>
  <c r="N389" i="16" s="1"/>
  <c r="O389" i="16" a="1"/>
  <c r="O389" i="16" s="1"/>
  <c r="P389" i="16" a="1"/>
  <c r="P389" i="16" s="1"/>
  <c r="N390" i="16" a="1"/>
  <c r="N390" i="16" s="1"/>
  <c r="O390" i="16" a="1"/>
  <c r="O390" i="16" s="1"/>
  <c r="P390" i="16" a="1"/>
  <c r="P390" i="16" s="1"/>
  <c r="N391" i="16" a="1"/>
  <c r="N391" i="16" s="1"/>
  <c r="O391" i="16" a="1"/>
  <c r="O391" i="16" s="1"/>
  <c r="P391" i="16" a="1"/>
  <c r="P391" i="16" s="1"/>
  <c r="N392" i="16" a="1"/>
  <c r="N392" i="16" s="1"/>
  <c r="O392" i="16" a="1"/>
  <c r="O392" i="16" s="1"/>
  <c r="P392" i="16" a="1"/>
  <c r="P392" i="16" s="1"/>
  <c r="N393" i="16" a="1"/>
  <c r="N393" i="16" s="1"/>
  <c r="O393" i="16" a="1"/>
  <c r="O393" i="16" s="1"/>
  <c r="P393" i="16" a="1"/>
  <c r="P393" i="16" s="1"/>
  <c r="N394" i="16" a="1"/>
  <c r="N394" i="16" s="1"/>
  <c r="O394" i="16" a="1"/>
  <c r="O394" i="16" s="1"/>
  <c r="P394" i="16" a="1"/>
  <c r="P394" i="16" s="1"/>
  <c r="N395" i="16" a="1"/>
  <c r="N395" i="16" s="1"/>
  <c r="O395" i="16" a="1"/>
  <c r="O395" i="16" s="1"/>
  <c r="P395" i="16" a="1"/>
  <c r="P395" i="16" s="1"/>
  <c r="N396" i="16" a="1"/>
  <c r="N396" i="16" s="1"/>
  <c r="O396" i="16" a="1"/>
  <c r="O396" i="16" s="1"/>
  <c r="P396" i="16" a="1"/>
  <c r="P396" i="16" s="1"/>
  <c r="N397" i="16" a="1"/>
  <c r="N397" i="16" s="1"/>
  <c r="O397" i="16" a="1"/>
  <c r="O397" i="16" s="1"/>
  <c r="P397" i="16" a="1"/>
  <c r="P397" i="16" s="1"/>
  <c r="N398" i="16" a="1"/>
  <c r="N398" i="16" s="1"/>
  <c r="O398" i="16" a="1"/>
  <c r="O398" i="16" s="1"/>
  <c r="P398" i="16" a="1"/>
  <c r="P398" i="16" s="1"/>
  <c r="N399" i="16" a="1"/>
  <c r="N399" i="16" s="1"/>
  <c r="O399" i="16" a="1"/>
  <c r="O399" i="16" s="1"/>
  <c r="P399" i="16" a="1"/>
  <c r="P399" i="16" s="1"/>
  <c r="N400" i="16" a="1"/>
  <c r="N400" i="16" s="1"/>
  <c r="O400" i="16" a="1"/>
  <c r="O400" i="16" s="1"/>
  <c r="P400" i="16" a="1"/>
  <c r="P400" i="16" s="1"/>
  <c r="N401" i="16" a="1"/>
  <c r="N401" i="16" s="1"/>
  <c r="O401" i="16" a="1"/>
  <c r="O401" i="16" s="1"/>
  <c r="P401" i="16" a="1"/>
  <c r="P401" i="16" s="1"/>
  <c r="N402" i="16" a="1"/>
  <c r="N402" i="16" s="1"/>
  <c r="O402" i="16" a="1"/>
  <c r="O402" i="16" s="1"/>
  <c r="P402" i="16" a="1"/>
  <c r="P402" i="16" s="1"/>
  <c r="N403" i="16" a="1"/>
  <c r="N403" i="16" s="1"/>
  <c r="O403" i="16" a="1"/>
  <c r="O403" i="16" s="1"/>
  <c r="P403" i="16" a="1"/>
  <c r="P403" i="16" s="1"/>
  <c r="N404" i="16" a="1"/>
  <c r="N404" i="16" s="1"/>
  <c r="O404" i="16" a="1"/>
  <c r="O404" i="16" s="1"/>
  <c r="P404" i="16" a="1"/>
  <c r="P404" i="16" s="1"/>
  <c r="N405" i="16" a="1"/>
  <c r="N405" i="16" s="1"/>
  <c r="O405" i="16" a="1"/>
  <c r="O405" i="16" s="1"/>
  <c r="P405" i="16" a="1"/>
  <c r="P405" i="16" s="1"/>
  <c r="N406" i="16" a="1"/>
  <c r="N406" i="16" s="1"/>
  <c r="O406" i="16" a="1"/>
  <c r="O406" i="16" s="1"/>
  <c r="P406" i="16" a="1"/>
  <c r="P406" i="16" s="1"/>
  <c r="N407" i="16" a="1"/>
  <c r="N407" i="16" s="1"/>
  <c r="O407" i="16" a="1"/>
  <c r="O407" i="16" s="1"/>
  <c r="P407" i="16" a="1"/>
  <c r="P407" i="16" s="1"/>
  <c r="N408" i="16" a="1"/>
  <c r="N408" i="16" s="1"/>
  <c r="O408" i="16" a="1"/>
  <c r="O408" i="16" s="1"/>
  <c r="P408" i="16" a="1"/>
  <c r="P408" i="16" s="1"/>
  <c r="N409" i="16" a="1"/>
  <c r="N409" i="16"/>
  <c r="O409" i="16" a="1"/>
  <c r="O409" i="16" s="1"/>
  <c r="P409" i="16" a="1"/>
  <c r="P409" i="16" s="1"/>
  <c r="N410" i="16" a="1"/>
  <c r="N410" i="16" s="1"/>
  <c r="O410" i="16" a="1"/>
  <c r="O410" i="16" s="1"/>
  <c r="P410" i="16" a="1"/>
  <c r="P410" i="16" s="1"/>
  <c r="N411" i="16" a="1"/>
  <c r="N411" i="16" s="1"/>
  <c r="O411" i="16" a="1"/>
  <c r="O411" i="16" s="1"/>
  <c r="P411" i="16" a="1"/>
  <c r="P411" i="16" s="1"/>
  <c r="N412" i="16" a="1"/>
  <c r="N412" i="16"/>
  <c r="O412" i="16" a="1"/>
  <c r="O412" i="16" s="1"/>
  <c r="P412" i="16" a="1"/>
  <c r="P412" i="16" s="1"/>
  <c r="N413" i="16" a="1"/>
  <c r="N413" i="16" s="1"/>
  <c r="O413" i="16" a="1"/>
  <c r="O413" i="16" s="1"/>
  <c r="P413" i="16" a="1"/>
  <c r="P413" i="16" s="1"/>
  <c r="N414" i="16" a="1"/>
  <c r="N414" i="16"/>
  <c r="O414" i="16" a="1"/>
  <c r="O414" i="16" s="1"/>
  <c r="P414" i="16" a="1"/>
  <c r="P414" i="16" s="1"/>
  <c r="N415" i="16" a="1"/>
  <c r="N415" i="16" s="1"/>
  <c r="O415" i="16" a="1"/>
  <c r="O415" i="16" s="1"/>
  <c r="P415" i="16" a="1"/>
  <c r="P415" i="16"/>
  <c r="N416" i="16" a="1"/>
  <c r="N416" i="16" s="1"/>
  <c r="O416" i="16" a="1"/>
  <c r="O416" i="16" s="1"/>
  <c r="P416" i="16" a="1"/>
  <c r="P416" i="16" s="1"/>
  <c r="N417" i="16" a="1"/>
  <c r="N417" i="16" s="1"/>
  <c r="O417" i="16" a="1"/>
  <c r="O417" i="16" s="1"/>
  <c r="P417" i="16" a="1"/>
  <c r="P417" i="16" s="1"/>
  <c r="N418" i="16" a="1"/>
  <c r="N418" i="16" s="1"/>
  <c r="O418" i="16" a="1"/>
  <c r="O418" i="16" s="1"/>
  <c r="P418" i="16" a="1"/>
  <c r="P418" i="16"/>
  <c r="N419" i="16" a="1"/>
  <c r="N419" i="16" s="1"/>
  <c r="O419" i="16" a="1"/>
  <c r="O419" i="16" s="1"/>
  <c r="P419" i="16" a="1"/>
  <c r="P419" i="16" s="1"/>
  <c r="N420" i="16" a="1"/>
  <c r="N420" i="16" s="1"/>
  <c r="O420" i="16" a="1"/>
  <c r="O420" i="16" s="1"/>
  <c r="P420" i="16" a="1"/>
  <c r="P420" i="16" s="1"/>
  <c r="N421" i="16" a="1"/>
  <c r="N421" i="16" s="1"/>
  <c r="O421" i="16" a="1"/>
  <c r="O421" i="16" s="1"/>
  <c r="P421" i="16" a="1"/>
  <c r="P421" i="16" s="1"/>
  <c r="N422" i="16" a="1"/>
  <c r="N422" i="16" s="1"/>
  <c r="O422" i="16" a="1"/>
  <c r="O422" i="16"/>
  <c r="P422" i="16" a="1"/>
  <c r="P422" i="16" s="1"/>
  <c r="N423" i="16" a="1"/>
  <c r="N423" i="16" s="1"/>
  <c r="O423" i="16" a="1"/>
  <c r="O423" i="16" s="1"/>
  <c r="P423" i="16" a="1"/>
  <c r="P423" i="16" s="1"/>
  <c r="N424" i="16" a="1"/>
  <c r="N424" i="16" s="1"/>
  <c r="O424" i="16" a="1"/>
  <c r="O424" i="16" s="1"/>
  <c r="P424" i="16" a="1"/>
  <c r="P424" i="16" s="1"/>
  <c r="N425" i="16" a="1"/>
  <c r="N425" i="16" s="1"/>
  <c r="O425" i="16" a="1"/>
  <c r="O425" i="16"/>
  <c r="P425" i="16" a="1"/>
  <c r="P425" i="16" s="1"/>
  <c r="N426" i="16" a="1"/>
  <c r="N426" i="16" s="1"/>
  <c r="O426" i="16" a="1"/>
  <c r="O426" i="16" s="1"/>
  <c r="P426" i="16" a="1"/>
  <c r="P426" i="16" s="1"/>
  <c r="N427" i="16" a="1"/>
  <c r="N427" i="16" s="1"/>
  <c r="O427" i="16" a="1"/>
  <c r="O427" i="16" s="1"/>
  <c r="P427" i="16" a="1"/>
  <c r="P427" i="16" s="1"/>
  <c r="N428" i="16" a="1"/>
  <c r="N428" i="16" s="1"/>
  <c r="O428" i="16" a="1"/>
  <c r="O428" i="16" s="1"/>
  <c r="P428" i="16" a="1"/>
  <c r="P428" i="16" s="1"/>
  <c r="N429" i="16" a="1"/>
  <c r="N429" i="16" s="1"/>
  <c r="O429" i="16" a="1"/>
  <c r="O429" i="16" s="1"/>
  <c r="P429" i="16" a="1"/>
  <c r="P429" i="16" s="1"/>
  <c r="N430" i="16" a="1"/>
  <c r="N430" i="16" s="1"/>
  <c r="O430" i="16" a="1"/>
  <c r="O430" i="16" s="1"/>
  <c r="P430" i="16" a="1"/>
  <c r="P430" i="16"/>
  <c r="N431" i="16" a="1"/>
  <c r="N431" i="16" s="1"/>
  <c r="O431" i="16" a="1"/>
  <c r="O431" i="16" s="1"/>
  <c r="P431" i="16" a="1"/>
  <c r="P431" i="16" s="1"/>
  <c r="N432" i="16" a="1"/>
  <c r="N432" i="16" s="1"/>
  <c r="O432" i="16" a="1"/>
  <c r="O432" i="16" s="1"/>
  <c r="P432" i="16" a="1"/>
  <c r="P432" i="16" s="1"/>
  <c r="N433" i="16" a="1"/>
  <c r="N433" i="16" s="1"/>
  <c r="O433" i="16" a="1"/>
  <c r="O433" i="16" s="1"/>
  <c r="P433" i="16" a="1"/>
  <c r="P433" i="16" s="1"/>
  <c r="N434" i="16" a="1"/>
  <c r="N434" i="16" s="1"/>
  <c r="O434" i="16" a="1"/>
  <c r="O434" i="16" s="1"/>
  <c r="P434" i="16" a="1"/>
  <c r="P434" i="16" s="1"/>
  <c r="N435" i="16" a="1"/>
  <c r="N435" i="16" s="1"/>
  <c r="O435" i="16" a="1"/>
  <c r="O435" i="16" s="1"/>
  <c r="P435" i="16" a="1"/>
  <c r="P435" i="16" s="1"/>
  <c r="N436" i="16" a="1"/>
  <c r="N436" i="16" s="1"/>
  <c r="O436" i="16" a="1"/>
  <c r="O436" i="16" s="1"/>
  <c r="P436" i="16" a="1"/>
  <c r="P436" i="16" s="1"/>
  <c r="N437" i="16" a="1"/>
  <c r="N437" i="16" s="1"/>
  <c r="O437" i="16" a="1"/>
  <c r="O437" i="16" s="1"/>
  <c r="P437" i="16" a="1"/>
  <c r="P437" i="16" s="1"/>
  <c r="N438" i="16" a="1"/>
  <c r="N438" i="16" s="1"/>
  <c r="O438" i="16" a="1"/>
  <c r="O438" i="16" s="1"/>
  <c r="P438" i="16" a="1"/>
  <c r="P438" i="16" s="1"/>
  <c r="N439" i="16" a="1"/>
  <c r="N439" i="16" s="1"/>
  <c r="O439" i="16" a="1"/>
  <c r="O439" i="16" s="1"/>
  <c r="P439" i="16" a="1"/>
  <c r="P439" i="16" s="1"/>
  <c r="N440" i="16" a="1"/>
  <c r="N440" i="16" s="1"/>
  <c r="O440" i="16" a="1"/>
  <c r="O440" i="16" s="1"/>
  <c r="P440" i="16" a="1"/>
  <c r="P440" i="16" s="1"/>
  <c r="N441" i="16" a="1"/>
  <c r="N441" i="16" s="1"/>
  <c r="O441" i="16" a="1"/>
  <c r="O441" i="16" s="1"/>
  <c r="P441" i="16" a="1"/>
  <c r="P441" i="16" s="1"/>
  <c r="N442" i="16" a="1"/>
  <c r="N442" i="16" s="1"/>
  <c r="O442" i="16" a="1"/>
  <c r="O442" i="16" s="1"/>
  <c r="P442" i="16" a="1"/>
  <c r="P442" i="16" s="1"/>
  <c r="N443" i="16" a="1"/>
  <c r="N443" i="16" s="1"/>
  <c r="O443" i="16" a="1"/>
  <c r="O443" i="16" s="1"/>
  <c r="P443" i="16" a="1"/>
  <c r="P443" i="16" s="1"/>
  <c r="N444" i="16" a="1"/>
  <c r="N444" i="16" s="1"/>
  <c r="O444" i="16" a="1"/>
  <c r="O444" i="16" s="1"/>
  <c r="P444" i="16" a="1"/>
  <c r="P444" i="16" s="1"/>
  <c r="N445" i="16" a="1"/>
  <c r="N445" i="16" s="1"/>
  <c r="O445" i="16" a="1"/>
  <c r="O445" i="16" s="1"/>
  <c r="P445" i="16" a="1"/>
  <c r="P445" i="16" s="1"/>
  <c r="N446" i="16" a="1"/>
  <c r="N446" i="16" s="1"/>
  <c r="O446" i="16" a="1"/>
  <c r="O446" i="16" s="1"/>
  <c r="P446" i="16" a="1"/>
  <c r="P446" i="16" s="1"/>
  <c r="N447" i="16" a="1"/>
  <c r="N447" i="16" s="1"/>
  <c r="O447" i="16" a="1"/>
  <c r="O447" i="16" s="1"/>
  <c r="P447" i="16" a="1"/>
  <c r="P447" i="16" s="1"/>
  <c r="N448" i="16" a="1"/>
  <c r="N448" i="16" s="1"/>
  <c r="O448" i="16" a="1"/>
  <c r="O448" i="16" s="1"/>
  <c r="P448" i="16" a="1"/>
  <c r="P448" i="16" s="1"/>
  <c r="N449" i="16" a="1"/>
  <c r="N449" i="16"/>
  <c r="O449" i="16" a="1"/>
  <c r="O449" i="16" s="1"/>
  <c r="P449" i="16" a="1"/>
  <c r="P449" i="16" s="1"/>
  <c r="N450" i="16" a="1"/>
  <c r="N450" i="16" s="1"/>
  <c r="O450" i="16" a="1"/>
  <c r="O450" i="16" s="1"/>
  <c r="P450" i="16" a="1"/>
  <c r="P450" i="16" s="1"/>
  <c r="N451" i="16" a="1"/>
  <c r="N451" i="16" s="1"/>
  <c r="O451" i="16" a="1"/>
  <c r="O451" i="16" s="1"/>
  <c r="P451" i="16" a="1"/>
  <c r="P451" i="16" s="1"/>
  <c r="N452" i="16" a="1"/>
  <c r="N452" i="16"/>
  <c r="O452" i="16" a="1"/>
  <c r="O452" i="16" s="1"/>
  <c r="P452" i="16" a="1"/>
  <c r="P452" i="16" s="1"/>
  <c r="N453" i="16" a="1"/>
  <c r="N453" i="16" s="1"/>
  <c r="O453" i="16" a="1"/>
  <c r="O453" i="16" s="1"/>
  <c r="P453" i="16" a="1"/>
  <c r="P453" i="16" s="1"/>
  <c r="N454" i="16" a="1"/>
  <c r="N454" i="16" s="1"/>
  <c r="O454" i="16" a="1"/>
  <c r="O454" i="16" s="1"/>
  <c r="P454" i="16" a="1"/>
  <c r="P454" i="16" s="1"/>
  <c r="N455" i="16" a="1"/>
  <c r="N455" i="16" s="1"/>
  <c r="O455" i="16" a="1"/>
  <c r="O455" i="16" s="1"/>
  <c r="P455" i="16" a="1"/>
  <c r="P455" i="16" s="1"/>
  <c r="N456" i="16" a="1"/>
  <c r="N456" i="16" s="1"/>
  <c r="O456" i="16" a="1"/>
  <c r="O456" i="16" s="1"/>
  <c r="P456" i="16" a="1"/>
  <c r="P456" i="16" s="1"/>
  <c r="N457" i="16" a="1"/>
  <c r="N457" i="16"/>
  <c r="O457" i="16" a="1"/>
  <c r="O457" i="16" s="1"/>
  <c r="P457" i="16" a="1"/>
  <c r="P457" i="16" s="1"/>
  <c r="N458" i="16" a="1"/>
  <c r="N458" i="16" s="1"/>
  <c r="O458" i="16" a="1"/>
  <c r="O458" i="16" s="1"/>
  <c r="P458" i="16" a="1"/>
  <c r="P458" i="16" s="1"/>
  <c r="N459" i="16" a="1"/>
  <c r="N459" i="16" s="1"/>
  <c r="O459" i="16" a="1"/>
  <c r="O459" i="16" s="1"/>
  <c r="P459" i="16" a="1"/>
  <c r="P459" i="16" s="1"/>
  <c r="N460" i="16" a="1"/>
  <c r="N460" i="16" s="1"/>
  <c r="O460" i="16" a="1"/>
  <c r="O460" i="16" s="1"/>
  <c r="P460" i="16" a="1"/>
  <c r="P460" i="16" s="1"/>
  <c r="N461" i="16" a="1"/>
  <c r="N461" i="16" s="1"/>
  <c r="O461" i="16" a="1"/>
  <c r="O461" i="16" s="1"/>
  <c r="P461" i="16" a="1"/>
  <c r="P461" i="16" s="1"/>
  <c r="N462" i="16" a="1"/>
  <c r="N462" i="16" s="1"/>
  <c r="O462" i="16" a="1"/>
  <c r="O462" i="16" s="1"/>
  <c r="P462" i="16" a="1"/>
  <c r="P462" i="16" s="1"/>
  <c r="N463" i="16" a="1"/>
  <c r="N463" i="16" s="1"/>
  <c r="O463" i="16" a="1"/>
  <c r="O463" i="16" s="1"/>
  <c r="P463" i="16" a="1"/>
  <c r="P463" i="16" s="1"/>
  <c r="N464" i="16" a="1"/>
  <c r="N464" i="16" s="1"/>
  <c r="O464" i="16" a="1"/>
  <c r="O464" i="16" s="1"/>
  <c r="P464" i="16" a="1"/>
  <c r="P464" i="16" s="1"/>
  <c r="N465" i="16" a="1"/>
  <c r="N465" i="16" s="1"/>
  <c r="O465" i="16" a="1"/>
  <c r="O465" i="16" s="1"/>
  <c r="P465" i="16" a="1"/>
  <c r="P465" i="16" s="1"/>
  <c r="N466" i="16" a="1"/>
  <c r="N466" i="16" s="1"/>
  <c r="O466" i="16" a="1"/>
  <c r="O466" i="16" s="1"/>
  <c r="P466" i="16" a="1"/>
  <c r="P466" i="16" s="1"/>
  <c r="N467" i="16" a="1"/>
  <c r="N467" i="16" s="1"/>
  <c r="O467" i="16" a="1"/>
  <c r="O467" i="16" s="1"/>
  <c r="P467" i="16" a="1"/>
  <c r="P467" i="16" s="1"/>
  <c r="N468" i="16" a="1"/>
  <c r="N468" i="16" s="1"/>
  <c r="O468" i="16" a="1"/>
  <c r="O468" i="16" s="1"/>
  <c r="P468" i="16" a="1"/>
  <c r="P468" i="16" s="1"/>
  <c r="N469" i="16" a="1"/>
  <c r="N469" i="16" s="1"/>
  <c r="O469" i="16" a="1"/>
  <c r="O469" i="16" s="1"/>
  <c r="P469" i="16" a="1"/>
  <c r="P469" i="16" s="1"/>
  <c r="N470" i="16" a="1"/>
  <c r="N470" i="16" s="1"/>
  <c r="O470" i="16" a="1"/>
  <c r="O470" i="16" s="1"/>
  <c r="P470" i="16" a="1"/>
  <c r="P470" i="16" s="1"/>
  <c r="N471" i="16" a="1"/>
  <c r="N471" i="16" s="1"/>
  <c r="O471" i="16" a="1"/>
  <c r="O471" i="16" s="1"/>
  <c r="P471" i="16" a="1"/>
  <c r="P471" i="16" s="1"/>
  <c r="N472" i="16" a="1"/>
  <c r="N472" i="16" s="1"/>
  <c r="O472" i="16" a="1"/>
  <c r="O472" i="16" s="1"/>
  <c r="P472" i="16" a="1"/>
  <c r="P472" i="16" s="1"/>
  <c r="N473" i="16" a="1"/>
  <c r="N473" i="16" s="1"/>
  <c r="O473" i="16" a="1"/>
  <c r="O473" i="16" s="1"/>
  <c r="P473" i="16" a="1"/>
  <c r="P473" i="16" s="1"/>
  <c r="N474" i="16" a="1"/>
  <c r="N474" i="16" s="1"/>
  <c r="O474" i="16" a="1"/>
  <c r="O474" i="16" s="1"/>
  <c r="P474" i="16" a="1"/>
  <c r="P474" i="16" s="1"/>
  <c r="N475" i="16" a="1"/>
  <c r="N475" i="16" s="1"/>
  <c r="O475" i="16" a="1"/>
  <c r="O475" i="16"/>
  <c r="P475" i="16" a="1"/>
  <c r="P475" i="16" s="1"/>
  <c r="N476" i="16" a="1"/>
  <c r="N476" i="16" s="1"/>
  <c r="O476" i="16" a="1"/>
  <c r="O476" i="16" s="1"/>
  <c r="P476" i="16" a="1"/>
  <c r="P476" i="16" s="1"/>
  <c r="N477" i="16" a="1"/>
  <c r="N477" i="16" s="1"/>
  <c r="O477" i="16" a="1"/>
  <c r="O477" i="16" s="1"/>
  <c r="P477" i="16" a="1"/>
  <c r="P477" i="16" s="1"/>
  <c r="N478" i="16" a="1"/>
  <c r="N478" i="16" s="1"/>
  <c r="O478" i="16" a="1"/>
  <c r="O478" i="16" s="1"/>
  <c r="P478" i="16" a="1"/>
  <c r="P478" i="16" s="1"/>
  <c r="N479" i="16" a="1"/>
  <c r="N479" i="16" s="1"/>
  <c r="O479" i="16" a="1"/>
  <c r="O479" i="16" s="1"/>
  <c r="P479" i="16" a="1"/>
  <c r="P479" i="16" s="1"/>
  <c r="N480" i="16" a="1"/>
  <c r="N480" i="16" s="1"/>
  <c r="O480" i="16" a="1"/>
  <c r="O480" i="16" s="1"/>
  <c r="P480" i="16" a="1"/>
  <c r="P480" i="16" s="1"/>
  <c r="N481" i="16" a="1"/>
  <c r="N481" i="16" s="1"/>
  <c r="O481" i="16" a="1"/>
  <c r="O481" i="16" s="1"/>
  <c r="P481" i="16" a="1"/>
  <c r="P481" i="16" s="1"/>
  <c r="N482" i="16" a="1"/>
  <c r="N482" i="16"/>
  <c r="O482" i="16" a="1"/>
  <c r="O482" i="16" s="1"/>
  <c r="P482" i="16" a="1"/>
  <c r="P482" i="16" s="1"/>
  <c r="N483" i="16" a="1"/>
  <c r="N483" i="16" s="1"/>
  <c r="O483" i="16" a="1"/>
  <c r="O483" i="16" s="1"/>
  <c r="P483" i="16" a="1"/>
  <c r="P483" i="16" s="1"/>
  <c r="N484" i="16" a="1"/>
  <c r="N484" i="16" s="1"/>
  <c r="O484" i="16" a="1"/>
  <c r="O484" i="16" s="1"/>
  <c r="P484" i="16" a="1"/>
  <c r="P484" i="16" s="1"/>
  <c r="N485" i="16" a="1"/>
  <c r="N485" i="16" s="1"/>
  <c r="O485" i="16" a="1"/>
  <c r="O485" i="16" s="1"/>
  <c r="P485" i="16" a="1"/>
  <c r="P485" i="16" s="1"/>
  <c r="N486" i="16" a="1"/>
  <c r="N486" i="16" s="1"/>
  <c r="O486" i="16" a="1"/>
  <c r="O486" i="16" s="1"/>
  <c r="P486" i="16" a="1"/>
  <c r="P486" i="16" s="1"/>
  <c r="N487" i="16" a="1"/>
  <c r="N487" i="16" s="1"/>
  <c r="O487" i="16" a="1"/>
  <c r="O487" i="16" s="1"/>
  <c r="P487" i="16" a="1"/>
  <c r="P487" i="16" s="1"/>
  <c r="N488" i="16" a="1"/>
  <c r="N488" i="16" s="1"/>
  <c r="O488" i="16" a="1"/>
  <c r="O488" i="16" s="1"/>
  <c r="P488" i="16" a="1"/>
  <c r="P488" i="16" s="1"/>
  <c r="N489" i="16" a="1"/>
  <c r="N489" i="16" s="1"/>
  <c r="O489" i="16" a="1"/>
  <c r="O489" i="16" s="1"/>
  <c r="P489" i="16" a="1"/>
  <c r="P489" i="16" s="1"/>
  <c r="N490" i="16" a="1"/>
  <c r="N490" i="16" s="1"/>
  <c r="O490" i="16" a="1"/>
  <c r="O490" i="16" s="1"/>
  <c r="P490" i="16" a="1"/>
  <c r="P490" i="16" s="1"/>
  <c r="N491" i="16" a="1"/>
  <c r="N491" i="16" s="1"/>
  <c r="O491" i="16" a="1"/>
  <c r="O491" i="16" s="1"/>
  <c r="P491" i="16" a="1"/>
  <c r="P491" i="16" s="1"/>
  <c r="N492" i="16" a="1"/>
  <c r="N492" i="16" s="1"/>
  <c r="O492" i="16" a="1"/>
  <c r="O492" i="16" s="1"/>
  <c r="P492" i="16" a="1"/>
  <c r="P492" i="16" s="1"/>
  <c r="N493" i="16" a="1"/>
  <c r="N493" i="16" s="1"/>
  <c r="O493" i="16" a="1"/>
  <c r="O493" i="16" s="1"/>
  <c r="P493" i="16" a="1"/>
  <c r="P493" i="16" s="1"/>
  <c r="N494" i="16" a="1"/>
  <c r="N494" i="16" s="1"/>
  <c r="O494" i="16" a="1"/>
  <c r="O494" i="16" s="1"/>
  <c r="P494" i="16" a="1"/>
  <c r="P494" i="16" s="1"/>
  <c r="N495" i="16" a="1"/>
  <c r="N495" i="16" s="1"/>
  <c r="O495" i="16" a="1"/>
  <c r="O495" i="16" s="1"/>
  <c r="P495" i="16" a="1"/>
  <c r="P495" i="16"/>
  <c r="N496" i="16" a="1"/>
  <c r="N496" i="16" s="1"/>
  <c r="O496" i="16" a="1"/>
  <c r="O496" i="16" s="1"/>
  <c r="P496" i="16" a="1"/>
  <c r="P496" i="16" s="1"/>
  <c r="N497" i="16" a="1"/>
  <c r="N497" i="16" s="1"/>
  <c r="O497" i="16" a="1"/>
  <c r="O497" i="16" s="1"/>
  <c r="P497" i="16" a="1"/>
  <c r="P497" i="16" s="1"/>
  <c r="N498" i="16" a="1"/>
  <c r="N498" i="16" s="1"/>
  <c r="O498" i="16" a="1"/>
  <c r="O498" i="16" s="1"/>
  <c r="P498" i="16" a="1"/>
  <c r="P498" i="16" s="1"/>
  <c r="N499" i="16" a="1"/>
  <c r="N499" i="16" s="1"/>
  <c r="O499" i="16" a="1"/>
  <c r="O499" i="16" s="1"/>
  <c r="P499" i="16" a="1"/>
  <c r="P499" i="16"/>
  <c r="N500" i="16" a="1"/>
  <c r="N500" i="16" s="1"/>
  <c r="O500" i="16" a="1"/>
  <c r="O500" i="16" s="1"/>
  <c r="P500" i="16" a="1"/>
  <c r="P500" i="16" s="1"/>
  <c r="N501" i="16" a="1"/>
  <c r="N501" i="16" s="1"/>
  <c r="O501" i="16" a="1"/>
  <c r="O501" i="16" s="1"/>
  <c r="P501" i="16" a="1"/>
  <c r="P501" i="16" s="1"/>
  <c r="N502" i="16" a="1"/>
  <c r="N502" i="16" s="1"/>
  <c r="O502" i="16" a="1"/>
  <c r="O502" i="16" s="1"/>
  <c r="P502" i="16" a="1"/>
  <c r="P502" i="16" s="1"/>
  <c r="N503" i="16" a="1"/>
  <c r="N503" i="16" s="1"/>
  <c r="O503" i="16" a="1"/>
  <c r="O503" i="16" s="1"/>
  <c r="P503" i="16" a="1"/>
  <c r="P503" i="16" s="1"/>
  <c r="N504" i="16" a="1"/>
  <c r="N504" i="16" s="1"/>
  <c r="O504" i="16" a="1"/>
  <c r="O504" i="16" s="1"/>
  <c r="P504" i="16" a="1"/>
  <c r="P504" i="16" s="1"/>
  <c r="N505" i="16" a="1"/>
  <c r="N505" i="16" s="1"/>
  <c r="O505" i="16" a="1"/>
  <c r="O505" i="16" s="1"/>
  <c r="P505" i="16" a="1"/>
  <c r="P505" i="16" s="1"/>
  <c r="N506" i="16" a="1"/>
  <c r="N506" i="16" s="1"/>
  <c r="O506" i="16" a="1"/>
  <c r="O506" i="16" s="1"/>
  <c r="P506" i="16" a="1"/>
  <c r="P506" i="16" s="1"/>
  <c r="N507" i="16" a="1"/>
  <c r="N507" i="16"/>
  <c r="O507" i="16" a="1"/>
  <c r="O507" i="16" s="1"/>
  <c r="P507" i="16" a="1"/>
  <c r="P507" i="16" s="1"/>
  <c r="N508" i="16" a="1"/>
  <c r="N508" i="16" s="1"/>
  <c r="O508" i="16" a="1"/>
  <c r="O508" i="16" s="1"/>
  <c r="P508" i="16" a="1"/>
  <c r="P508" i="16" s="1"/>
  <c r="N509" i="16" a="1"/>
  <c r="N509" i="16"/>
  <c r="O509" i="16" a="1"/>
  <c r="O509" i="16" s="1"/>
  <c r="P509" i="16" a="1"/>
  <c r="P509" i="16" s="1"/>
  <c r="N510" i="16" a="1"/>
  <c r="N510" i="16" s="1"/>
  <c r="O510" i="16" a="1"/>
  <c r="O510" i="16" s="1"/>
  <c r="P510" i="16" a="1"/>
  <c r="P510" i="16" s="1"/>
  <c r="N511" i="16" a="1"/>
  <c r="N511" i="16" s="1"/>
  <c r="O511" i="16" a="1"/>
  <c r="O511" i="16" s="1"/>
  <c r="P511" i="16" a="1"/>
  <c r="P511" i="16" s="1"/>
  <c r="N512" i="16" a="1"/>
  <c r="N512" i="16" s="1"/>
  <c r="O512" i="16" a="1"/>
  <c r="O512" i="16"/>
  <c r="P512" i="16" a="1"/>
  <c r="P512" i="16" s="1"/>
  <c r="N513" i="16" a="1"/>
  <c r="N513" i="16" s="1"/>
  <c r="O513" i="16" a="1"/>
  <c r="O513" i="16" s="1"/>
  <c r="P513" i="16" a="1"/>
  <c r="P513" i="16" s="1"/>
  <c r="N514" i="16" a="1"/>
  <c r="N514" i="16" s="1"/>
  <c r="O514" i="16" a="1"/>
  <c r="O514" i="16" s="1"/>
  <c r="P514" i="16" a="1"/>
  <c r="P514" i="16" s="1"/>
  <c r="N515" i="16" a="1"/>
  <c r="N515" i="16" s="1"/>
  <c r="O515" i="16" a="1"/>
  <c r="O515" i="16" s="1"/>
  <c r="P515" i="16" a="1"/>
  <c r="P515" i="16" s="1"/>
  <c r="J1016" i="16" a="1"/>
  <c r="J1016" i="16" s="1"/>
  <c r="K1016" i="16" a="1"/>
  <c r="K1016" i="16" s="1"/>
  <c r="L1016" i="16" a="1"/>
  <c r="L1016" i="16" s="1"/>
  <c r="J1017" i="16" a="1"/>
  <c r="J1017" i="16" s="1"/>
  <c r="K1017" i="16" a="1"/>
  <c r="K1017" i="16"/>
  <c r="L1017" i="16" a="1"/>
  <c r="L1017" i="16" s="1"/>
  <c r="J1018" i="16" a="1"/>
  <c r="J1018" i="16" s="1"/>
  <c r="K1018" i="16" a="1"/>
  <c r="K1018" i="16" s="1"/>
  <c r="L1018" i="16" a="1"/>
  <c r="L1018" i="16" s="1"/>
  <c r="J1019" i="16" a="1"/>
  <c r="J1019" i="16" s="1"/>
  <c r="K1019" i="16" a="1"/>
  <c r="K1019" i="16" s="1"/>
  <c r="L1019" i="16" a="1"/>
  <c r="L1019" i="16" s="1"/>
  <c r="J1020" i="16" a="1"/>
  <c r="J1020" i="16" s="1"/>
  <c r="K1020" i="16" a="1"/>
  <c r="K1020" i="16" s="1"/>
  <c r="L1020" i="16" a="1"/>
  <c r="L1020" i="16" s="1"/>
  <c r="J1021" i="16" a="1"/>
  <c r="J1021" i="16" s="1"/>
  <c r="K1021" i="16" a="1"/>
  <c r="K1021" i="16" s="1"/>
  <c r="L1021" i="16" a="1"/>
  <c r="L1021" i="16" s="1"/>
  <c r="J1022" i="16" a="1"/>
  <c r="J1022" i="16" s="1"/>
  <c r="K1022" i="16" a="1"/>
  <c r="K1022" i="16" s="1"/>
  <c r="L1022" i="16" a="1"/>
  <c r="L1022" i="16" s="1"/>
  <c r="J1023" i="16" a="1"/>
  <c r="J1023" i="16" s="1"/>
  <c r="K1023" i="16" a="1"/>
  <c r="K1023" i="16" s="1"/>
  <c r="L1023" i="16" a="1"/>
  <c r="L1023" i="16" s="1"/>
  <c r="J1024" i="16" a="1"/>
  <c r="J1024" i="16"/>
  <c r="K1024" i="16" a="1"/>
  <c r="K1024" i="16" s="1"/>
  <c r="L1024" i="16" a="1"/>
  <c r="L1024" i="16" s="1"/>
  <c r="J1025" i="16" a="1"/>
  <c r="J1025" i="16" s="1"/>
  <c r="K1025" i="16" a="1"/>
  <c r="K1025" i="16" s="1"/>
  <c r="L1025" i="16" a="1"/>
  <c r="L1025" i="16"/>
  <c r="J516" i="16" a="1"/>
  <c r="J516" i="16" s="1"/>
  <c r="K516" i="16" a="1"/>
  <c r="K516" i="16" s="1"/>
  <c r="L516" i="16" a="1"/>
  <c r="L516" i="16" s="1"/>
  <c r="J517" i="16" a="1"/>
  <c r="J517" i="16" s="1"/>
  <c r="K517" i="16" a="1"/>
  <c r="K517" i="16" s="1"/>
  <c r="L517" i="16" a="1"/>
  <c r="L517" i="16" s="1"/>
  <c r="J518" i="16" a="1"/>
  <c r="J518" i="16" s="1"/>
  <c r="K518" i="16" a="1"/>
  <c r="K518" i="16" s="1"/>
  <c r="L518" i="16" a="1"/>
  <c r="L518" i="16" s="1"/>
  <c r="J519" i="16" a="1"/>
  <c r="J519" i="16" s="1"/>
  <c r="K519" i="16" a="1"/>
  <c r="K519" i="16" s="1"/>
  <c r="L519" i="16" a="1"/>
  <c r="L519" i="16" s="1"/>
  <c r="J520" i="16" a="1"/>
  <c r="J520" i="16" s="1"/>
  <c r="K520" i="16" a="1"/>
  <c r="K520" i="16" s="1"/>
  <c r="L520" i="16" a="1"/>
  <c r="L520" i="16" s="1"/>
  <c r="J521" i="16" a="1"/>
  <c r="J521" i="16" s="1"/>
  <c r="K521" i="16" a="1"/>
  <c r="K521" i="16" s="1"/>
  <c r="L521" i="16" a="1"/>
  <c r="L521" i="16" s="1"/>
  <c r="J522" i="16" a="1"/>
  <c r="J522" i="16" s="1"/>
  <c r="K522" i="16" a="1"/>
  <c r="K522" i="16" s="1"/>
  <c r="L522" i="16" a="1"/>
  <c r="L522" i="16" s="1"/>
  <c r="J523" i="16" a="1"/>
  <c r="J523" i="16" s="1"/>
  <c r="K523" i="16" a="1"/>
  <c r="K523" i="16" s="1"/>
  <c r="L523" i="16" a="1"/>
  <c r="L523" i="16" s="1"/>
  <c r="J524" i="16" a="1"/>
  <c r="J524" i="16" s="1"/>
  <c r="K524" i="16" a="1"/>
  <c r="K524" i="16" s="1"/>
  <c r="L524" i="16" a="1"/>
  <c r="L524" i="16" s="1"/>
  <c r="J525" i="16" a="1"/>
  <c r="J525" i="16" s="1"/>
  <c r="K525" i="16" a="1"/>
  <c r="K525" i="16" s="1"/>
  <c r="L525" i="16" a="1"/>
  <c r="L525" i="16" s="1"/>
  <c r="J526" i="16" a="1"/>
  <c r="J526" i="16" s="1"/>
  <c r="K526" i="16" a="1"/>
  <c r="K526" i="16" s="1"/>
  <c r="L526" i="16" a="1"/>
  <c r="L526" i="16" s="1"/>
  <c r="J527" i="16" a="1"/>
  <c r="J527" i="16" s="1"/>
  <c r="K527" i="16" a="1"/>
  <c r="K527" i="16" s="1"/>
  <c r="L527" i="16" a="1"/>
  <c r="L527" i="16" s="1"/>
  <c r="J528" i="16" a="1"/>
  <c r="J528" i="16" s="1"/>
  <c r="K528" i="16" a="1"/>
  <c r="K528" i="16" s="1"/>
  <c r="L528" i="16" a="1"/>
  <c r="L528" i="16" s="1"/>
  <c r="J529" i="16" a="1"/>
  <c r="J529" i="16" s="1"/>
  <c r="K529" i="16" a="1"/>
  <c r="K529" i="16" s="1"/>
  <c r="L529" i="16" a="1"/>
  <c r="L529" i="16" s="1"/>
  <c r="J530" i="16" a="1"/>
  <c r="J530" i="16" s="1"/>
  <c r="K530" i="16" a="1"/>
  <c r="K530" i="16" s="1"/>
  <c r="L530" i="16" a="1"/>
  <c r="L530" i="16" s="1"/>
  <c r="J531" i="16" a="1"/>
  <c r="J531" i="16" s="1"/>
  <c r="K531" i="16" a="1"/>
  <c r="K531" i="16"/>
  <c r="L531" i="16" a="1"/>
  <c r="L531" i="16" s="1"/>
  <c r="J532" i="16" a="1"/>
  <c r="J532" i="16" s="1"/>
  <c r="K532" i="16" a="1"/>
  <c r="K532" i="16"/>
  <c r="L532" i="16" a="1"/>
  <c r="L532" i="16" s="1"/>
  <c r="J533" i="16" a="1"/>
  <c r="J533" i="16" s="1"/>
  <c r="K533" i="16" a="1"/>
  <c r="K533" i="16" s="1"/>
  <c r="L533" i="16" a="1"/>
  <c r="L533" i="16" s="1"/>
  <c r="J534" i="16" a="1"/>
  <c r="J534" i="16" s="1"/>
  <c r="K534" i="16" a="1"/>
  <c r="K534" i="16" s="1"/>
  <c r="L534" i="16" a="1"/>
  <c r="L534" i="16" s="1"/>
  <c r="J535" i="16" a="1"/>
  <c r="J535" i="16"/>
  <c r="K535" i="16" a="1"/>
  <c r="K535" i="16" s="1"/>
  <c r="L535" i="16" a="1"/>
  <c r="L535" i="16" s="1"/>
  <c r="J536" i="16" a="1"/>
  <c r="J536" i="16" s="1"/>
  <c r="K536" i="16" a="1"/>
  <c r="K536" i="16" s="1"/>
  <c r="L536" i="16" a="1"/>
  <c r="L536" i="16" s="1"/>
  <c r="J537" i="16" a="1"/>
  <c r="J537" i="16" s="1"/>
  <c r="K537" i="16" a="1"/>
  <c r="K537" i="16" s="1"/>
  <c r="L537" i="16" a="1"/>
  <c r="L537" i="16" s="1"/>
  <c r="J538" i="16" a="1"/>
  <c r="J538" i="16"/>
  <c r="K538" i="16" a="1"/>
  <c r="K538" i="16"/>
  <c r="L538" i="16" a="1"/>
  <c r="L538" i="16"/>
  <c r="J539" i="16" a="1"/>
  <c r="J539" i="16" s="1"/>
  <c r="K539" i="16" a="1"/>
  <c r="K539" i="16" s="1"/>
  <c r="L539" i="16" a="1"/>
  <c r="L539" i="16" s="1"/>
  <c r="J540" i="16" a="1"/>
  <c r="J540" i="16" s="1"/>
  <c r="K540" i="16" a="1"/>
  <c r="K540" i="16" s="1"/>
  <c r="L540" i="16" a="1"/>
  <c r="L540" i="16" s="1"/>
  <c r="J541" i="16" a="1"/>
  <c r="J541" i="16" s="1"/>
  <c r="K541" i="16" a="1"/>
  <c r="K541" i="16"/>
  <c r="L541" i="16" a="1"/>
  <c r="L541" i="16" s="1"/>
  <c r="J542" i="16" a="1"/>
  <c r="J542" i="16" s="1"/>
  <c r="K542" i="16" a="1"/>
  <c r="K542" i="16"/>
  <c r="L542" i="16" a="1"/>
  <c r="L542" i="16" s="1"/>
  <c r="J543" i="16" a="1"/>
  <c r="J543" i="16" s="1"/>
  <c r="K543" i="16" a="1"/>
  <c r="K543" i="16" s="1"/>
  <c r="L543" i="16" a="1"/>
  <c r="L543" i="16" s="1"/>
  <c r="J544" i="16" a="1"/>
  <c r="J544" i="16" s="1"/>
  <c r="K544" i="16" a="1"/>
  <c r="K544" i="16" s="1"/>
  <c r="L544" i="16" a="1"/>
  <c r="L544" i="16" s="1"/>
  <c r="J545" i="16" a="1"/>
  <c r="J545" i="16" s="1"/>
  <c r="K545" i="16" a="1"/>
  <c r="K545" i="16" s="1"/>
  <c r="L545" i="16" a="1"/>
  <c r="L545" i="16" s="1"/>
  <c r="J546" i="16" a="1"/>
  <c r="J546" i="16" s="1"/>
  <c r="K546" i="16" a="1"/>
  <c r="K546" i="16" s="1"/>
  <c r="L546" i="16" a="1"/>
  <c r="L546" i="16" s="1"/>
  <c r="J547" i="16" a="1"/>
  <c r="J547" i="16" s="1"/>
  <c r="K547" i="16" a="1"/>
  <c r="K547" i="16" s="1"/>
  <c r="L547" i="16" a="1"/>
  <c r="L547" i="16" s="1"/>
  <c r="J548" i="16" a="1"/>
  <c r="J548" i="16" s="1"/>
  <c r="K548" i="16" a="1"/>
  <c r="K548" i="16" s="1"/>
  <c r="L548" i="16" a="1"/>
  <c r="L548" i="16" s="1"/>
  <c r="J549" i="16" a="1"/>
  <c r="J549" i="16" s="1"/>
  <c r="K549" i="16" a="1"/>
  <c r="K549" i="16" s="1"/>
  <c r="L549" i="16" a="1"/>
  <c r="L549" i="16" s="1"/>
  <c r="J550" i="16" a="1"/>
  <c r="J550" i="16" s="1"/>
  <c r="K550" i="16" a="1"/>
  <c r="K550" i="16" s="1"/>
  <c r="L550" i="16" a="1"/>
  <c r="L550" i="16" s="1"/>
  <c r="J551" i="16" a="1"/>
  <c r="J551" i="16" s="1"/>
  <c r="K551" i="16" a="1"/>
  <c r="K551" i="16"/>
  <c r="L551" i="16" a="1"/>
  <c r="L551" i="16" s="1"/>
  <c r="J552" i="16" a="1"/>
  <c r="J552" i="16" s="1"/>
  <c r="K552" i="16" a="1"/>
  <c r="K552" i="16" s="1"/>
  <c r="L552" i="16" a="1"/>
  <c r="L552" i="16" s="1"/>
  <c r="J553" i="16" a="1"/>
  <c r="J553" i="16" s="1"/>
  <c r="K553" i="16" a="1"/>
  <c r="K553" i="16" s="1"/>
  <c r="L553" i="16" a="1"/>
  <c r="L553" i="16" s="1"/>
  <c r="J554" i="16" a="1"/>
  <c r="J554" i="16" s="1"/>
  <c r="K554" i="16" a="1"/>
  <c r="K554" i="16" s="1"/>
  <c r="L554" i="16" a="1"/>
  <c r="L554" i="16" s="1"/>
  <c r="J555" i="16" a="1"/>
  <c r="J555" i="16"/>
  <c r="K555" i="16" a="1"/>
  <c r="K555" i="16" s="1"/>
  <c r="L555" i="16" a="1"/>
  <c r="L555" i="16" s="1"/>
  <c r="J556" i="16" a="1"/>
  <c r="J556" i="16" s="1"/>
  <c r="K556" i="16" a="1"/>
  <c r="K556" i="16" s="1"/>
  <c r="L556" i="16" a="1"/>
  <c r="L556" i="16" s="1"/>
  <c r="J557" i="16" a="1"/>
  <c r="J557" i="16" s="1"/>
  <c r="K557" i="16" a="1"/>
  <c r="K557" i="16" s="1"/>
  <c r="L557" i="16" a="1"/>
  <c r="L557" i="16" s="1"/>
  <c r="J558" i="16" a="1"/>
  <c r="J558" i="16" s="1"/>
  <c r="K558" i="16" a="1"/>
  <c r="K558" i="16"/>
  <c r="L558" i="16" a="1"/>
  <c r="L558" i="16"/>
  <c r="J559" i="16" a="1"/>
  <c r="J559" i="16" s="1"/>
  <c r="K559" i="16" a="1"/>
  <c r="K559" i="16" s="1"/>
  <c r="L559" i="16" a="1"/>
  <c r="L559" i="16"/>
  <c r="J560" i="16" a="1"/>
  <c r="J560" i="16" s="1"/>
  <c r="K560" i="16" a="1"/>
  <c r="K560" i="16" s="1"/>
  <c r="L560" i="16" a="1"/>
  <c r="L560" i="16" s="1"/>
  <c r="J561" i="16" a="1"/>
  <c r="J561" i="16" s="1"/>
  <c r="K561" i="16" a="1"/>
  <c r="K561" i="16"/>
  <c r="L561" i="16" a="1"/>
  <c r="L561" i="16" s="1"/>
  <c r="J562" i="16" a="1"/>
  <c r="J562" i="16" s="1"/>
  <c r="K562" i="16" a="1"/>
  <c r="K562" i="16"/>
  <c r="L562" i="16" a="1"/>
  <c r="L562" i="16" s="1"/>
  <c r="J563" i="16" a="1"/>
  <c r="J563" i="16" s="1"/>
  <c r="K563" i="16" a="1"/>
  <c r="K563" i="16" s="1"/>
  <c r="L563" i="16" a="1"/>
  <c r="L563" i="16" s="1"/>
  <c r="J564" i="16" a="1"/>
  <c r="J564" i="16" s="1"/>
  <c r="K564" i="16" a="1"/>
  <c r="K564" i="16" s="1"/>
  <c r="L564" i="16" a="1"/>
  <c r="L564" i="16"/>
  <c r="J565" i="16" a="1"/>
  <c r="J565" i="16" s="1"/>
  <c r="K565" i="16" a="1"/>
  <c r="K565" i="16" s="1"/>
  <c r="L565" i="16" a="1"/>
  <c r="L565" i="16" s="1"/>
  <c r="J566" i="16" a="1"/>
  <c r="J566" i="16" s="1"/>
  <c r="K566" i="16" a="1"/>
  <c r="K566" i="16" s="1"/>
  <c r="L566" i="16" a="1"/>
  <c r="L566" i="16" s="1"/>
  <c r="J567" i="16" a="1"/>
  <c r="J567" i="16"/>
  <c r="K567" i="16" a="1"/>
  <c r="K567" i="16" s="1"/>
  <c r="L567" i="16" a="1"/>
  <c r="L567" i="16" s="1"/>
  <c r="J568" i="16" a="1"/>
  <c r="J568" i="16" s="1"/>
  <c r="K568" i="16" a="1"/>
  <c r="K568" i="16"/>
  <c r="L568" i="16" a="1"/>
  <c r="L568" i="16" s="1"/>
  <c r="J569" i="16" a="1"/>
  <c r="J569" i="16" s="1"/>
  <c r="K569" i="16" a="1"/>
  <c r="K569" i="16" s="1"/>
  <c r="L569" i="16" a="1"/>
  <c r="L569" i="16" s="1"/>
  <c r="J570" i="16" a="1"/>
  <c r="J570" i="16" s="1"/>
  <c r="K570" i="16" a="1"/>
  <c r="K570" i="16" s="1"/>
  <c r="L570" i="16" a="1"/>
  <c r="L570" i="16" s="1"/>
  <c r="J571" i="16" a="1"/>
  <c r="J571" i="16" s="1"/>
  <c r="K571" i="16" a="1"/>
  <c r="K571" i="16" s="1"/>
  <c r="L571" i="16" a="1"/>
  <c r="L571" i="16" s="1"/>
  <c r="J572" i="16" a="1"/>
  <c r="J572" i="16" s="1"/>
  <c r="K572" i="16" a="1"/>
  <c r="K572" i="16" s="1"/>
  <c r="L572" i="16" a="1"/>
  <c r="L572" i="16" s="1"/>
  <c r="J573" i="16" a="1"/>
  <c r="J573" i="16" s="1"/>
  <c r="K573" i="16" a="1"/>
  <c r="K573" i="16" s="1"/>
  <c r="L573" i="16" a="1"/>
  <c r="L573" i="16" s="1"/>
  <c r="J574" i="16" a="1"/>
  <c r="J574" i="16" s="1"/>
  <c r="K574" i="16" a="1"/>
  <c r="K574" i="16" s="1"/>
  <c r="L574" i="16" a="1"/>
  <c r="L574" i="16" s="1"/>
  <c r="J575" i="16" a="1"/>
  <c r="J575" i="16"/>
  <c r="K575" i="16" a="1"/>
  <c r="K575" i="16" s="1"/>
  <c r="L575" i="16" a="1"/>
  <c r="L575" i="16" s="1"/>
  <c r="J576" i="16" a="1"/>
  <c r="J576" i="16" s="1"/>
  <c r="K576" i="16" a="1"/>
  <c r="K576" i="16" s="1"/>
  <c r="L576" i="16" a="1"/>
  <c r="L576" i="16" s="1"/>
  <c r="J577" i="16" a="1"/>
  <c r="J577" i="16" s="1"/>
  <c r="K577" i="16" a="1"/>
  <c r="K577" i="16" s="1"/>
  <c r="L577" i="16" a="1"/>
  <c r="L577" i="16" s="1"/>
  <c r="J578" i="16" a="1"/>
  <c r="J578" i="16"/>
  <c r="K578" i="16" a="1"/>
  <c r="K578" i="16" s="1"/>
  <c r="L578" i="16" a="1"/>
  <c r="L578" i="16" s="1"/>
  <c r="J579" i="16" a="1"/>
  <c r="J579" i="16"/>
  <c r="K579" i="16" a="1"/>
  <c r="K579" i="16" s="1"/>
  <c r="L579" i="16" a="1"/>
  <c r="L579" i="16" s="1"/>
  <c r="J580" i="16" a="1"/>
  <c r="J580" i="16" s="1"/>
  <c r="K580" i="16" a="1"/>
  <c r="K580" i="16" s="1"/>
  <c r="L580" i="16" a="1"/>
  <c r="L580" i="16" s="1"/>
  <c r="J581" i="16" a="1"/>
  <c r="J581" i="16" s="1"/>
  <c r="K581" i="16" a="1"/>
  <c r="K581" i="16" s="1"/>
  <c r="L581" i="16" a="1"/>
  <c r="L581" i="16"/>
  <c r="J582" i="16" a="1"/>
  <c r="J582" i="16" s="1"/>
  <c r="K582" i="16" a="1"/>
  <c r="K582" i="16" s="1"/>
  <c r="L582" i="16" a="1"/>
  <c r="L582" i="16" s="1"/>
  <c r="J583" i="16" a="1"/>
  <c r="J583" i="16" s="1"/>
  <c r="K583" i="16" a="1"/>
  <c r="K583" i="16" s="1"/>
  <c r="L583" i="16" a="1"/>
  <c r="L583" i="16" s="1"/>
  <c r="J584" i="16" a="1"/>
  <c r="J584" i="16" s="1"/>
  <c r="K584" i="16" a="1"/>
  <c r="K584" i="16" s="1"/>
  <c r="L584" i="16" a="1"/>
  <c r="L584" i="16" s="1"/>
  <c r="J585" i="16" a="1"/>
  <c r="J585" i="16" s="1"/>
  <c r="K585" i="16" a="1"/>
  <c r="K585" i="16"/>
  <c r="L585" i="16" a="1"/>
  <c r="L585" i="16" s="1"/>
  <c r="J586" i="16" a="1"/>
  <c r="J586" i="16" s="1"/>
  <c r="K586" i="16" a="1"/>
  <c r="K586" i="16" s="1"/>
  <c r="L586" i="16" a="1"/>
  <c r="L586" i="16" s="1"/>
  <c r="J587" i="16" a="1"/>
  <c r="J587" i="16" s="1"/>
  <c r="K587" i="16" a="1"/>
  <c r="K587" i="16" s="1"/>
  <c r="L587" i="16" a="1"/>
  <c r="L587" i="16" s="1"/>
  <c r="J588" i="16" a="1"/>
  <c r="J588" i="16"/>
  <c r="K588" i="16" a="1"/>
  <c r="K588" i="16" s="1"/>
  <c r="L588" i="16" a="1"/>
  <c r="L588" i="16" s="1"/>
  <c r="J589" i="16" a="1"/>
  <c r="J589" i="16"/>
  <c r="K589" i="16" a="1"/>
  <c r="K589" i="16" s="1"/>
  <c r="L589" i="16" a="1"/>
  <c r="L589" i="16" s="1"/>
  <c r="J590" i="16" a="1"/>
  <c r="J590" i="16" s="1"/>
  <c r="K590" i="16" a="1"/>
  <c r="K590" i="16" s="1"/>
  <c r="L590" i="16" a="1"/>
  <c r="L590" i="16" s="1"/>
  <c r="J591" i="16" a="1"/>
  <c r="J591" i="16" s="1"/>
  <c r="K591" i="16" a="1"/>
  <c r="K591" i="16" s="1"/>
  <c r="L591" i="16" a="1"/>
  <c r="L591" i="16" s="1"/>
  <c r="J592" i="16" a="1"/>
  <c r="J592" i="16" s="1"/>
  <c r="K592" i="16" a="1"/>
  <c r="K592" i="16" s="1"/>
  <c r="L592" i="16" a="1"/>
  <c r="L592" i="16" s="1"/>
  <c r="J593" i="16" a="1"/>
  <c r="J593" i="16" s="1"/>
  <c r="K593" i="16" a="1"/>
  <c r="K593" i="16" s="1"/>
  <c r="L593" i="16" a="1"/>
  <c r="L593" i="16" s="1"/>
  <c r="J594" i="16" a="1"/>
  <c r="J594" i="16" s="1"/>
  <c r="K594" i="16" a="1"/>
  <c r="K594" i="16" s="1"/>
  <c r="L594" i="16" a="1"/>
  <c r="L594" i="16" s="1"/>
  <c r="J595" i="16" a="1"/>
  <c r="J595" i="16" s="1"/>
  <c r="K595" i="16" a="1"/>
  <c r="K595" i="16"/>
  <c r="L595" i="16" a="1"/>
  <c r="L595" i="16" s="1"/>
  <c r="J596" i="16" a="1"/>
  <c r="J596" i="16" s="1"/>
  <c r="K596" i="16" a="1"/>
  <c r="K596" i="16" s="1"/>
  <c r="L596" i="16" a="1"/>
  <c r="L596" i="16" s="1"/>
  <c r="J597" i="16" a="1"/>
  <c r="J597" i="16" s="1"/>
  <c r="K597" i="16" a="1"/>
  <c r="K597" i="16" s="1"/>
  <c r="L597" i="16" a="1"/>
  <c r="L597" i="16" s="1"/>
  <c r="J598" i="16" a="1"/>
  <c r="J598" i="16"/>
  <c r="K598" i="16" a="1"/>
  <c r="K598" i="16" s="1"/>
  <c r="L598" i="16" a="1"/>
  <c r="L598" i="16" s="1"/>
  <c r="J599" i="16" a="1"/>
  <c r="J599" i="16"/>
  <c r="K599" i="16" a="1"/>
  <c r="K599" i="16" s="1"/>
  <c r="L599" i="16" a="1"/>
  <c r="L599" i="16" s="1"/>
  <c r="J600" i="16" a="1"/>
  <c r="J600" i="16" s="1"/>
  <c r="K600" i="16" a="1"/>
  <c r="K600" i="16" s="1"/>
  <c r="L600" i="16" a="1"/>
  <c r="L600" i="16" s="1"/>
  <c r="J601" i="16" a="1"/>
  <c r="J601" i="16" s="1"/>
  <c r="K601" i="16" a="1"/>
  <c r="K601" i="16" s="1"/>
  <c r="L601" i="16" a="1"/>
  <c r="L601" i="16"/>
  <c r="J602" i="16" a="1"/>
  <c r="J602" i="16"/>
  <c r="K602" i="16" a="1"/>
  <c r="K602" i="16" s="1"/>
  <c r="L602" i="16" a="1"/>
  <c r="L602" i="16" s="1"/>
  <c r="J603" i="16" a="1"/>
  <c r="J603" i="16" s="1"/>
  <c r="K603" i="16" a="1"/>
  <c r="K603" i="16" s="1"/>
  <c r="L603" i="16" a="1"/>
  <c r="L603" i="16" s="1"/>
  <c r="J604" i="16" a="1"/>
  <c r="J604" i="16" s="1"/>
  <c r="K604" i="16" a="1"/>
  <c r="K604" i="16" s="1"/>
  <c r="L604" i="16" a="1"/>
  <c r="L604" i="16" s="1"/>
  <c r="J605" i="16" a="1"/>
  <c r="J605" i="16" s="1"/>
  <c r="K605" i="16" a="1"/>
  <c r="K605" i="16"/>
  <c r="L605" i="16" a="1"/>
  <c r="L605" i="16" s="1"/>
  <c r="J606" i="16" a="1"/>
  <c r="J606" i="16" s="1"/>
  <c r="K606" i="16" a="1"/>
  <c r="K606" i="16" s="1"/>
  <c r="L606" i="16" a="1"/>
  <c r="L606" i="16" s="1"/>
  <c r="J607" i="16" a="1"/>
  <c r="J607" i="16" s="1"/>
  <c r="K607" i="16" a="1"/>
  <c r="K607" i="16" s="1"/>
  <c r="L607" i="16" a="1"/>
  <c r="L607" i="16" s="1"/>
  <c r="J608" i="16" a="1"/>
  <c r="J608" i="16" s="1"/>
  <c r="K608" i="16" a="1"/>
  <c r="K608" i="16" s="1"/>
  <c r="L608" i="16" a="1"/>
  <c r="L608" i="16" s="1"/>
  <c r="J609" i="16" a="1"/>
  <c r="J609" i="16"/>
  <c r="K609" i="16" a="1"/>
  <c r="K609" i="16" s="1"/>
  <c r="L609" i="16" a="1"/>
  <c r="L609" i="16" s="1"/>
  <c r="J610" i="16" a="1"/>
  <c r="J610" i="16" s="1"/>
  <c r="K610" i="16" a="1"/>
  <c r="K610" i="16" s="1"/>
  <c r="L610" i="16" a="1"/>
  <c r="L610" i="16" s="1"/>
  <c r="J611" i="16" a="1"/>
  <c r="J611" i="16" s="1"/>
  <c r="K611" i="16" a="1"/>
  <c r="K611" i="16" s="1"/>
  <c r="L611" i="16" a="1"/>
  <c r="L611" i="16" s="1"/>
  <c r="J612" i="16" a="1"/>
  <c r="J612" i="16" s="1"/>
  <c r="K612" i="16" a="1"/>
  <c r="K612" i="16" s="1"/>
  <c r="L612" i="16" a="1"/>
  <c r="L612" i="16" s="1"/>
  <c r="J613" i="16" a="1"/>
  <c r="J613" i="16" s="1"/>
  <c r="K613" i="16" a="1"/>
  <c r="K613" i="16" s="1"/>
  <c r="L613" i="16" a="1"/>
  <c r="L613" i="16" s="1"/>
  <c r="J614" i="16" a="1"/>
  <c r="J614" i="16" s="1"/>
  <c r="K614" i="16" a="1"/>
  <c r="K614" i="16" s="1"/>
  <c r="L614" i="16" a="1"/>
  <c r="L614" i="16" s="1"/>
  <c r="J615" i="16" a="1"/>
  <c r="J615" i="16" s="1"/>
  <c r="K615" i="16" a="1"/>
  <c r="K615" i="16" s="1"/>
  <c r="L615" i="16" a="1"/>
  <c r="L615" i="16" s="1"/>
  <c r="J616" i="16" a="1"/>
  <c r="J616" i="16" s="1"/>
  <c r="K616" i="16" a="1"/>
  <c r="K616" i="16" s="1"/>
  <c r="L616" i="16" a="1"/>
  <c r="L616" i="16" s="1"/>
  <c r="J617" i="16" a="1"/>
  <c r="J617" i="16" s="1"/>
  <c r="K617" i="16" a="1"/>
  <c r="K617" i="16" s="1"/>
  <c r="L617" i="16" a="1"/>
  <c r="L617" i="16" s="1"/>
  <c r="J618" i="16" a="1"/>
  <c r="J618" i="16"/>
  <c r="K618" i="16" a="1"/>
  <c r="K618" i="16" s="1"/>
  <c r="L618" i="16" a="1"/>
  <c r="L618" i="16" s="1"/>
  <c r="J619" i="16" a="1"/>
  <c r="J619" i="16" s="1"/>
  <c r="K619" i="16" a="1"/>
  <c r="K619" i="16" s="1"/>
  <c r="L619" i="16" a="1"/>
  <c r="L619" i="16" s="1"/>
  <c r="J620" i="16" a="1"/>
  <c r="J620" i="16" s="1"/>
  <c r="K620" i="16" a="1"/>
  <c r="K620" i="16" s="1"/>
  <c r="L620" i="16" a="1"/>
  <c r="L620" i="16" s="1"/>
  <c r="J621" i="16" a="1"/>
  <c r="J621" i="16" s="1"/>
  <c r="K621" i="16" a="1"/>
  <c r="K621" i="16" s="1"/>
  <c r="L621" i="16" a="1"/>
  <c r="L621" i="16" s="1"/>
  <c r="J622" i="16" a="1"/>
  <c r="J622" i="16" s="1"/>
  <c r="K622" i="16" a="1"/>
  <c r="K622" i="16"/>
  <c r="L622" i="16" a="1"/>
  <c r="L622" i="16" s="1"/>
  <c r="J623" i="16" a="1"/>
  <c r="J623" i="16" s="1"/>
  <c r="K623" i="16" a="1"/>
  <c r="K623" i="16" s="1"/>
  <c r="L623" i="16" a="1"/>
  <c r="L623" i="16" s="1"/>
  <c r="J624" i="16" a="1"/>
  <c r="J624" i="16" s="1"/>
  <c r="K624" i="16" a="1"/>
  <c r="K624" i="16" s="1"/>
  <c r="L624" i="16" a="1"/>
  <c r="L624" i="16" s="1"/>
  <c r="J625" i="16" a="1"/>
  <c r="J625" i="16"/>
  <c r="K625" i="16" a="1"/>
  <c r="K625" i="16" s="1"/>
  <c r="L625" i="16" a="1"/>
  <c r="L625" i="16" s="1"/>
  <c r="J626" i="16" a="1"/>
  <c r="J626" i="16" s="1"/>
  <c r="K626" i="16" a="1"/>
  <c r="K626" i="16" s="1"/>
  <c r="L626" i="16" a="1"/>
  <c r="L626" i="16" s="1"/>
  <c r="J627" i="16" a="1"/>
  <c r="J627" i="16" s="1"/>
  <c r="K627" i="16" a="1"/>
  <c r="K627" i="16" s="1"/>
  <c r="L627" i="16" a="1"/>
  <c r="L627" i="16" s="1"/>
  <c r="J628" i="16" a="1"/>
  <c r="J628" i="16" s="1"/>
  <c r="K628" i="16" a="1"/>
  <c r="K628" i="16" s="1"/>
  <c r="L628" i="16" a="1"/>
  <c r="L628" i="16" s="1"/>
  <c r="J629" i="16" a="1"/>
  <c r="J629" i="16" s="1"/>
  <c r="K629" i="16" a="1"/>
  <c r="K629" i="16" s="1"/>
  <c r="L629" i="16" a="1"/>
  <c r="L629" i="16" s="1"/>
  <c r="J630" i="16" a="1"/>
  <c r="J630" i="16"/>
  <c r="K630" i="16" a="1"/>
  <c r="K630" i="16" s="1"/>
  <c r="L630" i="16" a="1"/>
  <c r="L630" i="16" s="1"/>
  <c r="J631" i="16" a="1"/>
  <c r="J631" i="16" s="1"/>
  <c r="K631" i="16" a="1"/>
  <c r="K631" i="16"/>
  <c r="L631" i="16" a="1"/>
  <c r="L631" i="16"/>
  <c r="J632" i="16" a="1"/>
  <c r="J632" i="16" s="1"/>
  <c r="K632" i="16" a="1"/>
  <c r="K632" i="16"/>
  <c r="L632" i="16" a="1"/>
  <c r="L632" i="16" s="1"/>
  <c r="J633" i="16" a="1"/>
  <c r="J633" i="16" s="1"/>
  <c r="K633" i="16" a="1"/>
  <c r="K633" i="16" s="1"/>
  <c r="L633" i="16" a="1"/>
  <c r="L633" i="16"/>
  <c r="J634" i="16" a="1"/>
  <c r="J634" i="16" s="1"/>
  <c r="K634" i="16" a="1"/>
  <c r="K634" i="16" s="1"/>
  <c r="L634" i="16" a="1"/>
  <c r="L634" i="16" s="1"/>
  <c r="J635" i="16" a="1"/>
  <c r="J635" i="16" s="1"/>
  <c r="K635" i="16" a="1"/>
  <c r="K635" i="16" s="1"/>
  <c r="L635" i="16" a="1"/>
  <c r="L635" i="16" s="1"/>
  <c r="J636" i="16" a="1"/>
  <c r="J636" i="16" s="1"/>
  <c r="K636" i="16" a="1"/>
  <c r="K636" i="16" s="1"/>
  <c r="L636" i="16" a="1"/>
  <c r="L636" i="16" s="1"/>
  <c r="J637" i="16" a="1"/>
  <c r="J637" i="16" s="1"/>
  <c r="K637" i="16" a="1"/>
  <c r="K637" i="16"/>
  <c r="L637" i="16" a="1"/>
  <c r="L637" i="16" s="1"/>
  <c r="J638" i="16" a="1"/>
  <c r="J638" i="16" s="1"/>
  <c r="K638" i="16" a="1"/>
  <c r="K638" i="16"/>
  <c r="L638" i="16" a="1"/>
  <c r="L638" i="16"/>
  <c r="J639" i="16" a="1"/>
  <c r="J639" i="16" s="1"/>
  <c r="K639" i="16" a="1"/>
  <c r="K639" i="16" s="1"/>
  <c r="L639" i="16" a="1"/>
  <c r="L639" i="16" s="1"/>
  <c r="J640" i="16" a="1"/>
  <c r="J640" i="16" s="1"/>
  <c r="K640" i="16" a="1"/>
  <c r="K640" i="16" s="1"/>
  <c r="L640" i="16" a="1"/>
  <c r="L640" i="16" s="1"/>
  <c r="J641" i="16" a="1"/>
  <c r="J641" i="16" s="1"/>
  <c r="K641" i="16" a="1"/>
  <c r="K641" i="16" s="1"/>
  <c r="L641" i="16" a="1"/>
  <c r="L641" i="16" s="1"/>
  <c r="J642" i="16" a="1"/>
  <c r="J642" i="16"/>
  <c r="K642" i="16" a="1"/>
  <c r="K642" i="16" s="1"/>
  <c r="L642" i="16" a="1"/>
  <c r="L642" i="16" s="1"/>
  <c r="J643" i="16" a="1"/>
  <c r="J643" i="16"/>
  <c r="K643" i="16" a="1"/>
  <c r="K643" i="16" s="1"/>
  <c r="L643" i="16" a="1"/>
  <c r="L643" i="16" s="1"/>
  <c r="J644" i="16" a="1"/>
  <c r="J644" i="16" s="1"/>
  <c r="K644" i="16" a="1"/>
  <c r="K644" i="16" s="1"/>
  <c r="L644" i="16" a="1"/>
  <c r="L644" i="16" s="1"/>
  <c r="J645" i="16" a="1"/>
  <c r="J645" i="16" s="1"/>
  <c r="K645" i="16" a="1"/>
  <c r="K645" i="16" s="1"/>
  <c r="L645" i="16" a="1"/>
  <c r="L645" i="16" s="1"/>
  <c r="J646" i="16" a="1"/>
  <c r="J646" i="16" s="1"/>
  <c r="K646" i="16" a="1"/>
  <c r="K646" i="16" s="1"/>
  <c r="L646" i="16" a="1"/>
  <c r="L646" i="16"/>
  <c r="J647" i="16" a="1"/>
  <c r="J647" i="16" s="1"/>
  <c r="K647" i="16" a="1"/>
  <c r="K647" i="16" s="1"/>
  <c r="L647" i="16" a="1"/>
  <c r="L647" i="16" s="1"/>
  <c r="J648" i="16" a="1"/>
  <c r="J648" i="16"/>
  <c r="K648" i="16" a="1"/>
  <c r="K648" i="16"/>
  <c r="L648" i="16" a="1"/>
  <c r="L648" i="16" s="1"/>
  <c r="J649" i="16" a="1"/>
  <c r="J649" i="16"/>
  <c r="K649" i="16" a="1"/>
  <c r="K649" i="16" s="1"/>
  <c r="L649" i="16" a="1"/>
  <c r="L649" i="16" s="1"/>
  <c r="J650" i="16" a="1"/>
  <c r="J650" i="16" s="1"/>
  <c r="K650" i="16" a="1"/>
  <c r="K650" i="16"/>
  <c r="L650" i="16" a="1"/>
  <c r="L650" i="16" s="1"/>
  <c r="J651" i="16" a="1"/>
  <c r="J651" i="16" s="1"/>
  <c r="K651" i="16" a="1"/>
  <c r="K651" i="16" s="1"/>
  <c r="L651" i="16" a="1"/>
  <c r="L651" i="16" s="1"/>
  <c r="J652" i="16" a="1"/>
  <c r="J652" i="16" s="1"/>
  <c r="K652" i="16" a="1"/>
  <c r="K652" i="16"/>
  <c r="L652" i="16" a="1"/>
  <c r="L652" i="16" s="1"/>
  <c r="J653" i="16" a="1"/>
  <c r="J653" i="16" s="1"/>
  <c r="K653" i="16" a="1"/>
  <c r="K653" i="16" s="1"/>
  <c r="L653" i="16" a="1"/>
  <c r="L653" i="16"/>
  <c r="J654" i="16" a="1"/>
  <c r="J654" i="16" s="1"/>
  <c r="K654" i="16" a="1"/>
  <c r="K654" i="16" s="1"/>
  <c r="L654" i="16" a="1"/>
  <c r="L654" i="16"/>
  <c r="J655" i="16" a="1"/>
  <c r="J655" i="16"/>
  <c r="K655" i="16" a="1"/>
  <c r="K655" i="16" s="1"/>
  <c r="L655" i="16" a="1"/>
  <c r="L655" i="16" s="1"/>
  <c r="J656" i="16" a="1"/>
  <c r="J656" i="16" s="1"/>
  <c r="K656" i="16" a="1"/>
  <c r="K656" i="16" s="1"/>
  <c r="L656" i="16" a="1"/>
  <c r="L656" i="16" s="1"/>
  <c r="J657" i="16" a="1"/>
  <c r="J657" i="16" s="1"/>
  <c r="K657" i="16" a="1"/>
  <c r="K657" i="16" s="1"/>
  <c r="L657" i="16" a="1"/>
  <c r="L657" i="16" s="1"/>
  <c r="J658" i="16" a="1"/>
  <c r="J658" i="16" s="1"/>
  <c r="K658" i="16" a="1"/>
  <c r="K658" i="16" s="1"/>
  <c r="L658" i="16" a="1"/>
  <c r="L658" i="16" s="1"/>
  <c r="J659" i="16" a="1"/>
  <c r="J659" i="16" s="1"/>
  <c r="K659" i="16" a="1"/>
  <c r="K659" i="16" s="1"/>
  <c r="L659" i="16" a="1"/>
  <c r="L659" i="16" s="1"/>
  <c r="J660" i="16" a="1"/>
  <c r="J660" i="16" s="1"/>
  <c r="K660" i="16" a="1"/>
  <c r="K660" i="16"/>
  <c r="L660" i="16" a="1"/>
  <c r="L660" i="16" s="1"/>
  <c r="J661" i="16" a="1"/>
  <c r="J661" i="16" s="1"/>
  <c r="K661" i="16" a="1"/>
  <c r="K661" i="16" s="1"/>
  <c r="L661" i="16" a="1"/>
  <c r="L661" i="16" s="1"/>
  <c r="J662" i="16" a="1"/>
  <c r="J662" i="16" s="1"/>
  <c r="K662" i="16" a="1"/>
  <c r="K662" i="16" s="1"/>
  <c r="L662" i="16" a="1"/>
  <c r="L662" i="16" s="1"/>
  <c r="J663" i="16" a="1"/>
  <c r="J663" i="16" s="1"/>
  <c r="K663" i="16" a="1"/>
  <c r="K663" i="16" s="1"/>
  <c r="L663" i="16" a="1"/>
  <c r="L663" i="16" s="1"/>
  <c r="J664" i="16" a="1"/>
  <c r="J664" i="16" s="1"/>
  <c r="K664" i="16" a="1"/>
  <c r="K664" i="16" s="1"/>
  <c r="L664" i="16" a="1"/>
  <c r="L664" i="16" s="1"/>
  <c r="J665" i="16" a="1"/>
  <c r="J665" i="16" s="1"/>
  <c r="K665" i="16" a="1"/>
  <c r="K665" i="16" s="1"/>
  <c r="L665" i="16" a="1"/>
  <c r="L665" i="16" s="1"/>
  <c r="J666" i="16" a="1"/>
  <c r="J666" i="16" s="1"/>
  <c r="K666" i="16" a="1"/>
  <c r="K666" i="16" s="1"/>
  <c r="L666" i="16" a="1"/>
  <c r="L666" i="16" s="1"/>
  <c r="J667" i="16" a="1"/>
  <c r="J667" i="16" s="1"/>
  <c r="K667" i="16" a="1"/>
  <c r="K667" i="16" s="1"/>
  <c r="L667" i="16" a="1"/>
  <c r="L667" i="16" s="1"/>
  <c r="J668" i="16" a="1"/>
  <c r="J668" i="16" s="1"/>
  <c r="K668" i="16" a="1"/>
  <c r="K668" i="16" s="1"/>
  <c r="L668" i="16" a="1"/>
  <c r="L668" i="16" s="1"/>
  <c r="J669" i="16" a="1"/>
  <c r="J669" i="16" s="1"/>
  <c r="K669" i="16" a="1"/>
  <c r="K669" i="16" s="1"/>
  <c r="L669" i="16" a="1"/>
  <c r="L669" i="16" s="1"/>
  <c r="J670" i="16" a="1"/>
  <c r="J670" i="16" s="1"/>
  <c r="K670" i="16" a="1"/>
  <c r="K670" i="16" s="1"/>
  <c r="L670" i="16" a="1"/>
  <c r="L670" i="16" s="1"/>
  <c r="J671" i="16" a="1"/>
  <c r="J671" i="16" s="1"/>
  <c r="K671" i="16" a="1"/>
  <c r="K671" i="16" s="1"/>
  <c r="L671" i="16" a="1"/>
  <c r="L671" i="16" s="1"/>
  <c r="J672" i="16" a="1"/>
  <c r="J672" i="16" s="1"/>
  <c r="K672" i="16" a="1"/>
  <c r="K672" i="16" s="1"/>
  <c r="L672" i="16" a="1"/>
  <c r="L672" i="16" s="1"/>
  <c r="J673" i="16" a="1"/>
  <c r="J673" i="16" s="1"/>
  <c r="K673" i="16" a="1"/>
  <c r="K673" i="16" s="1"/>
  <c r="L673" i="16" a="1"/>
  <c r="L673" i="16" s="1"/>
  <c r="J674" i="16" a="1"/>
  <c r="J674" i="16" s="1"/>
  <c r="K674" i="16" a="1"/>
  <c r="K674" i="16" s="1"/>
  <c r="L674" i="16" a="1"/>
  <c r="L674" i="16" s="1"/>
  <c r="J675" i="16" a="1"/>
  <c r="J675" i="16" s="1"/>
  <c r="K675" i="16" a="1"/>
  <c r="K675" i="16" s="1"/>
  <c r="L675" i="16" a="1"/>
  <c r="L675" i="16" s="1"/>
  <c r="J676" i="16" a="1"/>
  <c r="J676" i="16" s="1"/>
  <c r="K676" i="16" a="1"/>
  <c r="K676" i="16" s="1"/>
  <c r="L676" i="16" a="1"/>
  <c r="L676" i="16" s="1"/>
  <c r="J677" i="16" a="1"/>
  <c r="J677" i="16" s="1"/>
  <c r="K677" i="16" a="1"/>
  <c r="K677" i="16" s="1"/>
  <c r="L677" i="16" a="1"/>
  <c r="L677" i="16" s="1"/>
  <c r="J678" i="16" a="1"/>
  <c r="J678" i="16" s="1"/>
  <c r="K678" i="16" a="1"/>
  <c r="K678" i="16" s="1"/>
  <c r="L678" i="16" a="1"/>
  <c r="L678" i="16" s="1"/>
  <c r="J679" i="16" a="1"/>
  <c r="J679" i="16" s="1"/>
  <c r="K679" i="16" a="1"/>
  <c r="K679" i="16" s="1"/>
  <c r="L679" i="16" a="1"/>
  <c r="L679" i="16" s="1"/>
  <c r="J680" i="16" a="1"/>
  <c r="J680" i="16" s="1"/>
  <c r="K680" i="16" a="1"/>
  <c r="K680" i="16" s="1"/>
  <c r="L680" i="16" a="1"/>
  <c r="L680" i="16" s="1"/>
  <c r="J681" i="16" a="1"/>
  <c r="J681" i="16" s="1"/>
  <c r="K681" i="16" a="1"/>
  <c r="K681" i="16" s="1"/>
  <c r="L681" i="16" a="1"/>
  <c r="L681" i="16" s="1"/>
  <c r="J682" i="16" a="1"/>
  <c r="J682" i="16" s="1"/>
  <c r="K682" i="16" a="1"/>
  <c r="K682" i="16" s="1"/>
  <c r="L682" i="16" a="1"/>
  <c r="L682" i="16" s="1"/>
  <c r="J683" i="16" a="1"/>
  <c r="J683" i="16" s="1"/>
  <c r="K683" i="16" a="1"/>
  <c r="K683" i="16" s="1"/>
  <c r="L683" i="16" a="1"/>
  <c r="L683" i="16" s="1"/>
  <c r="J684" i="16" a="1"/>
  <c r="J684" i="16" s="1"/>
  <c r="K684" i="16" a="1"/>
  <c r="K684" i="16" s="1"/>
  <c r="L684" i="16" a="1"/>
  <c r="L684" i="16" s="1"/>
  <c r="J685" i="16" a="1"/>
  <c r="J685" i="16" s="1"/>
  <c r="K685" i="16" a="1"/>
  <c r="K685" i="16" s="1"/>
  <c r="L685" i="16" a="1"/>
  <c r="L685" i="16" s="1"/>
  <c r="J686" i="16" a="1"/>
  <c r="J686" i="16" s="1"/>
  <c r="K686" i="16" a="1"/>
  <c r="K686" i="16" s="1"/>
  <c r="L686" i="16" a="1"/>
  <c r="L686" i="16" s="1"/>
  <c r="J687" i="16" a="1"/>
  <c r="J687" i="16" s="1"/>
  <c r="K687" i="16" a="1"/>
  <c r="K687" i="16" s="1"/>
  <c r="L687" i="16" a="1"/>
  <c r="L687" i="16" s="1"/>
  <c r="J688" i="16" a="1"/>
  <c r="J688" i="16" s="1"/>
  <c r="K688" i="16" a="1"/>
  <c r="K688" i="16" s="1"/>
  <c r="L688" i="16" a="1"/>
  <c r="L688" i="16" s="1"/>
  <c r="J689" i="16" a="1"/>
  <c r="J689" i="16" s="1"/>
  <c r="K689" i="16" a="1"/>
  <c r="K689" i="16" s="1"/>
  <c r="L689" i="16" a="1"/>
  <c r="L689" i="16" s="1"/>
  <c r="J690" i="16" a="1"/>
  <c r="J690" i="16" s="1"/>
  <c r="K690" i="16" a="1"/>
  <c r="K690" i="16" s="1"/>
  <c r="L690" i="16" a="1"/>
  <c r="L690" i="16" s="1"/>
  <c r="J691" i="16" a="1"/>
  <c r="J691" i="16" s="1"/>
  <c r="K691" i="16" a="1"/>
  <c r="K691" i="16" s="1"/>
  <c r="L691" i="16" a="1"/>
  <c r="L691" i="16" s="1"/>
  <c r="J692" i="16" a="1"/>
  <c r="J692" i="16" s="1"/>
  <c r="K692" i="16" a="1"/>
  <c r="K692" i="16" s="1"/>
  <c r="L692" i="16" a="1"/>
  <c r="L692" i="16" s="1"/>
  <c r="J693" i="16" a="1"/>
  <c r="J693" i="16" s="1"/>
  <c r="K693" i="16" a="1"/>
  <c r="K693" i="16" s="1"/>
  <c r="L693" i="16" a="1"/>
  <c r="L693" i="16" s="1"/>
  <c r="J694" i="16" a="1"/>
  <c r="J694" i="16" s="1"/>
  <c r="K694" i="16" a="1"/>
  <c r="K694" i="16" s="1"/>
  <c r="L694" i="16" a="1"/>
  <c r="L694" i="16" s="1"/>
  <c r="J695" i="16" a="1"/>
  <c r="J695" i="16" s="1"/>
  <c r="K695" i="16" a="1"/>
  <c r="K695" i="16" s="1"/>
  <c r="L695" i="16" a="1"/>
  <c r="L695" i="16" s="1"/>
  <c r="J696" i="16" a="1"/>
  <c r="J696" i="16" s="1"/>
  <c r="K696" i="16" a="1"/>
  <c r="K696" i="16" s="1"/>
  <c r="L696" i="16" a="1"/>
  <c r="L696" i="16" s="1"/>
  <c r="J697" i="16" a="1"/>
  <c r="J697" i="16" s="1"/>
  <c r="K697" i="16" a="1"/>
  <c r="K697" i="16" s="1"/>
  <c r="L697" i="16" a="1"/>
  <c r="L697" i="16" s="1"/>
  <c r="J698" i="16" a="1"/>
  <c r="J698" i="16" s="1"/>
  <c r="K698" i="16" a="1"/>
  <c r="K698" i="16" s="1"/>
  <c r="L698" i="16" a="1"/>
  <c r="L698" i="16" s="1"/>
  <c r="J699" i="16" a="1"/>
  <c r="J699" i="16" s="1"/>
  <c r="K699" i="16" a="1"/>
  <c r="K699" i="16" s="1"/>
  <c r="L699" i="16" a="1"/>
  <c r="L699" i="16" s="1"/>
  <c r="J700" i="16" a="1"/>
  <c r="J700" i="16" s="1"/>
  <c r="K700" i="16" a="1"/>
  <c r="K700" i="16"/>
  <c r="L700" i="16" a="1"/>
  <c r="L700" i="16" s="1"/>
  <c r="J701" i="16" a="1"/>
  <c r="J701" i="16" s="1"/>
  <c r="K701" i="16" a="1"/>
  <c r="K701" i="16" s="1"/>
  <c r="L701" i="16" a="1"/>
  <c r="L701" i="16" s="1"/>
  <c r="J702" i="16" a="1"/>
  <c r="J702" i="16" s="1"/>
  <c r="K702" i="16" a="1"/>
  <c r="K702" i="16" s="1"/>
  <c r="L702" i="16" a="1"/>
  <c r="L702" i="16" s="1"/>
  <c r="J703" i="16" a="1"/>
  <c r="J703" i="16" s="1"/>
  <c r="K703" i="16" a="1"/>
  <c r="K703" i="16" s="1"/>
  <c r="L703" i="16" a="1"/>
  <c r="L703" i="16" s="1"/>
  <c r="J704" i="16" a="1"/>
  <c r="J704" i="16" s="1"/>
  <c r="K704" i="16" a="1"/>
  <c r="K704" i="16"/>
  <c r="L704" i="16" a="1"/>
  <c r="L704" i="16"/>
  <c r="J705" i="16" a="1"/>
  <c r="J705" i="16" s="1"/>
  <c r="K705" i="16" a="1"/>
  <c r="K705" i="16" s="1"/>
  <c r="L705" i="16" a="1"/>
  <c r="L705" i="16" s="1"/>
  <c r="J706" i="16" a="1"/>
  <c r="J706" i="16" s="1"/>
  <c r="K706" i="16" a="1"/>
  <c r="K706" i="16" s="1"/>
  <c r="L706" i="16" a="1"/>
  <c r="L706" i="16" s="1"/>
  <c r="J707" i="16" a="1"/>
  <c r="J707" i="16"/>
  <c r="K707" i="16" a="1"/>
  <c r="K707" i="16"/>
  <c r="L707" i="16" a="1"/>
  <c r="L707" i="16" s="1"/>
  <c r="J708" i="16" a="1"/>
  <c r="J708" i="16" s="1"/>
  <c r="K708" i="16" a="1"/>
  <c r="K708" i="16" s="1"/>
  <c r="L708" i="16" a="1"/>
  <c r="L708" i="16" s="1"/>
  <c r="J709" i="16" a="1"/>
  <c r="J709" i="16" s="1"/>
  <c r="K709" i="16" a="1"/>
  <c r="K709" i="16" s="1"/>
  <c r="L709" i="16" a="1"/>
  <c r="L709" i="16" s="1"/>
  <c r="J710" i="16" a="1"/>
  <c r="J710" i="16" s="1"/>
  <c r="K710" i="16" a="1"/>
  <c r="K710" i="16" s="1"/>
  <c r="L710" i="16" a="1"/>
  <c r="L710" i="16" s="1"/>
  <c r="J711" i="16" a="1"/>
  <c r="J711" i="16" s="1"/>
  <c r="K711" i="16" a="1"/>
  <c r="K711" i="16"/>
  <c r="L711" i="16" a="1"/>
  <c r="L711" i="16" s="1"/>
  <c r="J712" i="16" a="1"/>
  <c r="J712" i="16" s="1"/>
  <c r="K712" i="16" a="1"/>
  <c r="K712" i="16" s="1"/>
  <c r="L712" i="16" a="1"/>
  <c r="L712" i="16" s="1"/>
  <c r="J713" i="16" a="1"/>
  <c r="J713" i="16" s="1"/>
  <c r="K713" i="16" a="1"/>
  <c r="K713" i="16" s="1"/>
  <c r="L713" i="16" a="1"/>
  <c r="L713" i="16" s="1"/>
  <c r="J714" i="16" a="1"/>
  <c r="J714" i="16"/>
  <c r="K714" i="16" a="1"/>
  <c r="K714" i="16"/>
  <c r="L714" i="16" a="1"/>
  <c r="L714" i="16" s="1"/>
  <c r="J715" i="16" a="1"/>
  <c r="J715" i="16" s="1"/>
  <c r="K715" i="16" a="1"/>
  <c r="K715" i="16" s="1"/>
  <c r="L715" i="16" a="1"/>
  <c r="L715" i="16" s="1"/>
  <c r="J716" i="16" a="1"/>
  <c r="J716" i="16" s="1"/>
  <c r="K716" i="16" a="1"/>
  <c r="K716" i="16" s="1"/>
  <c r="L716" i="16" a="1"/>
  <c r="L716" i="16" s="1"/>
  <c r="J717" i="16" a="1"/>
  <c r="J717" i="16"/>
  <c r="K717" i="16" a="1"/>
  <c r="K717" i="16" s="1"/>
  <c r="L717" i="16" a="1"/>
  <c r="L717" i="16" s="1"/>
  <c r="J718" i="16" a="1"/>
  <c r="J718" i="16" s="1"/>
  <c r="K718" i="16" a="1"/>
  <c r="K718" i="16" s="1"/>
  <c r="L718" i="16" a="1"/>
  <c r="L718" i="16" s="1"/>
  <c r="J719" i="16" a="1"/>
  <c r="J719" i="16" s="1"/>
  <c r="K719" i="16" a="1"/>
  <c r="K719" i="16" s="1"/>
  <c r="L719" i="16" a="1"/>
  <c r="L719" i="16" s="1"/>
  <c r="J720" i="16" a="1"/>
  <c r="J720" i="16" s="1"/>
  <c r="K720" i="16" a="1"/>
  <c r="K720" i="16" s="1"/>
  <c r="L720" i="16" a="1"/>
  <c r="L720" i="16" s="1"/>
  <c r="J721" i="16" a="1"/>
  <c r="J721" i="16"/>
  <c r="K721" i="16" a="1"/>
  <c r="K721" i="16"/>
  <c r="L721" i="16" a="1"/>
  <c r="L721" i="16" s="1"/>
  <c r="J722" i="16" a="1"/>
  <c r="J722" i="16" s="1"/>
  <c r="K722" i="16" a="1"/>
  <c r="K722" i="16" s="1"/>
  <c r="L722" i="16" a="1"/>
  <c r="L722" i="16" s="1"/>
  <c r="J723" i="16" a="1"/>
  <c r="J723" i="16" s="1"/>
  <c r="K723" i="16" a="1"/>
  <c r="K723" i="16" s="1"/>
  <c r="L723" i="16" a="1"/>
  <c r="L723" i="16" s="1"/>
  <c r="J724" i="16" a="1"/>
  <c r="J724" i="16"/>
  <c r="K724" i="16" a="1"/>
  <c r="K724" i="16" s="1"/>
  <c r="L724" i="16" a="1"/>
  <c r="L724" i="16" s="1"/>
  <c r="J725" i="16" a="1"/>
  <c r="J725" i="16" s="1"/>
  <c r="K725" i="16" a="1"/>
  <c r="K725" i="16" s="1"/>
  <c r="L725" i="16" a="1"/>
  <c r="L725" i="16" s="1"/>
  <c r="J726" i="16" a="1"/>
  <c r="J726" i="16" s="1"/>
  <c r="K726" i="16" a="1"/>
  <c r="K726" i="16" s="1"/>
  <c r="L726" i="16" a="1"/>
  <c r="L726" i="16" s="1"/>
  <c r="J727" i="16" a="1"/>
  <c r="J727" i="16" s="1"/>
  <c r="K727" i="16" a="1"/>
  <c r="K727" i="16" s="1"/>
  <c r="L727" i="16" a="1"/>
  <c r="L727" i="16" s="1"/>
  <c r="J728" i="16" a="1"/>
  <c r="J728" i="16" s="1"/>
  <c r="K728" i="16" a="1"/>
  <c r="K728" i="16" s="1"/>
  <c r="L728" i="16" a="1"/>
  <c r="L728" i="16" s="1"/>
  <c r="J729" i="16" a="1"/>
  <c r="J729" i="16" s="1"/>
  <c r="K729" i="16" a="1"/>
  <c r="K729" i="16" s="1"/>
  <c r="L729" i="16" a="1"/>
  <c r="L729" i="16" s="1"/>
  <c r="J730" i="16" a="1"/>
  <c r="J730" i="16" s="1"/>
  <c r="K730" i="16" a="1"/>
  <c r="K730" i="16" s="1"/>
  <c r="L730" i="16" a="1"/>
  <c r="L730" i="16"/>
  <c r="J731" i="16" a="1"/>
  <c r="J731" i="16" s="1"/>
  <c r="K731" i="16" a="1"/>
  <c r="K731" i="16"/>
  <c r="L731" i="16" a="1"/>
  <c r="L731" i="16" s="1"/>
  <c r="J732" i="16" a="1"/>
  <c r="J732" i="16" s="1"/>
  <c r="K732" i="16" a="1"/>
  <c r="K732" i="16" s="1"/>
  <c r="L732" i="16" a="1"/>
  <c r="L732" i="16" s="1"/>
  <c r="J733" i="16" a="1"/>
  <c r="J733" i="16" s="1"/>
  <c r="K733" i="16" a="1"/>
  <c r="K733" i="16" s="1"/>
  <c r="L733" i="16" a="1"/>
  <c r="L733" i="16" s="1"/>
  <c r="J734" i="16" a="1"/>
  <c r="J734" i="16"/>
  <c r="K734" i="16" a="1"/>
  <c r="K734" i="16"/>
  <c r="L734" i="16" a="1"/>
  <c r="L734" i="16" s="1"/>
  <c r="J735" i="16" a="1"/>
  <c r="J735" i="16" s="1"/>
  <c r="K735" i="16" a="1"/>
  <c r="K735" i="16" s="1"/>
  <c r="L735" i="16" a="1"/>
  <c r="L735" i="16" s="1"/>
  <c r="J736" i="16" a="1"/>
  <c r="J736" i="16" s="1"/>
  <c r="K736" i="16" a="1"/>
  <c r="K736" i="16" s="1"/>
  <c r="L736" i="16" a="1"/>
  <c r="L736" i="16" s="1"/>
  <c r="J737" i="16" a="1"/>
  <c r="J737" i="16" s="1"/>
  <c r="K737" i="16" a="1"/>
  <c r="K737" i="16" s="1"/>
  <c r="L737" i="16" a="1"/>
  <c r="L737" i="16" s="1"/>
  <c r="J738" i="16" a="1"/>
  <c r="J738" i="16"/>
  <c r="K738" i="16" a="1"/>
  <c r="K738" i="16" s="1"/>
  <c r="L738" i="16" a="1"/>
  <c r="L738" i="16"/>
  <c r="J739" i="16" a="1"/>
  <c r="J739" i="16"/>
  <c r="K739" i="16" a="1"/>
  <c r="K739" i="16" s="1"/>
  <c r="L739" i="16" a="1"/>
  <c r="L739" i="16" s="1"/>
  <c r="J740" i="16" a="1"/>
  <c r="J740" i="16" s="1"/>
  <c r="K740" i="16" a="1"/>
  <c r="K740" i="16" s="1"/>
  <c r="L740" i="16" a="1"/>
  <c r="L740" i="16" s="1"/>
  <c r="J741" i="16" a="1"/>
  <c r="J741" i="16" s="1"/>
  <c r="K741" i="16" a="1"/>
  <c r="K741" i="16" s="1"/>
  <c r="L741" i="16" a="1"/>
  <c r="L741" i="16" s="1"/>
  <c r="J742" i="16" a="1"/>
  <c r="J742" i="16" s="1"/>
  <c r="K742" i="16" a="1"/>
  <c r="K742" i="16"/>
  <c r="L742" i="16" a="1"/>
  <c r="L742" i="16" s="1"/>
  <c r="J743" i="16" a="1"/>
  <c r="J743" i="16"/>
  <c r="K743" i="16" a="1"/>
  <c r="K743" i="16" s="1"/>
  <c r="L743" i="16" a="1"/>
  <c r="L743" i="16" s="1"/>
  <c r="J744" i="16" a="1"/>
  <c r="J744" i="16"/>
  <c r="K744" i="16" a="1"/>
  <c r="K744" i="16" s="1"/>
  <c r="L744" i="16" a="1"/>
  <c r="L744" i="16"/>
  <c r="J745" i="16" a="1"/>
  <c r="J745" i="16" s="1"/>
  <c r="K745" i="16" a="1"/>
  <c r="K745" i="16"/>
  <c r="L745" i="16" a="1"/>
  <c r="L745" i="16" s="1"/>
  <c r="J746" i="16" a="1"/>
  <c r="J746" i="16" s="1"/>
  <c r="K746" i="16" a="1"/>
  <c r="K746" i="16" s="1"/>
  <c r="L746" i="16" a="1"/>
  <c r="L746" i="16" s="1"/>
  <c r="J747" i="16" a="1"/>
  <c r="J747" i="16"/>
  <c r="K747" i="16" a="1"/>
  <c r="K747" i="16" s="1"/>
  <c r="L747" i="16" a="1"/>
  <c r="L747" i="16" s="1"/>
  <c r="J748" i="16" a="1"/>
  <c r="J748" i="16" s="1"/>
  <c r="K748" i="16" a="1"/>
  <c r="K748" i="16" s="1"/>
  <c r="L748" i="16" a="1"/>
  <c r="L748" i="16" s="1"/>
  <c r="J749" i="16" a="1"/>
  <c r="J749" i="16"/>
  <c r="K749" i="16" a="1"/>
  <c r="K749" i="16" s="1"/>
  <c r="L749" i="16" a="1"/>
  <c r="L749" i="16" s="1"/>
  <c r="J750" i="16" a="1"/>
  <c r="J750" i="16" s="1"/>
  <c r="K750" i="16" a="1"/>
  <c r="K750" i="16"/>
  <c r="L750" i="16" a="1"/>
  <c r="L750" i="16"/>
  <c r="J751" i="16" a="1"/>
  <c r="J751" i="16" s="1"/>
  <c r="K751" i="16" a="1"/>
  <c r="K751" i="16" s="1"/>
  <c r="L751" i="16" a="1"/>
  <c r="L751" i="16" s="1"/>
  <c r="J752" i="16" a="1"/>
  <c r="J752" i="16"/>
  <c r="K752" i="16" a="1"/>
  <c r="K752" i="16" s="1"/>
  <c r="L752" i="16" a="1"/>
  <c r="L752" i="16" s="1"/>
  <c r="J753" i="16" a="1"/>
  <c r="J753" i="16" s="1"/>
  <c r="K753" i="16" a="1"/>
  <c r="K753" i="16" s="1"/>
  <c r="L753" i="16" a="1"/>
  <c r="L753" i="16" s="1"/>
  <c r="J754" i="16" a="1"/>
  <c r="J754" i="16" s="1"/>
  <c r="K754" i="16" a="1"/>
  <c r="K754" i="16" s="1"/>
  <c r="L754" i="16" a="1"/>
  <c r="L754" i="16" s="1"/>
  <c r="J755" i="16" a="1"/>
  <c r="J755" i="16" s="1"/>
  <c r="K755" i="16" a="1"/>
  <c r="K755" i="16"/>
  <c r="L755" i="16" a="1"/>
  <c r="L755" i="16" s="1"/>
  <c r="J756" i="16" a="1"/>
  <c r="J756" i="16" s="1"/>
  <c r="K756" i="16" a="1"/>
  <c r="K756" i="16" s="1"/>
  <c r="L756" i="16" a="1"/>
  <c r="L756" i="16"/>
  <c r="J757" i="16" a="1"/>
  <c r="J757" i="16"/>
  <c r="K757" i="16" a="1"/>
  <c r="K757" i="16" s="1"/>
  <c r="L757" i="16" a="1"/>
  <c r="L757" i="16" s="1"/>
  <c r="J758" i="16" a="1"/>
  <c r="J758" i="16" s="1"/>
  <c r="K758" i="16" a="1"/>
  <c r="K758" i="16"/>
  <c r="L758" i="16" a="1"/>
  <c r="L758" i="16" s="1"/>
  <c r="J759" i="16" a="1"/>
  <c r="J759" i="16"/>
  <c r="K759" i="16" a="1"/>
  <c r="K759" i="16" s="1"/>
  <c r="L759" i="16" a="1"/>
  <c r="L759" i="16" s="1"/>
  <c r="J760" i="16" a="1"/>
  <c r="J760" i="16" s="1"/>
  <c r="K760" i="16" a="1"/>
  <c r="K760" i="16"/>
  <c r="L760" i="16" a="1"/>
  <c r="L760" i="16" s="1"/>
  <c r="J761" i="16" a="1"/>
  <c r="J761" i="16" s="1"/>
  <c r="K761" i="16" a="1"/>
  <c r="K761" i="16" s="1"/>
  <c r="L761" i="16" a="1"/>
  <c r="L761" i="16" s="1"/>
  <c r="J762" i="16" a="1"/>
  <c r="J762" i="16" s="1"/>
  <c r="K762" i="16" a="1"/>
  <c r="K762" i="16" s="1"/>
  <c r="L762" i="16" a="1"/>
  <c r="L762" i="16" s="1"/>
  <c r="J763" i="16" a="1"/>
  <c r="J763" i="16" s="1"/>
  <c r="K763" i="16" a="1"/>
  <c r="K763" i="16" s="1"/>
  <c r="L763" i="16" a="1"/>
  <c r="L763" i="16"/>
  <c r="J764" i="16" a="1"/>
  <c r="J764" i="16"/>
  <c r="K764" i="16" a="1"/>
  <c r="K764" i="16" s="1"/>
  <c r="L764" i="16" a="1"/>
  <c r="L764" i="16" s="1"/>
  <c r="J765" i="16" a="1"/>
  <c r="J765" i="16" s="1"/>
  <c r="K765" i="16" a="1"/>
  <c r="K765" i="16" s="1"/>
  <c r="L765" i="16" a="1"/>
  <c r="L765" i="16"/>
  <c r="J766" i="16" a="1"/>
  <c r="J766" i="16" s="1"/>
  <c r="K766" i="16" a="1"/>
  <c r="K766" i="16"/>
  <c r="L766" i="16" a="1"/>
  <c r="L766" i="16" s="1"/>
  <c r="J767" i="16" a="1"/>
  <c r="J767" i="16" s="1"/>
  <c r="K767" i="16" a="1"/>
  <c r="K767" i="16"/>
  <c r="L767" i="16" a="1"/>
  <c r="L767" i="16" s="1"/>
  <c r="J768" i="16" a="1"/>
  <c r="J768" i="16" s="1"/>
  <c r="K768" i="16" a="1"/>
  <c r="K768" i="16" s="1"/>
  <c r="L768" i="16" a="1"/>
  <c r="L768" i="16" s="1"/>
  <c r="J769" i="16" a="1"/>
  <c r="J769" i="16" s="1"/>
  <c r="K769" i="16" a="1"/>
  <c r="K769" i="16" s="1"/>
  <c r="L769" i="16" a="1"/>
  <c r="L769" i="16"/>
  <c r="J770" i="16" a="1"/>
  <c r="J770" i="16" s="1"/>
  <c r="K770" i="16" a="1"/>
  <c r="K770" i="16" s="1"/>
  <c r="L770" i="16" a="1"/>
  <c r="L770" i="16" s="1"/>
  <c r="J771" i="16" a="1"/>
  <c r="J771" i="16" s="1"/>
  <c r="K771" i="16" a="1"/>
  <c r="K771" i="16" s="1"/>
  <c r="L771" i="16" a="1"/>
  <c r="L771" i="16" s="1"/>
  <c r="J772" i="16" a="1"/>
  <c r="J772" i="16"/>
  <c r="K772" i="16" a="1"/>
  <c r="K772" i="16" s="1"/>
  <c r="L772" i="16" a="1"/>
  <c r="L772" i="16" s="1"/>
  <c r="J773" i="16" a="1"/>
  <c r="J773" i="16"/>
  <c r="K773" i="16" a="1"/>
  <c r="K773" i="16"/>
  <c r="L773" i="16" a="1"/>
  <c r="L773" i="16" s="1"/>
  <c r="J774" i="16" a="1"/>
  <c r="J774" i="16" s="1"/>
  <c r="K774" i="16" a="1"/>
  <c r="K774" i="16" s="1"/>
  <c r="L774" i="16" a="1"/>
  <c r="L774" i="16" s="1"/>
  <c r="J775" i="16" a="1"/>
  <c r="J775" i="16" s="1"/>
  <c r="K775" i="16" a="1"/>
  <c r="K775" i="16" s="1"/>
  <c r="L775" i="16" a="1"/>
  <c r="L775" i="16"/>
  <c r="J776" i="16" a="1"/>
  <c r="J776" i="16" s="1"/>
  <c r="K776" i="16" a="1"/>
  <c r="K776" i="16" s="1"/>
  <c r="L776" i="16" a="1"/>
  <c r="L776" i="16" s="1"/>
  <c r="J777" i="16" a="1"/>
  <c r="J777" i="16"/>
  <c r="K777" i="16" a="1"/>
  <c r="K777" i="16" s="1"/>
  <c r="L777" i="16" a="1"/>
  <c r="L777" i="16" s="1"/>
  <c r="J778" i="16" a="1"/>
  <c r="J778" i="16" s="1"/>
  <c r="K778" i="16" a="1"/>
  <c r="K778" i="16" s="1"/>
  <c r="L778" i="16" a="1"/>
  <c r="L778" i="16" s="1"/>
  <c r="J779" i="16" a="1"/>
  <c r="J779" i="16" s="1"/>
  <c r="K779" i="16" a="1"/>
  <c r="K779" i="16" s="1"/>
  <c r="L779" i="16" a="1"/>
  <c r="L779" i="16" s="1"/>
  <c r="J780" i="16" a="1"/>
  <c r="J780" i="16" s="1"/>
  <c r="K780" i="16" a="1"/>
  <c r="K780" i="16" s="1"/>
  <c r="L780" i="16" a="1"/>
  <c r="L780" i="16"/>
  <c r="J781" i="16" a="1"/>
  <c r="J781" i="16" s="1"/>
  <c r="K781" i="16" a="1"/>
  <c r="K781" i="16"/>
  <c r="L781" i="16" a="1"/>
  <c r="L781" i="16" s="1"/>
  <c r="J782" i="16" a="1"/>
  <c r="J782" i="16" s="1"/>
  <c r="K782" i="16" a="1"/>
  <c r="K782" i="16" s="1"/>
  <c r="L782" i="16" a="1"/>
  <c r="L782" i="16" s="1"/>
  <c r="J783" i="16" a="1"/>
  <c r="J783" i="16" s="1"/>
  <c r="K783" i="16" a="1"/>
  <c r="K783" i="16" s="1"/>
  <c r="L783" i="16" a="1"/>
  <c r="L783" i="16"/>
  <c r="J784" i="16" a="1"/>
  <c r="J784" i="16"/>
  <c r="K784" i="16" a="1"/>
  <c r="K784" i="16" s="1"/>
  <c r="L784" i="16" a="1"/>
  <c r="L784" i="16" s="1"/>
  <c r="J785" i="16" a="1"/>
  <c r="J785" i="16" s="1"/>
  <c r="K785" i="16" a="1"/>
  <c r="K785" i="16"/>
  <c r="L785" i="16" a="1"/>
  <c r="L785" i="16" s="1"/>
  <c r="J786" i="16" a="1"/>
  <c r="J786" i="16" s="1"/>
  <c r="K786" i="16" a="1"/>
  <c r="K786" i="16"/>
  <c r="L786" i="16" a="1"/>
  <c r="L786" i="16" s="1"/>
  <c r="J787" i="16" a="1"/>
  <c r="J787" i="16" s="1"/>
  <c r="K787" i="16" a="1"/>
  <c r="K787" i="16" s="1"/>
  <c r="L787" i="16" a="1"/>
  <c r="L787" i="16" s="1"/>
  <c r="J788" i="16" a="1"/>
  <c r="J788" i="16" s="1"/>
  <c r="K788" i="16" a="1"/>
  <c r="K788" i="16" s="1"/>
  <c r="L788" i="16" a="1"/>
  <c r="L788" i="16" s="1"/>
  <c r="J789" i="16" a="1"/>
  <c r="J789" i="16" s="1"/>
  <c r="K789" i="16" a="1"/>
  <c r="K789" i="16" s="1"/>
  <c r="L789" i="16" a="1"/>
  <c r="L789" i="16" s="1"/>
  <c r="J790" i="16" a="1"/>
  <c r="J790" i="16"/>
  <c r="K790" i="16" a="1"/>
  <c r="K790" i="16" s="1"/>
  <c r="L790" i="16" a="1"/>
  <c r="L790" i="16" s="1"/>
  <c r="J791" i="16" a="1"/>
  <c r="J791" i="16" s="1"/>
  <c r="K791" i="16" a="1"/>
  <c r="K791" i="16" s="1"/>
  <c r="L791" i="16" a="1"/>
  <c r="L791" i="16" s="1"/>
  <c r="J792" i="16" a="1"/>
  <c r="J792" i="16" s="1"/>
  <c r="K792" i="16" a="1"/>
  <c r="K792" i="16" s="1"/>
  <c r="L792" i="16" a="1"/>
  <c r="L792" i="16" s="1"/>
  <c r="J793" i="16" a="1"/>
  <c r="J793" i="16" s="1"/>
  <c r="K793" i="16" a="1"/>
  <c r="K793" i="16"/>
  <c r="L793" i="16" a="1"/>
  <c r="L793" i="16"/>
  <c r="J794" i="16" a="1"/>
  <c r="J794" i="16" s="1"/>
  <c r="K794" i="16" a="1"/>
  <c r="K794" i="16" s="1"/>
  <c r="L794" i="16" a="1"/>
  <c r="L794" i="16" s="1"/>
  <c r="J795" i="16" a="1"/>
  <c r="J795" i="16" s="1"/>
  <c r="K795" i="16" a="1"/>
  <c r="K795" i="16"/>
  <c r="L795" i="16" a="1"/>
  <c r="L795" i="16" s="1"/>
  <c r="J796" i="16" a="1"/>
  <c r="J796" i="16" s="1"/>
  <c r="K796" i="16" a="1"/>
  <c r="K796" i="16" s="1"/>
  <c r="L796" i="16" a="1"/>
  <c r="L796" i="16" s="1"/>
  <c r="J797" i="16" a="1"/>
  <c r="J797" i="16" s="1"/>
  <c r="K797" i="16" a="1"/>
  <c r="K797" i="16" s="1"/>
  <c r="L797" i="16" a="1"/>
  <c r="L797" i="16" s="1"/>
  <c r="J798" i="16" a="1"/>
  <c r="J798" i="16"/>
  <c r="K798" i="16" a="1"/>
  <c r="K798" i="16"/>
  <c r="L798" i="16" a="1"/>
  <c r="L798" i="16" s="1"/>
  <c r="J799" i="16" a="1"/>
  <c r="J799" i="16" s="1"/>
  <c r="K799" i="16" a="1"/>
  <c r="K799" i="16" s="1"/>
  <c r="L799" i="16" a="1"/>
  <c r="L799" i="16" s="1"/>
  <c r="J800" i="16" a="1"/>
  <c r="J800" i="16" s="1"/>
  <c r="K800" i="16" a="1"/>
  <c r="K800" i="16" s="1"/>
  <c r="L800" i="16" a="1"/>
  <c r="L800" i="16"/>
  <c r="J801" i="16" a="1"/>
  <c r="J801" i="16" s="1"/>
  <c r="K801" i="16" a="1"/>
  <c r="K801" i="16" s="1"/>
  <c r="L801" i="16" a="1"/>
  <c r="L801" i="16"/>
  <c r="J802" i="16" a="1"/>
  <c r="J802" i="16" s="1"/>
  <c r="K802" i="16" a="1"/>
  <c r="K802" i="16" s="1"/>
  <c r="L802" i="16" a="1"/>
  <c r="L802" i="16" s="1"/>
  <c r="J803" i="16" a="1"/>
  <c r="J803" i="16"/>
  <c r="K803" i="16" a="1"/>
  <c r="K803" i="16" s="1"/>
  <c r="L803" i="16" a="1"/>
  <c r="L803" i="16" s="1"/>
  <c r="J804" i="16" a="1"/>
  <c r="J804" i="16" s="1"/>
  <c r="K804" i="16" a="1"/>
  <c r="K804" i="16" s="1"/>
  <c r="L804" i="16" a="1"/>
  <c r="L804" i="16" s="1"/>
  <c r="J805" i="16" a="1"/>
  <c r="J805" i="16" s="1"/>
  <c r="K805" i="16" a="1"/>
  <c r="K805" i="16"/>
  <c r="L805" i="16" a="1"/>
  <c r="L805" i="16" s="1"/>
  <c r="J806" i="16" a="1"/>
  <c r="J806" i="16" s="1"/>
  <c r="K806" i="16" a="1"/>
  <c r="K806" i="16"/>
  <c r="L806" i="16" a="1"/>
  <c r="L806" i="16" s="1"/>
  <c r="J807" i="16" a="1"/>
  <c r="J807" i="16"/>
  <c r="K807" i="16" a="1"/>
  <c r="K807" i="16" s="1"/>
  <c r="L807" i="16" a="1"/>
  <c r="L807" i="16" s="1"/>
  <c r="J808" i="16" a="1"/>
  <c r="J808" i="16" s="1"/>
  <c r="K808" i="16" a="1"/>
  <c r="K808" i="16" s="1"/>
  <c r="L808" i="16" a="1"/>
  <c r="L808" i="16" s="1"/>
  <c r="J809" i="16" a="1"/>
  <c r="J809" i="16" s="1"/>
  <c r="K809" i="16" a="1"/>
  <c r="K809" i="16" s="1"/>
  <c r="L809" i="16" a="1"/>
  <c r="L809" i="16" s="1"/>
  <c r="J810" i="16" a="1"/>
  <c r="J810" i="16"/>
  <c r="K810" i="16" a="1"/>
  <c r="K810" i="16" s="1"/>
  <c r="L810" i="16" a="1"/>
  <c r="L810" i="16" s="1"/>
  <c r="J811" i="16" a="1"/>
  <c r="J811" i="16" s="1"/>
  <c r="K811" i="16" a="1"/>
  <c r="K811" i="16" s="1"/>
  <c r="L811" i="16" a="1"/>
  <c r="L811" i="16" s="1"/>
  <c r="J812" i="16" a="1"/>
  <c r="J812" i="16"/>
  <c r="K812" i="16" a="1"/>
  <c r="K812" i="16" s="1"/>
  <c r="L812" i="16" a="1"/>
  <c r="L812" i="16" s="1"/>
  <c r="J813" i="16" a="1"/>
  <c r="J813" i="16" s="1"/>
  <c r="K813" i="16" a="1"/>
  <c r="K813" i="16" s="1"/>
  <c r="L813" i="16" a="1"/>
  <c r="L813" i="16" s="1"/>
  <c r="J814" i="16" a="1"/>
  <c r="J814" i="16" s="1"/>
  <c r="K814" i="16" a="1"/>
  <c r="K814" i="16" s="1"/>
  <c r="L814" i="16" a="1"/>
  <c r="L814" i="16" s="1"/>
  <c r="J815" i="16" a="1"/>
  <c r="J815" i="16" s="1"/>
  <c r="K815" i="16" a="1"/>
  <c r="K815" i="16" s="1"/>
  <c r="L815" i="16" a="1"/>
  <c r="L815" i="16"/>
  <c r="J816" i="16" a="1"/>
  <c r="J816" i="16" s="1"/>
  <c r="K816" i="16" a="1"/>
  <c r="K816" i="16" s="1"/>
  <c r="L816" i="16" a="1"/>
  <c r="L816" i="16" s="1"/>
  <c r="J817" i="16" a="1"/>
  <c r="J817" i="16" s="1"/>
  <c r="K817" i="16" a="1"/>
  <c r="K817" i="16"/>
  <c r="L817" i="16" a="1"/>
  <c r="L817" i="16" s="1"/>
  <c r="J818" i="16" a="1"/>
  <c r="J818" i="16" s="1"/>
  <c r="K818" i="16" a="1"/>
  <c r="K818" i="16" s="1"/>
  <c r="L818" i="16" a="1"/>
  <c r="L818" i="16" s="1"/>
  <c r="J819" i="16" a="1"/>
  <c r="J819" i="16" s="1"/>
  <c r="K819" i="16" a="1"/>
  <c r="K819" i="16" s="1"/>
  <c r="L819" i="16" a="1"/>
  <c r="L819" i="16" s="1"/>
  <c r="J820" i="16" a="1"/>
  <c r="J820" i="16" s="1"/>
  <c r="K820" i="16" a="1"/>
  <c r="K820" i="16" s="1"/>
  <c r="L820" i="16" a="1"/>
  <c r="L820" i="16" s="1"/>
  <c r="J821" i="16" a="1"/>
  <c r="J821" i="16" s="1"/>
  <c r="K821" i="16" a="1"/>
  <c r="K821" i="16" s="1"/>
  <c r="L821" i="16" a="1"/>
  <c r="L821" i="16" s="1"/>
  <c r="J822" i="16" a="1"/>
  <c r="J822" i="16" s="1"/>
  <c r="K822" i="16" a="1"/>
  <c r="K822" i="16"/>
  <c r="L822" i="16" a="1"/>
  <c r="L822" i="16" s="1"/>
  <c r="J823" i="16" a="1"/>
  <c r="J823" i="16" s="1"/>
  <c r="K823" i="16" a="1"/>
  <c r="K823" i="16" s="1"/>
  <c r="L823" i="16" a="1"/>
  <c r="L823" i="16" s="1"/>
  <c r="J824" i="16" a="1"/>
  <c r="J824" i="16" s="1"/>
  <c r="K824" i="16" a="1"/>
  <c r="K824" i="16" s="1"/>
  <c r="L824" i="16" a="1"/>
  <c r="L824" i="16"/>
  <c r="J825" i="16" a="1"/>
  <c r="J825" i="16"/>
  <c r="K825" i="16" a="1"/>
  <c r="K825" i="16" s="1"/>
  <c r="L825" i="16" a="1"/>
  <c r="L825" i="16" s="1"/>
  <c r="J826" i="16" a="1"/>
  <c r="J826" i="16" s="1"/>
  <c r="K826" i="16" a="1"/>
  <c r="K826" i="16" s="1"/>
  <c r="L826" i="16" a="1"/>
  <c r="L826" i="16" s="1"/>
  <c r="J827" i="16" a="1"/>
  <c r="J827" i="16" s="1"/>
  <c r="K827" i="16" a="1"/>
  <c r="K827" i="16"/>
  <c r="L827" i="16" a="1"/>
  <c r="L827" i="16" s="1"/>
  <c r="J828" i="16" a="1"/>
  <c r="J828" i="16" s="1"/>
  <c r="K828" i="16" a="1"/>
  <c r="K828" i="16" s="1"/>
  <c r="L828" i="16" a="1"/>
  <c r="L828" i="16" s="1"/>
  <c r="J829" i="16" a="1"/>
  <c r="J829" i="16" s="1"/>
  <c r="K829" i="16" a="1"/>
  <c r="K829" i="16" s="1"/>
  <c r="L829" i="16" a="1"/>
  <c r="L829" i="16" s="1"/>
  <c r="J830" i="16" a="1"/>
  <c r="J830" i="16" s="1"/>
  <c r="K830" i="16" a="1"/>
  <c r="K830" i="16" s="1"/>
  <c r="L830" i="16" a="1"/>
  <c r="L830" i="16" s="1"/>
  <c r="J831" i="16" a="1"/>
  <c r="J831" i="16" s="1"/>
  <c r="K831" i="16" a="1"/>
  <c r="K831" i="16" s="1"/>
  <c r="L831" i="16" a="1"/>
  <c r="L831" i="16"/>
  <c r="J832" i="16" a="1"/>
  <c r="J832" i="16"/>
  <c r="K832" i="16" a="1"/>
  <c r="K832" i="16" s="1"/>
  <c r="L832" i="16" a="1"/>
  <c r="L832" i="16" s="1"/>
  <c r="J833" i="16" a="1"/>
  <c r="J833" i="16" s="1"/>
  <c r="K833" i="16" a="1"/>
  <c r="K833" i="16" s="1"/>
  <c r="L833" i="16" a="1"/>
  <c r="L833" i="16" s="1"/>
  <c r="J834" i="16" a="1"/>
  <c r="J834" i="16" s="1"/>
  <c r="K834" i="16" a="1"/>
  <c r="K834" i="16" s="1"/>
  <c r="L834" i="16" a="1"/>
  <c r="L834" i="16" s="1"/>
  <c r="J835" i="16" a="1"/>
  <c r="J835" i="16" s="1"/>
  <c r="K835" i="16" a="1"/>
  <c r="K835" i="16" s="1"/>
  <c r="L835" i="16" a="1"/>
  <c r="L835" i="16" s="1"/>
  <c r="J836" i="16" a="1"/>
  <c r="J836" i="16" s="1"/>
  <c r="K836" i="16" a="1"/>
  <c r="K836" i="16" s="1"/>
  <c r="L836" i="16" a="1"/>
  <c r="L836" i="16" s="1"/>
  <c r="J837" i="16" a="1"/>
  <c r="J837" i="16" s="1"/>
  <c r="K837" i="16" a="1"/>
  <c r="K837" i="16" s="1"/>
  <c r="L837" i="16" a="1"/>
  <c r="L837" i="16" s="1"/>
  <c r="J838" i="16" a="1"/>
  <c r="J838" i="16"/>
  <c r="K838" i="16" a="1"/>
  <c r="K838" i="16"/>
  <c r="L838" i="16" a="1"/>
  <c r="L838" i="16" s="1"/>
  <c r="J839" i="16" a="1"/>
  <c r="J839" i="16" s="1"/>
  <c r="K839" i="16" a="1"/>
  <c r="K839" i="16" s="1"/>
  <c r="L839" i="16" a="1"/>
  <c r="L839" i="16" s="1"/>
  <c r="J840" i="16" a="1"/>
  <c r="J840" i="16"/>
  <c r="K840" i="16" a="1"/>
  <c r="K840" i="16" s="1"/>
  <c r="L840" i="16" a="1"/>
  <c r="L840" i="16" s="1"/>
  <c r="J841" i="16" a="1"/>
  <c r="J841" i="16" s="1"/>
  <c r="K841" i="16" a="1"/>
  <c r="K841" i="16" s="1"/>
  <c r="L841" i="16" a="1"/>
  <c r="L841" i="16" s="1"/>
  <c r="J842" i="16" a="1"/>
  <c r="J842" i="16" s="1"/>
  <c r="K842" i="16" a="1"/>
  <c r="K842" i="16" s="1"/>
  <c r="L842" i="16" a="1"/>
  <c r="L842" i="16" s="1"/>
  <c r="J843" i="16" a="1"/>
  <c r="J843" i="16" s="1"/>
  <c r="K843" i="16" a="1"/>
  <c r="K843" i="16" s="1"/>
  <c r="L843" i="16" a="1"/>
  <c r="L843" i="16" s="1"/>
  <c r="J844" i="16" a="1"/>
  <c r="J844" i="16" s="1"/>
  <c r="K844" i="16" a="1"/>
  <c r="K844" i="16"/>
  <c r="L844" i="16" a="1"/>
  <c r="L844" i="16" s="1"/>
  <c r="J845" i="16" a="1"/>
  <c r="J845" i="16" s="1"/>
  <c r="K845" i="16" a="1"/>
  <c r="K845" i="16" s="1"/>
  <c r="L845" i="16" a="1"/>
  <c r="L845" i="16" s="1"/>
  <c r="J846" i="16" a="1"/>
  <c r="J846" i="16" s="1"/>
  <c r="K846" i="16" a="1"/>
  <c r="K846" i="16" s="1"/>
  <c r="L846" i="16" a="1"/>
  <c r="L846" i="16" s="1"/>
  <c r="J847" i="16" a="1"/>
  <c r="J847" i="16" s="1"/>
  <c r="K847" i="16" a="1"/>
  <c r="K847" i="16" s="1"/>
  <c r="L847" i="16" a="1"/>
  <c r="L847" i="16" s="1"/>
  <c r="J848" i="16" a="1"/>
  <c r="J848" i="16" s="1"/>
  <c r="K848" i="16" a="1"/>
  <c r="K848" i="16" s="1"/>
  <c r="L848" i="16" a="1"/>
  <c r="L848" i="16" s="1"/>
  <c r="J849" i="16" a="1"/>
  <c r="J849" i="16" s="1"/>
  <c r="K849" i="16" a="1"/>
  <c r="K849" i="16" s="1"/>
  <c r="L849" i="16" a="1"/>
  <c r="L849" i="16" s="1"/>
  <c r="J850" i="16" a="1"/>
  <c r="J850" i="16" s="1"/>
  <c r="K850" i="16" a="1"/>
  <c r="K850" i="16" s="1"/>
  <c r="L850" i="16" a="1"/>
  <c r="L850" i="16" s="1"/>
  <c r="J851" i="16" a="1"/>
  <c r="J851" i="16" s="1"/>
  <c r="K851" i="16" a="1"/>
  <c r="K851" i="16" s="1"/>
  <c r="L851" i="16" a="1"/>
  <c r="L851" i="16" s="1"/>
  <c r="J852" i="16" a="1"/>
  <c r="J852" i="16" s="1"/>
  <c r="K852" i="16" a="1"/>
  <c r="K852" i="16" s="1"/>
  <c r="L852" i="16" a="1"/>
  <c r="L852" i="16" s="1"/>
  <c r="J853" i="16" a="1"/>
  <c r="J853" i="16" s="1"/>
  <c r="K853" i="16" a="1"/>
  <c r="K853" i="16" s="1"/>
  <c r="L853" i="16" a="1"/>
  <c r="L853" i="16" s="1"/>
  <c r="J854" i="16" a="1"/>
  <c r="J854" i="16" s="1"/>
  <c r="K854" i="16" a="1"/>
  <c r="K854" i="16" s="1"/>
  <c r="L854" i="16" a="1"/>
  <c r="L854" i="16" s="1"/>
  <c r="J855" i="16" a="1"/>
  <c r="J855" i="16" s="1"/>
  <c r="K855" i="16" a="1"/>
  <c r="K855" i="16" s="1"/>
  <c r="L855" i="16" a="1"/>
  <c r="L855" i="16" s="1"/>
  <c r="J856" i="16" a="1"/>
  <c r="J856" i="16" s="1"/>
  <c r="K856" i="16" a="1"/>
  <c r="K856" i="16" s="1"/>
  <c r="L856" i="16" a="1"/>
  <c r="L856" i="16" s="1"/>
  <c r="J857" i="16" a="1"/>
  <c r="J857" i="16" s="1"/>
  <c r="K857" i="16" a="1"/>
  <c r="K857" i="16" s="1"/>
  <c r="L857" i="16" a="1"/>
  <c r="L857" i="16" s="1"/>
  <c r="J858" i="16" a="1"/>
  <c r="J858" i="16" s="1"/>
  <c r="K858" i="16" a="1"/>
  <c r="K858" i="16" s="1"/>
  <c r="L858" i="16" a="1"/>
  <c r="L858" i="16" s="1"/>
  <c r="J859" i="16" a="1"/>
  <c r="J859" i="16" s="1"/>
  <c r="K859" i="16" a="1"/>
  <c r="K859" i="16" s="1"/>
  <c r="L859" i="16" a="1"/>
  <c r="L859" i="16" s="1"/>
  <c r="J860" i="16" a="1"/>
  <c r="J860" i="16" s="1"/>
  <c r="K860" i="16" a="1"/>
  <c r="K860" i="16" s="1"/>
  <c r="L860" i="16" a="1"/>
  <c r="L860" i="16" s="1"/>
  <c r="J861" i="16" a="1"/>
  <c r="J861" i="16" s="1"/>
  <c r="K861" i="16" a="1"/>
  <c r="K861" i="16" s="1"/>
  <c r="L861" i="16" a="1"/>
  <c r="L861" i="16" s="1"/>
  <c r="J862" i="16" a="1"/>
  <c r="J862" i="16" s="1"/>
  <c r="K862" i="16" a="1"/>
  <c r="K862" i="16" s="1"/>
  <c r="L862" i="16" a="1"/>
  <c r="L862" i="16" s="1"/>
  <c r="J863" i="16" a="1"/>
  <c r="J863" i="16" s="1"/>
  <c r="K863" i="16" a="1"/>
  <c r="K863" i="16" s="1"/>
  <c r="L863" i="16" a="1"/>
  <c r="L863" i="16" s="1"/>
  <c r="J864" i="16" a="1"/>
  <c r="J864" i="16" s="1"/>
  <c r="K864" i="16" a="1"/>
  <c r="K864" i="16" s="1"/>
  <c r="L864" i="16" a="1"/>
  <c r="L864" i="16" s="1"/>
  <c r="J865" i="16" a="1"/>
  <c r="J865" i="16" s="1"/>
  <c r="K865" i="16" a="1"/>
  <c r="K865" i="16" s="1"/>
  <c r="L865" i="16" a="1"/>
  <c r="L865" i="16" s="1"/>
  <c r="J866" i="16" a="1"/>
  <c r="J866" i="16" s="1"/>
  <c r="K866" i="16" a="1"/>
  <c r="K866" i="16" s="1"/>
  <c r="L866" i="16" a="1"/>
  <c r="L866" i="16" s="1"/>
  <c r="J867" i="16" a="1"/>
  <c r="J867" i="16" s="1"/>
  <c r="K867" i="16" a="1"/>
  <c r="K867" i="16" s="1"/>
  <c r="L867" i="16" a="1"/>
  <c r="L867" i="16" s="1"/>
  <c r="J868" i="16" a="1"/>
  <c r="J868" i="16" s="1"/>
  <c r="K868" i="16" a="1"/>
  <c r="K868" i="16" s="1"/>
  <c r="L868" i="16" a="1"/>
  <c r="L868" i="16" s="1"/>
  <c r="J869" i="16" a="1"/>
  <c r="J869" i="16" s="1"/>
  <c r="K869" i="16" a="1"/>
  <c r="K869" i="16" s="1"/>
  <c r="L869" i="16" a="1"/>
  <c r="L869" i="16" s="1"/>
  <c r="J870" i="16" a="1"/>
  <c r="J870" i="16" s="1"/>
  <c r="K870" i="16" a="1"/>
  <c r="K870" i="16" s="1"/>
  <c r="L870" i="16" a="1"/>
  <c r="L870" i="16" s="1"/>
  <c r="J871" i="16" a="1"/>
  <c r="J871" i="16" s="1"/>
  <c r="K871" i="16" a="1"/>
  <c r="K871" i="16" s="1"/>
  <c r="L871" i="16" a="1"/>
  <c r="L871" i="16" s="1"/>
  <c r="J872" i="16" a="1"/>
  <c r="J872" i="16" s="1"/>
  <c r="K872" i="16" a="1"/>
  <c r="K872" i="16" s="1"/>
  <c r="L872" i="16" a="1"/>
  <c r="L872" i="16" s="1"/>
  <c r="J873" i="16" a="1"/>
  <c r="J873" i="16" s="1"/>
  <c r="K873" i="16" a="1"/>
  <c r="K873" i="16" s="1"/>
  <c r="L873" i="16" a="1"/>
  <c r="L873" i="16" s="1"/>
  <c r="J874" i="16" a="1"/>
  <c r="J874" i="16" s="1"/>
  <c r="K874" i="16" a="1"/>
  <c r="K874" i="16" s="1"/>
  <c r="L874" i="16" a="1"/>
  <c r="L874" i="16" s="1"/>
  <c r="J875" i="16" a="1"/>
  <c r="J875" i="16" s="1"/>
  <c r="K875" i="16" a="1"/>
  <c r="K875" i="16" s="1"/>
  <c r="L875" i="16" a="1"/>
  <c r="L875" i="16" s="1"/>
  <c r="J876" i="16" a="1"/>
  <c r="J876" i="16" s="1"/>
  <c r="K876" i="16" a="1"/>
  <c r="K876" i="16" s="1"/>
  <c r="L876" i="16" a="1"/>
  <c r="L876" i="16" s="1"/>
  <c r="J877" i="16" a="1"/>
  <c r="J877" i="16" s="1"/>
  <c r="K877" i="16" a="1"/>
  <c r="K877" i="16" s="1"/>
  <c r="L877" i="16" a="1"/>
  <c r="L877" i="16" s="1"/>
  <c r="J878" i="16" a="1"/>
  <c r="J878" i="16" s="1"/>
  <c r="K878" i="16" a="1"/>
  <c r="K878" i="16" s="1"/>
  <c r="L878" i="16" a="1"/>
  <c r="L878" i="16" s="1"/>
  <c r="J879" i="16" a="1"/>
  <c r="J879" i="16" s="1"/>
  <c r="K879" i="16" a="1"/>
  <c r="K879" i="16" s="1"/>
  <c r="L879" i="16" a="1"/>
  <c r="L879" i="16" s="1"/>
  <c r="J880" i="16" a="1"/>
  <c r="J880" i="16" s="1"/>
  <c r="K880" i="16" a="1"/>
  <c r="K880" i="16" s="1"/>
  <c r="L880" i="16" a="1"/>
  <c r="L880" i="16" s="1"/>
  <c r="J881" i="16" a="1"/>
  <c r="J881" i="16" s="1"/>
  <c r="K881" i="16" a="1"/>
  <c r="K881" i="16" s="1"/>
  <c r="L881" i="16" a="1"/>
  <c r="L881" i="16" s="1"/>
  <c r="J882" i="16" a="1"/>
  <c r="J882" i="16" s="1"/>
  <c r="K882" i="16" a="1"/>
  <c r="K882" i="16" s="1"/>
  <c r="L882" i="16" a="1"/>
  <c r="L882" i="16" s="1"/>
  <c r="J883" i="16" a="1"/>
  <c r="J883" i="16" s="1"/>
  <c r="K883" i="16" a="1"/>
  <c r="K883" i="16" s="1"/>
  <c r="L883" i="16" a="1"/>
  <c r="L883" i="16" s="1"/>
  <c r="J884" i="16" a="1"/>
  <c r="J884" i="16" s="1"/>
  <c r="K884" i="16" a="1"/>
  <c r="K884" i="16" s="1"/>
  <c r="L884" i="16" a="1"/>
  <c r="L884" i="16" s="1"/>
  <c r="J885" i="16" a="1"/>
  <c r="J885" i="16" s="1"/>
  <c r="K885" i="16" a="1"/>
  <c r="K885" i="16" s="1"/>
  <c r="L885" i="16" a="1"/>
  <c r="L885" i="16" s="1"/>
  <c r="J886" i="16" a="1"/>
  <c r="J886" i="16" s="1"/>
  <c r="K886" i="16" a="1"/>
  <c r="K886" i="16" s="1"/>
  <c r="L886" i="16" a="1"/>
  <c r="L886" i="16" s="1"/>
  <c r="J887" i="16" a="1"/>
  <c r="J887" i="16" s="1"/>
  <c r="K887" i="16" a="1"/>
  <c r="K887" i="16" s="1"/>
  <c r="L887" i="16" a="1"/>
  <c r="L887" i="16" s="1"/>
  <c r="J888" i="16" a="1"/>
  <c r="J888" i="16" s="1"/>
  <c r="K888" i="16" a="1"/>
  <c r="K888" i="16" s="1"/>
  <c r="L888" i="16" a="1"/>
  <c r="L888" i="16" s="1"/>
  <c r="J889" i="16" a="1"/>
  <c r="J889" i="16" s="1"/>
  <c r="K889" i="16" a="1"/>
  <c r="K889" i="16" s="1"/>
  <c r="L889" i="16" a="1"/>
  <c r="L889" i="16" s="1"/>
  <c r="J890" i="16" a="1"/>
  <c r="J890" i="16" s="1"/>
  <c r="K890" i="16" a="1"/>
  <c r="K890" i="16" s="1"/>
  <c r="L890" i="16" a="1"/>
  <c r="L890" i="16" s="1"/>
  <c r="J891" i="16" a="1"/>
  <c r="J891" i="16" s="1"/>
  <c r="K891" i="16" a="1"/>
  <c r="K891" i="16" s="1"/>
  <c r="L891" i="16" a="1"/>
  <c r="L891" i="16" s="1"/>
  <c r="J892" i="16" a="1"/>
  <c r="J892" i="16" s="1"/>
  <c r="K892" i="16" a="1"/>
  <c r="K892" i="16" s="1"/>
  <c r="L892" i="16" a="1"/>
  <c r="L892" i="16" s="1"/>
  <c r="J893" i="16" a="1"/>
  <c r="J893" i="16" s="1"/>
  <c r="K893" i="16" a="1"/>
  <c r="K893" i="16" s="1"/>
  <c r="L893" i="16" a="1"/>
  <c r="L893" i="16" s="1"/>
  <c r="J894" i="16" a="1"/>
  <c r="J894" i="16" s="1"/>
  <c r="K894" i="16" a="1"/>
  <c r="K894" i="16" s="1"/>
  <c r="L894" i="16" a="1"/>
  <c r="L894" i="16" s="1"/>
  <c r="J895" i="16" a="1"/>
  <c r="J895" i="16" s="1"/>
  <c r="K895" i="16" a="1"/>
  <c r="K895" i="16" s="1"/>
  <c r="L895" i="16" a="1"/>
  <c r="L895" i="16" s="1"/>
  <c r="J896" i="16" a="1"/>
  <c r="J896" i="16" s="1"/>
  <c r="K896" i="16" a="1"/>
  <c r="K896" i="16" s="1"/>
  <c r="L896" i="16" a="1"/>
  <c r="L896" i="16" s="1"/>
  <c r="J897" i="16" a="1"/>
  <c r="J897" i="16" s="1"/>
  <c r="K897" i="16" a="1"/>
  <c r="K897" i="16" s="1"/>
  <c r="L897" i="16" a="1"/>
  <c r="L897" i="16" s="1"/>
  <c r="J898" i="16" a="1"/>
  <c r="J898" i="16" s="1"/>
  <c r="K898" i="16" a="1"/>
  <c r="K898" i="16" s="1"/>
  <c r="L898" i="16" a="1"/>
  <c r="L898" i="16" s="1"/>
  <c r="J899" i="16" a="1"/>
  <c r="J899" i="16" s="1"/>
  <c r="K899" i="16" a="1"/>
  <c r="K899" i="16" s="1"/>
  <c r="L899" i="16" a="1"/>
  <c r="L899" i="16" s="1"/>
  <c r="J900" i="16" a="1"/>
  <c r="J900" i="16" s="1"/>
  <c r="K900" i="16" a="1"/>
  <c r="K900" i="16" s="1"/>
  <c r="L900" i="16" a="1"/>
  <c r="L900" i="16" s="1"/>
  <c r="J901" i="16" a="1"/>
  <c r="J901" i="16" s="1"/>
  <c r="K901" i="16" a="1"/>
  <c r="K901" i="16" s="1"/>
  <c r="L901" i="16" a="1"/>
  <c r="L901" i="16" s="1"/>
  <c r="J902" i="16" a="1"/>
  <c r="J902" i="16" s="1"/>
  <c r="K902" i="16" a="1"/>
  <c r="K902" i="16" s="1"/>
  <c r="L902" i="16" a="1"/>
  <c r="L902" i="16" s="1"/>
  <c r="J903" i="16" a="1"/>
  <c r="J903" i="16" s="1"/>
  <c r="K903" i="16" a="1"/>
  <c r="K903" i="16" s="1"/>
  <c r="L903" i="16" a="1"/>
  <c r="L903" i="16" s="1"/>
  <c r="J904" i="16" a="1"/>
  <c r="J904" i="16" s="1"/>
  <c r="K904" i="16" a="1"/>
  <c r="K904" i="16" s="1"/>
  <c r="L904" i="16" a="1"/>
  <c r="L904" i="16" s="1"/>
  <c r="J905" i="16" a="1"/>
  <c r="J905" i="16" s="1"/>
  <c r="K905" i="16" a="1"/>
  <c r="K905" i="16" s="1"/>
  <c r="L905" i="16" a="1"/>
  <c r="L905" i="16" s="1"/>
  <c r="J906" i="16" a="1"/>
  <c r="J906" i="16" s="1"/>
  <c r="K906" i="16" a="1"/>
  <c r="K906" i="16" s="1"/>
  <c r="L906" i="16" a="1"/>
  <c r="L906" i="16" s="1"/>
  <c r="J907" i="16" a="1"/>
  <c r="J907" i="16" s="1"/>
  <c r="K907" i="16" a="1"/>
  <c r="K907" i="16" s="1"/>
  <c r="L907" i="16" a="1"/>
  <c r="L907" i="16" s="1"/>
  <c r="J908" i="16" a="1"/>
  <c r="J908" i="16" s="1"/>
  <c r="K908" i="16" a="1"/>
  <c r="K908" i="16" s="1"/>
  <c r="L908" i="16" a="1"/>
  <c r="L908" i="16" s="1"/>
  <c r="J909" i="16" a="1"/>
  <c r="J909" i="16" s="1"/>
  <c r="K909" i="16" a="1"/>
  <c r="K909" i="16" s="1"/>
  <c r="L909" i="16" a="1"/>
  <c r="L909" i="16" s="1"/>
  <c r="J910" i="16" a="1"/>
  <c r="J910" i="16" s="1"/>
  <c r="K910" i="16" a="1"/>
  <c r="K910" i="16" s="1"/>
  <c r="L910" i="16" a="1"/>
  <c r="L910" i="16" s="1"/>
  <c r="J911" i="16" a="1"/>
  <c r="J911" i="16" s="1"/>
  <c r="K911" i="16" a="1"/>
  <c r="K911" i="16" s="1"/>
  <c r="L911" i="16" a="1"/>
  <c r="L911" i="16" s="1"/>
  <c r="J912" i="16" a="1"/>
  <c r="J912" i="16" s="1"/>
  <c r="K912" i="16" a="1"/>
  <c r="K912" i="16" s="1"/>
  <c r="L912" i="16" a="1"/>
  <c r="L912" i="16" s="1"/>
  <c r="J913" i="16" a="1"/>
  <c r="J913" i="16" s="1"/>
  <c r="K913" i="16" a="1"/>
  <c r="K913" i="16" s="1"/>
  <c r="L913" i="16" a="1"/>
  <c r="L913" i="16" s="1"/>
  <c r="J914" i="16" a="1"/>
  <c r="J914" i="16" s="1"/>
  <c r="K914" i="16" a="1"/>
  <c r="K914" i="16" s="1"/>
  <c r="L914" i="16" a="1"/>
  <c r="L914" i="16" s="1"/>
  <c r="J915" i="16" a="1"/>
  <c r="J915" i="16" s="1"/>
  <c r="K915" i="16" a="1"/>
  <c r="K915" i="16" s="1"/>
  <c r="L915" i="16" a="1"/>
  <c r="L915" i="16" s="1"/>
  <c r="J916" i="16" a="1"/>
  <c r="J916" i="16" s="1"/>
  <c r="K916" i="16" a="1"/>
  <c r="K916" i="16" s="1"/>
  <c r="L916" i="16" a="1"/>
  <c r="L916" i="16" s="1"/>
  <c r="J917" i="16" a="1"/>
  <c r="J917" i="16" s="1"/>
  <c r="K917" i="16" a="1"/>
  <c r="K917" i="16" s="1"/>
  <c r="L917" i="16" a="1"/>
  <c r="L917" i="16" s="1"/>
  <c r="J918" i="16" a="1"/>
  <c r="J918" i="16" s="1"/>
  <c r="K918" i="16" a="1"/>
  <c r="K918" i="16" s="1"/>
  <c r="L918" i="16" a="1"/>
  <c r="L918" i="16" s="1"/>
  <c r="J919" i="16" a="1"/>
  <c r="J919" i="16" s="1"/>
  <c r="K919" i="16" a="1"/>
  <c r="K919" i="16" s="1"/>
  <c r="L919" i="16" a="1"/>
  <c r="L919" i="16" s="1"/>
  <c r="J920" i="16" a="1"/>
  <c r="J920" i="16" s="1"/>
  <c r="K920" i="16" a="1"/>
  <c r="K920" i="16" s="1"/>
  <c r="L920" i="16" a="1"/>
  <c r="L920" i="16" s="1"/>
  <c r="J921" i="16" a="1"/>
  <c r="J921" i="16" s="1"/>
  <c r="K921" i="16" a="1"/>
  <c r="K921" i="16" s="1"/>
  <c r="L921" i="16" a="1"/>
  <c r="L921" i="16" s="1"/>
  <c r="J922" i="16" a="1"/>
  <c r="J922" i="16" s="1"/>
  <c r="K922" i="16" a="1"/>
  <c r="K922" i="16" s="1"/>
  <c r="L922" i="16" a="1"/>
  <c r="L922" i="16" s="1"/>
  <c r="J923" i="16" a="1"/>
  <c r="J923" i="16" s="1"/>
  <c r="K923" i="16" a="1"/>
  <c r="K923" i="16" s="1"/>
  <c r="L923" i="16" a="1"/>
  <c r="L923" i="16" s="1"/>
  <c r="J924" i="16" a="1"/>
  <c r="J924" i="16" s="1"/>
  <c r="K924" i="16" a="1"/>
  <c r="K924" i="16" s="1"/>
  <c r="L924" i="16" a="1"/>
  <c r="L924" i="16" s="1"/>
  <c r="J925" i="16" a="1"/>
  <c r="J925" i="16" s="1"/>
  <c r="K925" i="16" a="1"/>
  <c r="K925" i="16" s="1"/>
  <c r="L925" i="16" a="1"/>
  <c r="L925" i="16" s="1"/>
  <c r="J926" i="16" a="1"/>
  <c r="J926" i="16" s="1"/>
  <c r="K926" i="16" a="1"/>
  <c r="K926" i="16" s="1"/>
  <c r="L926" i="16" a="1"/>
  <c r="L926" i="16" s="1"/>
  <c r="J927" i="16" a="1"/>
  <c r="J927" i="16" s="1"/>
  <c r="K927" i="16" a="1"/>
  <c r="K927" i="16" s="1"/>
  <c r="L927" i="16" a="1"/>
  <c r="L927" i="16" s="1"/>
  <c r="J928" i="16" a="1"/>
  <c r="J928" i="16" s="1"/>
  <c r="K928" i="16" a="1"/>
  <c r="K928" i="16" s="1"/>
  <c r="L928" i="16" a="1"/>
  <c r="L928" i="16" s="1"/>
  <c r="J929" i="16" a="1"/>
  <c r="J929" i="16" s="1"/>
  <c r="K929" i="16" a="1"/>
  <c r="K929" i="16" s="1"/>
  <c r="L929" i="16" a="1"/>
  <c r="L929" i="16" s="1"/>
  <c r="J930" i="16" a="1"/>
  <c r="J930" i="16" s="1"/>
  <c r="K930" i="16" a="1"/>
  <c r="K930" i="16" s="1"/>
  <c r="L930" i="16" a="1"/>
  <c r="L930" i="16" s="1"/>
  <c r="J931" i="16" a="1"/>
  <c r="J931" i="16" s="1"/>
  <c r="K931" i="16" a="1"/>
  <c r="K931" i="16" s="1"/>
  <c r="L931" i="16" a="1"/>
  <c r="L931" i="16" s="1"/>
  <c r="J932" i="16" a="1"/>
  <c r="J932" i="16" s="1"/>
  <c r="K932" i="16" a="1"/>
  <c r="K932" i="16" s="1"/>
  <c r="L932" i="16" a="1"/>
  <c r="L932" i="16" s="1"/>
  <c r="J933" i="16" a="1"/>
  <c r="J933" i="16" s="1"/>
  <c r="K933" i="16" a="1"/>
  <c r="K933" i="16" s="1"/>
  <c r="L933" i="16" a="1"/>
  <c r="L933" i="16" s="1"/>
  <c r="J934" i="16" a="1"/>
  <c r="J934" i="16" s="1"/>
  <c r="K934" i="16" a="1"/>
  <c r="K934" i="16" s="1"/>
  <c r="L934" i="16" a="1"/>
  <c r="L934" i="16" s="1"/>
  <c r="J935" i="16" a="1"/>
  <c r="J935" i="16" s="1"/>
  <c r="K935" i="16" a="1"/>
  <c r="K935" i="16" s="1"/>
  <c r="L935" i="16" a="1"/>
  <c r="L935" i="16" s="1"/>
  <c r="J936" i="16" a="1"/>
  <c r="J936" i="16" s="1"/>
  <c r="K936" i="16" a="1"/>
  <c r="K936" i="16" s="1"/>
  <c r="L936" i="16" a="1"/>
  <c r="L936" i="16" s="1"/>
  <c r="J937" i="16" a="1"/>
  <c r="J937" i="16" s="1"/>
  <c r="K937" i="16" a="1"/>
  <c r="K937" i="16" s="1"/>
  <c r="L937" i="16" a="1"/>
  <c r="L937" i="16"/>
  <c r="J938" i="16" a="1"/>
  <c r="J938" i="16" s="1"/>
  <c r="K938" i="16" a="1"/>
  <c r="K938" i="16"/>
  <c r="L938" i="16" a="1"/>
  <c r="L938" i="16"/>
  <c r="J939" i="16" a="1"/>
  <c r="J939" i="16" s="1"/>
  <c r="K939" i="16" a="1"/>
  <c r="K939" i="16" s="1"/>
  <c r="L939" i="16" a="1"/>
  <c r="L939" i="16" s="1"/>
  <c r="J940" i="16" a="1"/>
  <c r="J940" i="16" s="1"/>
  <c r="K940" i="16" a="1"/>
  <c r="K940" i="16" s="1"/>
  <c r="L940" i="16" a="1"/>
  <c r="L940" i="16" s="1"/>
  <c r="J941" i="16" a="1"/>
  <c r="J941" i="16"/>
  <c r="K941" i="16" a="1"/>
  <c r="K941" i="16"/>
  <c r="L941" i="16" a="1"/>
  <c r="L941" i="16" s="1"/>
  <c r="J942" i="16" a="1"/>
  <c r="J942" i="16" s="1"/>
  <c r="K942" i="16" a="1"/>
  <c r="K942" i="16" s="1"/>
  <c r="L942" i="16" a="1"/>
  <c r="L942" i="16" s="1"/>
  <c r="J943" i="16" a="1"/>
  <c r="J943" i="16" s="1"/>
  <c r="K943" i="16" a="1"/>
  <c r="K943" i="16" s="1"/>
  <c r="L943" i="16" a="1"/>
  <c r="L943" i="16" s="1"/>
  <c r="J944" i="16" a="1"/>
  <c r="J944" i="16" s="1"/>
  <c r="K944" i="16" a="1"/>
  <c r="K944" i="16" s="1"/>
  <c r="L944" i="16" a="1"/>
  <c r="L944" i="16" s="1"/>
  <c r="J945" i="16" a="1"/>
  <c r="J945" i="16" s="1"/>
  <c r="K945" i="16" a="1"/>
  <c r="K945" i="16" s="1"/>
  <c r="L945" i="16" a="1"/>
  <c r="L945" i="16" s="1"/>
  <c r="J946" i="16" a="1"/>
  <c r="J946" i="16" s="1"/>
  <c r="K946" i="16" a="1"/>
  <c r="K946" i="16" s="1"/>
  <c r="L946" i="16" a="1"/>
  <c r="L946" i="16" s="1"/>
  <c r="J947" i="16" a="1"/>
  <c r="J947" i="16" s="1"/>
  <c r="K947" i="16" a="1"/>
  <c r="K947" i="16" s="1"/>
  <c r="L947" i="16" a="1"/>
  <c r="L947" i="16" s="1"/>
  <c r="J948" i="16" a="1"/>
  <c r="J948" i="16"/>
  <c r="K948" i="16" a="1"/>
  <c r="K948" i="16" s="1"/>
  <c r="L948" i="16" a="1"/>
  <c r="L948" i="16"/>
  <c r="J949" i="16" a="1"/>
  <c r="J949" i="16" s="1"/>
  <c r="K949" i="16" a="1"/>
  <c r="K949" i="16" s="1"/>
  <c r="L949" i="16" a="1"/>
  <c r="L949" i="16" s="1"/>
  <c r="J950" i="16" a="1"/>
  <c r="J950" i="16" s="1"/>
  <c r="K950" i="16" a="1"/>
  <c r="K950" i="16" s="1"/>
  <c r="L950" i="16" a="1"/>
  <c r="L950" i="16" s="1"/>
  <c r="J951" i="16" a="1"/>
  <c r="J951" i="16" s="1"/>
  <c r="K951" i="16" a="1"/>
  <c r="K951" i="16"/>
  <c r="L951" i="16" a="1"/>
  <c r="L951" i="16" s="1"/>
  <c r="J952" i="16" a="1"/>
  <c r="J952" i="16" s="1"/>
  <c r="K952" i="16" a="1"/>
  <c r="K952" i="16" s="1"/>
  <c r="L952" i="16" a="1"/>
  <c r="L952" i="16" s="1"/>
  <c r="J953" i="16" a="1"/>
  <c r="J953" i="16" s="1"/>
  <c r="K953" i="16" a="1"/>
  <c r="K953" i="16" s="1"/>
  <c r="L953" i="16" a="1"/>
  <c r="L953" i="16" s="1"/>
  <c r="J954" i="16" a="1"/>
  <c r="J954" i="16" s="1"/>
  <c r="K954" i="16" a="1"/>
  <c r="K954" i="16"/>
  <c r="L954" i="16" a="1"/>
  <c r="L954" i="16" s="1"/>
  <c r="J955" i="16" a="1"/>
  <c r="J955" i="16" s="1"/>
  <c r="K955" i="16" a="1"/>
  <c r="K955" i="16" s="1"/>
  <c r="L955" i="16" a="1"/>
  <c r="L955" i="16" s="1"/>
  <c r="J956" i="16" a="1"/>
  <c r="J956" i="16" s="1"/>
  <c r="K956" i="16" a="1"/>
  <c r="K956" i="16" s="1"/>
  <c r="L956" i="16" a="1"/>
  <c r="L956" i="16" s="1"/>
  <c r="J957" i="16" a="1"/>
  <c r="J957" i="16" s="1"/>
  <c r="K957" i="16" a="1"/>
  <c r="K957" i="16" s="1"/>
  <c r="L957" i="16" a="1"/>
  <c r="L957" i="16" s="1"/>
  <c r="J958" i="16" a="1"/>
  <c r="J958" i="16" s="1"/>
  <c r="K958" i="16" a="1"/>
  <c r="K958" i="16" s="1"/>
  <c r="L958" i="16" a="1"/>
  <c r="L958" i="16"/>
  <c r="J959" i="16" a="1"/>
  <c r="J959" i="16" s="1"/>
  <c r="K959" i="16" a="1"/>
  <c r="K959" i="16" s="1"/>
  <c r="L959" i="16" a="1"/>
  <c r="L959" i="16" s="1"/>
  <c r="J960" i="16" a="1"/>
  <c r="J960" i="16" s="1"/>
  <c r="K960" i="16" a="1"/>
  <c r="K960" i="16" s="1"/>
  <c r="L960" i="16" a="1"/>
  <c r="L960" i="16" s="1"/>
  <c r="J961" i="16" a="1"/>
  <c r="J961" i="16" s="1"/>
  <c r="K961" i="16" a="1"/>
  <c r="K961" i="16"/>
  <c r="L961" i="16" a="1"/>
  <c r="L961" i="16" s="1"/>
  <c r="J962" i="16" a="1"/>
  <c r="J962" i="16"/>
  <c r="K962" i="16" a="1"/>
  <c r="K962" i="16" s="1"/>
  <c r="L962" i="16" a="1"/>
  <c r="L962" i="16" s="1"/>
  <c r="J963" i="16" a="1"/>
  <c r="J963" i="16" s="1"/>
  <c r="K963" i="16" a="1"/>
  <c r="K963" i="16" s="1"/>
  <c r="L963" i="16" a="1"/>
  <c r="L963" i="16" s="1"/>
  <c r="J964" i="16" a="1"/>
  <c r="J964" i="16" s="1"/>
  <c r="K964" i="16" a="1"/>
  <c r="K964" i="16" s="1"/>
  <c r="L964" i="16" a="1"/>
  <c r="L964" i="16" s="1"/>
  <c r="J965" i="16" a="1"/>
  <c r="J965" i="16" s="1"/>
  <c r="K965" i="16" a="1"/>
  <c r="K965" i="16" s="1"/>
  <c r="L965" i="16" a="1"/>
  <c r="L965" i="16" s="1"/>
  <c r="J966" i="16" a="1"/>
  <c r="J966" i="16" s="1"/>
  <c r="K966" i="16" a="1"/>
  <c r="K966" i="16"/>
  <c r="L966" i="16" a="1"/>
  <c r="L966" i="16"/>
  <c r="J967" i="16" a="1"/>
  <c r="J967" i="16"/>
  <c r="K967" i="16" a="1"/>
  <c r="K967" i="16" s="1"/>
  <c r="L967" i="16" a="1"/>
  <c r="L967" i="16" s="1"/>
  <c r="J968" i="16" a="1"/>
  <c r="J968" i="16"/>
  <c r="K968" i="16" a="1"/>
  <c r="K968" i="16" s="1"/>
  <c r="L968" i="16" a="1"/>
  <c r="L968" i="16" s="1"/>
  <c r="J969" i="16" a="1"/>
  <c r="J969" i="16" s="1"/>
  <c r="K969" i="16" a="1"/>
  <c r="K969" i="16" s="1"/>
  <c r="L969" i="16" a="1"/>
  <c r="L969" i="16" s="1"/>
  <c r="J970" i="16" a="1"/>
  <c r="J970" i="16"/>
  <c r="K970" i="16" a="1"/>
  <c r="K970" i="16"/>
  <c r="L970" i="16" a="1"/>
  <c r="L970" i="16"/>
  <c r="J971" i="16" a="1"/>
  <c r="J971" i="16" s="1"/>
  <c r="K971" i="16" a="1"/>
  <c r="K971" i="16" s="1"/>
  <c r="L971" i="16" a="1"/>
  <c r="L971" i="16"/>
  <c r="J972" i="16" a="1"/>
  <c r="J972" i="16" s="1"/>
  <c r="K972" i="16" a="1"/>
  <c r="K972" i="16" s="1"/>
  <c r="L972" i="16" a="1"/>
  <c r="L972" i="16" s="1"/>
  <c r="J973" i="16" a="1"/>
  <c r="J973" i="16" s="1"/>
  <c r="K973" i="16" a="1"/>
  <c r="K973" i="16" s="1"/>
  <c r="L973" i="16" a="1"/>
  <c r="L973" i="16"/>
  <c r="J974" i="16" a="1"/>
  <c r="J974" i="16"/>
  <c r="K974" i="16" a="1"/>
  <c r="K974" i="16" s="1"/>
  <c r="L974" i="16" a="1"/>
  <c r="L974" i="16" s="1"/>
  <c r="J975" i="16" a="1"/>
  <c r="J975" i="16" s="1"/>
  <c r="K975" i="16" a="1"/>
  <c r="K975" i="16"/>
  <c r="L975" i="16" a="1"/>
  <c r="L975" i="16" s="1"/>
  <c r="J976" i="16" a="1"/>
  <c r="J976" i="16" s="1"/>
  <c r="K976" i="16" a="1"/>
  <c r="K976" i="16"/>
  <c r="L976" i="16" a="1"/>
  <c r="L976" i="16" s="1"/>
  <c r="J977" i="16" a="1"/>
  <c r="J977" i="16" s="1"/>
  <c r="K977" i="16" a="1"/>
  <c r="K977" i="16"/>
  <c r="L977" i="16" a="1"/>
  <c r="L977" i="16" s="1"/>
  <c r="J978" i="16" a="1"/>
  <c r="J978" i="16" s="1"/>
  <c r="K978" i="16" a="1"/>
  <c r="K978" i="16" s="1"/>
  <c r="L978" i="16" a="1"/>
  <c r="L978" i="16" s="1"/>
  <c r="J979" i="16" a="1"/>
  <c r="J979" i="16"/>
  <c r="K979" i="16" a="1"/>
  <c r="K979" i="16" s="1"/>
  <c r="L979" i="16" a="1"/>
  <c r="L979" i="16"/>
  <c r="J980" i="16" a="1"/>
  <c r="J980" i="16"/>
  <c r="K980" i="16" a="1"/>
  <c r="K980" i="16" s="1"/>
  <c r="L980" i="16" a="1"/>
  <c r="L980" i="16" s="1"/>
  <c r="J981" i="16" a="1"/>
  <c r="J981" i="16" s="1"/>
  <c r="K981" i="16" a="1"/>
  <c r="K981" i="16" s="1"/>
  <c r="L981" i="16" a="1"/>
  <c r="L981" i="16" s="1"/>
  <c r="J982" i="16" a="1"/>
  <c r="J982" i="16" s="1"/>
  <c r="K982" i="16" a="1"/>
  <c r="K982" i="16" s="1"/>
  <c r="L982" i="16" a="1"/>
  <c r="L982" i="16" s="1"/>
  <c r="J983" i="16" a="1"/>
  <c r="J983" i="16"/>
  <c r="K983" i="16" a="1"/>
  <c r="K983" i="16"/>
  <c r="L983" i="16" a="1"/>
  <c r="L983" i="16"/>
  <c r="J984" i="16" a="1"/>
  <c r="J984" i="16" s="1"/>
  <c r="K984" i="16" a="1"/>
  <c r="K984" i="16" s="1"/>
  <c r="L984" i="16" a="1"/>
  <c r="L984" i="16"/>
  <c r="J985" i="16" a="1"/>
  <c r="J985" i="16" s="1"/>
  <c r="K985" i="16" a="1"/>
  <c r="K985" i="16" s="1"/>
  <c r="L985" i="16" a="1"/>
  <c r="L985" i="16" s="1"/>
  <c r="J986" i="16" a="1"/>
  <c r="J986" i="16" s="1"/>
  <c r="K986" i="16" a="1"/>
  <c r="K986" i="16" s="1"/>
  <c r="L986" i="16" a="1"/>
  <c r="L986" i="16"/>
  <c r="J987" i="16" a="1"/>
  <c r="J987" i="16"/>
  <c r="K987" i="16" a="1"/>
  <c r="K987" i="16"/>
  <c r="L987" i="16" a="1"/>
  <c r="L987" i="16" s="1"/>
  <c r="J988" i="16" a="1"/>
  <c r="J988" i="16" s="1"/>
  <c r="K988" i="16" a="1"/>
  <c r="K988" i="16"/>
  <c r="L988" i="16" a="1"/>
  <c r="L988" i="16" s="1"/>
  <c r="J989" i="16" a="1"/>
  <c r="J989" i="16" s="1"/>
  <c r="K989" i="16" a="1"/>
  <c r="K989" i="16" s="1"/>
  <c r="L989" i="16" a="1"/>
  <c r="L989" i="16" s="1"/>
  <c r="J990" i="16" a="1"/>
  <c r="J990" i="16" s="1"/>
  <c r="K990" i="16" a="1"/>
  <c r="K990" i="16"/>
  <c r="L990" i="16" a="1"/>
  <c r="L990" i="16"/>
  <c r="J991" i="16" a="1"/>
  <c r="J991" i="16" s="1"/>
  <c r="K991" i="16" a="1"/>
  <c r="K991" i="16" s="1"/>
  <c r="L991" i="16" a="1"/>
  <c r="L991" i="16" s="1"/>
  <c r="J992" i="16" a="1"/>
  <c r="J992" i="16"/>
  <c r="K992" i="16" a="1"/>
  <c r="K992" i="16" s="1"/>
  <c r="L992" i="16" a="1"/>
  <c r="L992" i="16" s="1"/>
  <c r="J993" i="16" a="1"/>
  <c r="J993" i="16"/>
  <c r="K993" i="16" a="1"/>
  <c r="K993" i="16" s="1"/>
  <c r="L993" i="16" a="1"/>
  <c r="L993" i="16" s="1"/>
  <c r="J994" i="16" a="1"/>
  <c r="J994" i="16"/>
  <c r="K994" i="16" a="1"/>
  <c r="K994" i="16" s="1"/>
  <c r="L994" i="16" a="1"/>
  <c r="L994" i="16" s="1"/>
  <c r="J995" i="16" a="1"/>
  <c r="J995" i="16" s="1"/>
  <c r="K995" i="16" a="1"/>
  <c r="K995" i="16" s="1"/>
  <c r="L995" i="16" a="1"/>
  <c r="L995" i="16"/>
  <c r="J996" i="16" a="1"/>
  <c r="J996" i="16" s="1"/>
  <c r="K996" i="16" a="1"/>
  <c r="K996" i="16"/>
  <c r="L996" i="16" a="1"/>
  <c r="L996" i="16"/>
  <c r="J997" i="16" a="1"/>
  <c r="J997" i="16" s="1"/>
  <c r="K997" i="16" a="1"/>
  <c r="K997" i="16" s="1"/>
  <c r="L997" i="16" a="1"/>
  <c r="L997" i="16" s="1"/>
  <c r="J998" i="16" a="1"/>
  <c r="J998" i="16" s="1"/>
  <c r="K998" i="16" a="1"/>
  <c r="K998" i="16" s="1"/>
  <c r="L998" i="16" a="1"/>
  <c r="L998" i="16" s="1"/>
  <c r="J999" i="16" a="1"/>
  <c r="J999" i="16" s="1"/>
  <c r="K999" i="16" a="1"/>
  <c r="K999" i="16" s="1"/>
  <c r="L999" i="16" a="1"/>
  <c r="L999" i="16"/>
  <c r="J1000" i="16" a="1"/>
  <c r="J1000" i="16"/>
  <c r="K1000" i="16" a="1"/>
  <c r="K1000" i="16"/>
  <c r="L1000" i="16" a="1"/>
  <c r="L1000" i="16" s="1"/>
  <c r="J1001" i="16" a="1"/>
  <c r="J1001" i="16" s="1"/>
  <c r="K1001" i="16" a="1"/>
  <c r="K1001" i="16"/>
  <c r="L1001" i="16" a="1"/>
  <c r="L1001" i="16" s="1"/>
  <c r="J1002" i="16" a="1"/>
  <c r="J1002" i="16" s="1"/>
  <c r="K1002" i="16" a="1"/>
  <c r="K1002" i="16" s="1"/>
  <c r="L1002" i="16" a="1"/>
  <c r="L1002" i="16" s="1"/>
  <c r="J1003" i="16" a="1"/>
  <c r="J1003" i="16" s="1"/>
  <c r="K1003" i="16" a="1"/>
  <c r="K1003" i="16"/>
  <c r="L1003" i="16" a="1"/>
  <c r="L1003" i="16"/>
  <c r="J1004" i="16" a="1"/>
  <c r="J1004" i="16"/>
  <c r="K1004" i="16" a="1"/>
  <c r="K1004" i="16" s="1"/>
  <c r="L1004" i="16" a="1"/>
  <c r="L1004" i="16" s="1"/>
  <c r="J1005" i="16" a="1"/>
  <c r="J1005" i="16"/>
  <c r="K1005" i="16" a="1"/>
  <c r="K1005" i="16" s="1"/>
  <c r="L1005" i="16" a="1"/>
  <c r="L1005" i="16" s="1"/>
  <c r="J1006" i="16" a="1"/>
  <c r="J1006" i="16" s="1"/>
  <c r="K1006" i="16" a="1"/>
  <c r="K1006" i="16" s="1"/>
  <c r="L1006" i="16" a="1"/>
  <c r="L1006" i="16" s="1"/>
  <c r="J1007" i="16" a="1"/>
  <c r="J1007" i="16"/>
  <c r="K1007" i="16" a="1"/>
  <c r="K1007" i="16"/>
  <c r="L1007" i="16" a="1"/>
  <c r="L1007" i="16" s="1"/>
  <c r="J1008" i="16" a="1"/>
  <c r="J1008" i="16" s="1"/>
  <c r="K1008" i="16" a="1"/>
  <c r="K1008" i="16" s="1"/>
  <c r="L1008" i="16" a="1"/>
  <c r="L1008" i="16" s="1"/>
  <c r="J1009" i="16" a="1"/>
  <c r="J1009" i="16"/>
  <c r="K1009" i="16" a="1"/>
  <c r="K1009" i="16" s="1"/>
  <c r="L1009" i="16" a="1"/>
  <c r="L1009" i="16" s="1"/>
  <c r="J1010" i="16" a="1"/>
  <c r="J1010" i="16" s="1"/>
  <c r="K1010" i="16" a="1"/>
  <c r="K1010" i="16" s="1"/>
  <c r="L1010" i="16" a="1"/>
  <c r="L1010" i="16" s="1"/>
  <c r="J1011" i="16" a="1"/>
  <c r="J1011" i="16" s="1"/>
  <c r="K1011" i="16" a="1"/>
  <c r="K1011" i="16" s="1"/>
  <c r="L1011" i="16" a="1"/>
  <c r="L1011" i="16" s="1"/>
  <c r="J1012" i="16" a="1"/>
  <c r="J1012" i="16" s="1"/>
  <c r="K1012" i="16" a="1"/>
  <c r="K1012" i="16" s="1"/>
  <c r="L1012" i="16" a="1"/>
  <c r="L1012" i="16" s="1"/>
  <c r="J1013" i="16" a="1"/>
  <c r="J1013" i="16" s="1"/>
  <c r="K1013" i="16" a="1"/>
  <c r="K1013" i="16"/>
  <c r="L1013" i="16" a="1"/>
  <c r="L1013" i="16" s="1"/>
  <c r="J1014" i="16" a="1"/>
  <c r="J1014" i="16" s="1"/>
  <c r="K1014" i="16" a="1"/>
  <c r="K1014" i="16" s="1"/>
  <c r="L1014" i="16" a="1"/>
  <c r="L1014" i="16" s="1"/>
  <c r="J1015" i="16" a="1"/>
  <c r="J1015" i="16" s="1"/>
  <c r="K1015" i="16" a="1"/>
  <c r="K1015" i="16" s="1"/>
  <c r="L1015" i="16" a="1"/>
  <c r="L1015" i="16"/>
  <c r="J17" i="16" a="1"/>
  <c r="J17" i="16" s="1"/>
  <c r="K17" i="16" a="1"/>
  <c r="K17" i="16" s="1"/>
  <c r="L17" i="16" a="1"/>
  <c r="L17" i="16" s="1"/>
  <c r="J18" i="16" a="1"/>
  <c r="J18" i="16" s="1"/>
  <c r="K18" i="16" a="1"/>
  <c r="K18" i="16" s="1"/>
  <c r="L18" i="16" a="1"/>
  <c r="L18" i="16" s="1"/>
  <c r="J19" i="16" a="1"/>
  <c r="J19" i="16" s="1"/>
  <c r="K19" i="16" a="1"/>
  <c r="K19" i="16" s="1"/>
  <c r="L19" i="16" a="1"/>
  <c r="L19" i="16" s="1"/>
  <c r="J20" i="16" a="1"/>
  <c r="J20" i="16" s="1"/>
  <c r="K20" i="16" a="1"/>
  <c r="K20" i="16" s="1"/>
  <c r="L20" i="16" a="1"/>
  <c r="L20" i="16" s="1"/>
  <c r="J21" i="16" a="1"/>
  <c r="J21" i="16" s="1"/>
  <c r="K21" i="16" a="1"/>
  <c r="K21" i="16" s="1"/>
  <c r="L21" i="16" a="1"/>
  <c r="L21" i="16" s="1"/>
  <c r="J22" i="16" a="1"/>
  <c r="J22" i="16" s="1"/>
  <c r="K22" i="16" a="1"/>
  <c r="K22" i="16" s="1"/>
  <c r="L22" i="16" a="1"/>
  <c r="L22" i="16" s="1"/>
  <c r="J23" i="16" a="1"/>
  <c r="J23" i="16" s="1"/>
  <c r="K23" i="16" a="1"/>
  <c r="K23" i="16" s="1"/>
  <c r="L23" i="16" a="1"/>
  <c r="L23" i="16" s="1"/>
  <c r="J24" i="16" a="1"/>
  <c r="J24" i="16" s="1"/>
  <c r="K24" i="16" a="1"/>
  <c r="K24" i="16" s="1"/>
  <c r="L24" i="16" a="1"/>
  <c r="L24" i="16" s="1"/>
  <c r="J25" i="16" a="1"/>
  <c r="J25" i="16" s="1"/>
  <c r="K25" i="16" a="1"/>
  <c r="K25" i="16" s="1"/>
  <c r="L25" i="16" a="1"/>
  <c r="L25" i="16" s="1"/>
  <c r="J26" i="16" a="1"/>
  <c r="J26" i="16" s="1"/>
  <c r="K26" i="16" a="1"/>
  <c r="K26" i="16" s="1"/>
  <c r="L26" i="16" a="1"/>
  <c r="L26" i="16" s="1"/>
  <c r="J27" i="16" a="1"/>
  <c r="J27" i="16" s="1"/>
  <c r="K27" i="16" a="1"/>
  <c r="K27" i="16" s="1"/>
  <c r="L27" i="16" a="1"/>
  <c r="L27" i="16" s="1"/>
  <c r="J28" i="16" a="1"/>
  <c r="J28" i="16" s="1"/>
  <c r="K28" i="16" a="1"/>
  <c r="K28" i="16" s="1"/>
  <c r="L28" i="16" a="1"/>
  <c r="L28" i="16" s="1"/>
  <c r="J29" i="16" a="1"/>
  <c r="J29" i="16" s="1"/>
  <c r="K29" i="16" a="1"/>
  <c r="K29" i="16" s="1"/>
  <c r="L29" i="16" a="1"/>
  <c r="L29" i="16" s="1"/>
  <c r="J30" i="16" a="1"/>
  <c r="J30" i="16" s="1"/>
  <c r="K30" i="16" a="1"/>
  <c r="K30" i="16" s="1"/>
  <c r="L30" i="16" a="1"/>
  <c r="L30" i="16" s="1"/>
  <c r="J31" i="16" a="1"/>
  <c r="J31" i="16" s="1"/>
  <c r="K31" i="16" a="1"/>
  <c r="K31" i="16" s="1"/>
  <c r="L31" i="16" a="1"/>
  <c r="L31" i="16" s="1"/>
  <c r="J32" i="16" a="1"/>
  <c r="J32" i="16" s="1"/>
  <c r="K32" i="16" a="1"/>
  <c r="K32" i="16" s="1"/>
  <c r="L32" i="16" a="1"/>
  <c r="L32" i="16" s="1"/>
  <c r="J33" i="16" a="1"/>
  <c r="J33" i="16" s="1"/>
  <c r="K33" i="16" a="1"/>
  <c r="K33" i="16" s="1"/>
  <c r="L33" i="16" a="1"/>
  <c r="L33" i="16" s="1"/>
  <c r="J34" i="16" a="1"/>
  <c r="J34" i="16" s="1"/>
  <c r="K34" i="16" a="1"/>
  <c r="K34" i="16" s="1"/>
  <c r="L34" i="16" a="1"/>
  <c r="L34" i="16" s="1"/>
  <c r="J35" i="16" a="1"/>
  <c r="J35" i="16" s="1"/>
  <c r="K35" i="16" a="1"/>
  <c r="K35" i="16" s="1"/>
  <c r="L35" i="16" a="1"/>
  <c r="L35" i="16" s="1"/>
  <c r="J36" i="16" a="1"/>
  <c r="J36" i="16" s="1"/>
  <c r="K36" i="16" a="1"/>
  <c r="K36" i="16" s="1"/>
  <c r="L36" i="16" a="1"/>
  <c r="L36" i="16" s="1"/>
  <c r="J37" i="16" a="1"/>
  <c r="J37" i="16" s="1"/>
  <c r="K37" i="16" a="1"/>
  <c r="K37" i="16" s="1"/>
  <c r="L37" i="16" a="1"/>
  <c r="L37" i="16" s="1"/>
  <c r="J38" i="16" a="1"/>
  <c r="J38" i="16" s="1"/>
  <c r="K38" i="16" a="1"/>
  <c r="K38" i="16" s="1"/>
  <c r="L38" i="16" a="1"/>
  <c r="L38" i="16" s="1"/>
  <c r="J39" i="16" a="1"/>
  <c r="J39" i="16" s="1"/>
  <c r="K39" i="16" a="1"/>
  <c r="K39" i="16" s="1"/>
  <c r="L39" i="16" a="1"/>
  <c r="L39" i="16" s="1"/>
  <c r="J40" i="16" a="1"/>
  <c r="J40" i="16" s="1"/>
  <c r="K40" i="16" a="1"/>
  <c r="K40" i="16" s="1"/>
  <c r="L40" i="16" a="1"/>
  <c r="L40" i="16" s="1"/>
  <c r="J41" i="16" a="1"/>
  <c r="J41" i="16" s="1"/>
  <c r="K41" i="16" a="1"/>
  <c r="K41" i="16" s="1"/>
  <c r="L41" i="16" a="1"/>
  <c r="L41" i="16" s="1"/>
  <c r="J42" i="16" a="1"/>
  <c r="J42" i="16" s="1"/>
  <c r="K42" i="16" a="1"/>
  <c r="K42" i="16" s="1"/>
  <c r="L42" i="16" a="1"/>
  <c r="L42" i="16" s="1"/>
  <c r="J43" i="16" a="1"/>
  <c r="J43" i="16" s="1"/>
  <c r="K43" i="16" a="1"/>
  <c r="K43" i="16" s="1"/>
  <c r="L43" i="16" a="1"/>
  <c r="L43" i="16" s="1"/>
  <c r="J44" i="16" a="1"/>
  <c r="J44" i="16" s="1"/>
  <c r="K44" i="16" a="1"/>
  <c r="K44" i="16" s="1"/>
  <c r="L44" i="16" a="1"/>
  <c r="L44" i="16" s="1"/>
  <c r="J45" i="16" a="1"/>
  <c r="J45" i="16" s="1"/>
  <c r="K45" i="16" a="1"/>
  <c r="K45" i="16" s="1"/>
  <c r="L45" i="16" a="1"/>
  <c r="L45" i="16" s="1"/>
  <c r="J46" i="16" a="1"/>
  <c r="J46" i="16" s="1"/>
  <c r="K46" i="16" a="1"/>
  <c r="K46" i="16" s="1"/>
  <c r="L46" i="16" a="1"/>
  <c r="L46" i="16" s="1"/>
  <c r="J47" i="16" a="1"/>
  <c r="J47" i="16" s="1"/>
  <c r="K47" i="16" a="1"/>
  <c r="K47" i="16" s="1"/>
  <c r="L47" i="16" a="1"/>
  <c r="L47" i="16" s="1"/>
  <c r="J48" i="16" a="1"/>
  <c r="J48" i="16" s="1"/>
  <c r="K48" i="16" a="1"/>
  <c r="K48" i="16"/>
  <c r="L48" i="16" a="1"/>
  <c r="L48" i="16" s="1"/>
  <c r="J49" i="16" a="1"/>
  <c r="J49" i="16" s="1"/>
  <c r="K49" i="16" a="1"/>
  <c r="K49" i="16" s="1"/>
  <c r="L49" i="16" a="1"/>
  <c r="L49" i="16" s="1"/>
  <c r="J50" i="16" a="1"/>
  <c r="J50" i="16" s="1"/>
  <c r="K50" i="16" a="1"/>
  <c r="K50" i="16" s="1"/>
  <c r="L50" i="16" a="1"/>
  <c r="L50" i="16" s="1"/>
  <c r="J51" i="16" a="1"/>
  <c r="J51" i="16" s="1"/>
  <c r="K51" i="16" a="1"/>
  <c r="K51" i="16" s="1"/>
  <c r="L51" i="16" a="1"/>
  <c r="L51" i="16"/>
  <c r="J52" i="16" a="1"/>
  <c r="J52" i="16" s="1"/>
  <c r="K52" i="16" a="1"/>
  <c r="K52" i="16" s="1"/>
  <c r="L52" i="16" a="1"/>
  <c r="L52" i="16" s="1"/>
  <c r="J53" i="16" a="1"/>
  <c r="J53" i="16" s="1"/>
  <c r="K53" i="16" a="1"/>
  <c r="K53" i="16" s="1"/>
  <c r="L53" i="16" a="1"/>
  <c r="L53" i="16" s="1"/>
  <c r="J54" i="16" a="1"/>
  <c r="J54" i="16" s="1"/>
  <c r="K54" i="16" a="1"/>
  <c r="K54" i="16" s="1"/>
  <c r="L54" i="16" a="1"/>
  <c r="L54" i="16" s="1"/>
  <c r="J55" i="16" a="1"/>
  <c r="J55" i="16" s="1"/>
  <c r="K55" i="16" a="1"/>
  <c r="K55" i="16" s="1"/>
  <c r="L55" i="16" a="1"/>
  <c r="L55" i="16" s="1"/>
  <c r="J56" i="16" a="1"/>
  <c r="J56" i="16" s="1"/>
  <c r="K56" i="16" a="1"/>
  <c r="K56" i="16" s="1"/>
  <c r="L56" i="16" a="1"/>
  <c r="L56" i="16" s="1"/>
  <c r="J57" i="16" a="1"/>
  <c r="J57" i="16" s="1"/>
  <c r="K57" i="16" a="1"/>
  <c r="K57" i="16" s="1"/>
  <c r="L57" i="16" a="1"/>
  <c r="L57" i="16" s="1"/>
  <c r="J58" i="16" a="1"/>
  <c r="J58" i="16" s="1"/>
  <c r="K58" i="16" a="1"/>
  <c r="K58" i="16" s="1"/>
  <c r="L58" i="16" a="1"/>
  <c r="L58" i="16"/>
  <c r="J59" i="16" a="1"/>
  <c r="J59" i="16" s="1"/>
  <c r="K59" i="16" a="1"/>
  <c r="K59" i="16" s="1"/>
  <c r="L59" i="16" a="1"/>
  <c r="L59" i="16" s="1"/>
  <c r="J60" i="16" a="1"/>
  <c r="J60" i="16" s="1"/>
  <c r="K60" i="16" a="1"/>
  <c r="K60" i="16" s="1"/>
  <c r="L60" i="16" a="1"/>
  <c r="L60" i="16" s="1"/>
  <c r="J61" i="16" a="1"/>
  <c r="J61" i="16" s="1"/>
  <c r="K61" i="16" a="1"/>
  <c r="K61" i="16" s="1"/>
  <c r="L61" i="16" a="1"/>
  <c r="L61" i="16" s="1"/>
  <c r="J62" i="16" a="1"/>
  <c r="J62" i="16" s="1"/>
  <c r="K62" i="16" a="1"/>
  <c r="K62" i="16" s="1"/>
  <c r="L62" i="16" a="1"/>
  <c r="L62" i="16" s="1"/>
  <c r="J63" i="16" a="1"/>
  <c r="J63" i="16" s="1"/>
  <c r="K63" i="16" a="1"/>
  <c r="K63" i="16" s="1"/>
  <c r="L63" i="16" a="1"/>
  <c r="L63" i="16" s="1"/>
  <c r="J64" i="16" a="1"/>
  <c r="J64" i="16" s="1"/>
  <c r="K64" i="16" a="1"/>
  <c r="K64" i="16" s="1"/>
  <c r="L64" i="16" a="1"/>
  <c r="L64" i="16" s="1"/>
  <c r="J65" i="16" a="1"/>
  <c r="J65" i="16"/>
  <c r="K65" i="16" a="1"/>
  <c r="K65" i="16" s="1"/>
  <c r="L65" i="16" a="1"/>
  <c r="L65" i="16" s="1"/>
  <c r="J66" i="16" a="1"/>
  <c r="J66" i="16" s="1"/>
  <c r="K66" i="16" a="1"/>
  <c r="K66" i="16" s="1"/>
  <c r="L66" i="16" a="1"/>
  <c r="L66" i="16" s="1"/>
  <c r="J67" i="16" a="1"/>
  <c r="J67" i="16" s="1"/>
  <c r="K67" i="16" a="1"/>
  <c r="K67" i="16" s="1"/>
  <c r="L67" i="16" a="1"/>
  <c r="L67" i="16" s="1"/>
  <c r="J68" i="16" a="1"/>
  <c r="J68" i="16" s="1"/>
  <c r="K68" i="16" a="1"/>
  <c r="K68" i="16"/>
  <c r="L68" i="16" a="1"/>
  <c r="L68" i="16" s="1"/>
  <c r="J69" i="16" a="1"/>
  <c r="J69" i="16" s="1"/>
  <c r="K69" i="16" a="1"/>
  <c r="K69" i="16" s="1"/>
  <c r="L69" i="16" a="1"/>
  <c r="L69" i="16" s="1"/>
  <c r="J70" i="16" a="1"/>
  <c r="J70" i="16" s="1"/>
  <c r="K70" i="16" a="1"/>
  <c r="K70" i="16" s="1"/>
  <c r="L70" i="16" a="1"/>
  <c r="L70" i="16" s="1"/>
  <c r="J71" i="16" a="1"/>
  <c r="J71" i="16" s="1"/>
  <c r="K71" i="16" a="1"/>
  <c r="K71" i="16" s="1"/>
  <c r="L71" i="16" a="1"/>
  <c r="L71" i="16" s="1"/>
  <c r="J72" i="16" a="1"/>
  <c r="J72" i="16"/>
  <c r="K72" i="16" a="1"/>
  <c r="K72" i="16" s="1"/>
  <c r="L72" i="16" a="1"/>
  <c r="L72" i="16" s="1"/>
  <c r="J73" i="16" a="1"/>
  <c r="J73" i="16" s="1"/>
  <c r="K73" i="16" a="1"/>
  <c r="K73" i="16" s="1"/>
  <c r="L73" i="16" a="1"/>
  <c r="L73" i="16" s="1"/>
  <c r="J74" i="16" a="1"/>
  <c r="J74" i="16" s="1"/>
  <c r="K74" i="16" a="1"/>
  <c r="K74" i="16" s="1"/>
  <c r="L74" i="16" a="1"/>
  <c r="L74" i="16" s="1"/>
  <c r="J75" i="16" a="1"/>
  <c r="J75" i="16" s="1"/>
  <c r="K75" i="16" a="1"/>
  <c r="K75" i="16" s="1"/>
  <c r="L75" i="16" a="1"/>
  <c r="L75" i="16" s="1"/>
  <c r="J76" i="16" a="1"/>
  <c r="J76" i="16" s="1"/>
  <c r="K76" i="16" a="1"/>
  <c r="K76" i="16" s="1"/>
  <c r="L76" i="16" a="1"/>
  <c r="L76" i="16" s="1"/>
  <c r="J77" i="16" a="1"/>
  <c r="J77" i="16" s="1"/>
  <c r="K77" i="16" a="1"/>
  <c r="K77" i="16" s="1"/>
  <c r="L77" i="16" a="1"/>
  <c r="L77" i="16" s="1"/>
  <c r="J78" i="16" a="1"/>
  <c r="J78" i="16"/>
  <c r="K78" i="16" a="1"/>
  <c r="K78" i="16" s="1"/>
  <c r="L78" i="16" a="1"/>
  <c r="L78" i="16" s="1"/>
  <c r="J79" i="16" a="1"/>
  <c r="J79" i="16" s="1"/>
  <c r="K79" i="16" a="1"/>
  <c r="K79" i="16" s="1"/>
  <c r="L79" i="16" a="1"/>
  <c r="L79" i="16" s="1"/>
  <c r="J80" i="16" a="1"/>
  <c r="J80" i="16" s="1"/>
  <c r="K80" i="16" a="1"/>
  <c r="K80" i="16" s="1"/>
  <c r="L80" i="16" a="1"/>
  <c r="L80" i="16" s="1"/>
  <c r="J81" i="16" a="1"/>
  <c r="J81" i="16" s="1"/>
  <c r="K81" i="16" a="1"/>
  <c r="K81" i="16" s="1"/>
  <c r="L81" i="16" a="1"/>
  <c r="L81" i="16" s="1"/>
  <c r="J82" i="16" a="1"/>
  <c r="J82" i="16" s="1"/>
  <c r="K82" i="16" a="1"/>
  <c r="K82" i="16"/>
  <c r="L82" i="16" a="1"/>
  <c r="L82" i="16" s="1"/>
  <c r="J83" i="16" a="1"/>
  <c r="J83" i="16" s="1"/>
  <c r="K83" i="16" a="1"/>
  <c r="K83" i="16" s="1"/>
  <c r="L83" i="16" a="1"/>
  <c r="L83" i="16" s="1"/>
  <c r="J84" i="16" a="1"/>
  <c r="J84" i="16" s="1"/>
  <c r="K84" i="16" a="1"/>
  <c r="K84" i="16" s="1"/>
  <c r="L84" i="16" a="1"/>
  <c r="L84" i="16" s="1"/>
  <c r="J85" i="16" a="1"/>
  <c r="J85" i="16" s="1"/>
  <c r="K85" i="16" a="1"/>
  <c r="K85" i="16" s="1"/>
  <c r="L85" i="16" a="1"/>
  <c r="L85" i="16" s="1"/>
  <c r="J86" i="16" a="1"/>
  <c r="J86" i="16" s="1"/>
  <c r="K86" i="16" a="1"/>
  <c r="K86" i="16" s="1"/>
  <c r="L86" i="16" a="1"/>
  <c r="L86" i="16" s="1"/>
  <c r="J87" i="16" a="1"/>
  <c r="J87" i="16" s="1"/>
  <c r="K87" i="16" a="1"/>
  <c r="K87" i="16" s="1"/>
  <c r="L87" i="16" a="1"/>
  <c r="L87" i="16" s="1"/>
  <c r="J88" i="16" a="1"/>
  <c r="J88" i="16" s="1"/>
  <c r="K88" i="16" a="1"/>
  <c r="K88" i="16" s="1"/>
  <c r="L88" i="16" a="1"/>
  <c r="L88" i="16" s="1"/>
  <c r="J89" i="16" a="1"/>
  <c r="J89" i="16" s="1"/>
  <c r="K89" i="16" a="1"/>
  <c r="K89" i="16" s="1"/>
  <c r="L89" i="16" a="1"/>
  <c r="L89" i="16" s="1"/>
  <c r="J90" i="16" a="1"/>
  <c r="J90" i="16" s="1"/>
  <c r="K90" i="16" a="1"/>
  <c r="K90" i="16" s="1"/>
  <c r="L90" i="16" a="1"/>
  <c r="L90" i="16" s="1"/>
  <c r="J91" i="16" a="1"/>
  <c r="J91" i="16" s="1"/>
  <c r="K91" i="16" a="1"/>
  <c r="K91" i="16" s="1"/>
  <c r="L91" i="16" a="1"/>
  <c r="L91" i="16" s="1"/>
  <c r="J92" i="16" a="1"/>
  <c r="J92" i="16" s="1"/>
  <c r="K92" i="16" a="1"/>
  <c r="K92" i="16" s="1"/>
  <c r="L92" i="16" a="1"/>
  <c r="L92" i="16" s="1"/>
  <c r="J93" i="16" a="1"/>
  <c r="J93" i="16" s="1"/>
  <c r="K93" i="16" a="1"/>
  <c r="K93" i="16" s="1"/>
  <c r="L93" i="16" a="1"/>
  <c r="L93" i="16" s="1"/>
  <c r="J94" i="16" a="1"/>
  <c r="J94" i="16" s="1"/>
  <c r="K94" i="16" a="1"/>
  <c r="K94" i="16" s="1"/>
  <c r="L94" i="16" a="1"/>
  <c r="L94" i="16"/>
  <c r="J95" i="16" a="1"/>
  <c r="J95" i="16" s="1"/>
  <c r="K95" i="16" a="1"/>
  <c r="K95" i="16" s="1"/>
  <c r="L95" i="16" a="1"/>
  <c r="L95" i="16" s="1"/>
  <c r="J96" i="16" a="1"/>
  <c r="J96" i="16" s="1"/>
  <c r="K96" i="16" a="1"/>
  <c r="K96" i="16" s="1"/>
  <c r="L96" i="16" a="1"/>
  <c r="L96" i="16" s="1"/>
  <c r="J97" i="16" a="1"/>
  <c r="J97" i="16" s="1"/>
  <c r="K97" i="16" a="1"/>
  <c r="K97" i="16" s="1"/>
  <c r="L97" i="16" a="1"/>
  <c r="L97" i="16" s="1"/>
  <c r="J98" i="16" a="1"/>
  <c r="J98" i="16" s="1"/>
  <c r="K98" i="16" a="1"/>
  <c r="K98" i="16" s="1"/>
  <c r="L98" i="16" a="1"/>
  <c r="L98" i="16" s="1"/>
  <c r="J99" i="16" a="1"/>
  <c r="J99" i="16"/>
  <c r="K99" i="16" a="1"/>
  <c r="K99" i="16" s="1"/>
  <c r="L99" i="16" a="1"/>
  <c r="L99" i="16" s="1"/>
  <c r="J100" i="16" a="1"/>
  <c r="J100" i="16" s="1"/>
  <c r="K100" i="16" a="1"/>
  <c r="K100" i="16" s="1"/>
  <c r="L100" i="16" a="1"/>
  <c r="L100" i="16" s="1"/>
  <c r="J101" i="16" a="1"/>
  <c r="J101" i="16" s="1"/>
  <c r="K101" i="16" a="1"/>
  <c r="K101" i="16" s="1"/>
  <c r="L101" i="16" a="1"/>
  <c r="L101" i="16" s="1"/>
  <c r="J102" i="16" a="1"/>
  <c r="J102" i="16" s="1"/>
  <c r="K102" i="16" a="1"/>
  <c r="K102" i="16" s="1"/>
  <c r="L102" i="16" a="1"/>
  <c r="L102" i="16" s="1"/>
  <c r="J103" i="16" a="1"/>
  <c r="J103" i="16" s="1"/>
  <c r="K103" i="16" a="1"/>
  <c r="K103" i="16" s="1"/>
  <c r="L103" i="16" a="1"/>
  <c r="L103" i="16" s="1"/>
  <c r="J104" i="16" a="1"/>
  <c r="J104" i="16" s="1"/>
  <c r="K104" i="16" a="1"/>
  <c r="K104" i="16" s="1"/>
  <c r="L104" i="16" a="1"/>
  <c r="L104" i="16" s="1"/>
  <c r="J105" i="16" a="1"/>
  <c r="J105" i="16" s="1"/>
  <c r="K105" i="16" a="1"/>
  <c r="K105" i="16" s="1"/>
  <c r="L105" i="16" a="1"/>
  <c r="L105" i="16" s="1"/>
  <c r="J106" i="16" a="1"/>
  <c r="J106" i="16" s="1"/>
  <c r="K106" i="16" a="1"/>
  <c r="K106" i="16" s="1"/>
  <c r="L106" i="16" a="1"/>
  <c r="L106" i="16" s="1"/>
  <c r="J107" i="16" a="1"/>
  <c r="J107" i="16" s="1"/>
  <c r="K107" i="16" a="1"/>
  <c r="K107" i="16" s="1"/>
  <c r="L107" i="16" a="1"/>
  <c r="L107" i="16" s="1"/>
  <c r="J108" i="16" a="1"/>
  <c r="J108" i="16" s="1"/>
  <c r="K108" i="16" a="1"/>
  <c r="K108" i="16" s="1"/>
  <c r="L108" i="16" a="1"/>
  <c r="L108" i="16" s="1"/>
  <c r="J109" i="16" a="1"/>
  <c r="J109" i="16" s="1"/>
  <c r="K109" i="16" a="1"/>
  <c r="K109" i="16" s="1"/>
  <c r="L109" i="16" a="1"/>
  <c r="L109" i="16" s="1"/>
  <c r="J110" i="16" a="1"/>
  <c r="J110" i="16" s="1"/>
  <c r="K110" i="16" a="1"/>
  <c r="K110" i="16" s="1"/>
  <c r="L110" i="16" a="1"/>
  <c r="L110" i="16" s="1"/>
  <c r="J111" i="16" a="1"/>
  <c r="J111" i="16" s="1"/>
  <c r="K111" i="16" a="1"/>
  <c r="K111" i="16"/>
  <c r="L111" i="16" a="1"/>
  <c r="L111" i="16" s="1"/>
  <c r="J112" i="16" a="1"/>
  <c r="J112" i="16" s="1"/>
  <c r="K112" i="16" a="1"/>
  <c r="K112" i="16" s="1"/>
  <c r="L112" i="16" a="1"/>
  <c r="L112" i="16" s="1"/>
  <c r="J113" i="16" a="1"/>
  <c r="J113" i="16" s="1"/>
  <c r="K113" i="16" a="1"/>
  <c r="K113" i="16" s="1"/>
  <c r="L113" i="16" a="1"/>
  <c r="L113" i="16" s="1"/>
  <c r="J114" i="16" a="1"/>
  <c r="J114" i="16" s="1"/>
  <c r="K114" i="16" a="1"/>
  <c r="K114" i="16" s="1"/>
  <c r="L114" i="16" a="1"/>
  <c r="L114" i="16" s="1"/>
  <c r="J115" i="16" a="1"/>
  <c r="J115" i="16" s="1"/>
  <c r="K115" i="16" a="1"/>
  <c r="K115" i="16" s="1"/>
  <c r="L115" i="16" a="1"/>
  <c r="L115" i="16" s="1"/>
  <c r="J116" i="16" a="1"/>
  <c r="J116" i="16" s="1"/>
  <c r="K116" i="16" a="1"/>
  <c r="K116" i="16" s="1"/>
  <c r="L116" i="16" a="1"/>
  <c r="L116" i="16" s="1"/>
  <c r="J117" i="16" a="1"/>
  <c r="J117" i="16" s="1"/>
  <c r="K117" i="16" a="1"/>
  <c r="K117" i="16" s="1"/>
  <c r="L117" i="16" a="1"/>
  <c r="L117" i="16" s="1"/>
  <c r="J118" i="16" a="1"/>
  <c r="J118" i="16" s="1"/>
  <c r="K118" i="16" a="1"/>
  <c r="K118" i="16" s="1"/>
  <c r="L118" i="16" a="1"/>
  <c r="L118" i="16" s="1"/>
  <c r="J119" i="16" a="1"/>
  <c r="J119" i="16" s="1"/>
  <c r="K119" i="16" a="1"/>
  <c r="K119" i="16" s="1"/>
  <c r="L119" i="16" a="1"/>
  <c r="L119" i="16" s="1"/>
  <c r="J120" i="16" a="1"/>
  <c r="J120" i="16" s="1"/>
  <c r="K120" i="16" a="1"/>
  <c r="K120" i="16" s="1"/>
  <c r="L120" i="16" a="1"/>
  <c r="L120" i="16" s="1"/>
  <c r="J121" i="16" a="1"/>
  <c r="J121" i="16" s="1"/>
  <c r="K121" i="16" a="1"/>
  <c r="K121" i="16" s="1"/>
  <c r="L121" i="16" a="1"/>
  <c r="L121" i="16" s="1"/>
  <c r="J122" i="16" a="1"/>
  <c r="J122" i="16" s="1"/>
  <c r="K122" i="16" a="1"/>
  <c r="K122" i="16" s="1"/>
  <c r="L122" i="16" a="1"/>
  <c r="L122" i="16" s="1"/>
  <c r="J123" i="16" a="1"/>
  <c r="J123" i="16" s="1"/>
  <c r="K123" i="16" a="1"/>
  <c r="K123" i="16" s="1"/>
  <c r="L123" i="16" a="1"/>
  <c r="L123" i="16" s="1"/>
  <c r="J124" i="16" a="1"/>
  <c r="J124" i="16" s="1"/>
  <c r="K124" i="16" a="1"/>
  <c r="K124" i="16" s="1"/>
  <c r="L124" i="16" a="1"/>
  <c r="L124" i="16" s="1"/>
  <c r="J125" i="16" a="1"/>
  <c r="J125" i="16" s="1"/>
  <c r="K125" i="16" a="1"/>
  <c r="K125" i="16" s="1"/>
  <c r="L125" i="16" a="1"/>
  <c r="L125" i="16" s="1"/>
  <c r="J126" i="16" a="1"/>
  <c r="J126" i="16" s="1"/>
  <c r="K126" i="16" a="1"/>
  <c r="K126" i="16" s="1"/>
  <c r="L126" i="16" a="1"/>
  <c r="L126" i="16" s="1"/>
  <c r="J127" i="16" a="1"/>
  <c r="J127" i="16" s="1"/>
  <c r="K127" i="16" a="1"/>
  <c r="K127" i="16" s="1"/>
  <c r="L127" i="16" a="1"/>
  <c r="L127" i="16" s="1"/>
  <c r="J128" i="16" a="1"/>
  <c r="J128" i="16" s="1"/>
  <c r="K128" i="16" a="1"/>
  <c r="K128" i="16"/>
  <c r="L128" i="16" a="1"/>
  <c r="L128" i="16"/>
  <c r="J129" i="16" a="1"/>
  <c r="J129" i="16"/>
  <c r="K129" i="16" a="1"/>
  <c r="K129" i="16" s="1"/>
  <c r="L129" i="16" a="1"/>
  <c r="L129" i="16" s="1"/>
  <c r="J130" i="16" a="1"/>
  <c r="J130" i="16" s="1"/>
  <c r="K130" i="16" a="1"/>
  <c r="K130" i="16" s="1"/>
  <c r="L130" i="16" a="1"/>
  <c r="L130" i="16" s="1"/>
  <c r="J131" i="16" a="1"/>
  <c r="J131" i="16" s="1"/>
  <c r="K131" i="16" a="1"/>
  <c r="K131" i="16"/>
  <c r="L131" i="16" a="1"/>
  <c r="L131" i="16"/>
  <c r="J132" i="16" a="1"/>
  <c r="J132" i="16"/>
  <c r="K132" i="16" a="1"/>
  <c r="K132" i="16" s="1"/>
  <c r="L132" i="16" a="1"/>
  <c r="L132" i="16" s="1"/>
  <c r="J133" i="16" a="1"/>
  <c r="J133" i="16" s="1"/>
  <c r="K133" i="16" a="1"/>
  <c r="K133" i="16" s="1"/>
  <c r="L133" i="16" a="1"/>
  <c r="L133" i="16" s="1"/>
  <c r="J134" i="16" a="1"/>
  <c r="J134" i="16" s="1"/>
  <c r="K134" i="16" a="1"/>
  <c r="K134" i="16" s="1"/>
  <c r="L134" i="16" a="1"/>
  <c r="L134" i="16" s="1"/>
  <c r="J135" i="16" a="1"/>
  <c r="J135" i="16" s="1"/>
  <c r="K135" i="16" a="1"/>
  <c r="K135" i="16"/>
  <c r="L135" i="16" a="1"/>
  <c r="L135" i="16" s="1"/>
  <c r="J136" i="16" a="1"/>
  <c r="J136" i="16" s="1"/>
  <c r="K136" i="16" a="1"/>
  <c r="K136" i="16" s="1"/>
  <c r="L136" i="16" a="1"/>
  <c r="L136" i="16" s="1"/>
  <c r="J137" i="16" a="1"/>
  <c r="J137" i="16" s="1"/>
  <c r="K137" i="16" a="1"/>
  <c r="K137" i="16" s="1"/>
  <c r="L137" i="16" a="1"/>
  <c r="L137" i="16" s="1"/>
  <c r="J138" i="16" a="1"/>
  <c r="J138" i="16" s="1"/>
  <c r="K138" i="16" a="1"/>
  <c r="K138" i="16" s="1"/>
  <c r="L138" i="16" a="1"/>
  <c r="L138" i="16" s="1"/>
  <c r="J139" i="16" a="1"/>
  <c r="J139" i="16" s="1"/>
  <c r="K139" i="16" a="1"/>
  <c r="K139" i="16" s="1"/>
  <c r="L139" i="16" a="1"/>
  <c r="L139" i="16" s="1"/>
  <c r="J140" i="16" a="1"/>
  <c r="J140" i="16" s="1"/>
  <c r="K140" i="16" a="1"/>
  <c r="K140" i="16" s="1"/>
  <c r="L140" i="16" a="1"/>
  <c r="L140" i="16" s="1"/>
  <c r="J141" i="16" a="1"/>
  <c r="J141" i="16" s="1"/>
  <c r="K141" i="16" a="1"/>
  <c r="K141" i="16" s="1"/>
  <c r="L141" i="16" a="1"/>
  <c r="L141" i="16" s="1"/>
  <c r="J142" i="16" a="1"/>
  <c r="J142" i="16" s="1"/>
  <c r="K142" i="16" a="1"/>
  <c r="K142" i="16" s="1"/>
  <c r="L142" i="16" a="1"/>
  <c r="L142" i="16" s="1"/>
  <c r="J143" i="16" a="1"/>
  <c r="J143" i="16" s="1"/>
  <c r="K143" i="16" a="1"/>
  <c r="K143" i="16" s="1"/>
  <c r="L143" i="16" a="1"/>
  <c r="L143" i="16" s="1"/>
  <c r="J144" i="16" a="1"/>
  <c r="J144" i="16" s="1"/>
  <c r="K144" i="16" a="1"/>
  <c r="K144" i="16" s="1"/>
  <c r="L144" i="16" a="1"/>
  <c r="L144" i="16" s="1"/>
  <c r="J145" i="16" a="1"/>
  <c r="J145" i="16" s="1"/>
  <c r="K145" i="16" a="1"/>
  <c r="K145" i="16" s="1"/>
  <c r="L145" i="16" a="1"/>
  <c r="L145" i="16" s="1"/>
  <c r="J146" i="16" a="1"/>
  <c r="J146" i="16" s="1"/>
  <c r="K146" i="16" a="1"/>
  <c r="K146" i="16" s="1"/>
  <c r="L146" i="16" a="1"/>
  <c r="L146" i="16" s="1"/>
  <c r="J147" i="16" a="1"/>
  <c r="J147" i="16" s="1"/>
  <c r="K147" i="16" a="1"/>
  <c r="K147" i="16" s="1"/>
  <c r="L147" i="16" a="1"/>
  <c r="L147" i="16" s="1"/>
  <c r="J148" i="16" a="1"/>
  <c r="J148" i="16" s="1"/>
  <c r="K148" i="16" a="1"/>
  <c r="K148" i="16" s="1"/>
  <c r="L148" i="16" a="1"/>
  <c r="L148" i="16" s="1"/>
  <c r="J149" i="16" a="1"/>
  <c r="J149" i="16" s="1"/>
  <c r="K149" i="16" a="1"/>
  <c r="K149" i="16" s="1"/>
  <c r="L149" i="16" a="1"/>
  <c r="L149" i="16" s="1"/>
  <c r="J150" i="16" a="1"/>
  <c r="J150" i="16" s="1"/>
  <c r="K150" i="16" a="1"/>
  <c r="K150" i="16"/>
  <c r="L150" i="16" a="1"/>
  <c r="L150" i="16"/>
  <c r="J151" i="16" a="1"/>
  <c r="J151" i="16" s="1"/>
  <c r="K151" i="16" a="1"/>
  <c r="K151" i="16" s="1"/>
  <c r="L151" i="16" a="1"/>
  <c r="L151" i="16" s="1"/>
  <c r="J152" i="16" a="1"/>
  <c r="J152" i="16" s="1"/>
  <c r="K152" i="16" a="1"/>
  <c r="K152" i="16" s="1"/>
  <c r="L152" i="16" a="1"/>
  <c r="L152" i="16" s="1"/>
  <c r="J153" i="16" a="1"/>
  <c r="J153" i="16" s="1"/>
  <c r="K153" i="16" a="1"/>
  <c r="K153" i="16" s="1"/>
  <c r="L153" i="16" a="1"/>
  <c r="L153" i="16" s="1"/>
  <c r="J154" i="16" a="1"/>
  <c r="J154" i="16" s="1"/>
  <c r="K154" i="16" a="1"/>
  <c r="K154" i="16" s="1"/>
  <c r="L154" i="16" a="1"/>
  <c r="L154" i="16"/>
  <c r="J155" i="16" a="1"/>
  <c r="J155" i="16" s="1"/>
  <c r="K155" i="16" a="1"/>
  <c r="K155" i="16" s="1"/>
  <c r="L155" i="16" a="1"/>
  <c r="L155" i="16" s="1"/>
  <c r="J156" i="16" a="1"/>
  <c r="J156" i="16" s="1"/>
  <c r="K156" i="16" a="1"/>
  <c r="K156" i="16" s="1"/>
  <c r="L156" i="16" a="1"/>
  <c r="L156" i="16" s="1"/>
  <c r="J157" i="16" a="1"/>
  <c r="J157" i="16"/>
  <c r="K157" i="16" a="1"/>
  <c r="K157" i="16" s="1"/>
  <c r="L157" i="16" a="1"/>
  <c r="L157" i="16" s="1"/>
  <c r="J158" i="16" a="1"/>
  <c r="J158" i="16" s="1"/>
  <c r="K158" i="16" a="1"/>
  <c r="K158" i="16" s="1"/>
  <c r="L158" i="16" a="1"/>
  <c r="L158" i="16" s="1"/>
  <c r="J159" i="16" a="1"/>
  <c r="J159" i="16" s="1"/>
  <c r="K159" i="16" a="1"/>
  <c r="K159" i="16"/>
  <c r="L159" i="16" a="1"/>
  <c r="L159" i="16" s="1"/>
  <c r="J160" i="16" a="1"/>
  <c r="J160" i="16" s="1"/>
  <c r="K160" i="16" a="1"/>
  <c r="K160" i="16"/>
  <c r="L160" i="16" a="1"/>
  <c r="L160" i="16" s="1"/>
  <c r="J161" i="16" a="1"/>
  <c r="J161" i="16" s="1"/>
  <c r="K161" i="16" a="1"/>
  <c r="K161" i="16" s="1"/>
  <c r="L161" i="16" a="1"/>
  <c r="L161" i="16" s="1"/>
  <c r="J162" i="16" a="1"/>
  <c r="J162" i="16" s="1"/>
  <c r="K162" i="16" a="1"/>
  <c r="K162" i="16" s="1"/>
  <c r="L162" i="16" a="1"/>
  <c r="L162" i="16" s="1"/>
  <c r="J163" i="16" a="1"/>
  <c r="J163" i="16" s="1"/>
  <c r="K163" i="16" a="1"/>
  <c r="K163" i="16" s="1"/>
  <c r="L163" i="16" a="1"/>
  <c r="L163" i="16" s="1"/>
  <c r="J164" i="16" a="1"/>
  <c r="J164" i="16" s="1"/>
  <c r="K164" i="16" a="1"/>
  <c r="K164" i="16" s="1"/>
  <c r="L164" i="16" a="1"/>
  <c r="L164" i="16" s="1"/>
  <c r="J165" i="16" a="1"/>
  <c r="J165" i="16" s="1"/>
  <c r="K165" i="16" a="1"/>
  <c r="K165" i="16" s="1"/>
  <c r="L165" i="16" a="1"/>
  <c r="L165" i="16" s="1"/>
  <c r="J166" i="16" a="1"/>
  <c r="J166" i="16" s="1"/>
  <c r="K166" i="16" a="1"/>
  <c r="K166" i="16" s="1"/>
  <c r="L166" i="16" a="1"/>
  <c r="L166" i="16" s="1"/>
  <c r="J167" i="16" a="1"/>
  <c r="J167" i="16" s="1"/>
  <c r="K167" i="16" a="1"/>
  <c r="K167" i="16" s="1"/>
  <c r="L167" i="16" a="1"/>
  <c r="L167" i="16" s="1"/>
  <c r="J168" i="16" a="1"/>
  <c r="J168" i="16" s="1"/>
  <c r="K168" i="16" a="1"/>
  <c r="K168" i="16" s="1"/>
  <c r="L168" i="16" a="1"/>
  <c r="L168" i="16" s="1"/>
  <c r="J169" i="16" a="1"/>
  <c r="J169" i="16" s="1"/>
  <c r="K169" i="16" a="1"/>
  <c r="K169" i="16" s="1"/>
  <c r="L169" i="16" a="1"/>
  <c r="L169" i="16" s="1"/>
  <c r="J170" i="16" a="1"/>
  <c r="J170" i="16" s="1"/>
  <c r="K170" i="16" a="1"/>
  <c r="K170" i="16" s="1"/>
  <c r="L170" i="16" a="1"/>
  <c r="L170" i="16" s="1"/>
  <c r="J171" i="16" a="1"/>
  <c r="J171" i="16" s="1"/>
  <c r="K171" i="16" a="1"/>
  <c r="K171" i="16"/>
  <c r="L171" i="16" a="1"/>
  <c r="L171" i="16" s="1"/>
  <c r="J172" i="16" a="1"/>
  <c r="J172" i="16" s="1"/>
  <c r="K172" i="16" a="1"/>
  <c r="K172" i="16" s="1"/>
  <c r="L172" i="16" a="1"/>
  <c r="L172" i="16" s="1"/>
  <c r="J173" i="16" a="1"/>
  <c r="J173" i="16" s="1"/>
  <c r="K173" i="16" a="1"/>
  <c r="K173" i="16" s="1"/>
  <c r="L173" i="16" a="1"/>
  <c r="L173" i="16" s="1"/>
  <c r="J174" i="16" a="1"/>
  <c r="J174" i="16" s="1"/>
  <c r="K174" i="16" a="1"/>
  <c r="K174" i="16" s="1"/>
  <c r="L174" i="16" a="1"/>
  <c r="L174" i="16" s="1"/>
  <c r="J175" i="16" a="1"/>
  <c r="J175" i="16" s="1"/>
  <c r="K175" i="16" a="1"/>
  <c r="K175" i="16" s="1"/>
  <c r="L175" i="16" a="1"/>
  <c r="L175" i="16" s="1"/>
  <c r="J176" i="16" a="1"/>
  <c r="J176" i="16" s="1"/>
  <c r="K176" i="16" a="1"/>
  <c r="K176" i="16" s="1"/>
  <c r="L176" i="16" a="1"/>
  <c r="L176" i="16" s="1"/>
  <c r="J177" i="16" a="1"/>
  <c r="J177" i="16" s="1"/>
  <c r="K177" i="16" a="1"/>
  <c r="K177" i="16" s="1"/>
  <c r="L177" i="16" a="1"/>
  <c r="L177" i="16" s="1"/>
  <c r="J178" i="16" a="1"/>
  <c r="J178" i="16" s="1"/>
  <c r="K178" i="16" a="1"/>
  <c r="K178" i="16" s="1"/>
  <c r="L178" i="16" a="1"/>
  <c r="L178" i="16" s="1"/>
  <c r="J179" i="16" a="1"/>
  <c r="J179" i="16" s="1"/>
  <c r="K179" i="16" a="1"/>
  <c r="K179" i="16" s="1"/>
  <c r="L179" i="16" a="1"/>
  <c r="L179" i="16" s="1"/>
  <c r="J180" i="16" a="1"/>
  <c r="J180" i="16" s="1"/>
  <c r="K180" i="16" a="1"/>
  <c r="K180" i="16" s="1"/>
  <c r="L180" i="16" a="1"/>
  <c r="L180" i="16" s="1"/>
  <c r="J181" i="16" a="1"/>
  <c r="J181" i="16" s="1"/>
  <c r="K181" i="16" a="1"/>
  <c r="K181" i="16" s="1"/>
  <c r="L181" i="16" a="1"/>
  <c r="L181" i="16" s="1"/>
  <c r="J182" i="16" a="1"/>
  <c r="J182" i="16" s="1"/>
  <c r="K182" i="16" a="1"/>
  <c r="K182" i="16" s="1"/>
  <c r="L182" i="16" a="1"/>
  <c r="L182" i="16" s="1"/>
  <c r="J183" i="16" a="1"/>
  <c r="J183" i="16" s="1"/>
  <c r="K183" i="16" a="1"/>
  <c r="K183" i="16" s="1"/>
  <c r="L183" i="16" a="1"/>
  <c r="L183" i="16" s="1"/>
  <c r="J184" i="16" a="1"/>
  <c r="J184" i="16" s="1"/>
  <c r="K184" i="16" a="1"/>
  <c r="K184" i="16" s="1"/>
  <c r="L184" i="16" a="1"/>
  <c r="L184" i="16" s="1"/>
  <c r="J185" i="16" a="1"/>
  <c r="J185" i="16" s="1"/>
  <c r="K185" i="16" a="1"/>
  <c r="K185" i="16" s="1"/>
  <c r="L185" i="16" a="1"/>
  <c r="L185" i="16" s="1"/>
  <c r="J186" i="16" a="1"/>
  <c r="J186" i="16" s="1"/>
  <c r="K186" i="16" a="1"/>
  <c r="K186" i="16" s="1"/>
  <c r="L186" i="16" a="1"/>
  <c r="L186" i="16" s="1"/>
  <c r="J187" i="16" a="1"/>
  <c r="J187" i="16" s="1"/>
  <c r="K187" i="16" a="1"/>
  <c r="K187" i="16" s="1"/>
  <c r="L187" i="16" a="1"/>
  <c r="L187" i="16" s="1"/>
  <c r="J188" i="16" a="1"/>
  <c r="J188" i="16" s="1"/>
  <c r="K188" i="16" a="1"/>
  <c r="K188" i="16" s="1"/>
  <c r="L188" i="16" a="1"/>
  <c r="L188" i="16" s="1"/>
  <c r="J189" i="16" a="1"/>
  <c r="J189" i="16" s="1"/>
  <c r="K189" i="16" a="1"/>
  <c r="K189" i="16" s="1"/>
  <c r="L189" i="16" a="1"/>
  <c r="L189" i="16" s="1"/>
  <c r="J190" i="16" a="1"/>
  <c r="J190" i="16" s="1"/>
  <c r="K190" i="16" a="1"/>
  <c r="K190" i="16" s="1"/>
  <c r="L190" i="16" a="1"/>
  <c r="L190" i="16"/>
  <c r="J191" i="16" a="1"/>
  <c r="J191" i="16" s="1"/>
  <c r="K191" i="16" a="1"/>
  <c r="K191" i="16" s="1"/>
  <c r="L191" i="16" a="1"/>
  <c r="L191" i="16" s="1"/>
  <c r="J192" i="16" a="1"/>
  <c r="J192" i="16" s="1"/>
  <c r="K192" i="16" a="1"/>
  <c r="K192" i="16" s="1"/>
  <c r="L192" i="16" a="1"/>
  <c r="L192" i="16" s="1"/>
  <c r="J193" i="16" a="1"/>
  <c r="J193" i="16" s="1"/>
  <c r="K193" i="16" a="1"/>
  <c r="K193" i="16" s="1"/>
  <c r="L193" i="16" a="1"/>
  <c r="L193" i="16"/>
  <c r="J194" i="16" a="1"/>
  <c r="J194" i="16"/>
  <c r="K194" i="16" a="1"/>
  <c r="K194" i="16"/>
  <c r="L194" i="16" a="1"/>
  <c r="L194" i="16" s="1"/>
  <c r="J195" i="16" a="1"/>
  <c r="J195" i="16" s="1"/>
  <c r="K195" i="16" a="1"/>
  <c r="K195" i="16" s="1"/>
  <c r="L195" i="16" a="1"/>
  <c r="L195" i="16" s="1"/>
  <c r="J196" i="16" a="1"/>
  <c r="J196" i="16" s="1"/>
  <c r="K196" i="16" a="1"/>
  <c r="K196" i="16" s="1"/>
  <c r="L196" i="16" a="1"/>
  <c r="L196" i="16" s="1"/>
  <c r="J197" i="16" a="1"/>
  <c r="J197" i="16" s="1"/>
  <c r="K197" i="16" a="1"/>
  <c r="K197" i="16" s="1"/>
  <c r="L197" i="16" a="1"/>
  <c r="L197" i="16"/>
  <c r="J198" i="16" a="1"/>
  <c r="J198" i="16" s="1"/>
  <c r="K198" i="16" a="1"/>
  <c r="K198" i="16" s="1"/>
  <c r="L198" i="16" a="1"/>
  <c r="L198" i="16" s="1"/>
  <c r="J199" i="16" a="1"/>
  <c r="J199" i="16" s="1"/>
  <c r="K199" i="16" a="1"/>
  <c r="K199" i="16" s="1"/>
  <c r="L199" i="16" a="1"/>
  <c r="L199" i="16" s="1"/>
  <c r="J200" i="16" a="1"/>
  <c r="J200" i="16" s="1"/>
  <c r="K200" i="16" a="1"/>
  <c r="K200" i="16" s="1"/>
  <c r="L200" i="16" a="1"/>
  <c r="L200" i="16" s="1"/>
  <c r="J201" i="16" a="1"/>
  <c r="J201" i="16" s="1"/>
  <c r="K201" i="16" a="1"/>
  <c r="K201" i="16" s="1"/>
  <c r="L201" i="16" a="1"/>
  <c r="L201" i="16" s="1"/>
  <c r="J202" i="16" a="1"/>
  <c r="J202" i="16" s="1"/>
  <c r="K202" i="16" a="1"/>
  <c r="K202" i="16" s="1"/>
  <c r="L202" i="16" a="1"/>
  <c r="L202" i="16" s="1"/>
  <c r="J203" i="16" a="1"/>
  <c r="J203" i="16" s="1"/>
  <c r="K203" i="16" a="1"/>
  <c r="K203" i="16" s="1"/>
  <c r="L203" i="16" a="1"/>
  <c r="L203" i="16" s="1"/>
  <c r="J204" i="16" a="1"/>
  <c r="J204" i="16" s="1"/>
  <c r="K204" i="16" a="1"/>
  <c r="K204" i="16" s="1"/>
  <c r="L204" i="16" a="1"/>
  <c r="L204" i="16"/>
  <c r="J205" i="16" a="1"/>
  <c r="J205" i="16" s="1"/>
  <c r="K205" i="16" a="1"/>
  <c r="K205" i="16" s="1"/>
  <c r="L205" i="16" a="1"/>
  <c r="L205" i="16" s="1"/>
  <c r="J206" i="16" a="1"/>
  <c r="J206" i="16" s="1"/>
  <c r="K206" i="16" a="1"/>
  <c r="K206" i="16" s="1"/>
  <c r="L206" i="16" a="1"/>
  <c r="L206" i="16" s="1"/>
  <c r="J207" i="16" a="1"/>
  <c r="J207" i="16" s="1"/>
  <c r="K207" i="16" a="1"/>
  <c r="K207" i="16" s="1"/>
  <c r="L207" i="16" a="1"/>
  <c r="L207" i="16" s="1"/>
  <c r="J208" i="16" a="1"/>
  <c r="J208" i="16" s="1"/>
  <c r="K208" i="16" a="1"/>
  <c r="K208" i="16" s="1"/>
  <c r="L208" i="16" a="1"/>
  <c r="L208" i="16" s="1"/>
  <c r="J209" i="16" a="1"/>
  <c r="J209" i="16" s="1"/>
  <c r="K209" i="16" a="1"/>
  <c r="K209" i="16"/>
  <c r="L209" i="16" a="1"/>
  <c r="L209" i="16" s="1"/>
  <c r="J210" i="16" a="1"/>
  <c r="J210" i="16" s="1"/>
  <c r="K210" i="16" a="1"/>
  <c r="K210" i="16"/>
  <c r="L210" i="16" a="1"/>
  <c r="L210" i="16"/>
  <c r="J211" i="16" a="1"/>
  <c r="J211" i="16" s="1"/>
  <c r="K211" i="16" a="1"/>
  <c r="K211" i="16" s="1"/>
  <c r="L211" i="16" a="1"/>
  <c r="L211" i="16" s="1"/>
  <c r="J212" i="16" a="1"/>
  <c r="J212" i="16" s="1"/>
  <c r="K212" i="16" a="1"/>
  <c r="K212" i="16"/>
  <c r="L212" i="16" a="1"/>
  <c r="L212" i="16" s="1"/>
  <c r="J213" i="16" a="1"/>
  <c r="J213" i="16" s="1"/>
  <c r="K213" i="16" a="1"/>
  <c r="K213" i="16" s="1"/>
  <c r="L213" i="16" a="1"/>
  <c r="L213" i="16" s="1"/>
  <c r="J214" i="16" a="1"/>
  <c r="J214" i="16" s="1"/>
  <c r="K214" i="16" a="1"/>
  <c r="K214" i="16" s="1"/>
  <c r="L214" i="16" a="1"/>
  <c r="L214" i="16"/>
  <c r="J215" i="16" a="1"/>
  <c r="J215" i="16" s="1"/>
  <c r="K215" i="16" a="1"/>
  <c r="K215" i="16" s="1"/>
  <c r="L215" i="16" a="1"/>
  <c r="L215" i="16" s="1"/>
  <c r="J216" i="16" a="1"/>
  <c r="J216" i="16"/>
  <c r="K216" i="16" a="1"/>
  <c r="K216" i="16" s="1"/>
  <c r="L216" i="16" a="1"/>
  <c r="L216" i="16" s="1"/>
  <c r="J217" i="16" a="1"/>
  <c r="J217" i="16" s="1"/>
  <c r="K217" i="16" a="1"/>
  <c r="K217" i="16" s="1"/>
  <c r="L217" i="16" a="1"/>
  <c r="L217" i="16"/>
  <c r="J218" i="16" a="1"/>
  <c r="J218" i="16" s="1"/>
  <c r="K218" i="16" a="1"/>
  <c r="K218" i="16" s="1"/>
  <c r="L218" i="16" a="1"/>
  <c r="L218" i="16" s="1"/>
  <c r="J219" i="16" a="1"/>
  <c r="J219" i="16" s="1"/>
  <c r="K219" i="16" a="1"/>
  <c r="K219" i="16" s="1"/>
  <c r="L219" i="16" a="1"/>
  <c r="L219" i="16" s="1"/>
  <c r="J220" i="16" a="1"/>
  <c r="J220" i="16" s="1"/>
  <c r="K220" i="16" a="1"/>
  <c r="K220" i="16" s="1"/>
  <c r="L220" i="16" a="1"/>
  <c r="L220" i="16" s="1"/>
  <c r="J221" i="16" a="1"/>
  <c r="J221" i="16" s="1"/>
  <c r="K221" i="16" a="1"/>
  <c r="K221" i="16" s="1"/>
  <c r="L221" i="16" a="1"/>
  <c r="L221" i="16" s="1"/>
  <c r="J222" i="16" a="1"/>
  <c r="J222" i="16" s="1"/>
  <c r="K222" i="16" a="1"/>
  <c r="K222" i="16" s="1"/>
  <c r="L222" i="16" a="1"/>
  <c r="L222" i="16" s="1"/>
  <c r="J223" i="16" a="1"/>
  <c r="J223" i="16" s="1"/>
  <c r="K223" i="16" a="1"/>
  <c r="K223" i="16" s="1"/>
  <c r="L223" i="16" a="1"/>
  <c r="L223" i="16"/>
  <c r="J224" i="16" a="1"/>
  <c r="J224" i="16"/>
  <c r="K224" i="16" a="1"/>
  <c r="K224" i="16"/>
  <c r="L224" i="16" a="1"/>
  <c r="L224" i="16" s="1"/>
  <c r="J225" i="16" a="1"/>
  <c r="J225" i="16" s="1"/>
  <c r="K225" i="16" a="1"/>
  <c r="K225" i="16" s="1"/>
  <c r="L225" i="16" a="1"/>
  <c r="L225" i="16" s="1"/>
  <c r="J226" i="16" a="1"/>
  <c r="J226" i="16" s="1"/>
  <c r="K226" i="16" a="1"/>
  <c r="K226" i="16" s="1"/>
  <c r="L226" i="16" a="1"/>
  <c r="L226" i="16" s="1"/>
  <c r="J227" i="16" a="1"/>
  <c r="J227" i="16" s="1"/>
  <c r="K227" i="16" a="1"/>
  <c r="K227" i="16" s="1"/>
  <c r="L227" i="16" a="1"/>
  <c r="L227" i="16" s="1"/>
  <c r="J228" i="16" a="1"/>
  <c r="J228" i="16" s="1"/>
  <c r="K228" i="16" a="1"/>
  <c r="K228" i="16" s="1"/>
  <c r="L228" i="16" a="1"/>
  <c r="L228" i="16" s="1"/>
  <c r="J229" i="16" a="1"/>
  <c r="J229" i="16"/>
  <c r="K229" i="16" a="1"/>
  <c r="K229" i="16" s="1"/>
  <c r="L229" i="16" a="1"/>
  <c r="L229" i="16" s="1"/>
  <c r="J230" i="16" a="1"/>
  <c r="J230" i="16" s="1"/>
  <c r="K230" i="16" a="1"/>
  <c r="K230" i="16" s="1"/>
  <c r="L230" i="16" a="1"/>
  <c r="L230" i="16" s="1"/>
  <c r="J231" i="16" a="1"/>
  <c r="J231" i="16"/>
  <c r="K231" i="16" a="1"/>
  <c r="K231" i="16" s="1"/>
  <c r="L231" i="16" a="1"/>
  <c r="L231" i="16" s="1"/>
  <c r="J232" i="16" a="1"/>
  <c r="J232" i="16" s="1"/>
  <c r="K232" i="16" a="1"/>
  <c r="K232" i="16" s="1"/>
  <c r="L232" i="16" a="1"/>
  <c r="L232" i="16"/>
  <c r="J233" i="16" a="1"/>
  <c r="J233" i="16" s="1"/>
  <c r="K233" i="16" a="1"/>
  <c r="K233" i="16" s="1"/>
  <c r="L233" i="16" a="1"/>
  <c r="L233" i="16" s="1"/>
  <c r="J234" i="16" a="1"/>
  <c r="J234" i="16" s="1"/>
  <c r="K234" i="16" a="1"/>
  <c r="K234" i="16" s="1"/>
  <c r="L234" i="16" a="1"/>
  <c r="L234" i="16" s="1"/>
  <c r="J235" i="16" a="1"/>
  <c r="J235" i="16" s="1"/>
  <c r="K235" i="16" a="1"/>
  <c r="K235" i="16" s="1"/>
  <c r="L235" i="16" a="1"/>
  <c r="L235" i="16" s="1"/>
  <c r="J236" i="16" a="1"/>
  <c r="J236" i="16" s="1"/>
  <c r="K236" i="16" a="1"/>
  <c r="K236" i="16"/>
  <c r="L236" i="16" a="1"/>
  <c r="L236" i="16" s="1"/>
  <c r="J237" i="16" a="1"/>
  <c r="J237" i="16" s="1"/>
  <c r="K237" i="16" a="1"/>
  <c r="K237" i="16" s="1"/>
  <c r="L237" i="16" a="1"/>
  <c r="L237" i="16" s="1"/>
  <c r="J238" i="16" a="1"/>
  <c r="J238" i="16" s="1"/>
  <c r="K238" i="16" a="1"/>
  <c r="K238" i="16" s="1"/>
  <c r="L238" i="16" a="1"/>
  <c r="L238" i="16" s="1"/>
  <c r="J239" i="16" a="1"/>
  <c r="J239" i="16" s="1"/>
  <c r="K239" i="16" a="1"/>
  <c r="K239" i="16" s="1"/>
  <c r="L239" i="16" a="1"/>
  <c r="L239" i="16" s="1"/>
  <c r="J240" i="16" a="1"/>
  <c r="J240" i="16" s="1"/>
  <c r="K240" i="16" a="1"/>
  <c r="K240" i="16" s="1"/>
  <c r="L240" i="16" a="1"/>
  <c r="L240" i="16" s="1"/>
  <c r="J241" i="16" a="1"/>
  <c r="J241" i="16" s="1"/>
  <c r="K241" i="16" a="1"/>
  <c r="K241" i="16" s="1"/>
  <c r="L241" i="16" a="1"/>
  <c r="L241" i="16" s="1"/>
  <c r="J242" i="16" a="1"/>
  <c r="J242" i="16" s="1"/>
  <c r="K242" i="16" a="1"/>
  <c r="K242" i="16" s="1"/>
  <c r="L242" i="16" a="1"/>
  <c r="L242" i="16" s="1"/>
  <c r="J243" i="16" a="1"/>
  <c r="J243" i="16" s="1"/>
  <c r="K243" i="16" a="1"/>
  <c r="K243" i="16" s="1"/>
  <c r="L243" i="16" a="1"/>
  <c r="L243" i="16" s="1"/>
  <c r="J244" i="16" a="1"/>
  <c r="J244" i="16" s="1"/>
  <c r="K244" i="16" a="1"/>
  <c r="K244" i="16" s="1"/>
  <c r="L244" i="16" a="1"/>
  <c r="L244" i="16" s="1"/>
  <c r="J245" i="16" a="1"/>
  <c r="J245" i="16" s="1"/>
  <c r="K245" i="16" a="1"/>
  <c r="K245" i="16" s="1"/>
  <c r="L245" i="16" a="1"/>
  <c r="L245" i="16" s="1"/>
  <c r="J246" i="16" a="1"/>
  <c r="J246" i="16" s="1"/>
  <c r="K246" i="16" a="1"/>
  <c r="K246" i="16"/>
  <c r="L246" i="16" a="1"/>
  <c r="L246" i="16" s="1"/>
  <c r="J247" i="16" a="1"/>
  <c r="J247" i="16" s="1"/>
  <c r="K247" i="16" a="1"/>
  <c r="K247" i="16" s="1"/>
  <c r="L247" i="16" a="1"/>
  <c r="L247" i="16" s="1"/>
  <c r="J248" i="16" a="1"/>
  <c r="J248" i="16"/>
  <c r="K248" i="16" a="1"/>
  <c r="K248" i="16" s="1"/>
  <c r="L248" i="16" a="1"/>
  <c r="L248" i="16" s="1"/>
  <c r="J249" i="16" a="1"/>
  <c r="J249" i="16" s="1"/>
  <c r="K249" i="16" a="1"/>
  <c r="K249" i="16" s="1"/>
  <c r="L249" i="16" a="1"/>
  <c r="L249" i="16" s="1"/>
  <c r="J250" i="16" a="1"/>
  <c r="J250" i="16" s="1"/>
  <c r="K250" i="16" a="1"/>
  <c r="K250" i="16" s="1"/>
  <c r="L250" i="16" a="1"/>
  <c r="L250" i="16" s="1"/>
  <c r="J251" i="16" a="1"/>
  <c r="J251" i="16" s="1"/>
  <c r="K251" i="16" a="1"/>
  <c r="K251" i="16"/>
  <c r="L251" i="16" a="1"/>
  <c r="L251" i="16" s="1"/>
  <c r="J252" i="16" a="1"/>
  <c r="J252" i="16" s="1"/>
  <c r="K252" i="16" a="1"/>
  <c r="K252" i="16" s="1"/>
  <c r="L252" i="16" a="1"/>
  <c r="L252" i="16" s="1"/>
  <c r="J253" i="16" a="1"/>
  <c r="J253" i="16" s="1"/>
  <c r="K253" i="16" a="1"/>
  <c r="K253" i="16" s="1"/>
  <c r="L253" i="16" a="1"/>
  <c r="L253" i="16" s="1"/>
  <c r="J254" i="16" a="1"/>
  <c r="J254" i="16" s="1"/>
  <c r="K254" i="16" a="1"/>
  <c r="K254" i="16" s="1"/>
  <c r="L254" i="16" a="1"/>
  <c r="L254" i="16" s="1"/>
  <c r="J255" i="16" a="1"/>
  <c r="J255" i="16" s="1"/>
  <c r="K255" i="16" a="1"/>
  <c r="K255" i="16" s="1"/>
  <c r="L255" i="16" a="1"/>
  <c r="L255" i="16" s="1"/>
  <c r="J256" i="16" a="1"/>
  <c r="J256" i="16" s="1"/>
  <c r="K256" i="16" a="1"/>
  <c r="K256" i="16" s="1"/>
  <c r="L256" i="16" a="1"/>
  <c r="L256" i="16" s="1"/>
  <c r="J257" i="16" a="1"/>
  <c r="J257" i="16" s="1"/>
  <c r="K257" i="16" a="1"/>
  <c r="K257" i="16" s="1"/>
  <c r="L257" i="16" a="1"/>
  <c r="L257" i="16" s="1"/>
  <c r="J258" i="16" a="1"/>
  <c r="J258" i="16" s="1"/>
  <c r="K258" i="16" a="1"/>
  <c r="K258" i="16" s="1"/>
  <c r="L258" i="16" a="1"/>
  <c r="L258" i="16" s="1"/>
  <c r="J259" i="16" a="1"/>
  <c r="J259" i="16" s="1"/>
  <c r="K259" i="16" a="1"/>
  <c r="K259" i="16" s="1"/>
  <c r="L259" i="16" a="1"/>
  <c r="L259" i="16" s="1"/>
  <c r="J260" i="16" a="1"/>
  <c r="J260" i="16" s="1"/>
  <c r="K260" i="16" a="1"/>
  <c r="K260" i="16" s="1"/>
  <c r="L260" i="16" a="1"/>
  <c r="L260" i="16" s="1"/>
  <c r="J261" i="16" a="1"/>
  <c r="J261" i="16" s="1"/>
  <c r="K261" i="16" a="1"/>
  <c r="K261" i="16" s="1"/>
  <c r="L261" i="16" a="1"/>
  <c r="L261" i="16" s="1"/>
  <c r="J262" i="16" a="1"/>
  <c r="J262" i="16" s="1"/>
  <c r="K262" i="16" a="1"/>
  <c r="K262" i="16" s="1"/>
  <c r="L262" i="16" a="1"/>
  <c r="L262" i="16" s="1"/>
  <c r="J263" i="16" a="1"/>
  <c r="J263" i="16"/>
  <c r="K263" i="16" a="1"/>
  <c r="K263" i="16" s="1"/>
  <c r="L263" i="16" a="1"/>
  <c r="L263" i="16" s="1"/>
  <c r="J264" i="16" a="1"/>
  <c r="J264" i="16" s="1"/>
  <c r="K264" i="16" a="1"/>
  <c r="K264" i="16" s="1"/>
  <c r="L264" i="16" a="1"/>
  <c r="L264" i="16" s="1"/>
  <c r="J265" i="16" a="1"/>
  <c r="J265" i="16" s="1"/>
  <c r="K265" i="16" a="1"/>
  <c r="K265" i="16" s="1"/>
  <c r="L265" i="16" a="1"/>
  <c r="L265" i="16" s="1"/>
  <c r="J266" i="16" a="1"/>
  <c r="J266" i="16" s="1"/>
  <c r="K266" i="16" a="1"/>
  <c r="K266" i="16" s="1"/>
  <c r="L266" i="16" a="1"/>
  <c r="L266" i="16" s="1"/>
  <c r="J267" i="16" a="1"/>
  <c r="J267" i="16" s="1"/>
  <c r="K267" i="16" a="1"/>
  <c r="K267" i="16" s="1"/>
  <c r="L267" i="16" a="1"/>
  <c r="L267" i="16" s="1"/>
  <c r="J268" i="16" a="1"/>
  <c r="J268" i="16" s="1"/>
  <c r="K268" i="16" a="1"/>
  <c r="K268" i="16" s="1"/>
  <c r="L268" i="16" a="1"/>
  <c r="L268" i="16" s="1"/>
  <c r="J269" i="16" a="1"/>
  <c r="J269" i="16" s="1"/>
  <c r="K269" i="16" a="1"/>
  <c r="K269" i="16" s="1"/>
  <c r="L269" i="16" a="1"/>
  <c r="L269" i="16" s="1"/>
  <c r="J270" i="16" a="1"/>
  <c r="J270" i="16" s="1"/>
  <c r="K270" i="16" a="1"/>
  <c r="K270" i="16" s="1"/>
  <c r="L270" i="16" a="1"/>
  <c r="L270" i="16" s="1"/>
  <c r="J271" i="16" a="1"/>
  <c r="J271" i="16" s="1"/>
  <c r="K271" i="16" a="1"/>
  <c r="K271" i="16" s="1"/>
  <c r="L271" i="16" a="1"/>
  <c r="L271" i="16" s="1"/>
  <c r="J272" i="16" a="1"/>
  <c r="J272" i="16" s="1"/>
  <c r="K272" i="16" a="1"/>
  <c r="K272" i="16" s="1"/>
  <c r="L272" i="16" a="1"/>
  <c r="L272" i="16" s="1"/>
  <c r="J273" i="16" a="1"/>
  <c r="J273" i="16" s="1"/>
  <c r="K273" i="16" a="1"/>
  <c r="K273" i="16" s="1"/>
  <c r="L273" i="16" a="1"/>
  <c r="L273" i="16" s="1"/>
  <c r="J274" i="16" a="1"/>
  <c r="J274" i="16" s="1"/>
  <c r="K274" i="16" a="1"/>
  <c r="K274" i="16" s="1"/>
  <c r="L274" i="16" a="1"/>
  <c r="L274" i="16" s="1"/>
  <c r="J275" i="16" a="1"/>
  <c r="J275" i="16" s="1"/>
  <c r="K275" i="16" a="1"/>
  <c r="K275" i="16" s="1"/>
  <c r="L275" i="16" a="1"/>
  <c r="L275" i="16" s="1"/>
  <c r="J276" i="16" a="1"/>
  <c r="J276" i="16" s="1"/>
  <c r="K276" i="16" a="1"/>
  <c r="K276" i="16" s="1"/>
  <c r="L276" i="16" a="1"/>
  <c r="L276" i="16" s="1"/>
  <c r="J277" i="16" a="1"/>
  <c r="J277" i="16" s="1"/>
  <c r="K277" i="16" a="1"/>
  <c r="K277" i="16" s="1"/>
  <c r="L277" i="16" a="1"/>
  <c r="L277" i="16" s="1"/>
  <c r="J278" i="16" a="1"/>
  <c r="J278" i="16" s="1"/>
  <c r="K278" i="16" a="1"/>
  <c r="K278" i="16" s="1"/>
  <c r="L278" i="16" a="1"/>
  <c r="L278" i="16" s="1"/>
  <c r="J279" i="16" a="1"/>
  <c r="J279" i="16" s="1"/>
  <c r="K279" i="16" a="1"/>
  <c r="K279" i="16" s="1"/>
  <c r="L279" i="16" a="1"/>
  <c r="L279" i="16" s="1"/>
  <c r="J280" i="16" a="1"/>
  <c r="J280" i="16" s="1"/>
  <c r="K280" i="16" a="1"/>
  <c r="K280" i="16" s="1"/>
  <c r="L280" i="16" a="1"/>
  <c r="L280" i="16" s="1"/>
  <c r="J281" i="16" a="1"/>
  <c r="J281" i="16" s="1"/>
  <c r="K281" i="16" a="1"/>
  <c r="K281" i="16" s="1"/>
  <c r="L281" i="16" a="1"/>
  <c r="L281" i="16" s="1"/>
  <c r="J282" i="16" a="1"/>
  <c r="J282" i="16" s="1"/>
  <c r="K282" i="16" a="1"/>
  <c r="K282" i="16" s="1"/>
  <c r="L282" i="16" a="1"/>
  <c r="L282" i="16" s="1"/>
  <c r="J283" i="16" a="1"/>
  <c r="J283" i="16" s="1"/>
  <c r="K283" i="16" a="1"/>
  <c r="K283" i="16" s="1"/>
  <c r="L283" i="16" a="1"/>
  <c r="L283" i="16" s="1"/>
  <c r="J284" i="16" a="1"/>
  <c r="J284" i="16" s="1"/>
  <c r="K284" i="16" a="1"/>
  <c r="K284" i="16" s="1"/>
  <c r="L284" i="16" a="1"/>
  <c r="L284" i="16" s="1"/>
  <c r="J285" i="16" a="1"/>
  <c r="J285" i="16" s="1"/>
  <c r="K285" i="16" a="1"/>
  <c r="K285" i="16" s="1"/>
  <c r="L285" i="16" a="1"/>
  <c r="L285" i="16" s="1"/>
  <c r="J286" i="16" a="1"/>
  <c r="J286" i="16" s="1"/>
  <c r="K286" i="16" a="1"/>
  <c r="K286" i="16" s="1"/>
  <c r="L286" i="16" a="1"/>
  <c r="L286" i="16" s="1"/>
  <c r="J287" i="16" a="1"/>
  <c r="J287" i="16" s="1"/>
  <c r="K287" i="16" a="1"/>
  <c r="K287" i="16" s="1"/>
  <c r="L287" i="16" a="1"/>
  <c r="L287" i="16" s="1"/>
  <c r="J288" i="16" a="1"/>
  <c r="J288" i="16" s="1"/>
  <c r="K288" i="16" a="1"/>
  <c r="K288" i="16" s="1"/>
  <c r="L288" i="16" a="1"/>
  <c r="L288" i="16" s="1"/>
  <c r="J289" i="16" a="1"/>
  <c r="J289" i="16" s="1"/>
  <c r="K289" i="16" a="1"/>
  <c r="K289" i="16" s="1"/>
  <c r="L289" i="16" a="1"/>
  <c r="L289" i="16" s="1"/>
  <c r="J290" i="16" a="1"/>
  <c r="J290" i="16" s="1"/>
  <c r="K290" i="16" a="1"/>
  <c r="K290" i="16" s="1"/>
  <c r="L290" i="16" a="1"/>
  <c r="L290" i="16" s="1"/>
  <c r="J291" i="16" a="1"/>
  <c r="J291" i="16" s="1"/>
  <c r="K291" i="16" a="1"/>
  <c r="K291" i="16" s="1"/>
  <c r="L291" i="16" a="1"/>
  <c r="L291" i="16"/>
  <c r="J292" i="16" a="1"/>
  <c r="J292" i="16" s="1"/>
  <c r="K292" i="16" a="1"/>
  <c r="K292" i="16" s="1"/>
  <c r="L292" i="16" a="1"/>
  <c r="L292" i="16" s="1"/>
  <c r="J293" i="16" a="1"/>
  <c r="J293" i="16" s="1"/>
  <c r="K293" i="16" a="1"/>
  <c r="K293" i="16" s="1"/>
  <c r="L293" i="16" a="1"/>
  <c r="L293" i="16" s="1"/>
  <c r="J294" i="16" a="1"/>
  <c r="J294" i="16" s="1"/>
  <c r="K294" i="16" a="1"/>
  <c r="K294" i="16" s="1"/>
  <c r="L294" i="16" a="1"/>
  <c r="L294" i="16" s="1"/>
  <c r="J295" i="16" a="1"/>
  <c r="J295" i="16" s="1"/>
  <c r="K295" i="16" a="1"/>
  <c r="K295" i="16"/>
  <c r="L295" i="16" a="1"/>
  <c r="L295" i="16" s="1"/>
  <c r="J296" i="16" a="1"/>
  <c r="J296" i="16" s="1"/>
  <c r="K296" i="16" a="1"/>
  <c r="K296" i="16" s="1"/>
  <c r="L296" i="16" a="1"/>
  <c r="L296" i="16" s="1"/>
  <c r="J297" i="16" a="1"/>
  <c r="J297" i="16" s="1"/>
  <c r="K297" i="16" a="1"/>
  <c r="K297" i="16" s="1"/>
  <c r="L297" i="16" a="1"/>
  <c r="L297" i="16" s="1"/>
  <c r="J298" i="16" a="1"/>
  <c r="J298" i="16" s="1"/>
  <c r="K298" i="16" a="1"/>
  <c r="K298" i="16" s="1"/>
  <c r="L298" i="16" a="1"/>
  <c r="L298" i="16" s="1"/>
  <c r="J299" i="16" a="1"/>
  <c r="J299" i="16" s="1"/>
  <c r="K299" i="16" a="1"/>
  <c r="K299" i="16" s="1"/>
  <c r="L299" i="16" a="1"/>
  <c r="L299" i="16" s="1"/>
  <c r="J300" i="16" a="1"/>
  <c r="J300" i="16" s="1"/>
  <c r="K300" i="16" a="1"/>
  <c r="K300" i="16" s="1"/>
  <c r="L300" i="16" a="1"/>
  <c r="L300" i="16" s="1"/>
  <c r="J301" i="16" a="1"/>
  <c r="J301" i="16" s="1"/>
  <c r="K301" i="16" a="1"/>
  <c r="K301" i="16"/>
  <c r="L301" i="16" a="1"/>
  <c r="L301" i="16" s="1"/>
  <c r="J302" i="16" a="1"/>
  <c r="J302" i="16" s="1"/>
  <c r="K302" i="16" a="1"/>
  <c r="K302" i="16"/>
  <c r="L302" i="16" a="1"/>
  <c r="L302" i="16" s="1"/>
  <c r="J303" i="16" a="1"/>
  <c r="J303" i="16" s="1"/>
  <c r="K303" i="16" a="1"/>
  <c r="K303" i="16" s="1"/>
  <c r="L303" i="16" a="1"/>
  <c r="L303" i="16" s="1"/>
  <c r="J304" i="16" a="1"/>
  <c r="J304" i="16" s="1"/>
  <c r="K304" i="16" a="1"/>
  <c r="K304" i="16" s="1"/>
  <c r="L304" i="16" a="1"/>
  <c r="L304" i="16" s="1"/>
  <c r="J305" i="16" a="1"/>
  <c r="J305" i="16"/>
  <c r="K305" i="16" a="1"/>
  <c r="K305" i="16"/>
  <c r="L305" i="16" a="1"/>
  <c r="L305" i="16" s="1"/>
  <c r="J306" i="16" a="1"/>
  <c r="J306" i="16" s="1"/>
  <c r="K306" i="16" a="1"/>
  <c r="K306" i="16" s="1"/>
  <c r="L306" i="16" a="1"/>
  <c r="L306" i="16" s="1"/>
  <c r="J307" i="16" a="1"/>
  <c r="J307" i="16" s="1"/>
  <c r="K307" i="16" a="1"/>
  <c r="K307" i="16" s="1"/>
  <c r="L307" i="16" a="1"/>
  <c r="L307" i="16" s="1"/>
  <c r="J308" i="16" a="1"/>
  <c r="J308" i="16" s="1"/>
  <c r="K308" i="16" a="1"/>
  <c r="K308" i="16" s="1"/>
  <c r="L308" i="16" a="1"/>
  <c r="L308" i="16"/>
  <c r="J309" i="16" a="1"/>
  <c r="J309" i="16"/>
  <c r="K309" i="16" a="1"/>
  <c r="K309" i="16" s="1"/>
  <c r="L309" i="16" a="1"/>
  <c r="L309" i="16" s="1"/>
  <c r="J310" i="16" a="1"/>
  <c r="J310" i="16" s="1"/>
  <c r="K310" i="16" a="1"/>
  <c r="K310" i="16" s="1"/>
  <c r="L310" i="16" a="1"/>
  <c r="L310" i="16" s="1"/>
  <c r="J311" i="16" a="1"/>
  <c r="J311" i="16" s="1"/>
  <c r="K311" i="16" a="1"/>
  <c r="K311" i="16" s="1"/>
  <c r="L311" i="16" a="1"/>
  <c r="L311" i="16" s="1"/>
  <c r="J312" i="16" a="1"/>
  <c r="J312" i="16" s="1"/>
  <c r="K312" i="16" a="1"/>
  <c r="K312" i="16" s="1"/>
  <c r="L312" i="16" a="1"/>
  <c r="L312" i="16" s="1"/>
  <c r="J313" i="16" a="1"/>
  <c r="J313" i="16" s="1"/>
  <c r="K313" i="16" a="1"/>
  <c r="K313" i="16" s="1"/>
  <c r="L313" i="16" a="1"/>
  <c r="L313" i="16" s="1"/>
  <c r="J314" i="16" a="1"/>
  <c r="J314" i="16" s="1"/>
  <c r="K314" i="16" a="1"/>
  <c r="K314" i="16" s="1"/>
  <c r="L314" i="16" a="1"/>
  <c r="L314" i="16" s="1"/>
  <c r="J315" i="16" a="1"/>
  <c r="J315" i="16" s="1"/>
  <c r="K315" i="16" a="1"/>
  <c r="K315" i="16"/>
  <c r="L315" i="16" a="1"/>
  <c r="L315" i="16" s="1"/>
  <c r="J316" i="16" a="1"/>
  <c r="J316" i="16" s="1"/>
  <c r="K316" i="16" a="1"/>
  <c r="K316" i="16" s="1"/>
  <c r="L316" i="16" a="1"/>
  <c r="L316" i="16" s="1"/>
  <c r="J317" i="16" a="1"/>
  <c r="J317" i="16" s="1"/>
  <c r="K317" i="16" a="1"/>
  <c r="K317" i="16" s="1"/>
  <c r="L317" i="16" a="1"/>
  <c r="L317" i="16" s="1"/>
  <c r="J318" i="16" a="1"/>
  <c r="J318" i="16"/>
  <c r="K318" i="16" a="1"/>
  <c r="K318" i="16" s="1"/>
  <c r="L318" i="16" a="1"/>
  <c r="L318" i="16" s="1"/>
  <c r="J319" i="16" a="1"/>
  <c r="J319" i="16" s="1"/>
  <c r="K319" i="16" a="1"/>
  <c r="K319" i="16" s="1"/>
  <c r="L319" i="16" a="1"/>
  <c r="L319" i="16" s="1"/>
  <c r="J320" i="16" a="1"/>
  <c r="J320" i="16" s="1"/>
  <c r="K320" i="16" a="1"/>
  <c r="K320" i="16" s="1"/>
  <c r="L320" i="16" a="1"/>
  <c r="L320" i="16" s="1"/>
  <c r="J321" i="16" a="1"/>
  <c r="J321" i="16" s="1"/>
  <c r="K321" i="16" a="1"/>
  <c r="K321" i="16"/>
  <c r="L321" i="16" a="1"/>
  <c r="L321" i="16" s="1"/>
  <c r="J322" i="16" a="1"/>
  <c r="J322" i="16" s="1"/>
  <c r="K322" i="16" a="1"/>
  <c r="K322" i="16" s="1"/>
  <c r="L322" i="16" a="1"/>
  <c r="L322" i="16" s="1"/>
  <c r="J323" i="16" a="1"/>
  <c r="J323" i="16" s="1"/>
  <c r="K323" i="16" a="1"/>
  <c r="K323" i="16" s="1"/>
  <c r="L323" i="16" a="1"/>
  <c r="L323" i="16" s="1"/>
  <c r="J324" i="16" a="1"/>
  <c r="J324" i="16"/>
  <c r="K324" i="16" a="1"/>
  <c r="K324" i="16" s="1"/>
  <c r="L324" i="16" a="1"/>
  <c r="L324" i="16" s="1"/>
  <c r="J325" i="16" a="1"/>
  <c r="J325" i="16" s="1"/>
  <c r="K325" i="16" a="1"/>
  <c r="K325" i="16" s="1"/>
  <c r="L325" i="16" a="1"/>
  <c r="L325" i="16" s="1"/>
  <c r="J326" i="16" a="1"/>
  <c r="J326" i="16" s="1"/>
  <c r="K326" i="16" a="1"/>
  <c r="K326" i="16" s="1"/>
  <c r="L326" i="16" a="1"/>
  <c r="L326" i="16" s="1"/>
  <c r="J327" i="16" a="1"/>
  <c r="J327" i="16" s="1"/>
  <c r="K327" i="16" a="1"/>
  <c r="K327" i="16" s="1"/>
  <c r="L327" i="16" a="1"/>
  <c r="L327" i="16" s="1"/>
  <c r="J328" i="16" a="1"/>
  <c r="J328" i="16" s="1"/>
  <c r="K328" i="16" a="1"/>
  <c r="K328" i="16" s="1"/>
  <c r="L328" i="16" a="1"/>
  <c r="L328" i="16"/>
  <c r="J329" i="16" a="1"/>
  <c r="J329" i="16" s="1"/>
  <c r="K329" i="16" a="1"/>
  <c r="K329" i="16" s="1"/>
  <c r="L329" i="16" a="1"/>
  <c r="L329" i="16" s="1"/>
  <c r="J330" i="16" a="1"/>
  <c r="J330" i="16" s="1"/>
  <c r="K330" i="16" a="1"/>
  <c r="K330" i="16" s="1"/>
  <c r="L330" i="16" a="1"/>
  <c r="L330" i="16" s="1"/>
  <c r="J331" i="16" a="1"/>
  <c r="J331" i="16" s="1"/>
  <c r="K331" i="16" a="1"/>
  <c r="K331" i="16" s="1"/>
  <c r="L331" i="16" a="1"/>
  <c r="L331" i="16" s="1"/>
  <c r="J332" i="16" a="1"/>
  <c r="J332" i="16" s="1"/>
  <c r="K332" i="16" a="1"/>
  <c r="K332" i="16"/>
  <c r="L332" i="16" a="1"/>
  <c r="L332" i="16" s="1"/>
  <c r="J333" i="16" a="1"/>
  <c r="J333" i="16" s="1"/>
  <c r="K333" i="16" a="1"/>
  <c r="K333" i="16"/>
  <c r="L333" i="16" a="1"/>
  <c r="L333" i="16" s="1"/>
  <c r="J334" i="16" a="1"/>
  <c r="J334" i="16" s="1"/>
  <c r="K334" i="16" a="1"/>
  <c r="K334" i="16" s="1"/>
  <c r="L334" i="16" a="1"/>
  <c r="L334" i="16" s="1"/>
  <c r="J335" i="16" a="1"/>
  <c r="J335" i="16" s="1"/>
  <c r="K335" i="16" a="1"/>
  <c r="K335" i="16" s="1"/>
  <c r="L335" i="16" a="1"/>
  <c r="L335" i="16" s="1"/>
  <c r="J336" i="16" a="1"/>
  <c r="J336" i="16" s="1"/>
  <c r="K336" i="16" a="1"/>
  <c r="K336" i="16" s="1"/>
  <c r="L336" i="16" a="1"/>
  <c r="L336" i="16"/>
  <c r="J337" i="16" a="1"/>
  <c r="J337" i="16" s="1"/>
  <c r="K337" i="16" a="1"/>
  <c r="K337" i="16" s="1"/>
  <c r="L337" i="16" a="1"/>
  <c r="L337" i="16" s="1"/>
  <c r="J338" i="16" a="1"/>
  <c r="J338" i="16" s="1"/>
  <c r="K338" i="16" a="1"/>
  <c r="K338" i="16" s="1"/>
  <c r="L338" i="16" a="1"/>
  <c r="L338" i="16" s="1"/>
  <c r="J339" i="16" a="1"/>
  <c r="J339" i="16" s="1"/>
  <c r="K339" i="16" a="1"/>
  <c r="K339" i="16" s="1"/>
  <c r="L339" i="16" a="1"/>
  <c r="L339" i="16" s="1"/>
  <c r="J340" i="16" a="1"/>
  <c r="J340" i="16" s="1"/>
  <c r="K340" i="16" a="1"/>
  <c r="K340" i="16" s="1"/>
  <c r="L340" i="16" a="1"/>
  <c r="L340" i="16" s="1"/>
  <c r="J341" i="16" a="1"/>
  <c r="J341" i="16" s="1"/>
  <c r="K341" i="16" a="1"/>
  <c r="K341" i="16" s="1"/>
  <c r="L341" i="16" a="1"/>
  <c r="L341" i="16" s="1"/>
  <c r="J342" i="16" a="1"/>
  <c r="J342" i="16"/>
  <c r="K342" i="16" a="1"/>
  <c r="K342" i="16" s="1"/>
  <c r="L342" i="16" a="1"/>
  <c r="L342" i="16" s="1"/>
  <c r="J343" i="16" a="1"/>
  <c r="J343" i="16" s="1"/>
  <c r="K343" i="16" a="1"/>
  <c r="K343" i="16" s="1"/>
  <c r="L343" i="16" a="1"/>
  <c r="L343" i="16" s="1"/>
  <c r="J344" i="16" a="1"/>
  <c r="J344" i="16" s="1"/>
  <c r="K344" i="16" a="1"/>
  <c r="K344" i="16" s="1"/>
  <c r="L344" i="16" a="1"/>
  <c r="L344" i="16" s="1"/>
  <c r="J345" i="16" a="1"/>
  <c r="J345" i="16" s="1"/>
  <c r="K345" i="16" a="1"/>
  <c r="K345" i="16" s="1"/>
  <c r="L345" i="16" a="1"/>
  <c r="L345" i="16" s="1"/>
  <c r="J346" i="16" a="1"/>
  <c r="J346" i="16" s="1"/>
  <c r="K346" i="16" a="1"/>
  <c r="K346" i="16" s="1"/>
  <c r="L346" i="16" a="1"/>
  <c r="L346" i="16" s="1"/>
  <c r="J347" i="16" a="1"/>
  <c r="J347" i="16" s="1"/>
  <c r="K347" i="16" a="1"/>
  <c r="K347" i="16" s="1"/>
  <c r="L347" i="16" a="1"/>
  <c r="L347" i="16" s="1"/>
  <c r="J348" i="16" a="1"/>
  <c r="J348" i="16" s="1"/>
  <c r="K348" i="16" a="1"/>
  <c r="K348" i="16" s="1"/>
  <c r="L348" i="16" a="1"/>
  <c r="L348" i="16" s="1"/>
  <c r="J349" i="16" a="1"/>
  <c r="J349" i="16" s="1"/>
  <c r="K349" i="16" a="1"/>
  <c r="K349" i="16" s="1"/>
  <c r="L349" i="16" a="1"/>
  <c r="L349" i="16" s="1"/>
  <c r="J350" i="16" a="1"/>
  <c r="J350" i="16" s="1"/>
  <c r="K350" i="16" a="1"/>
  <c r="K350" i="16" s="1"/>
  <c r="L350" i="16" a="1"/>
  <c r="L350" i="16" s="1"/>
  <c r="J351" i="16" a="1"/>
  <c r="J351" i="16" s="1"/>
  <c r="K351" i="16" a="1"/>
  <c r="K351" i="16" s="1"/>
  <c r="L351" i="16" a="1"/>
  <c r="L351" i="16" s="1"/>
  <c r="J352" i="16" a="1"/>
  <c r="J352" i="16" s="1"/>
  <c r="K352" i="16" a="1"/>
  <c r="K352" i="16" s="1"/>
  <c r="L352" i="16" a="1"/>
  <c r="L352" i="16" s="1"/>
  <c r="J353" i="16" a="1"/>
  <c r="J353" i="16" s="1"/>
  <c r="K353" i="16" a="1"/>
  <c r="K353" i="16" s="1"/>
  <c r="L353" i="16" a="1"/>
  <c r="L353" i="16"/>
  <c r="J354" i="16" a="1"/>
  <c r="J354" i="16" s="1"/>
  <c r="K354" i="16" a="1"/>
  <c r="K354" i="16" s="1"/>
  <c r="L354" i="16" a="1"/>
  <c r="L354" i="16" s="1"/>
  <c r="J355" i="16" a="1"/>
  <c r="J355" i="16" s="1"/>
  <c r="K355" i="16" a="1"/>
  <c r="K355" i="16" s="1"/>
  <c r="L355" i="16" a="1"/>
  <c r="L355" i="16" s="1"/>
  <c r="J356" i="16" a="1"/>
  <c r="J356" i="16" s="1"/>
  <c r="K356" i="16" a="1"/>
  <c r="K356" i="16" s="1"/>
  <c r="L356" i="16" a="1"/>
  <c r="L356" i="16" s="1"/>
  <c r="J357" i="16" a="1"/>
  <c r="J357" i="16" s="1"/>
  <c r="K357" i="16" a="1"/>
  <c r="K357" i="16" s="1"/>
  <c r="L357" i="16" a="1"/>
  <c r="L357" i="16" s="1"/>
  <c r="J358" i="16" a="1"/>
  <c r="J358" i="16" s="1"/>
  <c r="K358" i="16" a="1"/>
  <c r="K358" i="16" s="1"/>
  <c r="L358" i="16" a="1"/>
  <c r="L358" i="16" s="1"/>
  <c r="J359" i="16" a="1"/>
  <c r="J359" i="16"/>
  <c r="K359" i="16" a="1"/>
  <c r="K359" i="16" s="1"/>
  <c r="L359" i="16" a="1"/>
  <c r="L359" i="16" s="1"/>
  <c r="J360" i="16" a="1"/>
  <c r="J360" i="16" s="1"/>
  <c r="K360" i="16" a="1"/>
  <c r="K360" i="16" s="1"/>
  <c r="L360" i="16" a="1"/>
  <c r="L360" i="16" s="1"/>
  <c r="J361" i="16" a="1"/>
  <c r="J361" i="16" s="1"/>
  <c r="K361" i="16" a="1"/>
  <c r="K361" i="16" s="1"/>
  <c r="L361" i="16" a="1"/>
  <c r="L361" i="16" s="1"/>
  <c r="J362" i="16" a="1"/>
  <c r="J362" i="16" s="1"/>
  <c r="K362" i="16" a="1"/>
  <c r="K362" i="16" s="1"/>
  <c r="L362" i="16" a="1"/>
  <c r="L362" i="16" s="1"/>
  <c r="J363" i="16" a="1"/>
  <c r="J363" i="16" s="1"/>
  <c r="K363" i="16" a="1"/>
  <c r="K363" i="16" s="1"/>
  <c r="L363" i="16" a="1"/>
  <c r="L363" i="16" s="1"/>
  <c r="J364" i="16" a="1"/>
  <c r="J364" i="16" s="1"/>
  <c r="K364" i="16" a="1"/>
  <c r="K364" i="16" s="1"/>
  <c r="L364" i="16" a="1"/>
  <c r="L364" i="16" s="1"/>
  <c r="J365" i="16" a="1"/>
  <c r="J365" i="16" s="1"/>
  <c r="K365" i="16" a="1"/>
  <c r="K365" i="16" s="1"/>
  <c r="L365" i="16" a="1"/>
  <c r="L365" i="16" s="1"/>
  <c r="J366" i="16" a="1"/>
  <c r="J366" i="16" s="1"/>
  <c r="K366" i="16" a="1"/>
  <c r="K366" i="16" s="1"/>
  <c r="L366" i="16" a="1"/>
  <c r="L366" i="16" s="1"/>
  <c r="J367" i="16" a="1"/>
  <c r="J367" i="16" s="1"/>
  <c r="K367" i="16" a="1"/>
  <c r="K367" i="16" s="1"/>
  <c r="L367" i="16" a="1"/>
  <c r="L367" i="16" s="1"/>
  <c r="J368" i="16" a="1"/>
  <c r="J368" i="16" s="1"/>
  <c r="K368" i="16" a="1"/>
  <c r="K368" i="16" s="1"/>
  <c r="L368" i="16" a="1"/>
  <c r="L368" i="16" s="1"/>
  <c r="J369" i="16" a="1"/>
  <c r="J369" i="16" s="1"/>
  <c r="K369" i="16" a="1"/>
  <c r="K369" i="16" s="1"/>
  <c r="L369" i="16" a="1"/>
  <c r="L369" i="16" s="1"/>
  <c r="J370" i="16" a="1"/>
  <c r="J370" i="16" s="1"/>
  <c r="K370" i="16" a="1"/>
  <c r="K370" i="16" s="1"/>
  <c r="L370" i="16" a="1"/>
  <c r="L370" i="16" s="1"/>
  <c r="J371" i="16" a="1"/>
  <c r="J371" i="16" s="1"/>
  <c r="K371" i="16" a="1"/>
  <c r="K371" i="16" s="1"/>
  <c r="L371" i="16" a="1"/>
  <c r="L371" i="16" s="1"/>
  <c r="J372" i="16" a="1"/>
  <c r="J372" i="16" s="1"/>
  <c r="K372" i="16" a="1"/>
  <c r="K372" i="16" s="1"/>
  <c r="L372" i="16" a="1"/>
  <c r="L372" i="16" s="1"/>
  <c r="J373" i="16" a="1"/>
  <c r="J373" i="16" s="1"/>
  <c r="K373" i="16" a="1"/>
  <c r="K373" i="16" s="1"/>
  <c r="L373" i="16" a="1"/>
  <c r="L373" i="16" s="1"/>
  <c r="J374" i="16" a="1"/>
  <c r="J374" i="16" s="1"/>
  <c r="K374" i="16" a="1"/>
  <c r="K374" i="16" s="1"/>
  <c r="L374" i="16" a="1"/>
  <c r="L374" i="16" s="1"/>
  <c r="J375" i="16" a="1"/>
  <c r="J375" i="16" s="1"/>
  <c r="K375" i="16" a="1"/>
  <c r="K375" i="16" s="1"/>
  <c r="L375" i="16" a="1"/>
  <c r="L375" i="16" s="1"/>
  <c r="J376" i="16" a="1"/>
  <c r="J376" i="16" s="1"/>
  <c r="K376" i="16" a="1"/>
  <c r="K376" i="16" s="1"/>
  <c r="L376" i="16" a="1"/>
  <c r="L376" i="16" s="1"/>
  <c r="J377" i="16" a="1"/>
  <c r="J377" i="16" s="1"/>
  <c r="K377" i="16" a="1"/>
  <c r="K377" i="16" s="1"/>
  <c r="L377" i="16" a="1"/>
  <c r="L377" i="16" s="1"/>
  <c r="J378" i="16" a="1"/>
  <c r="J378" i="16" s="1"/>
  <c r="K378" i="16" a="1"/>
  <c r="K378" i="16" s="1"/>
  <c r="L378" i="16" a="1"/>
  <c r="L378" i="16" s="1"/>
  <c r="J379" i="16" a="1"/>
  <c r="J379" i="16" s="1"/>
  <c r="K379" i="16" a="1"/>
  <c r="K379" i="16" s="1"/>
  <c r="L379" i="16" a="1"/>
  <c r="L379" i="16" s="1"/>
  <c r="J380" i="16" a="1"/>
  <c r="J380" i="16" s="1"/>
  <c r="K380" i="16" a="1"/>
  <c r="K380" i="16" s="1"/>
  <c r="L380" i="16" a="1"/>
  <c r="L380" i="16" s="1"/>
  <c r="J381" i="16" a="1"/>
  <c r="J381" i="16" s="1"/>
  <c r="K381" i="16" a="1"/>
  <c r="K381" i="16" s="1"/>
  <c r="L381" i="16" a="1"/>
  <c r="L381" i="16" s="1"/>
  <c r="J382" i="16" a="1"/>
  <c r="J382" i="16" s="1"/>
  <c r="K382" i="16" a="1"/>
  <c r="K382" i="16" s="1"/>
  <c r="L382" i="16" a="1"/>
  <c r="L382" i="16" s="1"/>
  <c r="J383" i="16" a="1"/>
  <c r="J383" i="16" s="1"/>
  <c r="K383" i="16" a="1"/>
  <c r="K383" i="16" s="1"/>
  <c r="L383" i="16" a="1"/>
  <c r="L383" i="16" s="1"/>
  <c r="J384" i="16" a="1"/>
  <c r="J384" i="16" s="1"/>
  <c r="K384" i="16" a="1"/>
  <c r="K384" i="16" s="1"/>
  <c r="L384" i="16" a="1"/>
  <c r="L384" i="16" s="1"/>
  <c r="J385" i="16" a="1"/>
  <c r="J385" i="16" s="1"/>
  <c r="K385" i="16" a="1"/>
  <c r="K385" i="16" s="1"/>
  <c r="L385" i="16" a="1"/>
  <c r="L385" i="16" s="1"/>
  <c r="J386" i="16" a="1"/>
  <c r="J386" i="16"/>
  <c r="K386" i="16" a="1"/>
  <c r="K386" i="16" s="1"/>
  <c r="L386" i="16" a="1"/>
  <c r="L386" i="16" s="1"/>
  <c r="J387" i="16" a="1"/>
  <c r="J387" i="16" s="1"/>
  <c r="K387" i="16" a="1"/>
  <c r="K387" i="16" s="1"/>
  <c r="L387" i="16" a="1"/>
  <c r="L387" i="16" s="1"/>
  <c r="J388" i="16" a="1"/>
  <c r="J388" i="16" s="1"/>
  <c r="K388" i="16" a="1"/>
  <c r="K388" i="16" s="1"/>
  <c r="L388" i="16" a="1"/>
  <c r="L388" i="16" s="1"/>
  <c r="J389" i="16" a="1"/>
  <c r="J389" i="16" s="1"/>
  <c r="K389" i="16" a="1"/>
  <c r="K389" i="16" s="1"/>
  <c r="L389" i="16" a="1"/>
  <c r="L389" i="16" s="1"/>
  <c r="J390" i="16" a="1"/>
  <c r="J390" i="16" s="1"/>
  <c r="K390" i="16" a="1"/>
  <c r="K390" i="16" s="1"/>
  <c r="L390" i="16" a="1"/>
  <c r="L390" i="16" s="1"/>
  <c r="J391" i="16" a="1"/>
  <c r="J391" i="16" s="1"/>
  <c r="K391" i="16" a="1"/>
  <c r="K391" i="16" s="1"/>
  <c r="L391" i="16" a="1"/>
  <c r="L391" i="16" s="1"/>
  <c r="J392" i="16" a="1"/>
  <c r="J392" i="16" s="1"/>
  <c r="K392" i="16" a="1"/>
  <c r="K392" i="16" s="1"/>
  <c r="L392" i="16" a="1"/>
  <c r="L392" i="16" s="1"/>
  <c r="J393" i="16" a="1"/>
  <c r="J393" i="16" s="1"/>
  <c r="K393" i="16" a="1"/>
  <c r="K393" i="16" s="1"/>
  <c r="L393" i="16" a="1"/>
  <c r="L393" i="16" s="1"/>
  <c r="J394" i="16" a="1"/>
  <c r="J394" i="16" s="1"/>
  <c r="K394" i="16" a="1"/>
  <c r="K394" i="16" s="1"/>
  <c r="L394" i="16" a="1"/>
  <c r="L394" i="16"/>
  <c r="J395" i="16" a="1"/>
  <c r="J395" i="16" s="1"/>
  <c r="K395" i="16" a="1"/>
  <c r="K395" i="16" s="1"/>
  <c r="L395" i="16" a="1"/>
  <c r="L395" i="16" s="1"/>
  <c r="J396" i="16" a="1"/>
  <c r="J396" i="16" s="1"/>
  <c r="K396" i="16" a="1"/>
  <c r="K396" i="16" s="1"/>
  <c r="L396" i="16" a="1"/>
  <c r="L396" i="16" s="1"/>
  <c r="J397" i="16" a="1"/>
  <c r="J397" i="16" s="1"/>
  <c r="K397" i="16" a="1"/>
  <c r="K397" i="16" s="1"/>
  <c r="L397" i="16" a="1"/>
  <c r="L397" i="16" s="1"/>
  <c r="J398" i="16" a="1"/>
  <c r="J398" i="16" s="1"/>
  <c r="K398" i="16" a="1"/>
  <c r="K398" i="16" s="1"/>
  <c r="L398" i="16" a="1"/>
  <c r="L398" i="16" s="1"/>
  <c r="J399" i="16" a="1"/>
  <c r="J399" i="16" s="1"/>
  <c r="K399" i="16" a="1"/>
  <c r="K399" i="16" s="1"/>
  <c r="L399" i="16" a="1"/>
  <c r="L399" i="16" s="1"/>
  <c r="J400" i="16" a="1"/>
  <c r="J400" i="16" s="1"/>
  <c r="K400" i="16" a="1"/>
  <c r="K400" i="16" s="1"/>
  <c r="L400" i="16" a="1"/>
  <c r="L400" i="16" s="1"/>
  <c r="J401" i="16" a="1"/>
  <c r="J401" i="16" s="1"/>
  <c r="K401" i="16" a="1"/>
  <c r="K401" i="16" s="1"/>
  <c r="L401" i="16" a="1"/>
  <c r="L401" i="16" s="1"/>
  <c r="J402" i="16" a="1"/>
  <c r="J402" i="16" s="1"/>
  <c r="K402" i="16" a="1"/>
  <c r="K402" i="16" s="1"/>
  <c r="L402" i="16" a="1"/>
  <c r="L402" i="16" s="1"/>
  <c r="J403" i="16" a="1"/>
  <c r="J403" i="16" s="1"/>
  <c r="K403" i="16" a="1"/>
  <c r="K403" i="16" s="1"/>
  <c r="L403" i="16" a="1"/>
  <c r="L403" i="16" s="1"/>
  <c r="J404" i="16" a="1"/>
  <c r="J404" i="16"/>
  <c r="K404" i="16" a="1"/>
  <c r="K404" i="16" s="1"/>
  <c r="L404" i="16" a="1"/>
  <c r="L404" i="16" s="1"/>
  <c r="J405" i="16" a="1"/>
  <c r="J405" i="16" s="1"/>
  <c r="K405" i="16" a="1"/>
  <c r="K405" i="16" s="1"/>
  <c r="L405" i="16" a="1"/>
  <c r="L405" i="16" s="1"/>
  <c r="J406" i="16" a="1"/>
  <c r="J406" i="16" s="1"/>
  <c r="K406" i="16" a="1"/>
  <c r="K406" i="16" s="1"/>
  <c r="L406" i="16" a="1"/>
  <c r="L406" i="16" s="1"/>
  <c r="J407" i="16" a="1"/>
  <c r="J407" i="16" s="1"/>
  <c r="K407" i="16" a="1"/>
  <c r="K407" i="16" s="1"/>
  <c r="L407" i="16" a="1"/>
  <c r="L407" i="16" s="1"/>
  <c r="J408" i="16" a="1"/>
  <c r="J408" i="16" s="1"/>
  <c r="K408" i="16" a="1"/>
  <c r="K408" i="16" s="1"/>
  <c r="L408" i="16" a="1"/>
  <c r="L408" i="16" s="1"/>
  <c r="J409" i="16" a="1"/>
  <c r="J409" i="16" s="1"/>
  <c r="K409" i="16" a="1"/>
  <c r="K409" i="16" s="1"/>
  <c r="L409" i="16" a="1"/>
  <c r="L409" i="16" s="1"/>
  <c r="J410" i="16" a="1"/>
  <c r="J410" i="16" s="1"/>
  <c r="K410" i="16" a="1"/>
  <c r="K410" i="16" s="1"/>
  <c r="L410" i="16" a="1"/>
  <c r="L410" i="16" s="1"/>
  <c r="J411" i="16" a="1"/>
  <c r="J411" i="16"/>
  <c r="K411" i="16" a="1"/>
  <c r="K411" i="16" s="1"/>
  <c r="L411" i="16" a="1"/>
  <c r="L411" i="16" s="1"/>
  <c r="J412" i="16" a="1"/>
  <c r="J412" i="16" s="1"/>
  <c r="K412" i="16" a="1"/>
  <c r="K412" i="16" s="1"/>
  <c r="L412" i="16" a="1"/>
  <c r="L412" i="16" s="1"/>
  <c r="J413" i="16" a="1"/>
  <c r="J413" i="16" s="1"/>
  <c r="K413" i="16" a="1"/>
  <c r="K413" i="16" s="1"/>
  <c r="L413" i="16" a="1"/>
  <c r="L413" i="16" s="1"/>
  <c r="J414" i="16" a="1"/>
  <c r="J414" i="16" s="1"/>
  <c r="K414" i="16" a="1"/>
  <c r="K414" i="16" s="1"/>
  <c r="L414" i="16" a="1"/>
  <c r="L414" i="16" s="1"/>
  <c r="J415" i="16" a="1"/>
  <c r="J415" i="16" s="1"/>
  <c r="K415" i="16" a="1"/>
  <c r="K415" i="16" s="1"/>
  <c r="L415" i="16" a="1"/>
  <c r="L415" i="16" s="1"/>
  <c r="J416" i="16" a="1"/>
  <c r="J416" i="16" s="1"/>
  <c r="K416" i="16" a="1"/>
  <c r="K416" i="16" s="1"/>
  <c r="L416" i="16" a="1"/>
  <c r="L416" i="16" s="1"/>
  <c r="J417" i="16" a="1"/>
  <c r="J417" i="16"/>
  <c r="K417" i="16" a="1"/>
  <c r="K417" i="16" s="1"/>
  <c r="L417" i="16" a="1"/>
  <c r="L417" i="16" s="1"/>
  <c r="J418" i="16" a="1"/>
  <c r="J418" i="16" s="1"/>
  <c r="K418" i="16" a="1"/>
  <c r="K418" i="16" s="1"/>
  <c r="L418" i="16" a="1"/>
  <c r="L418" i="16" s="1"/>
  <c r="J419" i="16" a="1"/>
  <c r="J419" i="16" s="1"/>
  <c r="K419" i="16" a="1"/>
  <c r="K419" i="16"/>
  <c r="L419" i="16" a="1"/>
  <c r="L419" i="16" s="1"/>
  <c r="J420" i="16" a="1"/>
  <c r="J420" i="16" s="1"/>
  <c r="K420" i="16" a="1"/>
  <c r="K420" i="16"/>
  <c r="L420" i="16" a="1"/>
  <c r="L420" i="16" s="1"/>
  <c r="J421" i="16" a="1"/>
  <c r="J421" i="16" s="1"/>
  <c r="K421" i="16" a="1"/>
  <c r="K421" i="16" s="1"/>
  <c r="L421" i="16" a="1"/>
  <c r="L421" i="16" s="1"/>
  <c r="J422" i="16" a="1"/>
  <c r="J422" i="16" s="1"/>
  <c r="K422" i="16" a="1"/>
  <c r="K422" i="16" s="1"/>
  <c r="L422" i="16" a="1"/>
  <c r="L422" i="16" s="1"/>
  <c r="J423" i="16" a="1"/>
  <c r="J423" i="16"/>
  <c r="K423" i="16" a="1"/>
  <c r="K423" i="16" s="1"/>
  <c r="L423" i="16" a="1"/>
  <c r="L423" i="16" s="1"/>
  <c r="J424" i="16" a="1"/>
  <c r="J424" i="16" s="1"/>
  <c r="K424" i="16" a="1"/>
  <c r="K424" i="16" s="1"/>
  <c r="L424" i="16" a="1"/>
  <c r="L424" i="16" s="1"/>
  <c r="J425" i="16" a="1"/>
  <c r="J425" i="16" s="1"/>
  <c r="K425" i="16" a="1"/>
  <c r="K425" i="16" s="1"/>
  <c r="L425" i="16" a="1"/>
  <c r="L425" i="16" s="1"/>
  <c r="J426" i="16" a="1"/>
  <c r="J426" i="16" s="1"/>
  <c r="K426" i="16" a="1"/>
  <c r="K426" i="16" s="1"/>
  <c r="L426" i="16" a="1"/>
  <c r="L426" i="16" s="1"/>
  <c r="J427" i="16" a="1"/>
  <c r="J427" i="16" s="1"/>
  <c r="K427" i="16" a="1"/>
  <c r="K427" i="16" s="1"/>
  <c r="L427" i="16" a="1"/>
  <c r="L427" i="16"/>
  <c r="J428" i="16" a="1"/>
  <c r="J428" i="16" s="1"/>
  <c r="K428" i="16" a="1"/>
  <c r="K428" i="16" s="1"/>
  <c r="L428" i="16" a="1"/>
  <c r="L428" i="16" s="1"/>
  <c r="J429" i="16" a="1"/>
  <c r="J429" i="16" s="1"/>
  <c r="K429" i="16" a="1"/>
  <c r="K429" i="16" s="1"/>
  <c r="L429" i="16" a="1"/>
  <c r="L429" i="16" s="1"/>
  <c r="J430" i="16" a="1"/>
  <c r="J430" i="16" s="1"/>
  <c r="K430" i="16" a="1"/>
  <c r="K430" i="16" s="1"/>
  <c r="L430" i="16" a="1"/>
  <c r="L430" i="16" s="1"/>
  <c r="J431" i="16" a="1"/>
  <c r="J431" i="16" s="1"/>
  <c r="K431" i="16" a="1"/>
  <c r="K431" i="16"/>
  <c r="L431" i="16" a="1"/>
  <c r="L431" i="16" s="1"/>
  <c r="J432" i="16" a="1"/>
  <c r="J432" i="16" s="1"/>
  <c r="K432" i="16" a="1"/>
  <c r="K432" i="16" s="1"/>
  <c r="L432" i="16" a="1"/>
  <c r="L432" i="16" s="1"/>
  <c r="J433" i="16" a="1"/>
  <c r="J433" i="16" s="1"/>
  <c r="K433" i="16" a="1"/>
  <c r="K433" i="16" s="1"/>
  <c r="L433" i="16" a="1"/>
  <c r="L433" i="16" s="1"/>
  <c r="J434" i="16" a="1"/>
  <c r="J434" i="16" s="1"/>
  <c r="K434" i="16" a="1"/>
  <c r="K434" i="16" s="1"/>
  <c r="L434" i="16" a="1"/>
  <c r="L434" i="16" s="1"/>
  <c r="J435" i="16" a="1"/>
  <c r="J435" i="16" s="1"/>
  <c r="K435" i="16" a="1"/>
  <c r="K435" i="16" s="1"/>
  <c r="L435" i="16" a="1"/>
  <c r="L435" i="16" s="1"/>
  <c r="J436" i="16" a="1"/>
  <c r="J436" i="16" s="1"/>
  <c r="K436" i="16" a="1"/>
  <c r="K436" i="16" s="1"/>
  <c r="L436" i="16" a="1"/>
  <c r="L436" i="16" s="1"/>
  <c r="J437" i="16" a="1"/>
  <c r="J437" i="16" s="1"/>
  <c r="K437" i="16" a="1"/>
  <c r="K437" i="16" s="1"/>
  <c r="L437" i="16" a="1"/>
  <c r="L437" i="16" s="1"/>
  <c r="J438" i="16" a="1"/>
  <c r="J438" i="16" s="1"/>
  <c r="K438" i="16" a="1"/>
  <c r="K438" i="16" s="1"/>
  <c r="L438" i="16" a="1"/>
  <c r="L438" i="16" s="1"/>
  <c r="J439" i="16" a="1"/>
  <c r="J439" i="16" s="1"/>
  <c r="K439" i="16" a="1"/>
  <c r="K439" i="16" s="1"/>
  <c r="L439" i="16" a="1"/>
  <c r="L439" i="16" s="1"/>
  <c r="J440" i="16" a="1"/>
  <c r="J440" i="16" s="1"/>
  <c r="K440" i="16" a="1"/>
  <c r="K440" i="16" s="1"/>
  <c r="L440" i="16" a="1"/>
  <c r="L440" i="16" s="1"/>
  <c r="J441" i="16" a="1"/>
  <c r="J441" i="16" s="1"/>
  <c r="K441" i="16" a="1"/>
  <c r="K441" i="16" s="1"/>
  <c r="L441" i="16" a="1"/>
  <c r="L441" i="16" s="1"/>
  <c r="J442" i="16" a="1"/>
  <c r="J442" i="16" s="1"/>
  <c r="K442" i="16" a="1"/>
  <c r="K442" i="16" s="1"/>
  <c r="L442" i="16" a="1"/>
  <c r="L442" i="16" s="1"/>
  <c r="J443" i="16" a="1"/>
  <c r="J443" i="16" s="1"/>
  <c r="K443" i="16" a="1"/>
  <c r="K443" i="16" s="1"/>
  <c r="L443" i="16" a="1"/>
  <c r="L443" i="16" s="1"/>
  <c r="J444" i="16" a="1"/>
  <c r="J444" i="16" s="1"/>
  <c r="K444" i="16" a="1"/>
  <c r="K444" i="16" s="1"/>
  <c r="L444" i="16" a="1"/>
  <c r="L444" i="16" s="1"/>
  <c r="J445" i="16" a="1"/>
  <c r="J445" i="16" s="1"/>
  <c r="K445" i="16" a="1"/>
  <c r="K445" i="16" s="1"/>
  <c r="L445" i="16" a="1"/>
  <c r="L445" i="16" s="1"/>
  <c r="J446" i="16" a="1"/>
  <c r="J446" i="16" s="1"/>
  <c r="K446" i="16" a="1"/>
  <c r="K446" i="16" s="1"/>
  <c r="L446" i="16" a="1"/>
  <c r="L446" i="16" s="1"/>
  <c r="J447" i="16" a="1"/>
  <c r="J447" i="16" s="1"/>
  <c r="K447" i="16" a="1"/>
  <c r="K447" i="16" s="1"/>
  <c r="L447" i="16" a="1"/>
  <c r="L447" i="16" s="1"/>
  <c r="J448" i="16" a="1"/>
  <c r="J448" i="16" s="1"/>
  <c r="K448" i="16" a="1"/>
  <c r="K448" i="16" s="1"/>
  <c r="L448" i="16" a="1"/>
  <c r="L448" i="16" s="1"/>
  <c r="J449" i="16" a="1"/>
  <c r="J449" i="16" s="1"/>
  <c r="K449" i="16" a="1"/>
  <c r="K449" i="16" s="1"/>
  <c r="L449" i="16" a="1"/>
  <c r="L449" i="16" s="1"/>
  <c r="J450" i="16" a="1"/>
  <c r="J450" i="16" s="1"/>
  <c r="K450" i="16" a="1"/>
  <c r="K450" i="16" s="1"/>
  <c r="L450" i="16" a="1"/>
  <c r="L450" i="16" s="1"/>
  <c r="J451" i="16" a="1"/>
  <c r="J451" i="16" s="1"/>
  <c r="K451" i="16" a="1"/>
  <c r="K451" i="16" s="1"/>
  <c r="L451" i="16" a="1"/>
  <c r="L451" i="16" s="1"/>
  <c r="J452" i="16" a="1"/>
  <c r="J452" i="16" s="1"/>
  <c r="K452" i="16" a="1"/>
  <c r="K452" i="16" s="1"/>
  <c r="L452" i="16" a="1"/>
  <c r="L452" i="16" s="1"/>
  <c r="J453" i="16" a="1"/>
  <c r="J453" i="16" s="1"/>
  <c r="K453" i="16" a="1"/>
  <c r="K453" i="16" s="1"/>
  <c r="L453" i="16" a="1"/>
  <c r="L453" i="16" s="1"/>
  <c r="J454" i="16" a="1"/>
  <c r="J454" i="16" s="1"/>
  <c r="K454" i="16" a="1"/>
  <c r="K454" i="16" s="1"/>
  <c r="L454" i="16" a="1"/>
  <c r="L454" i="16" s="1"/>
  <c r="J455" i="16" a="1"/>
  <c r="J455" i="16" s="1"/>
  <c r="K455" i="16" a="1"/>
  <c r="K455" i="16" s="1"/>
  <c r="L455" i="16" a="1"/>
  <c r="L455" i="16" s="1"/>
  <c r="J456" i="16" a="1"/>
  <c r="J456" i="16" s="1"/>
  <c r="K456" i="16" a="1"/>
  <c r="K456" i="16" s="1"/>
  <c r="L456" i="16" a="1"/>
  <c r="L456" i="16" s="1"/>
  <c r="J457" i="16" a="1"/>
  <c r="J457" i="16" s="1"/>
  <c r="K457" i="16" a="1"/>
  <c r="K457" i="16" s="1"/>
  <c r="L457" i="16" a="1"/>
  <c r="L457" i="16" s="1"/>
  <c r="J458" i="16" a="1"/>
  <c r="J458" i="16" s="1"/>
  <c r="K458" i="16" a="1"/>
  <c r="K458" i="16" s="1"/>
  <c r="L458" i="16" a="1"/>
  <c r="L458" i="16" s="1"/>
  <c r="J459" i="16" a="1"/>
  <c r="J459" i="16" s="1"/>
  <c r="K459" i="16" a="1"/>
  <c r="K459" i="16" s="1"/>
  <c r="L459" i="16" a="1"/>
  <c r="L459" i="16" s="1"/>
  <c r="J460" i="16" a="1"/>
  <c r="J460" i="16" s="1"/>
  <c r="K460" i="16" a="1"/>
  <c r="K460" i="16" s="1"/>
  <c r="L460" i="16" a="1"/>
  <c r="L460" i="16" s="1"/>
  <c r="J461" i="16" a="1"/>
  <c r="J461" i="16" s="1"/>
  <c r="K461" i="16" a="1"/>
  <c r="K461" i="16" s="1"/>
  <c r="L461" i="16" a="1"/>
  <c r="L461" i="16" s="1"/>
  <c r="J462" i="16" a="1"/>
  <c r="J462" i="16" s="1"/>
  <c r="K462" i="16" a="1"/>
  <c r="K462" i="16" s="1"/>
  <c r="L462" i="16" a="1"/>
  <c r="L462" i="16" s="1"/>
  <c r="J463" i="16" a="1"/>
  <c r="J463" i="16" s="1"/>
  <c r="K463" i="16" a="1"/>
  <c r="K463" i="16" s="1"/>
  <c r="L463" i="16" a="1"/>
  <c r="L463" i="16" s="1"/>
  <c r="J464" i="16" a="1"/>
  <c r="J464" i="16" s="1"/>
  <c r="K464" i="16" a="1"/>
  <c r="K464" i="16" s="1"/>
  <c r="L464" i="16" a="1"/>
  <c r="L464" i="16" s="1"/>
  <c r="J465" i="16" a="1"/>
  <c r="J465" i="16" s="1"/>
  <c r="K465" i="16" a="1"/>
  <c r="K465" i="16" s="1"/>
  <c r="L465" i="16" a="1"/>
  <c r="L465" i="16" s="1"/>
  <c r="J466" i="16" a="1"/>
  <c r="J466" i="16" s="1"/>
  <c r="K466" i="16" a="1"/>
  <c r="K466" i="16" s="1"/>
  <c r="L466" i="16" a="1"/>
  <c r="L466" i="16" s="1"/>
  <c r="J467" i="16" a="1"/>
  <c r="J467" i="16" s="1"/>
  <c r="K467" i="16" a="1"/>
  <c r="K467" i="16" s="1"/>
  <c r="L467" i="16" a="1"/>
  <c r="L467" i="16" s="1"/>
  <c r="J468" i="16" a="1"/>
  <c r="J468" i="16" s="1"/>
  <c r="K468" i="16" a="1"/>
  <c r="K468" i="16" s="1"/>
  <c r="L468" i="16" a="1"/>
  <c r="L468" i="16" s="1"/>
  <c r="J469" i="16" a="1"/>
  <c r="J469" i="16" s="1"/>
  <c r="K469" i="16" a="1"/>
  <c r="K469" i="16" s="1"/>
  <c r="L469" i="16" a="1"/>
  <c r="L469" i="16" s="1"/>
  <c r="J470" i="16" a="1"/>
  <c r="J470" i="16" s="1"/>
  <c r="K470" i="16" a="1"/>
  <c r="K470" i="16" s="1"/>
  <c r="L470" i="16" a="1"/>
  <c r="L470" i="16" s="1"/>
  <c r="J471" i="16" a="1"/>
  <c r="J471" i="16" s="1"/>
  <c r="K471" i="16" a="1"/>
  <c r="K471" i="16" s="1"/>
  <c r="L471" i="16" a="1"/>
  <c r="L471" i="16" s="1"/>
  <c r="J472" i="16" a="1"/>
  <c r="J472" i="16" s="1"/>
  <c r="K472" i="16" a="1"/>
  <c r="K472" i="16" s="1"/>
  <c r="L472" i="16" a="1"/>
  <c r="L472" i="16" s="1"/>
  <c r="J473" i="16" a="1"/>
  <c r="J473" i="16" s="1"/>
  <c r="K473" i="16" a="1"/>
  <c r="K473" i="16" s="1"/>
  <c r="L473" i="16" a="1"/>
  <c r="L473" i="16" s="1"/>
  <c r="J474" i="16" a="1"/>
  <c r="J474" i="16" s="1"/>
  <c r="K474" i="16" a="1"/>
  <c r="K474" i="16" s="1"/>
  <c r="L474" i="16" a="1"/>
  <c r="L474" i="16" s="1"/>
  <c r="J475" i="16" a="1"/>
  <c r="J475" i="16" s="1"/>
  <c r="K475" i="16" a="1"/>
  <c r="K475" i="16" s="1"/>
  <c r="L475" i="16" a="1"/>
  <c r="L475" i="16" s="1"/>
  <c r="J476" i="16" a="1"/>
  <c r="J476" i="16" s="1"/>
  <c r="K476" i="16" a="1"/>
  <c r="K476" i="16" s="1"/>
  <c r="L476" i="16" a="1"/>
  <c r="L476" i="16" s="1"/>
  <c r="J477" i="16" a="1"/>
  <c r="J477" i="16" s="1"/>
  <c r="K477" i="16" a="1"/>
  <c r="K477" i="16" s="1"/>
  <c r="L477" i="16" a="1"/>
  <c r="L477" i="16" s="1"/>
  <c r="J478" i="16" a="1"/>
  <c r="J478" i="16" s="1"/>
  <c r="K478" i="16" a="1"/>
  <c r="K478" i="16" s="1"/>
  <c r="L478" i="16" a="1"/>
  <c r="L478" i="16" s="1"/>
  <c r="J479" i="16" a="1"/>
  <c r="J479" i="16" s="1"/>
  <c r="K479" i="16" a="1"/>
  <c r="K479" i="16" s="1"/>
  <c r="L479" i="16" a="1"/>
  <c r="L479" i="16" s="1"/>
  <c r="J480" i="16" a="1"/>
  <c r="J480" i="16" s="1"/>
  <c r="K480" i="16" a="1"/>
  <c r="K480" i="16" s="1"/>
  <c r="L480" i="16" a="1"/>
  <c r="L480" i="16" s="1"/>
  <c r="J481" i="16" a="1"/>
  <c r="J481" i="16" s="1"/>
  <c r="K481" i="16" a="1"/>
  <c r="K481" i="16" s="1"/>
  <c r="L481" i="16" a="1"/>
  <c r="L481" i="16" s="1"/>
  <c r="J482" i="16" a="1"/>
  <c r="J482" i="16" s="1"/>
  <c r="K482" i="16" a="1"/>
  <c r="K482" i="16" s="1"/>
  <c r="L482" i="16" a="1"/>
  <c r="L482" i="16" s="1"/>
  <c r="J483" i="16" a="1"/>
  <c r="J483" i="16" s="1"/>
  <c r="K483" i="16" a="1"/>
  <c r="K483" i="16" s="1"/>
  <c r="L483" i="16" a="1"/>
  <c r="L483" i="16" s="1"/>
  <c r="J484" i="16" a="1"/>
  <c r="J484" i="16" s="1"/>
  <c r="K484" i="16" a="1"/>
  <c r="K484" i="16" s="1"/>
  <c r="L484" i="16" a="1"/>
  <c r="L484" i="16" s="1"/>
  <c r="J485" i="16" a="1"/>
  <c r="J485" i="16" s="1"/>
  <c r="K485" i="16" a="1"/>
  <c r="K485" i="16" s="1"/>
  <c r="L485" i="16" a="1"/>
  <c r="L485" i="16" s="1"/>
  <c r="J486" i="16" a="1"/>
  <c r="J486" i="16" s="1"/>
  <c r="K486" i="16" a="1"/>
  <c r="K486" i="16" s="1"/>
  <c r="L486" i="16" a="1"/>
  <c r="L486" i="16" s="1"/>
  <c r="J487" i="16" a="1"/>
  <c r="J487" i="16" s="1"/>
  <c r="K487" i="16" a="1"/>
  <c r="K487" i="16" s="1"/>
  <c r="L487" i="16" a="1"/>
  <c r="L487" i="16" s="1"/>
  <c r="J488" i="16" a="1"/>
  <c r="J488" i="16" s="1"/>
  <c r="K488" i="16" a="1"/>
  <c r="K488" i="16" s="1"/>
  <c r="L488" i="16" a="1"/>
  <c r="L488" i="16" s="1"/>
  <c r="J489" i="16" a="1"/>
  <c r="J489" i="16" s="1"/>
  <c r="K489" i="16" a="1"/>
  <c r="K489" i="16" s="1"/>
  <c r="L489" i="16" a="1"/>
  <c r="L489" i="16" s="1"/>
  <c r="J490" i="16" a="1"/>
  <c r="J490" i="16" s="1"/>
  <c r="K490" i="16" a="1"/>
  <c r="K490" i="16" s="1"/>
  <c r="L490" i="16" a="1"/>
  <c r="L490" i="16" s="1"/>
  <c r="J491" i="16" a="1"/>
  <c r="J491" i="16" s="1"/>
  <c r="K491" i="16" a="1"/>
  <c r="K491" i="16" s="1"/>
  <c r="L491" i="16" a="1"/>
  <c r="L491" i="16" s="1"/>
  <c r="J492" i="16" a="1"/>
  <c r="J492" i="16" s="1"/>
  <c r="K492" i="16" a="1"/>
  <c r="K492" i="16" s="1"/>
  <c r="L492" i="16" a="1"/>
  <c r="L492" i="16" s="1"/>
  <c r="J493" i="16" a="1"/>
  <c r="J493" i="16" s="1"/>
  <c r="K493" i="16" a="1"/>
  <c r="K493" i="16" s="1"/>
  <c r="L493" i="16" a="1"/>
  <c r="L493" i="16" s="1"/>
  <c r="J494" i="16" a="1"/>
  <c r="J494" i="16" s="1"/>
  <c r="K494" i="16" a="1"/>
  <c r="K494" i="16" s="1"/>
  <c r="L494" i="16" a="1"/>
  <c r="L494" i="16" s="1"/>
  <c r="J495" i="16" a="1"/>
  <c r="J495" i="16" s="1"/>
  <c r="K495" i="16" a="1"/>
  <c r="K495" i="16" s="1"/>
  <c r="L495" i="16" a="1"/>
  <c r="L495" i="16" s="1"/>
  <c r="J496" i="16" a="1"/>
  <c r="J496" i="16" s="1"/>
  <c r="K496" i="16" a="1"/>
  <c r="K496" i="16" s="1"/>
  <c r="L496" i="16" a="1"/>
  <c r="L496" i="16" s="1"/>
  <c r="J497" i="16" a="1"/>
  <c r="J497" i="16" s="1"/>
  <c r="K497" i="16" a="1"/>
  <c r="K497" i="16" s="1"/>
  <c r="L497" i="16" a="1"/>
  <c r="L497" i="16" s="1"/>
  <c r="J498" i="16" a="1"/>
  <c r="J498" i="16" s="1"/>
  <c r="K498" i="16" a="1"/>
  <c r="K498" i="16" s="1"/>
  <c r="L498" i="16" a="1"/>
  <c r="L498" i="16" s="1"/>
  <c r="J499" i="16" a="1"/>
  <c r="J499" i="16" s="1"/>
  <c r="K499" i="16" a="1"/>
  <c r="K499" i="16" s="1"/>
  <c r="L499" i="16" a="1"/>
  <c r="L499" i="16" s="1"/>
  <c r="J500" i="16" a="1"/>
  <c r="J500" i="16" s="1"/>
  <c r="K500" i="16" a="1"/>
  <c r="K500" i="16" s="1"/>
  <c r="L500" i="16" a="1"/>
  <c r="L500" i="16" s="1"/>
  <c r="J501" i="16" a="1"/>
  <c r="J501" i="16" s="1"/>
  <c r="K501" i="16" a="1"/>
  <c r="K501" i="16" s="1"/>
  <c r="L501" i="16" a="1"/>
  <c r="L501" i="16" s="1"/>
  <c r="J502" i="16" a="1"/>
  <c r="J502" i="16" s="1"/>
  <c r="K502" i="16" a="1"/>
  <c r="K502" i="16" s="1"/>
  <c r="L502" i="16" a="1"/>
  <c r="L502" i="16" s="1"/>
  <c r="J503" i="16" a="1"/>
  <c r="J503" i="16" s="1"/>
  <c r="K503" i="16" a="1"/>
  <c r="K503" i="16" s="1"/>
  <c r="L503" i="16" a="1"/>
  <c r="L503" i="16" s="1"/>
  <c r="J504" i="16" a="1"/>
  <c r="J504" i="16" s="1"/>
  <c r="K504" i="16" a="1"/>
  <c r="K504" i="16" s="1"/>
  <c r="L504" i="16" a="1"/>
  <c r="L504" i="16" s="1"/>
  <c r="J505" i="16" a="1"/>
  <c r="J505" i="16" s="1"/>
  <c r="K505" i="16" a="1"/>
  <c r="K505" i="16" s="1"/>
  <c r="L505" i="16" a="1"/>
  <c r="L505" i="16" s="1"/>
  <c r="J506" i="16" a="1"/>
  <c r="J506" i="16" s="1"/>
  <c r="K506" i="16" a="1"/>
  <c r="K506" i="16" s="1"/>
  <c r="L506" i="16" a="1"/>
  <c r="L506" i="16" s="1"/>
  <c r="J507" i="16" a="1"/>
  <c r="J507" i="16" s="1"/>
  <c r="K507" i="16" a="1"/>
  <c r="K507" i="16" s="1"/>
  <c r="L507" i="16" a="1"/>
  <c r="L507" i="16" s="1"/>
  <c r="J508" i="16" a="1"/>
  <c r="J508" i="16" s="1"/>
  <c r="K508" i="16" a="1"/>
  <c r="K508" i="16" s="1"/>
  <c r="L508" i="16" a="1"/>
  <c r="L508" i="16" s="1"/>
  <c r="J509" i="16" a="1"/>
  <c r="J509" i="16" s="1"/>
  <c r="K509" i="16" a="1"/>
  <c r="K509" i="16" s="1"/>
  <c r="L509" i="16" a="1"/>
  <c r="L509" i="16" s="1"/>
  <c r="J510" i="16" a="1"/>
  <c r="J510" i="16" s="1"/>
  <c r="K510" i="16" a="1"/>
  <c r="K510" i="16" s="1"/>
  <c r="L510" i="16" a="1"/>
  <c r="L510" i="16" s="1"/>
  <c r="J511" i="16" a="1"/>
  <c r="J511" i="16" s="1"/>
  <c r="K511" i="16" a="1"/>
  <c r="K511" i="16" s="1"/>
  <c r="L511" i="16" a="1"/>
  <c r="L511" i="16" s="1"/>
  <c r="J512" i="16" a="1"/>
  <c r="J512" i="16" s="1"/>
  <c r="K512" i="16" a="1"/>
  <c r="K512" i="16" s="1"/>
  <c r="L512" i="16" a="1"/>
  <c r="L512" i="16" s="1"/>
  <c r="J513" i="16" a="1"/>
  <c r="J513" i="16" s="1"/>
  <c r="K513" i="16" a="1"/>
  <c r="K513" i="16" s="1"/>
  <c r="L513" i="16" a="1"/>
  <c r="L513" i="16" s="1"/>
  <c r="J514" i="16" a="1"/>
  <c r="J514" i="16" s="1"/>
  <c r="K514" i="16" a="1"/>
  <c r="K514" i="16" s="1"/>
  <c r="L514" i="16" a="1"/>
  <c r="L514" i="16" s="1"/>
  <c r="J515" i="16" a="1"/>
  <c r="J515" i="16" s="1"/>
  <c r="K515" i="16" a="1"/>
  <c r="K515" i="16" s="1"/>
  <c r="L515" i="16" a="1"/>
  <c r="L515" i="16" s="1"/>
  <c r="F1016" i="16" a="1"/>
  <c r="F1016" i="16" s="1"/>
  <c r="G1016" i="16" a="1"/>
  <c r="G1016" i="16"/>
  <c r="H1016" i="16" a="1"/>
  <c r="H1016" i="16" s="1"/>
  <c r="F1017" i="16" a="1"/>
  <c r="F1017" i="16" s="1"/>
  <c r="G1017" i="16" a="1"/>
  <c r="G1017" i="16" s="1"/>
  <c r="H1017" i="16" a="1"/>
  <c r="H1017" i="16" s="1"/>
  <c r="F1018" i="16" a="1"/>
  <c r="F1018" i="16"/>
  <c r="G1018" i="16" a="1"/>
  <c r="G1018" i="16" s="1"/>
  <c r="H1018" i="16" a="1"/>
  <c r="H1018" i="16" s="1"/>
  <c r="F1019" i="16" a="1"/>
  <c r="F1019" i="16" s="1"/>
  <c r="G1019" i="16" a="1"/>
  <c r="G1019" i="16" s="1"/>
  <c r="H1019" i="16" a="1"/>
  <c r="H1019" i="16"/>
  <c r="F1020" i="16" a="1"/>
  <c r="F1020" i="16" s="1"/>
  <c r="G1020" i="16" a="1"/>
  <c r="G1020" i="16" s="1"/>
  <c r="H1020" i="16" a="1"/>
  <c r="H1020" i="16" s="1"/>
  <c r="F1021" i="16" a="1"/>
  <c r="F1021" i="16" s="1"/>
  <c r="G1021" i="16" a="1"/>
  <c r="G1021" i="16"/>
  <c r="H1021" i="16" a="1"/>
  <c r="H1021" i="16" s="1"/>
  <c r="F1022" i="16" a="1"/>
  <c r="F1022" i="16" s="1"/>
  <c r="G1022" i="16" a="1"/>
  <c r="G1022" i="16" s="1"/>
  <c r="H1022" i="16" a="1"/>
  <c r="H1022" i="16" s="1"/>
  <c r="F1023" i="16" a="1"/>
  <c r="F1023" i="16"/>
  <c r="G1023" i="16" a="1"/>
  <c r="G1023" i="16" s="1"/>
  <c r="H1023" i="16" a="1"/>
  <c r="H1023" i="16" s="1"/>
  <c r="F1024" i="16" a="1"/>
  <c r="F1024" i="16" s="1"/>
  <c r="G1024" i="16" a="1"/>
  <c r="G1024" i="16" s="1"/>
  <c r="H1024" i="16" a="1"/>
  <c r="H1024" i="16" s="1"/>
  <c r="F1025" i="16" a="1"/>
  <c r="F1025" i="16" s="1"/>
  <c r="G1025" i="16" a="1"/>
  <c r="G1025" i="16" s="1"/>
  <c r="H1025" i="16" a="1"/>
  <c r="H1025" i="16" s="1"/>
  <c r="F516" i="16" a="1"/>
  <c r="F516" i="16" s="1"/>
  <c r="G516" i="16" a="1"/>
  <c r="G516" i="16" s="1"/>
  <c r="H516" i="16" a="1"/>
  <c r="H516" i="16" s="1"/>
  <c r="F517" i="16" a="1"/>
  <c r="F517" i="16" s="1"/>
  <c r="G517" i="16" a="1"/>
  <c r="G517" i="16" s="1"/>
  <c r="H517" i="16" a="1"/>
  <c r="H517" i="16" s="1"/>
  <c r="F518" i="16" a="1"/>
  <c r="F518" i="16" s="1"/>
  <c r="G518" i="16" a="1"/>
  <c r="G518" i="16" s="1"/>
  <c r="H518" i="16" a="1"/>
  <c r="H518" i="16" s="1"/>
  <c r="F519" i="16" a="1"/>
  <c r="F519" i="16" s="1"/>
  <c r="G519" i="16" a="1"/>
  <c r="G519" i="16" s="1"/>
  <c r="H519" i="16" a="1"/>
  <c r="H519" i="16" s="1"/>
  <c r="F520" i="16" a="1"/>
  <c r="F520" i="16" s="1"/>
  <c r="G520" i="16" a="1"/>
  <c r="G520" i="16" s="1"/>
  <c r="H520" i="16" a="1"/>
  <c r="H520" i="16" s="1"/>
  <c r="F521" i="16" a="1"/>
  <c r="F521" i="16" s="1"/>
  <c r="G521" i="16" a="1"/>
  <c r="G521" i="16" s="1"/>
  <c r="H521" i="16" a="1"/>
  <c r="H521" i="16" s="1"/>
  <c r="F522" i="16" a="1"/>
  <c r="F522" i="16" s="1"/>
  <c r="G522" i="16" a="1"/>
  <c r="G522" i="16" s="1"/>
  <c r="H522" i="16" a="1"/>
  <c r="H522" i="16" s="1"/>
  <c r="F523" i="16" a="1"/>
  <c r="F523" i="16"/>
  <c r="G523" i="16" a="1"/>
  <c r="G523" i="16" s="1"/>
  <c r="H523" i="16" a="1"/>
  <c r="H523" i="16" s="1"/>
  <c r="F524" i="16" a="1"/>
  <c r="F524" i="16"/>
  <c r="G524" i="16" a="1"/>
  <c r="G524" i="16" s="1"/>
  <c r="H524" i="16" a="1"/>
  <c r="H524" i="16" s="1"/>
  <c r="F525" i="16" a="1"/>
  <c r="F525" i="16" s="1"/>
  <c r="G525" i="16" a="1"/>
  <c r="G525" i="16" s="1"/>
  <c r="H525" i="16" a="1"/>
  <c r="H525" i="16" s="1"/>
  <c r="F526" i="16" a="1"/>
  <c r="F526" i="16" s="1"/>
  <c r="G526" i="16" a="1"/>
  <c r="G526" i="16" s="1"/>
  <c r="H526" i="16" a="1"/>
  <c r="H526" i="16" s="1"/>
  <c r="F527" i="16" a="1"/>
  <c r="F527" i="16" s="1"/>
  <c r="G527" i="16" a="1"/>
  <c r="G527" i="16" s="1"/>
  <c r="H527" i="16" a="1"/>
  <c r="H527" i="16" s="1"/>
  <c r="F528" i="16" a="1"/>
  <c r="F528" i="16" s="1"/>
  <c r="G528" i="16" a="1"/>
  <c r="G528" i="16" s="1"/>
  <c r="H528" i="16" a="1"/>
  <c r="H528" i="16" s="1"/>
  <c r="F529" i="16" a="1"/>
  <c r="F529" i="16" s="1"/>
  <c r="G529" i="16" a="1"/>
  <c r="G529" i="16" s="1"/>
  <c r="H529" i="16" a="1"/>
  <c r="H529" i="16" s="1"/>
  <c r="F530" i="16" a="1"/>
  <c r="F530" i="16" s="1"/>
  <c r="G530" i="16" a="1"/>
  <c r="G530" i="16" s="1"/>
  <c r="H530" i="16" a="1"/>
  <c r="H530" i="16" s="1"/>
  <c r="F531" i="16" a="1"/>
  <c r="F531" i="16" s="1"/>
  <c r="G531" i="16" a="1"/>
  <c r="G531" i="16"/>
  <c r="H531" i="16" a="1"/>
  <c r="H531" i="16" s="1"/>
  <c r="F532" i="16" a="1"/>
  <c r="F532" i="16" s="1"/>
  <c r="G532" i="16" a="1"/>
  <c r="G532" i="16" s="1"/>
  <c r="H532" i="16" a="1"/>
  <c r="H532" i="16" s="1"/>
  <c r="F533" i="16" a="1"/>
  <c r="F533" i="16" s="1"/>
  <c r="G533" i="16" a="1"/>
  <c r="G533" i="16"/>
  <c r="H533" i="16" a="1"/>
  <c r="H533" i="16" s="1"/>
  <c r="F534" i="16" a="1"/>
  <c r="F534" i="16" s="1"/>
  <c r="G534" i="16" a="1"/>
  <c r="G534" i="16" s="1"/>
  <c r="H534" i="16" a="1"/>
  <c r="H534" i="16" s="1"/>
  <c r="F535" i="16" a="1"/>
  <c r="F535" i="16" s="1"/>
  <c r="G535" i="16" a="1"/>
  <c r="G535" i="16" s="1"/>
  <c r="H535" i="16" a="1"/>
  <c r="H535" i="16"/>
  <c r="F536" i="16" a="1"/>
  <c r="F536" i="16" s="1"/>
  <c r="G536" i="16" a="1"/>
  <c r="G536" i="16" s="1"/>
  <c r="H536" i="16" a="1"/>
  <c r="H536" i="16" s="1"/>
  <c r="F537" i="16" a="1"/>
  <c r="F537" i="16" s="1"/>
  <c r="G537" i="16" a="1"/>
  <c r="G537" i="16"/>
  <c r="H537" i="16" a="1"/>
  <c r="H537" i="16" s="1"/>
  <c r="F538" i="16" a="1"/>
  <c r="F538" i="16" s="1"/>
  <c r="G538" i="16" a="1"/>
  <c r="G538" i="16" s="1"/>
  <c r="H538" i="16" a="1"/>
  <c r="H538" i="16" s="1"/>
  <c r="F539" i="16" a="1"/>
  <c r="F539" i="16" s="1"/>
  <c r="G539" i="16" a="1"/>
  <c r="G539" i="16" s="1"/>
  <c r="H539" i="16" a="1"/>
  <c r="H539" i="16"/>
  <c r="F540" i="16" a="1"/>
  <c r="F540" i="16"/>
  <c r="G540" i="16" a="1"/>
  <c r="G540" i="16" s="1"/>
  <c r="H540" i="16" a="1"/>
  <c r="H540" i="16" s="1"/>
  <c r="F541" i="16" a="1"/>
  <c r="F541" i="16" s="1"/>
  <c r="G541" i="16" a="1"/>
  <c r="G541" i="16" s="1"/>
  <c r="H541" i="16" a="1"/>
  <c r="H541" i="16" s="1"/>
  <c r="F542" i="16" a="1"/>
  <c r="F542" i="16" s="1"/>
  <c r="G542" i="16" a="1"/>
  <c r="G542" i="16" s="1"/>
  <c r="H542" i="16" a="1"/>
  <c r="H542" i="16" s="1"/>
  <c r="F543" i="16" a="1"/>
  <c r="F543" i="16" s="1"/>
  <c r="G543" i="16" a="1"/>
  <c r="G543" i="16" s="1"/>
  <c r="H543" i="16" a="1"/>
  <c r="H543" i="16" s="1"/>
  <c r="F544" i="16" a="1"/>
  <c r="F544" i="16" s="1"/>
  <c r="G544" i="16" a="1"/>
  <c r="G544" i="16" s="1"/>
  <c r="H544" i="16" a="1"/>
  <c r="H544" i="16" s="1"/>
  <c r="F545" i="16" a="1"/>
  <c r="F545" i="16" s="1"/>
  <c r="G545" i="16" a="1"/>
  <c r="G545" i="16" s="1"/>
  <c r="H545" i="16" a="1"/>
  <c r="H545" i="16"/>
  <c r="F546" i="16" a="1"/>
  <c r="F546" i="16" s="1"/>
  <c r="G546" i="16" a="1"/>
  <c r="G546" i="16" s="1"/>
  <c r="H546" i="16" a="1"/>
  <c r="H546" i="16" s="1"/>
  <c r="F547" i="16" a="1"/>
  <c r="F547" i="16"/>
  <c r="G547" i="16" a="1"/>
  <c r="G547" i="16" s="1"/>
  <c r="H547" i="16" a="1"/>
  <c r="H547" i="16" s="1"/>
  <c r="F548" i="16" a="1"/>
  <c r="F548" i="16" s="1"/>
  <c r="G548" i="16" a="1"/>
  <c r="G548" i="16" s="1"/>
  <c r="H548" i="16" a="1"/>
  <c r="H548" i="16" s="1"/>
  <c r="F549" i="16" a="1"/>
  <c r="F549" i="16" s="1"/>
  <c r="G549" i="16" a="1"/>
  <c r="G549" i="16" s="1"/>
  <c r="H549" i="16" a="1"/>
  <c r="H549" i="16" s="1"/>
  <c r="F550" i="16" a="1"/>
  <c r="F550" i="16" s="1"/>
  <c r="G550" i="16" a="1"/>
  <c r="G550" i="16" s="1"/>
  <c r="H550" i="16" a="1"/>
  <c r="H550" i="16" s="1"/>
  <c r="F551" i="16" a="1"/>
  <c r="F551" i="16" s="1"/>
  <c r="G551" i="16" a="1"/>
  <c r="G551" i="16"/>
  <c r="H551" i="16" a="1"/>
  <c r="H551" i="16" s="1"/>
  <c r="F552" i="16" a="1"/>
  <c r="F552" i="16" s="1"/>
  <c r="G552" i="16" a="1"/>
  <c r="G552" i="16"/>
  <c r="H552" i="16" a="1"/>
  <c r="H552" i="16" s="1"/>
  <c r="F553" i="16" a="1"/>
  <c r="F553" i="16" s="1"/>
  <c r="G553" i="16" a="1"/>
  <c r="G553" i="16" s="1"/>
  <c r="H553" i="16" a="1"/>
  <c r="H553" i="16"/>
  <c r="F554" i="16" a="1"/>
  <c r="F554" i="16" s="1"/>
  <c r="G554" i="16" a="1"/>
  <c r="G554" i="16" s="1"/>
  <c r="H554" i="16" a="1"/>
  <c r="H554" i="16" s="1"/>
  <c r="F555" i="16" a="1"/>
  <c r="F555" i="16" s="1"/>
  <c r="G555" i="16" a="1"/>
  <c r="G555" i="16" s="1"/>
  <c r="H555" i="16" a="1"/>
  <c r="H555" i="16" s="1"/>
  <c r="F556" i="16" a="1"/>
  <c r="F556" i="16" s="1"/>
  <c r="G556" i="16" a="1"/>
  <c r="G556" i="16"/>
  <c r="H556" i="16" a="1"/>
  <c r="H556" i="16" s="1"/>
  <c r="F557" i="16" a="1"/>
  <c r="F557" i="16" s="1"/>
  <c r="G557" i="16" a="1"/>
  <c r="G557" i="16"/>
  <c r="H557" i="16" a="1"/>
  <c r="H557" i="16" s="1"/>
  <c r="F558" i="16" a="1"/>
  <c r="F558" i="16" s="1"/>
  <c r="G558" i="16" a="1"/>
  <c r="G558" i="16" s="1"/>
  <c r="H558" i="16" a="1"/>
  <c r="H558" i="16"/>
  <c r="F559" i="16" a="1"/>
  <c r="F559" i="16" s="1"/>
  <c r="G559" i="16" a="1"/>
  <c r="G559" i="16" s="1"/>
  <c r="H559" i="16" a="1"/>
  <c r="H559" i="16" s="1"/>
  <c r="F560" i="16" a="1"/>
  <c r="F560" i="16" s="1"/>
  <c r="G560" i="16" a="1"/>
  <c r="G560" i="16" s="1"/>
  <c r="H560" i="16" a="1"/>
  <c r="H560" i="16" s="1"/>
  <c r="F561" i="16" a="1"/>
  <c r="F561" i="16" s="1"/>
  <c r="G561" i="16" a="1"/>
  <c r="G561" i="16"/>
  <c r="H561" i="16" a="1"/>
  <c r="H561" i="16"/>
  <c r="F562" i="16" a="1"/>
  <c r="F562" i="16" s="1"/>
  <c r="G562" i="16" a="1"/>
  <c r="G562" i="16" s="1"/>
  <c r="H562" i="16" a="1"/>
  <c r="H562" i="16" s="1"/>
  <c r="F563" i="16" a="1"/>
  <c r="F563" i="16"/>
  <c r="G563" i="16" a="1"/>
  <c r="G563" i="16" s="1"/>
  <c r="H563" i="16" a="1"/>
  <c r="H563" i="16" s="1"/>
  <c r="F564" i="16" a="1"/>
  <c r="F564" i="16" s="1"/>
  <c r="G564" i="16" a="1"/>
  <c r="G564" i="16" s="1"/>
  <c r="H564" i="16" a="1"/>
  <c r="H564" i="16" s="1"/>
  <c r="F565" i="16" a="1"/>
  <c r="F565" i="16"/>
  <c r="G565" i="16" a="1"/>
  <c r="G565" i="16"/>
  <c r="H565" i="16" a="1"/>
  <c r="H565" i="16" s="1"/>
  <c r="F566" i="16" a="1"/>
  <c r="F566" i="16" s="1"/>
  <c r="G566" i="16" a="1"/>
  <c r="G566" i="16" s="1"/>
  <c r="H566" i="16" a="1"/>
  <c r="H566" i="16" s="1"/>
  <c r="F567" i="16" a="1"/>
  <c r="F567" i="16" s="1"/>
  <c r="G567" i="16" a="1"/>
  <c r="G567" i="16"/>
  <c r="H567" i="16" a="1"/>
  <c r="H567" i="16" s="1"/>
  <c r="F568" i="16" a="1"/>
  <c r="F568" i="16" s="1"/>
  <c r="G568" i="16" a="1"/>
  <c r="G568" i="16" s="1"/>
  <c r="H568" i="16" a="1"/>
  <c r="H568" i="16" s="1"/>
  <c r="F569" i="16" a="1"/>
  <c r="F569" i="16"/>
  <c r="G569" i="16" a="1"/>
  <c r="G569" i="16" s="1"/>
  <c r="H569" i="16" a="1"/>
  <c r="H569" i="16"/>
  <c r="F570" i="16" a="1"/>
  <c r="F570" i="16" s="1"/>
  <c r="G570" i="16" a="1"/>
  <c r="G570" i="16" s="1"/>
  <c r="H570" i="16" a="1"/>
  <c r="H570" i="16" s="1"/>
  <c r="F571" i="16" a="1"/>
  <c r="F571" i="16" s="1"/>
  <c r="G571" i="16" a="1"/>
  <c r="G571" i="16" s="1"/>
  <c r="H571" i="16" a="1"/>
  <c r="H571" i="16" s="1"/>
  <c r="F572" i="16" a="1"/>
  <c r="F572" i="16" s="1"/>
  <c r="G572" i="16" a="1"/>
  <c r="G572" i="16"/>
  <c r="H572" i="16" a="1"/>
  <c r="H572" i="16" s="1"/>
  <c r="F573" i="16" a="1"/>
  <c r="F573" i="16" s="1"/>
  <c r="G573" i="16" a="1"/>
  <c r="G573" i="16" s="1"/>
  <c r="H573" i="16" a="1"/>
  <c r="H573" i="16" s="1"/>
  <c r="F574" i="16" a="1"/>
  <c r="F574" i="16"/>
  <c r="G574" i="16" a="1"/>
  <c r="G574" i="16" s="1"/>
  <c r="H574" i="16" a="1"/>
  <c r="H574" i="16" s="1"/>
  <c r="F575" i="16" a="1"/>
  <c r="F575" i="16" s="1"/>
  <c r="G575" i="16" a="1"/>
  <c r="G575" i="16"/>
  <c r="H575" i="16" a="1"/>
  <c r="H575" i="16" s="1"/>
  <c r="F576" i="16" a="1"/>
  <c r="F576" i="16" s="1"/>
  <c r="G576" i="16" a="1"/>
  <c r="G576" i="16" s="1"/>
  <c r="H576" i="16" a="1"/>
  <c r="H576" i="16" s="1"/>
  <c r="F577" i="16" a="1"/>
  <c r="F577" i="16" s="1"/>
  <c r="G577" i="16" a="1"/>
  <c r="G577" i="16" s="1"/>
  <c r="H577" i="16" a="1"/>
  <c r="H577" i="16" s="1"/>
  <c r="F578" i="16" a="1"/>
  <c r="F578" i="16" s="1"/>
  <c r="G578" i="16" a="1"/>
  <c r="G578" i="16" s="1"/>
  <c r="H578" i="16" a="1"/>
  <c r="H578" i="16" s="1"/>
  <c r="F579" i="16" a="1"/>
  <c r="F579" i="16"/>
  <c r="G579" i="16" a="1"/>
  <c r="G579" i="16" s="1"/>
  <c r="H579" i="16" a="1"/>
  <c r="H579" i="16" s="1"/>
  <c r="F580" i="16" a="1"/>
  <c r="F580" i="16" s="1"/>
  <c r="G580" i="16" a="1"/>
  <c r="G580" i="16"/>
  <c r="H580" i="16" a="1"/>
  <c r="H580" i="16" s="1"/>
  <c r="F581" i="16" a="1"/>
  <c r="F581" i="16" s="1"/>
  <c r="G581" i="16" a="1"/>
  <c r="G581" i="16" s="1"/>
  <c r="H581" i="16" a="1"/>
  <c r="H581" i="16"/>
  <c r="F582" i="16" a="1"/>
  <c r="F582" i="16"/>
  <c r="G582" i="16" a="1"/>
  <c r="G582" i="16" s="1"/>
  <c r="H582" i="16" a="1"/>
  <c r="H582" i="16" s="1"/>
  <c r="F583" i="16" a="1"/>
  <c r="F583" i="16" s="1"/>
  <c r="G583" i="16" a="1"/>
  <c r="G583" i="16" s="1"/>
  <c r="H583" i="16" a="1"/>
  <c r="H583" i="16" s="1"/>
  <c r="F584" i="16" a="1"/>
  <c r="F584" i="16"/>
  <c r="G584" i="16" a="1"/>
  <c r="G584" i="16" s="1"/>
  <c r="H584" i="16" a="1"/>
  <c r="H584" i="16" s="1"/>
  <c r="F585" i="16" a="1"/>
  <c r="F585" i="16" s="1"/>
  <c r="G585" i="16" a="1"/>
  <c r="G585" i="16" s="1"/>
  <c r="H585" i="16" a="1"/>
  <c r="H585" i="16"/>
  <c r="F586" i="16" a="1"/>
  <c r="F586" i="16" s="1"/>
  <c r="G586" i="16" a="1"/>
  <c r="G586" i="16" s="1"/>
  <c r="H586" i="16" a="1"/>
  <c r="H586" i="16" s="1"/>
  <c r="F587" i="16" a="1"/>
  <c r="F587" i="16" s="1"/>
  <c r="G587" i="16" a="1"/>
  <c r="G587" i="16" s="1"/>
  <c r="H587" i="16" a="1"/>
  <c r="H587" i="16" s="1"/>
  <c r="F588" i="16" a="1"/>
  <c r="F588" i="16" s="1"/>
  <c r="G588" i="16" a="1"/>
  <c r="G588" i="16"/>
  <c r="H588" i="16" a="1"/>
  <c r="H588" i="16" s="1"/>
  <c r="F589" i="16" a="1"/>
  <c r="F589" i="16" s="1"/>
  <c r="G589" i="16" a="1"/>
  <c r="G589" i="16" s="1"/>
  <c r="H589" i="16" a="1"/>
  <c r="H589" i="16" s="1"/>
  <c r="F590" i="16" a="1"/>
  <c r="F590" i="16" s="1"/>
  <c r="G590" i="16" a="1"/>
  <c r="G590" i="16" s="1"/>
  <c r="H590" i="16" a="1"/>
  <c r="H590" i="16"/>
  <c r="F591" i="16" a="1"/>
  <c r="F591" i="16" s="1"/>
  <c r="G591" i="16" a="1"/>
  <c r="G591" i="16" s="1"/>
  <c r="H591" i="16" a="1"/>
  <c r="H591" i="16"/>
  <c r="F592" i="16" a="1"/>
  <c r="F592" i="16" s="1"/>
  <c r="G592" i="16" a="1"/>
  <c r="G592" i="16" s="1"/>
  <c r="H592" i="16" a="1"/>
  <c r="H592" i="16" s="1"/>
  <c r="F593" i="16" a="1"/>
  <c r="F593" i="16" s="1"/>
  <c r="G593" i="16" a="1"/>
  <c r="G593" i="16"/>
  <c r="H593" i="16" a="1"/>
  <c r="H593" i="16" s="1"/>
  <c r="F594" i="16" a="1"/>
  <c r="F594" i="16" s="1"/>
  <c r="G594" i="16" a="1"/>
  <c r="G594" i="16" s="1"/>
  <c r="H594" i="16" a="1"/>
  <c r="H594" i="16" s="1"/>
  <c r="F595" i="16" a="1"/>
  <c r="F595" i="16" s="1"/>
  <c r="G595" i="16" a="1"/>
  <c r="G595" i="16" s="1"/>
  <c r="H595" i="16" a="1"/>
  <c r="H595" i="16" s="1"/>
  <c r="F596" i="16" a="1"/>
  <c r="F596" i="16" s="1"/>
  <c r="G596" i="16" a="1"/>
  <c r="G596" i="16" s="1"/>
  <c r="H596" i="16" a="1"/>
  <c r="H596" i="16" s="1"/>
  <c r="F597" i="16" a="1"/>
  <c r="F597" i="16"/>
  <c r="G597" i="16" a="1"/>
  <c r="G597" i="16" s="1"/>
  <c r="H597" i="16" a="1"/>
  <c r="H597" i="16" s="1"/>
  <c r="F598" i="16" a="1"/>
  <c r="F598" i="16" s="1"/>
  <c r="G598" i="16" a="1"/>
  <c r="G598" i="16" s="1"/>
  <c r="H598" i="16" a="1"/>
  <c r="H598" i="16" s="1"/>
  <c r="F599" i="16" a="1"/>
  <c r="F599" i="16" s="1"/>
  <c r="G599" i="16" a="1"/>
  <c r="G599" i="16" s="1"/>
  <c r="H599" i="16" a="1"/>
  <c r="H599" i="16" s="1"/>
  <c r="F600" i="16" a="1"/>
  <c r="F600" i="16" s="1"/>
  <c r="G600" i="16" a="1"/>
  <c r="G600" i="16" s="1"/>
  <c r="H600" i="16" a="1"/>
  <c r="H600" i="16" s="1"/>
  <c r="F601" i="16" a="1"/>
  <c r="F601" i="16" s="1"/>
  <c r="G601" i="16" a="1"/>
  <c r="G601" i="16" s="1"/>
  <c r="H601" i="16" a="1"/>
  <c r="H601" i="16" s="1"/>
  <c r="F602" i="16" a="1"/>
  <c r="F602" i="16" s="1"/>
  <c r="G602" i="16" a="1"/>
  <c r="G602" i="16" s="1"/>
  <c r="H602" i="16" a="1"/>
  <c r="H602" i="16" s="1"/>
  <c r="F603" i="16" a="1"/>
  <c r="F603" i="16" s="1"/>
  <c r="G603" i="16" a="1"/>
  <c r="G603" i="16" s="1"/>
  <c r="H603" i="16" a="1"/>
  <c r="H603" i="16" s="1"/>
  <c r="F604" i="16" a="1"/>
  <c r="F604" i="16" s="1"/>
  <c r="G604" i="16" a="1"/>
  <c r="G604" i="16" s="1"/>
  <c r="H604" i="16" a="1"/>
  <c r="H604" i="16" s="1"/>
  <c r="F605" i="16" a="1"/>
  <c r="F605" i="16"/>
  <c r="G605" i="16" a="1"/>
  <c r="G605" i="16" s="1"/>
  <c r="H605" i="16" a="1"/>
  <c r="H605" i="16" s="1"/>
  <c r="F606" i="16" a="1"/>
  <c r="F606" i="16" s="1"/>
  <c r="G606" i="16" a="1"/>
  <c r="G606" i="16"/>
  <c r="H606" i="16" a="1"/>
  <c r="H606" i="16" s="1"/>
  <c r="F607" i="16" a="1"/>
  <c r="F607" i="16" s="1"/>
  <c r="G607" i="16" a="1"/>
  <c r="G607" i="16" s="1"/>
  <c r="H607" i="16" a="1"/>
  <c r="H607" i="16" s="1"/>
  <c r="F608" i="16" a="1"/>
  <c r="F608" i="16"/>
  <c r="G608" i="16" a="1"/>
  <c r="G608" i="16" s="1"/>
  <c r="H608" i="16" a="1"/>
  <c r="H608" i="16" s="1"/>
  <c r="F609" i="16" a="1"/>
  <c r="F609" i="16" s="1"/>
  <c r="G609" i="16" a="1"/>
  <c r="G609" i="16" s="1"/>
  <c r="H609" i="16" a="1"/>
  <c r="H609" i="16" s="1"/>
  <c r="F610" i="16" a="1"/>
  <c r="F610" i="16"/>
  <c r="G610" i="16" a="1"/>
  <c r="G610" i="16"/>
  <c r="H610" i="16" a="1"/>
  <c r="H610" i="16" s="1"/>
  <c r="F611" i="16" a="1"/>
  <c r="F611" i="16" s="1"/>
  <c r="G611" i="16" a="1"/>
  <c r="G611" i="16"/>
  <c r="H611" i="16" a="1"/>
  <c r="H611" i="16"/>
  <c r="F612" i="16" a="1"/>
  <c r="F612" i="16" s="1"/>
  <c r="G612" i="16" a="1"/>
  <c r="G612" i="16" s="1"/>
  <c r="H612" i="16" a="1"/>
  <c r="H612" i="16" s="1"/>
  <c r="F613" i="16" a="1"/>
  <c r="F613" i="16" s="1"/>
  <c r="G613" i="16" a="1"/>
  <c r="G613" i="16" s="1"/>
  <c r="H613" i="16" a="1"/>
  <c r="H613" i="16" s="1"/>
  <c r="F614" i="16" a="1"/>
  <c r="F614" i="16" s="1"/>
  <c r="G614" i="16" a="1"/>
  <c r="G614" i="16" s="1"/>
  <c r="H614" i="16" a="1"/>
  <c r="H614" i="16" s="1"/>
  <c r="F615" i="16" a="1"/>
  <c r="F615" i="16" s="1"/>
  <c r="G615" i="16" a="1"/>
  <c r="G615" i="16" s="1"/>
  <c r="H615" i="16" a="1"/>
  <c r="H615" i="16" s="1"/>
  <c r="F616" i="16" a="1"/>
  <c r="F616" i="16" s="1"/>
  <c r="G616" i="16" a="1"/>
  <c r="G616" i="16" s="1"/>
  <c r="H616" i="16" a="1"/>
  <c r="H616" i="16" s="1"/>
  <c r="F617" i="16" a="1"/>
  <c r="F617" i="16" s="1"/>
  <c r="G617" i="16" a="1"/>
  <c r="G617" i="16"/>
  <c r="H617" i="16" a="1"/>
  <c r="H617" i="16" s="1"/>
  <c r="F618" i="16" a="1"/>
  <c r="F618" i="16" s="1"/>
  <c r="G618" i="16" a="1"/>
  <c r="G618" i="16" s="1"/>
  <c r="H618" i="16" a="1"/>
  <c r="H618" i="16" s="1"/>
  <c r="F619" i="16" a="1"/>
  <c r="F619" i="16"/>
  <c r="G619" i="16" a="1"/>
  <c r="G619" i="16" s="1"/>
  <c r="H619" i="16" a="1"/>
  <c r="H619" i="16" s="1"/>
  <c r="F620" i="16" a="1"/>
  <c r="F620" i="16" s="1"/>
  <c r="G620" i="16" a="1"/>
  <c r="G620" i="16" s="1"/>
  <c r="H620" i="16" a="1"/>
  <c r="H620" i="16" s="1"/>
  <c r="F621" i="16" a="1"/>
  <c r="F621" i="16" s="1"/>
  <c r="G621" i="16" a="1"/>
  <c r="G621" i="16" s="1"/>
  <c r="H621" i="16" a="1"/>
  <c r="H621" i="16"/>
  <c r="F622" i="16" a="1"/>
  <c r="F622" i="16" s="1"/>
  <c r="G622" i="16" a="1"/>
  <c r="G622" i="16" s="1"/>
  <c r="H622" i="16" a="1"/>
  <c r="H622" i="16" s="1"/>
  <c r="F623" i="16" a="1"/>
  <c r="F623" i="16"/>
  <c r="G623" i="16" a="1"/>
  <c r="G623" i="16" s="1"/>
  <c r="H623" i="16" a="1"/>
  <c r="H623" i="16" s="1"/>
  <c r="F624" i="16" a="1"/>
  <c r="F624" i="16" s="1"/>
  <c r="G624" i="16" a="1"/>
  <c r="G624" i="16" s="1"/>
  <c r="H624" i="16" a="1"/>
  <c r="H624" i="16"/>
  <c r="F625" i="16" a="1"/>
  <c r="F625" i="16"/>
  <c r="G625" i="16" a="1"/>
  <c r="G625" i="16"/>
  <c r="H625" i="16" a="1"/>
  <c r="H625" i="16" s="1"/>
  <c r="F626" i="16" a="1"/>
  <c r="F626" i="16" s="1"/>
  <c r="G626" i="16" a="1"/>
  <c r="G626" i="16" s="1"/>
  <c r="H626" i="16" a="1"/>
  <c r="H626" i="16" s="1"/>
  <c r="F627" i="16" a="1"/>
  <c r="F627" i="16" s="1"/>
  <c r="G627" i="16" a="1"/>
  <c r="G627" i="16" s="1"/>
  <c r="H627" i="16" a="1"/>
  <c r="H627" i="16" s="1"/>
  <c r="F628" i="16" a="1"/>
  <c r="F628" i="16"/>
  <c r="G628" i="16" a="1"/>
  <c r="G628" i="16" s="1"/>
  <c r="H628" i="16" a="1"/>
  <c r="H628" i="16" s="1"/>
  <c r="F629" i="16" a="1"/>
  <c r="F629" i="16"/>
  <c r="G629" i="16" a="1"/>
  <c r="G629" i="16" s="1"/>
  <c r="H629" i="16" a="1"/>
  <c r="H629" i="16" s="1"/>
  <c r="F630" i="16" a="1"/>
  <c r="F630" i="16" s="1"/>
  <c r="G630" i="16" a="1"/>
  <c r="G630" i="16"/>
  <c r="H630" i="16" a="1"/>
  <c r="H630" i="16" s="1"/>
  <c r="F631" i="16" a="1"/>
  <c r="F631" i="16" s="1"/>
  <c r="G631" i="16" a="1"/>
  <c r="G631" i="16" s="1"/>
  <c r="H631" i="16" a="1"/>
  <c r="H631" i="16"/>
  <c r="F632" i="16" a="1"/>
  <c r="F632" i="16" s="1"/>
  <c r="G632" i="16" a="1"/>
  <c r="G632" i="16" s="1"/>
  <c r="H632" i="16" a="1"/>
  <c r="H632" i="16" s="1"/>
  <c r="F633" i="16" a="1"/>
  <c r="F633" i="16" s="1"/>
  <c r="G633" i="16" a="1"/>
  <c r="G633" i="16" s="1"/>
  <c r="H633" i="16" a="1"/>
  <c r="H633" i="16" s="1"/>
  <c r="F634" i="16" a="1"/>
  <c r="F634" i="16" s="1"/>
  <c r="G634" i="16" a="1"/>
  <c r="G634" i="16" s="1"/>
  <c r="H634" i="16" a="1"/>
  <c r="H634" i="16" s="1"/>
  <c r="F635" i="16" a="1"/>
  <c r="F635" i="16" s="1"/>
  <c r="G635" i="16" a="1"/>
  <c r="G635" i="16"/>
  <c r="H635" i="16" a="1"/>
  <c r="H635" i="16"/>
  <c r="F636" i="16" a="1"/>
  <c r="F636" i="16" s="1"/>
  <c r="G636" i="16" a="1"/>
  <c r="G636" i="16" s="1"/>
  <c r="H636" i="16" a="1"/>
  <c r="H636" i="16" s="1"/>
  <c r="F637" i="16" a="1"/>
  <c r="F637" i="16" s="1"/>
  <c r="G637" i="16" a="1"/>
  <c r="G637" i="16" s="1"/>
  <c r="H637" i="16" a="1"/>
  <c r="H637" i="16" s="1"/>
  <c r="F638" i="16" a="1"/>
  <c r="F638" i="16" s="1"/>
  <c r="G638" i="16" a="1"/>
  <c r="G638" i="16" s="1"/>
  <c r="H638" i="16" a="1"/>
  <c r="H638" i="16" s="1"/>
  <c r="F639" i="16" a="1"/>
  <c r="F639" i="16"/>
  <c r="G639" i="16" a="1"/>
  <c r="G639" i="16" s="1"/>
  <c r="H639" i="16" a="1"/>
  <c r="H639" i="16" s="1"/>
  <c r="F640" i="16" a="1"/>
  <c r="F640" i="16" s="1"/>
  <c r="G640" i="16" a="1"/>
  <c r="G640" i="16" s="1"/>
  <c r="H640" i="16" a="1"/>
  <c r="H640" i="16" s="1"/>
  <c r="F641" i="16" a="1"/>
  <c r="F641" i="16" s="1"/>
  <c r="G641" i="16" a="1"/>
  <c r="G641" i="16"/>
  <c r="H641" i="16" a="1"/>
  <c r="H641" i="16" s="1"/>
  <c r="F642" i="16" a="1"/>
  <c r="F642" i="16" s="1"/>
  <c r="G642" i="16" a="1"/>
  <c r="G642" i="16" s="1"/>
  <c r="H642" i="16" a="1"/>
  <c r="H642" i="16" s="1"/>
  <c r="F643" i="16" a="1"/>
  <c r="F643" i="16" s="1"/>
  <c r="G643" i="16" a="1"/>
  <c r="G643" i="16" s="1"/>
  <c r="H643" i="16" a="1"/>
  <c r="H643" i="16"/>
  <c r="F644" i="16" a="1"/>
  <c r="F644" i="16"/>
  <c r="G644" i="16" a="1"/>
  <c r="G644" i="16" s="1"/>
  <c r="H644" i="16" a="1"/>
  <c r="H644" i="16" s="1"/>
  <c r="F645" i="16" a="1"/>
  <c r="F645" i="16"/>
  <c r="G645" i="16" a="1"/>
  <c r="G645" i="16" s="1"/>
  <c r="H645" i="16" a="1"/>
  <c r="H645" i="16" s="1"/>
  <c r="F646" i="16" a="1"/>
  <c r="F646" i="16" s="1"/>
  <c r="G646" i="16" a="1"/>
  <c r="G646" i="16" s="1"/>
  <c r="H646" i="16" a="1"/>
  <c r="H646" i="16" s="1"/>
  <c r="F647" i="16" a="1"/>
  <c r="F647" i="16" s="1"/>
  <c r="G647" i="16" a="1"/>
  <c r="G647" i="16" s="1"/>
  <c r="H647" i="16" a="1"/>
  <c r="H647" i="16" s="1"/>
  <c r="F648" i="16" a="1"/>
  <c r="F648" i="16" s="1"/>
  <c r="G648" i="16" a="1"/>
  <c r="G648" i="16" s="1"/>
  <c r="H648" i="16" a="1"/>
  <c r="H648" i="16"/>
  <c r="F649" i="16" a="1"/>
  <c r="F649" i="16"/>
  <c r="G649" i="16" a="1"/>
  <c r="G649" i="16" s="1"/>
  <c r="H649" i="16" a="1"/>
  <c r="H649" i="16" s="1"/>
  <c r="F650" i="16" a="1"/>
  <c r="F650" i="16" s="1"/>
  <c r="G650" i="16" a="1"/>
  <c r="G650" i="16" s="1"/>
  <c r="H650" i="16" a="1"/>
  <c r="H650" i="16" s="1"/>
  <c r="F651" i="16" a="1"/>
  <c r="F651" i="16" s="1"/>
  <c r="G651" i="16" a="1"/>
  <c r="G651" i="16"/>
  <c r="H651" i="16" a="1"/>
  <c r="H651" i="16" s="1"/>
  <c r="F652" i="16" a="1"/>
  <c r="F652" i="16" s="1"/>
  <c r="G652" i="16" a="1"/>
  <c r="G652" i="16" s="1"/>
  <c r="H652" i="16" a="1"/>
  <c r="H652" i="16" s="1"/>
  <c r="F653" i="16" a="1"/>
  <c r="F653" i="16"/>
  <c r="G653" i="16" a="1"/>
  <c r="G653" i="16"/>
  <c r="H653" i="16" a="1"/>
  <c r="H653" i="16" s="1"/>
  <c r="F654" i="16" a="1"/>
  <c r="F654" i="16" s="1"/>
  <c r="G654" i="16" a="1"/>
  <c r="G654" i="16" s="1"/>
  <c r="H654" i="16" a="1"/>
  <c r="H654" i="16" s="1"/>
  <c r="F655" i="16" a="1"/>
  <c r="F655" i="16" s="1"/>
  <c r="G655" i="16" a="1"/>
  <c r="G655" i="16" s="1"/>
  <c r="H655" i="16" a="1"/>
  <c r="H655" i="16"/>
  <c r="F656" i="16" a="1"/>
  <c r="F656" i="16" s="1"/>
  <c r="G656" i="16" a="1"/>
  <c r="G656" i="16" s="1"/>
  <c r="H656" i="16" a="1"/>
  <c r="H656" i="16"/>
  <c r="F657" i="16" a="1"/>
  <c r="F657" i="16" s="1"/>
  <c r="G657" i="16" a="1"/>
  <c r="G657" i="16" s="1"/>
  <c r="H657" i="16" a="1"/>
  <c r="H657" i="16" s="1"/>
  <c r="F658" i="16" a="1"/>
  <c r="F658" i="16" s="1"/>
  <c r="G658" i="16" a="1"/>
  <c r="G658" i="16" s="1"/>
  <c r="H658" i="16" a="1"/>
  <c r="H658" i="16" s="1"/>
  <c r="F659" i="16" a="1"/>
  <c r="F659" i="16" s="1"/>
  <c r="G659" i="16" a="1"/>
  <c r="G659" i="16" s="1"/>
  <c r="H659" i="16" a="1"/>
  <c r="H659" i="16" s="1"/>
  <c r="F660" i="16" a="1"/>
  <c r="F660" i="16" s="1"/>
  <c r="G660" i="16" a="1"/>
  <c r="G660" i="16" s="1"/>
  <c r="H660" i="16" a="1"/>
  <c r="H660" i="16" s="1"/>
  <c r="F661" i="16" a="1"/>
  <c r="F661" i="16" s="1"/>
  <c r="G661" i="16" a="1"/>
  <c r="G661" i="16" s="1"/>
  <c r="H661" i="16" a="1"/>
  <c r="H661" i="16" s="1"/>
  <c r="F662" i="16" a="1"/>
  <c r="F662" i="16" s="1"/>
  <c r="G662" i="16" a="1"/>
  <c r="G662" i="16" s="1"/>
  <c r="H662" i="16" a="1"/>
  <c r="H662" i="16" s="1"/>
  <c r="F663" i="16" a="1"/>
  <c r="F663" i="16" s="1"/>
  <c r="G663" i="16" a="1"/>
  <c r="G663" i="16" s="1"/>
  <c r="H663" i="16" a="1"/>
  <c r="H663" i="16" s="1"/>
  <c r="F664" i="16" a="1"/>
  <c r="F664" i="16" s="1"/>
  <c r="G664" i="16" a="1"/>
  <c r="G664" i="16" s="1"/>
  <c r="H664" i="16" a="1"/>
  <c r="H664" i="16" s="1"/>
  <c r="F665" i="16" a="1"/>
  <c r="F665" i="16" s="1"/>
  <c r="G665" i="16" a="1"/>
  <c r="G665" i="16" s="1"/>
  <c r="H665" i="16" a="1"/>
  <c r="H665" i="16" s="1"/>
  <c r="F666" i="16" a="1"/>
  <c r="F666" i="16" s="1"/>
  <c r="G666" i="16" a="1"/>
  <c r="G666" i="16" s="1"/>
  <c r="H666" i="16" a="1"/>
  <c r="H666" i="16" s="1"/>
  <c r="F667" i="16" a="1"/>
  <c r="F667" i="16" s="1"/>
  <c r="G667" i="16" a="1"/>
  <c r="G667" i="16" s="1"/>
  <c r="H667" i="16" a="1"/>
  <c r="H667" i="16" s="1"/>
  <c r="F668" i="16" a="1"/>
  <c r="F668" i="16" s="1"/>
  <c r="G668" i="16" a="1"/>
  <c r="G668" i="16" s="1"/>
  <c r="H668" i="16" a="1"/>
  <c r="H668" i="16" s="1"/>
  <c r="F669" i="16" a="1"/>
  <c r="F669" i="16" s="1"/>
  <c r="G669" i="16" a="1"/>
  <c r="G669" i="16" s="1"/>
  <c r="H669" i="16" a="1"/>
  <c r="H669" i="16" s="1"/>
  <c r="F670" i="16" a="1"/>
  <c r="F670" i="16" s="1"/>
  <c r="G670" i="16" a="1"/>
  <c r="G670" i="16" s="1"/>
  <c r="H670" i="16" a="1"/>
  <c r="H670" i="16" s="1"/>
  <c r="F671" i="16" a="1"/>
  <c r="F671" i="16" s="1"/>
  <c r="G671" i="16" a="1"/>
  <c r="G671" i="16" s="1"/>
  <c r="H671" i="16" a="1"/>
  <c r="H671" i="16" s="1"/>
  <c r="F672" i="16" a="1"/>
  <c r="F672" i="16" s="1"/>
  <c r="G672" i="16" a="1"/>
  <c r="G672" i="16" s="1"/>
  <c r="H672" i="16" a="1"/>
  <c r="H672" i="16" s="1"/>
  <c r="F673" i="16" a="1"/>
  <c r="F673" i="16" s="1"/>
  <c r="G673" i="16" a="1"/>
  <c r="G673" i="16" s="1"/>
  <c r="H673" i="16" a="1"/>
  <c r="H673" i="16" s="1"/>
  <c r="F674" i="16" a="1"/>
  <c r="F674" i="16" s="1"/>
  <c r="G674" i="16" a="1"/>
  <c r="G674" i="16" s="1"/>
  <c r="H674" i="16" a="1"/>
  <c r="H674" i="16" s="1"/>
  <c r="F675" i="16" a="1"/>
  <c r="F675" i="16" s="1"/>
  <c r="G675" i="16" a="1"/>
  <c r="G675" i="16" s="1"/>
  <c r="H675" i="16" a="1"/>
  <c r="H675" i="16" s="1"/>
  <c r="F676" i="16" a="1"/>
  <c r="F676" i="16" s="1"/>
  <c r="G676" i="16" a="1"/>
  <c r="G676" i="16" s="1"/>
  <c r="H676" i="16" a="1"/>
  <c r="H676" i="16" s="1"/>
  <c r="F677" i="16" a="1"/>
  <c r="F677" i="16" s="1"/>
  <c r="G677" i="16" a="1"/>
  <c r="G677" i="16" s="1"/>
  <c r="H677" i="16" a="1"/>
  <c r="H677" i="16" s="1"/>
  <c r="F678" i="16" a="1"/>
  <c r="F678" i="16" s="1"/>
  <c r="G678" i="16" a="1"/>
  <c r="G678" i="16" s="1"/>
  <c r="H678" i="16" a="1"/>
  <c r="H678" i="16" s="1"/>
  <c r="F679" i="16" a="1"/>
  <c r="F679" i="16" s="1"/>
  <c r="G679" i="16" a="1"/>
  <c r="G679" i="16" s="1"/>
  <c r="H679" i="16" a="1"/>
  <c r="H679" i="16" s="1"/>
  <c r="F680" i="16" a="1"/>
  <c r="F680" i="16" s="1"/>
  <c r="G680" i="16" a="1"/>
  <c r="G680" i="16" s="1"/>
  <c r="H680" i="16" a="1"/>
  <c r="H680" i="16" s="1"/>
  <c r="F681" i="16" a="1"/>
  <c r="F681" i="16" s="1"/>
  <c r="G681" i="16" a="1"/>
  <c r="G681" i="16" s="1"/>
  <c r="H681" i="16" a="1"/>
  <c r="H681" i="16" s="1"/>
  <c r="F682" i="16" a="1"/>
  <c r="F682" i="16" s="1"/>
  <c r="G682" i="16" a="1"/>
  <c r="G682" i="16" s="1"/>
  <c r="H682" i="16" a="1"/>
  <c r="H682" i="16" s="1"/>
  <c r="F683" i="16" a="1"/>
  <c r="F683" i="16" s="1"/>
  <c r="G683" i="16" a="1"/>
  <c r="G683" i="16" s="1"/>
  <c r="H683" i="16" a="1"/>
  <c r="H683" i="16" s="1"/>
  <c r="F684" i="16" a="1"/>
  <c r="F684" i="16" s="1"/>
  <c r="G684" i="16" a="1"/>
  <c r="G684" i="16" s="1"/>
  <c r="H684" i="16" a="1"/>
  <c r="H684" i="16" s="1"/>
  <c r="F685" i="16" a="1"/>
  <c r="F685" i="16" s="1"/>
  <c r="G685" i="16" a="1"/>
  <c r="G685" i="16" s="1"/>
  <c r="H685" i="16" a="1"/>
  <c r="H685" i="16" s="1"/>
  <c r="F686" i="16" a="1"/>
  <c r="F686" i="16" s="1"/>
  <c r="G686" i="16" a="1"/>
  <c r="G686" i="16" s="1"/>
  <c r="H686" i="16" a="1"/>
  <c r="H686" i="16" s="1"/>
  <c r="F687" i="16" a="1"/>
  <c r="F687" i="16" s="1"/>
  <c r="G687" i="16" a="1"/>
  <c r="G687" i="16" s="1"/>
  <c r="H687" i="16" a="1"/>
  <c r="H687" i="16" s="1"/>
  <c r="F688" i="16" a="1"/>
  <c r="F688" i="16" s="1"/>
  <c r="G688" i="16" a="1"/>
  <c r="G688" i="16" s="1"/>
  <c r="H688" i="16" a="1"/>
  <c r="H688" i="16" s="1"/>
  <c r="F689" i="16" a="1"/>
  <c r="F689" i="16" s="1"/>
  <c r="G689" i="16" a="1"/>
  <c r="G689" i="16" s="1"/>
  <c r="H689" i="16" a="1"/>
  <c r="H689" i="16" s="1"/>
  <c r="F690" i="16" a="1"/>
  <c r="F690" i="16" s="1"/>
  <c r="G690" i="16" a="1"/>
  <c r="G690" i="16" s="1"/>
  <c r="H690" i="16" a="1"/>
  <c r="H690" i="16" s="1"/>
  <c r="F691" i="16" a="1"/>
  <c r="F691" i="16" s="1"/>
  <c r="G691" i="16" a="1"/>
  <c r="G691" i="16" s="1"/>
  <c r="H691" i="16" a="1"/>
  <c r="H691" i="16" s="1"/>
  <c r="F692" i="16" a="1"/>
  <c r="F692" i="16" s="1"/>
  <c r="G692" i="16" a="1"/>
  <c r="G692" i="16" s="1"/>
  <c r="H692" i="16" a="1"/>
  <c r="H692" i="16" s="1"/>
  <c r="F693" i="16" a="1"/>
  <c r="F693" i="16" s="1"/>
  <c r="G693" i="16" a="1"/>
  <c r="G693" i="16" s="1"/>
  <c r="H693" i="16" a="1"/>
  <c r="H693" i="16" s="1"/>
  <c r="F694" i="16" a="1"/>
  <c r="F694" i="16" s="1"/>
  <c r="G694" i="16" a="1"/>
  <c r="G694" i="16" s="1"/>
  <c r="H694" i="16" a="1"/>
  <c r="H694" i="16" s="1"/>
  <c r="F695" i="16" a="1"/>
  <c r="F695" i="16" s="1"/>
  <c r="G695" i="16" a="1"/>
  <c r="G695" i="16" s="1"/>
  <c r="H695" i="16" a="1"/>
  <c r="H695" i="16" s="1"/>
  <c r="F696" i="16" a="1"/>
  <c r="F696" i="16" s="1"/>
  <c r="G696" i="16" a="1"/>
  <c r="G696" i="16" s="1"/>
  <c r="H696" i="16" a="1"/>
  <c r="H696" i="16" s="1"/>
  <c r="F697" i="16" a="1"/>
  <c r="F697" i="16" s="1"/>
  <c r="G697" i="16" a="1"/>
  <c r="G697" i="16" s="1"/>
  <c r="H697" i="16" a="1"/>
  <c r="H697" i="16" s="1"/>
  <c r="F698" i="16" a="1"/>
  <c r="F698" i="16" s="1"/>
  <c r="G698" i="16" a="1"/>
  <c r="G698" i="16" s="1"/>
  <c r="H698" i="16" a="1"/>
  <c r="H698" i="16" s="1"/>
  <c r="F699" i="16" a="1"/>
  <c r="F699" i="16" s="1"/>
  <c r="G699" i="16" a="1"/>
  <c r="G699" i="16" s="1"/>
  <c r="H699" i="16" a="1"/>
  <c r="H699" i="16" s="1"/>
  <c r="F700" i="16" a="1"/>
  <c r="F700" i="16" s="1"/>
  <c r="G700" i="16" a="1"/>
  <c r="G700" i="16" s="1"/>
  <c r="H700" i="16" a="1"/>
  <c r="H700" i="16" s="1"/>
  <c r="F701" i="16" a="1"/>
  <c r="F701" i="16" s="1"/>
  <c r="G701" i="16" a="1"/>
  <c r="G701" i="16" s="1"/>
  <c r="H701" i="16" a="1"/>
  <c r="H701" i="16" s="1"/>
  <c r="F702" i="16" a="1"/>
  <c r="F702" i="16" s="1"/>
  <c r="G702" i="16" a="1"/>
  <c r="G702" i="16" s="1"/>
  <c r="H702" i="16" a="1"/>
  <c r="H702" i="16" s="1"/>
  <c r="F703" i="16" a="1"/>
  <c r="F703" i="16" s="1"/>
  <c r="G703" i="16" a="1"/>
  <c r="G703" i="16" s="1"/>
  <c r="H703" i="16" a="1"/>
  <c r="H703" i="16" s="1"/>
  <c r="F704" i="16" a="1"/>
  <c r="F704" i="16" s="1"/>
  <c r="G704" i="16" a="1"/>
  <c r="G704" i="16" s="1"/>
  <c r="H704" i="16" a="1"/>
  <c r="H704" i="16" s="1"/>
  <c r="F705" i="16" a="1"/>
  <c r="F705" i="16" s="1"/>
  <c r="G705" i="16" a="1"/>
  <c r="G705" i="16" s="1"/>
  <c r="H705" i="16" a="1"/>
  <c r="H705" i="16" s="1"/>
  <c r="F706" i="16" a="1"/>
  <c r="F706" i="16" s="1"/>
  <c r="G706" i="16" a="1"/>
  <c r="G706" i="16" s="1"/>
  <c r="H706" i="16" a="1"/>
  <c r="H706" i="16" s="1"/>
  <c r="F707" i="16" a="1"/>
  <c r="F707" i="16" s="1"/>
  <c r="G707" i="16" a="1"/>
  <c r="G707" i="16" s="1"/>
  <c r="H707" i="16" a="1"/>
  <c r="H707" i="16" s="1"/>
  <c r="F708" i="16" a="1"/>
  <c r="F708" i="16" s="1"/>
  <c r="G708" i="16" a="1"/>
  <c r="G708" i="16" s="1"/>
  <c r="H708" i="16" a="1"/>
  <c r="H708" i="16" s="1"/>
  <c r="F709" i="16" a="1"/>
  <c r="F709" i="16" s="1"/>
  <c r="G709" i="16" a="1"/>
  <c r="G709" i="16" s="1"/>
  <c r="H709" i="16" a="1"/>
  <c r="H709" i="16" s="1"/>
  <c r="F710" i="16" a="1"/>
  <c r="F710" i="16" s="1"/>
  <c r="G710" i="16" a="1"/>
  <c r="G710" i="16" s="1"/>
  <c r="H710" i="16" a="1"/>
  <c r="H710" i="16" s="1"/>
  <c r="F711" i="16" a="1"/>
  <c r="F711" i="16" s="1"/>
  <c r="G711" i="16" a="1"/>
  <c r="G711" i="16" s="1"/>
  <c r="H711" i="16" a="1"/>
  <c r="H711" i="16" s="1"/>
  <c r="F712" i="16" a="1"/>
  <c r="F712" i="16" s="1"/>
  <c r="G712" i="16" a="1"/>
  <c r="G712" i="16" s="1"/>
  <c r="H712" i="16" a="1"/>
  <c r="H712" i="16" s="1"/>
  <c r="F713" i="16" a="1"/>
  <c r="F713" i="16" s="1"/>
  <c r="G713" i="16" a="1"/>
  <c r="G713" i="16" s="1"/>
  <c r="H713" i="16" a="1"/>
  <c r="H713" i="16" s="1"/>
  <c r="F714" i="16" a="1"/>
  <c r="F714" i="16" s="1"/>
  <c r="G714" i="16" a="1"/>
  <c r="G714" i="16" s="1"/>
  <c r="H714" i="16" a="1"/>
  <c r="H714" i="16" s="1"/>
  <c r="F715" i="16" a="1"/>
  <c r="F715" i="16" s="1"/>
  <c r="G715" i="16" a="1"/>
  <c r="G715" i="16" s="1"/>
  <c r="H715" i="16" a="1"/>
  <c r="H715" i="16" s="1"/>
  <c r="F716" i="16" a="1"/>
  <c r="F716" i="16" s="1"/>
  <c r="G716" i="16" a="1"/>
  <c r="G716" i="16" s="1"/>
  <c r="H716" i="16" a="1"/>
  <c r="H716" i="16" s="1"/>
  <c r="F717" i="16" a="1"/>
  <c r="F717" i="16" s="1"/>
  <c r="G717" i="16" a="1"/>
  <c r="G717" i="16" s="1"/>
  <c r="H717" i="16" a="1"/>
  <c r="H717" i="16" s="1"/>
  <c r="F718" i="16" a="1"/>
  <c r="F718" i="16" s="1"/>
  <c r="G718" i="16" a="1"/>
  <c r="G718" i="16" s="1"/>
  <c r="H718" i="16" a="1"/>
  <c r="H718" i="16" s="1"/>
  <c r="F719" i="16" a="1"/>
  <c r="F719" i="16" s="1"/>
  <c r="G719" i="16" a="1"/>
  <c r="G719" i="16" s="1"/>
  <c r="H719" i="16" a="1"/>
  <c r="H719" i="16" s="1"/>
  <c r="F720" i="16" a="1"/>
  <c r="F720" i="16" s="1"/>
  <c r="G720" i="16" a="1"/>
  <c r="G720" i="16" s="1"/>
  <c r="H720" i="16" a="1"/>
  <c r="H720" i="16" s="1"/>
  <c r="F721" i="16" a="1"/>
  <c r="F721" i="16" s="1"/>
  <c r="G721" i="16" a="1"/>
  <c r="G721" i="16" s="1"/>
  <c r="H721" i="16" a="1"/>
  <c r="H721" i="16" s="1"/>
  <c r="F722" i="16" a="1"/>
  <c r="F722" i="16" s="1"/>
  <c r="G722" i="16" a="1"/>
  <c r="G722" i="16" s="1"/>
  <c r="H722" i="16" a="1"/>
  <c r="H722" i="16" s="1"/>
  <c r="F723" i="16" a="1"/>
  <c r="F723" i="16" s="1"/>
  <c r="G723" i="16" a="1"/>
  <c r="G723" i="16" s="1"/>
  <c r="H723" i="16" a="1"/>
  <c r="H723" i="16" s="1"/>
  <c r="F724" i="16" a="1"/>
  <c r="F724" i="16" s="1"/>
  <c r="G724" i="16" a="1"/>
  <c r="G724" i="16" s="1"/>
  <c r="H724" i="16" a="1"/>
  <c r="H724" i="16" s="1"/>
  <c r="F725" i="16" a="1"/>
  <c r="F725" i="16" s="1"/>
  <c r="G725" i="16" a="1"/>
  <c r="G725" i="16" s="1"/>
  <c r="H725" i="16" a="1"/>
  <c r="H725" i="16" s="1"/>
  <c r="F726" i="16" a="1"/>
  <c r="F726" i="16" s="1"/>
  <c r="G726" i="16" a="1"/>
  <c r="G726" i="16" s="1"/>
  <c r="H726" i="16" a="1"/>
  <c r="H726" i="16" s="1"/>
  <c r="F727" i="16" a="1"/>
  <c r="F727" i="16" s="1"/>
  <c r="G727" i="16" a="1"/>
  <c r="G727" i="16" s="1"/>
  <c r="H727" i="16" a="1"/>
  <c r="H727" i="16" s="1"/>
  <c r="F728" i="16" a="1"/>
  <c r="F728" i="16" s="1"/>
  <c r="G728" i="16" a="1"/>
  <c r="G728" i="16" s="1"/>
  <c r="H728" i="16" a="1"/>
  <c r="H728" i="16" s="1"/>
  <c r="F729" i="16" a="1"/>
  <c r="F729" i="16" s="1"/>
  <c r="G729" i="16" a="1"/>
  <c r="G729" i="16" s="1"/>
  <c r="H729" i="16" a="1"/>
  <c r="H729" i="16" s="1"/>
  <c r="F730" i="16" a="1"/>
  <c r="F730" i="16" s="1"/>
  <c r="G730" i="16" a="1"/>
  <c r="G730" i="16" s="1"/>
  <c r="H730" i="16" a="1"/>
  <c r="H730" i="16" s="1"/>
  <c r="F731" i="16" a="1"/>
  <c r="F731" i="16" s="1"/>
  <c r="G731" i="16" a="1"/>
  <c r="G731" i="16" s="1"/>
  <c r="H731" i="16" a="1"/>
  <c r="H731" i="16" s="1"/>
  <c r="F732" i="16" a="1"/>
  <c r="F732" i="16" s="1"/>
  <c r="G732" i="16" a="1"/>
  <c r="G732" i="16" s="1"/>
  <c r="H732" i="16" a="1"/>
  <c r="H732" i="16" s="1"/>
  <c r="F733" i="16" a="1"/>
  <c r="F733" i="16" s="1"/>
  <c r="G733" i="16" a="1"/>
  <c r="G733" i="16" s="1"/>
  <c r="H733" i="16" a="1"/>
  <c r="H733" i="16" s="1"/>
  <c r="F734" i="16" a="1"/>
  <c r="F734" i="16" s="1"/>
  <c r="G734" i="16" a="1"/>
  <c r="G734" i="16" s="1"/>
  <c r="H734" i="16" a="1"/>
  <c r="H734" i="16" s="1"/>
  <c r="F735" i="16" a="1"/>
  <c r="F735" i="16" s="1"/>
  <c r="G735" i="16" a="1"/>
  <c r="G735" i="16" s="1"/>
  <c r="H735" i="16" a="1"/>
  <c r="H735" i="16" s="1"/>
  <c r="F736" i="16" a="1"/>
  <c r="F736" i="16" s="1"/>
  <c r="G736" i="16" a="1"/>
  <c r="G736" i="16" s="1"/>
  <c r="H736" i="16" a="1"/>
  <c r="H736" i="16" s="1"/>
  <c r="F737" i="16" a="1"/>
  <c r="F737" i="16" s="1"/>
  <c r="G737" i="16" a="1"/>
  <c r="G737" i="16" s="1"/>
  <c r="H737" i="16" a="1"/>
  <c r="H737" i="16" s="1"/>
  <c r="F738" i="16" a="1"/>
  <c r="F738" i="16" s="1"/>
  <c r="G738" i="16" a="1"/>
  <c r="G738" i="16" s="1"/>
  <c r="H738" i="16" a="1"/>
  <c r="H738" i="16" s="1"/>
  <c r="F739" i="16" a="1"/>
  <c r="F739" i="16" s="1"/>
  <c r="G739" i="16" a="1"/>
  <c r="G739" i="16" s="1"/>
  <c r="H739" i="16" a="1"/>
  <c r="H739" i="16" s="1"/>
  <c r="F740" i="16" a="1"/>
  <c r="F740" i="16" s="1"/>
  <c r="G740" i="16" a="1"/>
  <c r="G740" i="16" s="1"/>
  <c r="H740" i="16" a="1"/>
  <c r="H740" i="16" s="1"/>
  <c r="F741" i="16" a="1"/>
  <c r="F741" i="16" s="1"/>
  <c r="G741" i="16" a="1"/>
  <c r="G741" i="16" s="1"/>
  <c r="H741" i="16" a="1"/>
  <c r="H741" i="16" s="1"/>
  <c r="F742" i="16" a="1"/>
  <c r="F742" i="16" s="1"/>
  <c r="G742" i="16" a="1"/>
  <c r="G742" i="16" s="1"/>
  <c r="H742" i="16" a="1"/>
  <c r="H742" i="16" s="1"/>
  <c r="F743" i="16" a="1"/>
  <c r="F743" i="16" s="1"/>
  <c r="G743" i="16" a="1"/>
  <c r="G743" i="16" s="1"/>
  <c r="H743" i="16" a="1"/>
  <c r="H743" i="16" s="1"/>
  <c r="F744" i="16" a="1"/>
  <c r="F744" i="16" s="1"/>
  <c r="G744" i="16" a="1"/>
  <c r="G744" i="16" s="1"/>
  <c r="H744" i="16" a="1"/>
  <c r="H744" i="16" s="1"/>
  <c r="F745" i="16" a="1"/>
  <c r="F745" i="16" s="1"/>
  <c r="G745" i="16" a="1"/>
  <c r="G745" i="16" s="1"/>
  <c r="H745" i="16" a="1"/>
  <c r="H745" i="16" s="1"/>
  <c r="F746" i="16" a="1"/>
  <c r="F746" i="16" s="1"/>
  <c r="G746" i="16" a="1"/>
  <c r="G746" i="16" s="1"/>
  <c r="H746" i="16" a="1"/>
  <c r="H746" i="16" s="1"/>
  <c r="F747" i="16" a="1"/>
  <c r="F747" i="16" s="1"/>
  <c r="G747" i="16" a="1"/>
  <c r="G747" i="16" s="1"/>
  <c r="H747" i="16" a="1"/>
  <c r="H747" i="16" s="1"/>
  <c r="F748" i="16" a="1"/>
  <c r="F748" i="16" s="1"/>
  <c r="G748" i="16" a="1"/>
  <c r="G748" i="16" s="1"/>
  <c r="H748" i="16" a="1"/>
  <c r="H748" i="16" s="1"/>
  <c r="F749" i="16" a="1"/>
  <c r="F749" i="16" s="1"/>
  <c r="G749" i="16" a="1"/>
  <c r="G749" i="16" s="1"/>
  <c r="H749" i="16" a="1"/>
  <c r="H749" i="16" s="1"/>
  <c r="F750" i="16" a="1"/>
  <c r="F750" i="16" s="1"/>
  <c r="G750" i="16" a="1"/>
  <c r="G750" i="16" s="1"/>
  <c r="H750" i="16" a="1"/>
  <c r="H750" i="16" s="1"/>
  <c r="F751" i="16" a="1"/>
  <c r="F751" i="16" s="1"/>
  <c r="G751" i="16" a="1"/>
  <c r="G751" i="16" s="1"/>
  <c r="H751" i="16" a="1"/>
  <c r="H751" i="16" s="1"/>
  <c r="F752" i="16" a="1"/>
  <c r="F752" i="16" s="1"/>
  <c r="G752" i="16" a="1"/>
  <c r="G752" i="16" s="1"/>
  <c r="H752" i="16" a="1"/>
  <c r="H752" i="16" s="1"/>
  <c r="F753" i="16" a="1"/>
  <c r="F753" i="16" s="1"/>
  <c r="G753" i="16" a="1"/>
  <c r="G753" i="16" s="1"/>
  <c r="H753" i="16" a="1"/>
  <c r="H753" i="16" s="1"/>
  <c r="F754" i="16" a="1"/>
  <c r="F754" i="16" s="1"/>
  <c r="G754" i="16" a="1"/>
  <c r="G754" i="16" s="1"/>
  <c r="H754" i="16" a="1"/>
  <c r="H754" i="16" s="1"/>
  <c r="F755" i="16" a="1"/>
  <c r="F755" i="16" s="1"/>
  <c r="G755" i="16" a="1"/>
  <c r="G755" i="16" s="1"/>
  <c r="H755" i="16" a="1"/>
  <c r="H755" i="16" s="1"/>
  <c r="F756" i="16" a="1"/>
  <c r="F756" i="16" s="1"/>
  <c r="G756" i="16" a="1"/>
  <c r="G756" i="16" s="1"/>
  <c r="H756" i="16" a="1"/>
  <c r="H756" i="16" s="1"/>
  <c r="F757" i="16" a="1"/>
  <c r="F757" i="16" s="1"/>
  <c r="G757" i="16" a="1"/>
  <c r="G757" i="16" s="1"/>
  <c r="H757" i="16" a="1"/>
  <c r="H757" i="16" s="1"/>
  <c r="F758" i="16" a="1"/>
  <c r="F758" i="16" s="1"/>
  <c r="G758" i="16" a="1"/>
  <c r="G758" i="16" s="1"/>
  <c r="H758" i="16" a="1"/>
  <c r="H758" i="16" s="1"/>
  <c r="F759" i="16" a="1"/>
  <c r="F759" i="16" s="1"/>
  <c r="G759" i="16" a="1"/>
  <c r="G759" i="16" s="1"/>
  <c r="H759" i="16" a="1"/>
  <c r="H759" i="16" s="1"/>
  <c r="F760" i="16" a="1"/>
  <c r="F760" i="16" s="1"/>
  <c r="G760" i="16" a="1"/>
  <c r="G760" i="16" s="1"/>
  <c r="H760" i="16" a="1"/>
  <c r="H760" i="16" s="1"/>
  <c r="F761" i="16" a="1"/>
  <c r="F761" i="16" s="1"/>
  <c r="G761" i="16" a="1"/>
  <c r="G761" i="16" s="1"/>
  <c r="H761" i="16" a="1"/>
  <c r="H761" i="16" s="1"/>
  <c r="F762" i="16" a="1"/>
  <c r="F762" i="16" s="1"/>
  <c r="G762" i="16" a="1"/>
  <c r="G762" i="16" s="1"/>
  <c r="H762" i="16" a="1"/>
  <c r="H762" i="16" s="1"/>
  <c r="F763" i="16" a="1"/>
  <c r="F763" i="16" s="1"/>
  <c r="G763" i="16" a="1"/>
  <c r="G763" i="16" s="1"/>
  <c r="H763" i="16" a="1"/>
  <c r="H763" i="16" s="1"/>
  <c r="F764" i="16" a="1"/>
  <c r="F764" i="16" s="1"/>
  <c r="G764" i="16" a="1"/>
  <c r="G764" i="16" s="1"/>
  <c r="H764" i="16" a="1"/>
  <c r="H764" i="16" s="1"/>
  <c r="F765" i="16" a="1"/>
  <c r="F765" i="16" s="1"/>
  <c r="G765" i="16" a="1"/>
  <c r="G765" i="16" s="1"/>
  <c r="H765" i="16" a="1"/>
  <c r="H765" i="16" s="1"/>
  <c r="F766" i="16" a="1"/>
  <c r="F766" i="16" s="1"/>
  <c r="G766" i="16" a="1"/>
  <c r="G766" i="16" s="1"/>
  <c r="H766" i="16" a="1"/>
  <c r="H766" i="16" s="1"/>
  <c r="F767" i="16" a="1"/>
  <c r="F767" i="16" s="1"/>
  <c r="G767" i="16" a="1"/>
  <c r="G767" i="16" s="1"/>
  <c r="H767" i="16" a="1"/>
  <c r="H767" i="16" s="1"/>
  <c r="F768" i="16" a="1"/>
  <c r="F768" i="16" s="1"/>
  <c r="G768" i="16" a="1"/>
  <c r="G768" i="16" s="1"/>
  <c r="H768" i="16" a="1"/>
  <c r="H768" i="16" s="1"/>
  <c r="F769" i="16" a="1"/>
  <c r="F769" i="16" s="1"/>
  <c r="G769" i="16" a="1"/>
  <c r="G769" i="16" s="1"/>
  <c r="H769" i="16" a="1"/>
  <c r="H769" i="16" s="1"/>
  <c r="F770" i="16" a="1"/>
  <c r="F770" i="16" s="1"/>
  <c r="G770" i="16" a="1"/>
  <c r="G770" i="16" s="1"/>
  <c r="H770" i="16" a="1"/>
  <c r="H770" i="16" s="1"/>
  <c r="F771" i="16" a="1"/>
  <c r="F771" i="16" s="1"/>
  <c r="G771" i="16" a="1"/>
  <c r="G771" i="16" s="1"/>
  <c r="H771" i="16" a="1"/>
  <c r="H771" i="16" s="1"/>
  <c r="F772" i="16" a="1"/>
  <c r="F772" i="16" s="1"/>
  <c r="G772" i="16" a="1"/>
  <c r="G772" i="16" s="1"/>
  <c r="H772" i="16" a="1"/>
  <c r="H772" i="16" s="1"/>
  <c r="F773" i="16" a="1"/>
  <c r="F773" i="16" s="1"/>
  <c r="G773" i="16" a="1"/>
  <c r="G773" i="16" s="1"/>
  <c r="H773" i="16" a="1"/>
  <c r="H773" i="16" s="1"/>
  <c r="F774" i="16" a="1"/>
  <c r="F774" i="16" s="1"/>
  <c r="G774" i="16" a="1"/>
  <c r="G774" i="16" s="1"/>
  <c r="H774" i="16" a="1"/>
  <c r="H774" i="16" s="1"/>
  <c r="F775" i="16" a="1"/>
  <c r="F775" i="16"/>
  <c r="G775" i="16" a="1"/>
  <c r="G775" i="16"/>
  <c r="H775" i="16" a="1"/>
  <c r="H775" i="16"/>
  <c r="F776" i="16" a="1"/>
  <c r="F776" i="16" s="1"/>
  <c r="G776" i="16" a="1"/>
  <c r="G776" i="16" s="1"/>
  <c r="H776" i="16" a="1"/>
  <c r="H776" i="16" s="1"/>
  <c r="F777" i="16" a="1"/>
  <c r="F777" i="16" s="1"/>
  <c r="G777" i="16" a="1"/>
  <c r="G777" i="16" s="1"/>
  <c r="H777" i="16" a="1"/>
  <c r="H777" i="16" s="1"/>
  <c r="F778" i="16" a="1"/>
  <c r="F778" i="16"/>
  <c r="G778" i="16" a="1"/>
  <c r="G778" i="16"/>
  <c r="H778" i="16" a="1"/>
  <c r="H778" i="16"/>
  <c r="F779" i="16" a="1"/>
  <c r="F779" i="16" s="1"/>
  <c r="G779" i="16" a="1"/>
  <c r="G779" i="16" s="1"/>
  <c r="H779" i="16" a="1"/>
  <c r="H779" i="16" s="1"/>
  <c r="F780" i="16" a="1"/>
  <c r="F780" i="16" s="1"/>
  <c r="G780" i="16" a="1"/>
  <c r="G780" i="16" s="1"/>
  <c r="H780" i="16" a="1"/>
  <c r="H780" i="16" s="1"/>
  <c r="F781" i="16" a="1"/>
  <c r="F781" i="16" s="1"/>
  <c r="G781" i="16" a="1"/>
  <c r="G781" i="16"/>
  <c r="H781" i="16" a="1"/>
  <c r="H781" i="16" s="1"/>
  <c r="F782" i="16" a="1"/>
  <c r="F782" i="16"/>
  <c r="G782" i="16" a="1"/>
  <c r="G782" i="16"/>
  <c r="H782" i="16" a="1"/>
  <c r="H782" i="16" s="1"/>
  <c r="F783" i="16" a="1"/>
  <c r="F783" i="16" s="1"/>
  <c r="G783" i="16" a="1"/>
  <c r="G783" i="16" s="1"/>
  <c r="H783" i="16" a="1"/>
  <c r="H783" i="16" s="1"/>
  <c r="F784" i="16" a="1"/>
  <c r="F784" i="16" s="1"/>
  <c r="G784" i="16" a="1"/>
  <c r="G784" i="16" s="1"/>
  <c r="H784" i="16" a="1"/>
  <c r="H784" i="16"/>
  <c r="F785" i="16" a="1"/>
  <c r="F785" i="16"/>
  <c r="G785" i="16" a="1"/>
  <c r="G785" i="16"/>
  <c r="H785" i="16" a="1"/>
  <c r="H785" i="16"/>
  <c r="F786" i="16" a="1"/>
  <c r="F786" i="16" s="1"/>
  <c r="G786" i="16" a="1"/>
  <c r="G786" i="16" s="1"/>
  <c r="H786" i="16" a="1"/>
  <c r="H786" i="16" s="1"/>
  <c r="F787" i="16" a="1"/>
  <c r="F787" i="16" s="1"/>
  <c r="G787" i="16" a="1"/>
  <c r="G787" i="16" s="1"/>
  <c r="H787" i="16" a="1"/>
  <c r="H787" i="16" s="1"/>
  <c r="F788" i="16" a="1"/>
  <c r="F788" i="16"/>
  <c r="G788" i="16" a="1"/>
  <c r="G788" i="16"/>
  <c r="H788" i="16" a="1"/>
  <c r="H788" i="16" s="1"/>
  <c r="F789" i="16" a="1"/>
  <c r="F789" i="16"/>
  <c r="G789" i="16" a="1"/>
  <c r="G789" i="16" s="1"/>
  <c r="H789" i="16" a="1"/>
  <c r="H789" i="16" s="1"/>
  <c r="F790" i="16" a="1"/>
  <c r="F790" i="16"/>
  <c r="G790" i="16" a="1"/>
  <c r="G790" i="16" s="1"/>
  <c r="H790" i="16" a="1"/>
  <c r="H790" i="16" s="1"/>
  <c r="F791" i="16" a="1"/>
  <c r="F791" i="16" s="1"/>
  <c r="G791" i="16" a="1"/>
  <c r="G791" i="16"/>
  <c r="H791" i="16" a="1"/>
  <c r="H791" i="16" s="1"/>
  <c r="F792" i="16" a="1"/>
  <c r="F792" i="16" s="1"/>
  <c r="G792" i="16" a="1"/>
  <c r="G792" i="16"/>
  <c r="H792" i="16" a="1"/>
  <c r="H792" i="16" s="1"/>
  <c r="F793" i="16" a="1"/>
  <c r="F793" i="16" s="1"/>
  <c r="G793" i="16" a="1"/>
  <c r="G793" i="16" s="1"/>
  <c r="H793" i="16" a="1"/>
  <c r="H793" i="16" s="1"/>
  <c r="F794" i="16" a="1"/>
  <c r="F794" i="16" s="1"/>
  <c r="G794" i="16" a="1"/>
  <c r="G794" i="16" s="1"/>
  <c r="H794" i="16" a="1"/>
  <c r="H794" i="16"/>
  <c r="F795" i="16" a="1"/>
  <c r="F795" i="16"/>
  <c r="G795" i="16" a="1"/>
  <c r="G795" i="16" s="1"/>
  <c r="H795" i="16" a="1"/>
  <c r="H795" i="16" s="1"/>
  <c r="F796" i="16" a="1"/>
  <c r="F796" i="16" s="1"/>
  <c r="G796" i="16" a="1"/>
  <c r="G796" i="16" s="1"/>
  <c r="H796" i="16" a="1"/>
  <c r="H796" i="16" s="1"/>
  <c r="F797" i="16" a="1"/>
  <c r="F797" i="16" s="1"/>
  <c r="G797" i="16" a="1"/>
  <c r="G797" i="16"/>
  <c r="H797" i="16" a="1"/>
  <c r="H797" i="16" s="1"/>
  <c r="F798" i="16" a="1"/>
  <c r="F798" i="16" s="1"/>
  <c r="G798" i="16" a="1"/>
  <c r="G798" i="16" s="1"/>
  <c r="H798" i="16" a="1"/>
  <c r="H798" i="16"/>
  <c r="F799" i="16" a="1"/>
  <c r="F799" i="16" s="1"/>
  <c r="G799" i="16" a="1"/>
  <c r="G799" i="16" s="1"/>
  <c r="H799" i="16" a="1"/>
  <c r="H799" i="16" s="1"/>
  <c r="F800" i="16" a="1"/>
  <c r="F800" i="16" s="1"/>
  <c r="G800" i="16" a="1"/>
  <c r="G800" i="16" s="1"/>
  <c r="H800" i="16" a="1"/>
  <c r="H800" i="16" s="1"/>
  <c r="F801" i="16" a="1"/>
  <c r="F801" i="16" s="1"/>
  <c r="G801" i="16" a="1"/>
  <c r="G801" i="16" s="1"/>
  <c r="H801" i="16" a="1"/>
  <c r="H801" i="16" s="1"/>
  <c r="F802" i="16" a="1"/>
  <c r="F802" i="16"/>
  <c r="G802" i="16" a="1"/>
  <c r="G802" i="16" s="1"/>
  <c r="H802" i="16" a="1"/>
  <c r="H802" i="16" s="1"/>
  <c r="F803" i="16" a="1"/>
  <c r="F803" i="16"/>
  <c r="G803" i="16" a="1"/>
  <c r="G803" i="16" s="1"/>
  <c r="H803" i="16" a="1"/>
  <c r="H803" i="16" s="1"/>
  <c r="F804" i="16" a="1"/>
  <c r="F804" i="16"/>
  <c r="G804" i="16" a="1"/>
  <c r="G804" i="16" s="1"/>
  <c r="H804" i="16" a="1"/>
  <c r="H804" i="16" s="1"/>
  <c r="F805" i="16" a="1"/>
  <c r="F805" i="16"/>
  <c r="G805" i="16" a="1"/>
  <c r="G805" i="16" s="1"/>
  <c r="H805" i="16" a="1"/>
  <c r="H805" i="16"/>
  <c r="F806" i="16" a="1"/>
  <c r="F806" i="16" s="1"/>
  <c r="G806" i="16" a="1"/>
  <c r="G806" i="16" s="1"/>
  <c r="H806" i="16" a="1"/>
  <c r="H806" i="16" s="1"/>
  <c r="F807" i="16" a="1"/>
  <c r="F807" i="16"/>
  <c r="G807" i="16" a="1"/>
  <c r="G807" i="16" s="1"/>
  <c r="H807" i="16" a="1"/>
  <c r="H807" i="16" s="1"/>
  <c r="F808" i="16" a="1"/>
  <c r="F808" i="16" s="1"/>
  <c r="G808" i="16" a="1"/>
  <c r="G808" i="16"/>
  <c r="H808" i="16" a="1"/>
  <c r="H808" i="16" s="1"/>
  <c r="F809" i="16" a="1"/>
  <c r="F809" i="16" s="1"/>
  <c r="G809" i="16" a="1"/>
  <c r="G809" i="16" s="1"/>
  <c r="H809" i="16" a="1"/>
  <c r="H809" i="16" s="1"/>
  <c r="F810" i="16" a="1"/>
  <c r="F810" i="16"/>
  <c r="G810" i="16" a="1"/>
  <c r="G810" i="16" s="1"/>
  <c r="H810" i="16" a="1"/>
  <c r="H810" i="16" s="1"/>
  <c r="F811" i="16" a="1"/>
  <c r="F811" i="16" s="1"/>
  <c r="G811" i="16" a="1"/>
  <c r="G811" i="16" s="1"/>
  <c r="H811" i="16" a="1"/>
  <c r="H811" i="16" s="1"/>
  <c r="F812" i="16" a="1"/>
  <c r="F812" i="16" s="1"/>
  <c r="G812" i="16" a="1"/>
  <c r="G812" i="16"/>
  <c r="H812" i="16" a="1"/>
  <c r="H812" i="16" s="1"/>
  <c r="F813" i="16" a="1"/>
  <c r="F813" i="16" s="1"/>
  <c r="G813" i="16" a="1"/>
  <c r="G813" i="16" s="1"/>
  <c r="H813" i="16" a="1"/>
  <c r="H813" i="16" s="1"/>
  <c r="F814" i="16" a="1"/>
  <c r="F814" i="16" s="1"/>
  <c r="G814" i="16" a="1"/>
  <c r="G814" i="16" s="1"/>
  <c r="H814" i="16" a="1"/>
  <c r="H814" i="16" s="1"/>
  <c r="F815" i="16" a="1"/>
  <c r="F815" i="16"/>
  <c r="G815" i="16" a="1"/>
  <c r="G815" i="16" s="1"/>
  <c r="H815" i="16" a="1"/>
  <c r="H815" i="16" s="1"/>
  <c r="F816" i="16" a="1"/>
  <c r="F816" i="16" s="1"/>
  <c r="G816" i="16" a="1"/>
  <c r="G816" i="16"/>
  <c r="H816" i="16" a="1"/>
  <c r="H816" i="16" s="1"/>
  <c r="F817" i="16" a="1"/>
  <c r="F817" i="16" s="1"/>
  <c r="G817" i="16" a="1"/>
  <c r="G817" i="16"/>
  <c r="H817" i="16" a="1"/>
  <c r="H817" i="16" s="1"/>
  <c r="F818" i="16" a="1"/>
  <c r="F818" i="16" s="1"/>
  <c r="G818" i="16" a="1"/>
  <c r="G818" i="16" s="1"/>
  <c r="H818" i="16" a="1"/>
  <c r="H818" i="16"/>
  <c r="F819" i="16" a="1"/>
  <c r="F819" i="16" s="1"/>
  <c r="G819" i="16" a="1"/>
  <c r="G819" i="16" s="1"/>
  <c r="H819" i="16" a="1"/>
  <c r="H819" i="16" s="1"/>
  <c r="F820" i="16" a="1"/>
  <c r="F820" i="16" s="1"/>
  <c r="G820" i="16" a="1"/>
  <c r="G820" i="16" s="1"/>
  <c r="H820" i="16" a="1"/>
  <c r="H820" i="16"/>
  <c r="F821" i="16" a="1"/>
  <c r="F821" i="16" s="1"/>
  <c r="G821" i="16" a="1"/>
  <c r="G821" i="16"/>
  <c r="H821" i="16" a="1"/>
  <c r="H821" i="16" s="1"/>
  <c r="F822" i="16" a="1"/>
  <c r="F822" i="16" s="1"/>
  <c r="G822" i="16" a="1"/>
  <c r="G822" i="16"/>
  <c r="H822" i="16" a="1"/>
  <c r="H822" i="16" s="1"/>
  <c r="F823" i="16" a="1"/>
  <c r="F823" i="16" s="1"/>
  <c r="G823" i="16" a="1"/>
  <c r="G823" i="16" s="1"/>
  <c r="H823" i="16" a="1"/>
  <c r="H823" i="16" s="1"/>
  <c r="F824" i="16" a="1"/>
  <c r="F824" i="16" s="1"/>
  <c r="G824" i="16" a="1"/>
  <c r="G824" i="16" s="1"/>
  <c r="H824" i="16" a="1"/>
  <c r="H824" i="16" s="1"/>
  <c r="F825" i="16" a="1"/>
  <c r="F825" i="16" s="1"/>
  <c r="G825" i="16" a="1"/>
  <c r="G825" i="16" s="1"/>
  <c r="H825" i="16" a="1"/>
  <c r="H825" i="16" s="1"/>
  <c r="F826" i="16" a="1"/>
  <c r="F826" i="16"/>
  <c r="G826" i="16" a="1"/>
  <c r="G826" i="16"/>
  <c r="H826" i="16" a="1"/>
  <c r="H826" i="16" s="1"/>
  <c r="F827" i="16" a="1"/>
  <c r="F827" i="16" s="1"/>
  <c r="G827" i="16" a="1"/>
  <c r="G827" i="16" s="1"/>
  <c r="H827" i="16" a="1"/>
  <c r="H827" i="16" s="1"/>
  <c r="F828" i="16" a="1"/>
  <c r="F828" i="16" s="1"/>
  <c r="G828" i="16" a="1"/>
  <c r="G828" i="16" s="1"/>
  <c r="H828" i="16" a="1"/>
  <c r="H828" i="16"/>
  <c r="F829" i="16" a="1"/>
  <c r="F829" i="16" s="1"/>
  <c r="G829" i="16" a="1"/>
  <c r="G829" i="16" s="1"/>
  <c r="H829" i="16" a="1"/>
  <c r="H829" i="16"/>
  <c r="F830" i="16" a="1"/>
  <c r="F830" i="16" s="1"/>
  <c r="G830" i="16" a="1"/>
  <c r="G830" i="16"/>
  <c r="H830" i="16" a="1"/>
  <c r="H830" i="16" s="1"/>
  <c r="F831" i="16" a="1"/>
  <c r="F831" i="16" s="1"/>
  <c r="G831" i="16" a="1"/>
  <c r="G831" i="16"/>
  <c r="H831" i="16" a="1"/>
  <c r="H831" i="16" s="1"/>
  <c r="F832" i="16" a="1"/>
  <c r="F832" i="16" s="1"/>
  <c r="G832" i="16" a="1"/>
  <c r="G832" i="16" s="1"/>
  <c r="H832" i="16" a="1"/>
  <c r="H832" i="16" s="1"/>
  <c r="F833" i="16" a="1"/>
  <c r="F833" i="16" s="1"/>
  <c r="G833" i="16" a="1"/>
  <c r="G833" i="16"/>
  <c r="H833" i="16" a="1"/>
  <c r="H833" i="16" s="1"/>
  <c r="F834" i="16" a="1"/>
  <c r="F834" i="16" s="1"/>
  <c r="G834" i="16" a="1"/>
  <c r="G834" i="16" s="1"/>
  <c r="H834" i="16" a="1"/>
  <c r="H834" i="16"/>
  <c r="F835" i="16" a="1"/>
  <c r="F835" i="16" s="1"/>
  <c r="G835" i="16" a="1"/>
  <c r="G835" i="16" s="1"/>
  <c r="H835" i="16" a="1"/>
  <c r="H835" i="16" s="1"/>
  <c r="F836" i="16" a="1"/>
  <c r="F836" i="16"/>
  <c r="G836" i="16" a="1"/>
  <c r="G836" i="16" s="1"/>
  <c r="H836" i="16" a="1"/>
  <c r="H836" i="16" s="1"/>
  <c r="F837" i="16" a="1"/>
  <c r="F837" i="16"/>
  <c r="G837" i="16" a="1"/>
  <c r="G837" i="16" s="1"/>
  <c r="H837" i="16" a="1"/>
  <c r="H837" i="16" s="1"/>
  <c r="F838" i="16" a="1"/>
  <c r="F838" i="16" s="1"/>
  <c r="G838" i="16" a="1"/>
  <c r="G838" i="16"/>
  <c r="H838" i="16" a="1"/>
  <c r="H838" i="16" s="1"/>
  <c r="F839" i="16" a="1"/>
  <c r="F839" i="16" s="1"/>
  <c r="G839" i="16" a="1"/>
  <c r="G839" i="16"/>
  <c r="H839" i="16" a="1"/>
  <c r="H839" i="16"/>
  <c r="F840" i="16" a="1"/>
  <c r="F840" i="16" s="1"/>
  <c r="G840" i="16" a="1"/>
  <c r="G840" i="16" s="1"/>
  <c r="H840" i="16" a="1"/>
  <c r="H840" i="16" s="1"/>
  <c r="F841" i="16" a="1"/>
  <c r="F841" i="16" s="1"/>
  <c r="G841" i="16" a="1"/>
  <c r="G841" i="16" s="1"/>
  <c r="H841" i="16" a="1"/>
  <c r="H841" i="16"/>
  <c r="F842" i="16" a="1"/>
  <c r="F842" i="16" s="1"/>
  <c r="G842" i="16" a="1"/>
  <c r="G842" i="16" s="1"/>
  <c r="H842" i="16" a="1"/>
  <c r="H842" i="16" s="1"/>
  <c r="F843" i="16" a="1"/>
  <c r="F843" i="16"/>
  <c r="G843" i="16" a="1"/>
  <c r="G843" i="16" s="1"/>
  <c r="H843" i="16" a="1"/>
  <c r="H843" i="16" s="1"/>
  <c r="F844" i="16" a="1"/>
  <c r="F844" i="16" s="1"/>
  <c r="G844" i="16" a="1"/>
  <c r="G844" i="16" s="1"/>
  <c r="H844" i="16" a="1"/>
  <c r="H844" i="16" s="1"/>
  <c r="F845" i="16" a="1"/>
  <c r="F845" i="16" s="1"/>
  <c r="G845" i="16" a="1"/>
  <c r="G845" i="16" s="1"/>
  <c r="H845" i="16" a="1"/>
  <c r="H845" i="16" s="1"/>
  <c r="F846" i="16" a="1"/>
  <c r="F846" i="16" s="1"/>
  <c r="G846" i="16" a="1"/>
  <c r="G846" i="16" s="1"/>
  <c r="H846" i="16" a="1"/>
  <c r="H846" i="16"/>
  <c r="F847" i="16" a="1"/>
  <c r="F847" i="16"/>
  <c r="G847" i="16" a="1"/>
  <c r="G847" i="16" s="1"/>
  <c r="H847" i="16" a="1"/>
  <c r="H847" i="16" s="1"/>
  <c r="F848" i="16" a="1"/>
  <c r="F848" i="16" s="1"/>
  <c r="G848" i="16" a="1"/>
  <c r="G848" i="16" s="1"/>
  <c r="H848" i="16" a="1"/>
  <c r="H848" i="16" s="1"/>
  <c r="F849" i="16" a="1"/>
  <c r="F849" i="16" s="1"/>
  <c r="G849" i="16" a="1"/>
  <c r="G849" i="16" s="1"/>
  <c r="H849" i="16" a="1"/>
  <c r="H849" i="16" s="1"/>
  <c r="F850" i="16" a="1"/>
  <c r="F850" i="16" s="1"/>
  <c r="G850" i="16" a="1"/>
  <c r="G850" i="16" s="1"/>
  <c r="H850" i="16" a="1"/>
  <c r="H850" i="16" s="1"/>
  <c r="F851" i="16" a="1"/>
  <c r="F851" i="16" s="1"/>
  <c r="G851" i="16" a="1"/>
  <c r="G851" i="16" s="1"/>
  <c r="H851" i="16" a="1"/>
  <c r="H851" i="16"/>
  <c r="F852" i="16" a="1"/>
  <c r="F852" i="16" s="1"/>
  <c r="G852" i="16" a="1"/>
  <c r="G852" i="16" s="1"/>
  <c r="H852" i="16" a="1"/>
  <c r="H852" i="16" s="1"/>
  <c r="F853" i="16" a="1"/>
  <c r="F853" i="16" s="1"/>
  <c r="G853" i="16" a="1"/>
  <c r="G853" i="16" s="1"/>
  <c r="H853" i="16" a="1"/>
  <c r="H853" i="16" s="1"/>
  <c r="F854" i="16" a="1"/>
  <c r="F854" i="16" s="1"/>
  <c r="G854" i="16" a="1"/>
  <c r="G854" i="16" s="1"/>
  <c r="H854" i="16" a="1"/>
  <c r="H854" i="16" s="1"/>
  <c r="F855" i="16" a="1"/>
  <c r="F855" i="16" s="1"/>
  <c r="G855" i="16" a="1"/>
  <c r="G855" i="16" s="1"/>
  <c r="H855" i="16" a="1"/>
  <c r="H855" i="16" s="1"/>
  <c r="F856" i="16" a="1"/>
  <c r="F856" i="16"/>
  <c r="G856" i="16" a="1"/>
  <c r="G856" i="16"/>
  <c r="H856" i="16" a="1"/>
  <c r="H856" i="16" s="1"/>
  <c r="F857" i="16" a="1"/>
  <c r="F857" i="16" s="1"/>
  <c r="G857" i="16" a="1"/>
  <c r="G857" i="16" s="1"/>
  <c r="H857" i="16" a="1"/>
  <c r="H857" i="16" s="1"/>
  <c r="F858" i="16" a="1"/>
  <c r="F858" i="16" s="1"/>
  <c r="G858" i="16" a="1"/>
  <c r="G858" i="16" s="1"/>
  <c r="H858" i="16" a="1"/>
  <c r="H858" i="16"/>
  <c r="F859" i="16" a="1"/>
  <c r="F859" i="16" s="1"/>
  <c r="G859" i="16" a="1"/>
  <c r="G859" i="16" s="1"/>
  <c r="H859" i="16" a="1"/>
  <c r="H859" i="16" s="1"/>
  <c r="F860" i="16" a="1"/>
  <c r="F860" i="16" s="1"/>
  <c r="G860" i="16" a="1"/>
  <c r="G860" i="16" s="1"/>
  <c r="H860" i="16" a="1"/>
  <c r="H860" i="16" s="1"/>
  <c r="F861" i="16" a="1"/>
  <c r="F861" i="16"/>
  <c r="G861" i="16" a="1"/>
  <c r="G861" i="16"/>
  <c r="H861" i="16" a="1"/>
  <c r="H861" i="16" s="1"/>
  <c r="F862" i="16" a="1"/>
  <c r="F862" i="16" s="1"/>
  <c r="G862" i="16" a="1"/>
  <c r="G862" i="16" s="1"/>
  <c r="H862" i="16" a="1"/>
  <c r="H862" i="16" s="1"/>
  <c r="F863" i="16" a="1"/>
  <c r="F863" i="16" s="1"/>
  <c r="G863" i="16" a="1"/>
  <c r="G863" i="16" s="1"/>
  <c r="H863" i="16" a="1"/>
  <c r="H863" i="16" s="1"/>
  <c r="F864" i="16" a="1"/>
  <c r="F864" i="16" s="1"/>
  <c r="G864" i="16" a="1"/>
  <c r="G864" i="16" s="1"/>
  <c r="H864" i="16" a="1"/>
  <c r="H864" i="16" s="1"/>
  <c r="F865" i="16" a="1"/>
  <c r="F865" i="16"/>
  <c r="G865" i="16" a="1"/>
  <c r="G865" i="16" s="1"/>
  <c r="H865" i="16" a="1"/>
  <c r="H865" i="16" s="1"/>
  <c r="F866" i="16" a="1"/>
  <c r="F866" i="16" s="1"/>
  <c r="G866" i="16" a="1"/>
  <c r="G866" i="16" s="1"/>
  <c r="H866" i="16" a="1"/>
  <c r="H866" i="16" s="1"/>
  <c r="F867" i="16" a="1"/>
  <c r="F867" i="16" s="1"/>
  <c r="G867" i="16" a="1"/>
  <c r="G867" i="16" s="1"/>
  <c r="H867" i="16" a="1"/>
  <c r="H867" i="16"/>
  <c r="F868" i="16" a="1"/>
  <c r="F868" i="16" s="1"/>
  <c r="G868" i="16" a="1"/>
  <c r="G868" i="16"/>
  <c r="H868" i="16" a="1"/>
  <c r="H868" i="16"/>
  <c r="F869" i="16" a="1"/>
  <c r="F869" i="16" s="1"/>
  <c r="G869" i="16" a="1"/>
  <c r="G869" i="16" s="1"/>
  <c r="H869" i="16" a="1"/>
  <c r="H869" i="16" s="1"/>
  <c r="F870" i="16" a="1"/>
  <c r="F870" i="16" s="1"/>
  <c r="G870" i="16" a="1"/>
  <c r="G870" i="16" s="1"/>
  <c r="H870" i="16" a="1"/>
  <c r="H870" i="16" s="1"/>
  <c r="F871" i="16" a="1"/>
  <c r="F871" i="16" s="1"/>
  <c r="G871" i="16" a="1"/>
  <c r="G871" i="16" s="1"/>
  <c r="H871" i="16" a="1"/>
  <c r="H871" i="16" s="1"/>
  <c r="F872" i="16" a="1"/>
  <c r="F872" i="16" s="1"/>
  <c r="G872" i="16" a="1"/>
  <c r="G872" i="16" s="1"/>
  <c r="H872" i="16" a="1"/>
  <c r="H872" i="16"/>
  <c r="F873" i="16" a="1"/>
  <c r="F873" i="16"/>
  <c r="G873" i="16" a="1"/>
  <c r="G873" i="16" s="1"/>
  <c r="H873" i="16" a="1"/>
  <c r="H873" i="16" s="1"/>
  <c r="F874" i="16" a="1"/>
  <c r="F874" i="16" s="1"/>
  <c r="G874" i="16" a="1"/>
  <c r="G874" i="16" s="1"/>
  <c r="H874" i="16" a="1"/>
  <c r="H874" i="16" s="1"/>
  <c r="F875" i="16" a="1"/>
  <c r="F875" i="16" s="1"/>
  <c r="G875" i="16" a="1"/>
  <c r="G875" i="16" s="1"/>
  <c r="H875" i="16" a="1"/>
  <c r="H875" i="16" s="1"/>
  <c r="F876" i="16" a="1"/>
  <c r="F876" i="16" s="1"/>
  <c r="G876" i="16" a="1"/>
  <c r="G876" i="16" s="1"/>
  <c r="H876" i="16" a="1"/>
  <c r="H876" i="16" s="1"/>
  <c r="F877" i="16" a="1"/>
  <c r="F877" i="16" s="1"/>
  <c r="G877" i="16" a="1"/>
  <c r="G877" i="16" s="1"/>
  <c r="H877" i="16" a="1"/>
  <c r="H877" i="16"/>
  <c r="F878" i="16" a="1"/>
  <c r="F878" i="16" s="1"/>
  <c r="G878" i="16" a="1"/>
  <c r="G878" i="16" s="1"/>
  <c r="H878" i="16" a="1"/>
  <c r="H878" i="16"/>
  <c r="F879" i="16" a="1"/>
  <c r="F879" i="16" s="1"/>
  <c r="G879" i="16" a="1"/>
  <c r="G879" i="16" s="1"/>
  <c r="H879" i="16" a="1"/>
  <c r="H879" i="16" s="1"/>
  <c r="F880" i="16" a="1"/>
  <c r="F880" i="16" s="1"/>
  <c r="G880" i="16" a="1"/>
  <c r="G880" i="16" s="1"/>
  <c r="H880" i="16" a="1"/>
  <c r="H880" i="16"/>
  <c r="F881" i="16" a="1"/>
  <c r="F881" i="16" s="1"/>
  <c r="G881" i="16" a="1"/>
  <c r="G881" i="16" s="1"/>
  <c r="H881" i="16" a="1"/>
  <c r="H881" i="16" s="1"/>
  <c r="F882" i="16" a="1"/>
  <c r="F882" i="16" s="1"/>
  <c r="G882" i="16" a="1"/>
  <c r="G882" i="16" s="1"/>
  <c r="H882" i="16" a="1"/>
  <c r="H882" i="16" s="1"/>
  <c r="F883" i="16" a="1"/>
  <c r="F883" i="16" s="1"/>
  <c r="G883" i="16" a="1"/>
  <c r="G883" i="16" s="1"/>
  <c r="H883" i="16" a="1"/>
  <c r="H883" i="16" s="1"/>
  <c r="F884" i="16" a="1"/>
  <c r="F884" i="16" s="1"/>
  <c r="G884" i="16" a="1"/>
  <c r="G884" i="16"/>
  <c r="H884" i="16" a="1"/>
  <c r="H884" i="16" s="1"/>
  <c r="F885" i="16" a="1"/>
  <c r="F885" i="16" s="1"/>
  <c r="G885" i="16" a="1"/>
  <c r="G885" i="16" s="1"/>
  <c r="H885" i="16" a="1"/>
  <c r="H885" i="16" s="1"/>
  <c r="F886" i="16" a="1"/>
  <c r="F886" i="16" s="1"/>
  <c r="G886" i="16" a="1"/>
  <c r="G886" i="16" s="1"/>
  <c r="H886" i="16" a="1"/>
  <c r="H886" i="16" s="1"/>
  <c r="F887" i="16" a="1"/>
  <c r="F887" i="16"/>
  <c r="G887" i="16" a="1"/>
  <c r="G887" i="16" s="1"/>
  <c r="H887" i="16" a="1"/>
  <c r="H887" i="16"/>
  <c r="F888" i="16" a="1"/>
  <c r="F888" i="16" s="1"/>
  <c r="G888" i="16" a="1"/>
  <c r="G888" i="16" s="1"/>
  <c r="H888" i="16" a="1"/>
  <c r="H888" i="16" s="1"/>
  <c r="F889" i="16" a="1"/>
  <c r="F889" i="16" s="1"/>
  <c r="G889" i="16" a="1"/>
  <c r="G889" i="16" s="1"/>
  <c r="H889" i="16" a="1"/>
  <c r="H889" i="16" s="1"/>
  <c r="F890" i="16" a="1"/>
  <c r="F890" i="16" s="1"/>
  <c r="G890" i="16" a="1"/>
  <c r="G890" i="16"/>
  <c r="H890" i="16" a="1"/>
  <c r="H890" i="16" s="1"/>
  <c r="F891" i="16" a="1"/>
  <c r="F891" i="16" s="1"/>
  <c r="G891" i="16" a="1"/>
  <c r="G891" i="16"/>
  <c r="H891" i="16" a="1"/>
  <c r="H891" i="16" s="1"/>
  <c r="F892" i="16" a="1"/>
  <c r="F892" i="16" s="1"/>
  <c r="G892" i="16" a="1"/>
  <c r="G892" i="16" s="1"/>
  <c r="H892" i="16" a="1"/>
  <c r="H892" i="16" s="1"/>
  <c r="F893" i="16" a="1"/>
  <c r="F893" i="16" s="1"/>
  <c r="G893" i="16" a="1"/>
  <c r="G893" i="16" s="1"/>
  <c r="H893" i="16" a="1"/>
  <c r="H893" i="16" s="1"/>
  <c r="F894" i="16" a="1"/>
  <c r="F894" i="16" s="1"/>
  <c r="G894" i="16" a="1"/>
  <c r="G894" i="16" s="1"/>
  <c r="H894" i="16" a="1"/>
  <c r="H894" i="16" s="1"/>
  <c r="F895" i="16" a="1"/>
  <c r="F895" i="16" s="1"/>
  <c r="G895" i="16" a="1"/>
  <c r="G895" i="16" s="1"/>
  <c r="H895" i="16" a="1"/>
  <c r="H895" i="16" s="1"/>
  <c r="F896" i="16" a="1"/>
  <c r="F896" i="16" s="1"/>
  <c r="G896" i="16" a="1"/>
  <c r="G896" i="16" s="1"/>
  <c r="H896" i="16" a="1"/>
  <c r="H896" i="16" s="1"/>
  <c r="F897" i="16" a="1"/>
  <c r="F897" i="16"/>
  <c r="G897" i="16" a="1"/>
  <c r="G897" i="16" s="1"/>
  <c r="H897" i="16" a="1"/>
  <c r="H897" i="16" s="1"/>
  <c r="F898" i="16" a="1"/>
  <c r="F898" i="16"/>
  <c r="G898" i="16" a="1"/>
  <c r="G898" i="16" s="1"/>
  <c r="H898" i="16" a="1"/>
  <c r="H898" i="16" s="1"/>
  <c r="F899" i="16" a="1"/>
  <c r="F899" i="16" s="1"/>
  <c r="G899" i="16" a="1"/>
  <c r="G899" i="16" s="1"/>
  <c r="H899" i="16" a="1"/>
  <c r="H899" i="16" s="1"/>
  <c r="F900" i="16" a="1"/>
  <c r="F900" i="16" s="1"/>
  <c r="G900" i="16" a="1"/>
  <c r="G900" i="16" s="1"/>
  <c r="H900" i="16" a="1"/>
  <c r="H900" i="16" s="1"/>
  <c r="F901" i="16" a="1"/>
  <c r="F901" i="16" s="1"/>
  <c r="G901" i="16" a="1"/>
  <c r="G901" i="16" s="1"/>
  <c r="H901" i="16" a="1"/>
  <c r="H901" i="16" s="1"/>
  <c r="F902" i="16" a="1"/>
  <c r="F902" i="16" s="1"/>
  <c r="G902" i="16" a="1"/>
  <c r="G902" i="16" s="1"/>
  <c r="H902" i="16" a="1"/>
  <c r="H902" i="16" s="1"/>
  <c r="F903" i="16" a="1"/>
  <c r="F903" i="16" s="1"/>
  <c r="G903" i="16" a="1"/>
  <c r="G903" i="16" s="1"/>
  <c r="H903" i="16" a="1"/>
  <c r="H903" i="16"/>
  <c r="F904" i="16" a="1"/>
  <c r="F904" i="16"/>
  <c r="G904" i="16" a="1"/>
  <c r="G904" i="16"/>
  <c r="H904" i="16" a="1"/>
  <c r="H904" i="16" s="1"/>
  <c r="F905" i="16" a="1"/>
  <c r="F905" i="16" s="1"/>
  <c r="G905" i="16" a="1"/>
  <c r="G905" i="16" s="1"/>
  <c r="H905" i="16" a="1"/>
  <c r="H905" i="16" s="1"/>
  <c r="F906" i="16" a="1"/>
  <c r="F906" i="16" s="1"/>
  <c r="G906" i="16" a="1"/>
  <c r="G906" i="16" s="1"/>
  <c r="H906" i="16" a="1"/>
  <c r="H906" i="16" s="1"/>
  <c r="F907" i="16" a="1"/>
  <c r="F907" i="16"/>
  <c r="G907" i="16" a="1"/>
  <c r="G907" i="16" s="1"/>
  <c r="H907" i="16" a="1"/>
  <c r="H907" i="16" s="1"/>
  <c r="F908" i="16" a="1"/>
  <c r="F908" i="16"/>
  <c r="G908" i="16" a="1"/>
  <c r="G908" i="16" s="1"/>
  <c r="H908" i="16" a="1"/>
  <c r="H908" i="16" s="1"/>
  <c r="F909" i="16" a="1"/>
  <c r="F909" i="16" s="1"/>
  <c r="G909" i="16" a="1"/>
  <c r="G909" i="16" s="1"/>
  <c r="H909" i="16" a="1"/>
  <c r="H909" i="16" s="1"/>
  <c r="F910" i="16" a="1"/>
  <c r="F910" i="16" s="1"/>
  <c r="G910" i="16" a="1"/>
  <c r="G910" i="16" s="1"/>
  <c r="H910" i="16" a="1"/>
  <c r="H910" i="16" s="1"/>
  <c r="F911" i="16" a="1"/>
  <c r="F911" i="16" s="1"/>
  <c r="G911" i="16" a="1"/>
  <c r="G911" i="16" s="1"/>
  <c r="H911" i="16" a="1"/>
  <c r="H911" i="16" s="1"/>
  <c r="F912" i="16" a="1"/>
  <c r="F912" i="16" s="1"/>
  <c r="G912" i="16" a="1"/>
  <c r="G912" i="16" s="1"/>
  <c r="H912" i="16" a="1"/>
  <c r="H912" i="16" s="1"/>
  <c r="F913" i="16" a="1"/>
  <c r="F913" i="16" s="1"/>
  <c r="G913" i="16" a="1"/>
  <c r="G913" i="16" s="1"/>
  <c r="H913" i="16" a="1"/>
  <c r="H913" i="16" s="1"/>
  <c r="F914" i="16" a="1"/>
  <c r="F914" i="16" s="1"/>
  <c r="G914" i="16" a="1"/>
  <c r="G914" i="16"/>
  <c r="H914" i="16" a="1"/>
  <c r="H914" i="16" s="1"/>
  <c r="F915" i="16" a="1"/>
  <c r="F915" i="16" s="1"/>
  <c r="G915" i="16" a="1"/>
  <c r="G915" i="16" s="1"/>
  <c r="H915" i="16" a="1"/>
  <c r="H915" i="16"/>
  <c r="F916" i="16" a="1"/>
  <c r="F916" i="16" s="1"/>
  <c r="G916" i="16" a="1"/>
  <c r="G916" i="16" s="1"/>
  <c r="H916" i="16" a="1"/>
  <c r="H916" i="16" s="1"/>
  <c r="F917" i="16" a="1"/>
  <c r="F917" i="16" s="1"/>
  <c r="G917" i="16" a="1"/>
  <c r="G917" i="16" s="1"/>
  <c r="H917" i="16" a="1"/>
  <c r="H917" i="16" s="1"/>
  <c r="F918" i="16" a="1"/>
  <c r="F918" i="16" s="1"/>
  <c r="G918" i="16" a="1"/>
  <c r="G918" i="16" s="1"/>
  <c r="H918" i="16" a="1"/>
  <c r="H918" i="16" s="1"/>
  <c r="F919" i="16" a="1"/>
  <c r="F919" i="16"/>
  <c r="G919" i="16" a="1"/>
  <c r="G919" i="16" s="1"/>
  <c r="H919" i="16" a="1"/>
  <c r="H919" i="16" s="1"/>
  <c r="F920" i="16" a="1"/>
  <c r="F920" i="16" s="1"/>
  <c r="G920" i="16" a="1"/>
  <c r="G920" i="16" s="1"/>
  <c r="H920" i="16" a="1"/>
  <c r="H920" i="16" s="1"/>
  <c r="F921" i="16" a="1"/>
  <c r="F921" i="16"/>
  <c r="G921" i="16" a="1"/>
  <c r="G921" i="16" s="1"/>
  <c r="H921" i="16" a="1"/>
  <c r="H921" i="16" s="1"/>
  <c r="F922" i="16" a="1"/>
  <c r="F922" i="16" s="1"/>
  <c r="G922" i="16" a="1"/>
  <c r="G922" i="16" s="1"/>
  <c r="H922" i="16" a="1"/>
  <c r="H922" i="16" s="1"/>
  <c r="F923" i="16" a="1"/>
  <c r="F923" i="16" s="1"/>
  <c r="G923" i="16" a="1"/>
  <c r="G923" i="16" s="1"/>
  <c r="H923" i="16" a="1"/>
  <c r="H923" i="16" s="1"/>
  <c r="F924" i="16" a="1"/>
  <c r="F924" i="16"/>
  <c r="G924" i="16" a="1"/>
  <c r="G924" i="16" s="1"/>
  <c r="H924" i="16" a="1"/>
  <c r="H924" i="16" s="1"/>
  <c r="F925" i="16" a="1"/>
  <c r="F925" i="16" s="1"/>
  <c r="G925" i="16" a="1"/>
  <c r="G925" i="16" s="1"/>
  <c r="H925" i="16" a="1"/>
  <c r="H925" i="16" s="1"/>
  <c r="F926" i="16" a="1"/>
  <c r="F926" i="16" s="1"/>
  <c r="G926" i="16" a="1"/>
  <c r="G926" i="16" s="1"/>
  <c r="H926" i="16" a="1"/>
  <c r="H926" i="16" s="1"/>
  <c r="F927" i="16" a="1"/>
  <c r="F927" i="16" s="1"/>
  <c r="G927" i="16" a="1"/>
  <c r="G927" i="16" s="1"/>
  <c r="H927" i="16" a="1"/>
  <c r="H927" i="16" s="1"/>
  <c r="F928" i="16" a="1"/>
  <c r="F928" i="16" s="1"/>
  <c r="G928" i="16" a="1"/>
  <c r="G928" i="16" s="1"/>
  <c r="H928" i="16" a="1"/>
  <c r="H928" i="16"/>
  <c r="F929" i="16" a="1"/>
  <c r="F929" i="16" s="1"/>
  <c r="G929" i="16" a="1"/>
  <c r="G929" i="16" s="1"/>
  <c r="H929" i="16" a="1"/>
  <c r="H929" i="16" s="1"/>
  <c r="F930" i="16" a="1"/>
  <c r="F930" i="16" s="1"/>
  <c r="G930" i="16" a="1"/>
  <c r="G930" i="16" s="1"/>
  <c r="H930" i="16" a="1"/>
  <c r="H930" i="16" s="1"/>
  <c r="F931" i="16" a="1"/>
  <c r="F931" i="16" s="1"/>
  <c r="G931" i="16" a="1"/>
  <c r="G931" i="16" s="1"/>
  <c r="H931" i="16" a="1"/>
  <c r="H931" i="16" s="1"/>
  <c r="F932" i="16" a="1"/>
  <c r="F932" i="16"/>
  <c r="G932" i="16" a="1"/>
  <c r="G932" i="16"/>
  <c r="H932" i="16" a="1"/>
  <c r="H932" i="16" s="1"/>
  <c r="F933" i="16" a="1"/>
  <c r="F933" i="16" s="1"/>
  <c r="G933" i="16" a="1"/>
  <c r="G933" i="16" s="1"/>
  <c r="H933" i="16" a="1"/>
  <c r="H933" i="16" s="1"/>
  <c r="F934" i="16" a="1"/>
  <c r="F934" i="16" s="1"/>
  <c r="G934" i="16" a="1"/>
  <c r="G934" i="16" s="1"/>
  <c r="H934" i="16" a="1"/>
  <c r="H934" i="16" s="1"/>
  <c r="F935" i="16" a="1"/>
  <c r="F935" i="16" s="1"/>
  <c r="G935" i="16" a="1"/>
  <c r="G935" i="16" s="1"/>
  <c r="H935" i="16" a="1"/>
  <c r="H935" i="16" s="1"/>
  <c r="F936" i="16" a="1"/>
  <c r="F936" i="16" s="1"/>
  <c r="G936" i="16" a="1"/>
  <c r="G936" i="16" s="1"/>
  <c r="H936" i="16" a="1"/>
  <c r="H936" i="16" s="1"/>
  <c r="F937" i="16" a="1"/>
  <c r="F937" i="16" s="1"/>
  <c r="G937" i="16" a="1"/>
  <c r="G937" i="16" s="1"/>
  <c r="H937" i="16" a="1"/>
  <c r="H937" i="16" s="1"/>
  <c r="F938" i="16" a="1"/>
  <c r="F938" i="16" s="1"/>
  <c r="G938" i="16" a="1"/>
  <c r="G938" i="16" s="1"/>
  <c r="H938" i="16" a="1"/>
  <c r="H938" i="16" s="1"/>
  <c r="F939" i="16" a="1"/>
  <c r="F939" i="16" s="1"/>
  <c r="G939" i="16" a="1"/>
  <c r="G939" i="16" s="1"/>
  <c r="H939" i="16" a="1"/>
  <c r="H939" i="16" s="1"/>
  <c r="F940" i="16" a="1"/>
  <c r="F940" i="16" s="1"/>
  <c r="G940" i="16" a="1"/>
  <c r="G940" i="16"/>
  <c r="H940" i="16" a="1"/>
  <c r="H940" i="16" s="1"/>
  <c r="F941" i="16" a="1"/>
  <c r="F941" i="16" s="1"/>
  <c r="G941" i="16" a="1"/>
  <c r="G941" i="16" s="1"/>
  <c r="H941" i="16" a="1"/>
  <c r="H941" i="16" s="1"/>
  <c r="F942" i="16" a="1"/>
  <c r="F942" i="16" s="1"/>
  <c r="G942" i="16" a="1"/>
  <c r="G942" i="16" s="1"/>
  <c r="H942" i="16" a="1"/>
  <c r="H942" i="16" s="1"/>
  <c r="F943" i="16" a="1"/>
  <c r="F943" i="16" s="1"/>
  <c r="G943" i="16" a="1"/>
  <c r="G943" i="16" s="1"/>
  <c r="H943" i="16" a="1"/>
  <c r="H943" i="16" s="1"/>
  <c r="F944" i="16" a="1"/>
  <c r="F944" i="16" s="1"/>
  <c r="G944" i="16" a="1"/>
  <c r="G944" i="16"/>
  <c r="H944" i="16" a="1"/>
  <c r="H944" i="16" s="1"/>
  <c r="F945" i="16" a="1"/>
  <c r="F945" i="16" s="1"/>
  <c r="G945" i="16" a="1"/>
  <c r="G945" i="16"/>
  <c r="H945" i="16" a="1"/>
  <c r="H945" i="16" s="1"/>
  <c r="F946" i="16" a="1"/>
  <c r="F946" i="16" s="1"/>
  <c r="G946" i="16" a="1"/>
  <c r="G946" i="16" s="1"/>
  <c r="H946" i="16" a="1"/>
  <c r="H946" i="16" s="1"/>
  <c r="F947" i="16" a="1"/>
  <c r="F947" i="16"/>
  <c r="G947" i="16" a="1"/>
  <c r="G947" i="16" s="1"/>
  <c r="H947" i="16" a="1"/>
  <c r="H947" i="16"/>
  <c r="F948" i="16" a="1"/>
  <c r="F948" i="16" s="1"/>
  <c r="G948" i="16" a="1"/>
  <c r="G948" i="16" s="1"/>
  <c r="H948" i="16" a="1"/>
  <c r="H948" i="16" s="1"/>
  <c r="F949" i="16" a="1"/>
  <c r="F949" i="16"/>
  <c r="G949" i="16" a="1"/>
  <c r="G949" i="16" s="1"/>
  <c r="H949" i="16" a="1"/>
  <c r="H949" i="16" s="1"/>
  <c r="F950" i="16" a="1"/>
  <c r="F950" i="16" s="1"/>
  <c r="G950" i="16" a="1"/>
  <c r="G950" i="16"/>
  <c r="H950" i="16" a="1"/>
  <c r="H950" i="16" s="1"/>
  <c r="F951" i="16" a="1"/>
  <c r="F951" i="16" s="1"/>
  <c r="G951" i="16" a="1"/>
  <c r="G951" i="16"/>
  <c r="H951" i="16" a="1"/>
  <c r="H951" i="16" s="1"/>
  <c r="F952" i="16" a="1"/>
  <c r="F952" i="16" s="1"/>
  <c r="G952" i="16" a="1"/>
  <c r="G952" i="16" s="1"/>
  <c r="H952" i="16" a="1"/>
  <c r="H952" i="16"/>
  <c r="F953" i="16" a="1"/>
  <c r="F953" i="16" s="1"/>
  <c r="G953" i="16" a="1"/>
  <c r="G953" i="16" s="1"/>
  <c r="H953" i="16" a="1"/>
  <c r="H953" i="16" s="1"/>
  <c r="F954" i="16" a="1"/>
  <c r="F954" i="16"/>
  <c r="G954" i="16" a="1"/>
  <c r="G954" i="16" s="1"/>
  <c r="H954" i="16" a="1"/>
  <c r="H954" i="16" s="1"/>
  <c r="F955" i="16" a="1"/>
  <c r="F955" i="16" s="1"/>
  <c r="G955" i="16" a="1"/>
  <c r="G955" i="16" s="1"/>
  <c r="H955" i="16" a="1"/>
  <c r="H955" i="16" s="1"/>
  <c r="F956" i="16" a="1"/>
  <c r="F956" i="16" s="1"/>
  <c r="G956" i="16" a="1"/>
  <c r="G956" i="16" s="1"/>
  <c r="H956" i="16" a="1"/>
  <c r="H956" i="16" s="1"/>
  <c r="F957" i="16" a="1"/>
  <c r="F957" i="16" s="1"/>
  <c r="G957" i="16" a="1"/>
  <c r="G957" i="16"/>
  <c r="H957" i="16" a="1"/>
  <c r="H957" i="16" s="1"/>
  <c r="F958" i="16" a="1"/>
  <c r="F958" i="16" s="1"/>
  <c r="G958" i="16" a="1"/>
  <c r="G958" i="16" s="1"/>
  <c r="H958" i="16" a="1"/>
  <c r="H958" i="16" s="1"/>
  <c r="F959" i="16" a="1"/>
  <c r="F959" i="16" s="1"/>
  <c r="G959" i="16" a="1"/>
  <c r="G959" i="16" s="1"/>
  <c r="H959" i="16" a="1"/>
  <c r="H959" i="16" s="1"/>
  <c r="F960" i="16" a="1"/>
  <c r="F960" i="16" s="1"/>
  <c r="G960" i="16" a="1"/>
  <c r="G960" i="16" s="1"/>
  <c r="H960" i="16" a="1"/>
  <c r="H960" i="16" s="1"/>
  <c r="F961" i="16" a="1"/>
  <c r="F961" i="16" s="1"/>
  <c r="G961" i="16" a="1"/>
  <c r="G961" i="16"/>
  <c r="H961" i="16" a="1"/>
  <c r="H961" i="16" s="1"/>
  <c r="F962" i="16" a="1"/>
  <c r="F962" i="16"/>
  <c r="G962" i="16" a="1"/>
  <c r="G962" i="16" s="1"/>
  <c r="H962" i="16" a="1"/>
  <c r="H962" i="16" s="1"/>
  <c r="F963" i="16" a="1"/>
  <c r="F963" i="16" s="1"/>
  <c r="G963" i="16" a="1"/>
  <c r="G963" i="16" s="1"/>
  <c r="H963" i="16" a="1"/>
  <c r="H963" i="16" s="1"/>
  <c r="F964" i="16" a="1"/>
  <c r="F964" i="16" s="1"/>
  <c r="G964" i="16" a="1"/>
  <c r="G964" i="16" s="1"/>
  <c r="H964" i="16" a="1"/>
  <c r="H964" i="16"/>
  <c r="F965" i="16" a="1"/>
  <c r="F965" i="16" s="1"/>
  <c r="G965" i="16" a="1"/>
  <c r="G965" i="16" s="1"/>
  <c r="H965" i="16" a="1"/>
  <c r="H965" i="16" s="1"/>
  <c r="F966" i="16" a="1"/>
  <c r="F966" i="16" s="1"/>
  <c r="G966" i="16" a="1"/>
  <c r="G966" i="16" s="1"/>
  <c r="H966" i="16" a="1"/>
  <c r="H966" i="16" s="1"/>
  <c r="F967" i="16" a="1"/>
  <c r="F967" i="16"/>
  <c r="G967" i="16" a="1"/>
  <c r="G967" i="16" s="1"/>
  <c r="H967" i="16" a="1"/>
  <c r="H967" i="16" s="1"/>
  <c r="F968" i="16" a="1"/>
  <c r="F968" i="16" s="1"/>
  <c r="G968" i="16" a="1"/>
  <c r="G968" i="16" s="1"/>
  <c r="H968" i="16" a="1"/>
  <c r="H968" i="16" s="1"/>
  <c r="F969" i="16" a="1"/>
  <c r="F969" i="16" s="1"/>
  <c r="G969" i="16" a="1"/>
  <c r="G969" i="16" s="1"/>
  <c r="H969" i="16" a="1"/>
  <c r="H969" i="16" s="1"/>
  <c r="F970" i="16" a="1"/>
  <c r="F970" i="16" s="1"/>
  <c r="G970" i="16" a="1"/>
  <c r="G970" i="16" s="1"/>
  <c r="H970" i="16" a="1"/>
  <c r="H970" i="16" s="1"/>
  <c r="F971" i="16" a="1"/>
  <c r="F971" i="16"/>
  <c r="G971" i="16" a="1"/>
  <c r="G971" i="16" s="1"/>
  <c r="H971" i="16" a="1"/>
  <c r="H971" i="16" s="1"/>
  <c r="F972" i="16" a="1"/>
  <c r="F972" i="16" s="1"/>
  <c r="G972" i="16" a="1"/>
  <c r="G972" i="16" s="1"/>
  <c r="H972" i="16" a="1"/>
  <c r="H972" i="16" s="1"/>
  <c r="F973" i="16" a="1"/>
  <c r="F973" i="16" s="1"/>
  <c r="G973" i="16" a="1"/>
  <c r="G973" i="16" s="1"/>
  <c r="H973" i="16" a="1"/>
  <c r="H973" i="16"/>
  <c r="F974" i="16" a="1"/>
  <c r="F974" i="16"/>
  <c r="G974" i="16" a="1"/>
  <c r="G974" i="16"/>
  <c r="H974" i="16" a="1"/>
  <c r="H974" i="16" s="1"/>
  <c r="F975" i="16" a="1"/>
  <c r="F975" i="16" s="1"/>
  <c r="G975" i="16" a="1"/>
  <c r="G975" i="16" s="1"/>
  <c r="H975" i="16" a="1"/>
  <c r="H975" i="16" s="1"/>
  <c r="F976" i="16" a="1"/>
  <c r="F976" i="16" s="1"/>
  <c r="G976" i="16" a="1"/>
  <c r="G976" i="16" s="1"/>
  <c r="H976" i="16" a="1"/>
  <c r="H976" i="16" s="1"/>
  <c r="F977" i="16" a="1"/>
  <c r="F977" i="16" s="1"/>
  <c r="G977" i="16" a="1"/>
  <c r="G977" i="16" s="1"/>
  <c r="H977" i="16" a="1"/>
  <c r="H977" i="16"/>
  <c r="F978" i="16" a="1"/>
  <c r="F978" i="16" s="1"/>
  <c r="G978" i="16" a="1"/>
  <c r="G978" i="16" s="1"/>
  <c r="H978" i="16" a="1"/>
  <c r="H978" i="16"/>
  <c r="F979" i="16" a="1"/>
  <c r="F979" i="16" s="1"/>
  <c r="G979" i="16" a="1"/>
  <c r="G979" i="16" s="1"/>
  <c r="H979" i="16" a="1"/>
  <c r="H979" i="16" s="1"/>
  <c r="F980" i="16" a="1"/>
  <c r="F980" i="16" s="1"/>
  <c r="G980" i="16" a="1"/>
  <c r="G980" i="16" s="1"/>
  <c r="H980" i="16" a="1"/>
  <c r="H980" i="16" s="1"/>
  <c r="F981" i="16" a="1"/>
  <c r="F981" i="16"/>
  <c r="G981" i="16" a="1"/>
  <c r="G981" i="16"/>
  <c r="H981" i="16" a="1"/>
  <c r="H981" i="16" s="1"/>
  <c r="F982" i="16" a="1"/>
  <c r="F982" i="16" s="1"/>
  <c r="G982" i="16" a="1"/>
  <c r="G982" i="16" s="1"/>
  <c r="H982" i="16" a="1"/>
  <c r="H982" i="16" s="1"/>
  <c r="F983" i="16" a="1"/>
  <c r="F983" i="16" s="1"/>
  <c r="G983" i="16" a="1"/>
  <c r="G983" i="16" s="1"/>
  <c r="H983" i="16" a="1"/>
  <c r="H983" i="16" s="1"/>
  <c r="F984" i="16" a="1"/>
  <c r="F984" i="16" s="1"/>
  <c r="G984" i="16" a="1"/>
  <c r="G984" i="16" s="1"/>
  <c r="H984" i="16" a="1"/>
  <c r="H984" i="16" s="1"/>
  <c r="F985" i="16" a="1"/>
  <c r="F985" i="16" s="1"/>
  <c r="G985" i="16" a="1"/>
  <c r="G985" i="16" s="1"/>
  <c r="H985" i="16" a="1"/>
  <c r="H985" i="16" s="1"/>
  <c r="F986" i="16" a="1"/>
  <c r="F986" i="16"/>
  <c r="G986" i="16" a="1"/>
  <c r="G986" i="16" s="1"/>
  <c r="H986" i="16" a="1"/>
  <c r="H986" i="16" s="1"/>
  <c r="F987" i="16" a="1"/>
  <c r="F987" i="16"/>
  <c r="G987" i="16" a="1"/>
  <c r="G987" i="16" s="1"/>
  <c r="H987" i="16" a="1"/>
  <c r="H987" i="16" s="1"/>
  <c r="F988" i="16" a="1"/>
  <c r="F988" i="16" s="1"/>
  <c r="G988" i="16" a="1"/>
  <c r="G988" i="16" s="1"/>
  <c r="H988" i="16" a="1"/>
  <c r="H988" i="16" s="1"/>
  <c r="F989" i="16" a="1"/>
  <c r="F989" i="16" s="1"/>
  <c r="G989" i="16" a="1"/>
  <c r="G989" i="16"/>
  <c r="H989" i="16" a="1"/>
  <c r="H989" i="16" s="1"/>
  <c r="F990" i="16" a="1"/>
  <c r="F990" i="16" s="1"/>
  <c r="G990" i="16" a="1"/>
  <c r="G990" i="16" s="1"/>
  <c r="H990" i="16" a="1"/>
  <c r="H990" i="16"/>
  <c r="F991" i="16" a="1"/>
  <c r="F991" i="16"/>
  <c r="G991" i="16" a="1"/>
  <c r="G991" i="16"/>
  <c r="H991" i="16" a="1"/>
  <c r="H991" i="16" s="1"/>
  <c r="F992" i="16" a="1"/>
  <c r="F992" i="16" s="1"/>
  <c r="G992" i="16" a="1"/>
  <c r="G992" i="16" s="1"/>
  <c r="H992" i="16" a="1"/>
  <c r="H992" i="16" s="1"/>
  <c r="F993" i="16" a="1"/>
  <c r="F993" i="16"/>
  <c r="G993" i="16" a="1"/>
  <c r="G993" i="16" s="1"/>
  <c r="H993" i="16" a="1"/>
  <c r="H993" i="16" s="1"/>
  <c r="F994" i="16" a="1"/>
  <c r="F994" i="16" s="1"/>
  <c r="G994" i="16" a="1"/>
  <c r="G994" i="16" s="1"/>
  <c r="H994" i="16" a="1"/>
  <c r="H994" i="16" s="1"/>
  <c r="F995" i="16" a="1"/>
  <c r="F995" i="16" s="1"/>
  <c r="G995" i="16" a="1"/>
  <c r="G995" i="16" s="1"/>
  <c r="H995" i="16" a="1"/>
  <c r="H995" i="16" s="1"/>
  <c r="F996" i="16" a="1"/>
  <c r="F996" i="16" s="1"/>
  <c r="G996" i="16" a="1"/>
  <c r="G996" i="16" s="1"/>
  <c r="H996" i="16" a="1"/>
  <c r="H996" i="16" s="1"/>
  <c r="F997" i="16" a="1"/>
  <c r="F997" i="16" s="1"/>
  <c r="G997" i="16" a="1"/>
  <c r="G997" i="16" s="1"/>
  <c r="H997" i="16" a="1"/>
  <c r="H997" i="16"/>
  <c r="F998" i="16" a="1"/>
  <c r="F998" i="16" s="1"/>
  <c r="G998" i="16" a="1"/>
  <c r="G998" i="16" s="1"/>
  <c r="H998" i="16" a="1"/>
  <c r="H998" i="16" s="1"/>
  <c r="F999" i="16" a="1"/>
  <c r="F999" i="16" s="1"/>
  <c r="G999" i="16" a="1"/>
  <c r="G999" i="16"/>
  <c r="H999" i="16" a="1"/>
  <c r="H999" i="16" s="1"/>
  <c r="F1000" i="16" a="1"/>
  <c r="F1000" i="16" s="1"/>
  <c r="G1000" i="16" a="1"/>
  <c r="G1000" i="16" s="1"/>
  <c r="H1000" i="16" a="1"/>
  <c r="H1000" i="16" s="1"/>
  <c r="F1001" i="16" a="1"/>
  <c r="F1001" i="16" s="1"/>
  <c r="G1001" i="16" a="1"/>
  <c r="G1001" i="16" s="1"/>
  <c r="H1001" i="16" a="1"/>
  <c r="H1001" i="16" s="1"/>
  <c r="F1002" i="16" a="1"/>
  <c r="F1002" i="16" s="1"/>
  <c r="G1002" i="16" a="1"/>
  <c r="G1002" i="16" s="1"/>
  <c r="H1002" i="16" a="1"/>
  <c r="H1002" i="16" s="1"/>
  <c r="F1003" i="16" a="1"/>
  <c r="F1003" i="16" s="1"/>
  <c r="G1003" i="16" a="1"/>
  <c r="G1003" i="16" s="1"/>
  <c r="H1003" i="16" a="1"/>
  <c r="H1003" i="16" s="1"/>
  <c r="F1004" i="16" a="1"/>
  <c r="F1004" i="16" s="1"/>
  <c r="G1004" i="16" a="1"/>
  <c r="G1004" i="16" s="1"/>
  <c r="H1004" i="16" a="1"/>
  <c r="H1004" i="16" s="1"/>
  <c r="F1005" i="16" a="1"/>
  <c r="F1005" i="16" s="1"/>
  <c r="G1005" i="16" a="1"/>
  <c r="G1005" i="16" s="1"/>
  <c r="H1005" i="16" a="1"/>
  <c r="H1005" i="16" s="1"/>
  <c r="F1006" i="16" a="1"/>
  <c r="F1006" i="16"/>
  <c r="G1006" i="16" a="1"/>
  <c r="G1006" i="16" s="1"/>
  <c r="H1006" i="16" a="1"/>
  <c r="H1006" i="16" s="1"/>
  <c r="F1007" i="16" a="1"/>
  <c r="F1007" i="16" s="1"/>
  <c r="G1007" i="16" a="1"/>
  <c r="G1007" i="16" s="1"/>
  <c r="H1007" i="16" a="1"/>
  <c r="H1007" i="16"/>
  <c r="F1008" i="16" a="1"/>
  <c r="F1008" i="16" s="1"/>
  <c r="G1008" i="16" a="1"/>
  <c r="G1008" i="16" s="1"/>
  <c r="H1008" i="16" a="1"/>
  <c r="H1008" i="16" s="1"/>
  <c r="F1009" i="16" a="1"/>
  <c r="F1009" i="16" s="1"/>
  <c r="G1009" i="16" a="1"/>
  <c r="G1009" i="16" s="1"/>
  <c r="H1009" i="16" a="1"/>
  <c r="H1009" i="16" s="1"/>
  <c r="F1010" i="16" a="1"/>
  <c r="F1010" i="16" s="1"/>
  <c r="G1010" i="16" a="1"/>
  <c r="G1010" i="16" s="1"/>
  <c r="H1010" i="16" a="1"/>
  <c r="H1010" i="16" s="1"/>
  <c r="F1011" i="16" a="1"/>
  <c r="F1011" i="16" s="1"/>
  <c r="G1011" i="16" a="1"/>
  <c r="G1011" i="16" s="1"/>
  <c r="H1011" i="16" a="1"/>
  <c r="H1011" i="16" s="1"/>
  <c r="F1012" i="16" a="1"/>
  <c r="F1012" i="16" s="1"/>
  <c r="G1012" i="16" a="1"/>
  <c r="G1012" i="16" s="1"/>
  <c r="H1012" i="16" a="1"/>
  <c r="H1012" i="16" s="1"/>
  <c r="F1013" i="16" a="1"/>
  <c r="F1013" i="16" s="1"/>
  <c r="G1013" i="16" a="1"/>
  <c r="G1013" i="16" s="1"/>
  <c r="H1013" i="16" a="1"/>
  <c r="H1013" i="16" s="1"/>
  <c r="F1014" i="16" a="1"/>
  <c r="F1014" i="16" s="1"/>
  <c r="G1014" i="16" a="1"/>
  <c r="G1014" i="16" s="1"/>
  <c r="H1014" i="16" a="1"/>
  <c r="H1014" i="16" s="1"/>
  <c r="F1015" i="16" a="1"/>
  <c r="F1015" i="16" s="1"/>
  <c r="G1015" i="16" a="1"/>
  <c r="G1015" i="16" s="1"/>
  <c r="H1015" i="16" a="1"/>
  <c r="H1015" i="16" s="1"/>
  <c r="F17" i="16" a="1"/>
  <c r="F17" i="16" s="1"/>
  <c r="G17" i="16" a="1"/>
  <c r="G17" i="16" s="1"/>
  <c r="H17" i="16" a="1"/>
  <c r="H17" i="16" s="1"/>
  <c r="F18" i="16" a="1"/>
  <c r="F18" i="16" s="1"/>
  <c r="G18" i="16" a="1"/>
  <c r="G18" i="16"/>
  <c r="H18" i="16" a="1"/>
  <c r="H18" i="16"/>
  <c r="F19" i="16" a="1"/>
  <c r="F19" i="16" s="1"/>
  <c r="G19" i="16" a="1"/>
  <c r="G19" i="16" s="1"/>
  <c r="H19" i="16" a="1"/>
  <c r="H19" i="16" s="1"/>
  <c r="F20" i="16" a="1"/>
  <c r="F20" i="16" s="1"/>
  <c r="G20" i="16" a="1"/>
  <c r="G20" i="16" s="1"/>
  <c r="H20" i="16" a="1"/>
  <c r="H20" i="16" s="1"/>
  <c r="F21" i="16" a="1"/>
  <c r="F21" i="16" s="1"/>
  <c r="G21" i="16" a="1"/>
  <c r="G21" i="16" s="1"/>
  <c r="H21" i="16" a="1"/>
  <c r="H21" i="16" s="1"/>
  <c r="F22" i="16" a="1"/>
  <c r="F22" i="16" s="1"/>
  <c r="G22" i="16" a="1"/>
  <c r="G22" i="16" s="1"/>
  <c r="H22" i="16" a="1"/>
  <c r="H22" i="16" s="1"/>
  <c r="F23" i="16" a="1"/>
  <c r="F23" i="16" s="1"/>
  <c r="G23" i="16" a="1"/>
  <c r="G23" i="16" s="1"/>
  <c r="H23" i="16" a="1"/>
  <c r="H23" i="16" s="1"/>
  <c r="F24" i="16" a="1"/>
  <c r="F24" i="16" s="1"/>
  <c r="G24" i="16" a="1"/>
  <c r="G24" i="16" s="1"/>
  <c r="H24" i="16" a="1"/>
  <c r="H24" i="16" s="1"/>
  <c r="F25" i="16" a="1"/>
  <c r="F25" i="16" s="1"/>
  <c r="G25" i="16" a="1"/>
  <c r="G25" i="16" s="1"/>
  <c r="H25" i="16" a="1"/>
  <c r="H25" i="16" s="1"/>
  <c r="F26" i="16" a="1"/>
  <c r="F26" i="16" s="1"/>
  <c r="G26" i="16" a="1"/>
  <c r="G26" i="16" s="1"/>
  <c r="H26" i="16" a="1"/>
  <c r="H26" i="16" s="1"/>
  <c r="F27" i="16" a="1"/>
  <c r="F27" i="16" s="1"/>
  <c r="G27" i="16" a="1"/>
  <c r="G27" i="16" s="1"/>
  <c r="H27" i="16" a="1"/>
  <c r="H27" i="16" s="1"/>
  <c r="F28" i="16" a="1"/>
  <c r="F28" i="16" s="1"/>
  <c r="G28" i="16" a="1"/>
  <c r="G28" i="16" s="1"/>
  <c r="H28" i="16" a="1"/>
  <c r="H28" i="16" s="1"/>
  <c r="F29" i="16" a="1"/>
  <c r="F29" i="16" s="1"/>
  <c r="G29" i="16" a="1"/>
  <c r="G29" i="16" s="1"/>
  <c r="H29" i="16" a="1"/>
  <c r="H29" i="16" s="1"/>
  <c r="F30" i="16" a="1"/>
  <c r="F30" i="16" s="1"/>
  <c r="G30" i="16" a="1"/>
  <c r="G30" i="16" s="1"/>
  <c r="H30" i="16" a="1"/>
  <c r="H30" i="16" s="1"/>
  <c r="F31" i="16" a="1"/>
  <c r="F31" i="16" s="1"/>
  <c r="G31" i="16" a="1"/>
  <c r="G31" i="16" s="1"/>
  <c r="H31" i="16" a="1"/>
  <c r="H31" i="16" s="1"/>
  <c r="F32" i="16" a="1"/>
  <c r="F32" i="16" s="1"/>
  <c r="G32" i="16" a="1"/>
  <c r="G32" i="16" s="1"/>
  <c r="H32" i="16" a="1"/>
  <c r="H32" i="16" s="1"/>
  <c r="F33" i="16" a="1"/>
  <c r="F33" i="16" s="1"/>
  <c r="G33" i="16" a="1"/>
  <c r="G33" i="16" s="1"/>
  <c r="H33" i="16" a="1"/>
  <c r="H33" i="16" s="1"/>
  <c r="F34" i="16" a="1"/>
  <c r="F34" i="16" s="1"/>
  <c r="G34" i="16" a="1"/>
  <c r="G34" i="16" s="1"/>
  <c r="H34" i="16" a="1"/>
  <c r="H34" i="16" s="1"/>
  <c r="F35" i="16" a="1"/>
  <c r="F35" i="16" s="1"/>
  <c r="G35" i="16" a="1"/>
  <c r="G35" i="16" s="1"/>
  <c r="H35" i="16" a="1"/>
  <c r="H35" i="16" s="1"/>
  <c r="F36" i="16" a="1"/>
  <c r="F36" i="16" s="1"/>
  <c r="G36" i="16" a="1"/>
  <c r="G36" i="16" s="1"/>
  <c r="H36" i="16" a="1"/>
  <c r="H36" i="16" s="1"/>
  <c r="F37" i="16" a="1"/>
  <c r="F37" i="16" s="1"/>
  <c r="G37" i="16" a="1"/>
  <c r="G37" i="16" s="1"/>
  <c r="H37" i="16" a="1"/>
  <c r="H37" i="16" s="1"/>
  <c r="F38" i="16" a="1"/>
  <c r="F38" i="16" s="1"/>
  <c r="G38" i="16" a="1"/>
  <c r="G38" i="16" s="1"/>
  <c r="H38" i="16" a="1"/>
  <c r="H38" i="16" s="1"/>
  <c r="F39" i="16" a="1"/>
  <c r="F39" i="16" s="1"/>
  <c r="G39" i="16" a="1"/>
  <c r="G39" i="16" s="1"/>
  <c r="H39" i="16" a="1"/>
  <c r="H39" i="16" s="1"/>
  <c r="F40" i="16" a="1"/>
  <c r="F40" i="16" s="1"/>
  <c r="G40" i="16" a="1"/>
  <c r="G40" i="16" s="1"/>
  <c r="H40" i="16" a="1"/>
  <c r="H40" i="16" s="1"/>
  <c r="F41" i="16" a="1"/>
  <c r="F41" i="16" s="1"/>
  <c r="G41" i="16" a="1"/>
  <c r="G41" i="16" s="1"/>
  <c r="H41" i="16" a="1"/>
  <c r="H41" i="16" s="1"/>
  <c r="F42" i="16" a="1"/>
  <c r="F42" i="16" s="1"/>
  <c r="G42" i="16" a="1"/>
  <c r="G42" i="16" s="1"/>
  <c r="H42" i="16" a="1"/>
  <c r="H42" i="16" s="1"/>
  <c r="F43" i="16" a="1"/>
  <c r="F43" i="16" s="1"/>
  <c r="G43" i="16" a="1"/>
  <c r="G43" i="16" s="1"/>
  <c r="H43" i="16" a="1"/>
  <c r="H43" i="16" s="1"/>
  <c r="F44" i="16" a="1"/>
  <c r="F44" i="16" s="1"/>
  <c r="G44" i="16" a="1"/>
  <c r="G44" i="16" s="1"/>
  <c r="H44" i="16" a="1"/>
  <c r="H44" i="16" s="1"/>
  <c r="F45" i="16" a="1"/>
  <c r="F45" i="16" s="1"/>
  <c r="G45" i="16" a="1"/>
  <c r="G45" i="16" s="1"/>
  <c r="H45" i="16" a="1"/>
  <c r="H45" i="16" s="1"/>
  <c r="F46" i="16" a="1"/>
  <c r="F46" i="16" s="1"/>
  <c r="G46" i="16" a="1"/>
  <c r="G46" i="16" s="1"/>
  <c r="H46" i="16" a="1"/>
  <c r="H46" i="16" s="1"/>
  <c r="F47" i="16" a="1"/>
  <c r="F47" i="16"/>
  <c r="G47" i="16" a="1"/>
  <c r="G47" i="16" s="1"/>
  <c r="H47" i="16" a="1"/>
  <c r="H47" i="16" s="1"/>
  <c r="F48" i="16" a="1"/>
  <c r="F48" i="16" s="1"/>
  <c r="G48" i="16" a="1"/>
  <c r="G48" i="16" s="1"/>
  <c r="H48" i="16" a="1"/>
  <c r="H48" i="16" s="1"/>
  <c r="F49" i="16" a="1"/>
  <c r="F49" i="16" s="1"/>
  <c r="G49" i="16" a="1"/>
  <c r="G49" i="16" s="1"/>
  <c r="H49" i="16" a="1"/>
  <c r="H49" i="16"/>
  <c r="F50" i="16" a="1"/>
  <c r="F50" i="16"/>
  <c r="G50" i="16" a="1"/>
  <c r="G50" i="16" s="1"/>
  <c r="H50" i="16" a="1"/>
  <c r="H50" i="16" s="1"/>
  <c r="F51" i="16" a="1"/>
  <c r="F51" i="16" s="1"/>
  <c r="G51" i="16" a="1"/>
  <c r="G51" i="16" s="1"/>
  <c r="H51" i="16" a="1"/>
  <c r="H51" i="16" s="1"/>
  <c r="F52" i="16" a="1"/>
  <c r="F52" i="16" s="1"/>
  <c r="G52" i="16" a="1"/>
  <c r="G52" i="16" s="1"/>
  <c r="H52" i="16" a="1"/>
  <c r="H52" i="16" s="1"/>
  <c r="F53" i="16" a="1"/>
  <c r="F53" i="16" s="1"/>
  <c r="G53" i="16" a="1"/>
  <c r="G53" i="16" s="1"/>
  <c r="H53" i="16" a="1"/>
  <c r="H53" i="16" s="1"/>
  <c r="F54" i="16" a="1"/>
  <c r="F54" i="16" s="1"/>
  <c r="G54" i="16" a="1"/>
  <c r="G54" i="16" s="1"/>
  <c r="H54" i="16" a="1"/>
  <c r="H54" i="16" s="1"/>
  <c r="F55" i="16" a="1"/>
  <c r="F55" i="16" s="1"/>
  <c r="G55" i="16" a="1"/>
  <c r="G55" i="16" s="1"/>
  <c r="H55" i="16" a="1"/>
  <c r="H55" i="16" s="1"/>
  <c r="F56" i="16" a="1"/>
  <c r="F56" i="16" s="1"/>
  <c r="G56" i="16" a="1"/>
  <c r="G56" i="16" s="1"/>
  <c r="H56" i="16" a="1"/>
  <c r="H56" i="16" s="1"/>
  <c r="F57" i="16" a="1"/>
  <c r="F57" i="16" s="1"/>
  <c r="G57" i="16" a="1"/>
  <c r="G57" i="16" s="1"/>
  <c r="H57" i="16" a="1"/>
  <c r="H57" i="16" s="1"/>
  <c r="F58" i="16" a="1"/>
  <c r="F58" i="16" s="1"/>
  <c r="G58" i="16" a="1"/>
  <c r="G58" i="16" s="1"/>
  <c r="H58" i="16" a="1"/>
  <c r="H58" i="16" s="1"/>
  <c r="F59" i="16" a="1"/>
  <c r="F59" i="16" s="1"/>
  <c r="G59" i="16" a="1"/>
  <c r="G59" i="16" s="1"/>
  <c r="H59" i="16" a="1"/>
  <c r="H59" i="16" s="1"/>
  <c r="F60" i="16" a="1"/>
  <c r="F60" i="16" s="1"/>
  <c r="G60" i="16" a="1"/>
  <c r="G60" i="16" s="1"/>
  <c r="H60" i="16" a="1"/>
  <c r="H60" i="16"/>
  <c r="F61" i="16" a="1"/>
  <c r="F61" i="16" s="1"/>
  <c r="G61" i="16" a="1"/>
  <c r="G61" i="16" s="1"/>
  <c r="H61" i="16" a="1"/>
  <c r="H61" i="16" s="1"/>
  <c r="F62" i="16" a="1"/>
  <c r="F62" i="16" s="1"/>
  <c r="G62" i="16" a="1"/>
  <c r="G62" i="16" s="1"/>
  <c r="H62" i="16" a="1"/>
  <c r="H62" i="16" s="1"/>
  <c r="F63" i="16" a="1"/>
  <c r="F63" i="16" s="1"/>
  <c r="G63" i="16" a="1"/>
  <c r="G63" i="16" s="1"/>
  <c r="H63" i="16" a="1"/>
  <c r="H63" i="16" s="1"/>
  <c r="F64" i="16" a="1"/>
  <c r="F64" i="16" s="1"/>
  <c r="G64" i="16" a="1"/>
  <c r="G64" i="16" s="1"/>
  <c r="H64" i="16" a="1"/>
  <c r="H64" i="16" s="1"/>
  <c r="F65" i="16" a="1"/>
  <c r="F65" i="16" s="1"/>
  <c r="G65" i="16" a="1"/>
  <c r="G65" i="16" s="1"/>
  <c r="H65" i="16" a="1"/>
  <c r="H65" i="16" s="1"/>
  <c r="F66" i="16" a="1"/>
  <c r="F66" i="16" s="1"/>
  <c r="G66" i="16" a="1"/>
  <c r="G66" i="16" s="1"/>
  <c r="H66" i="16" a="1"/>
  <c r="H66" i="16" s="1"/>
  <c r="F67" i="16" a="1"/>
  <c r="F67" i="16" s="1"/>
  <c r="G67" i="16" a="1"/>
  <c r="G67" i="16" s="1"/>
  <c r="H67" i="16" a="1"/>
  <c r="H67" i="16" s="1"/>
  <c r="F68" i="16" a="1"/>
  <c r="F68" i="16" s="1"/>
  <c r="G68" i="16" a="1"/>
  <c r="G68" i="16" s="1"/>
  <c r="H68" i="16" a="1"/>
  <c r="H68" i="16" s="1"/>
  <c r="F69" i="16" a="1"/>
  <c r="F69" i="16" s="1"/>
  <c r="G69" i="16" a="1"/>
  <c r="G69" i="16" s="1"/>
  <c r="H69" i="16" a="1"/>
  <c r="H69" i="16"/>
  <c r="F70" i="16" a="1"/>
  <c r="F70" i="16" s="1"/>
  <c r="G70" i="16" a="1"/>
  <c r="G70" i="16" s="1"/>
  <c r="H70" i="16" a="1"/>
  <c r="H70" i="16" s="1"/>
  <c r="F71" i="16" a="1"/>
  <c r="F71" i="16" s="1"/>
  <c r="G71" i="16" a="1"/>
  <c r="G71" i="16" s="1"/>
  <c r="H71" i="16" a="1"/>
  <c r="H71" i="16" s="1"/>
  <c r="F72" i="16" a="1"/>
  <c r="F72" i="16" s="1"/>
  <c r="G72" i="16" a="1"/>
  <c r="G72" i="16" s="1"/>
  <c r="H72" i="16" a="1"/>
  <c r="H72" i="16" s="1"/>
  <c r="F73" i="16" a="1"/>
  <c r="F73" i="16"/>
  <c r="G73" i="16" a="1"/>
  <c r="G73" i="16" s="1"/>
  <c r="H73" i="16" a="1"/>
  <c r="H73" i="16" s="1"/>
  <c r="F74" i="16" a="1"/>
  <c r="F74" i="16"/>
  <c r="G74" i="16" a="1"/>
  <c r="G74" i="16" s="1"/>
  <c r="H74" i="16" a="1"/>
  <c r="H74" i="16" s="1"/>
  <c r="F75" i="16" a="1"/>
  <c r="F75" i="16" s="1"/>
  <c r="G75" i="16" a="1"/>
  <c r="G75" i="16" s="1"/>
  <c r="H75" i="16" a="1"/>
  <c r="H75" i="16" s="1"/>
  <c r="F76" i="16" a="1"/>
  <c r="F76" i="16" s="1"/>
  <c r="G76" i="16" a="1"/>
  <c r="G76" i="16" s="1"/>
  <c r="H76" i="16" a="1"/>
  <c r="H76" i="16" s="1"/>
  <c r="F77" i="16" a="1"/>
  <c r="F77" i="16" s="1"/>
  <c r="G77" i="16" a="1"/>
  <c r="G77" i="16"/>
  <c r="H77" i="16" a="1"/>
  <c r="H77" i="16" s="1"/>
  <c r="F78" i="16" a="1"/>
  <c r="F78" i="16" s="1"/>
  <c r="G78" i="16" a="1"/>
  <c r="G78" i="16" s="1"/>
  <c r="H78" i="16" a="1"/>
  <c r="H78" i="16" s="1"/>
  <c r="F79" i="16" a="1"/>
  <c r="F79" i="16" s="1"/>
  <c r="G79" i="16" a="1"/>
  <c r="G79" i="16" s="1"/>
  <c r="H79" i="16" a="1"/>
  <c r="H79" i="16" s="1"/>
  <c r="F80" i="16" a="1"/>
  <c r="F80" i="16" s="1"/>
  <c r="G80" i="16" a="1"/>
  <c r="G80" i="16" s="1"/>
  <c r="H80" i="16" a="1"/>
  <c r="H80" i="16" s="1"/>
  <c r="F81" i="16" a="1"/>
  <c r="F81" i="16" s="1"/>
  <c r="G81" i="16" a="1"/>
  <c r="G81" i="16" s="1"/>
  <c r="H81" i="16" a="1"/>
  <c r="H81" i="16" s="1"/>
  <c r="F82" i="16" a="1"/>
  <c r="F82" i="16" s="1"/>
  <c r="G82" i="16" a="1"/>
  <c r="G82" i="16" s="1"/>
  <c r="H82" i="16" a="1"/>
  <c r="H82" i="16" s="1"/>
  <c r="F83" i="16" a="1"/>
  <c r="F83" i="16" s="1"/>
  <c r="G83" i="16" a="1"/>
  <c r="G83" i="16" s="1"/>
  <c r="H83" i="16" a="1"/>
  <c r="H83" i="16" s="1"/>
  <c r="F84" i="16" a="1"/>
  <c r="F84" i="16" s="1"/>
  <c r="G84" i="16" a="1"/>
  <c r="G84" i="16" s="1"/>
  <c r="H84" i="16" a="1"/>
  <c r="H84" i="16" s="1"/>
  <c r="F85" i="16" a="1"/>
  <c r="F85" i="16" s="1"/>
  <c r="G85" i="16" a="1"/>
  <c r="G85" i="16" s="1"/>
  <c r="H85" i="16" a="1"/>
  <c r="H85" i="16" s="1"/>
  <c r="F86" i="16" a="1"/>
  <c r="F86" i="16" s="1"/>
  <c r="G86" i="16" a="1"/>
  <c r="G86" i="16"/>
  <c r="H86" i="16" a="1"/>
  <c r="H86" i="16" s="1"/>
  <c r="F87" i="16" a="1"/>
  <c r="F87" i="16"/>
  <c r="G87" i="16" a="1"/>
  <c r="G87" i="16" s="1"/>
  <c r="H87" i="16" a="1"/>
  <c r="H87" i="16" s="1"/>
  <c r="F88" i="16" a="1"/>
  <c r="F88" i="16" s="1"/>
  <c r="G88" i="16" a="1"/>
  <c r="G88" i="16" s="1"/>
  <c r="H88" i="16" a="1"/>
  <c r="H88" i="16" s="1"/>
  <c r="F89" i="16" a="1"/>
  <c r="F89" i="16" s="1"/>
  <c r="G89" i="16" a="1"/>
  <c r="G89" i="16" s="1"/>
  <c r="H89" i="16" a="1"/>
  <c r="H89" i="16"/>
  <c r="F90" i="16" a="1"/>
  <c r="F90" i="16" s="1"/>
  <c r="G90" i="16" a="1"/>
  <c r="G90" i="16" s="1"/>
  <c r="H90" i="16" a="1"/>
  <c r="H90" i="16"/>
  <c r="F91" i="16" a="1"/>
  <c r="F91" i="16" s="1"/>
  <c r="G91" i="16" a="1"/>
  <c r="G91" i="16" s="1"/>
  <c r="H91" i="16" a="1"/>
  <c r="H91" i="16" s="1"/>
  <c r="F92" i="16" a="1"/>
  <c r="F92" i="16" s="1"/>
  <c r="G92" i="16" a="1"/>
  <c r="G92" i="16" s="1"/>
  <c r="H92" i="16" a="1"/>
  <c r="H92" i="16" s="1"/>
  <c r="F93" i="16" a="1"/>
  <c r="F93" i="16" s="1"/>
  <c r="G93" i="16" a="1"/>
  <c r="G93" i="16" s="1"/>
  <c r="H93" i="16" a="1"/>
  <c r="H93" i="16" s="1"/>
  <c r="F94" i="16" a="1"/>
  <c r="F94" i="16"/>
  <c r="G94" i="16" a="1"/>
  <c r="G94" i="16" s="1"/>
  <c r="H94" i="16" a="1"/>
  <c r="H94" i="16" s="1"/>
  <c r="F95" i="16" a="1"/>
  <c r="F95" i="16" s="1"/>
  <c r="G95" i="16" a="1"/>
  <c r="G95" i="16" s="1"/>
  <c r="H95" i="16" a="1"/>
  <c r="H95" i="16" s="1"/>
  <c r="F96" i="16" a="1"/>
  <c r="F96" i="16" s="1"/>
  <c r="G96" i="16" a="1"/>
  <c r="G96" i="16" s="1"/>
  <c r="H96" i="16" a="1"/>
  <c r="H96" i="16" s="1"/>
  <c r="F97" i="16" a="1"/>
  <c r="F97" i="16" s="1"/>
  <c r="G97" i="16" a="1"/>
  <c r="G97" i="16" s="1"/>
  <c r="H97" i="16" a="1"/>
  <c r="H97" i="16" s="1"/>
  <c r="F98" i="16" a="1"/>
  <c r="F98" i="16" s="1"/>
  <c r="G98" i="16" a="1"/>
  <c r="G98" i="16" s="1"/>
  <c r="H98" i="16" a="1"/>
  <c r="H98" i="16" s="1"/>
  <c r="F99" i="16" a="1"/>
  <c r="F99" i="16" s="1"/>
  <c r="G99" i="16" a="1"/>
  <c r="G99" i="16" s="1"/>
  <c r="H99" i="16" a="1"/>
  <c r="H99" i="16" s="1"/>
  <c r="F100" i="16" a="1"/>
  <c r="F100" i="16" s="1"/>
  <c r="G100" i="16" a="1"/>
  <c r="G100" i="16" s="1"/>
  <c r="H100" i="16" a="1"/>
  <c r="H100" i="16" s="1"/>
  <c r="F101" i="16" a="1"/>
  <c r="F101" i="16" s="1"/>
  <c r="G101" i="16" a="1"/>
  <c r="G101" i="16" s="1"/>
  <c r="H101" i="16" a="1"/>
  <c r="H101" i="16" s="1"/>
  <c r="F102" i="16" a="1"/>
  <c r="F102" i="16" s="1"/>
  <c r="G102" i="16" a="1"/>
  <c r="G102" i="16" s="1"/>
  <c r="H102" i="16" a="1"/>
  <c r="H102" i="16" s="1"/>
  <c r="F103" i="16" a="1"/>
  <c r="F103" i="16"/>
  <c r="G103" i="16" a="1"/>
  <c r="G103" i="16" s="1"/>
  <c r="H103" i="16" a="1"/>
  <c r="H103" i="16" s="1"/>
  <c r="F104" i="16" a="1"/>
  <c r="F104" i="16" s="1"/>
  <c r="G104" i="16" a="1"/>
  <c r="G104" i="16" s="1"/>
  <c r="H104" i="16" a="1"/>
  <c r="H104" i="16" s="1"/>
  <c r="F105" i="16" a="1"/>
  <c r="F105" i="16" s="1"/>
  <c r="G105" i="16" a="1"/>
  <c r="G105" i="16" s="1"/>
  <c r="H105" i="16" a="1"/>
  <c r="H105" i="16" s="1"/>
  <c r="F106" i="16" a="1"/>
  <c r="F106" i="16" s="1"/>
  <c r="G106" i="16" a="1"/>
  <c r="G106" i="16"/>
  <c r="H106" i="16" a="1"/>
  <c r="H106" i="16" s="1"/>
  <c r="F107" i="16" a="1"/>
  <c r="F107" i="16" s="1"/>
  <c r="G107" i="16" a="1"/>
  <c r="G107" i="16"/>
  <c r="H107" i="16" a="1"/>
  <c r="H107" i="16" s="1"/>
  <c r="F108" i="16" a="1"/>
  <c r="F108" i="16" s="1"/>
  <c r="G108" i="16" a="1"/>
  <c r="G108" i="16" s="1"/>
  <c r="H108" i="16" a="1"/>
  <c r="H108" i="16" s="1"/>
  <c r="F109" i="16" a="1"/>
  <c r="F109" i="16" s="1"/>
  <c r="G109" i="16" a="1"/>
  <c r="G109" i="16" s="1"/>
  <c r="H109" i="16" a="1"/>
  <c r="H109" i="16" s="1"/>
  <c r="F110" i="16" a="1"/>
  <c r="F110" i="16" s="1"/>
  <c r="G110" i="16" a="1"/>
  <c r="G110" i="16" s="1"/>
  <c r="H110" i="16" a="1"/>
  <c r="H110" i="16"/>
  <c r="F111" i="16" a="1"/>
  <c r="F111" i="16" s="1"/>
  <c r="G111" i="16" a="1"/>
  <c r="G111" i="16" s="1"/>
  <c r="H111" i="16" a="1"/>
  <c r="H111" i="16" s="1"/>
  <c r="F112" i="16" a="1"/>
  <c r="F112" i="16" s="1"/>
  <c r="G112" i="16" a="1"/>
  <c r="G112" i="16" s="1"/>
  <c r="H112" i="16" a="1"/>
  <c r="H112" i="16" s="1"/>
  <c r="F113" i="16" a="1"/>
  <c r="F113" i="16" s="1"/>
  <c r="G113" i="16" a="1"/>
  <c r="G113" i="16" s="1"/>
  <c r="H113" i="16" a="1"/>
  <c r="H113" i="16" s="1"/>
  <c r="F114" i="16" a="1"/>
  <c r="F114" i="16" s="1"/>
  <c r="G114" i="16" a="1"/>
  <c r="G114" i="16" s="1"/>
  <c r="H114" i="16" a="1"/>
  <c r="H114" i="16" s="1"/>
  <c r="F115" i="16" a="1"/>
  <c r="F115" i="16" s="1"/>
  <c r="G115" i="16" a="1"/>
  <c r="G115" i="16" s="1"/>
  <c r="H115" i="16" a="1"/>
  <c r="H115" i="16" s="1"/>
  <c r="F116" i="16" a="1"/>
  <c r="F116" i="16" s="1"/>
  <c r="G116" i="16" a="1"/>
  <c r="G116" i="16" s="1"/>
  <c r="H116" i="16" a="1"/>
  <c r="H116" i="16" s="1"/>
  <c r="F117" i="16" a="1"/>
  <c r="F117" i="16" s="1"/>
  <c r="G117" i="16" a="1"/>
  <c r="G117" i="16" s="1"/>
  <c r="H117" i="16" a="1"/>
  <c r="H117" i="16" s="1"/>
  <c r="F118" i="16" a="1"/>
  <c r="F118" i="16" s="1"/>
  <c r="G118" i="16" a="1"/>
  <c r="G118" i="16" s="1"/>
  <c r="H118" i="16" a="1"/>
  <c r="H118" i="16" s="1"/>
  <c r="F119" i="16" a="1"/>
  <c r="F119" i="16" s="1"/>
  <c r="G119" i="16" a="1"/>
  <c r="G119" i="16" s="1"/>
  <c r="H119" i="16" a="1"/>
  <c r="H119" i="16"/>
  <c r="F120" i="16" a="1"/>
  <c r="F120" i="16" s="1"/>
  <c r="G120" i="16" a="1"/>
  <c r="G120" i="16" s="1"/>
  <c r="H120" i="16" a="1"/>
  <c r="H120" i="16" s="1"/>
  <c r="F121" i="16" a="1"/>
  <c r="F121" i="16" s="1"/>
  <c r="G121" i="16" a="1"/>
  <c r="G121" i="16" s="1"/>
  <c r="H121" i="16" a="1"/>
  <c r="H121" i="16" s="1"/>
  <c r="F122" i="16" a="1"/>
  <c r="F122" i="16" s="1"/>
  <c r="G122" i="16" a="1"/>
  <c r="G122" i="16" s="1"/>
  <c r="H122" i="16" a="1"/>
  <c r="H122" i="16" s="1"/>
  <c r="F123" i="16" a="1"/>
  <c r="F123" i="16"/>
  <c r="G123" i="16" a="1"/>
  <c r="G123" i="16" s="1"/>
  <c r="H123" i="16" a="1"/>
  <c r="H123" i="16" s="1"/>
  <c r="F124" i="16" a="1"/>
  <c r="F124" i="16"/>
  <c r="G124" i="16" a="1"/>
  <c r="G124" i="16" s="1"/>
  <c r="H124" i="16" a="1"/>
  <c r="H124" i="16" s="1"/>
  <c r="F125" i="16" a="1"/>
  <c r="F125" i="16" s="1"/>
  <c r="G125" i="16" a="1"/>
  <c r="G125" i="16" s="1"/>
  <c r="H125" i="16" a="1"/>
  <c r="H125" i="16" s="1"/>
  <c r="F126" i="16" a="1"/>
  <c r="F126" i="16" s="1"/>
  <c r="G126" i="16" a="1"/>
  <c r="G126" i="16" s="1"/>
  <c r="H126" i="16" a="1"/>
  <c r="H126" i="16" s="1"/>
  <c r="F127" i="16" a="1"/>
  <c r="F127" i="16" s="1"/>
  <c r="G127" i="16" a="1"/>
  <c r="G127" i="16"/>
  <c r="H127" i="16" a="1"/>
  <c r="H127" i="16" s="1"/>
  <c r="F128" i="16" a="1"/>
  <c r="F128" i="16" s="1"/>
  <c r="G128" i="16" a="1"/>
  <c r="G128" i="16" s="1"/>
  <c r="H128" i="16" a="1"/>
  <c r="H128" i="16" s="1"/>
  <c r="F129" i="16" a="1"/>
  <c r="F129" i="16" s="1"/>
  <c r="G129" i="16" a="1"/>
  <c r="G129" i="16" s="1"/>
  <c r="H129" i="16" a="1"/>
  <c r="H129" i="16" s="1"/>
  <c r="F130" i="16" a="1"/>
  <c r="F130" i="16" s="1"/>
  <c r="G130" i="16" a="1"/>
  <c r="G130" i="16" s="1"/>
  <c r="H130" i="16" a="1"/>
  <c r="H130" i="16" s="1"/>
  <c r="F131" i="16" a="1"/>
  <c r="F131" i="16" s="1"/>
  <c r="G131" i="16" a="1"/>
  <c r="G131" i="16" s="1"/>
  <c r="H131" i="16" a="1"/>
  <c r="H131" i="16" s="1"/>
  <c r="F132" i="16" a="1"/>
  <c r="F132" i="16" s="1"/>
  <c r="G132" i="16" a="1"/>
  <c r="G132" i="16" s="1"/>
  <c r="H132" i="16" a="1"/>
  <c r="H132" i="16" s="1"/>
  <c r="F133" i="16" a="1"/>
  <c r="F133" i="16" s="1"/>
  <c r="G133" i="16" a="1"/>
  <c r="G133" i="16" s="1"/>
  <c r="H133" i="16" a="1"/>
  <c r="H133" i="16" s="1"/>
  <c r="F134" i="16" a="1"/>
  <c r="F134" i="16" s="1"/>
  <c r="G134" i="16" a="1"/>
  <c r="G134" i="16" s="1"/>
  <c r="H134" i="16" a="1"/>
  <c r="H134" i="16" s="1"/>
  <c r="F135" i="16" a="1"/>
  <c r="F135" i="16" s="1"/>
  <c r="G135" i="16" a="1"/>
  <c r="G135" i="16" s="1"/>
  <c r="H135" i="16" a="1"/>
  <c r="H135" i="16" s="1"/>
  <c r="F136" i="16" a="1"/>
  <c r="F136" i="16" s="1"/>
  <c r="G136" i="16" a="1"/>
  <c r="G136" i="16"/>
  <c r="H136" i="16" a="1"/>
  <c r="H136" i="16" s="1"/>
  <c r="F137" i="16" a="1"/>
  <c r="F137" i="16" s="1"/>
  <c r="G137" i="16" a="1"/>
  <c r="G137" i="16" s="1"/>
  <c r="H137" i="16" a="1"/>
  <c r="H137" i="16" s="1"/>
  <c r="F138" i="16" a="1"/>
  <c r="F138" i="16" s="1"/>
  <c r="G138" i="16" a="1"/>
  <c r="G138" i="16" s="1"/>
  <c r="H138" i="16" a="1"/>
  <c r="H138" i="16" s="1"/>
  <c r="F139" i="16" a="1"/>
  <c r="F139" i="16" s="1"/>
  <c r="G139" i="16" a="1"/>
  <c r="G139" i="16" s="1"/>
  <c r="H139" i="16" a="1"/>
  <c r="H139" i="16"/>
  <c r="F140" i="16" a="1"/>
  <c r="F140" i="16" s="1"/>
  <c r="G140" i="16" a="1"/>
  <c r="G140" i="16" s="1"/>
  <c r="H140" i="16" a="1"/>
  <c r="H140" i="16"/>
  <c r="F141" i="16" a="1"/>
  <c r="F141" i="16" s="1"/>
  <c r="G141" i="16" a="1"/>
  <c r="G141" i="16" s="1"/>
  <c r="H141" i="16" a="1"/>
  <c r="H141" i="16" s="1"/>
  <c r="F142" i="16" a="1"/>
  <c r="F142" i="16" s="1"/>
  <c r="G142" i="16" a="1"/>
  <c r="G142" i="16" s="1"/>
  <c r="H142" i="16" a="1"/>
  <c r="H142" i="16" s="1"/>
  <c r="F143" i="16" a="1"/>
  <c r="F143" i="16" s="1"/>
  <c r="G143" i="16" a="1"/>
  <c r="G143" i="16" s="1"/>
  <c r="H143" i="16" a="1"/>
  <c r="H143" i="16" s="1"/>
  <c r="F144" i="16" a="1"/>
  <c r="F144" i="16"/>
  <c r="G144" i="16" a="1"/>
  <c r="G144" i="16" s="1"/>
  <c r="H144" i="16" a="1"/>
  <c r="H144" i="16" s="1"/>
  <c r="F145" i="16" a="1"/>
  <c r="F145" i="16" s="1"/>
  <c r="G145" i="16" a="1"/>
  <c r="G145" i="16" s="1"/>
  <c r="H145" i="16" a="1"/>
  <c r="H145" i="16" s="1"/>
  <c r="F146" i="16" a="1"/>
  <c r="F146" i="16" s="1"/>
  <c r="G146" i="16" a="1"/>
  <c r="G146" i="16" s="1"/>
  <c r="H146" i="16" a="1"/>
  <c r="H146" i="16" s="1"/>
  <c r="F147" i="16" a="1"/>
  <c r="F147" i="16" s="1"/>
  <c r="G147" i="16" a="1"/>
  <c r="G147" i="16" s="1"/>
  <c r="H147" i="16" a="1"/>
  <c r="H147" i="16" s="1"/>
  <c r="F148" i="16" a="1"/>
  <c r="F148" i="16" s="1"/>
  <c r="G148" i="16" a="1"/>
  <c r="G148" i="16" s="1"/>
  <c r="H148" i="16" a="1"/>
  <c r="H148" i="16" s="1"/>
  <c r="F149" i="16" a="1"/>
  <c r="F149" i="16" s="1"/>
  <c r="G149" i="16" a="1"/>
  <c r="G149" i="16" s="1"/>
  <c r="H149" i="16" a="1"/>
  <c r="H149" i="16" s="1"/>
  <c r="F150" i="16" a="1"/>
  <c r="F150" i="16" s="1"/>
  <c r="G150" i="16" a="1"/>
  <c r="G150" i="16" s="1"/>
  <c r="H150" i="16" a="1"/>
  <c r="H150" i="16" s="1"/>
  <c r="F151" i="16" a="1"/>
  <c r="F151" i="16" s="1"/>
  <c r="G151" i="16" a="1"/>
  <c r="G151" i="16" s="1"/>
  <c r="H151" i="16" a="1"/>
  <c r="H151" i="16" s="1"/>
  <c r="F152" i="16" a="1"/>
  <c r="F152" i="16" s="1"/>
  <c r="G152" i="16" a="1"/>
  <c r="G152" i="16" s="1"/>
  <c r="H152" i="16" a="1"/>
  <c r="H152" i="16" s="1"/>
  <c r="F153" i="16" a="1"/>
  <c r="F153" i="16"/>
  <c r="G153" i="16" a="1"/>
  <c r="G153" i="16" s="1"/>
  <c r="H153" i="16" a="1"/>
  <c r="H153" i="16" s="1"/>
  <c r="F154" i="16" a="1"/>
  <c r="F154" i="16" s="1"/>
  <c r="G154" i="16" a="1"/>
  <c r="G154" i="16" s="1"/>
  <c r="H154" i="16" a="1"/>
  <c r="H154" i="16" s="1"/>
  <c r="F155" i="16" a="1"/>
  <c r="F155" i="16" s="1"/>
  <c r="G155" i="16" a="1"/>
  <c r="G155" i="16" s="1"/>
  <c r="H155" i="16" a="1"/>
  <c r="H155" i="16" s="1"/>
  <c r="F156" i="16" a="1"/>
  <c r="F156" i="16" s="1"/>
  <c r="G156" i="16" a="1"/>
  <c r="G156" i="16"/>
  <c r="H156" i="16" a="1"/>
  <c r="H156" i="16" s="1"/>
  <c r="F157" i="16" a="1"/>
  <c r="F157" i="16" s="1"/>
  <c r="G157" i="16" a="1"/>
  <c r="G157" i="16"/>
  <c r="H157" i="16" a="1"/>
  <c r="H157" i="16" s="1"/>
  <c r="F158" i="16" a="1"/>
  <c r="F158" i="16" s="1"/>
  <c r="G158" i="16" a="1"/>
  <c r="G158" i="16" s="1"/>
  <c r="H158" i="16" a="1"/>
  <c r="H158" i="16" s="1"/>
  <c r="F159" i="16" a="1"/>
  <c r="F159" i="16" s="1"/>
  <c r="G159" i="16" a="1"/>
  <c r="G159" i="16" s="1"/>
  <c r="H159" i="16" a="1"/>
  <c r="H159" i="16" s="1"/>
  <c r="F160" i="16" a="1"/>
  <c r="F160" i="16" s="1"/>
  <c r="G160" i="16" a="1"/>
  <c r="G160" i="16" s="1"/>
  <c r="H160" i="16" a="1"/>
  <c r="H160" i="16" s="1"/>
  <c r="F161" i="16" a="1"/>
  <c r="F161" i="16" s="1"/>
  <c r="G161" i="16" a="1"/>
  <c r="G161" i="16" s="1"/>
  <c r="H161" i="16" a="1"/>
  <c r="H161" i="16" s="1"/>
  <c r="F162" i="16" a="1"/>
  <c r="F162" i="16" s="1"/>
  <c r="G162" i="16" a="1"/>
  <c r="G162" i="16" s="1"/>
  <c r="H162" i="16" a="1"/>
  <c r="H162" i="16" s="1"/>
  <c r="F163" i="16" a="1"/>
  <c r="F163" i="16" s="1"/>
  <c r="G163" i="16" a="1"/>
  <c r="G163" i="16" s="1"/>
  <c r="H163" i="16" a="1"/>
  <c r="H163" i="16" s="1"/>
  <c r="F164" i="16" a="1"/>
  <c r="F164" i="16" s="1"/>
  <c r="G164" i="16" a="1"/>
  <c r="G164" i="16"/>
  <c r="H164" i="16" a="1"/>
  <c r="H164" i="16"/>
  <c r="F165" i="16" a="1"/>
  <c r="F165" i="16" s="1"/>
  <c r="G165" i="16" a="1"/>
  <c r="G165" i="16" s="1"/>
  <c r="H165" i="16" a="1"/>
  <c r="H165" i="16" s="1"/>
  <c r="F166" i="16" a="1"/>
  <c r="F166" i="16" s="1"/>
  <c r="G166" i="16" a="1"/>
  <c r="G166" i="16" s="1"/>
  <c r="H166" i="16" a="1"/>
  <c r="H166" i="16" s="1"/>
  <c r="F167" i="16" a="1"/>
  <c r="F167" i="16" s="1"/>
  <c r="G167" i="16" a="1"/>
  <c r="G167" i="16" s="1"/>
  <c r="H167" i="16" a="1"/>
  <c r="H167" i="16" s="1"/>
  <c r="F168" i="16" a="1"/>
  <c r="F168" i="16" s="1"/>
  <c r="G168" i="16" a="1"/>
  <c r="G168" i="16" s="1"/>
  <c r="H168" i="16" a="1"/>
  <c r="H168" i="16"/>
  <c r="F169" i="16" a="1"/>
  <c r="F169" i="16" s="1"/>
  <c r="G169" i="16" a="1"/>
  <c r="G169" i="16" s="1"/>
  <c r="H169" i="16" a="1"/>
  <c r="H169" i="16" s="1"/>
  <c r="F170" i="16" a="1"/>
  <c r="F170" i="16" s="1"/>
  <c r="G170" i="16" a="1"/>
  <c r="G170" i="16"/>
  <c r="H170" i="16" a="1"/>
  <c r="H170" i="16" s="1"/>
  <c r="F171" i="16" a="1"/>
  <c r="F171" i="16" s="1"/>
  <c r="G171" i="16" a="1"/>
  <c r="G171" i="16" s="1"/>
  <c r="H171" i="16" a="1"/>
  <c r="H171" i="16" s="1"/>
  <c r="F172" i="16" a="1"/>
  <c r="F172" i="16"/>
  <c r="G172" i="16" a="1"/>
  <c r="G172" i="16" s="1"/>
  <c r="H172" i="16" a="1"/>
  <c r="H172" i="16" s="1"/>
  <c r="F173" i="16" a="1"/>
  <c r="F173" i="16" s="1"/>
  <c r="G173" i="16" a="1"/>
  <c r="G173" i="16" s="1"/>
  <c r="H173" i="16" a="1"/>
  <c r="H173" i="16" s="1"/>
  <c r="F174" i="16" a="1"/>
  <c r="F174" i="16" s="1"/>
  <c r="G174" i="16" a="1"/>
  <c r="G174" i="16"/>
  <c r="H174" i="16" a="1"/>
  <c r="H174" i="16" s="1"/>
  <c r="F175" i="16" a="1"/>
  <c r="F175" i="16" s="1"/>
  <c r="G175" i="16" a="1"/>
  <c r="G175" i="16" s="1"/>
  <c r="H175" i="16" a="1"/>
  <c r="H175" i="16" s="1"/>
  <c r="F176" i="16" a="1"/>
  <c r="F176" i="16" s="1"/>
  <c r="G176" i="16" a="1"/>
  <c r="G176" i="16" s="1"/>
  <c r="H176" i="16" a="1"/>
  <c r="H176" i="16" s="1"/>
  <c r="F177" i="16" a="1"/>
  <c r="F177" i="16"/>
  <c r="G177" i="16" a="1"/>
  <c r="G177" i="16" s="1"/>
  <c r="H177" i="16" a="1"/>
  <c r="H177" i="16" s="1"/>
  <c r="F178" i="16" a="1"/>
  <c r="F178" i="16" s="1"/>
  <c r="G178" i="16" a="1"/>
  <c r="G178" i="16" s="1"/>
  <c r="H178" i="16" a="1"/>
  <c r="H178" i="16"/>
  <c r="F179" i="16" a="1"/>
  <c r="F179" i="16"/>
  <c r="G179" i="16" a="1"/>
  <c r="G179" i="16" s="1"/>
  <c r="H179" i="16" a="1"/>
  <c r="H179" i="16" s="1"/>
  <c r="F180" i="16" a="1"/>
  <c r="F180" i="16" s="1"/>
  <c r="G180" i="16" a="1"/>
  <c r="G180" i="16" s="1"/>
  <c r="H180" i="16" a="1"/>
  <c r="H180" i="16" s="1"/>
  <c r="F181" i="16" a="1"/>
  <c r="F181" i="16" s="1"/>
  <c r="G181" i="16" a="1"/>
  <c r="G181" i="16" s="1"/>
  <c r="H181" i="16" a="1"/>
  <c r="H181" i="16" s="1"/>
  <c r="F182" i="16" a="1"/>
  <c r="F182" i="16" s="1"/>
  <c r="G182" i="16" a="1"/>
  <c r="G182" i="16"/>
  <c r="H182" i="16" a="1"/>
  <c r="H182" i="16" s="1"/>
  <c r="F183" i="16" a="1"/>
  <c r="F183" i="16" s="1"/>
  <c r="G183" i="16" a="1"/>
  <c r="G183" i="16" s="1"/>
  <c r="H183" i="16" a="1"/>
  <c r="H183" i="16" s="1"/>
  <c r="F184" i="16" a="1"/>
  <c r="F184" i="16" s="1"/>
  <c r="G184" i="16" a="1"/>
  <c r="G184" i="16" s="1"/>
  <c r="H184" i="16" a="1"/>
  <c r="H184" i="16" s="1"/>
  <c r="F185" i="16" a="1"/>
  <c r="F185" i="16" s="1"/>
  <c r="G185" i="16" a="1"/>
  <c r="G185" i="16" s="1"/>
  <c r="H185" i="16" a="1"/>
  <c r="H185" i="16" s="1"/>
  <c r="F186" i="16" a="1"/>
  <c r="F186" i="16"/>
  <c r="G186" i="16" a="1"/>
  <c r="G186" i="16" s="1"/>
  <c r="H186" i="16" a="1"/>
  <c r="H186" i="16" s="1"/>
  <c r="F187" i="16" a="1"/>
  <c r="F187" i="16" s="1"/>
  <c r="G187" i="16" a="1"/>
  <c r="G187" i="16" s="1"/>
  <c r="H187" i="16" a="1"/>
  <c r="H187" i="16" s="1"/>
  <c r="F188" i="16" a="1"/>
  <c r="F188" i="16" s="1"/>
  <c r="G188" i="16" a="1"/>
  <c r="G188" i="16" s="1"/>
  <c r="H188" i="16" a="1"/>
  <c r="H188" i="16" s="1"/>
  <c r="F189" i="16" a="1"/>
  <c r="F189" i="16" s="1"/>
  <c r="G189" i="16" a="1"/>
  <c r="G189" i="16" s="1"/>
  <c r="H189" i="16" a="1"/>
  <c r="H189" i="16" s="1"/>
  <c r="F190" i="16" a="1"/>
  <c r="F190" i="16" s="1"/>
  <c r="G190" i="16" a="1"/>
  <c r="G190" i="16" s="1"/>
  <c r="H190" i="16" a="1"/>
  <c r="H190" i="16" s="1"/>
  <c r="F191" i="16" a="1"/>
  <c r="F191" i="16" s="1"/>
  <c r="G191" i="16" a="1"/>
  <c r="G191" i="16" s="1"/>
  <c r="H191" i="16" a="1"/>
  <c r="H191" i="16" s="1"/>
  <c r="F192" i="16" a="1"/>
  <c r="F192" i="16" s="1"/>
  <c r="G192" i="16" a="1"/>
  <c r="G192" i="16" s="1"/>
  <c r="H192" i="16" a="1"/>
  <c r="H192" i="16" s="1"/>
  <c r="F193" i="16" a="1"/>
  <c r="F193" i="16" s="1"/>
  <c r="G193" i="16" a="1"/>
  <c r="G193" i="16" s="1"/>
  <c r="H193" i="16" a="1"/>
  <c r="H193" i="16" s="1"/>
  <c r="F194" i="16" a="1"/>
  <c r="F194" i="16" s="1"/>
  <c r="G194" i="16" a="1"/>
  <c r="G194" i="16" s="1"/>
  <c r="H194" i="16" a="1"/>
  <c r="H194" i="16" s="1"/>
  <c r="F195" i="16" a="1"/>
  <c r="F195" i="16" s="1"/>
  <c r="G195" i="16" a="1"/>
  <c r="G195" i="16" s="1"/>
  <c r="H195" i="16" a="1"/>
  <c r="H195" i="16"/>
  <c r="F196" i="16" a="1"/>
  <c r="F196" i="16" s="1"/>
  <c r="G196" i="16" a="1"/>
  <c r="G196" i="16" s="1"/>
  <c r="H196" i="16" a="1"/>
  <c r="H196" i="16" s="1"/>
  <c r="F197" i="16" a="1"/>
  <c r="F197" i="16" s="1"/>
  <c r="G197" i="16" a="1"/>
  <c r="G197" i="16" s="1"/>
  <c r="H197" i="16" a="1"/>
  <c r="H197" i="16" s="1"/>
  <c r="F198" i="16" a="1"/>
  <c r="F198" i="16" s="1"/>
  <c r="G198" i="16" a="1"/>
  <c r="G198" i="16" s="1"/>
  <c r="H198" i="16" a="1"/>
  <c r="H198" i="16" s="1"/>
  <c r="F199" i="16" a="1"/>
  <c r="F199" i="16" s="1"/>
  <c r="G199" i="16" a="1"/>
  <c r="G199" i="16" s="1"/>
  <c r="H199" i="16" a="1"/>
  <c r="H199" i="16" s="1"/>
  <c r="F200" i="16" a="1"/>
  <c r="F200" i="16" s="1"/>
  <c r="G200" i="16" a="1"/>
  <c r="G200" i="16" s="1"/>
  <c r="H200" i="16" a="1"/>
  <c r="H200" i="16" s="1"/>
  <c r="F201" i="16" a="1"/>
  <c r="F201" i="16" s="1"/>
  <c r="G201" i="16" a="1"/>
  <c r="G201" i="16" s="1"/>
  <c r="H201" i="16" a="1"/>
  <c r="H201" i="16" s="1"/>
  <c r="F202" i="16" a="1"/>
  <c r="F202" i="16" s="1"/>
  <c r="G202" i="16" a="1"/>
  <c r="G202" i="16" s="1"/>
  <c r="H202" i="16" a="1"/>
  <c r="H202" i="16" s="1"/>
  <c r="F203" i="16" a="1"/>
  <c r="F203" i="16" s="1"/>
  <c r="G203" i="16" a="1"/>
  <c r="G203" i="16" s="1"/>
  <c r="H203" i="16" a="1"/>
  <c r="H203" i="16" s="1"/>
  <c r="F204" i="16" a="1"/>
  <c r="F204" i="16" s="1"/>
  <c r="G204" i="16" a="1"/>
  <c r="G204" i="16" s="1"/>
  <c r="H204" i="16" a="1"/>
  <c r="H204" i="16" s="1"/>
  <c r="F205" i="16" a="1"/>
  <c r="F205" i="16" s="1"/>
  <c r="G205" i="16" a="1"/>
  <c r="G205" i="16" s="1"/>
  <c r="H205" i="16" a="1"/>
  <c r="H205" i="16" s="1"/>
  <c r="F206" i="16" a="1"/>
  <c r="F206" i="16" s="1"/>
  <c r="G206" i="16" a="1"/>
  <c r="G206" i="16" s="1"/>
  <c r="H206" i="16" a="1"/>
  <c r="H206" i="16" s="1"/>
  <c r="F207" i="16" a="1"/>
  <c r="F207" i="16"/>
  <c r="G207" i="16" a="1"/>
  <c r="G207" i="16" s="1"/>
  <c r="H207" i="16" a="1"/>
  <c r="H207" i="16" s="1"/>
  <c r="F208" i="16" a="1"/>
  <c r="F208" i="16" s="1"/>
  <c r="G208" i="16" a="1"/>
  <c r="G208" i="16" s="1"/>
  <c r="H208" i="16" a="1"/>
  <c r="H208" i="16" s="1"/>
  <c r="F209" i="16" a="1"/>
  <c r="F209" i="16" s="1"/>
  <c r="G209" i="16" a="1"/>
  <c r="G209" i="16" s="1"/>
  <c r="H209" i="16" a="1"/>
  <c r="H209" i="16" s="1"/>
  <c r="F210" i="16" a="1"/>
  <c r="F210" i="16" s="1"/>
  <c r="G210" i="16" a="1"/>
  <c r="G210" i="16" s="1"/>
  <c r="H210" i="16" a="1"/>
  <c r="H210" i="16" s="1"/>
  <c r="F211" i="16" a="1"/>
  <c r="F211" i="16" s="1"/>
  <c r="G211" i="16" a="1"/>
  <c r="G211" i="16" s="1"/>
  <c r="H211" i="16" a="1"/>
  <c r="H211" i="16" s="1"/>
  <c r="F212" i="16" a="1"/>
  <c r="F212" i="16" s="1"/>
  <c r="G212" i="16" a="1"/>
  <c r="G212" i="16" s="1"/>
  <c r="H212" i="16" a="1"/>
  <c r="H212" i="16" s="1"/>
  <c r="F213" i="16" a="1"/>
  <c r="F213" i="16" s="1"/>
  <c r="G213" i="16" a="1"/>
  <c r="G213" i="16" s="1"/>
  <c r="H213" i="16" a="1"/>
  <c r="H213" i="16" s="1"/>
  <c r="F214" i="16" a="1"/>
  <c r="F214" i="16" s="1"/>
  <c r="G214" i="16" a="1"/>
  <c r="G214" i="16" s="1"/>
  <c r="H214" i="16" a="1"/>
  <c r="H214" i="16" s="1"/>
  <c r="F215" i="16" a="1"/>
  <c r="F215" i="16" s="1"/>
  <c r="G215" i="16" a="1"/>
  <c r="G215" i="16" s="1"/>
  <c r="H215" i="16" a="1"/>
  <c r="H215" i="16" s="1"/>
  <c r="F216" i="16" a="1"/>
  <c r="F216" i="16" s="1"/>
  <c r="G216" i="16" a="1"/>
  <c r="G216" i="16" s="1"/>
  <c r="H216" i="16" a="1"/>
  <c r="H216" i="16" s="1"/>
  <c r="F217" i="16" a="1"/>
  <c r="F217" i="16" s="1"/>
  <c r="G217" i="16" a="1"/>
  <c r="G217" i="16" s="1"/>
  <c r="H217" i="16" a="1"/>
  <c r="H217" i="16" s="1"/>
  <c r="F218" i="16" a="1"/>
  <c r="F218" i="16" s="1"/>
  <c r="G218" i="16" a="1"/>
  <c r="G218" i="16" s="1"/>
  <c r="H218" i="16" a="1"/>
  <c r="H218" i="16"/>
  <c r="F219" i="16" a="1"/>
  <c r="F219" i="16" s="1"/>
  <c r="G219" i="16" a="1"/>
  <c r="G219" i="16" s="1"/>
  <c r="H219" i="16" a="1"/>
  <c r="H219" i="16" s="1"/>
  <c r="F220" i="16" a="1"/>
  <c r="F220" i="16" s="1"/>
  <c r="G220" i="16" a="1"/>
  <c r="G220" i="16" s="1"/>
  <c r="H220" i="16" a="1"/>
  <c r="H220" i="16" s="1"/>
  <c r="F221" i="16" a="1"/>
  <c r="F221" i="16" s="1"/>
  <c r="G221" i="16" a="1"/>
  <c r="G221" i="16" s="1"/>
  <c r="H221" i="16" a="1"/>
  <c r="H221" i="16" s="1"/>
  <c r="F222" i="16" a="1"/>
  <c r="F222" i="16" s="1"/>
  <c r="G222" i="16" a="1"/>
  <c r="G222" i="16" s="1"/>
  <c r="H222" i="16" a="1"/>
  <c r="H222" i="16" s="1"/>
  <c r="F223" i="16" a="1"/>
  <c r="F223" i="16" s="1"/>
  <c r="G223" i="16" a="1"/>
  <c r="G223" i="16" s="1"/>
  <c r="H223" i="16" a="1"/>
  <c r="H223" i="16" s="1"/>
  <c r="F224" i="16" a="1"/>
  <c r="F224" i="16" s="1"/>
  <c r="G224" i="16" a="1"/>
  <c r="G224" i="16" s="1"/>
  <c r="H224" i="16" a="1"/>
  <c r="H224" i="16" s="1"/>
  <c r="F225" i="16" a="1"/>
  <c r="F225" i="16" s="1"/>
  <c r="G225" i="16" a="1"/>
  <c r="G225" i="16" s="1"/>
  <c r="H225" i="16" a="1"/>
  <c r="H225" i="16" s="1"/>
  <c r="F226" i="16" a="1"/>
  <c r="F226" i="16" s="1"/>
  <c r="G226" i="16" a="1"/>
  <c r="G226" i="16" s="1"/>
  <c r="H226" i="16" a="1"/>
  <c r="H226" i="16" s="1"/>
  <c r="F227" i="16" a="1"/>
  <c r="F227" i="16"/>
  <c r="G227" i="16" a="1"/>
  <c r="G227" i="16" s="1"/>
  <c r="H227" i="16" a="1"/>
  <c r="H227" i="16" s="1"/>
  <c r="F228" i="16" a="1"/>
  <c r="F228" i="16" s="1"/>
  <c r="G228" i="16" a="1"/>
  <c r="G228" i="16" s="1"/>
  <c r="H228" i="16" a="1"/>
  <c r="H228" i="16" s="1"/>
  <c r="F229" i="16" a="1"/>
  <c r="F229" i="16" s="1"/>
  <c r="G229" i="16" a="1"/>
  <c r="G229" i="16" s="1"/>
  <c r="H229" i="16" a="1"/>
  <c r="H229" i="16" s="1"/>
  <c r="F230" i="16" a="1"/>
  <c r="F230" i="16" s="1"/>
  <c r="G230" i="16" a="1"/>
  <c r="G230" i="16" s="1"/>
  <c r="H230" i="16" a="1"/>
  <c r="H230" i="16" s="1"/>
  <c r="F231" i="16" a="1"/>
  <c r="F231" i="16" s="1"/>
  <c r="G231" i="16" a="1"/>
  <c r="G231" i="16" s="1"/>
  <c r="H231" i="16" a="1"/>
  <c r="H231" i="16" s="1"/>
  <c r="F232" i="16" a="1"/>
  <c r="F232" i="16" s="1"/>
  <c r="G232" i="16" a="1"/>
  <c r="G232" i="16" s="1"/>
  <c r="H232" i="16" a="1"/>
  <c r="H232" i="16" s="1"/>
  <c r="F233" i="16" a="1"/>
  <c r="F233" i="16" s="1"/>
  <c r="G233" i="16" a="1"/>
  <c r="G233" i="16" s="1"/>
  <c r="H233" i="16" a="1"/>
  <c r="H233" i="16" s="1"/>
  <c r="F234" i="16" a="1"/>
  <c r="F234" i="16" s="1"/>
  <c r="G234" i="16" a="1"/>
  <c r="G234" i="16" s="1"/>
  <c r="H234" i="16" a="1"/>
  <c r="H234" i="16" s="1"/>
  <c r="F235" i="16" a="1"/>
  <c r="F235" i="16" s="1"/>
  <c r="G235" i="16" a="1"/>
  <c r="G235" i="16" s="1"/>
  <c r="H235" i="16" a="1"/>
  <c r="H235" i="16" s="1"/>
  <c r="F236" i="16" a="1"/>
  <c r="F236" i="16" s="1"/>
  <c r="G236" i="16" a="1"/>
  <c r="G236" i="16" s="1"/>
  <c r="H236" i="16" a="1"/>
  <c r="H236" i="16" s="1"/>
  <c r="F237" i="16" a="1"/>
  <c r="F237" i="16" s="1"/>
  <c r="G237" i="16" a="1"/>
  <c r="G237" i="16" s="1"/>
  <c r="H237" i="16" a="1"/>
  <c r="H237" i="16" s="1"/>
  <c r="F238" i="16" a="1"/>
  <c r="F238" i="16" s="1"/>
  <c r="G238" i="16" a="1"/>
  <c r="G238" i="16" s="1"/>
  <c r="H238" i="16" a="1"/>
  <c r="H238" i="16" s="1"/>
  <c r="F239" i="16" a="1"/>
  <c r="F239" i="16" s="1"/>
  <c r="G239" i="16" a="1"/>
  <c r="G239" i="16" s="1"/>
  <c r="H239" i="16" a="1"/>
  <c r="H239" i="16" s="1"/>
  <c r="F240" i="16" a="1"/>
  <c r="F240" i="16" s="1"/>
  <c r="G240" i="16" a="1"/>
  <c r="G240" i="16" s="1"/>
  <c r="H240" i="16" a="1"/>
  <c r="H240" i="16" s="1"/>
  <c r="F241" i="16" a="1"/>
  <c r="F241" i="16" s="1"/>
  <c r="G241" i="16" a="1"/>
  <c r="G241" i="16" s="1"/>
  <c r="H241" i="16" a="1"/>
  <c r="H241" i="16" s="1"/>
  <c r="F242" i="16" a="1"/>
  <c r="F242" i="16" s="1"/>
  <c r="G242" i="16" a="1"/>
  <c r="G242" i="16" s="1"/>
  <c r="H242" i="16" a="1"/>
  <c r="H242" i="16" s="1"/>
  <c r="F243" i="16" a="1"/>
  <c r="F243" i="16" s="1"/>
  <c r="G243" i="16" a="1"/>
  <c r="G243" i="16" s="1"/>
  <c r="H243" i="16" a="1"/>
  <c r="H243" i="16" s="1"/>
  <c r="F244" i="16" a="1"/>
  <c r="F244" i="16" s="1"/>
  <c r="G244" i="16" a="1"/>
  <c r="G244" i="16" s="1"/>
  <c r="H244" i="16" a="1"/>
  <c r="H244" i="16" s="1"/>
  <c r="F245" i="16" a="1"/>
  <c r="F245" i="16" s="1"/>
  <c r="G245" i="16" a="1"/>
  <c r="G245" i="16" s="1"/>
  <c r="H245" i="16" a="1"/>
  <c r="H245" i="16" s="1"/>
  <c r="F246" i="16" a="1"/>
  <c r="F246" i="16" s="1"/>
  <c r="G246" i="16" a="1"/>
  <c r="G246" i="16" s="1"/>
  <c r="H246" i="16" a="1"/>
  <c r="H246" i="16" s="1"/>
  <c r="F247" i="16" a="1"/>
  <c r="F247" i="16" s="1"/>
  <c r="G247" i="16" a="1"/>
  <c r="G247" i="16" s="1"/>
  <c r="H247" i="16" a="1"/>
  <c r="H247" i="16" s="1"/>
  <c r="F248" i="16" a="1"/>
  <c r="F248" i="16" s="1"/>
  <c r="G248" i="16" a="1"/>
  <c r="G248" i="16" s="1"/>
  <c r="H248" i="16" a="1"/>
  <c r="H248" i="16" s="1"/>
  <c r="F249" i="16" a="1"/>
  <c r="F249" i="16" s="1"/>
  <c r="G249" i="16" a="1"/>
  <c r="G249" i="16" s="1"/>
  <c r="H249" i="16" a="1"/>
  <c r="H249" i="16" s="1"/>
  <c r="F250" i="16" a="1"/>
  <c r="F250" i="16" s="1"/>
  <c r="G250" i="16" a="1"/>
  <c r="G250" i="16" s="1"/>
  <c r="H250" i="16" a="1"/>
  <c r="H250" i="16" s="1"/>
  <c r="F251" i="16" a="1"/>
  <c r="F251" i="16" s="1"/>
  <c r="G251" i="16" a="1"/>
  <c r="G251" i="16" s="1"/>
  <c r="H251" i="16" a="1"/>
  <c r="H251" i="16" s="1"/>
  <c r="F252" i="16" a="1"/>
  <c r="F252" i="16" s="1"/>
  <c r="G252" i="16" a="1"/>
  <c r="G252" i="16" s="1"/>
  <c r="H252" i="16" a="1"/>
  <c r="H252" i="16" s="1"/>
  <c r="F253" i="16" a="1"/>
  <c r="F253" i="16" s="1"/>
  <c r="G253" i="16" a="1"/>
  <c r="G253" i="16" s="1"/>
  <c r="H253" i="16" a="1"/>
  <c r="H253" i="16" s="1"/>
  <c r="F254" i="16" a="1"/>
  <c r="F254" i="16" s="1"/>
  <c r="G254" i="16" a="1"/>
  <c r="G254" i="16" s="1"/>
  <c r="H254" i="16" a="1"/>
  <c r="H254" i="16" s="1"/>
  <c r="F255" i="16" a="1"/>
  <c r="F255" i="16" s="1"/>
  <c r="G255" i="16" a="1"/>
  <c r="G255" i="16" s="1"/>
  <c r="H255" i="16" a="1"/>
  <c r="H255" i="16" s="1"/>
  <c r="F256" i="16" a="1"/>
  <c r="F256" i="16" s="1"/>
  <c r="G256" i="16" a="1"/>
  <c r="G256" i="16" s="1"/>
  <c r="H256" i="16" a="1"/>
  <c r="H256" i="16" s="1"/>
  <c r="F257" i="16" a="1"/>
  <c r="F257" i="16" s="1"/>
  <c r="G257" i="16" a="1"/>
  <c r="G257" i="16"/>
  <c r="H257" i="16" a="1"/>
  <c r="H257" i="16" s="1"/>
  <c r="F258" i="16" a="1"/>
  <c r="F258" i="16" s="1"/>
  <c r="G258" i="16" a="1"/>
  <c r="G258" i="16" s="1"/>
  <c r="H258" i="16" a="1"/>
  <c r="H258" i="16" s="1"/>
  <c r="F259" i="16" a="1"/>
  <c r="F259" i="16" s="1"/>
  <c r="G259" i="16" a="1"/>
  <c r="G259" i="16" s="1"/>
  <c r="H259" i="16" a="1"/>
  <c r="H259" i="16" s="1"/>
  <c r="F260" i="16" a="1"/>
  <c r="F260" i="16" s="1"/>
  <c r="G260" i="16" a="1"/>
  <c r="G260" i="16" s="1"/>
  <c r="H260" i="16" a="1"/>
  <c r="H260" i="16" s="1"/>
  <c r="F261" i="16" a="1"/>
  <c r="F261" i="16" s="1"/>
  <c r="G261" i="16" a="1"/>
  <c r="G261" i="16" s="1"/>
  <c r="H261" i="16" a="1"/>
  <c r="H261" i="16" s="1"/>
  <c r="F262" i="16" a="1"/>
  <c r="F262" i="16" s="1"/>
  <c r="G262" i="16" a="1"/>
  <c r="G262" i="16"/>
  <c r="H262" i="16" a="1"/>
  <c r="H262" i="16" s="1"/>
  <c r="F263" i="16" a="1"/>
  <c r="F263" i="16" s="1"/>
  <c r="G263" i="16" a="1"/>
  <c r="G263" i="16" s="1"/>
  <c r="H263" i="16" a="1"/>
  <c r="H263" i="16" s="1"/>
  <c r="F264" i="16" a="1"/>
  <c r="F264" i="16" s="1"/>
  <c r="G264" i="16" a="1"/>
  <c r="G264" i="16" s="1"/>
  <c r="H264" i="16" a="1"/>
  <c r="H264" i="16" s="1"/>
  <c r="F265" i="16" a="1"/>
  <c r="F265" i="16" s="1"/>
  <c r="G265" i="16" a="1"/>
  <c r="G265" i="16"/>
  <c r="H265" i="16" a="1"/>
  <c r="H265" i="16" s="1"/>
  <c r="F266" i="16" a="1"/>
  <c r="F266" i="16" s="1"/>
  <c r="G266" i="16" a="1"/>
  <c r="G266" i="16" s="1"/>
  <c r="H266" i="16" a="1"/>
  <c r="H266" i="16" s="1"/>
  <c r="F267" i="16" a="1"/>
  <c r="F267" i="16" s="1"/>
  <c r="G267" i="16" a="1"/>
  <c r="G267" i="16" s="1"/>
  <c r="H267" i="16" a="1"/>
  <c r="H267" i="16" s="1"/>
  <c r="F268" i="16" a="1"/>
  <c r="F268" i="16" s="1"/>
  <c r="G268" i="16" a="1"/>
  <c r="G268" i="16" s="1"/>
  <c r="H268" i="16" a="1"/>
  <c r="H268" i="16" s="1"/>
  <c r="F269" i="16" a="1"/>
  <c r="F269" i="16" s="1"/>
  <c r="G269" i="16" a="1"/>
  <c r="G269" i="16" s="1"/>
  <c r="H269" i="16" a="1"/>
  <c r="H269" i="16"/>
  <c r="F270" i="16" a="1"/>
  <c r="F270" i="16" s="1"/>
  <c r="G270" i="16" a="1"/>
  <c r="G270" i="16" s="1"/>
  <c r="H270" i="16" a="1"/>
  <c r="H270" i="16"/>
  <c r="F271" i="16" a="1"/>
  <c r="F271" i="16" s="1"/>
  <c r="G271" i="16" a="1"/>
  <c r="G271" i="16" s="1"/>
  <c r="H271" i="16" a="1"/>
  <c r="H271" i="16" s="1"/>
  <c r="F272" i="16" a="1"/>
  <c r="F272" i="16" s="1"/>
  <c r="G272" i="16" a="1"/>
  <c r="G272" i="16" s="1"/>
  <c r="H272" i="16" a="1"/>
  <c r="H272" i="16" s="1"/>
  <c r="F273" i="16" a="1"/>
  <c r="F273" i="16" s="1"/>
  <c r="G273" i="16" a="1"/>
  <c r="G273" i="16" s="1"/>
  <c r="H273" i="16" a="1"/>
  <c r="H273" i="16" s="1"/>
  <c r="F274" i="16" a="1"/>
  <c r="F274" i="16" s="1"/>
  <c r="G274" i="16" a="1"/>
  <c r="G274" i="16" s="1"/>
  <c r="H274" i="16" a="1"/>
  <c r="H274" i="16" s="1"/>
  <c r="F275" i="16" a="1"/>
  <c r="F275" i="16" s="1"/>
  <c r="G275" i="16" a="1"/>
  <c r="G275" i="16" s="1"/>
  <c r="H275" i="16" a="1"/>
  <c r="H275" i="16" s="1"/>
  <c r="F276" i="16" a="1"/>
  <c r="F276" i="16" s="1"/>
  <c r="G276" i="16" a="1"/>
  <c r="G276" i="16" s="1"/>
  <c r="H276" i="16" a="1"/>
  <c r="H276" i="16" s="1"/>
  <c r="F277" i="16" a="1"/>
  <c r="F277" i="16"/>
  <c r="G277" i="16" a="1"/>
  <c r="G277" i="16" s="1"/>
  <c r="H277" i="16" a="1"/>
  <c r="H277" i="16" s="1"/>
  <c r="F278" i="16" a="1"/>
  <c r="F278" i="16"/>
  <c r="G278" i="16" a="1"/>
  <c r="G278" i="16" s="1"/>
  <c r="H278" i="16" a="1"/>
  <c r="H278" i="16" s="1"/>
  <c r="F279" i="16" a="1"/>
  <c r="F279" i="16"/>
  <c r="G279" i="16" a="1"/>
  <c r="G279" i="16" s="1"/>
  <c r="H279" i="16" a="1"/>
  <c r="H279" i="16" s="1"/>
  <c r="F280" i="16" a="1"/>
  <c r="F280" i="16" s="1"/>
  <c r="G280" i="16" a="1"/>
  <c r="G280" i="16" s="1"/>
  <c r="H280" i="16" a="1"/>
  <c r="H280" i="16"/>
  <c r="F281" i="16" a="1"/>
  <c r="F281" i="16" s="1"/>
  <c r="G281" i="16" a="1"/>
  <c r="G281" i="16"/>
  <c r="H281" i="16" a="1"/>
  <c r="H281" i="16" s="1"/>
  <c r="F282" i="16" a="1"/>
  <c r="F282" i="16" s="1"/>
  <c r="G282" i="16" a="1"/>
  <c r="G282" i="16" s="1"/>
  <c r="H282" i="16" a="1"/>
  <c r="H282" i="16" s="1"/>
  <c r="F283" i="16" a="1"/>
  <c r="F283" i="16" s="1"/>
  <c r="G283" i="16" a="1"/>
  <c r="G283" i="16" s="1"/>
  <c r="H283" i="16" a="1"/>
  <c r="H283" i="16" s="1"/>
  <c r="F284" i="16" a="1"/>
  <c r="F284" i="16" s="1"/>
  <c r="G284" i="16" a="1"/>
  <c r="G284" i="16" s="1"/>
  <c r="H284" i="16" a="1"/>
  <c r="H284" i="16" s="1"/>
  <c r="F285" i="16" a="1"/>
  <c r="F285" i="16" s="1"/>
  <c r="G285" i="16" a="1"/>
  <c r="G285" i="16" s="1"/>
  <c r="H285" i="16" a="1"/>
  <c r="H285" i="16"/>
  <c r="F286" i="16" a="1"/>
  <c r="F286" i="16" s="1"/>
  <c r="G286" i="16" a="1"/>
  <c r="G286" i="16" s="1"/>
  <c r="H286" i="16" a="1"/>
  <c r="H286" i="16" s="1"/>
  <c r="F287" i="16" a="1"/>
  <c r="F287" i="16" s="1"/>
  <c r="G287" i="16" a="1"/>
  <c r="G287" i="16" s="1"/>
  <c r="H287" i="16" a="1"/>
  <c r="H287" i="16" s="1"/>
  <c r="F288" i="16" a="1"/>
  <c r="F288" i="16" s="1"/>
  <c r="G288" i="16" a="1"/>
  <c r="G288" i="16" s="1"/>
  <c r="H288" i="16" a="1"/>
  <c r="H288" i="16" s="1"/>
  <c r="F289" i="16" a="1"/>
  <c r="F289" i="16" s="1"/>
  <c r="G289" i="16" a="1"/>
  <c r="G289" i="16" s="1"/>
  <c r="H289" i="16" a="1"/>
  <c r="H289" i="16" s="1"/>
  <c r="F290" i="16" a="1"/>
  <c r="F290" i="16" s="1"/>
  <c r="G290" i="16" a="1"/>
  <c r="G290" i="16" s="1"/>
  <c r="H290" i="16" a="1"/>
  <c r="H290" i="16" s="1"/>
  <c r="F291" i="16" a="1"/>
  <c r="F291" i="16" s="1"/>
  <c r="G291" i="16" a="1"/>
  <c r="G291" i="16" s="1"/>
  <c r="H291" i="16" a="1"/>
  <c r="H291" i="16" s="1"/>
  <c r="F292" i="16" a="1"/>
  <c r="F292" i="16" s="1"/>
  <c r="G292" i="16" a="1"/>
  <c r="G292" i="16" s="1"/>
  <c r="H292" i="16" a="1"/>
  <c r="H292" i="16" s="1"/>
  <c r="F293" i="16" a="1"/>
  <c r="F293" i="16" s="1"/>
  <c r="G293" i="16" a="1"/>
  <c r="G293" i="16" s="1"/>
  <c r="H293" i="16" a="1"/>
  <c r="H293" i="16"/>
  <c r="F294" i="16" a="1"/>
  <c r="F294" i="16" s="1"/>
  <c r="G294" i="16" a="1"/>
  <c r="G294" i="16" s="1"/>
  <c r="H294" i="16" a="1"/>
  <c r="H294" i="16" s="1"/>
  <c r="F295" i="16" a="1"/>
  <c r="F295" i="16" s="1"/>
  <c r="G295" i="16" a="1"/>
  <c r="G295" i="16" s="1"/>
  <c r="H295" i="16" a="1"/>
  <c r="H295" i="16" s="1"/>
  <c r="F296" i="16" a="1"/>
  <c r="F296" i="16" s="1"/>
  <c r="G296" i="16" a="1"/>
  <c r="G296" i="16" s="1"/>
  <c r="H296" i="16" a="1"/>
  <c r="H296" i="16" s="1"/>
  <c r="F297" i="16" a="1"/>
  <c r="F297" i="16" s="1"/>
  <c r="G297" i="16" a="1"/>
  <c r="G297" i="16" s="1"/>
  <c r="H297" i="16" a="1"/>
  <c r="H297" i="16" s="1"/>
  <c r="F298" i="16" a="1"/>
  <c r="F298" i="16"/>
  <c r="G298" i="16" a="1"/>
  <c r="G298" i="16" s="1"/>
  <c r="H298" i="16" a="1"/>
  <c r="H298" i="16" s="1"/>
  <c r="F299" i="16" a="1"/>
  <c r="F299" i="16" s="1"/>
  <c r="G299" i="16" a="1"/>
  <c r="G299" i="16" s="1"/>
  <c r="H299" i="16" a="1"/>
  <c r="H299" i="16" s="1"/>
  <c r="F300" i="16" a="1"/>
  <c r="F300" i="16" s="1"/>
  <c r="G300" i="16" a="1"/>
  <c r="G300" i="16" s="1"/>
  <c r="H300" i="16" a="1"/>
  <c r="H300" i="16" s="1"/>
  <c r="F301" i="16" a="1"/>
  <c r="F301" i="16" s="1"/>
  <c r="G301" i="16" a="1"/>
  <c r="G301" i="16" s="1"/>
  <c r="H301" i="16" a="1"/>
  <c r="H301" i="16" s="1"/>
  <c r="F302" i="16" a="1"/>
  <c r="F302" i="16" s="1"/>
  <c r="G302" i="16" a="1"/>
  <c r="G302" i="16" s="1"/>
  <c r="H302" i="16" a="1"/>
  <c r="H302" i="16"/>
  <c r="F303" i="16" a="1"/>
  <c r="F303" i="16" s="1"/>
  <c r="G303" i="16" a="1"/>
  <c r="G303" i="16" s="1"/>
  <c r="H303" i="16" a="1"/>
  <c r="H303" i="16" s="1"/>
  <c r="F304" i="16" a="1"/>
  <c r="F304" i="16" s="1"/>
  <c r="G304" i="16" a="1"/>
  <c r="G304" i="16" s="1"/>
  <c r="H304" i="16" a="1"/>
  <c r="H304" i="16"/>
  <c r="F305" i="16" a="1"/>
  <c r="F305" i="16" s="1"/>
  <c r="G305" i="16" a="1"/>
  <c r="G305" i="16" s="1"/>
  <c r="H305" i="16" a="1"/>
  <c r="H305" i="16" s="1"/>
  <c r="F306" i="16" a="1"/>
  <c r="F306" i="16" s="1"/>
  <c r="G306" i="16" a="1"/>
  <c r="G306" i="16" s="1"/>
  <c r="H306" i="16" a="1"/>
  <c r="H306" i="16" s="1"/>
  <c r="F307" i="16" a="1"/>
  <c r="F307" i="16"/>
  <c r="G307" i="16" a="1"/>
  <c r="G307" i="16" s="1"/>
  <c r="H307" i="16" a="1"/>
  <c r="H307" i="16" s="1"/>
  <c r="F308" i="16" a="1"/>
  <c r="F308" i="16" s="1"/>
  <c r="G308" i="16" a="1"/>
  <c r="G308" i="16" s="1"/>
  <c r="H308" i="16" a="1"/>
  <c r="H308" i="16" s="1"/>
  <c r="F309" i="16" a="1"/>
  <c r="F309" i="16" s="1"/>
  <c r="G309" i="16" a="1"/>
  <c r="G309" i="16" s="1"/>
  <c r="H309" i="16" a="1"/>
  <c r="H309" i="16"/>
  <c r="F310" i="16" a="1"/>
  <c r="F310" i="16" s="1"/>
  <c r="G310" i="16" a="1"/>
  <c r="G310" i="16" s="1"/>
  <c r="H310" i="16" a="1"/>
  <c r="H310" i="16" s="1"/>
  <c r="F311" i="16" a="1"/>
  <c r="F311" i="16" s="1"/>
  <c r="G311" i="16" a="1"/>
  <c r="G311" i="16" s="1"/>
  <c r="H311" i="16" a="1"/>
  <c r="H311" i="16" s="1"/>
  <c r="F312" i="16" a="1"/>
  <c r="F312" i="16"/>
  <c r="G312" i="16" a="1"/>
  <c r="G312" i="16" s="1"/>
  <c r="H312" i="16" a="1"/>
  <c r="H312" i="16" s="1"/>
  <c r="F313" i="16" a="1"/>
  <c r="F313" i="16" s="1"/>
  <c r="G313" i="16" a="1"/>
  <c r="G313" i="16" s="1"/>
  <c r="H313" i="16" a="1"/>
  <c r="H313" i="16" s="1"/>
  <c r="F314" i="16" a="1"/>
  <c r="F314" i="16" s="1"/>
  <c r="G314" i="16" a="1"/>
  <c r="G314" i="16" s="1"/>
  <c r="H314" i="16" a="1"/>
  <c r="H314" i="16" s="1"/>
  <c r="F315" i="16" a="1"/>
  <c r="F315" i="16"/>
  <c r="G315" i="16" a="1"/>
  <c r="G315" i="16" s="1"/>
  <c r="H315" i="16" a="1"/>
  <c r="H315" i="16" s="1"/>
  <c r="F316" i="16" a="1"/>
  <c r="F316" i="16" s="1"/>
  <c r="G316" i="16" a="1"/>
  <c r="G316" i="16"/>
  <c r="H316" i="16" a="1"/>
  <c r="H316" i="16" s="1"/>
  <c r="F317" i="16" a="1"/>
  <c r="F317" i="16"/>
  <c r="G317" i="16" a="1"/>
  <c r="G317" i="16" s="1"/>
  <c r="H317" i="16" a="1"/>
  <c r="H317" i="16" s="1"/>
  <c r="F318" i="16" a="1"/>
  <c r="F318" i="16" s="1"/>
  <c r="G318" i="16" a="1"/>
  <c r="G318" i="16" s="1"/>
  <c r="H318" i="16" a="1"/>
  <c r="H318" i="16"/>
  <c r="F319" i="16" a="1"/>
  <c r="F319" i="16" s="1"/>
  <c r="G319" i="16" a="1"/>
  <c r="G319" i="16" s="1"/>
  <c r="H319" i="16" a="1"/>
  <c r="H319" i="16" s="1"/>
  <c r="F320" i="16" a="1"/>
  <c r="F320" i="16" s="1"/>
  <c r="G320" i="16" a="1"/>
  <c r="G320" i="16" s="1"/>
  <c r="H320" i="16" a="1"/>
  <c r="H320" i="16" s="1"/>
  <c r="F321" i="16" a="1"/>
  <c r="F321" i="16" s="1"/>
  <c r="G321" i="16" a="1"/>
  <c r="G321" i="16" s="1"/>
  <c r="H321" i="16" a="1"/>
  <c r="H321" i="16" s="1"/>
  <c r="F322" i="16" a="1"/>
  <c r="F322" i="16" s="1"/>
  <c r="G322" i="16" a="1"/>
  <c r="G322" i="16" s="1"/>
  <c r="H322" i="16" a="1"/>
  <c r="H322" i="16" s="1"/>
  <c r="F323" i="16" a="1"/>
  <c r="F323" i="16" s="1"/>
  <c r="G323" i="16" a="1"/>
  <c r="G323" i="16" s="1"/>
  <c r="H323" i="16" a="1"/>
  <c r="H323" i="16" s="1"/>
  <c r="F324" i="16" a="1"/>
  <c r="F324" i="16" s="1"/>
  <c r="G324" i="16" a="1"/>
  <c r="G324" i="16" s="1"/>
  <c r="H324" i="16" a="1"/>
  <c r="H324" i="16" s="1"/>
  <c r="F325" i="16" a="1"/>
  <c r="F325" i="16" s="1"/>
  <c r="G325" i="16" a="1"/>
  <c r="G325" i="16" s="1"/>
  <c r="H325" i="16" a="1"/>
  <c r="H325" i="16" s="1"/>
  <c r="F326" i="16" a="1"/>
  <c r="F326" i="16" s="1"/>
  <c r="G326" i="16" a="1"/>
  <c r="G326" i="16"/>
  <c r="H326" i="16" a="1"/>
  <c r="H326" i="16" s="1"/>
  <c r="F327" i="16" a="1"/>
  <c r="F327" i="16" s="1"/>
  <c r="G327" i="16" a="1"/>
  <c r="G327" i="16" s="1"/>
  <c r="H327" i="16" a="1"/>
  <c r="H327" i="16" s="1"/>
  <c r="F328" i="16" a="1"/>
  <c r="F328" i="16" s="1"/>
  <c r="G328" i="16" a="1"/>
  <c r="G328" i="16" s="1"/>
  <c r="H328" i="16" a="1"/>
  <c r="H328" i="16" s="1"/>
  <c r="F329" i="16" a="1"/>
  <c r="F329" i="16" s="1"/>
  <c r="G329" i="16" a="1"/>
  <c r="G329" i="16"/>
  <c r="H329" i="16" a="1"/>
  <c r="H329" i="16" s="1"/>
  <c r="F330" i="16" a="1"/>
  <c r="F330" i="16" s="1"/>
  <c r="G330" i="16" a="1"/>
  <c r="G330" i="16" s="1"/>
  <c r="H330" i="16" a="1"/>
  <c r="H330" i="16" s="1"/>
  <c r="F331" i="16" a="1"/>
  <c r="F331" i="16" s="1"/>
  <c r="G331" i="16" a="1"/>
  <c r="G331" i="16" s="1"/>
  <c r="H331" i="16" a="1"/>
  <c r="H331" i="16" s="1"/>
  <c r="F332" i="16" a="1"/>
  <c r="F332" i="16" s="1"/>
  <c r="G332" i="16" a="1"/>
  <c r="G332" i="16" s="1"/>
  <c r="H332" i="16" a="1"/>
  <c r="H332" i="16" s="1"/>
  <c r="F333" i="16" a="1"/>
  <c r="F333" i="16" s="1"/>
  <c r="G333" i="16" a="1"/>
  <c r="G333" i="16" s="1"/>
  <c r="H333" i="16" a="1"/>
  <c r="H333" i="16" s="1"/>
  <c r="F334" i="16" a="1"/>
  <c r="F334" i="16" s="1"/>
  <c r="G334" i="16" a="1"/>
  <c r="G334" i="16" s="1"/>
  <c r="H334" i="16" a="1"/>
  <c r="H334" i="16" s="1"/>
  <c r="F335" i="16" a="1"/>
  <c r="F335" i="16" s="1"/>
  <c r="G335" i="16" a="1"/>
  <c r="G335" i="16" s="1"/>
  <c r="H335" i="16" a="1"/>
  <c r="H335" i="16" s="1"/>
  <c r="F336" i="16" a="1"/>
  <c r="F336" i="16" s="1"/>
  <c r="G336" i="16" a="1"/>
  <c r="G336" i="16" s="1"/>
  <c r="H336" i="16" a="1"/>
  <c r="H336" i="16" s="1"/>
  <c r="F337" i="16" a="1"/>
  <c r="F337" i="16" s="1"/>
  <c r="G337" i="16" a="1"/>
  <c r="G337" i="16" s="1"/>
  <c r="H337" i="16" a="1"/>
  <c r="H337" i="16" s="1"/>
  <c r="F338" i="16" a="1"/>
  <c r="F338" i="16"/>
  <c r="G338" i="16" a="1"/>
  <c r="G338" i="16" s="1"/>
  <c r="H338" i="16" a="1"/>
  <c r="H338" i="16" s="1"/>
  <c r="F339" i="16" a="1"/>
  <c r="F339" i="16" s="1"/>
  <c r="G339" i="16" a="1"/>
  <c r="G339" i="16" s="1"/>
  <c r="H339" i="16" a="1"/>
  <c r="H339" i="16" s="1"/>
  <c r="F340" i="16" a="1"/>
  <c r="F340" i="16" s="1"/>
  <c r="G340" i="16" a="1"/>
  <c r="G340" i="16" s="1"/>
  <c r="H340" i="16" a="1"/>
  <c r="H340" i="16" s="1"/>
  <c r="F341" i="16" a="1"/>
  <c r="F341" i="16" s="1"/>
  <c r="G341" i="16" a="1"/>
  <c r="G341" i="16" s="1"/>
  <c r="H341" i="16" a="1"/>
  <c r="H341" i="16" s="1"/>
  <c r="F342" i="16" a="1"/>
  <c r="F342" i="16" s="1"/>
  <c r="G342" i="16" a="1"/>
  <c r="G342" i="16" s="1"/>
  <c r="H342" i="16" a="1"/>
  <c r="H342" i="16" s="1"/>
  <c r="F343" i="16" a="1"/>
  <c r="F343" i="16"/>
  <c r="G343" i="16" a="1"/>
  <c r="G343" i="16" s="1"/>
  <c r="H343" i="16" a="1"/>
  <c r="H343" i="16" s="1"/>
  <c r="F344" i="16" a="1"/>
  <c r="F344" i="16" s="1"/>
  <c r="G344" i="16" a="1"/>
  <c r="G344" i="16" s="1"/>
  <c r="H344" i="16" a="1"/>
  <c r="H344" i="16" s="1"/>
  <c r="F345" i="16" a="1"/>
  <c r="F345" i="16" s="1"/>
  <c r="G345" i="16" a="1"/>
  <c r="G345" i="16" s="1"/>
  <c r="H345" i="16" a="1"/>
  <c r="H345" i="16" s="1"/>
  <c r="F346" i="16" a="1"/>
  <c r="F346" i="16"/>
  <c r="G346" i="16" a="1"/>
  <c r="G346" i="16" s="1"/>
  <c r="H346" i="16" a="1"/>
  <c r="H346" i="16"/>
  <c r="F347" i="16" a="1"/>
  <c r="F347" i="16" s="1"/>
  <c r="G347" i="16" a="1"/>
  <c r="G347" i="16" s="1"/>
  <c r="H347" i="16" a="1"/>
  <c r="H347" i="16" s="1"/>
  <c r="F348" i="16" a="1"/>
  <c r="F348" i="16" s="1"/>
  <c r="G348" i="16" a="1"/>
  <c r="G348" i="16"/>
  <c r="H348" i="16" a="1"/>
  <c r="H348" i="16" s="1"/>
  <c r="F349" i="16" a="1"/>
  <c r="F349" i="16" s="1"/>
  <c r="G349" i="16" a="1"/>
  <c r="G349" i="16" s="1"/>
  <c r="H349" i="16" a="1"/>
  <c r="H349" i="16" s="1"/>
  <c r="F350" i="16" a="1"/>
  <c r="F350" i="16" s="1"/>
  <c r="G350" i="16" a="1"/>
  <c r="G350" i="16" s="1"/>
  <c r="H350" i="16" a="1"/>
  <c r="H350" i="16" s="1"/>
  <c r="F351" i="16" a="1"/>
  <c r="F351" i="16" s="1"/>
  <c r="G351" i="16" a="1"/>
  <c r="G351" i="16" s="1"/>
  <c r="H351" i="16" a="1"/>
  <c r="H351" i="16" s="1"/>
  <c r="F352" i="16" a="1"/>
  <c r="F352" i="16" s="1"/>
  <c r="G352" i="16" a="1"/>
  <c r="G352" i="16" s="1"/>
  <c r="H352" i="16" a="1"/>
  <c r="H352" i="16" s="1"/>
  <c r="F353" i="16" a="1"/>
  <c r="F353" i="16" s="1"/>
  <c r="G353" i="16" a="1"/>
  <c r="G353" i="16" s="1"/>
  <c r="H353" i="16" a="1"/>
  <c r="H353" i="16" s="1"/>
  <c r="F354" i="16" a="1"/>
  <c r="F354" i="16" s="1"/>
  <c r="G354" i="16" a="1"/>
  <c r="G354" i="16" s="1"/>
  <c r="H354" i="16" a="1"/>
  <c r="H354" i="16" s="1"/>
  <c r="F355" i="16" a="1"/>
  <c r="F355" i="16" s="1"/>
  <c r="G355" i="16" a="1"/>
  <c r="G355" i="16" s="1"/>
  <c r="H355" i="16" a="1"/>
  <c r="H355" i="16" s="1"/>
  <c r="F356" i="16" a="1"/>
  <c r="F356" i="16"/>
  <c r="G356" i="16" a="1"/>
  <c r="G356" i="16" s="1"/>
  <c r="H356" i="16" a="1"/>
  <c r="H356" i="16" s="1"/>
  <c r="F357" i="16" a="1"/>
  <c r="F357" i="16"/>
  <c r="G357" i="16" a="1"/>
  <c r="G357" i="16" s="1"/>
  <c r="H357" i="16" a="1"/>
  <c r="H357" i="16" s="1"/>
  <c r="F358" i="16" a="1"/>
  <c r="F358" i="16" s="1"/>
  <c r="G358" i="16" a="1"/>
  <c r="G358" i="16"/>
  <c r="H358" i="16" a="1"/>
  <c r="H358" i="16" s="1"/>
  <c r="F359" i="16" a="1"/>
  <c r="F359" i="16" s="1"/>
  <c r="G359" i="16" a="1"/>
  <c r="G359" i="16" s="1"/>
  <c r="H359" i="16" a="1"/>
  <c r="H359" i="16" s="1"/>
  <c r="F360" i="16" a="1"/>
  <c r="F360" i="16" s="1"/>
  <c r="G360" i="16" a="1"/>
  <c r="G360" i="16" s="1"/>
  <c r="H360" i="16" a="1"/>
  <c r="H360" i="16" s="1"/>
  <c r="F361" i="16" a="1"/>
  <c r="F361" i="16" s="1"/>
  <c r="G361" i="16" a="1"/>
  <c r="G361" i="16"/>
  <c r="H361" i="16" a="1"/>
  <c r="H361" i="16" s="1"/>
  <c r="F362" i="16" a="1"/>
  <c r="F362" i="16" s="1"/>
  <c r="G362" i="16" a="1"/>
  <c r="G362" i="16" s="1"/>
  <c r="H362" i="16" a="1"/>
  <c r="H362" i="16" s="1"/>
  <c r="F363" i="16" a="1"/>
  <c r="F363" i="16"/>
  <c r="G363" i="16" a="1"/>
  <c r="G363" i="16"/>
  <c r="H363" i="16" a="1"/>
  <c r="H363" i="16" s="1"/>
  <c r="F364" i="16" a="1"/>
  <c r="F364" i="16" s="1"/>
  <c r="G364" i="16" a="1"/>
  <c r="G364" i="16" s="1"/>
  <c r="H364" i="16" a="1"/>
  <c r="H364" i="16" s="1"/>
  <c r="F365" i="16" a="1"/>
  <c r="F365" i="16" s="1"/>
  <c r="G365" i="16" a="1"/>
  <c r="G365" i="16" s="1"/>
  <c r="H365" i="16" a="1"/>
  <c r="H365" i="16" s="1"/>
  <c r="F366" i="16" a="1"/>
  <c r="F366" i="16" s="1"/>
  <c r="G366" i="16" a="1"/>
  <c r="G366" i="16" s="1"/>
  <c r="H366" i="16" a="1"/>
  <c r="H366" i="16" s="1"/>
  <c r="F367" i="16" a="1"/>
  <c r="F367" i="16" s="1"/>
  <c r="G367" i="16" a="1"/>
  <c r="G367" i="16" s="1"/>
  <c r="H367" i="16" a="1"/>
  <c r="H367" i="16"/>
  <c r="F368" i="16" a="1"/>
  <c r="F368" i="16" s="1"/>
  <c r="G368" i="16" a="1"/>
  <c r="G368" i="16" s="1"/>
  <c r="H368" i="16" a="1"/>
  <c r="H368" i="16" s="1"/>
  <c r="F369" i="16" a="1"/>
  <c r="F369" i="16" s="1"/>
  <c r="G369" i="16" a="1"/>
  <c r="G369" i="16" s="1"/>
  <c r="H369" i="16" a="1"/>
  <c r="H369" i="16" s="1"/>
  <c r="F370" i="16" a="1"/>
  <c r="F370" i="16"/>
  <c r="G370" i="16" a="1"/>
  <c r="G370" i="16" s="1"/>
  <c r="H370" i="16" a="1"/>
  <c r="H370" i="16" s="1"/>
  <c r="F371" i="16" a="1"/>
  <c r="F371" i="16" s="1"/>
  <c r="G371" i="16" a="1"/>
  <c r="G371" i="16" s="1"/>
  <c r="H371" i="16" a="1"/>
  <c r="H371" i="16" s="1"/>
  <c r="F372" i="16" a="1"/>
  <c r="F372" i="16" s="1"/>
  <c r="G372" i="16" a="1"/>
  <c r="G372" i="16" s="1"/>
  <c r="H372" i="16" a="1"/>
  <c r="H372" i="16"/>
  <c r="F373" i="16" a="1"/>
  <c r="F373" i="16" s="1"/>
  <c r="G373" i="16" a="1"/>
  <c r="G373" i="16" s="1"/>
  <c r="H373" i="16" a="1"/>
  <c r="H373" i="16" s="1"/>
  <c r="F374" i="16" a="1"/>
  <c r="F374" i="16" s="1"/>
  <c r="G374" i="16" a="1"/>
  <c r="G374" i="16" s="1"/>
  <c r="H374" i="16" a="1"/>
  <c r="H374" i="16" s="1"/>
  <c r="F375" i="16" a="1"/>
  <c r="F375" i="16"/>
  <c r="G375" i="16" a="1"/>
  <c r="G375" i="16" s="1"/>
  <c r="H375" i="16" a="1"/>
  <c r="H375" i="16" s="1"/>
  <c r="F376" i="16" a="1"/>
  <c r="F376" i="16" s="1"/>
  <c r="G376" i="16" a="1"/>
  <c r="G376" i="16"/>
  <c r="H376" i="16" a="1"/>
  <c r="H376" i="16" s="1"/>
  <c r="F377" i="16" a="1"/>
  <c r="F377" i="16" s="1"/>
  <c r="G377" i="16" a="1"/>
  <c r="G377" i="16" s="1"/>
  <c r="H377" i="16" a="1"/>
  <c r="H377" i="16" s="1"/>
  <c r="F378" i="16" a="1"/>
  <c r="F378" i="16" s="1"/>
  <c r="G378" i="16" a="1"/>
  <c r="G378" i="16" s="1"/>
  <c r="H378" i="16" a="1"/>
  <c r="H378" i="16" s="1"/>
  <c r="F379" i="16" a="1"/>
  <c r="F379" i="16" s="1"/>
  <c r="G379" i="16" a="1"/>
  <c r="G379" i="16" s="1"/>
  <c r="H379" i="16" a="1"/>
  <c r="H379" i="16" s="1"/>
  <c r="F380" i="16" a="1"/>
  <c r="F380" i="16"/>
  <c r="G380" i="16" a="1"/>
  <c r="G380" i="16" s="1"/>
  <c r="H380" i="16" a="1"/>
  <c r="H380" i="16" s="1"/>
  <c r="F381" i="16" a="1"/>
  <c r="F381" i="16" s="1"/>
  <c r="G381" i="16" a="1"/>
  <c r="G381" i="16" s="1"/>
  <c r="H381" i="16" a="1"/>
  <c r="H381" i="16"/>
  <c r="F382" i="16" a="1"/>
  <c r="F382" i="16" s="1"/>
  <c r="G382" i="16" a="1"/>
  <c r="G382" i="16" s="1"/>
  <c r="H382" i="16" a="1"/>
  <c r="H382" i="16" s="1"/>
  <c r="F383" i="16" a="1"/>
  <c r="F383" i="16" s="1"/>
  <c r="G383" i="16" a="1"/>
  <c r="G383" i="16" s="1"/>
  <c r="H383" i="16" a="1"/>
  <c r="H383" i="16" s="1"/>
  <c r="F384" i="16" a="1"/>
  <c r="F384" i="16" s="1"/>
  <c r="G384" i="16" a="1"/>
  <c r="G384" i="16" s="1"/>
  <c r="H384" i="16" a="1"/>
  <c r="H384" i="16" s="1"/>
  <c r="F385" i="16" a="1"/>
  <c r="F385" i="16" s="1"/>
  <c r="G385" i="16" a="1"/>
  <c r="G385" i="16" s="1"/>
  <c r="H385" i="16" a="1"/>
  <c r="H385" i="16" s="1"/>
  <c r="F386" i="16" a="1"/>
  <c r="F386" i="16" s="1"/>
  <c r="G386" i="16" a="1"/>
  <c r="G386" i="16" s="1"/>
  <c r="H386" i="16" a="1"/>
  <c r="H386" i="16"/>
  <c r="F387" i="16" a="1"/>
  <c r="F387" i="16" s="1"/>
  <c r="G387" i="16" a="1"/>
  <c r="G387" i="16" s="1"/>
  <c r="H387" i="16" a="1"/>
  <c r="H387" i="16" s="1"/>
  <c r="F388" i="16" a="1"/>
  <c r="F388" i="16" s="1"/>
  <c r="G388" i="16" a="1"/>
  <c r="G388" i="16" s="1"/>
  <c r="H388" i="16" a="1"/>
  <c r="H388" i="16" s="1"/>
  <c r="F389" i="16" a="1"/>
  <c r="F389" i="16" s="1"/>
  <c r="G389" i="16" a="1"/>
  <c r="G389" i="16" s="1"/>
  <c r="H389" i="16" a="1"/>
  <c r="H389" i="16" s="1"/>
  <c r="F390" i="16" a="1"/>
  <c r="F390" i="16" s="1"/>
  <c r="G390" i="16" a="1"/>
  <c r="G390" i="16"/>
  <c r="H390" i="16" a="1"/>
  <c r="H390" i="16" s="1"/>
  <c r="F391" i="16" a="1"/>
  <c r="F391" i="16" s="1"/>
  <c r="G391" i="16" a="1"/>
  <c r="G391" i="16" s="1"/>
  <c r="H391" i="16" a="1"/>
  <c r="H391" i="16" s="1"/>
  <c r="F392" i="16" a="1"/>
  <c r="F392" i="16" s="1"/>
  <c r="G392" i="16" a="1"/>
  <c r="G392" i="16" s="1"/>
  <c r="H392" i="16" a="1"/>
  <c r="H392" i="16" s="1"/>
  <c r="F393" i="16" a="1"/>
  <c r="F393" i="16" s="1"/>
  <c r="G393" i="16" a="1"/>
  <c r="G393" i="16" s="1"/>
  <c r="H393" i="16" a="1"/>
  <c r="H393" i="16" s="1"/>
  <c r="F394" i="16" a="1"/>
  <c r="F394" i="16" s="1"/>
  <c r="G394" i="16" a="1"/>
  <c r="G394" i="16" s="1"/>
  <c r="H394" i="16" a="1"/>
  <c r="H394" i="16" s="1"/>
  <c r="F395" i="16" a="1"/>
  <c r="F395" i="16" s="1"/>
  <c r="G395" i="16" a="1"/>
  <c r="G395" i="16" s="1"/>
  <c r="H395" i="16" a="1"/>
  <c r="H395" i="16" s="1"/>
  <c r="F396" i="16" a="1"/>
  <c r="F396" i="16"/>
  <c r="G396" i="16" a="1"/>
  <c r="G396" i="16" s="1"/>
  <c r="H396" i="16" a="1"/>
  <c r="H396" i="16" s="1"/>
  <c r="F397" i="16" a="1"/>
  <c r="F397" i="16" s="1"/>
  <c r="G397" i="16" a="1"/>
  <c r="G397" i="16" s="1"/>
  <c r="H397" i="16" a="1"/>
  <c r="H397" i="16" s="1"/>
  <c r="F398" i="16" a="1"/>
  <c r="F398" i="16" s="1"/>
  <c r="G398" i="16" a="1"/>
  <c r="G398" i="16" s="1"/>
  <c r="H398" i="16" a="1"/>
  <c r="H398" i="16" s="1"/>
  <c r="F399" i="16" a="1"/>
  <c r="F399" i="16" s="1"/>
  <c r="G399" i="16" a="1"/>
  <c r="G399" i="16" s="1"/>
  <c r="H399" i="16" a="1"/>
  <c r="H399" i="16" s="1"/>
  <c r="F400" i="16" a="1"/>
  <c r="F400" i="16" s="1"/>
  <c r="G400" i="16" a="1"/>
  <c r="G400" i="16" s="1"/>
  <c r="H400" i="16" a="1"/>
  <c r="H400" i="16" s="1"/>
  <c r="F401" i="16" a="1"/>
  <c r="F401" i="16" s="1"/>
  <c r="G401" i="16" a="1"/>
  <c r="G401" i="16" s="1"/>
  <c r="H401" i="16" a="1"/>
  <c r="H401" i="16"/>
  <c r="F402" i="16" a="1"/>
  <c r="F402" i="16" s="1"/>
  <c r="G402" i="16" a="1"/>
  <c r="G402" i="16" s="1"/>
  <c r="H402" i="16" a="1"/>
  <c r="H402" i="16" s="1"/>
  <c r="F403" i="16" a="1"/>
  <c r="F403" i="16" s="1"/>
  <c r="G403" i="16" a="1"/>
  <c r="G403" i="16" s="1"/>
  <c r="H403" i="16" a="1"/>
  <c r="H403" i="16" s="1"/>
  <c r="F404" i="16" a="1"/>
  <c r="F404" i="16" s="1"/>
  <c r="G404" i="16" a="1"/>
  <c r="G404" i="16" s="1"/>
  <c r="H404" i="16" a="1"/>
  <c r="H404" i="16" s="1"/>
  <c r="F405" i="16" a="1"/>
  <c r="F405" i="16" s="1"/>
  <c r="G405" i="16" a="1"/>
  <c r="G405" i="16" s="1"/>
  <c r="H405" i="16" a="1"/>
  <c r="H405" i="16" s="1"/>
  <c r="F406" i="16" a="1"/>
  <c r="F406" i="16" s="1"/>
  <c r="G406" i="16" a="1"/>
  <c r="G406" i="16" s="1"/>
  <c r="H406" i="16" a="1"/>
  <c r="H406" i="16" s="1"/>
  <c r="F407" i="16" a="1"/>
  <c r="F407" i="16" s="1"/>
  <c r="G407" i="16" a="1"/>
  <c r="G407" i="16" s="1"/>
  <c r="H407" i="16" a="1"/>
  <c r="H407" i="16" s="1"/>
  <c r="F408" i="16" a="1"/>
  <c r="F408" i="16" s="1"/>
  <c r="G408" i="16" a="1"/>
  <c r="G408" i="16" s="1"/>
  <c r="H408" i="16" a="1"/>
  <c r="H408" i="16" s="1"/>
  <c r="F409" i="16" a="1"/>
  <c r="F409" i="16" s="1"/>
  <c r="G409" i="16" a="1"/>
  <c r="G409" i="16" s="1"/>
  <c r="H409" i="16" a="1"/>
  <c r="H409" i="16"/>
  <c r="F410" i="16" a="1"/>
  <c r="F410" i="16"/>
  <c r="G410" i="16" a="1"/>
  <c r="G410" i="16" s="1"/>
  <c r="H410" i="16" a="1"/>
  <c r="H410" i="16" s="1"/>
  <c r="F411" i="16" a="1"/>
  <c r="F411" i="16" s="1"/>
  <c r="G411" i="16" a="1"/>
  <c r="G411" i="16" s="1"/>
  <c r="H411" i="16" a="1"/>
  <c r="H411" i="16" s="1"/>
  <c r="F412" i="16" a="1"/>
  <c r="F412" i="16" s="1"/>
  <c r="G412" i="16" a="1"/>
  <c r="G412" i="16" s="1"/>
  <c r="H412" i="16" a="1"/>
  <c r="H412" i="16" s="1"/>
  <c r="F413" i="16" a="1"/>
  <c r="F413" i="16" s="1"/>
  <c r="G413" i="16" a="1"/>
  <c r="G413" i="16"/>
  <c r="H413" i="16" a="1"/>
  <c r="H413" i="16" s="1"/>
  <c r="F414" i="16" a="1"/>
  <c r="F414" i="16" s="1"/>
  <c r="G414" i="16" a="1"/>
  <c r="G414" i="16" s="1"/>
  <c r="H414" i="16" a="1"/>
  <c r="H414" i="16"/>
  <c r="F415" i="16" a="1"/>
  <c r="F415" i="16" s="1"/>
  <c r="G415" i="16" a="1"/>
  <c r="G415" i="16" s="1"/>
  <c r="H415" i="16" a="1"/>
  <c r="H415" i="16"/>
  <c r="F416" i="16" a="1"/>
  <c r="F416" i="16" s="1"/>
  <c r="G416" i="16" a="1"/>
  <c r="G416" i="16" s="1"/>
  <c r="H416" i="16" a="1"/>
  <c r="H416" i="16" s="1"/>
  <c r="F417" i="16" a="1"/>
  <c r="F417" i="16" s="1"/>
  <c r="G417" i="16" a="1"/>
  <c r="G417" i="16" s="1"/>
  <c r="H417" i="16" a="1"/>
  <c r="H417" i="16" s="1"/>
  <c r="F418" i="16" a="1"/>
  <c r="F418" i="16" s="1"/>
  <c r="G418" i="16" a="1"/>
  <c r="G418" i="16"/>
  <c r="H418" i="16" a="1"/>
  <c r="H418" i="16" s="1"/>
  <c r="F419" i="16" a="1"/>
  <c r="F419" i="16"/>
  <c r="G419" i="16" a="1"/>
  <c r="G419" i="16" s="1"/>
  <c r="H419" i="16" a="1"/>
  <c r="H419" i="16" s="1"/>
  <c r="F420" i="16" a="1"/>
  <c r="F420" i="16" s="1"/>
  <c r="G420" i="16" a="1"/>
  <c r="G420" i="16" s="1"/>
  <c r="H420" i="16" a="1"/>
  <c r="H420" i="16"/>
  <c r="F421" i="16" a="1"/>
  <c r="F421" i="16" s="1"/>
  <c r="G421" i="16" a="1"/>
  <c r="G421" i="16" s="1"/>
  <c r="H421" i="16" a="1"/>
  <c r="H421" i="16" s="1"/>
  <c r="F422" i="16" a="1"/>
  <c r="F422" i="16" s="1"/>
  <c r="G422" i="16" a="1"/>
  <c r="G422" i="16" s="1"/>
  <c r="H422" i="16" a="1"/>
  <c r="H422" i="16" s="1"/>
  <c r="F423" i="16" a="1"/>
  <c r="F423" i="16" s="1"/>
  <c r="G423" i="16" a="1"/>
  <c r="G423" i="16" s="1"/>
  <c r="H423" i="16" a="1"/>
  <c r="H423" i="16" s="1"/>
  <c r="F424" i="16" a="1"/>
  <c r="F424" i="16" s="1"/>
  <c r="G424" i="16" a="1"/>
  <c r="G424" i="16" s="1"/>
  <c r="H424" i="16" a="1"/>
  <c r="H424" i="16"/>
  <c r="F425" i="16" a="1"/>
  <c r="F425" i="16" s="1"/>
  <c r="G425" i="16" a="1"/>
  <c r="G425" i="16" s="1"/>
  <c r="H425" i="16" a="1"/>
  <c r="H425" i="16" s="1"/>
  <c r="F426" i="16" a="1"/>
  <c r="F426" i="16" s="1"/>
  <c r="G426" i="16" a="1"/>
  <c r="G426" i="16" s="1"/>
  <c r="H426" i="16" a="1"/>
  <c r="H426" i="16" s="1"/>
  <c r="F427" i="16" a="1"/>
  <c r="F427" i="16" s="1"/>
  <c r="G427" i="16" a="1"/>
  <c r="G427" i="16" s="1"/>
  <c r="H427" i="16" a="1"/>
  <c r="H427" i="16" s="1"/>
  <c r="F428" i="16" a="1"/>
  <c r="F428" i="16" s="1"/>
  <c r="G428" i="16" a="1"/>
  <c r="G428" i="16" s="1"/>
  <c r="H428" i="16" a="1"/>
  <c r="H428" i="16" s="1"/>
  <c r="F429" i="16" a="1"/>
  <c r="F429" i="16" s="1"/>
  <c r="G429" i="16" a="1"/>
  <c r="G429" i="16" s="1"/>
  <c r="H429" i="16" a="1"/>
  <c r="H429" i="16" s="1"/>
  <c r="F430" i="16" a="1"/>
  <c r="F430" i="16" s="1"/>
  <c r="G430" i="16" a="1"/>
  <c r="G430" i="16" s="1"/>
  <c r="H430" i="16" a="1"/>
  <c r="H430" i="16" s="1"/>
  <c r="F431" i="16" a="1"/>
  <c r="F431" i="16" s="1"/>
  <c r="G431" i="16" a="1"/>
  <c r="G431" i="16" s="1"/>
  <c r="H431" i="16" a="1"/>
  <c r="H431" i="16"/>
  <c r="F432" i="16" a="1"/>
  <c r="F432" i="16" s="1"/>
  <c r="G432" i="16" a="1"/>
  <c r="G432" i="16" s="1"/>
  <c r="H432" i="16" a="1"/>
  <c r="H432" i="16" s="1"/>
  <c r="F433" i="16" a="1"/>
  <c r="F433" i="16" s="1"/>
  <c r="G433" i="16" a="1"/>
  <c r="G433" i="16" s="1"/>
  <c r="H433" i="16" a="1"/>
  <c r="H433" i="16"/>
  <c r="F434" i="16" a="1"/>
  <c r="F434" i="16" s="1"/>
  <c r="G434" i="16" a="1"/>
  <c r="G434" i="16" s="1"/>
  <c r="H434" i="16" a="1"/>
  <c r="H434" i="16" s="1"/>
  <c r="F435" i="16" a="1"/>
  <c r="F435" i="16" s="1"/>
  <c r="G435" i="16" a="1"/>
  <c r="G435" i="16"/>
  <c r="H435" i="16" a="1"/>
  <c r="H435" i="16" s="1"/>
  <c r="F436" i="16" a="1"/>
  <c r="F436" i="16" s="1"/>
  <c r="G436" i="16" a="1"/>
  <c r="G436" i="16" s="1"/>
  <c r="H436" i="16" a="1"/>
  <c r="H436" i="16" s="1"/>
  <c r="F437" i="16" a="1"/>
  <c r="F437" i="16" s="1"/>
  <c r="G437" i="16" a="1"/>
  <c r="G437" i="16" s="1"/>
  <c r="H437" i="16" a="1"/>
  <c r="H437" i="16" s="1"/>
  <c r="F438" i="16" a="1"/>
  <c r="F438" i="16" s="1"/>
  <c r="G438" i="16" a="1"/>
  <c r="G438" i="16" s="1"/>
  <c r="H438" i="16" a="1"/>
  <c r="H438" i="16" s="1"/>
  <c r="F439" i="16" a="1"/>
  <c r="F439" i="16"/>
  <c r="G439" i="16" a="1"/>
  <c r="G439" i="16" s="1"/>
  <c r="H439" i="16" a="1"/>
  <c r="H439" i="16" s="1"/>
  <c r="F440" i="16" a="1"/>
  <c r="F440" i="16"/>
  <c r="G440" i="16" a="1"/>
  <c r="G440" i="16" s="1"/>
  <c r="H440" i="16" a="1"/>
  <c r="H440" i="16" s="1"/>
  <c r="F441" i="16" a="1"/>
  <c r="F441" i="16" s="1"/>
  <c r="G441" i="16" a="1"/>
  <c r="G441" i="16" s="1"/>
  <c r="H441" i="16" a="1"/>
  <c r="H441" i="16" s="1"/>
  <c r="F442" i="16" a="1"/>
  <c r="F442" i="16" s="1"/>
  <c r="G442" i="16" a="1"/>
  <c r="G442" i="16"/>
  <c r="H442" i="16" a="1"/>
  <c r="H442" i="16" s="1"/>
  <c r="F443" i="16" a="1"/>
  <c r="F443" i="16"/>
  <c r="G443" i="16" a="1"/>
  <c r="G443" i="16" s="1"/>
  <c r="H443" i="16" a="1"/>
  <c r="H443" i="16"/>
  <c r="F444" i="16" a="1"/>
  <c r="F444" i="16" s="1"/>
  <c r="G444" i="16" a="1"/>
  <c r="G444" i="16" s="1"/>
  <c r="H444" i="16" a="1"/>
  <c r="H444" i="16" s="1"/>
  <c r="F445" i="16" a="1"/>
  <c r="F445" i="16" s="1"/>
  <c r="G445" i="16" a="1"/>
  <c r="G445" i="16" s="1"/>
  <c r="H445" i="16" a="1"/>
  <c r="H445" i="16" s="1"/>
  <c r="F446" i="16" a="1"/>
  <c r="F446" i="16" s="1"/>
  <c r="G446" i="16" a="1"/>
  <c r="G446" i="16" s="1"/>
  <c r="H446" i="16" a="1"/>
  <c r="H446" i="16" s="1"/>
  <c r="F447" i="16" a="1"/>
  <c r="F447" i="16" s="1"/>
  <c r="G447" i="16" a="1"/>
  <c r="G447" i="16"/>
  <c r="H447" i="16" a="1"/>
  <c r="H447" i="16" s="1"/>
  <c r="F448" i="16" a="1"/>
  <c r="F448" i="16"/>
  <c r="G448" i="16" a="1"/>
  <c r="G448" i="16" s="1"/>
  <c r="H448" i="16" a="1"/>
  <c r="H448" i="16"/>
  <c r="F449" i="16" a="1"/>
  <c r="F449" i="16" s="1"/>
  <c r="G449" i="16" a="1"/>
  <c r="G449" i="16" s="1"/>
  <c r="H449" i="16" a="1"/>
  <c r="H449" i="16" s="1"/>
  <c r="F450" i="16" a="1"/>
  <c r="F450" i="16" s="1"/>
  <c r="G450" i="16" a="1"/>
  <c r="G450" i="16" s="1"/>
  <c r="H450" i="16" a="1"/>
  <c r="H450" i="16" s="1"/>
  <c r="F451" i="16" a="1"/>
  <c r="F451" i="16" s="1"/>
  <c r="G451" i="16" a="1"/>
  <c r="G451" i="16" s="1"/>
  <c r="H451" i="16" a="1"/>
  <c r="H451" i="16" s="1"/>
  <c r="F452" i="16" a="1"/>
  <c r="F452" i="16" s="1"/>
  <c r="G452" i="16" a="1"/>
  <c r="G452" i="16" s="1"/>
  <c r="H452" i="16" a="1"/>
  <c r="H452" i="16" s="1"/>
  <c r="F453" i="16" a="1"/>
  <c r="F453" i="16" s="1"/>
  <c r="G453" i="16" a="1"/>
  <c r="G453" i="16" s="1"/>
  <c r="H453" i="16" a="1"/>
  <c r="H453" i="16" s="1"/>
  <c r="F454" i="16" a="1"/>
  <c r="F454" i="16" s="1"/>
  <c r="G454" i="16" a="1"/>
  <c r="G454" i="16" s="1"/>
  <c r="H454" i="16" a="1"/>
  <c r="H454" i="16" s="1"/>
  <c r="F455" i="16" a="1"/>
  <c r="F455" i="16" s="1"/>
  <c r="G455" i="16" a="1"/>
  <c r="G455" i="16" s="1"/>
  <c r="H455" i="16" a="1"/>
  <c r="H455" i="16" s="1"/>
  <c r="F456" i="16" a="1"/>
  <c r="F456" i="16" s="1"/>
  <c r="G456" i="16" a="1"/>
  <c r="G456" i="16" s="1"/>
  <c r="H456" i="16" a="1"/>
  <c r="H456" i="16" s="1"/>
  <c r="F457" i="16" a="1"/>
  <c r="F457" i="16"/>
  <c r="G457" i="16" a="1"/>
  <c r="G457" i="16" s="1"/>
  <c r="H457" i="16" a="1"/>
  <c r="H457" i="16" s="1"/>
  <c r="F458" i="16" a="1"/>
  <c r="F458" i="16" s="1"/>
  <c r="G458" i="16" a="1"/>
  <c r="G458" i="16" s="1"/>
  <c r="H458" i="16" a="1"/>
  <c r="H458" i="16" s="1"/>
  <c r="F459" i="16" a="1"/>
  <c r="F459" i="16" s="1"/>
  <c r="G459" i="16" a="1"/>
  <c r="G459" i="16" s="1"/>
  <c r="H459" i="16" a="1"/>
  <c r="H459" i="16" s="1"/>
  <c r="F460" i="16" a="1"/>
  <c r="F460" i="16"/>
  <c r="G460" i="16" a="1"/>
  <c r="G460" i="16" s="1"/>
  <c r="H460" i="16" a="1"/>
  <c r="H460" i="16" s="1"/>
  <c r="F461" i="16" a="1"/>
  <c r="F461" i="16" s="1"/>
  <c r="G461" i="16" a="1"/>
  <c r="G461" i="16" s="1"/>
  <c r="H461" i="16" a="1"/>
  <c r="H461" i="16" s="1"/>
  <c r="F462" i="16" a="1"/>
  <c r="F462" i="16"/>
  <c r="G462" i="16" a="1"/>
  <c r="G462" i="16" s="1"/>
  <c r="H462" i="16" a="1"/>
  <c r="H462" i="16" s="1"/>
  <c r="F463" i="16" a="1"/>
  <c r="F463" i="16" s="1"/>
  <c r="G463" i="16" a="1"/>
  <c r="G463" i="16" s="1"/>
  <c r="H463" i="16" a="1"/>
  <c r="H463" i="16"/>
  <c r="F464" i="16" a="1"/>
  <c r="F464" i="16" s="1"/>
  <c r="G464" i="16" a="1"/>
  <c r="G464" i="16" s="1"/>
  <c r="H464" i="16" a="1"/>
  <c r="H464" i="16"/>
  <c r="F465" i="16" a="1"/>
  <c r="F465" i="16" s="1"/>
  <c r="G465" i="16" a="1"/>
  <c r="G465" i="16" s="1"/>
  <c r="H465" i="16" a="1"/>
  <c r="H465" i="16" s="1"/>
  <c r="F466" i="16" a="1"/>
  <c r="F466" i="16" s="1"/>
  <c r="G466" i="16" a="1"/>
  <c r="G466" i="16" s="1"/>
  <c r="H466" i="16" a="1"/>
  <c r="H466" i="16" s="1"/>
  <c r="F467" i="16" a="1"/>
  <c r="F467" i="16" s="1"/>
  <c r="G467" i="16" a="1"/>
  <c r="G467" i="16"/>
  <c r="H467" i="16" a="1"/>
  <c r="H467" i="16" s="1"/>
  <c r="F468" i="16" a="1"/>
  <c r="F468" i="16" s="1"/>
  <c r="G468" i="16" a="1"/>
  <c r="G468" i="16" s="1"/>
  <c r="H468" i="16" a="1"/>
  <c r="H468" i="16" s="1"/>
  <c r="F469" i="16" a="1"/>
  <c r="F469" i="16" s="1"/>
  <c r="G469" i="16" a="1"/>
  <c r="G469" i="16" s="1"/>
  <c r="H469" i="16" a="1"/>
  <c r="H469" i="16"/>
  <c r="F470" i="16" a="1"/>
  <c r="F470" i="16"/>
  <c r="G470" i="16" a="1"/>
  <c r="G470" i="16" s="1"/>
  <c r="H470" i="16" a="1"/>
  <c r="H470" i="16" s="1"/>
  <c r="F471" i="16" a="1"/>
  <c r="F471" i="16" s="1"/>
  <c r="G471" i="16" a="1"/>
  <c r="G471" i="16" s="1"/>
  <c r="H471" i="16" a="1"/>
  <c r="H471" i="16" s="1"/>
  <c r="F472" i="16" a="1"/>
  <c r="F472" i="16"/>
  <c r="G472" i="16" a="1"/>
  <c r="G472" i="16" s="1"/>
  <c r="H472" i="16" a="1"/>
  <c r="H472" i="16" s="1"/>
  <c r="F473" i="16" a="1"/>
  <c r="F473" i="16" s="1"/>
  <c r="G473" i="16" a="1"/>
  <c r="G473" i="16" s="1"/>
  <c r="H473" i="16" a="1"/>
  <c r="H473" i="16" s="1"/>
  <c r="F474" i="16" a="1"/>
  <c r="F474" i="16" s="1"/>
  <c r="G474" i="16" a="1"/>
  <c r="G474" i="16" s="1"/>
  <c r="H474" i="16" a="1"/>
  <c r="H474" i="16"/>
  <c r="F475" i="16" a="1"/>
  <c r="F475" i="16" s="1"/>
  <c r="G475" i="16" a="1"/>
  <c r="G475" i="16" s="1"/>
  <c r="H475" i="16" a="1"/>
  <c r="H475" i="16" s="1"/>
  <c r="F476" i="16" a="1"/>
  <c r="F476" i="16" s="1"/>
  <c r="G476" i="16" a="1"/>
  <c r="G476" i="16" s="1"/>
  <c r="H476" i="16" a="1"/>
  <c r="H476" i="16" s="1"/>
  <c r="F477" i="16" a="1"/>
  <c r="F477" i="16" s="1"/>
  <c r="G477" i="16" a="1"/>
  <c r="G477" i="16" s="1"/>
  <c r="H477" i="16" a="1"/>
  <c r="H477" i="16" s="1"/>
  <c r="F478" i="16" a="1"/>
  <c r="F478" i="16" s="1"/>
  <c r="G478" i="16" a="1"/>
  <c r="G478" i="16" s="1"/>
  <c r="H478" i="16" a="1"/>
  <c r="H478" i="16" s="1"/>
  <c r="F479" i="16" a="1"/>
  <c r="F479" i="16" s="1"/>
  <c r="G479" i="16" a="1"/>
  <c r="G479" i="16" s="1"/>
  <c r="H479" i="16" a="1"/>
  <c r="H479" i="16" s="1"/>
  <c r="F480" i="16" a="1"/>
  <c r="F480" i="16"/>
  <c r="G480" i="16" a="1"/>
  <c r="G480" i="16"/>
  <c r="H480" i="16" a="1"/>
  <c r="H480" i="16" s="1"/>
  <c r="F481" i="16" a="1"/>
  <c r="F481" i="16" s="1"/>
  <c r="G481" i="16" a="1"/>
  <c r="G481" i="16"/>
  <c r="H481" i="16" a="1"/>
  <c r="H481" i="16" s="1"/>
  <c r="F482" i="16" a="1"/>
  <c r="F482" i="16" s="1"/>
  <c r="G482" i="16" a="1"/>
  <c r="G482" i="16" s="1"/>
  <c r="H482" i="16" a="1"/>
  <c r="H482" i="16" s="1"/>
  <c r="F483" i="16" a="1"/>
  <c r="F483" i="16" s="1"/>
  <c r="G483" i="16" a="1"/>
  <c r="G483" i="16" s="1"/>
  <c r="H483" i="16" a="1"/>
  <c r="H483" i="16" s="1"/>
  <c r="F484" i="16" a="1"/>
  <c r="F484" i="16" s="1"/>
  <c r="G484" i="16" a="1"/>
  <c r="G484" i="16" s="1"/>
  <c r="H484" i="16" a="1"/>
  <c r="H484" i="16" s="1"/>
  <c r="F485" i="16" a="1"/>
  <c r="F485" i="16" s="1"/>
  <c r="G485" i="16" a="1"/>
  <c r="G485" i="16" s="1"/>
  <c r="H485" i="16" a="1"/>
  <c r="H485" i="16"/>
  <c r="F486" i="16" a="1"/>
  <c r="F486" i="16" s="1"/>
  <c r="G486" i="16" a="1"/>
  <c r="G486" i="16" s="1"/>
  <c r="H486" i="16" a="1"/>
  <c r="H486" i="16" s="1"/>
  <c r="F487" i="16" a="1"/>
  <c r="F487" i="16" s="1"/>
  <c r="G487" i="16" a="1"/>
  <c r="G487" i="16"/>
  <c r="H487" i="16" a="1"/>
  <c r="H487" i="16" s="1"/>
  <c r="F488" i="16" a="1"/>
  <c r="F488" i="16" s="1"/>
  <c r="G488" i="16" a="1"/>
  <c r="G488" i="16" s="1"/>
  <c r="H488" i="16" a="1"/>
  <c r="H488" i="16" s="1"/>
  <c r="F489" i="16" a="1"/>
  <c r="F489" i="16" s="1"/>
  <c r="G489" i="16" a="1"/>
  <c r="G489" i="16" s="1"/>
  <c r="H489" i="16" a="1"/>
  <c r="H489" i="16" s="1"/>
  <c r="F490" i="16" a="1"/>
  <c r="F490" i="16" s="1"/>
  <c r="G490" i="16" a="1"/>
  <c r="G490" i="16" s="1"/>
  <c r="H490" i="16" a="1"/>
  <c r="H490" i="16" s="1"/>
  <c r="F491" i="16" a="1"/>
  <c r="F491" i="16" s="1"/>
  <c r="G491" i="16" a="1"/>
  <c r="G491" i="16" s="1"/>
  <c r="H491" i="16" a="1"/>
  <c r="H491" i="16" s="1"/>
  <c r="F492" i="16" a="1"/>
  <c r="F492" i="16" s="1"/>
  <c r="G492" i="16" a="1"/>
  <c r="G492" i="16" s="1"/>
  <c r="H492" i="16" a="1"/>
  <c r="H492" i="16" s="1"/>
  <c r="F493" i="16" a="1"/>
  <c r="F493" i="16"/>
  <c r="G493" i="16" a="1"/>
  <c r="G493" i="16"/>
  <c r="H493" i="16" a="1"/>
  <c r="H493" i="16" s="1"/>
  <c r="F494" i="16" a="1"/>
  <c r="F494" i="16" s="1"/>
  <c r="G494" i="16" a="1"/>
  <c r="G494" i="16" s="1"/>
  <c r="H494" i="16" a="1"/>
  <c r="H494" i="16" s="1"/>
  <c r="F495" i="16" a="1"/>
  <c r="F495" i="16" s="1"/>
  <c r="G495" i="16" a="1"/>
  <c r="G495" i="16" s="1"/>
  <c r="H495" i="16" a="1"/>
  <c r="H495" i="16" s="1"/>
  <c r="F496" i="16" a="1"/>
  <c r="F496" i="16" s="1"/>
  <c r="G496" i="16" a="1"/>
  <c r="G496" i="16" s="1"/>
  <c r="H496" i="16" a="1"/>
  <c r="H496" i="16" s="1"/>
  <c r="F497" i="16" a="1"/>
  <c r="F497" i="16"/>
  <c r="G497" i="16" a="1"/>
  <c r="G497" i="16" s="1"/>
  <c r="H497" i="16" a="1"/>
  <c r="H497" i="16" s="1"/>
  <c r="F498" i="16" a="1"/>
  <c r="F498" i="16"/>
  <c r="G498" i="16" a="1"/>
  <c r="G498" i="16" s="1"/>
  <c r="H498" i="16" a="1"/>
  <c r="H498" i="16" s="1"/>
  <c r="F499" i="16" a="1"/>
  <c r="F499" i="16" s="1"/>
  <c r="G499" i="16" a="1"/>
  <c r="G499" i="16" s="1"/>
  <c r="H499" i="16" a="1"/>
  <c r="H499" i="16"/>
  <c r="F500" i="16" a="1"/>
  <c r="F500" i="16" s="1"/>
  <c r="G500" i="16" a="1"/>
  <c r="G500" i="16"/>
  <c r="H500" i="16" a="1"/>
  <c r="H500" i="16" s="1"/>
  <c r="F501" i="16" a="1"/>
  <c r="F501" i="16" s="1"/>
  <c r="G501" i="16" a="1"/>
  <c r="G501" i="16" s="1"/>
  <c r="H501" i="16" a="1"/>
  <c r="H501" i="16" s="1"/>
  <c r="F502" i="16" a="1"/>
  <c r="F502" i="16" s="1"/>
  <c r="G502" i="16" a="1"/>
  <c r="G502" i="16" s="1"/>
  <c r="H502" i="16" a="1"/>
  <c r="H502" i="16" s="1"/>
  <c r="F503" i="16" a="1"/>
  <c r="F503" i="16"/>
  <c r="G503" i="16" a="1"/>
  <c r="G503" i="16" s="1"/>
  <c r="H503" i="16" a="1"/>
  <c r="H503" i="16" s="1"/>
  <c r="F504" i="16" a="1"/>
  <c r="F504" i="16" s="1"/>
  <c r="G504" i="16" a="1"/>
  <c r="G504" i="16" s="1"/>
  <c r="H504" i="16" a="1"/>
  <c r="H504" i="16" s="1"/>
  <c r="F505" i="16" a="1"/>
  <c r="F505" i="16" s="1"/>
  <c r="G505" i="16" a="1"/>
  <c r="G505" i="16" s="1"/>
  <c r="H505" i="16" a="1"/>
  <c r="H505" i="16" s="1"/>
  <c r="F506" i="16" a="1"/>
  <c r="F506" i="16" s="1"/>
  <c r="G506" i="16" a="1"/>
  <c r="G506" i="16" s="1"/>
  <c r="H506" i="16" a="1"/>
  <c r="H506" i="16"/>
  <c r="F507" i="16" a="1"/>
  <c r="F507" i="16"/>
  <c r="G507" i="16" a="1"/>
  <c r="G507" i="16" s="1"/>
  <c r="H507" i="16" a="1"/>
  <c r="H507" i="16" s="1"/>
  <c r="F508" i="16" a="1"/>
  <c r="F508" i="16" s="1"/>
  <c r="G508" i="16" a="1"/>
  <c r="G508" i="16" s="1"/>
  <c r="H508" i="16" a="1"/>
  <c r="H508" i="16" s="1"/>
  <c r="F509" i="16" a="1"/>
  <c r="F509" i="16"/>
  <c r="G509" i="16" a="1"/>
  <c r="G509" i="16" s="1"/>
  <c r="H509" i="16" a="1"/>
  <c r="H509" i="16"/>
  <c r="F510" i="16" a="1"/>
  <c r="F510" i="16" s="1"/>
  <c r="G510" i="16" a="1"/>
  <c r="G510" i="16" s="1"/>
  <c r="H510" i="16" a="1"/>
  <c r="H510" i="16" s="1"/>
  <c r="F511" i="16" a="1"/>
  <c r="F511" i="16" s="1"/>
  <c r="G511" i="16" a="1"/>
  <c r="G511" i="16"/>
  <c r="H511" i="16" a="1"/>
  <c r="H511" i="16" s="1"/>
  <c r="F512" i="16" a="1"/>
  <c r="F512" i="16" s="1"/>
  <c r="G512" i="16" a="1"/>
  <c r="G512" i="16" s="1"/>
  <c r="H512" i="16" a="1"/>
  <c r="H512" i="16" s="1"/>
  <c r="F513" i="16" a="1"/>
  <c r="F513" i="16" s="1"/>
  <c r="G513" i="16" a="1"/>
  <c r="G513" i="16" s="1"/>
  <c r="H513" i="16" a="1"/>
  <c r="H513" i="16" s="1"/>
  <c r="F514" i="16" a="1"/>
  <c r="F514" i="16"/>
  <c r="G514" i="16" a="1"/>
  <c r="G514" i="16" s="1"/>
  <c r="H514" i="16" a="1"/>
  <c r="H514" i="16"/>
  <c r="F515" i="16" a="1"/>
  <c r="F515" i="16" s="1"/>
  <c r="G515" i="16" a="1"/>
  <c r="G515" i="16" s="1"/>
  <c r="H515" i="16" a="1"/>
  <c r="H515" i="16" s="1"/>
  <c r="X8" i="16" a="1"/>
  <c r="X8" i="16" s="1"/>
  <c r="AB73" i="16" a="1"/>
  <c r="AB73" i="16" s="1"/>
  <c r="AB74" i="16" a="1"/>
  <c r="AB74" i="16"/>
  <c r="AB75" i="16" a="1"/>
  <c r="AB75" i="16"/>
  <c r="AB76" i="16" a="1"/>
  <c r="AB76" i="16" s="1"/>
  <c r="AB77" i="16" a="1"/>
  <c r="AB77" i="16" s="1"/>
  <c r="AB78" i="16" a="1"/>
  <c r="AB78" i="16" s="1"/>
  <c r="AB79" i="16" a="1"/>
  <c r="AB79" i="16" s="1"/>
  <c r="AB47" i="16" a="1"/>
  <c r="AB47" i="16" s="1"/>
  <c r="AB48" i="16" a="1"/>
  <c r="AB48" i="16"/>
  <c r="AB49" i="16" a="1"/>
  <c r="AB49" i="16"/>
  <c r="AB50" i="16" a="1"/>
  <c r="AB50" i="16" s="1"/>
  <c r="AB51" i="16" a="1"/>
  <c r="AB51" i="16" s="1"/>
  <c r="AB52" i="16" a="1"/>
  <c r="AB52" i="16" s="1"/>
  <c r="AB53" i="16" a="1"/>
  <c r="AB53" i="16"/>
  <c r="AB54" i="16" a="1"/>
  <c r="AB54" i="16"/>
  <c r="AB55" i="16" a="1"/>
  <c r="AB55" i="16" s="1"/>
  <c r="AB56" i="16" a="1"/>
  <c r="AB56" i="16" s="1"/>
  <c r="AB57" i="16" a="1"/>
  <c r="AB57" i="16" s="1"/>
  <c r="AB58" i="16" a="1"/>
  <c r="AB58" i="16" s="1"/>
  <c r="AB59" i="16" a="1"/>
  <c r="AB59" i="16" s="1"/>
  <c r="AB60" i="16" a="1"/>
  <c r="AB60" i="16" s="1"/>
  <c r="AB61" i="16" a="1"/>
  <c r="AB61" i="16" s="1"/>
  <c r="AB62" i="16" a="1"/>
  <c r="AB62" i="16" s="1"/>
  <c r="AB63" i="16" a="1"/>
  <c r="AB63" i="16"/>
  <c r="AB64" i="16" a="1"/>
  <c r="AB64" i="16" s="1"/>
  <c r="AB65" i="16" a="1"/>
  <c r="AB65" i="16" s="1"/>
  <c r="AB66" i="16" a="1"/>
  <c r="AB66" i="16" s="1"/>
  <c r="AB67" i="16" a="1"/>
  <c r="AB67" i="16" s="1"/>
  <c r="AB68" i="16" a="1"/>
  <c r="AB68" i="16" s="1"/>
  <c r="AB69" i="16" a="1"/>
  <c r="AB69" i="16" s="1"/>
  <c r="AB70" i="16" a="1"/>
  <c r="AB70" i="16" s="1"/>
  <c r="AB33" i="16" a="1"/>
  <c r="AB33" i="16" s="1"/>
  <c r="AB34" i="16" a="1"/>
  <c r="AB34" i="16"/>
  <c r="AB35" i="16" a="1"/>
  <c r="AB35" i="16" s="1"/>
  <c r="AB36" i="16" a="1"/>
  <c r="AB36" i="16"/>
  <c r="AB37" i="16" a="1"/>
  <c r="AB37" i="16" s="1"/>
  <c r="AB38" i="16" a="1"/>
  <c r="AB38" i="16" s="1"/>
  <c r="AB39" i="16" a="1"/>
  <c r="AB39" i="16" s="1"/>
  <c r="AB40" i="16" a="1"/>
  <c r="AB40" i="16" s="1"/>
  <c r="AB41" i="16" a="1"/>
  <c r="AB41" i="16" s="1"/>
  <c r="AB42" i="16" a="1"/>
  <c r="AB42" i="16" s="1"/>
  <c r="AB43" i="16" a="1"/>
  <c r="AB43" i="16" s="1"/>
  <c r="AB44" i="16" a="1"/>
  <c r="AB44" i="16" s="1"/>
  <c r="AB24" i="16" a="1"/>
  <c r="AB24" i="16" s="1"/>
  <c r="AB25" i="16" a="1"/>
  <c r="AB25" i="16" s="1"/>
  <c r="AB26" i="16" a="1"/>
  <c r="AB26" i="16" s="1"/>
  <c r="AB27" i="16" a="1"/>
  <c r="AB27" i="16"/>
  <c r="AB28" i="16" a="1"/>
  <c r="AB28" i="16" s="1"/>
  <c r="AB29" i="16" a="1"/>
  <c r="AB29" i="16" s="1"/>
  <c r="AB30" i="16" a="1"/>
  <c r="AB30" i="16" s="1"/>
  <c r="C16" i="16" a="1"/>
  <c r="C16" i="16" s="1"/>
  <c r="E129" i="4" a="1"/>
  <c r="F129" i="4" a="1"/>
  <c r="H129" i="4" a="1"/>
  <c r="G129" i="4" a="1"/>
  <c r="C129" i="4" a="1"/>
  <c r="D129" i="4" a="1"/>
  <c r="R63" i="4" a="1"/>
  <c r="D16" i="16" l="1" a="1"/>
  <c r="D16" i="16" s="1"/>
  <c r="V16" i="16" a="1"/>
  <c r="V16" i="16" s="1"/>
  <c r="W16" i="16" a="1"/>
  <c r="W16" i="16" s="1"/>
  <c r="X16" i="16" a="1"/>
  <c r="X16" i="16" s="1"/>
  <c r="R16" i="16" a="1"/>
  <c r="R16" i="16" s="1"/>
  <c r="S16" i="16" a="1"/>
  <c r="S16" i="16" s="1"/>
  <c r="T16" i="16" a="1"/>
  <c r="T16" i="16" s="1"/>
  <c r="P16" i="16" a="1"/>
  <c r="P16" i="16" s="1"/>
  <c r="N16" i="16" a="1"/>
  <c r="N16" i="16" s="1"/>
  <c r="O16" i="16" a="1"/>
  <c r="O16" i="16" s="1"/>
  <c r="J16" i="16" a="1"/>
  <c r="J16" i="16" s="1"/>
  <c r="K16" i="16" a="1"/>
  <c r="K16" i="16" s="1"/>
  <c r="L16" i="16" a="1"/>
  <c r="L16" i="16" s="1"/>
  <c r="F16" i="16" a="1"/>
  <c r="F16" i="16" s="1"/>
  <c r="G16" i="16" a="1"/>
  <c r="G16" i="16" s="1"/>
  <c r="H16" i="16" a="1"/>
  <c r="H16" i="16" s="1"/>
  <c r="D138" i="4"/>
  <c r="D158" i="4"/>
  <c r="D178" i="4"/>
  <c r="D198" i="4"/>
  <c r="D218" i="4"/>
  <c r="D238" i="4"/>
  <c r="D258" i="4"/>
  <c r="D278" i="4"/>
  <c r="D298" i="4"/>
  <c r="D318" i="4"/>
  <c r="D338" i="4"/>
  <c r="D358" i="4"/>
  <c r="D378" i="4"/>
  <c r="D146" i="4"/>
  <c r="D166" i="4"/>
  <c r="D186" i="4"/>
  <c r="D206" i="4"/>
  <c r="D226" i="4"/>
  <c r="D246" i="4"/>
  <c r="D266" i="4"/>
  <c r="D286" i="4"/>
  <c r="D306" i="4"/>
  <c r="D326" i="4"/>
  <c r="D346" i="4"/>
  <c r="D366" i="4"/>
  <c r="D134" i="4"/>
  <c r="D156" i="4"/>
  <c r="D179" i="4"/>
  <c r="D201" i="4"/>
  <c r="D223" i="4"/>
  <c r="D245" i="4"/>
  <c r="D268" i="4"/>
  <c r="D290" i="4"/>
  <c r="D312" i="4"/>
  <c r="D334" i="4"/>
  <c r="D356" i="4"/>
  <c r="D379" i="4"/>
  <c r="D135" i="4"/>
  <c r="D247" i="4"/>
  <c r="D313" i="4"/>
  <c r="D357" i="4"/>
  <c r="D203" i="4"/>
  <c r="D314" i="4"/>
  <c r="D157" i="4"/>
  <c r="D180" i="4"/>
  <c r="D202" i="4"/>
  <c r="D224" i="4"/>
  <c r="D269" i="4"/>
  <c r="D291" i="4"/>
  <c r="D335" i="4"/>
  <c r="D136" i="4"/>
  <c r="D159" i="4"/>
  <c r="D181" i="4"/>
  <c r="D225" i="4"/>
  <c r="D248" i="4"/>
  <c r="D270" i="4"/>
  <c r="D292" i="4"/>
  <c r="D336" i="4"/>
  <c r="D359" i="4"/>
  <c r="D137" i="4"/>
  <c r="D160" i="4"/>
  <c r="D182" i="4"/>
  <c r="D204" i="4"/>
  <c r="D227" i="4"/>
  <c r="D249" i="4"/>
  <c r="D271" i="4"/>
  <c r="D293" i="4"/>
  <c r="D315" i="4"/>
  <c r="D337" i="4"/>
  <c r="D147" i="4"/>
  <c r="D173" i="4"/>
  <c r="D200" i="4"/>
  <c r="D231" i="4"/>
  <c r="D257" i="4"/>
  <c r="D284" i="4"/>
  <c r="D311" i="4"/>
  <c r="D342" i="4"/>
  <c r="D368" i="4"/>
  <c r="D235" i="4"/>
  <c r="D347" i="4"/>
  <c r="D236" i="4"/>
  <c r="D321" i="4"/>
  <c r="D148" i="4"/>
  <c r="D174" i="4"/>
  <c r="D205" i="4"/>
  <c r="D232" i="4"/>
  <c r="D259" i="4"/>
  <c r="D285" i="4"/>
  <c r="D316" i="4"/>
  <c r="D343" i="4"/>
  <c r="D369" i="4"/>
  <c r="D370" i="4"/>
  <c r="D150" i="4"/>
  <c r="D345" i="4"/>
  <c r="D151" i="4"/>
  <c r="D262" i="4"/>
  <c r="D372" i="4"/>
  <c r="D183" i="4"/>
  <c r="D294" i="4"/>
  <c r="D149" i="4"/>
  <c r="D175" i="4"/>
  <c r="D207" i="4"/>
  <c r="D233" i="4"/>
  <c r="D260" i="4"/>
  <c r="D287" i="4"/>
  <c r="D317" i="4"/>
  <c r="D344" i="4"/>
  <c r="D176" i="4"/>
  <c r="D319" i="4"/>
  <c r="D209" i="4"/>
  <c r="D289" i="4"/>
  <c r="D263" i="4"/>
  <c r="D348" i="4"/>
  <c r="D208" i="4"/>
  <c r="D234" i="4"/>
  <c r="D261" i="4"/>
  <c r="D288" i="4"/>
  <c r="D371" i="4"/>
  <c r="D177" i="4"/>
  <c r="D320" i="4"/>
  <c r="D210" i="4"/>
  <c r="D373" i="4"/>
  <c r="D152" i="4"/>
  <c r="D131" i="4"/>
  <c r="D169" i="4"/>
  <c r="D213" i="4"/>
  <c r="D251" i="4"/>
  <c r="D295" i="4"/>
  <c r="D329" i="4"/>
  <c r="D365" i="4"/>
  <c r="D254" i="4"/>
  <c r="D255" i="4"/>
  <c r="D301" i="4"/>
  <c r="D340" i="4"/>
  <c r="D221" i="4"/>
  <c r="D144" i="4"/>
  <c r="D349" i="4"/>
  <c r="D154" i="4"/>
  <c r="D353" i="4"/>
  <c r="D276" i="4"/>
  <c r="D132" i="4"/>
  <c r="D170" i="4"/>
  <c r="D214" i="4"/>
  <c r="D252" i="4"/>
  <c r="D296" i="4"/>
  <c r="D330" i="4"/>
  <c r="D367" i="4"/>
  <c r="D216" i="4"/>
  <c r="D376" i="4"/>
  <c r="D219" i="4"/>
  <c r="D220" i="4"/>
  <c r="D304" i="4"/>
  <c r="D191" i="4"/>
  <c r="D192" i="4"/>
  <c r="D193" i="4"/>
  <c r="D133" i="4"/>
  <c r="D171" i="4"/>
  <c r="D215" i="4"/>
  <c r="D253" i="4"/>
  <c r="D297" i="4"/>
  <c r="D331" i="4"/>
  <c r="D374" i="4"/>
  <c r="D172" i="4"/>
  <c r="D332" i="4"/>
  <c r="D375" i="4"/>
  <c r="D333" i="4"/>
  <c r="D256" i="4"/>
  <c r="D264" i="4"/>
  <c r="D143" i="4"/>
  <c r="D341" i="4"/>
  <c r="D189" i="4"/>
  <c r="D229" i="4"/>
  <c r="D230" i="4"/>
  <c r="D155" i="4"/>
  <c r="D161" i="4"/>
  <c r="D139" i="4"/>
  <c r="D299" i="4"/>
  <c r="D141" i="4"/>
  <c r="D377" i="4"/>
  <c r="D187" i="4"/>
  <c r="D188" i="4"/>
  <c r="D303" i="4"/>
  <c r="D222" i="4"/>
  <c r="D351" i="4"/>
  <c r="D308" i="4"/>
  <c r="D237" i="4"/>
  <c r="D239" i="4"/>
  <c r="D140" i="4"/>
  <c r="D184" i="4"/>
  <c r="D217" i="4"/>
  <c r="D300" i="4"/>
  <c r="D185" i="4"/>
  <c r="D339" i="4"/>
  <c r="D142" i="4"/>
  <c r="D302" i="4"/>
  <c r="D265" i="4"/>
  <c r="D267" i="4"/>
  <c r="D153" i="4"/>
  <c r="D274" i="4"/>
  <c r="D275" i="4"/>
  <c r="D145" i="4"/>
  <c r="D190" i="4"/>
  <c r="D228" i="4"/>
  <c r="D272" i="4"/>
  <c r="D305" i="4"/>
  <c r="D350" i="4"/>
  <c r="D273" i="4"/>
  <c r="D307" i="4"/>
  <c r="D352" i="4"/>
  <c r="D309" i="4"/>
  <c r="D194" i="4"/>
  <c r="D197" i="4"/>
  <c r="D325" i="4"/>
  <c r="D199" i="4"/>
  <c r="D327" i="4"/>
  <c r="D355" i="4"/>
  <c r="D360" i="4"/>
  <c r="D242" i="4"/>
  <c r="D363" i="4"/>
  <c r="D195" i="4"/>
  <c r="D211" i="4"/>
  <c r="D328" i="4"/>
  <c r="D354" i="4"/>
  <c r="D240" i="4"/>
  <c r="D241" i="4"/>
  <c r="D243" i="4"/>
  <c r="D244" i="4"/>
  <c r="D129" i="4"/>
  <c r="D130" i="4"/>
  <c r="D162" i="4"/>
  <c r="D281" i="4"/>
  <c r="D310" i="4"/>
  <c r="D196" i="4"/>
  <c r="D212" i="4"/>
  <c r="D250" i="4"/>
  <c r="D279" i="4"/>
  <c r="D280" i="4"/>
  <c r="D163" i="4"/>
  <c r="D282" i="4"/>
  <c r="D165" i="4"/>
  <c r="D322" i="4"/>
  <c r="D323" i="4"/>
  <c r="D324" i="4"/>
  <c r="D361" i="4"/>
  <c r="D362" i="4"/>
  <c r="D364" i="4"/>
  <c r="D277" i="4"/>
  <c r="D164" i="4"/>
  <c r="D283" i="4"/>
  <c r="D167" i="4"/>
  <c r="D168" i="4"/>
  <c r="C136" i="4"/>
  <c r="C156" i="4"/>
  <c r="C176" i="4"/>
  <c r="C196" i="4"/>
  <c r="C216" i="4"/>
  <c r="C236" i="4"/>
  <c r="C256" i="4"/>
  <c r="C276" i="4"/>
  <c r="C296" i="4"/>
  <c r="C316" i="4"/>
  <c r="C336" i="4"/>
  <c r="C356" i="4"/>
  <c r="C376" i="4"/>
  <c r="C144" i="4"/>
  <c r="C164" i="4"/>
  <c r="C184" i="4"/>
  <c r="C204" i="4"/>
  <c r="C224" i="4"/>
  <c r="C244" i="4"/>
  <c r="C264" i="4"/>
  <c r="C284" i="4"/>
  <c r="C304" i="4"/>
  <c r="C324" i="4"/>
  <c r="C344" i="4"/>
  <c r="C364" i="4"/>
  <c r="C137" i="4"/>
  <c r="C159" i="4"/>
  <c r="C181" i="4"/>
  <c r="C203" i="4"/>
  <c r="C226" i="4"/>
  <c r="C248" i="4"/>
  <c r="C270" i="4"/>
  <c r="C292" i="4"/>
  <c r="C314" i="4"/>
  <c r="C337" i="4"/>
  <c r="C359" i="4"/>
  <c r="C138" i="4"/>
  <c r="C160" i="4"/>
  <c r="C182" i="4"/>
  <c r="C205" i="4"/>
  <c r="C227" i="4"/>
  <c r="C249" i="4"/>
  <c r="C271" i="4"/>
  <c r="C293" i="4"/>
  <c r="C315" i="4"/>
  <c r="C338" i="4"/>
  <c r="C360" i="4"/>
  <c r="C139" i="4"/>
  <c r="C161" i="4"/>
  <c r="C183" i="4"/>
  <c r="C206" i="4"/>
  <c r="C228" i="4"/>
  <c r="C250" i="4"/>
  <c r="C272" i="4"/>
  <c r="C294" i="4"/>
  <c r="C317" i="4"/>
  <c r="C339" i="4"/>
  <c r="C361" i="4"/>
  <c r="C140" i="4"/>
  <c r="C162" i="4"/>
  <c r="C185" i="4"/>
  <c r="C207" i="4"/>
  <c r="C229" i="4"/>
  <c r="C251" i="4"/>
  <c r="C273" i="4"/>
  <c r="C295" i="4"/>
  <c r="C318" i="4"/>
  <c r="C340" i="4"/>
  <c r="C362" i="4"/>
  <c r="C141" i="4"/>
  <c r="C163" i="4"/>
  <c r="C186" i="4"/>
  <c r="C208" i="4"/>
  <c r="C230" i="4"/>
  <c r="C252" i="4"/>
  <c r="C274" i="4"/>
  <c r="C297" i="4"/>
  <c r="C319" i="4"/>
  <c r="C341" i="4"/>
  <c r="C363" i="4"/>
  <c r="C131" i="4"/>
  <c r="C165" i="4"/>
  <c r="C192" i="4"/>
  <c r="C220" i="4"/>
  <c r="C253" i="4"/>
  <c r="C281" i="4"/>
  <c r="C309" i="4"/>
  <c r="C342" i="4"/>
  <c r="C370" i="4"/>
  <c r="C198" i="4"/>
  <c r="C348" i="4"/>
  <c r="C143" i="4"/>
  <c r="C321" i="4"/>
  <c r="C132" i="4"/>
  <c r="C166" i="4"/>
  <c r="C193" i="4"/>
  <c r="C221" i="4"/>
  <c r="C254" i="4"/>
  <c r="C282" i="4"/>
  <c r="C310" i="4"/>
  <c r="C343" i="4"/>
  <c r="C371" i="4"/>
  <c r="C142" i="4"/>
  <c r="C259" i="4"/>
  <c r="C375" i="4"/>
  <c r="C232" i="4"/>
  <c r="C377" i="4"/>
  <c r="C133" i="4"/>
  <c r="C167" i="4"/>
  <c r="C194" i="4"/>
  <c r="C222" i="4"/>
  <c r="C255" i="4"/>
  <c r="C283" i="4"/>
  <c r="C311" i="4"/>
  <c r="C345" i="4"/>
  <c r="C372" i="4"/>
  <c r="C170" i="4"/>
  <c r="C320" i="4"/>
  <c r="C260" i="4"/>
  <c r="C134" i="4"/>
  <c r="C168" i="4"/>
  <c r="C195" i="4"/>
  <c r="C223" i="4"/>
  <c r="C257" i="4"/>
  <c r="C285" i="4"/>
  <c r="C312" i="4"/>
  <c r="C346" i="4"/>
  <c r="C373" i="4"/>
  <c r="C231" i="4"/>
  <c r="C287" i="4"/>
  <c r="C199" i="4"/>
  <c r="C349" i="4"/>
  <c r="C135" i="4"/>
  <c r="C169" i="4"/>
  <c r="C197" i="4"/>
  <c r="C225" i="4"/>
  <c r="C258" i="4"/>
  <c r="C286" i="4"/>
  <c r="C313" i="4"/>
  <c r="C347" i="4"/>
  <c r="C374" i="4"/>
  <c r="C171" i="4"/>
  <c r="C288" i="4"/>
  <c r="C147" i="4"/>
  <c r="C174" i="4"/>
  <c r="C202" i="4"/>
  <c r="C235" i="4"/>
  <c r="C263" i="4"/>
  <c r="C291" i="4"/>
  <c r="C325" i="4"/>
  <c r="C352" i="4"/>
  <c r="C150" i="4"/>
  <c r="C200" i="4"/>
  <c r="C243" i="4"/>
  <c r="C300" i="4"/>
  <c r="C350" i="4"/>
  <c r="C212" i="4"/>
  <c r="C358" i="4"/>
  <c r="C308" i="4"/>
  <c r="C322" i="4"/>
  <c r="C277" i="4"/>
  <c r="C179" i="4"/>
  <c r="C151" i="4"/>
  <c r="C201" i="4"/>
  <c r="C245" i="4"/>
  <c r="C301" i="4"/>
  <c r="C351" i="4"/>
  <c r="C307" i="4"/>
  <c r="C214" i="4"/>
  <c r="C172" i="4"/>
  <c r="C233" i="4"/>
  <c r="C278" i="4"/>
  <c r="C152" i="4"/>
  <c r="C209" i="4"/>
  <c r="C246" i="4"/>
  <c r="C302" i="4"/>
  <c r="C353" i="4"/>
  <c r="C262" i="4"/>
  <c r="C266" i="4"/>
  <c r="C267" i="4"/>
  <c r="C327" i="4"/>
  <c r="C178" i="4"/>
  <c r="C378" i="4"/>
  <c r="C329" i="4"/>
  <c r="C153" i="4"/>
  <c r="C210" i="4"/>
  <c r="C247" i="4"/>
  <c r="C303" i="4"/>
  <c r="C354" i="4"/>
  <c r="C357" i="4"/>
  <c r="C157" i="4"/>
  <c r="C265" i="4"/>
  <c r="C366" i="4"/>
  <c r="C175" i="4"/>
  <c r="C328" i="4"/>
  <c r="C379" i="4"/>
  <c r="C154" i="4"/>
  <c r="C211" i="4"/>
  <c r="C261" i="4"/>
  <c r="C305" i="4"/>
  <c r="C355" i="4"/>
  <c r="C155" i="4"/>
  <c r="C306" i="4"/>
  <c r="C213" i="4"/>
  <c r="C158" i="4"/>
  <c r="C365" i="4"/>
  <c r="C215" i="4"/>
  <c r="C177" i="4"/>
  <c r="C219" i="4"/>
  <c r="C369" i="4"/>
  <c r="C173" i="4"/>
  <c r="C217" i="4"/>
  <c r="C268" i="4"/>
  <c r="C323" i="4"/>
  <c r="C367" i="4"/>
  <c r="C218" i="4"/>
  <c r="C269" i="4"/>
  <c r="C326" i="4"/>
  <c r="C368" i="4"/>
  <c r="C275" i="4"/>
  <c r="C234" i="4"/>
  <c r="C241" i="4"/>
  <c r="C242" i="4"/>
  <c r="C289" i="4"/>
  <c r="C130" i="4"/>
  <c r="C298" i="4"/>
  <c r="C279" i="4"/>
  <c r="C290" i="4"/>
  <c r="C145" i="4"/>
  <c r="C299" i="4"/>
  <c r="C149" i="4"/>
  <c r="C333" i="4"/>
  <c r="C188" i="4"/>
  <c r="C189" i="4"/>
  <c r="C190" i="4"/>
  <c r="C240" i="4"/>
  <c r="C280" i="4"/>
  <c r="C146" i="4"/>
  <c r="C330" i="4"/>
  <c r="C332" i="4"/>
  <c r="C334" i="4"/>
  <c r="C335" i="4"/>
  <c r="C237" i="4"/>
  <c r="C239" i="4"/>
  <c r="C129" i="4"/>
  <c r="C148" i="4"/>
  <c r="C331" i="4"/>
  <c r="C180" i="4"/>
  <c r="C187" i="4"/>
  <c r="C191" i="4"/>
  <c r="C238" i="4"/>
  <c r="G144" i="4"/>
  <c r="G164" i="4"/>
  <c r="G184" i="4"/>
  <c r="G204" i="4"/>
  <c r="G224" i="4"/>
  <c r="G244" i="4"/>
  <c r="G264" i="4"/>
  <c r="G284" i="4"/>
  <c r="G304" i="4"/>
  <c r="G324" i="4"/>
  <c r="G344" i="4"/>
  <c r="G364" i="4"/>
  <c r="G132" i="4"/>
  <c r="G152" i="4"/>
  <c r="G172" i="4"/>
  <c r="G192" i="4"/>
  <c r="G212" i="4"/>
  <c r="G232" i="4"/>
  <c r="G252" i="4"/>
  <c r="G272" i="4"/>
  <c r="G292" i="4"/>
  <c r="G312" i="4"/>
  <c r="G332" i="4"/>
  <c r="G352" i="4"/>
  <c r="G372" i="4"/>
  <c r="G129" i="4"/>
  <c r="G151" i="4"/>
  <c r="G174" i="4"/>
  <c r="G196" i="4"/>
  <c r="G218" i="4"/>
  <c r="G240" i="4"/>
  <c r="G262" i="4"/>
  <c r="G285" i="4"/>
  <c r="G307" i="4"/>
  <c r="G329" i="4"/>
  <c r="G351" i="4"/>
  <c r="G374" i="4"/>
  <c r="G130" i="4"/>
  <c r="G153" i="4"/>
  <c r="G175" i="4"/>
  <c r="G197" i="4"/>
  <c r="G219" i="4"/>
  <c r="G241" i="4"/>
  <c r="G263" i="4"/>
  <c r="G286" i="4"/>
  <c r="G308" i="4"/>
  <c r="G330" i="4"/>
  <c r="G353" i="4"/>
  <c r="G375" i="4"/>
  <c r="G131" i="4"/>
  <c r="G154" i="4"/>
  <c r="G176" i="4"/>
  <c r="G198" i="4"/>
  <c r="G220" i="4"/>
  <c r="G242" i="4"/>
  <c r="G265" i="4"/>
  <c r="G287" i="4"/>
  <c r="G309" i="4"/>
  <c r="G331" i="4"/>
  <c r="G354" i="4"/>
  <c r="G376" i="4"/>
  <c r="G133" i="4"/>
  <c r="G155" i="4"/>
  <c r="G177" i="4"/>
  <c r="G199" i="4"/>
  <c r="G221" i="4"/>
  <c r="G243" i="4"/>
  <c r="G266" i="4"/>
  <c r="G288" i="4"/>
  <c r="G310" i="4"/>
  <c r="G333" i="4"/>
  <c r="G355" i="4"/>
  <c r="G377" i="4"/>
  <c r="G134" i="4"/>
  <c r="G156" i="4"/>
  <c r="G178" i="4"/>
  <c r="G200" i="4"/>
  <c r="G222" i="4"/>
  <c r="G146" i="4"/>
  <c r="G179" i="4"/>
  <c r="G207" i="4"/>
  <c r="G235" i="4"/>
  <c r="G261" i="4"/>
  <c r="G293" i="4"/>
  <c r="G319" i="4"/>
  <c r="G346" i="4"/>
  <c r="G373" i="4"/>
  <c r="G245" i="4"/>
  <c r="G214" i="4"/>
  <c r="G147" i="4"/>
  <c r="G180" i="4"/>
  <c r="G208" i="4"/>
  <c r="G236" i="4"/>
  <c r="G267" i="4"/>
  <c r="G294" i="4"/>
  <c r="G320" i="4"/>
  <c r="G347" i="4"/>
  <c r="G378" i="4"/>
  <c r="G213" i="4"/>
  <c r="G325" i="4"/>
  <c r="G148" i="4"/>
  <c r="G181" i="4"/>
  <c r="G209" i="4"/>
  <c r="G237" i="4"/>
  <c r="G268" i="4"/>
  <c r="G295" i="4"/>
  <c r="G321" i="4"/>
  <c r="G348" i="4"/>
  <c r="G379" i="4"/>
  <c r="G185" i="4"/>
  <c r="G298" i="4"/>
  <c r="G158" i="4"/>
  <c r="G299" i="4"/>
  <c r="G149" i="4"/>
  <c r="G182" i="4"/>
  <c r="G210" i="4"/>
  <c r="G238" i="4"/>
  <c r="G269" i="4"/>
  <c r="G296" i="4"/>
  <c r="G322" i="4"/>
  <c r="G349" i="4"/>
  <c r="G380" i="4"/>
  <c r="G157" i="4"/>
  <c r="G271" i="4"/>
  <c r="G356" i="4"/>
  <c r="G246" i="4"/>
  <c r="G150" i="4"/>
  <c r="G183" i="4"/>
  <c r="G211" i="4"/>
  <c r="G239" i="4"/>
  <c r="G270" i="4"/>
  <c r="G297" i="4"/>
  <c r="G323" i="4"/>
  <c r="G350" i="4"/>
  <c r="G186" i="4"/>
  <c r="G326" i="4"/>
  <c r="G141" i="4"/>
  <c r="G190" i="4"/>
  <c r="G231" i="4"/>
  <c r="G277" i="4"/>
  <c r="G316" i="4"/>
  <c r="G361" i="4"/>
  <c r="G201" i="4"/>
  <c r="G368" i="4"/>
  <c r="G289" i="4"/>
  <c r="G253" i="4"/>
  <c r="G167" i="4"/>
  <c r="G302" i="4"/>
  <c r="G169" i="4"/>
  <c r="G342" i="4"/>
  <c r="G142" i="4"/>
  <c r="G191" i="4"/>
  <c r="G233" i="4"/>
  <c r="G278" i="4"/>
  <c r="G317" i="4"/>
  <c r="G362" i="4"/>
  <c r="G365" i="4"/>
  <c r="G160" i="4"/>
  <c r="G283" i="4"/>
  <c r="G336" i="4"/>
  <c r="G163" i="4"/>
  <c r="G216" i="4"/>
  <c r="G217" i="4"/>
  <c r="G258" i="4"/>
  <c r="G143" i="4"/>
  <c r="G193" i="4"/>
  <c r="G234" i="4"/>
  <c r="G279" i="4"/>
  <c r="G318" i="4"/>
  <c r="G363" i="4"/>
  <c r="G282" i="4"/>
  <c r="G202" i="4"/>
  <c r="G203" i="4"/>
  <c r="G290" i="4"/>
  <c r="G301" i="4"/>
  <c r="G303" i="4"/>
  <c r="G145" i="4"/>
  <c r="G194" i="4"/>
  <c r="G247" i="4"/>
  <c r="G280" i="4"/>
  <c r="G327" i="4"/>
  <c r="G367" i="4"/>
  <c r="G250" i="4"/>
  <c r="G162" i="4"/>
  <c r="G369" i="4"/>
  <c r="G337" i="4"/>
  <c r="G256" i="4"/>
  <c r="G341" i="4"/>
  <c r="G159" i="4"/>
  <c r="G195" i="4"/>
  <c r="G248" i="4"/>
  <c r="G281" i="4"/>
  <c r="G328" i="4"/>
  <c r="G366" i="4"/>
  <c r="G249" i="4"/>
  <c r="G334" i="4"/>
  <c r="G161" i="4"/>
  <c r="G335" i="4"/>
  <c r="G251" i="4"/>
  <c r="G205" i="4"/>
  <c r="G370" i="4"/>
  <c r="G340" i="4"/>
  <c r="G257" i="4"/>
  <c r="G165" i="4"/>
  <c r="G206" i="4"/>
  <c r="G254" i="4"/>
  <c r="G291" i="4"/>
  <c r="G338" i="4"/>
  <c r="G371" i="4"/>
  <c r="G166" i="4"/>
  <c r="G215" i="4"/>
  <c r="G255" i="4"/>
  <c r="G300" i="4"/>
  <c r="G339" i="4"/>
  <c r="G168" i="4"/>
  <c r="G223" i="4"/>
  <c r="G170" i="4"/>
  <c r="G311" i="4"/>
  <c r="G171" i="4"/>
  <c r="G313" i="4"/>
  <c r="G226" i="4"/>
  <c r="G228" i="4"/>
  <c r="G276" i="4"/>
  <c r="G139" i="4"/>
  <c r="G306" i="4"/>
  <c r="G173" i="4"/>
  <c r="G314" i="4"/>
  <c r="G188" i="4"/>
  <c r="G345" i="4"/>
  <c r="G358" i="4"/>
  <c r="G227" i="4"/>
  <c r="G359" i="4"/>
  <c r="G229" i="4"/>
  <c r="G230" i="4"/>
  <c r="G259" i="4"/>
  <c r="G275" i="4"/>
  <c r="G305" i="4"/>
  <c r="G187" i="4"/>
  <c r="G315" i="4"/>
  <c r="G189" i="4"/>
  <c r="G225" i="4"/>
  <c r="G260" i="4"/>
  <c r="G136" i="4"/>
  <c r="G138" i="4"/>
  <c r="G343" i="4"/>
  <c r="G357" i="4"/>
  <c r="G360" i="4"/>
  <c r="G135" i="4"/>
  <c r="G273" i="4"/>
  <c r="G274" i="4"/>
  <c r="G137" i="4"/>
  <c r="G140" i="4"/>
  <c r="H131" i="4"/>
  <c r="H151" i="4"/>
  <c r="H171" i="4"/>
  <c r="H191" i="4"/>
  <c r="H211" i="4"/>
  <c r="H231" i="4"/>
  <c r="H251" i="4"/>
  <c r="H271" i="4"/>
  <c r="H291" i="4"/>
  <c r="H311" i="4"/>
  <c r="H331" i="4"/>
  <c r="H351" i="4"/>
  <c r="H371" i="4"/>
  <c r="H139" i="4"/>
  <c r="H159" i="4"/>
  <c r="H179" i="4"/>
  <c r="H199" i="4"/>
  <c r="H219" i="4"/>
  <c r="H239" i="4"/>
  <c r="H259" i="4"/>
  <c r="H279" i="4"/>
  <c r="H299" i="4"/>
  <c r="H319" i="4"/>
  <c r="H339" i="4"/>
  <c r="H359" i="4"/>
  <c r="H379" i="4"/>
  <c r="H143" i="4"/>
  <c r="H165" i="4"/>
  <c r="H187" i="4"/>
  <c r="H209" i="4"/>
  <c r="H232" i="4"/>
  <c r="H254" i="4"/>
  <c r="H276" i="4"/>
  <c r="H298" i="4"/>
  <c r="H321" i="4"/>
  <c r="H343" i="4"/>
  <c r="H365" i="4"/>
  <c r="H144" i="4"/>
  <c r="H166" i="4"/>
  <c r="H188" i="4"/>
  <c r="H210" i="4"/>
  <c r="H233" i="4"/>
  <c r="H255" i="4"/>
  <c r="H277" i="4"/>
  <c r="H300" i="4"/>
  <c r="H322" i="4"/>
  <c r="H344" i="4"/>
  <c r="H366" i="4"/>
  <c r="H145" i="4"/>
  <c r="H167" i="4"/>
  <c r="H189" i="4"/>
  <c r="H212" i="4"/>
  <c r="H234" i="4"/>
  <c r="H256" i="4"/>
  <c r="H278" i="4"/>
  <c r="H301" i="4"/>
  <c r="H323" i="4"/>
  <c r="H345" i="4"/>
  <c r="H367" i="4"/>
  <c r="H146" i="4"/>
  <c r="H168" i="4"/>
  <c r="H190" i="4"/>
  <c r="H213" i="4"/>
  <c r="H235" i="4"/>
  <c r="H257" i="4"/>
  <c r="H280" i="4"/>
  <c r="H302" i="4"/>
  <c r="H324" i="4"/>
  <c r="H346" i="4"/>
  <c r="H368" i="4"/>
  <c r="H150" i="4"/>
  <c r="H177" i="4"/>
  <c r="H204" i="4"/>
  <c r="H230" i="4"/>
  <c r="H262" i="4"/>
  <c r="H288" i="4"/>
  <c r="H315" i="4"/>
  <c r="H342" i="4"/>
  <c r="H373" i="4"/>
  <c r="H349" i="4"/>
  <c r="H182" i="4"/>
  <c r="H266" i="4"/>
  <c r="H377" i="4"/>
  <c r="H129" i="4"/>
  <c r="H241" i="4"/>
  <c r="H352" i="4"/>
  <c r="H152" i="4"/>
  <c r="H178" i="4"/>
  <c r="H205" i="4"/>
  <c r="H236" i="4"/>
  <c r="H263" i="4"/>
  <c r="H289" i="4"/>
  <c r="H316" i="4"/>
  <c r="H347" i="4"/>
  <c r="H374" i="4"/>
  <c r="H155" i="4"/>
  <c r="H293" i="4"/>
  <c r="H214" i="4"/>
  <c r="H325" i="4"/>
  <c r="H153" i="4"/>
  <c r="H180" i="4"/>
  <c r="H206" i="4"/>
  <c r="H237" i="4"/>
  <c r="H264" i="4"/>
  <c r="H290" i="4"/>
  <c r="H317" i="4"/>
  <c r="H348" i="4"/>
  <c r="H375" i="4"/>
  <c r="H208" i="4"/>
  <c r="H320" i="4"/>
  <c r="H156" i="4"/>
  <c r="H267" i="4"/>
  <c r="H378" i="4"/>
  <c r="H154" i="4"/>
  <c r="H181" i="4"/>
  <c r="H207" i="4"/>
  <c r="H238" i="4"/>
  <c r="H265" i="4"/>
  <c r="H292" i="4"/>
  <c r="H318" i="4"/>
  <c r="H376" i="4"/>
  <c r="H240" i="4"/>
  <c r="H350" i="4"/>
  <c r="H183" i="4"/>
  <c r="H294" i="4"/>
  <c r="H142" i="4"/>
  <c r="H186" i="4"/>
  <c r="H224" i="4"/>
  <c r="H268" i="4"/>
  <c r="H306" i="4"/>
  <c r="H340" i="4"/>
  <c r="H149" i="4"/>
  <c r="H158" i="4"/>
  <c r="H356" i="4"/>
  <c r="H357" i="4"/>
  <c r="H243" i="4"/>
  <c r="H200" i="4"/>
  <c r="H328" i="4"/>
  <c r="H169" i="4"/>
  <c r="H330" i="4"/>
  <c r="H332" i="4"/>
  <c r="H147" i="4"/>
  <c r="H192" i="4"/>
  <c r="H225" i="4"/>
  <c r="H269" i="4"/>
  <c r="H307" i="4"/>
  <c r="H341" i="4"/>
  <c r="H229" i="4"/>
  <c r="H160" i="4"/>
  <c r="H313" i="4"/>
  <c r="H358" i="4"/>
  <c r="H162" i="4"/>
  <c r="H360" i="4"/>
  <c r="H203" i="4"/>
  <c r="H215" i="4"/>
  <c r="H172" i="4"/>
  <c r="H369" i="4"/>
  <c r="H148" i="4"/>
  <c r="H193" i="4"/>
  <c r="H226" i="4"/>
  <c r="H270" i="4"/>
  <c r="H308" i="4"/>
  <c r="H353" i="4"/>
  <c r="H227" i="4"/>
  <c r="H274" i="4"/>
  <c r="H275" i="4"/>
  <c r="H198" i="4"/>
  <c r="H244" i="4"/>
  <c r="H247" i="4"/>
  <c r="H133" i="4"/>
  <c r="H249" i="4"/>
  <c r="H194" i="4"/>
  <c r="H272" i="4"/>
  <c r="H309" i="4"/>
  <c r="H354" i="4"/>
  <c r="H197" i="4"/>
  <c r="H281" i="4"/>
  <c r="H282" i="4"/>
  <c r="H284" i="4"/>
  <c r="H285" i="4"/>
  <c r="H286" i="4"/>
  <c r="H216" i="4"/>
  <c r="H157" i="4"/>
  <c r="H195" i="4"/>
  <c r="H228" i="4"/>
  <c r="H273" i="4"/>
  <c r="H310" i="4"/>
  <c r="H355" i="4"/>
  <c r="H196" i="4"/>
  <c r="H312" i="4"/>
  <c r="H242" i="4"/>
  <c r="H161" i="4"/>
  <c r="H314" i="4"/>
  <c r="H326" i="4"/>
  <c r="H329" i="4"/>
  <c r="H248" i="4"/>
  <c r="H163" i="4"/>
  <c r="H201" i="4"/>
  <c r="H245" i="4"/>
  <c r="H283" i="4"/>
  <c r="H327" i="4"/>
  <c r="H361" i="4"/>
  <c r="H130" i="4"/>
  <c r="H164" i="4"/>
  <c r="H202" i="4"/>
  <c r="H246" i="4"/>
  <c r="H362" i="4"/>
  <c r="H132" i="4"/>
  <c r="H363" i="4"/>
  <c r="H170" i="4"/>
  <c r="H364" i="4"/>
  <c r="H134" i="4"/>
  <c r="H287" i="4"/>
  <c r="H184" i="4"/>
  <c r="H333" i="4"/>
  <c r="H185" i="4"/>
  <c r="H334" i="4"/>
  <c r="H221" i="4"/>
  <c r="H372" i="4"/>
  <c r="H217" i="4"/>
  <c r="H335" i="4"/>
  <c r="H336" i="4"/>
  <c r="H220" i="4"/>
  <c r="H370" i="4"/>
  <c r="H252" i="4"/>
  <c r="H138" i="4"/>
  <c r="H295" i="4"/>
  <c r="H141" i="4"/>
  <c r="H173" i="4"/>
  <c r="H303" i="4"/>
  <c r="H175" i="4"/>
  <c r="H218" i="4"/>
  <c r="H337" i="4"/>
  <c r="H338" i="4"/>
  <c r="H222" i="4"/>
  <c r="H223" i="4"/>
  <c r="H250" i="4"/>
  <c r="H253" i="4"/>
  <c r="H136" i="4"/>
  <c r="H260" i="4"/>
  <c r="H140" i="4"/>
  <c r="H297" i="4"/>
  <c r="H176" i="4"/>
  <c r="H380" i="4"/>
  <c r="H135" i="4"/>
  <c r="H258" i="4"/>
  <c r="H137" i="4"/>
  <c r="H261" i="4"/>
  <c r="H296" i="4"/>
  <c r="H174" i="4"/>
  <c r="H304" i="4"/>
  <c r="H305" i="4"/>
  <c r="F146" i="4"/>
  <c r="F166" i="4"/>
  <c r="F186" i="4"/>
  <c r="F206" i="4"/>
  <c r="F226" i="4"/>
  <c r="F246" i="4"/>
  <c r="F266" i="4"/>
  <c r="F286" i="4"/>
  <c r="F306" i="4"/>
  <c r="F326" i="4"/>
  <c r="F346" i="4"/>
  <c r="F366" i="4"/>
  <c r="F134" i="4"/>
  <c r="F154" i="4"/>
  <c r="F174" i="4"/>
  <c r="F194" i="4"/>
  <c r="F214" i="4"/>
  <c r="F234" i="4"/>
  <c r="F254" i="4"/>
  <c r="F274" i="4"/>
  <c r="F294" i="4"/>
  <c r="F314" i="4"/>
  <c r="F334" i="4"/>
  <c r="F354" i="4"/>
  <c r="F374" i="4"/>
  <c r="F149" i="4"/>
  <c r="F171" i="4"/>
  <c r="F193" i="4"/>
  <c r="F216" i="4"/>
  <c r="F238" i="4"/>
  <c r="F260" i="4"/>
  <c r="F282" i="4"/>
  <c r="F304" i="4"/>
  <c r="F327" i="4"/>
  <c r="F349" i="4"/>
  <c r="F371" i="4"/>
  <c r="F150" i="4"/>
  <c r="F172" i="4"/>
  <c r="F195" i="4"/>
  <c r="F217" i="4"/>
  <c r="F239" i="4"/>
  <c r="F261" i="4"/>
  <c r="F283" i="4"/>
  <c r="F305" i="4"/>
  <c r="F328" i="4"/>
  <c r="F350" i="4"/>
  <c r="F372" i="4"/>
  <c r="F151" i="4"/>
  <c r="F140" i="4"/>
  <c r="F165" i="4"/>
  <c r="F190" i="4"/>
  <c r="F215" i="4"/>
  <c r="F241" i="4"/>
  <c r="F265" i="4"/>
  <c r="F290" i="4"/>
  <c r="F315" i="4"/>
  <c r="F339" i="4"/>
  <c r="F363" i="4"/>
  <c r="F242" i="4"/>
  <c r="F291" i="4"/>
  <c r="F364" i="4"/>
  <c r="F142" i="4"/>
  <c r="F243" i="4"/>
  <c r="F317" i="4"/>
  <c r="F143" i="4"/>
  <c r="F269" i="4"/>
  <c r="F144" i="4"/>
  <c r="F245" i="4"/>
  <c r="F343" i="4"/>
  <c r="F173" i="4"/>
  <c r="F271" i="4"/>
  <c r="F141" i="4"/>
  <c r="F167" i="4"/>
  <c r="F191" i="4"/>
  <c r="F218" i="4"/>
  <c r="F267" i="4"/>
  <c r="F316" i="4"/>
  <c r="F340" i="4"/>
  <c r="F219" i="4"/>
  <c r="F292" i="4"/>
  <c r="F365" i="4"/>
  <c r="F220" i="4"/>
  <c r="F293" i="4"/>
  <c r="F367" i="4"/>
  <c r="F221" i="4"/>
  <c r="F295" i="4"/>
  <c r="F145" i="4"/>
  <c r="F222" i="4"/>
  <c r="F344" i="4"/>
  <c r="F168" i="4"/>
  <c r="F192" i="4"/>
  <c r="F268" i="4"/>
  <c r="F341" i="4"/>
  <c r="F169" i="4"/>
  <c r="F244" i="4"/>
  <c r="F342" i="4"/>
  <c r="F170" i="4"/>
  <c r="F270" i="4"/>
  <c r="F368" i="4"/>
  <c r="F198" i="4"/>
  <c r="F320" i="4"/>
  <c r="F196" i="4"/>
  <c r="F318" i="4"/>
  <c r="F197" i="4"/>
  <c r="F319" i="4"/>
  <c r="F247" i="4"/>
  <c r="F369" i="4"/>
  <c r="F296" i="4"/>
  <c r="F155" i="4"/>
  <c r="F185" i="4"/>
  <c r="F225" i="4"/>
  <c r="F257" i="4"/>
  <c r="F297" i="4"/>
  <c r="F330" i="4"/>
  <c r="F361" i="4"/>
  <c r="F259" i="4"/>
  <c r="F370" i="4"/>
  <c r="F262" i="4"/>
  <c r="F301" i="4"/>
  <c r="F264" i="4"/>
  <c r="F337" i="4"/>
  <c r="F202" i="4"/>
  <c r="F378" i="4"/>
  <c r="F275" i="4"/>
  <c r="F175" i="4"/>
  <c r="F135" i="4"/>
  <c r="F352" i="4"/>
  <c r="F156" i="4"/>
  <c r="F187" i="4"/>
  <c r="F227" i="4"/>
  <c r="F258" i="4"/>
  <c r="F298" i="4"/>
  <c r="F331" i="4"/>
  <c r="F362" i="4"/>
  <c r="F332" i="4"/>
  <c r="F158" i="4"/>
  <c r="F300" i="4"/>
  <c r="F263" i="4"/>
  <c r="F160" i="4"/>
  <c r="F376" i="4"/>
  <c r="F129" i="4"/>
  <c r="F272" i="4"/>
  <c r="F130" i="4"/>
  <c r="F338" i="4"/>
  <c r="F235" i="4"/>
  <c r="F277" i="4"/>
  <c r="F207" i="4"/>
  <c r="F136" i="4"/>
  <c r="F312" i="4"/>
  <c r="F157" i="4"/>
  <c r="F188" i="4"/>
  <c r="F228" i="4"/>
  <c r="F299" i="4"/>
  <c r="F229" i="4"/>
  <c r="F333" i="4"/>
  <c r="F230" i="4"/>
  <c r="F335" i="4"/>
  <c r="F231" i="4"/>
  <c r="F232" i="4"/>
  <c r="F273" i="4"/>
  <c r="F131" i="4"/>
  <c r="F345" i="4"/>
  <c r="F240" i="4"/>
  <c r="F177" i="4"/>
  <c r="F189" i="4"/>
  <c r="F373" i="4"/>
  <c r="F159" i="4"/>
  <c r="F375" i="4"/>
  <c r="F336" i="4"/>
  <c r="F161" i="4"/>
  <c r="F377" i="4"/>
  <c r="F233" i="4"/>
  <c r="F203" i="4"/>
  <c r="F311" i="4"/>
  <c r="F208" i="4"/>
  <c r="F199" i="4"/>
  <c r="F200" i="4"/>
  <c r="F302" i="4"/>
  <c r="F201" i="4"/>
  <c r="F303" i="4"/>
  <c r="F162" i="4"/>
  <c r="F307" i="4"/>
  <c r="F163" i="4"/>
  <c r="F308" i="4"/>
  <c r="F379" i="4"/>
  <c r="F310" i="4"/>
  <c r="F176" i="4"/>
  <c r="F351" i="4"/>
  <c r="F279" i="4"/>
  <c r="F132" i="4"/>
  <c r="F164" i="4"/>
  <c r="F204" i="4"/>
  <c r="F236" i="4"/>
  <c r="F276" i="4"/>
  <c r="F309" i="4"/>
  <c r="F347" i="4"/>
  <c r="F380" i="4"/>
  <c r="F133" i="4"/>
  <c r="F205" i="4"/>
  <c r="F237" i="4"/>
  <c r="F348" i="4"/>
  <c r="F278" i="4"/>
  <c r="F248" i="4"/>
  <c r="F181" i="4"/>
  <c r="F284" i="4"/>
  <c r="F182" i="4"/>
  <c r="F285" i="4"/>
  <c r="F255" i="4"/>
  <c r="F359" i="4"/>
  <c r="F360" i="4"/>
  <c r="F281" i="4"/>
  <c r="F183" i="4"/>
  <c r="F287" i="4"/>
  <c r="F184" i="4"/>
  <c r="F288" i="4"/>
  <c r="F209" i="4"/>
  <c r="F313" i="4"/>
  <c r="F321" i="4"/>
  <c r="F322" i="4"/>
  <c r="F223" i="4"/>
  <c r="F224" i="4"/>
  <c r="F249" i="4"/>
  <c r="F250" i="4"/>
  <c r="F355" i="4"/>
  <c r="F148" i="4"/>
  <c r="F152" i="4"/>
  <c r="F153" i="4"/>
  <c r="F178" i="4"/>
  <c r="F179" i="4"/>
  <c r="F289" i="4"/>
  <c r="F210" i="4"/>
  <c r="F211" i="4"/>
  <c r="F212" i="4"/>
  <c r="F213" i="4"/>
  <c r="F137" i="4"/>
  <c r="F329" i="4"/>
  <c r="F353" i="4"/>
  <c r="F147" i="4"/>
  <c r="F356" i="4"/>
  <c r="F253" i="4"/>
  <c r="F323" i="4"/>
  <c r="F324" i="4"/>
  <c r="F325" i="4"/>
  <c r="F138" i="4"/>
  <c r="F139" i="4"/>
  <c r="F251" i="4"/>
  <c r="F252" i="4"/>
  <c r="F357" i="4"/>
  <c r="F358" i="4"/>
  <c r="F256" i="4"/>
  <c r="F280" i="4"/>
  <c r="F180" i="4"/>
  <c r="E148" i="4"/>
  <c r="E168" i="4"/>
  <c r="E188" i="4"/>
  <c r="E208" i="4"/>
  <c r="E228" i="4"/>
  <c r="E248" i="4"/>
  <c r="E268" i="4"/>
  <c r="E288" i="4"/>
  <c r="E308" i="4"/>
  <c r="E328" i="4"/>
  <c r="E348" i="4"/>
  <c r="E368" i="4"/>
  <c r="E129" i="4"/>
  <c r="E130" i="4"/>
  <c r="E131" i="4"/>
  <c r="E132" i="4"/>
  <c r="E133" i="4"/>
  <c r="E136" i="4"/>
  <c r="E156" i="4"/>
  <c r="E176" i="4"/>
  <c r="E196" i="4"/>
  <c r="E216" i="4"/>
  <c r="E236" i="4"/>
  <c r="E256" i="4"/>
  <c r="E276" i="4"/>
  <c r="E296" i="4"/>
  <c r="E316" i="4"/>
  <c r="E336" i="4"/>
  <c r="E356" i="4"/>
  <c r="E376" i="4"/>
  <c r="E137" i="4"/>
  <c r="E157" i="4"/>
  <c r="E177" i="4"/>
  <c r="E197" i="4"/>
  <c r="E217" i="4"/>
  <c r="E237" i="4"/>
  <c r="E257" i="4"/>
  <c r="E277" i="4"/>
  <c r="E297" i="4"/>
  <c r="E134" i="4"/>
  <c r="E159" i="4"/>
  <c r="E182" i="4"/>
  <c r="E205" i="4"/>
  <c r="E229" i="4"/>
  <c r="E252" i="4"/>
  <c r="E275" i="4"/>
  <c r="E300" i="4"/>
  <c r="E322" i="4"/>
  <c r="E344" i="4"/>
  <c r="E366" i="4"/>
  <c r="E135" i="4"/>
  <c r="E160" i="4"/>
  <c r="E183" i="4"/>
  <c r="E206" i="4"/>
  <c r="E230" i="4"/>
  <c r="E253" i="4"/>
  <c r="E278" i="4"/>
  <c r="E301" i="4"/>
  <c r="E323" i="4"/>
  <c r="E345" i="4"/>
  <c r="E367" i="4"/>
  <c r="E138" i="4"/>
  <c r="E161" i="4"/>
  <c r="E184" i="4"/>
  <c r="E207" i="4"/>
  <c r="E231" i="4"/>
  <c r="E254" i="4"/>
  <c r="E279" i="4"/>
  <c r="E302" i="4"/>
  <c r="E324" i="4"/>
  <c r="E346" i="4"/>
  <c r="E369" i="4"/>
  <c r="E139" i="4"/>
  <c r="E162" i="4"/>
  <c r="E185" i="4"/>
  <c r="E209" i="4"/>
  <c r="E232" i="4"/>
  <c r="E255" i="4"/>
  <c r="E280" i="4"/>
  <c r="E303" i="4"/>
  <c r="E325" i="4"/>
  <c r="E347" i="4"/>
  <c r="E370" i="4"/>
  <c r="E140" i="4"/>
  <c r="E163" i="4"/>
  <c r="E186" i="4"/>
  <c r="E210" i="4"/>
  <c r="E233" i="4"/>
  <c r="E258" i="4"/>
  <c r="E281" i="4"/>
  <c r="E304" i="4"/>
  <c r="E326" i="4"/>
  <c r="E349" i="4"/>
  <c r="E371" i="4"/>
  <c r="E141" i="4"/>
  <c r="E170" i="4"/>
  <c r="E200" i="4"/>
  <c r="E234" i="4"/>
  <c r="E264" i="4"/>
  <c r="E293" i="4"/>
  <c r="E327" i="4"/>
  <c r="E355" i="4"/>
  <c r="E241" i="4"/>
  <c r="E178" i="4"/>
  <c r="E142" i="4"/>
  <c r="E171" i="4"/>
  <c r="E201" i="4"/>
  <c r="E235" i="4"/>
  <c r="E265" i="4"/>
  <c r="E294" i="4"/>
  <c r="E329" i="4"/>
  <c r="E357" i="4"/>
  <c r="E146" i="4"/>
  <c r="E270" i="4"/>
  <c r="E147" i="4"/>
  <c r="E334" i="4"/>
  <c r="E143" i="4"/>
  <c r="E172" i="4"/>
  <c r="E202" i="4"/>
  <c r="E238" i="4"/>
  <c r="E266" i="4"/>
  <c r="E295" i="4"/>
  <c r="E330" i="4"/>
  <c r="E358" i="4"/>
  <c r="E211" i="4"/>
  <c r="E305" i="4"/>
  <c r="E242" i="4"/>
  <c r="E362" i="4"/>
  <c r="E144" i="4"/>
  <c r="E173" i="4"/>
  <c r="E203" i="4"/>
  <c r="E239" i="4"/>
  <c r="E267" i="4"/>
  <c r="E298" i="4"/>
  <c r="E331" i="4"/>
  <c r="E359" i="4"/>
  <c r="E175" i="4"/>
  <c r="E361" i="4"/>
  <c r="E212" i="4"/>
  <c r="E306" i="4"/>
  <c r="E145" i="4"/>
  <c r="E174" i="4"/>
  <c r="E204" i="4"/>
  <c r="E240" i="4"/>
  <c r="E269" i="4"/>
  <c r="E299" i="4"/>
  <c r="E332" i="4"/>
  <c r="E360" i="4"/>
  <c r="E333" i="4"/>
  <c r="E271" i="4"/>
  <c r="E151" i="4"/>
  <c r="E181" i="4"/>
  <c r="E215" i="4"/>
  <c r="E245" i="4"/>
  <c r="E274" i="4"/>
  <c r="E310" i="4"/>
  <c r="E338" i="4"/>
  <c r="E365" i="4"/>
  <c r="E149" i="4"/>
  <c r="E194" i="4"/>
  <c r="E249" i="4"/>
  <c r="E307" i="4"/>
  <c r="E351" i="4"/>
  <c r="E364" i="4"/>
  <c r="E218" i="4"/>
  <c r="E317" i="4"/>
  <c r="E374" i="4"/>
  <c r="E377" i="4"/>
  <c r="E283" i="4"/>
  <c r="E284" i="4"/>
  <c r="E150" i="4"/>
  <c r="E195" i="4"/>
  <c r="E250" i="4"/>
  <c r="E309" i="4"/>
  <c r="E352" i="4"/>
  <c r="E155" i="4"/>
  <c r="E372" i="4"/>
  <c r="E164" i="4"/>
  <c r="E272" i="4"/>
  <c r="E320" i="4"/>
  <c r="E321" i="4"/>
  <c r="E379" i="4"/>
  <c r="E285" i="4"/>
  <c r="E152" i="4"/>
  <c r="E198" i="4"/>
  <c r="E251" i="4"/>
  <c r="E311" i="4"/>
  <c r="E353" i="4"/>
  <c r="E214" i="4"/>
  <c r="E262" i="4"/>
  <c r="E263" i="4"/>
  <c r="E220" i="4"/>
  <c r="E282" i="4"/>
  <c r="E378" i="4"/>
  <c r="E337" i="4"/>
  <c r="E153" i="4"/>
  <c r="E199" i="4"/>
  <c r="E259" i="4"/>
  <c r="E312" i="4"/>
  <c r="E354" i="4"/>
  <c r="E261" i="4"/>
  <c r="E315" i="4"/>
  <c r="E373" i="4"/>
  <c r="E318" i="4"/>
  <c r="E223" i="4"/>
  <c r="E335" i="4"/>
  <c r="E180" i="4"/>
  <c r="E154" i="4"/>
  <c r="E213" i="4"/>
  <c r="E260" i="4"/>
  <c r="E313" i="4"/>
  <c r="E363" i="4"/>
  <c r="E314" i="4"/>
  <c r="E158" i="4"/>
  <c r="E219" i="4"/>
  <c r="E165" i="4"/>
  <c r="E222" i="4"/>
  <c r="E179" i="4"/>
  <c r="E166" i="4"/>
  <c r="E221" i="4"/>
  <c r="E273" i="4"/>
  <c r="E319" i="4"/>
  <c r="E375" i="4"/>
  <c r="E167" i="4"/>
  <c r="E169" i="4"/>
  <c r="E224" i="4"/>
  <c r="E225" i="4"/>
  <c r="E187" i="4"/>
  <c r="E341" i="4"/>
  <c r="E189" i="4"/>
  <c r="E342" i="4"/>
  <c r="E243" i="4"/>
  <c r="E291" i="4"/>
  <c r="E190" i="4"/>
  <c r="E343" i="4"/>
  <c r="E246" i="4"/>
  <c r="E290" i="4"/>
  <c r="E292" i="4"/>
  <c r="E191" i="4"/>
  <c r="E350" i="4"/>
  <c r="E193" i="4"/>
  <c r="E244" i="4"/>
  <c r="E247" i="4"/>
  <c r="E289" i="4"/>
  <c r="E192" i="4"/>
  <c r="E226" i="4"/>
  <c r="E227" i="4"/>
  <c r="E286" i="4"/>
  <c r="E287" i="4"/>
  <c r="E339" i="4"/>
  <c r="E340" i="4"/>
  <c r="R72" i="4"/>
  <c r="R71" i="4"/>
  <c r="R70" i="4"/>
  <c r="R69" i="4"/>
  <c r="R68" i="4"/>
  <c r="R67" i="4"/>
  <c r="R66" i="4"/>
  <c r="R65" i="4"/>
  <c r="R64" i="4"/>
  <c r="R63" i="4"/>
  <c r="V63" i="4" a="1"/>
  <c r="V72" i="4" l="1"/>
  <c r="V71" i="4"/>
  <c r="V70" i="4"/>
  <c r="V69" i="4"/>
  <c r="V68" i="4"/>
  <c r="V67" i="4"/>
  <c r="V66" i="4"/>
  <c r="V65" i="4"/>
  <c r="V64" i="4"/>
  <c r="V63" i="4"/>
  <c r="I81" i="4" l="1" a="1"/>
  <c r="I81" i="4" l="1"/>
  <c r="H81" i="4" a="1"/>
  <c r="H81" i="4" l="1"/>
  <c r="G81" i="4" a="1"/>
  <c r="G81" i="4" l="1"/>
  <c r="F81" i="4" a="1"/>
  <c r="F81" i="4" l="1"/>
  <c r="R29" i="4" a="1"/>
  <c r="R38" i="4" l="1"/>
  <c r="R37" i="4"/>
  <c r="R36" i="4"/>
  <c r="R35" i="4"/>
  <c r="R34" i="4"/>
  <c r="R33" i="4"/>
  <c r="R32" i="4"/>
  <c r="R31" i="4"/>
  <c r="R30" i="4"/>
  <c r="R29" i="4"/>
  <c r="Q29" i="4" a="1"/>
  <c r="Q38" i="4" l="1"/>
  <c r="Q37" i="4"/>
  <c r="Q36" i="4"/>
  <c r="Q35" i="4"/>
  <c r="Q34" i="4"/>
  <c r="Q33" i="4"/>
  <c r="Q32" i="4"/>
  <c r="Q31" i="4"/>
  <c r="Q30" i="4"/>
  <c r="Q29" i="4"/>
  <c r="I111" i="4" a="1"/>
  <c r="I111" i="4" l="1"/>
  <c r="H111" i="4" a="1"/>
  <c r="H111" i="4" l="1"/>
  <c r="G111" i="4" a="1"/>
  <c r="G111" i="4" l="1"/>
  <c r="F111" i="4" a="1"/>
  <c r="F111" i="4" l="1"/>
  <c r="V29" i="4" a="1"/>
  <c r="V37" i="4" l="1"/>
  <c r="V36" i="4"/>
  <c r="V35" i="4"/>
  <c r="V34" i="4"/>
  <c r="V33" i="4"/>
  <c r="V32" i="4"/>
  <c r="V31" i="4"/>
  <c r="V30" i="4"/>
  <c r="V29" i="4"/>
  <c r="V38" i="4"/>
  <c r="T81" i="4" a="1"/>
  <c r="T81" i="4" l="1"/>
  <c r="S81" i="4" a="1"/>
  <c r="S81" i="4" l="1"/>
  <c r="R81" i="4" a="1"/>
  <c r="R81" i="4" l="1"/>
  <c r="Q81" i="4" a="1"/>
  <c r="Q81" i="4" l="1"/>
  <c r="I96" i="4" a="1"/>
  <c r="I96" i="4" l="1"/>
  <c r="H96" i="4" a="1"/>
  <c r="H96" i="4" l="1"/>
  <c r="G96" i="4" a="1"/>
  <c r="G96" i="4" l="1"/>
  <c r="F96" i="4" a="1"/>
  <c r="F96" i="4" l="1"/>
  <c r="T96" i="4" a="1"/>
  <c r="T96" i="4" l="1"/>
  <c r="S96" i="4" a="1"/>
  <c r="S96" i="4" l="1"/>
  <c r="R96" i="4" a="1"/>
  <c r="R96" i="4" l="1"/>
  <c r="Q96" i="4" a="1"/>
  <c r="Q96" i="4" l="1"/>
  <c r="K81" i="4" a="1"/>
  <c r="K81" i="4" l="1"/>
  <c r="C81" i="4" a="1"/>
  <c r="C81" i="4" l="1"/>
  <c r="T111" i="4" a="1"/>
  <c r="T111" i="4" l="1"/>
  <c r="S111" i="4" a="1"/>
  <c r="S111" i="4" l="1"/>
  <c r="R111" i="4" a="1"/>
  <c r="R111" i="4" l="1"/>
  <c r="Q111" i="4" a="1"/>
  <c r="Q111" i="4" l="1"/>
  <c r="O60" i="4" a="1"/>
  <c r="O60" i="4" l="1"/>
  <c r="V60" i="4" a="1"/>
  <c r="V60" i="4" l="1"/>
  <c r="V81" i="4" a="1"/>
  <c r="V81" i="4" l="1"/>
  <c r="O42" i="4" a="1"/>
  <c r="O42" i="4" l="1"/>
  <c r="R45" i="4" a="1"/>
  <c r="V45" i="4" a="1"/>
  <c r="K13" i="4" a="1"/>
  <c r="K13" i="4" l="1"/>
  <c r="V53" i="4"/>
  <c r="V52" i="4"/>
  <c r="V51" i="4"/>
  <c r="V50" i="4"/>
  <c r="V49" i="4"/>
  <c r="V48" i="4"/>
  <c r="V47" i="4"/>
  <c r="V46" i="4"/>
  <c r="V45" i="4"/>
  <c r="V54" i="4"/>
  <c r="R54" i="4"/>
  <c r="R49" i="4"/>
  <c r="R47" i="4"/>
  <c r="R45" i="4"/>
  <c r="R53" i="4"/>
  <c r="R52" i="4"/>
  <c r="R51" i="4"/>
  <c r="R50" i="4"/>
  <c r="R48" i="4"/>
  <c r="R46" i="4"/>
  <c r="B1025" i="16"/>
  <c r="B1024" i="16"/>
  <c r="B1023" i="16"/>
  <c r="B1022" i="16"/>
  <c r="B1021" i="16"/>
  <c r="B1020" i="16"/>
  <c r="B1019" i="16"/>
  <c r="B1018" i="16"/>
  <c r="B1017" i="16"/>
  <c r="B1016" i="16"/>
  <c r="B1015" i="16"/>
  <c r="B1014" i="16"/>
  <c r="B1013" i="16"/>
  <c r="B1012" i="16"/>
  <c r="B1011" i="16"/>
  <c r="B1010" i="16"/>
  <c r="B1009" i="16"/>
  <c r="B1008" i="16"/>
  <c r="B1007" i="16"/>
  <c r="B1006" i="16"/>
  <c r="B1005" i="16"/>
  <c r="B1004" i="16"/>
  <c r="B1003" i="16"/>
  <c r="B1002" i="16"/>
  <c r="B1001" i="16"/>
  <c r="B1000" i="16"/>
  <c r="B999" i="16"/>
  <c r="B998" i="16"/>
  <c r="B997" i="16"/>
  <c r="B996" i="16"/>
  <c r="B995" i="16"/>
  <c r="B994" i="16"/>
  <c r="B993" i="16"/>
  <c r="B992" i="16"/>
  <c r="B991" i="16"/>
  <c r="B990" i="16"/>
  <c r="B989" i="16"/>
  <c r="B988" i="16"/>
  <c r="B987" i="16"/>
  <c r="B986" i="16"/>
  <c r="B985" i="16"/>
  <c r="B984" i="16"/>
  <c r="B983" i="16"/>
  <c r="B982" i="16"/>
  <c r="B981" i="16"/>
  <c r="B980" i="16"/>
  <c r="B979" i="16"/>
  <c r="B978" i="16"/>
  <c r="B977" i="16"/>
  <c r="B976" i="16"/>
  <c r="B975" i="16"/>
  <c r="B974" i="16"/>
  <c r="B973" i="16"/>
  <c r="B972" i="16"/>
  <c r="B971" i="16"/>
  <c r="B970" i="16"/>
  <c r="B969" i="16"/>
  <c r="B968" i="16"/>
  <c r="B967" i="16"/>
  <c r="B966" i="16"/>
  <c r="B965" i="16"/>
  <c r="B964" i="16"/>
  <c r="B963" i="16"/>
  <c r="B962" i="16"/>
  <c r="B961" i="16"/>
  <c r="B960" i="16"/>
  <c r="B959" i="16"/>
  <c r="B958" i="16"/>
  <c r="B957" i="16"/>
  <c r="B956" i="16"/>
  <c r="B955" i="16"/>
  <c r="B954" i="16"/>
  <c r="B953" i="16"/>
  <c r="B952" i="16"/>
  <c r="B951" i="16"/>
  <c r="B950" i="16"/>
  <c r="B949" i="16"/>
  <c r="B948" i="16"/>
  <c r="B947" i="16"/>
  <c r="B946" i="16"/>
  <c r="B945" i="16"/>
  <c r="B944" i="16"/>
  <c r="B943" i="16"/>
  <c r="B942" i="16"/>
  <c r="B941" i="16"/>
  <c r="B940" i="16"/>
  <c r="B939" i="16"/>
  <c r="B938" i="16"/>
  <c r="B937" i="16"/>
  <c r="B936" i="16"/>
  <c r="B935" i="16"/>
  <c r="B934" i="16"/>
  <c r="B933" i="16"/>
  <c r="B932" i="16"/>
  <c r="B931" i="16"/>
  <c r="B930" i="16"/>
  <c r="B929" i="16"/>
  <c r="B928" i="16"/>
  <c r="B927" i="16"/>
  <c r="B926" i="16"/>
  <c r="B925" i="16"/>
  <c r="B924" i="16"/>
  <c r="B923" i="16"/>
  <c r="B922" i="16"/>
  <c r="B921" i="16"/>
  <c r="B920" i="16"/>
  <c r="B919" i="16"/>
  <c r="B918" i="16"/>
  <c r="B917" i="16"/>
  <c r="B916" i="16"/>
  <c r="B915" i="16"/>
  <c r="B914" i="16"/>
  <c r="B913" i="16"/>
  <c r="B912" i="16"/>
  <c r="B911" i="16"/>
  <c r="B910" i="16"/>
  <c r="B909" i="16"/>
  <c r="B908" i="16"/>
  <c r="B907" i="16"/>
  <c r="B906" i="16"/>
  <c r="B905" i="16"/>
  <c r="B904" i="16"/>
  <c r="B903" i="16"/>
  <c r="B902" i="16"/>
  <c r="B901" i="16"/>
  <c r="B900" i="16"/>
  <c r="B899" i="16"/>
  <c r="B898" i="16"/>
  <c r="B897" i="16"/>
  <c r="B896" i="16"/>
  <c r="B895" i="16"/>
  <c r="B894" i="16"/>
  <c r="B893" i="16"/>
  <c r="B892" i="16"/>
  <c r="B891" i="16"/>
  <c r="B890" i="16"/>
  <c r="B889" i="16"/>
  <c r="B888" i="16"/>
  <c r="B887" i="16"/>
  <c r="B886" i="16"/>
  <c r="B885" i="16"/>
  <c r="B884" i="16"/>
  <c r="B883" i="16"/>
  <c r="B882" i="16"/>
  <c r="B881" i="16"/>
  <c r="B880" i="16"/>
  <c r="B879" i="16"/>
  <c r="B878" i="16"/>
  <c r="B877" i="16"/>
  <c r="B876" i="16"/>
  <c r="B875" i="16"/>
  <c r="B874" i="16"/>
  <c r="B873" i="16"/>
  <c r="B872" i="16"/>
  <c r="B871" i="16"/>
  <c r="B870" i="16"/>
  <c r="B869" i="16"/>
  <c r="B868" i="16"/>
  <c r="B867" i="16"/>
  <c r="B866" i="16"/>
  <c r="B865" i="16"/>
  <c r="B864" i="16"/>
  <c r="B863" i="16"/>
  <c r="B862" i="16"/>
  <c r="B861" i="16"/>
  <c r="B860" i="16"/>
  <c r="B859" i="16"/>
  <c r="B858" i="16"/>
  <c r="B857" i="16"/>
  <c r="B856" i="16"/>
  <c r="B855" i="16"/>
  <c r="B854" i="16"/>
  <c r="B853" i="16"/>
  <c r="B852" i="16"/>
  <c r="B851" i="16"/>
  <c r="B850" i="16"/>
  <c r="B849" i="16"/>
  <c r="B848" i="16"/>
  <c r="B847" i="16"/>
  <c r="B846" i="16"/>
  <c r="B845" i="16"/>
  <c r="B844" i="16"/>
  <c r="B843" i="16"/>
  <c r="B842" i="16"/>
  <c r="B841" i="16"/>
  <c r="B840" i="16"/>
  <c r="B839" i="16"/>
  <c r="B838" i="16"/>
  <c r="B837" i="16"/>
  <c r="B836" i="16"/>
  <c r="B835" i="16"/>
  <c r="B834" i="16"/>
  <c r="B833" i="16"/>
  <c r="B832" i="16"/>
  <c r="B831" i="16"/>
  <c r="B830" i="16"/>
  <c r="B829" i="16"/>
  <c r="B828" i="16"/>
  <c r="B827" i="16"/>
  <c r="B826" i="16"/>
  <c r="B825" i="16"/>
  <c r="B824" i="16"/>
  <c r="B823" i="16"/>
  <c r="B822" i="16"/>
  <c r="B821" i="16"/>
  <c r="B820" i="16"/>
  <c r="B819" i="16"/>
  <c r="B818" i="16"/>
  <c r="B817" i="16"/>
  <c r="B816" i="16"/>
  <c r="B815" i="16"/>
  <c r="B814" i="16"/>
  <c r="B813" i="16"/>
  <c r="B812" i="16"/>
  <c r="B811" i="16"/>
  <c r="B810" i="16"/>
  <c r="B809" i="16"/>
  <c r="B808" i="16"/>
  <c r="B807" i="16"/>
  <c r="B806" i="16"/>
  <c r="B805" i="16"/>
  <c r="B804" i="16"/>
  <c r="B803" i="16"/>
  <c r="B802" i="16"/>
  <c r="B801" i="16"/>
  <c r="B800" i="16"/>
  <c r="B799" i="16"/>
  <c r="B798" i="16"/>
  <c r="B797" i="16"/>
  <c r="B796" i="16"/>
  <c r="B795" i="16"/>
  <c r="B794" i="16"/>
  <c r="B793" i="16"/>
  <c r="B792" i="16"/>
  <c r="B791" i="16"/>
  <c r="B790" i="16"/>
  <c r="B789" i="16"/>
  <c r="B788" i="16"/>
  <c r="B787" i="16"/>
  <c r="B786" i="16"/>
  <c r="B785" i="16"/>
  <c r="B784" i="16"/>
  <c r="B783" i="16"/>
  <c r="B782" i="16"/>
  <c r="B781" i="16"/>
  <c r="B780" i="16"/>
  <c r="B779" i="16"/>
  <c r="B778" i="16"/>
  <c r="B777" i="16"/>
  <c r="B776" i="16"/>
  <c r="B775" i="16"/>
  <c r="B774" i="16"/>
  <c r="B773" i="16"/>
  <c r="B772" i="16"/>
  <c r="B771" i="16"/>
  <c r="B770" i="16"/>
  <c r="B769" i="16"/>
  <c r="B768" i="16"/>
  <c r="B767" i="16"/>
  <c r="B766" i="16"/>
  <c r="B765" i="16"/>
  <c r="B764" i="16"/>
  <c r="B763" i="16"/>
  <c r="B762" i="16"/>
  <c r="B761" i="16"/>
  <c r="B760" i="16"/>
  <c r="B759" i="16"/>
  <c r="B758" i="16"/>
  <c r="B757" i="16"/>
  <c r="B756" i="16"/>
  <c r="B755" i="16"/>
  <c r="B754" i="16"/>
  <c r="B753" i="16"/>
  <c r="B752" i="16"/>
  <c r="B751" i="16"/>
  <c r="B750" i="16"/>
  <c r="B749" i="16"/>
  <c r="B748" i="16"/>
  <c r="B747" i="16"/>
  <c r="B746" i="16"/>
  <c r="B745" i="16"/>
  <c r="B744" i="16"/>
  <c r="B743" i="16"/>
  <c r="B742" i="16"/>
  <c r="B741" i="16"/>
  <c r="B740" i="16"/>
  <c r="B739" i="16"/>
  <c r="B738" i="16"/>
  <c r="B737" i="16"/>
  <c r="B736" i="16"/>
  <c r="B735" i="16"/>
  <c r="B734" i="16"/>
  <c r="B733" i="16"/>
  <c r="B732" i="16"/>
  <c r="B731" i="16"/>
  <c r="B730" i="16"/>
  <c r="B729" i="16"/>
  <c r="B728" i="16"/>
  <c r="B727" i="16"/>
  <c r="B726" i="16"/>
  <c r="B725" i="16"/>
  <c r="B724" i="16"/>
  <c r="B723" i="16"/>
  <c r="B722" i="16"/>
  <c r="B721" i="16"/>
  <c r="B720" i="16"/>
  <c r="B719" i="16"/>
  <c r="B718" i="16"/>
  <c r="B717" i="16"/>
  <c r="B716" i="16"/>
  <c r="B715" i="16"/>
  <c r="B714" i="16"/>
  <c r="B713" i="16"/>
  <c r="B712" i="16"/>
  <c r="B711" i="16"/>
  <c r="B710" i="16"/>
  <c r="B709" i="16"/>
  <c r="B708" i="16"/>
  <c r="B707" i="16"/>
  <c r="B706" i="16"/>
  <c r="B705" i="16"/>
  <c r="B704" i="16"/>
  <c r="B703" i="16"/>
  <c r="B702" i="16"/>
  <c r="B701" i="16"/>
  <c r="B700" i="16"/>
  <c r="B699" i="16"/>
  <c r="B698" i="16"/>
  <c r="B697" i="16"/>
  <c r="B696" i="16"/>
  <c r="B695" i="16"/>
  <c r="B694" i="16"/>
  <c r="B693" i="16"/>
  <c r="B692" i="16"/>
  <c r="B691" i="16"/>
  <c r="B690" i="16"/>
  <c r="B689" i="16"/>
  <c r="B688" i="16"/>
  <c r="B687" i="16"/>
  <c r="B686" i="16"/>
  <c r="B685" i="16"/>
  <c r="B684" i="16"/>
  <c r="B683" i="16"/>
  <c r="B682" i="16"/>
  <c r="B681" i="16"/>
  <c r="B680" i="16"/>
  <c r="B679" i="16"/>
  <c r="B678" i="16"/>
  <c r="B677" i="16"/>
  <c r="B676" i="16"/>
  <c r="B675" i="16"/>
  <c r="B674" i="16"/>
  <c r="B673" i="16"/>
  <c r="B672" i="16"/>
  <c r="B671" i="16"/>
  <c r="B670" i="16"/>
  <c r="B669" i="16"/>
  <c r="B668" i="16"/>
  <c r="B667" i="16"/>
  <c r="B666" i="16"/>
  <c r="B665" i="16"/>
  <c r="B664" i="16"/>
  <c r="B663" i="16"/>
  <c r="B662" i="16"/>
  <c r="B661" i="16"/>
  <c r="B660" i="16"/>
  <c r="B659" i="16"/>
  <c r="B658" i="16"/>
  <c r="B657" i="16"/>
  <c r="B656" i="16"/>
  <c r="B655" i="16"/>
  <c r="B654" i="16"/>
  <c r="B653" i="16"/>
  <c r="B652" i="16"/>
  <c r="B651" i="16"/>
  <c r="B650" i="16"/>
  <c r="B649" i="16"/>
  <c r="B648" i="16"/>
  <c r="B647" i="16"/>
  <c r="B646" i="16"/>
  <c r="B645" i="16"/>
  <c r="B644" i="16"/>
  <c r="B643" i="16"/>
  <c r="B642" i="16"/>
  <c r="B641" i="16"/>
  <c r="B640" i="16"/>
  <c r="B639" i="16"/>
  <c r="B638" i="16"/>
  <c r="B637" i="16"/>
  <c r="B636" i="16"/>
  <c r="B635" i="16"/>
  <c r="B634" i="16"/>
  <c r="B633" i="16"/>
  <c r="B632" i="16"/>
  <c r="B631" i="16"/>
  <c r="B630" i="16"/>
  <c r="B629" i="16"/>
  <c r="B628" i="16"/>
  <c r="B627" i="16"/>
  <c r="B626" i="16"/>
  <c r="B625" i="16"/>
  <c r="B624" i="16"/>
  <c r="B623" i="16"/>
  <c r="B622" i="16"/>
  <c r="B621" i="16"/>
  <c r="B620" i="16"/>
  <c r="B619" i="16"/>
  <c r="B618" i="16"/>
  <c r="B617" i="16"/>
  <c r="B616" i="16"/>
  <c r="B615" i="16"/>
  <c r="B614" i="16"/>
  <c r="B613" i="16"/>
  <c r="B612" i="16"/>
  <c r="B611" i="16"/>
  <c r="B610" i="16"/>
  <c r="B609" i="16"/>
  <c r="B608" i="16"/>
  <c r="B607" i="16"/>
  <c r="B606" i="16"/>
  <c r="B605" i="16"/>
  <c r="B604" i="16"/>
  <c r="B603" i="16"/>
  <c r="B602" i="16"/>
  <c r="B601" i="16"/>
  <c r="B600" i="16"/>
  <c r="B599" i="16"/>
  <c r="B598" i="16"/>
  <c r="B597" i="16"/>
  <c r="B596" i="16"/>
  <c r="B595" i="16"/>
  <c r="B594" i="16"/>
  <c r="B593" i="16"/>
  <c r="B592" i="16"/>
  <c r="B591" i="16"/>
  <c r="B590" i="16"/>
  <c r="B589" i="16"/>
  <c r="B588" i="16"/>
  <c r="B587" i="16"/>
  <c r="B586" i="16"/>
  <c r="B585" i="16"/>
  <c r="B584" i="16"/>
  <c r="B583" i="16"/>
  <c r="B582" i="16"/>
  <c r="B581" i="16"/>
  <c r="B580" i="16"/>
  <c r="B579" i="16"/>
  <c r="B578" i="16"/>
  <c r="B577" i="16"/>
  <c r="B576" i="16"/>
  <c r="B575" i="16"/>
  <c r="B574" i="16"/>
  <c r="B573" i="16"/>
  <c r="B572" i="16"/>
  <c r="B571" i="16"/>
  <c r="B570" i="16"/>
  <c r="B569" i="16"/>
  <c r="B568" i="16"/>
  <c r="B567" i="16"/>
  <c r="B566" i="16"/>
  <c r="B565" i="16"/>
  <c r="B564" i="16"/>
  <c r="B563" i="16"/>
  <c r="B562" i="16"/>
  <c r="B561" i="16"/>
  <c r="B560" i="16"/>
  <c r="B559" i="16"/>
  <c r="B558" i="16"/>
  <c r="B557" i="16"/>
  <c r="B556" i="16"/>
  <c r="B555" i="16"/>
  <c r="B554" i="16"/>
  <c r="B553" i="16"/>
  <c r="B552" i="16"/>
  <c r="B551" i="16"/>
  <c r="B550" i="16"/>
  <c r="B549" i="16"/>
  <c r="B548" i="16"/>
  <c r="B547" i="16"/>
  <c r="B546" i="16"/>
  <c r="B545" i="16"/>
  <c r="B544" i="16"/>
  <c r="B543" i="16"/>
  <c r="B542" i="16"/>
  <c r="B541" i="16"/>
  <c r="B540" i="16"/>
  <c r="B539" i="16"/>
  <c r="B538" i="16"/>
  <c r="B537" i="16"/>
  <c r="B536" i="16"/>
  <c r="B535" i="16"/>
  <c r="B534" i="16"/>
  <c r="B533" i="16"/>
  <c r="B532" i="16"/>
  <c r="B531" i="16"/>
  <c r="B530" i="16"/>
  <c r="B529" i="16"/>
  <c r="B528" i="16"/>
  <c r="B527" i="16"/>
  <c r="B526" i="16"/>
  <c r="B525" i="16"/>
  <c r="B524" i="16"/>
  <c r="B523" i="16"/>
  <c r="B522" i="16"/>
  <c r="B521" i="16"/>
  <c r="B520" i="16"/>
  <c r="B519" i="16"/>
  <c r="B518" i="16"/>
  <c r="B517" i="16"/>
  <c r="B516" i="16"/>
  <c r="B515" i="16"/>
  <c r="B514" i="16"/>
  <c r="B513" i="16"/>
  <c r="B512" i="16"/>
  <c r="B511" i="16"/>
  <c r="B510" i="16"/>
  <c r="B509" i="16"/>
  <c r="B508" i="16"/>
  <c r="B507" i="16"/>
  <c r="B506" i="16"/>
  <c r="B505" i="16"/>
  <c r="B504" i="16"/>
  <c r="B503" i="16"/>
  <c r="B502" i="16"/>
  <c r="B501" i="16"/>
  <c r="B500" i="16"/>
  <c r="B499" i="16"/>
  <c r="B498" i="16"/>
  <c r="B497" i="16"/>
  <c r="B496" i="16"/>
  <c r="B495" i="16"/>
  <c r="B494" i="16"/>
  <c r="B493" i="16"/>
  <c r="B492" i="16"/>
  <c r="B491" i="16"/>
  <c r="B490" i="16"/>
  <c r="B489" i="16"/>
  <c r="B488" i="16"/>
  <c r="B487" i="16"/>
  <c r="B486" i="16"/>
  <c r="B485" i="16"/>
  <c r="B484" i="16"/>
  <c r="B483" i="16"/>
  <c r="B482" i="16"/>
  <c r="B481" i="16"/>
  <c r="B480" i="16"/>
  <c r="B479" i="16"/>
  <c r="B478" i="16"/>
  <c r="B477" i="16"/>
  <c r="B476" i="16"/>
  <c r="B475" i="16"/>
  <c r="B474" i="16"/>
  <c r="B473" i="16"/>
  <c r="B472" i="16"/>
  <c r="B471" i="16"/>
  <c r="B470" i="16"/>
  <c r="B469" i="16"/>
  <c r="B468" i="16"/>
  <c r="B467" i="16"/>
  <c r="B466" i="16"/>
  <c r="B465" i="16"/>
  <c r="B464" i="16"/>
  <c r="B463" i="16"/>
  <c r="B462" i="16"/>
  <c r="B461" i="16"/>
  <c r="B460" i="16"/>
  <c r="B459" i="16"/>
  <c r="B458" i="16"/>
  <c r="B457" i="16"/>
  <c r="B456" i="16"/>
  <c r="B455" i="16"/>
  <c r="B454" i="16"/>
  <c r="B453" i="16"/>
  <c r="B452" i="16"/>
  <c r="B451" i="16"/>
  <c r="B450" i="16"/>
  <c r="B449" i="16"/>
  <c r="B448" i="16"/>
  <c r="B447" i="16"/>
  <c r="B446" i="16"/>
  <c r="B445" i="16"/>
  <c r="B444" i="16"/>
  <c r="B443" i="16"/>
  <c r="B442" i="16"/>
  <c r="B441" i="16"/>
  <c r="B440" i="16"/>
  <c r="B439" i="16"/>
  <c r="B438" i="16"/>
  <c r="B437" i="16"/>
  <c r="B436" i="16"/>
  <c r="B435" i="16"/>
  <c r="B434" i="16"/>
  <c r="B433" i="16"/>
  <c r="B432" i="16"/>
  <c r="B431" i="16"/>
  <c r="B430" i="16"/>
  <c r="B429" i="16"/>
  <c r="B428" i="16"/>
  <c r="B427" i="16"/>
  <c r="B426" i="16"/>
  <c r="B425" i="16"/>
  <c r="B424" i="16"/>
  <c r="B423" i="16"/>
  <c r="B422" i="16"/>
  <c r="B421" i="16"/>
  <c r="B420" i="16"/>
  <c r="B419" i="16"/>
  <c r="B418" i="16"/>
  <c r="B417" i="16"/>
  <c r="B416" i="16"/>
  <c r="B415" i="16"/>
  <c r="B414" i="16"/>
  <c r="B413" i="16"/>
  <c r="B412" i="16"/>
  <c r="B411" i="16"/>
  <c r="B410" i="16"/>
  <c r="B409" i="16"/>
  <c r="B408" i="16"/>
  <c r="B407" i="16"/>
  <c r="B406" i="16"/>
  <c r="B405" i="16"/>
  <c r="B404" i="16"/>
  <c r="B403" i="16"/>
  <c r="B402" i="16"/>
  <c r="B401" i="16"/>
  <c r="B400" i="16"/>
  <c r="B399" i="16"/>
  <c r="B398" i="16"/>
  <c r="B397" i="16"/>
  <c r="B396" i="16"/>
  <c r="B395" i="16"/>
  <c r="B394" i="16"/>
  <c r="B393" i="16"/>
  <c r="B392" i="16"/>
  <c r="B391" i="16"/>
  <c r="B390" i="16"/>
  <c r="B389" i="16"/>
  <c r="B388" i="16"/>
  <c r="B387" i="16"/>
  <c r="B386" i="16"/>
  <c r="B385" i="16"/>
  <c r="B384" i="16"/>
  <c r="B383" i="16"/>
  <c r="B382" i="16"/>
  <c r="B381" i="16"/>
  <c r="B380" i="16"/>
  <c r="B379" i="16"/>
  <c r="B378" i="16"/>
  <c r="B377" i="16"/>
  <c r="B376" i="16"/>
  <c r="B375" i="16"/>
  <c r="B374" i="16"/>
  <c r="B373" i="16"/>
  <c r="B372" i="16"/>
  <c r="B371" i="16"/>
  <c r="B370" i="16"/>
  <c r="B369" i="16"/>
  <c r="B368" i="16"/>
  <c r="B367" i="16"/>
  <c r="B366" i="16"/>
  <c r="B365" i="16"/>
  <c r="B364" i="16"/>
  <c r="B363" i="16"/>
  <c r="B362" i="16"/>
  <c r="B361" i="16"/>
  <c r="B360" i="16"/>
  <c r="B359" i="16"/>
  <c r="B358" i="16"/>
  <c r="B357" i="16"/>
  <c r="B356" i="16"/>
  <c r="B355" i="16"/>
  <c r="B354" i="16"/>
  <c r="B353" i="16"/>
  <c r="B352" i="16"/>
  <c r="B351" i="16"/>
  <c r="B350" i="16"/>
  <c r="B349" i="16"/>
  <c r="B348" i="16"/>
  <c r="B347" i="16"/>
  <c r="B346" i="16"/>
  <c r="B345" i="16"/>
  <c r="B344" i="16"/>
  <c r="B343" i="16"/>
  <c r="B342" i="16"/>
  <c r="B341" i="16"/>
  <c r="B340" i="16"/>
  <c r="B339" i="16"/>
  <c r="B338" i="16"/>
  <c r="B337" i="16"/>
  <c r="B336" i="16"/>
  <c r="B335" i="16"/>
  <c r="B334" i="16"/>
  <c r="B333" i="16"/>
  <c r="B332" i="16"/>
  <c r="B331" i="16"/>
  <c r="B330" i="16"/>
  <c r="B329" i="16"/>
  <c r="B328" i="16"/>
  <c r="B327" i="16"/>
  <c r="B326" i="16"/>
  <c r="B325" i="16"/>
  <c r="B324" i="16"/>
  <c r="B323" i="16"/>
  <c r="B322" i="16"/>
  <c r="B321" i="16"/>
  <c r="B320" i="16"/>
  <c r="B319" i="16"/>
  <c r="B318" i="16"/>
  <c r="B317" i="16"/>
  <c r="B316" i="16"/>
  <c r="B315" i="16"/>
  <c r="B314" i="16"/>
  <c r="B313" i="16"/>
  <c r="B312" i="16"/>
  <c r="B311" i="16"/>
  <c r="B310" i="16"/>
  <c r="B309" i="16"/>
  <c r="B308" i="16"/>
  <c r="B307" i="16"/>
  <c r="B306" i="16"/>
  <c r="B305" i="16"/>
  <c r="B304" i="16"/>
  <c r="B303" i="16"/>
  <c r="B302" i="16"/>
  <c r="B301" i="16"/>
  <c r="B300" i="16"/>
  <c r="B299" i="16"/>
  <c r="B298" i="16"/>
  <c r="B297" i="16"/>
  <c r="B296" i="16"/>
  <c r="B295" i="16"/>
  <c r="B294" i="16"/>
  <c r="B293" i="16"/>
  <c r="B292" i="16"/>
  <c r="B291" i="16"/>
  <c r="B290" i="16"/>
  <c r="B289" i="16"/>
  <c r="B288" i="16"/>
  <c r="B287" i="16"/>
  <c r="B286" i="16"/>
  <c r="B285" i="16"/>
  <c r="B284" i="16"/>
  <c r="B283" i="16"/>
  <c r="B282" i="16"/>
  <c r="B281" i="16"/>
  <c r="B280" i="16"/>
  <c r="B279" i="16"/>
  <c r="B278" i="16"/>
  <c r="B277" i="16"/>
  <c r="B276" i="16"/>
  <c r="B275" i="16"/>
  <c r="B274" i="16"/>
  <c r="B273" i="16"/>
  <c r="B272" i="16"/>
  <c r="B271" i="16"/>
  <c r="B270" i="16"/>
  <c r="B269" i="16"/>
  <c r="B268" i="16"/>
  <c r="B267" i="16"/>
  <c r="B266" i="16"/>
  <c r="B265" i="16"/>
  <c r="B264" i="16"/>
  <c r="B263" i="16"/>
  <c r="B262" i="16"/>
  <c r="B261" i="16"/>
  <c r="B260" i="16"/>
  <c r="B259" i="16"/>
  <c r="B258" i="16"/>
  <c r="B257" i="16"/>
  <c r="B256" i="16"/>
  <c r="B255" i="16"/>
  <c r="B254" i="16"/>
  <c r="B253" i="16"/>
  <c r="B252" i="16"/>
  <c r="B251" i="16"/>
  <c r="B250" i="16"/>
  <c r="B249" i="16"/>
  <c r="B248" i="16"/>
  <c r="B247" i="16"/>
  <c r="B246" i="16"/>
  <c r="B245" i="16"/>
  <c r="B244" i="16"/>
  <c r="B243" i="16"/>
  <c r="B242" i="16"/>
  <c r="B241" i="16"/>
  <c r="B240" i="16"/>
  <c r="B239" i="16"/>
  <c r="B238" i="16"/>
  <c r="B237" i="16"/>
  <c r="B236" i="16"/>
  <c r="B235" i="16"/>
  <c r="B234" i="16"/>
  <c r="B233" i="16"/>
  <c r="B232" i="16"/>
  <c r="B231" i="16"/>
  <c r="B230" i="16"/>
  <c r="B229" i="16"/>
  <c r="B228" i="16"/>
  <c r="B227" i="16"/>
  <c r="B226" i="16"/>
  <c r="B225" i="16"/>
  <c r="B224" i="16"/>
  <c r="B223" i="16"/>
  <c r="B222" i="16"/>
  <c r="B221" i="16"/>
  <c r="B220" i="16"/>
  <c r="B219" i="16"/>
  <c r="B218" i="16"/>
  <c r="B217" i="16"/>
  <c r="B216" i="16"/>
  <c r="B215" i="16"/>
  <c r="B214" i="16"/>
  <c r="B213" i="16"/>
  <c r="B212" i="16"/>
  <c r="B211" i="16"/>
  <c r="B210" i="16"/>
  <c r="B209" i="16"/>
  <c r="B208" i="16"/>
  <c r="B207" i="16"/>
  <c r="B206" i="16"/>
  <c r="B205" i="16"/>
  <c r="B204" i="16"/>
  <c r="B203" i="16"/>
  <c r="B202" i="16"/>
  <c r="B201" i="16"/>
  <c r="B200" i="16"/>
  <c r="B199" i="16"/>
  <c r="B198" i="16"/>
  <c r="B197" i="16"/>
  <c r="B196" i="16"/>
  <c r="B195" i="16"/>
  <c r="B194" i="16"/>
  <c r="B193" i="16"/>
  <c r="B192" i="16"/>
  <c r="B191" i="16"/>
  <c r="B190" i="16"/>
  <c r="B189" i="16"/>
  <c r="B188" i="16"/>
  <c r="B187" i="16"/>
  <c r="B186" i="16"/>
  <c r="B185" i="16"/>
  <c r="B184" i="16"/>
  <c r="B183" i="16"/>
  <c r="B182" i="16"/>
  <c r="B181" i="16"/>
  <c r="B180" i="16"/>
  <c r="B179" i="16"/>
  <c r="B178" i="16"/>
  <c r="B177" i="16"/>
  <c r="B176" i="16"/>
  <c r="B175" i="16"/>
  <c r="B174" i="16"/>
  <c r="B173" i="16"/>
  <c r="B172" i="16"/>
  <c r="B171" i="16"/>
  <c r="B170" i="16"/>
  <c r="B169" i="16"/>
  <c r="B168" i="16"/>
  <c r="B167" i="16"/>
  <c r="B166" i="16"/>
  <c r="B165" i="16"/>
  <c r="B164" i="16"/>
  <c r="B163" i="16"/>
  <c r="B162" i="16"/>
  <c r="B161" i="16"/>
  <c r="B160" i="16"/>
  <c r="B159" i="16"/>
  <c r="B158" i="16"/>
  <c r="B157" i="16"/>
  <c r="B156" i="16"/>
  <c r="B155" i="16"/>
  <c r="B154" i="16"/>
  <c r="B153" i="16"/>
  <c r="B152" i="16"/>
  <c r="B151" i="16"/>
  <c r="B150" i="16"/>
  <c r="B149" i="16"/>
  <c r="B148" i="16"/>
  <c r="B147" i="16"/>
  <c r="B146" i="16"/>
  <c r="B145" i="16"/>
  <c r="B144" i="16"/>
  <c r="B143" i="16"/>
  <c r="B142" i="16"/>
  <c r="B141" i="16"/>
  <c r="B140" i="16"/>
  <c r="B139" i="16"/>
  <c r="B138" i="16"/>
  <c r="B137" i="16"/>
  <c r="B136" i="16"/>
  <c r="B135" i="16"/>
  <c r="B134" i="16"/>
  <c r="B133" i="16"/>
  <c r="B132" i="16"/>
  <c r="B131" i="16"/>
  <c r="B130" i="16"/>
  <c r="B129" i="16"/>
  <c r="B128" i="16"/>
  <c r="B127" i="16"/>
  <c r="B126" i="16"/>
  <c r="B125" i="16"/>
  <c r="B124" i="16"/>
  <c r="B123" i="16"/>
  <c r="B122" i="16"/>
  <c r="B121" i="16"/>
  <c r="B120" i="16"/>
  <c r="B119" i="16"/>
  <c r="B118" i="16"/>
  <c r="B117" i="16"/>
  <c r="B116" i="16"/>
  <c r="B115" i="16"/>
  <c r="B114" i="16"/>
  <c r="B113" i="16"/>
  <c r="B112" i="16"/>
  <c r="B111" i="16"/>
  <c r="B110" i="16"/>
  <c r="B109" i="16"/>
  <c r="B108" i="16"/>
  <c r="B107" i="16"/>
  <c r="B106" i="16"/>
  <c r="B105" i="16"/>
  <c r="B104" i="16"/>
  <c r="B103" i="16"/>
  <c r="B102" i="16"/>
  <c r="B101" i="16"/>
  <c r="B100" i="16"/>
  <c r="B99" i="16"/>
  <c r="B98" i="16"/>
  <c r="B97" i="16"/>
  <c r="B96" i="16"/>
  <c r="B95" i="16"/>
  <c r="B94" i="16"/>
  <c r="B93" i="16"/>
  <c r="B92" i="16"/>
  <c r="B91" i="16"/>
  <c r="B90" i="16"/>
  <c r="B89" i="16"/>
  <c r="B88" i="16"/>
  <c r="B87" i="16"/>
  <c r="B86" i="16"/>
  <c r="B85" i="16"/>
  <c r="B84" i="16"/>
  <c r="B83" i="16"/>
  <c r="B82" i="16"/>
  <c r="B81" i="16"/>
  <c r="B80" i="16"/>
  <c r="B79" i="16"/>
  <c r="B78" i="16"/>
  <c r="B77" i="16"/>
  <c r="B76" i="16"/>
  <c r="B75" i="16"/>
  <c r="B74" i="16"/>
  <c r="B73" i="16"/>
  <c r="B72" i="16"/>
  <c r="B71" i="16"/>
  <c r="B70" i="16"/>
  <c r="B69" i="16"/>
  <c r="B68" i="16"/>
  <c r="B67" i="16"/>
  <c r="B66" i="16"/>
  <c r="B65" i="16"/>
  <c r="B64" i="16"/>
  <c r="B63" i="16"/>
  <c r="B62" i="16"/>
  <c r="B61" i="16"/>
  <c r="B60" i="16"/>
  <c r="B59" i="16"/>
  <c r="B58" i="16"/>
  <c r="B57" i="16"/>
  <c r="B56" i="16"/>
  <c r="B55" i="16"/>
  <c r="B54" i="16"/>
  <c r="B53" i="16"/>
  <c r="B52" i="16"/>
  <c r="B51" i="16"/>
  <c r="B50" i="16"/>
  <c r="B49" i="16"/>
  <c r="B48" i="16"/>
  <c r="B47" i="16"/>
  <c r="B46" i="16"/>
  <c r="B45" i="16"/>
  <c r="B44" i="16"/>
  <c r="B43" i="16"/>
  <c r="B42" i="16"/>
  <c r="B41" i="16"/>
  <c r="B40" i="16"/>
  <c r="B39" i="16"/>
  <c r="B38" i="16"/>
  <c r="B37" i="16"/>
  <c r="B36" i="16"/>
  <c r="B35" i="16"/>
  <c r="B34" i="16"/>
  <c r="B33" i="16"/>
  <c r="B32" i="16"/>
  <c r="B31" i="16"/>
  <c r="B30" i="16"/>
  <c r="B29" i="16"/>
  <c r="B28" i="16"/>
  <c r="B27" i="16"/>
  <c r="B26" i="16"/>
  <c r="B25" i="16"/>
  <c r="B24" i="16"/>
  <c r="B23" i="16"/>
  <c r="AA22" i="16"/>
  <c r="B22" i="16"/>
  <c r="B21" i="16"/>
  <c r="AH20" i="16"/>
  <c r="B20" i="16"/>
  <c r="AH19" i="16"/>
  <c r="B19" i="16"/>
  <c r="AH18" i="16"/>
  <c r="AG18" i="16"/>
  <c r="AF18" i="16"/>
  <c r="AE18" i="16"/>
  <c r="AD18" i="16"/>
  <c r="AC18" i="16"/>
  <c r="AB18" i="16"/>
  <c r="AA18" i="16"/>
  <c r="Z18" i="16"/>
  <c r="B18" i="16"/>
  <c r="AG17" i="16"/>
  <c r="AF17" i="16"/>
  <c r="AE17" i="16"/>
  <c r="AD17" i="16"/>
  <c r="AC17" i="16"/>
  <c r="AB17" i="16"/>
  <c r="AA17" i="16"/>
  <c r="B17" i="16"/>
  <c r="V14" i="16"/>
  <c r="R14" i="16"/>
  <c r="N14" i="16"/>
  <c r="F14" i="16"/>
  <c r="T129" i="4"/>
  <c r="T128" i="4"/>
  <c r="V80" i="4"/>
  <c r="V110" i="4" s="1"/>
  <c r="V62" i="4"/>
  <c r="P62" i="4"/>
  <c r="O62" i="4"/>
  <c r="P60" i="4"/>
  <c r="P44" i="4"/>
  <c r="O44" i="4"/>
  <c r="P42" i="4"/>
  <c r="V28" i="4"/>
  <c r="P28" i="4"/>
  <c r="O28" i="4"/>
  <c r="U26" i="4" a="1"/>
  <c r="U26" i="4" s="1"/>
  <c r="P26" i="4"/>
  <c r="O10" i="4"/>
  <c r="H6" i="15"/>
  <c r="AK131" i="4" a="1"/>
  <c r="AC30" i="4" a="1"/>
  <c r="S95" i="4" a="1"/>
  <c r="AA37" i="4" a="1"/>
  <c r="AB31" i="4" a="1"/>
  <c r="AC27" i="4" a="1"/>
  <c r="R95" i="4" a="1"/>
  <c r="K67" i="4" a="1"/>
  <c r="K37" i="4" a="1"/>
  <c r="AB27" i="4" a="1"/>
  <c r="J37" i="4" a="1"/>
  <c r="U60" i="4" a="1"/>
  <c r="P76" i="4" a="1"/>
  <c r="K45" i="4" a="1"/>
  <c r="J31" i="4" a="1"/>
  <c r="I80" i="4" a="1"/>
  <c r="E12" i="4" a="1"/>
  <c r="AA31" i="4" a="1"/>
  <c r="AC36" i="4" a="1"/>
  <c r="T110" i="4" a="1"/>
  <c r="Q95" i="4" a="1"/>
  <c r="K66" i="4" a="1"/>
  <c r="AB36" i="4" a="1"/>
  <c r="AC37" i="4" a="1"/>
  <c r="AA34" i="4" a="1"/>
  <c r="AB28" i="4" a="1"/>
  <c r="K71" i="4" a="1"/>
  <c r="K38" i="4" a="1"/>
  <c r="F110" i="4" a="1"/>
  <c r="AB29" i="4" a="1"/>
  <c r="R110" i="4" a="1"/>
  <c r="K58" i="4" a="1"/>
  <c r="J39" i="4" a="1"/>
  <c r="K31" i="4" a="1"/>
  <c r="I95" i="4" a="1"/>
  <c r="C7" i="4" a="1"/>
  <c r="AB34" i="4" a="1"/>
  <c r="AC35" i="4" a="1"/>
  <c r="V3" i="4" a="1"/>
  <c r="O26" i="4" a="1"/>
  <c r="AB35" i="4" a="1"/>
  <c r="AA29" i="4" a="1"/>
  <c r="Q110" i="4" a="1"/>
  <c r="T80" i="4" a="1"/>
  <c r="K57" i="4" a="1"/>
  <c r="H95" i="4" a="1"/>
  <c r="K128" i="4" a="1"/>
  <c r="K55" i="4" a="1"/>
  <c r="J38" i="4" a="1"/>
  <c r="G95" i="4" a="1"/>
  <c r="AA35" i="4" a="1"/>
  <c r="AC28" i="4" a="1"/>
  <c r="S80" i="4" a="1"/>
  <c r="R80" i="4" a="1"/>
  <c r="K54" i="4" a="1"/>
  <c r="Q80" i="4" a="1"/>
  <c r="K36" i="4" a="1"/>
  <c r="F95" i="4" a="1"/>
  <c r="K52" i="4" a="1"/>
  <c r="AH131" i="4" a="1"/>
  <c r="AC34" i="4" a="1"/>
  <c r="AA28" i="4" a="1"/>
  <c r="K80" i="4" a="1"/>
  <c r="AD131" i="4" a="1"/>
  <c r="K72" i="4" a="1"/>
  <c r="K51" i="4" a="1"/>
  <c r="J36" i="4" a="1"/>
  <c r="I110" i="4" a="1"/>
  <c r="AB38" i="4" a="1"/>
  <c r="AC31" i="4" a="1"/>
  <c r="K70" i="4" a="1"/>
  <c r="J29" i="4" a="1"/>
  <c r="J35" i="4" a="1"/>
  <c r="K34" i="4" a="1"/>
  <c r="G110" i="4" a="1"/>
  <c r="AA38" i="4" a="1"/>
  <c r="K14" i="4" a="1"/>
  <c r="H80" i="4" a="1"/>
  <c r="AC29" i="4" a="1"/>
  <c r="S110" i="4" a="1"/>
  <c r="K60" i="4" a="1"/>
  <c r="K39" i="4" a="1"/>
  <c r="J32" i="4" a="1"/>
  <c r="C14" i="4" a="1"/>
  <c r="AA36" i="4" a="1"/>
  <c r="K61" i="4" a="1"/>
  <c r="AC38" i="4" a="1"/>
  <c r="K35" i="4" a="1"/>
  <c r="V42" i="4" a="1"/>
  <c r="K29" i="4" a="1"/>
  <c r="G80" i="4" a="1"/>
  <c r="F80" i="4" a="1"/>
  <c r="K12" i="4" a="1"/>
  <c r="AB37" i="4" a="1"/>
  <c r="AB30" i="4" a="1"/>
  <c r="J34" i="4" a="1"/>
  <c r="AA30" i="4" a="1"/>
  <c r="H110" i="4" a="1"/>
  <c r="T95" i="4" a="1"/>
  <c r="K32" i="4" a="1"/>
  <c r="AA27" i="4" a="1"/>
  <c r="Z131" i="4" a="1"/>
  <c r="C80" i="4" a="1"/>
  <c r="K65" i="4" a="1"/>
  <c r="K65" i="4" l="1"/>
  <c r="C80" i="4"/>
  <c r="Z131" i="4"/>
  <c r="AA27" i="4"/>
  <c r="AA13" i="4" s="1"/>
  <c r="K32" i="4"/>
  <c r="T95" i="4"/>
  <c r="H110" i="4"/>
  <c r="AA30" i="4"/>
  <c r="J34" i="4"/>
  <c r="AB30" i="4"/>
  <c r="AB37" i="4"/>
  <c r="K12" i="4"/>
  <c r="F80" i="4"/>
  <c r="G80" i="4"/>
  <c r="K29" i="4"/>
  <c r="V42" i="4"/>
  <c r="K35" i="4"/>
  <c r="AC38" i="4"/>
  <c r="K61" i="4"/>
  <c r="AA36" i="4"/>
  <c r="C14" i="4"/>
  <c r="J32" i="4"/>
  <c r="K39" i="4"/>
  <c r="K60" i="4"/>
  <c r="S110" i="4"/>
  <c r="AC29" i="4"/>
  <c r="H80" i="4"/>
  <c r="K14" i="4"/>
  <c r="AA38" i="4"/>
  <c r="G110" i="4"/>
  <c r="K34" i="4"/>
  <c r="J35" i="4"/>
  <c r="J29" i="4"/>
  <c r="K70" i="4"/>
  <c r="AC31" i="4"/>
  <c r="AB38" i="4"/>
  <c r="I110" i="4"/>
  <c r="J36" i="4"/>
  <c r="K51" i="4"/>
  <c r="K72" i="4"/>
  <c r="AD131" i="4"/>
  <c r="K80" i="4"/>
  <c r="AA28" i="4"/>
  <c r="AC34" i="4"/>
  <c r="AH131" i="4"/>
  <c r="K52" i="4"/>
  <c r="F95" i="4"/>
  <c r="K36" i="4"/>
  <c r="Q80" i="4"/>
  <c r="K54" i="4"/>
  <c r="R80" i="4"/>
  <c r="S80" i="4"/>
  <c r="AC28" i="4"/>
  <c r="AA35" i="4"/>
  <c r="G95" i="4"/>
  <c r="J38" i="4"/>
  <c r="K55" i="4"/>
  <c r="K128" i="4"/>
  <c r="H95" i="4"/>
  <c r="K57" i="4"/>
  <c r="T80" i="4"/>
  <c r="Q110" i="4"/>
  <c r="AA29" i="4"/>
  <c r="AB35" i="4"/>
  <c r="O26" i="4"/>
  <c r="V3" i="4"/>
  <c r="AC35" i="4"/>
  <c r="AB34" i="4"/>
  <c r="C7" i="4"/>
  <c r="I95" i="4"/>
  <c r="K31" i="4"/>
  <c r="J39" i="4"/>
  <c r="K58" i="4"/>
  <c r="R110" i="4"/>
  <c r="AB29" i="4"/>
  <c r="F110" i="4"/>
  <c r="K38" i="4"/>
  <c r="K71" i="4"/>
  <c r="AB28" i="4"/>
  <c r="AA34" i="4"/>
  <c r="AC37" i="4"/>
  <c r="AB36" i="4"/>
  <c r="K66" i="4"/>
  <c r="Q95" i="4"/>
  <c r="T110" i="4"/>
  <c r="AC36" i="4"/>
  <c r="AA31" i="4"/>
  <c r="E12" i="4"/>
  <c r="I80" i="4"/>
  <c r="J31" i="4"/>
  <c r="K45" i="4"/>
  <c r="P76" i="4"/>
  <c r="U60" i="4"/>
  <c r="J37" i="4"/>
  <c r="AB27" i="4"/>
  <c r="AB13" i="4" s="1"/>
  <c r="K37" i="4"/>
  <c r="K67" i="4"/>
  <c r="R95" i="4"/>
  <c r="AC27" i="4"/>
  <c r="AC13" i="4" s="1"/>
  <c r="AB31" i="4"/>
  <c r="AA37" i="4"/>
  <c r="S95" i="4"/>
  <c r="AC30" i="4"/>
  <c r="AK131" i="4"/>
  <c r="V95" i="4"/>
  <c r="Z14" i="4"/>
  <c r="Z17" i="4"/>
  <c r="Z20" i="4"/>
  <c r="Z23" i="4"/>
  <c r="Z19" i="4"/>
  <c r="Z15" i="4"/>
  <c r="Z22" i="4"/>
  <c r="Z18" i="4"/>
  <c r="Z21" i="4"/>
  <c r="Z16" i="4"/>
  <c r="F128" i="4" l="1"/>
  <c r="E128" i="4"/>
  <c r="D128" i="4"/>
  <c r="AC21" i="4"/>
  <c r="AB21" i="4"/>
  <c r="AA21" i="4"/>
  <c r="AC18" i="4"/>
  <c r="AB18" i="4"/>
  <c r="AA18" i="4"/>
  <c r="AC22" i="4"/>
  <c r="AB22" i="4"/>
  <c r="AA22" i="4"/>
  <c r="AC15" i="4"/>
  <c r="AB15" i="4"/>
  <c r="AA15" i="4"/>
  <c r="AA19" i="4"/>
  <c r="AC19" i="4"/>
  <c r="AB19" i="4"/>
  <c r="AC23" i="4"/>
  <c r="AA23" i="4"/>
  <c r="AB23" i="4"/>
  <c r="P10" i="4"/>
  <c r="AA16" i="4"/>
  <c r="AC16" i="4"/>
  <c r="AB16" i="4"/>
  <c r="AB20" i="4"/>
  <c r="AC20" i="4"/>
  <c r="AD20" i="4" s="1"/>
  <c r="AA20" i="4"/>
  <c r="AB17" i="4"/>
  <c r="AC17" i="4"/>
  <c r="AD17" i="4" s="1"/>
  <c r="AA17" i="4"/>
  <c r="AC14" i="4"/>
  <c r="AB14" i="4"/>
  <c r="AA14" i="4"/>
  <c r="C95" i="4"/>
  <c r="C110" i="4"/>
  <c r="AD19" i="4" l="1"/>
  <c r="AD22" i="4"/>
  <c r="C121" i="4"/>
  <c r="C120" i="4"/>
  <c r="C103" i="4"/>
  <c r="C119" i="4"/>
  <c r="C102" i="4"/>
  <c r="C118" i="4"/>
  <c r="C101" i="4"/>
  <c r="C117" i="4"/>
  <c r="C100" i="4"/>
  <c r="C116" i="4"/>
  <c r="C99" i="4"/>
  <c r="C113" i="4"/>
  <c r="C106" i="4"/>
  <c r="C114" i="4"/>
  <c r="C105" i="4"/>
  <c r="C112" i="4"/>
  <c r="C104" i="4"/>
  <c r="C115" i="4"/>
  <c r="C98" i="4"/>
  <c r="C97" i="4"/>
  <c r="V112" i="4"/>
  <c r="V121" i="4"/>
  <c r="V120" i="4"/>
  <c r="V103" i="4"/>
  <c r="V119" i="4"/>
  <c r="V102" i="4"/>
  <c r="V118" i="4"/>
  <c r="V101" i="4"/>
  <c r="V117" i="4"/>
  <c r="V100" i="4"/>
  <c r="V116" i="4"/>
  <c r="V99" i="4"/>
  <c r="V113" i="4"/>
  <c r="V106" i="4"/>
  <c r="V105" i="4"/>
  <c r="V104" i="4"/>
  <c r="V115" i="4"/>
  <c r="V98" i="4"/>
  <c r="V114" i="4"/>
  <c r="V97" i="4"/>
  <c r="AD14" i="4"/>
  <c r="AD16" i="4"/>
  <c r="AD23" i="4"/>
  <c r="AD15" i="4"/>
  <c r="AD18" i="4"/>
  <c r="AD21" i="4"/>
  <c r="U13" i="4" a="1"/>
  <c r="Q13" i="4" a="1"/>
  <c r="R13" i="4" a="1"/>
  <c r="R21" i="4" l="1"/>
  <c r="R19" i="4"/>
  <c r="R20" i="4"/>
  <c r="R22" i="4"/>
  <c r="R18" i="4"/>
  <c r="R17" i="4"/>
  <c r="R16" i="4"/>
  <c r="R15" i="4"/>
  <c r="R14" i="4"/>
  <c r="R13" i="4"/>
  <c r="Q17" i="4"/>
  <c r="Q15" i="4"/>
  <c r="Q19" i="4"/>
  <c r="Q18" i="4"/>
  <c r="Q16" i="4"/>
  <c r="Q22" i="4"/>
  <c r="Q21" i="4"/>
  <c r="Q20" i="4"/>
  <c r="Q14" i="4"/>
  <c r="Q13" i="4"/>
  <c r="U16" i="4"/>
  <c r="V16" i="4" s="1"/>
  <c r="U22" i="4"/>
  <c r="V22" i="4" s="1"/>
  <c r="U21" i="4"/>
  <c r="V21" i="4" s="1"/>
  <c r="U20" i="4"/>
  <c r="V20" i="4" s="1"/>
  <c r="U19" i="4"/>
  <c r="V19" i="4" s="1"/>
  <c r="U18" i="4"/>
  <c r="V18" i="4" s="1"/>
  <c r="U17" i="4"/>
  <c r="U13" i="4"/>
  <c r="U14" i="4"/>
  <c r="U15" i="4"/>
  <c r="V13" i="4"/>
  <c r="V17" i="4"/>
  <c r="V15" i="4"/>
  <c r="V14" i="4"/>
  <c r="C111" i="4"/>
  <c r="C96" i="4"/>
  <c r="V111" i="4"/>
  <c r="V9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Satyam Srivastava</author>
  </authors>
  <commentList>
    <comment ref="A1" authorId="0" shapeId="0" xr:uid="{9E444AD4-A8CA-415A-81DC-26AA6023432F}">
      <text>
        <r>
          <rPr>
            <b/>
            <sz val="9"/>
            <color indexed="81"/>
            <rFont val="Tahoma"/>
            <family val="2"/>
          </rPr>
          <t>&lt;?xml version="1.0" encoding="utf-8"?&gt;&lt;Schema xmlns:xsd="http://www.w3.org/2001/XMLSchema" xmlns:xsi="http://www.w3.org/2001/XMLSchema-instance" Version="2" Timestamp="1775056411"&gt;&lt;FQL&gt;&lt;Q&gt;140376^COUNT(FG_CONSTITUENTS)&lt;/Q&gt;&lt;R&gt;1&lt;/R&gt;&lt;C&gt;1&lt;/C&gt;&lt;D xsi:type="xsd:long"&gt;119&lt;/D&gt;&lt;/FQL&gt;&lt;FQL&gt;&lt;Q&gt;180180^COUNT(FG_CONSTITUENTS)&lt;/Q&gt;&lt;R&gt;1&lt;/R&gt;&lt;C&gt;1&lt;/C&gt;&lt;D xsi:type="xsd:long"&gt;20&lt;/D&gt;&lt;/FQL&gt;&lt;FQL&gt;&lt;Q&gt;188580^COUNT(FG_CONSTITUENTS)&lt;/Q&gt;&lt;R&gt;1&lt;/R&gt;&lt;C&gt;1&lt;/C&gt;&lt;D xsi:type="xsd:long"&gt;16&lt;/D&gt;&lt;/FQL&gt;&lt;FQL&gt;&lt;Q&gt;180555^COUNT(FG_CONSTITUENTS)&lt;/Q&gt;&lt;R&gt;1&lt;/R&gt;&lt;C&gt;1&lt;/C&gt;&lt;D xsi:type="xsd:long"&gt;100&lt;/D&gt;&lt;/FQL&gt;&lt;FQL&gt;&lt;Q&gt;183872^COUNT(FG_CONSTITUENTS)&lt;/Q&gt;&lt;R&gt;1&lt;/R&gt;&lt;C&gt;1&lt;/C&gt;&lt;D xsi:type="xsd:long"&gt;500&lt;/D&gt;&lt;/FQL&gt;&lt;FQL&gt;&lt;Q&gt;^CS_EVENT_DESC_N("ER",4)&lt;/Q&gt;&lt;R&gt;0&lt;/R&gt;&lt;C&gt;0&lt;/C&gt;&lt;/FQL&gt;&lt;FQL&gt;&lt;Q&gt;^CS_EVENT_TIME_N("ER",4)&lt;/Q&gt;&lt;R&gt;0&lt;/R&gt;&lt;C&gt;0&lt;/C&gt;&lt;/FQL&gt;&lt;FQL&gt;&lt;Q&gt;^CS_EVENT_DATEJ_N("ER",4)&lt;/Q&gt;&lt;R&gt;0&lt;/R&gt;&lt;C&gt;0&lt;/C&gt;&lt;/FQL&gt;&lt;FQL&gt;&lt;Q&gt;168635^COUNT(FG_CONSTITUENTS)&lt;/Q&gt;&lt;R&gt;1&lt;/R&gt;&lt;C&gt;1&lt;/C&gt;&lt;D xsi:type="xsd:long"&gt;41&lt;/D&gt;&lt;/FQL&gt;&lt;FQL&gt;&lt;Q&gt;188923^COUNT(FG_CONSTITUENTS)&lt;/Q&gt;&lt;R&gt;1&lt;/R&gt;&lt;C&gt;1&lt;/C&gt;&lt;D xsi:type="xsd:long"&gt;30&lt;/D&gt;&lt;/FQL&gt;&lt;FQL&gt;&lt;Q&gt;180824^COUNT(FG_CONSTITUENTS)&lt;/Q&gt;&lt;R&gt;1&lt;/R&gt;&lt;C&gt;1&lt;/C&gt;&lt;D xsi:type="xsd:long"&gt;35&lt;/D&gt;&lt;/FQL&gt;&lt;FQL&gt;&lt;Q&gt;180353^COUNT(FG_CONSTITUENTS)&lt;/Q&gt;&lt;R&gt;1&lt;/R&gt;&lt;C&gt;1&lt;/C&gt;&lt;D xsi:type="xsd:long"&gt;0&lt;/D&gt;&lt;/FQL&gt;&lt;FQL&gt;&lt;Q&gt;186745^COUNT(FG_CONSTITUENTS)&lt;/Q&gt;&lt;R&gt;1&lt;/R&gt;&lt;C&gt;1&lt;/C&gt;&lt;D xsi:type="xsd:long"&gt;200&lt;/D&gt;&lt;/FQL&gt;&lt;FQL&gt;&lt;Q&gt;J433XXXX^COUNT(FG_CONSTITUENTS)&lt;/Q&gt;&lt;R&gt;1&lt;/R&gt;&lt;C&gt;1&lt;/C&gt;&lt;D xsi:type="xsd:long"&gt;121&lt;/D&gt;&lt;/FQL&gt;&lt;FQL&gt;&lt;Q&gt;180371^COUNT(FG_CONSTITUENTS)&lt;/Q&gt;&lt;R&gt;1&lt;/R&gt;&lt;C&gt;1&lt;/C&gt;&lt;D xsi:type="xsd:long"&gt;21&lt;/D&gt;&lt;/FQL&gt;&lt;FQL&gt;&lt;Q&gt;187640^COUNT(FG_CONSTITUENTS)&lt;/Q&gt;&lt;R&gt;1&lt;/R&gt;&lt;C&gt;1&lt;/C&gt;&lt;D xsi:type="xsd:long"&gt;209&lt;/D&gt;&lt;/FQL&gt;&lt;FQL&gt;&lt;Q&gt;180085^COUNT(FG_CONSTITUENTS)&lt;/Q&gt;&lt;R&gt;1&lt;/R&gt;&lt;C&gt;1&lt;/C&gt;&lt;D xsi:type="xsd:long"&gt;31&lt;/D&gt;&lt;/FQL&gt;&lt;FQL&gt;&lt;Q&gt;180731^COUNT(FG_CONSTITUENTS)&lt;/Q&gt;&lt;R&gt;1&lt;/R&gt;&lt;C&gt;1&lt;/C&gt;&lt;D xsi:type="xsd:long"&gt;35&lt;/D&gt;&lt;/FQL&gt;&lt;FQL&gt;&lt;Q&gt;140378^COUNT(FG_CONSTITUENTS)&lt;/Q&gt;&lt;R&gt;1&lt;/R&gt;&lt;C&gt;1&lt;/C&gt;&lt;D xsi:type="xsd:long"&gt;119&lt;/D&gt;&lt;/FQL&gt;&lt;FQL&gt;&lt;Q&gt;181010^COUNT(FG_CONSTITUENTS)&lt;/Q&gt;&lt;R&gt;1&lt;/R&gt;&lt;C&gt;1&lt;/C&gt;&lt;D xsi:type="xsd:long"&gt;30&lt;/D&gt;&lt;/FQL&gt;&lt;FQL&gt;&lt;Q&gt;180461^COUNT(FG_CONSTITUENTS)&lt;/Q&gt;&lt;R&gt;1&lt;/R&gt;&lt;C&gt;1&lt;/C&gt;&lt;D xsi:type="xsd:long"&gt;225&lt;/D&gt;&lt;/FQL&gt;&lt;FQL&gt;&lt;Q&gt;167202^COUNT(FG_CONSTITUENTS)&lt;/Q&gt;&lt;R&gt;1&lt;/R&gt;&lt;C&gt;1&lt;/C&gt;&lt;D xsi:type="xsd:long"&gt;40&lt;/D&gt;&lt;/FQL&gt;&lt;FQL&gt;&lt;Q&gt;180530^COUNT(FG_CONSTITUENTS)&lt;/Q&gt;&lt;R&gt;1&lt;/R&gt;&lt;C&gt;1&lt;/C&gt;&lt;D xsi:type="xsd:long"&gt;1053&lt;/D&gt;&lt;/FQL&gt;&lt;FQL&gt;&lt;Q&gt;168636^COUNT(FG_CONSTITUENTS)&lt;/Q&gt;&lt;R&gt;1&lt;/R&gt;&lt;C&gt;1&lt;/C&gt;&lt;D xsi:type="xsd:long"&gt;119&lt;/D&gt;&lt;/FQL&gt;&lt;FQL&gt;&lt;Q&gt;180060^COUNT(FG_CONSTITUENTS)&lt;/Q&gt;&lt;R&gt;1&lt;/R&gt;&lt;C&gt;1&lt;/C&gt;&lt;D xsi:type="xsd:long"&gt;31&lt;/D&gt;&lt;/FQL&gt;&lt;FQL&gt;&lt;Q&gt;160261^COUNT(FG_CONSTITUENTS)&lt;/Q&gt;&lt;R&gt;1&lt;/R&gt;&lt;C&gt;1&lt;/C&gt;&lt;D xsi:type="xsd:long"&gt;8&lt;/D&gt;&lt;/FQL&gt;&lt;FQL&gt;&lt;Q&gt;180458^COUNT(FG_CONSTITUENTS)&lt;/Q&gt;&lt;R&gt;1&lt;/R&gt;&lt;C&gt;1&lt;/C&gt;&lt;D xsi:type="xsd:long"&gt;90&lt;/D&gt;&lt;/FQL&gt;&lt;FQL&gt;&lt;Q&gt;161597^COUNT(FG_CONSTITUENTS)&lt;/Q&gt;&lt;R&gt;1&lt;/R&gt;&lt;C&gt;1&lt;/C&gt;&lt;D xsi:type="xsd:long"&gt;266&lt;/D&gt;&lt;/FQL&gt;&lt;FQL&gt;&lt;Q&gt;188440^COUNT(FG_CONSTITUENTS)&lt;/Q&gt;&lt;R&gt;1&lt;/R&gt;&lt;C&gt;1&lt;/C&gt;&lt;D xsi:type="xsd:long"&gt;125&lt;/D&gt;&lt;/FQL&gt;&lt;FQL&gt;&lt;Q&gt;153354^COUNT(FG_CONSTITUENTS)&lt;/Q&gt;&lt;R&gt;1&lt;/R&gt;&lt;C&gt;1&lt;/C&gt;&lt;D xsi:type="xsd:long"&gt;50&lt;/D&gt;&lt;/FQL&gt;&lt;FQL&gt;&lt;Q&gt;180454^COUNT(FG_CONSTITUENTS)&lt;/Q&gt;&lt;R&gt;1&lt;/R&gt;&lt;C&gt;1&lt;/C&gt;&lt;D xsi:type="xsd:long"&gt;40&lt;/D&gt;&lt;/FQL&gt;&lt;FQL&gt;&lt;Q&gt;173185^COUNT(FG_CONSTITUENTS)&lt;/Q&gt;&lt;R&gt;1&lt;/R&gt;&lt;C&gt;1&lt;/C&gt;&lt;D xsi:type="xsd:long"&gt;300&lt;/D&gt;&lt;/FQL&gt;&lt;FQL&gt;&lt;Q&gt;187183^COUNT(FG_CONSTITUENTS)&lt;/Q&gt;&lt;R&gt;1&lt;/R&gt;&lt;C&gt;1&lt;/C&gt;&lt;D xsi:type="xsd:long"&gt;114&lt;/D&gt;&lt;/FQL&gt;&lt;FQL&gt;&lt;Q&gt;180825^COUNT(FG_CONSTITUENTS)&lt;/Q&gt;&lt;R&gt;1&lt;/R&gt;&lt;C&gt;1&lt;/C&gt;&lt;D xsi:type="xsd:long"&gt;20&lt;/D&gt;&lt;/FQL&gt;&lt;FQL&gt;&lt;Q&gt;000001172^COUNT(FG_CONSTITUENTS)&lt;/Q&gt;&lt;R&gt;1&lt;/R&gt;&lt;C&gt;1&lt;/C&gt;&lt;D xsi:type="xsd:long"&gt;503&lt;/D&gt;&lt;/FQL&gt;&lt;FQL&gt;&lt;Q&gt;180721^COUNT(FG_CONSTITUENTS)&lt;/Q&gt;&lt;R&gt;1&lt;/R&gt;&lt;C&gt;1&lt;/C&gt;&lt;D xsi:type="xsd:long"&gt;836&lt;/D&gt;&lt;/FQL&gt;&lt;FQL&gt;&lt;Q&gt;00000110^COUNT(FG_CONSTITUENTS)&lt;/Q&gt;&lt;R&gt;1&lt;/R&gt;&lt;C&gt;1&lt;/C&gt;&lt;D xsi:type="xsd:long"&gt;30&lt;/D&gt;&lt;/FQL&gt;&lt;FQL&gt;&lt;Q&gt;180553^COUNT(FG_CONSTITUENTS)&lt;/Q&gt;&lt;R&gt;1&lt;/R&gt;&lt;C&gt;1&lt;/C&gt;&lt;D xsi:type="xsd:long"&gt;142&lt;/D&gt;&lt;/FQL&gt;&lt;FQL&gt;&lt;Q&gt;185419^COUNT(FG_CONSTITUENTS)&lt;/Q&gt;&lt;R&gt;1&lt;/R&gt;&lt;C&gt;1&lt;/C&gt;&lt;D xsi:type="xsd:long"&gt;25&lt;/D&gt;&lt;/FQL&gt;&lt;FQL&gt;&lt;Q&gt;180264^COUNT(FG_CONSTITUENTS)&lt;/Q&gt;&lt;R&gt;1&lt;/R&gt;&lt;C&gt;1&lt;/C&gt;&lt;D xsi:type="xsd:long"&gt;83&lt;/D&gt;&lt;/FQL&gt;&lt;FQL&gt;&lt;Q&gt;186658^COUNT(FG_CONSTITUENTS)&lt;/Q&gt;&lt;R&gt;1&lt;/R&gt;&lt;C&gt;1&lt;/C&gt;&lt;D xsi:type="xsd:long"&gt;61&lt;/D&gt;&lt;/FQL&gt;&lt;FQL&gt;&lt;Q&gt;891990004^COUNT(FG_CONSTITUENTS)&lt;/Q&gt;&lt;R&gt;1&lt;/R&gt;&lt;C&gt;1&lt;/C&gt;&lt;D xsi:type="xsd:long"&gt;221&lt;/D&gt;&lt;/FQL&gt;&lt;FQL&gt;&lt;Q&gt;12496H108^COUNT(FG_CONSTITUENTS)&lt;/Q&gt;&lt;R&gt;1&lt;/R&gt;&lt;C&gt;1&lt;/C&gt;&lt;D xsi:type="xsd:long"&gt;1006&lt;/D&gt;&lt;/FQL&gt;&lt;FQL&gt;&lt;Q&gt;188931^COUNT(FG_CONSTITUENTS)&lt;/Q&gt;&lt;R&gt;1&lt;/R&gt;&lt;C&gt;1&lt;/C&gt;&lt;D xsi:type="xsd:long"&gt;20&lt;/D&gt;&lt;/FQL&gt;&lt;FQL&gt;&lt;Q&gt;12490H10^COUNT(FG_CONSTITUENTS)&lt;/Q&gt;&lt;R&gt;1&lt;/R&gt;&lt;C&gt;1&lt;/C&gt;&lt;D xsi:type="xsd:long"&gt;101&lt;/D&gt;&lt;/FQL&gt;&lt;FQL&gt;&lt;Q&gt;188928^COUNT(FG_CONSTITUENTS)&lt;/Q&gt;&lt;R&gt;1&lt;/R&gt;&lt;C&gt;1&lt;/C&gt;&lt;D xsi:type="xsd:long"&gt;20&lt;/D&gt;&lt;/FQL&gt;&lt;FQL&gt;&lt;Q&gt;181510^COUNT(FG_CONSTITUENTS)&lt;/Q&gt;&lt;R&gt;1&lt;/R&gt;&lt;C&gt;1&lt;/C&gt;&lt;D xsi:type="xsd:long"&gt;550&lt;/D&gt;&lt;/FQL&gt;&lt;FQL&gt;&lt;Q&gt;180334^COUNT(FG_CONSTITUENTS)&lt;/Q&gt;&lt;R&gt;1&lt;/R&gt;&lt;C&gt;1&lt;/C&gt;&lt;D xsi:type="xsd:long"&gt;500&lt;/D&gt;&lt;/FQL&gt;&lt;FQL&gt;&lt;Q&gt;187653^COUNT(FG_CONSTITUENTS)&lt;/Q&gt;&lt;R&gt;1&lt;/R&gt;&lt;C&gt;1&lt;/C&gt;&lt;D xsi:type="xsd:long"&gt;40&lt;/D&gt;&lt;/FQL&gt;&lt;FQL&gt;&lt;Q&gt;180554^COUNT(FG_CONSTITUENTS)&lt;/Q&gt;&lt;R&gt;1&lt;/R&gt;&lt;C&gt;1&lt;/C&gt;&lt;D xsi:type="xsd:long"&gt;532&lt;/D&gt;&lt;/FQL&gt;&lt;FQL&gt;&lt;Q&gt;186801^COUNT(FG_CONSTITUENTS)&lt;/Q&gt;&lt;R&gt;1&lt;/R&gt;&lt;C&gt;1&lt;/C&gt;&lt;D xsi:type="xsd:long"&gt;350&lt;/D&gt;&lt;/FQL&gt;&lt;FQL&gt;&lt;Q&gt;186800^COUNT(FG_CONSTITUENTS)&lt;/Q&gt;&lt;R&gt;1&lt;/R&gt;&lt;C&gt;1&lt;/C&gt;&lt;D xsi:type="xsd:long"&gt;250&lt;/D&gt;&lt;/FQL&gt;&lt;FQL&gt;&lt;Q&gt;157385^COUNT(FG_CONSTITUENTS)&lt;/Q&gt;&lt;R&gt;1&lt;/R&gt;&lt;C&gt;1&lt;/C&gt;&lt;D xsi:type="xsd:long"&gt;50&lt;/D&gt;&lt;/FQL&gt;&lt;FQL&gt;&lt;Q&gt;^CS_EVENT_DATEJ_N("ER",3)&lt;/Q&gt;&lt;R&gt;0&lt;/R&gt;&lt;C&gt;0&lt;/C&gt;&lt;/FQL&gt;&lt;FQL&gt;&lt;Q&gt;^CS_EVENT_TIME_N("ER",3)&lt;/Q&gt;&lt;R&gt;0&lt;/R&gt;&lt;C&gt;0&lt;/C&gt;&lt;/FQL&gt;&lt;FQL&gt;&lt;Q&gt;^CS_EVENT_DESC_N("ER",3)&lt;/Q&gt;&lt;R&gt;0&lt;/R&gt;&lt;C&gt;0&lt;/C&gt;&lt;/FQL&gt;&lt;FQL&gt;&lt;Q&gt;DUMMY^JULIAN(TODAY)&lt;/Q&gt;&lt;R&gt;1&lt;/R&gt;&lt;C&gt;1&lt;/C&gt;&lt;D xsi:type="xsd:long"&gt;46113&lt;/D&gt;&lt;/FQL&gt;&lt;FQL&gt;&lt;Q&gt;^CS_EVENT_DATEJ_N("ER",2)&lt;/Q&gt;&lt;R&gt;0&lt;/R&gt;&lt;C&gt;0&lt;/C&gt;&lt;/FQL&gt;&lt;FQL&gt;&lt;Q&gt;^CS_EVENT_TIME_N("ER",2)&lt;/Q&gt;&lt;R&gt;0&lt;/R&gt;&lt;C&gt;0&lt;/C&gt;&lt;/FQL&gt;&lt;FQL&gt;&lt;Q&gt;^CS_EVENT_DESC_N("ER",2)&lt;/Q&gt;&lt;R&gt;0&lt;/R&gt;&lt;C&gt;0&lt;/C&gt;&lt;/FQL&gt;&lt;FQL&gt;&lt;Q&gt;^CS_EVENT_DESC_N("E",1)&lt;/Q&gt;&lt;R&gt;0&lt;/R&gt;&lt;C&gt;0&lt;/C&gt;&lt;/FQL&gt;&lt;FQL&gt;&lt;Q&gt;^CS_EVENT_TIME_N("E",1)&lt;/Q&gt;&lt;R&gt;0&lt;/R&gt;&lt;C&gt;0&lt;/C&gt;&lt;/FQL&gt;&lt;FQL&gt;&lt;Q&gt;^CS_EVENT_DATEJ_N("E",1)&lt;/Q&gt;&lt;R&gt;0&lt;/R&gt;&lt;C&gt;0&lt;/C&gt;&lt;/FQL&gt;&lt;FQL&gt;&lt;Q&gt;^CS_EVENT_TIME_N("ER",1)&lt;/Q&gt;&lt;R&gt;0&lt;/R&gt;&lt;C&gt;0&lt;/C&gt;&lt;/FQL&gt;&lt;FQL&gt;&lt;Q&gt;^CS_EVENT_DESC_N("ER",1)&lt;/Q&gt;&lt;R&gt;0&lt;/R&gt;&lt;C&gt;0&lt;/C&gt;&lt;/FQL&gt;&lt;FQL&gt;&lt;Q&gt;^CS_EVENT_DATEJ_N("ER",1)&lt;/Q&gt;&lt;R&gt;0&lt;/R&gt;&lt;C&gt;0&lt;/C&gt;&lt;/FQL&gt;&lt;FQL&gt;&lt;Q&gt;^FG_COMPANY_NAME&lt;/Q&gt;&lt;R&gt;0&lt;/R&gt;&lt;C&gt;0&lt;/C&gt;&lt;/FQL&gt;&lt;FQL&gt;&lt;Q&gt;000001172^FMA_GEOREV_TOP_EXPOSURES(4,20,0,,,,"PORTAGG")&lt;/Q&gt;&lt;R&gt;21&lt;/R&gt;&lt;C&gt;2&lt;/C&gt;&lt;D xsi:type="xsd:string"&gt;Dates&lt;/D&gt;&lt;D xsi:type="xsd:string"&gt;20260331&lt;/D&gt;&lt;D xsi:type="xsd:string"&gt;United States&lt;/D&gt;&lt;D xsi:type="xsd:string"&gt;59.539886&lt;/D&gt;&lt;D xsi:type="xsd:string"&gt;Mainland China&lt;/D&gt;&lt;D xsi:type="xsd:string"&gt;6.777258&lt;/D&gt;&lt;D xsi:type="xsd:string"&gt;Taiwan, China&lt;/D&gt;&lt;D xsi:type="xsd:string"&gt;2.466198&lt;/D&gt;&lt;D xsi:type="xsd:string"&gt;Japan&lt;/D&gt;&lt;D xsi:type="xsd:string"&gt;2.330717&lt;/D&gt;&lt;D xsi:type="xsd:string"&gt;United Kingdom&lt;/D&gt;&lt;D xsi:type="xsd:string"&gt;2.124606&lt;/D&gt;&lt;D xsi:type="xsd:string"&gt;Germany&lt;/D&gt;&lt;D xsi:type="xsd:string"&gt;1.930996&lt;/D&gt;&lt;D xsi:type="xsd:string"&gt;Canada&lt;/D&gt;&lt;D xsi:type="xsd:string"&gt;1.651652&lt;/D&gt;&lt;D xsi:type="xsd:string"&gt;India&lt;/D&gt;&lt;D xsi:type="xsd:string"&gt;1.525255&lt;/D&gt;&lt;D xsi:type="xsd:string"&gt;France&lt;/D&gt;&lt;D xsi:type="xsd:string"&gt;1.422384&lt;/D&gt;&lt;D xsi:type="xsd:string"&gt;Republic of Korea (South Korea)&lt;/D&gt;&lt;D xsi:type="xsd:string"&gt;1.183826&lt;/D&gt;&lt;D xsi:type="xsd:string"&gt;Italy&lt;/D&gt;&lt;D xsi:type="xsd:string"&gt;1.023350&lt;/D&gt;&lt;D xsi:type="xsd:string"&gt;Brazil&lt;/D&gt;&lt;D xsi:type="xsd:string"&gt;0.959733&lt;/D&gt;&lt;D xsi:type="xsd:string"&gt;Mexico&lt;/D&gt;&lt;D xsi:type="xsd:string"&gt;0.954168&lt;/D&gt;&lt;D xsi:type="xsd:string"&gt;Singapore&lt;/D&gt;&lt;D xsi:type="xsd:string"&gt;0.947034&lt;/D&gt;&lt;D xsi:type="xsd:string"&gt;Russian Federation&lt;/D&gt;&lt;D xsi:type="xsd:string"&gt;0.822947&lt;/D&gt;&lt;D xsi:type="xsd:string"&gt;Australia&lt;/D&gt;&lt;D xsi:type="xsd:string"&gt;0.813825&lt;/D&gt;&lt;D xsi:type="xsd:string"&gt;Spain&lt;/D&gt;&lt;D xsi:type="xsd:string"&gt;0.783558&lt;/D&gt;&lt;D xsi:type="xsd:string"&gt;Netherlands&lt;/D&gt;&lt;D xsi:type="xsd:string"&gt;0.772054&lt;/D&gt;&lt;D xsi:type="xsd:string"&gt;Indonesia&lt;/D&gt;&lt;D xsi:type="xsd:string"&gt;0.615185&lt;/D&gt;&lt;D xsi:type="xsd:string"&gt;Turkey&lt;/D&gt;&lt;D xsi:type="xsd:string"&gt;0.528447&lt;/D&gt;&lt;/FQL&gt;&lt;FQL&gt;&lt;Q&gt;000001172^FMA_GEOREV_SUPER_REGION("R170",0,,,,"PORTAGG")&lt;/Q&gt;&lt;R&gt;1&lt;/R&gt;&lt;C&gt;1&lt;/C&gt;&lt;D xsi:type="xsd:double"&gt;18.706844650487&lt;/D&gt;&lt;/FQL&gt;&lt;FQL&gt;&lt;Q&gt;000001172^FMA_EVAL_EBITDA(+1,0,,,"PORTAGG","MEANR")&lt;/Q&gt;&lt;R&gt;1&lt;/R&gt;&lt;C&gt;1&lt;/C&gt;&lt;D xsi:type="xsd:double"&gt;14.0365255845797&lt;/D&gt;&lt;/FQL&gt;&lt;FQL&gt;&lt;Q&gt;000001172^FMA_GEOREV_ECONOMY("FRNT",-2AY,,,,"PORTAGG")&lt;/Q&gt;&lt;R&gt;1&lt;/R&gt;&lt;C&gt;1&lt;/C&gt;&lt;D xsi:type="xsd:double"&gt;3.362960434464&lt;/D&gt;&lt;/FQL&gt;&lt;FQL&gt;&lt;Q&gt;000001172^FMA_GEOREV_SUPER_REGION("R1",-1AY,,,,"PORTAGG")&lt;/Q&gt;&lt;R&gt;1&lt;/R&gt;&lt;C&gt;1&lt;/C&gt;&lt;D xsi:type="xsd:double"&gt;3.588337264796&lt;/D&gt;&lt;/FQL&gt;&lt;FQL&gt;&lt;Q&gt;000001172^JULIAN(FMA_GEOREV_SUPER_REGION("R101",0,,,,"AGGREGATE").DATES)&lt;/Q&gt;&lt;R&gt;1&lt;/R&gt;&lt;C&gt;1&lt;/C&gt;&lt;D xsi:type="xsd:long"&gt;46112&lt;/D&gt;&lt;/FQL&gt;&lt;FQL&gt;&lt;Q&gt;000001172^FMA_EVAL_EBITDA(NTMA,0,,,"PORTAGG","MEANR")&lt;/Q&gt;&lt;R&gt;1&lt;/R&gt;&lt;C&gt;1&lt;/C&gt;&lt;D xsi:type="xsd:double"&gt;13.6014108755251&lt;/D&gt;&lt;/FQL&gt;&lt;FQL&gt;&lt;Q&gt;000001172^FMA_PCT_BELOW_MAVG(50,0)&lt;/Q&gt;&lt;R&gt;1&lt;/R&gt;&lt;C&gt;1&lt;/C&gt;&lt;D xsi:type="xsd:double"&gt;77.1371769383698&lt;/D&gt;&lt;/FQL&gt;&lt;FQL&gt;&lt;Q&gt;000001172^FG_TRET_PCHG_IDX(0,-6AM,)/100&lt;/Q&gt;&lt;R&gt;1&lt;/R&gt;&lt;C&gt;1&lt;/C&gt;&lt;D xsi:type="xsd:double"&gt;-0.0179438049767531&lt;/D&gt;&lt;/FQL&gt;&lt;FQL&gt;&lt;Q&gt;000001172^JULIAN(FMA_GEOREV_SUPER_REGION("R101",-1AY,,,,"AGGREGATE").DATES)&lt;/Q&gt;&lt;R&gt;1&lt;/R&gt;&lt;C&gt;1&lt;/C&gt;&lt;D xsi:type="xsd:long"&gt;45747&lt;/D&gt;&lt;/FQL&gt;&lt;FQL&gt;&lt;Q&gt;000001172^FG_PCHG_IDX(0,-6AM,)/100&lt;/Q&gt;&lt;R&gt;1&lt;/R&gt;&lt;C&gt;1&lt;/C&gt;&lt;D xsi:type="xsd:double"&gt;-0.0239130795796682&lt;/D&gt;&lt;/FQL&gt;&lt;FQL&gt;&lt;Q&gt;000001172^STRING_ARRAY SECT=VALUE("000001172",FG_INDUSTRY_BREAKDOWN("ONE",0));""&lt;/Q&gt;&lt;R&gt;1&lt;/R&gt;&lt;C&gt;1&lt;/C&gt;&lt;D xsi:type="xsd:string" /&gt;&lt;/FQL&gt;&lt;FQL&gt;&lt;Q&gt;000001172^STRING_ARRAY SECT=TRANSPOSE(FG_INDUSTRY_BREAKDOWN("FOUR",0));""&lt;/Q&gt;&lt;R&gt;1&lt;/R&gt;&lt;C&gt;1&lt;/C&gt;&lt;D xsi:type="xsd:string" /&gt;&lt;/FQL&gt;&lt;FQL&gt;&lt;Q&gt;000001172^FG_CURRENCY_IDX("NAME")&lt;/Q&gt;&lt;R&gt;1&lt;/R&gt;&lt;C&gt;1&lt;/C&gt;&lt;D xsi:type="xsd:string"&gt;U.S. Dollar&lt;/D&gt;&lt;/FQL&gt;&lt;FQL&gt;&lt;Q&gt;000001172^MAX(FG_PRICE_IDX(0,-1AY,))&lt;/Q&gt;&lt;R&gt;1&lt;/R&gt;&lt;C&gt;1&lt;/C&gt;&lt;D xsi:type="xsd:double"&gt;6978.59692762675&lt;/D&gt;&lt;/FQL&gt;&lt;FQL&gt;&lt;Q&gt;000001172^FMA_PE(+2,0,,,"PORTAGG","MEANR")&lt;/Q&gt;&lt;R&gt;1&lt;/R&gt;&lt;C&gt;1&lt;/C&gt;&lt;D xsi:type="xsd:double"&gt;17.5096771307366&lt;/D&gt;&lt;/FQL&gt;&lt;FQL&gt;&lt;Q&gt;000001172^FG_SOURCE_IDX&lt;/Q&gt;&lt;R&gt;1&lt;/R&gt;&lt;C&gt;1&lt;/C&gt;&lt;D xsi:type="xsd:string"&gt;S&amp;amp;P US&lt;/D&gt;&lt;/FQL&gt;&lt;FQL&gt;&lt;Q&gt;000001172^FMA_GEOREV_SUPER_REGION("R1",-2AY,,,,"PORTAGG")&lt;/Q&gt;&lt;R&gt;1&lt;/R&gt;&lt;C&gt;1&lt;/C&gt;&lt;D xsi:type="xsd:double"&gt;3.620869993902&lt;/D&gt;&lt;/FQL&gt;&lt;FQL&gt;&lt;Q&gt;^SORT_INDIRECT(TRANSPOSE(US_UNIV('(FG_CONSTITUENTS(000001172))=1','TICKER')),TRANSPOSE(GET_FQL_ARRAY(US_UNIV('(FG_CONSTITUENTS(000001172))=1','TICKER'),"JULIAN(CS_EVENT_DESC_N('ER',1).DATES)")),1)&lt;/Q&gt;&lt;R&gt;503&lt;/R&gt;&lt;C&gt;1&lt;/C&gt;&lt;D xsi:type="xsd:string"&gt;Q&lt;/D&gt;&lt;D xsi:type="xsd:string"&gt;CAG&lt;/D&gt;&lt;D xsi:type="xsd:string"&gt;STZ&lt;/D&gt;&lt;D xsi:type="xsd:string"&gt;DAL&lt;/D&gt;&lt;D xsi:type="xsd:string"&gt;PGR&lt;/D&gt;&lt;D xsi:type="xsd:string"&gt;FAST&lt;/D&gt;&lt;D xsi:type="xsd:string"&gt;GS&lt;/D&gt;&lt;D xsi:type="xsd:string"&gt;JPM&lt;/D&gt;&lt;D xsi:type="xsd:string"&gt;WFC&lt;/D&gt;&lt;D xsi:type="xsd:string"&gt;JNJ&lt;/D&gt;&lt;D xsi:type="xsd:string"&gt;BLK&lt;/D&gt;&lt;D xsi:type="xsd:string"&gt;C&lt;/D&gt;&lt;D xsi:type="xsd:string"&gt;BAC&lt;/D&gt;&lt;D xsi:type="xsd:string"&gt;MS&lt;/D&gt;&lt;D xsi:type="xsd:string"&gt;MTB&lt;/D&gt;&lt;D xsi:type="xsd:string"&gt;PNC&lt;/D&gt;&lt;D xsi:type="xsd:string"&gt;KEY&lt;/D&gt;&lt;D xsi:type="xsd:string"&gt;FCX&lt;/D&gt;&lt;D xsi:type="xsd:string"&gt;USB&lt;/D&gt;&lt;D xsi:type="xsd:string"&gt;POOL&lt;/D&gt;&lt;D xsi:type="xsd:string"&gt;SNA&lt;/D&gt;&lt;D xsi:type="xsd:string"&gt;MRSH&lt;/D&gt;&lt;D xsi:type="xsd:string"&gt;NFLX&lt;/D&gt;&lt;D xsi:type="xsd:string"&gt;PLD&lt;/D&gt;&lt;D xsi:type="xsd:string"&gt;ABT&lt;/D&gt;&lt;D xsi:type="xsd:string"&gt;PPG&lt;/D&gt;&lt;D xsi:type="xsd:string"&gt;BK&lt;/D&gt;&lt;D xsi:type="xsd:string"&gt;TRV&lt;/D&gt;&lt;D xsi:type="xsd:string"&gt;BX&lt;/D&gt;&lt;D xsi:type="xsd:string"&gt;CFG&lt;/D&gt;&lt;D xsi:type="xsd:string"&gt;FITB&lt;/D&gt;&lt;D xsi:type="xsd:string"&gt;TFC&lt;/D&gt;&lt;D xsi:type="xsd:string"&gt;STT&lt;/D&gt;&lt;D xsi:type="xsd:string"&gt;RF&lt;/D&gt;&lt;D xsi:type="xsd:string"&gt;STLD&lt;/D&gt;&lt;D xsi:type="xsd:string"&gt;SCHW&lt;/D&gt;&lt;D xsi:type="xsd:string"&gt;JBHT&lt;/D&gt;&lt;D xsi:type="xsd:string"&gt;RTX&lt;/D&gt;&lt;D xsi:type="xsd:string"&gt;LMT&lt;/D&gt;&lt;D xsi:type="xsd:string"&gt;DHR&lt;/D&gt;&lt;D xsi:type="xsd:string"&gt;UNH&lt;/D&gt;&lt;D xsi:type="xsd:string"&gt;HAL&lt;/D&gt;&lt;D xsi:type="xsd:string"&gt;WRB&lt;/D&gt;&lt;D xsi:type="xsd:string"&gt;COF&lt;/D&gt;&lt;D xsi:type="xsd:string"&gt;TSCO&lt;/D&gt;&lt;D xsi:type="xsd:string"&gt;GE&lt;/D&gt;&lt;D xsi:type="xsd:string"&gt;GPC&lt;/D&gt;&lt;D xsi:type="xsd:string"&gt;NOC&lt;/D&gt;&lt;D xsi:type="xsd:string"&gt;DGX&lt;/D&gt;&lt;D xsi:type="xsd:string"&gt;DHI&lt;/D&gt;&lt;D xsi:type="xsd:string"&gt;OMC&lt;/D&gt;&lt;D xsi:type="xsd:string"&gt;ISRG&lt;/D&gt;&lt;D xsi:type="xsd:string"&gt;NTRS&lt;/D&gt;&lt;D xsi:type="xsd:string"&gt;UAL&lt;/D&gt;&lt;D xsi:type="xsd:string"&gt;IBKR&lt;/D&gt;&lt;D xsi:type="xsd:string"&gt;CB&lt;/D&gt;&lt;D xsi:type="xsd:string"&gt;SYF&lt;/D&gt;&lt;D xsi:type="xsd:string"&gt;BSX&lt;/D&gt;&lt;D xsi:type="xsd:string"&gt;CCI&lt;/D&gt;&lt;D xsi:type="xsd:string"&gt;EFX&lt;/D&gt;&lt;D xsi:type="xsd:string"&gt;RJF&lt;/D&gt;&lt;D xsi:type="xsd:string"&gt;IBM&lt;/D&gt;&lt;D xsi:type="xsd:string"&gt;BA&lt;/D&gt;&lt;D xsi:type="xsd:string"&gt;MAS&lt;/D&gt;&lt;D xsi:type="xsd:string"&gt;WAB&lt;/D&gt;&lt;D xsi:type="xsd:string"&gt;CSX&lt;/D&gt;&lt;D xsi:type="xsd:string"&gt;LUV&lt;/D&gt;&lt;D xsi:type="xsd:string"&gt;PKG&lt;/D&gt;&lt;D xsi:type="xsd:string"&gt;KMI&lt;/D&gt;&lt;D xsi:type="xsd:string"&gt;NDAQ&lt;/D&gt;&lt;D xsi:type="xsd:string"&gt;ELV&lt;/D&gt;&lt;D xsi:type="xsd:string"&gt;CME&lt;/D&gt;&lt;D xsi:type="xsd:string"&gt;T&lt;/D&gt;&lt;D xsi:type="xsd:string"&gt;PM&lt;/D&gt;&lt;D xsi:type="xsd:string"&gt;GEV&lt;/D&gt;&lt;D xsi:type="xsd:string"&gt;PHM&lt;/D&gt;&lt;D xsi:type="xsd:string"&gt;CPT&lt;/D&gt;&lt;D xsi:type="xsd:string"&gt;WST&lt;/D&gt;&lt;D xsi:type="xsd:string"&gt;RMD&lt;/D&gt;&lt;D xsi:type="xsd:string"&gt;HON&lt;/D&gt;&lt;D xsi:type="xsd:string"&gt;PCG&lt;/D&gt;&lt;D xsi:type="xsd:string"&gt;AOS&lt;/D&gt;&lt;D xsi:type="xsd:string"&gt;NEM&lt;/D&gt;&lt;D xsi:type="xsd:string"&gt;KIM&lt;/D&gt;&lt;D xsi:type="xsd:string"&gt;HSY&lt;/D&gt;&lt;D xsi:type="xsd:string"&gt;VRSN&lt;/D&gt;&lt;D xsi:type="xsd:string"&gt;CINF&lt;/D&gt;&lt;D xsi:type="xsd:string"&gt;AJG&lt;/D&gt;&lt;D xsi:type="xsd:string"&gt;WTW&lt;/D&gt;&lt;D xsi:type="xsd:string"&gt;GILD&lt;/D&gt;&lt;D xsi:type="xsd:string"&gt;ERIE&lt;/D&gt;&lt;D xsi:type="xsd:string"&gt;DOV&lt;/D&gt;&lt;D xsi:type="xsd:string"&gt;DTE&lt;/D&gt;&lt;D xsi:type="xsd:string"&gt;HAS&lt;/D&gt;&lt;D xsi:type="xsd:string"&gt;AMZN&lt;/D&gt;&lt;D xsi:type="xsd:string"&gt;HIG&lt;/D&gt;&lt;D xsi:type="xsd:string"&gt;HBAN&lt;/D&gt;&lt;D xsi:type="xsd:string"&gt;EME&lt;/D&gt;&lt;D xsi:type="xsd:string"&gt;KLAC&lt;/D&gt;&lt;D xsi:type="xsd:string"&gt;TROW&lt;/D&gt;&lt;D xsi:type="xsd:string"&gt;AXP&lt;/D&gt;&lt;D xsi:type="xsd:string"&gt;CNP&lt;/D&gt;&lt;D xsi:type="xsd:string"&gt;WDC&lt;/D&gt;&lt;D xsi:type="xsd:string"&gt;PFG&lt;/D&gt;&lt;D xsi:type="xsd:string"&gt;INTC&lt;/D&gt;&lt;D xsi:type="xsd:string"&gt;FE&lt;/D&gt;&lt;D xsi:type="xsd:string"&gt;CAT&lt;/D&gt;&lt;D xsi:type="xsd:string"&gt;MCD&lt;/D&gt;&lt;D xsi:type="xsd:string"&gt;UNP&lt;/D&gt;&lt;D xsi:type="xsd:string"&gt;XEL&lt;/D&gt;&lt;D xsi:type="xsd:string"&gt;CMS&lt;/D&gt;&lt;D xsi:type="xsd:string"&gt;MA&lt;/D&gt;&lt;D xsi:type="xsd:string"&gt;DXCM&lt;/D&gt;&lt;D xsi:type="xsd:string"&gt;ALLE&lt;/D&gt;&lt;D xsi:type="xsd:string"&gt;DLR&lt;/D&gt;&lt;D xsi:type="xsd:string"&gt;KDP&lt;/D&gt;&lt;D xsi:type="xsd:string"&gt;BKR&lt;/D&gt;&lt;D xsi:type="xsd:string"&gt;CMCSA&lt;/D&gt;&lt;D xsi:type="xsd:string"&gt;CBRE&lt;/D&gt;&lt;D xsi:type="xsd:string"&gt;DOC&lt;/D&gt;&lt;D xsi:type="xsd:string"&gt;AMP&lt;/D&gt;&lt;D xsi:type="xsd:string"&gt;FSLR&lt;/D&gt;&lt;D xsi:type="xsd:string"&gt;FTV&lt;/D&gt;&lt;D xsi:type="xsd:string"&gt;DOW&lt;/D&gt;&lt;D xsi:type="xsd:string"&gt;CARR&lt;/D&gt;&lt;D xsi:type="xsd:string"&gt;CVX&lt;/D&gt;&lt;D xsi:type="xsd:string"&gt;PG&lt;/D&gt;&lt;D xsi:type="xsd:string"&gt;NSC&lt;/D&gt;&lt;D xsi:type="xsd:string"&gt;XOM&lt;/D&gt;&lt;D xsi:type="xsd:string"&gt;SLB&lt;/D&gt;&lt;D xsi:type="xsd:string"&gt;HCA&lt;/D&gt;&lt;D xsi:type="xsd:string"&gt;CHTR&lt;/D&gt;&lt;D xsi:type="xsd:string"&gt;LYB&lt;/D&gt;&lt;D xsi:type="xsd:string"&gt;ARES&lt;/D&gt;&lt;D xsi:type="xsd:string"&gt;UHS&lt;/D&gt;&lt;D xsi:type="xsd:string"&gt;ARE&lt;/D&gt;&lt;D xsi:type="xsd:string"&gt;VZ&lt;/D&gt;&lt;D xsi:type="xsd:string"&gt;BRO&lt;/D&gt;&lt;D xsi:type="xsd:string"&gt;CDNS&lt;/D&gt;&lt;D xsi:type="xsd:string"&gt;NUE&lt;/D&gt;&lt;D xsi:type="xsd:string"&gt;LII&lt;/D&gt;&lt;D xsi:type="xsd:string"&gt;DPZ&lt;/D&gt;&lt;D xsi:type="xsd:string"&gt;MSFT&lt;/D&gt;&lt;D xsi:type="xsd:string"&gt;MCO&lt;/D&gt;&lt;D xsi:type="xsd:string"&gt;KO&lt;/D&gt;&lt;D xsi:type="xsd:string"&gt;FISV&lt;/D&gt;&lt;D xsi:type="xsd:string"&gt;AMT&lt;/D&gt;&lt;D xsi:type="xsd:string"&gt;NVR&lt;/D&gt;&lt;D xsi:type="xsd:string"&gt;ROP&lt;/D&gt;&lt;D xsi:type="xsd:string"&gt;TER&lt;/D&gt;&lt;D xsi:type="xsd:string"&gt;MMM&lt;/D&gt;&lt;D xsi:type="xsd:string"&gt;IEX&lt;/D&gt;&lt;D xsi:type="xsd:string"&gt;CSGP&lt;/D&gt;&lt;D xsi:type="xsd:string"&gt;TXN&lt;/D&gt;&lt;D xsi:type="xsd:string"&gt;ESS&lt;/D&gt;&lt;D xsi:type="xsd:string"&gt;CNC&lt;/D&gt;&lt;D xsi:type="xsd:string"&gt;WM&lt;/D&gt;&lt;D xsi:type="xsd:string"&gt;EQR&lt;/D&gt;&lt;D xsi:type="xsd:string"&gt;PCAR&lt;/D&gt;&lt;D xsi:type="xsd:string"&gt;SPGI&lt;/D&gt;&lt;D xsi:type="xsd:string"&gt;SHW&lt;/D&gt;&lt;D xsi:type="xsd:string"&gt;ECL&lt;/D&gt;&lt;D xsi:type="xsd:string"&gt;EIX&lt;/D&gt;&lt;D xsi:type="xsd:string"&gt;UPS&lt;/D&gt;&lt;D xsi:type="xsd:string"&gt;ACGL&lt;/D&gt;&lt;D xsi:type="xsd:string"&gt;KMB&lt;/D&gt;&lt;D xsi:type="xsd:string"&gt;PEP&lt;/D&gt;&lt;D xsi:type="xsd:string"&gt;HUBB&lt;/D&gt;&lt;D xsi:type="xsd:string"&gt;ADM&lt;/D&gt;&lt;D xsi:type="xsd:string"&gt;BKNG&lt;/D&gt;&lt;D xsi:type="xsd:string"&gt;MSCI&lt;/D&gt;&lt;D xsi:type="xsd:string"&gt;GOOGL&lt;/D&gt;&lt;D xsi:type="xsd:string"&gt;GM&lt;/D&gt;&lt;D xsi:type="xsd:string"&gt;NEE&lt;/D&gt;&lt;D xsi:type="xsd:string"&gt;NXPI&lt;/D&gt;&lt;D xsi:type="xsd:string"&gt;MDLZ&lt;/D&gt;&lt;D xsi:type="xsd:string"&gt;TSLA&lt;/D&gt;&lt;D xsi:type="xsd:string"&gt;GOOG&lt;/D&gt;&lt;D xsi:type="xsd:string"&gt;HLT&lt;/D&gt;&lt;D xsi:type="xsd:string"&gt;IVZ&lt;/D&gt;&lt;D xsi:type="xsd:string"&gt;EXR&lt;/D&gt;&lt;D xsi:type="xsd:string"&gt;TMUS&lt;/D&gt;&lt;D xsi:type="xsd:string"&gt;UDR&lt;/D&gt;&lt;D xsi:type="xsd:string"&gt;V&lt;/D&gt;&lt;D xsi:type="xsd:string"&gt;PNR&lt;/D&gt;&lt;D xsi:type="xsd:string"&gt;VLTO&lt;/D&gt;&lt;D xsi:type="xsd:string"&gt;XYL&lt;/D&gt;&lt;D xsi:type="xsd:string"&gt;MAA&lt;/D&gt;&lt;D xsi:type="xsd:string"&gt;EQIX&lt;/D&gt;&lt;D xsi:type="xsd:string"&gt;GRMN&lt;/D&gt;&lt;D xsi:type="xsd:string"&gt;EW&lt;/D&gt;&lt;D xsi:type="xsd:string"&gt;MGM&lt;/D&gt;&lt;D xsi:type="xsd:string"&gt;APH&lt;/D&gt;&lt;D xsi:type="xsd:string"&gt;ALL&lt;/D&gt;&lt;D xsi:type="xsd:string"&gt;SWK&lt;/D&gt;&lt;D xsi:type="xsd:string"&gt;REGN&lt;/D&gt;&lt;D xsi:type="xsd:string"&gt;ODFL&lt;/D&gt;&lt;D xsi:type="xsd:string"&gt;ALGN&lt;/D&gt;&lt;D xsi:type="xsd:string"&gt;GD&lt;/D&gt;&lt;D xsi:type="xsd:string"&gt;ETR&lt;/D&gt;&lt;D xsi:type="xsd:string"&gt;EG&lt;/D&gt;&lt;D xsi:type="xsd:string"&gt;FIX&lt;/D&gt;&lt;D xsi:type="xsd:string"&gt;ROL&lt;/D&gt;&lt;D xsi:type="xsd:string"&gt;ADP&lt;/D&gt;&lt;D xsi:type="xsd:string"&gt;TDY&lt;/D&gt;&lt;D xsi:type="xsd:string"&gt;URI&lt;/D&gt;&lt;D xsi:type="xsd:string"&gt;AMGN&lt;/D&gt;&lt;D xsi:type="xsd:string"&gt;AVY&lt;/D&gt;&lt;D xsi:type="xsd:string"&gt;EQT&lt;/D&gt;&lt;D xsi:type="xsd:string"&gt;ORLY&lt;/D&gt;&lt;D xsi:type="xsd:string"&gt;TMO&lt;/D&gt;&lt;D xsi:type="xsd:string"&gt;AVB&lt;/D&gt;&lt;D xsi:type="xsd:string"&gt;LRCX&lt;/D&gt;&lt;D xsi:type="xsd:string"&gt;TYL&lt;/D&gt;&lt;D xsi:type="xsd:string"&gt;REG&lt;/D&gt;&lt;D xsi:type="xsd:string"&gt;BG&lt;/D&gt;&lt;D xsi:type="xsd:string"&gt;F&lt;/D&gt;&lt;D xsi:type="xsd:string"&gt;AFL&lt;/D&gt;&lt;D xsi:type="xsd:string"&gt;HUM&lt;/D&gt;&lt;D xsi:type="xsd:string"&gt;CMG&lt;/D&gt;&lt;D xsi:type="xsd:string"&gt;ABBV&lt;/D&gt;&lt;D xsi:type="xsd:string"&gt;STX&lt;/D&gt;&lt;D xsi:type="xsd:string"&gt;PTC&lt;/D&gt;&lt;D xsi:type="xsd:string"&gt;CHRW&lt;/D&gt;&lt;D xsi:type="xsd:string"&gt;LVS&lt;/D&gt;&lt;D xsi:type="xsd:string"&gt;TEL&lt;/D&gt;&lt;D xsi:type="xsd:string"&gt;META&lt;/D&gt;&lt;D xsi:type="xsd:string"&gt;PSX&lt;/D&gt;&lt;D xsi:type="xsd:string"&gt;NOW&lt;/D&gt;&lt;D xsi:type="xsd:string"&gt;VICI&lt;/D&gt;&lt;D xsi:type="xsd:string"&gt;VRT&lt;/D&gt;&lt;D xsi:type="xsd:string"&gt;OTIS&lt;/D&gt;&lt;D xsi:type="xsd:string"&gt;AES&lt;/D&gt;&lt;D xsi:type="xsd:string"&gt;ED&lt;/D&gt;&lt;D xsi:type="xsd:string"&gt;SO&lt;/D&gt;&lt;D xsi:type="xsd:string"&gt;IP&lt;/D&gt;&lt;D xsi:type="xsd:string"&gt;BAX&lt;/D&gt;&lt;D xsi:type="xsd:string"&gt;MNST&lt;/D&gt;&lt;D xsi:type="xsd:string"&gt;CAH&lt;/D&gt;&lt;D xsi:type="xsd:string"&gt;LHX&lt;/D&gt;&lt;D xsi:type="xsd:string"&gt;AIG&lt;/D&gt;&lt;D xsi:type="xsd:string"&gt;LLY&lt;/D&gt;&lt;D xsi:type="xsd:string"&gt;LH&lt;/D&gt;&lt;D xsi:type="xsd:string"&gt;BMY&lt;/D&gt;&lt;D xsi:type="xsd:string"&gt;LNT&lt;/D&gt;&lt;D xsi:type="xsd:string"&gt;APD&lt;/D&gt;&lt;D xsi:type="xsd:string"&gt;SRE&lt;/D&gt;&lt;D xsi:type="xsd:string"&gt;PPL&lt;/D&gt;&lt;D xsi:type="xsd:string"&gt;TXT&lt;/D&gt;&lt;D xsi:type="xsd:string"&gt;AEE&lt;/D&gt;&lt;D xsi:type="xsd:string"&gt;TRGP&lt;/D&gt;&lt;D xsi:type="xsd:string"&gt;MTD&lt;/D&gt;&lt;D xsi:type="xsd:string"&gt;APO&lt;/D&gt;&lt;D xsi:type="xsd:string"&gt;D&lt;/D&gt;&lt;D xsi:type="xsd:string"&gt;VLO&lt;/D&gt;&lt;D xsi:type="xsd:string"&gt;PH&lt;/D&gt;&lt;D xsi:type="xsd:string"&gt;AAPL&lt;/D&gt;&lt;D xsi:type="xsd:string"&gt;WY&lt;/D&gt;&lt;D xsi:type="xsd:string"&gt;PWR&lt;/D&gt;&lt;D xsi:type="xsd:string"&gt;CTRA&lt;/D&gt;&lt;D xsi:type="xsd:string"&gt;RCL&lt;/D&gt;&lt;D xsi:type="xsd:string"&gt;BDX&lt;/D&gt;&lt;D xsi:type="xsd:string"&gt;BALL&lt;/D&gt;&lt;D xsi:type="xsd:string"&gt;CI&lt;/D&gt;&lt;D xsi:type="xsd:string"&gt;HOLX&lt;/D&gt;&lt;D xsi:type="xsd:string"&gt;IRM&lt;/D&gt;&lt;D xsi:type="xsd:string"&gt;COP&lt;/D&gt;&lt;D xsi:type="xsd:string"&gt;DVA&lt;/D&gt;&lt;D xsi:type="xsd:string"&gt;MPWR&lt;/D&gt;&lt;D xsi:type="xsd:string"&gt;MO&lt;/D&gt;&lt;D xsi:type="xsd:string"&gt;PNW&lt;/D&gt;&lt;D xsi:type="xsd:string"&gt;NRG&lt;/D&gt;&lt;D xsi:type="xsd:string"&gt;GDDY&lt;/D&gt;&lt;D xsi:type="xsd:string"&gt;MRK&lt;/D&gt;&lt;D xsi:type="xsd:string"&gt;LYV&lt;/D&gt;&lt;D xsi:type="xsd:string"&gt;BLDR&lt;/D&gt;&lt;D xsi:type="xsd:string"&gt;FTNT&lt;/D&gt;&lt;D xsi:type="xsd:string"&gt;EPAM&lt;/D&gt;&lt;D xsi:type="xsd:string"&gt;PODD&lt;/D&gt;&lt;D xsi:type="xsd:string"&gt;ZTS&lt;/D&gt;&lt;D xsi:type="xsd:string"&gt;ICE&lt;/D&gt;&lt;D xsi:type="xsd:string"&gt;CVNA&lt;/D&gt;&lt;D xsi:type="xsd:string"&gt;MSI&lt;/D&gt;&lt;D xsi:type="xsd:string"&gt;HII&lt;/D&gt;&lt;D xsi:type="xsd:string"&gt;EXPE&lt;/D&gt;&lt;D xsi:type="xsd:string"&gt;XYZ&lt;/D&gt;&lt;D xsi:type="xsd:string"&gt;HWM&lt;/D&gt;&lt;D xsi:type="xsd:string"&gt;SW&lt;/D&gt;&lt;D xsi:type="xsd:string"&gt;MRNA&lt;/D&gt;&lt;D xsi:type="xsd:string"&gt;LIN&lt;/D&gt;&lt;D xsi:type="xsd:string"&gt;DDOG&lt;/D&gt;&lt;D xsi:type="xsd:string"&gt;DASH&lt;/D&gt;&lt;D xsi:type="xsd:string"&gt;SNDK&lt;/D&gt;&lt;D xsi:type="xsd:string"&gt;EVRG&lt;/D&gt;&lt;D xsi:type="xsd:string"&gt;FRT&lt;/D&gt;&lt;D xsi:type="xsd:string"&gt;CL&lt;/D&gt;&lt;D xsi:type="xsd:string"&gt;EL&lt;/D&gt;&lt;D xsi:type="xsd:string"&gt;CHD&lt;/D&gt;&lt;D xsi:type="xsd:string"&gt;CBOE&lt;/D&gt;&lt;D xsi:type="xsd:string"&gt;JCI&lt;/D&gt;&lt;D xsi:type="xsd:string"&gt;WEC&lt;/D&gt;&lt;D xsi:type="xsd:string"&gt;BEN&lt;/D&gt;&lt;D xsi:type="xsd:string"&gt;WMB&lt;/D&gt;&lt;D xsi:type="xsd:string"&gt;SBAC&lt;/D&gt;&lt;D xsi:type="xsd:string"&gt;WELL&lt;/D&gt;&lt;D xsi:type="xsd:string"&gt;L&lt;/D&gt;&lt;D xsi:type="xsd:string"&gt;ON&lt;/D&gt;&lt;D xsi:type="xsd:string"&gt;GPN&lt;/D&gt;&lt;D xsi:type="xsd:string"&gt;FFIV&lt;/D&gt;&lt;D xsi:type="xsd:string"&gt;RVTY&lt;/D&gt;&lt;D xsi:type="xsd:string"&gt;BRK.B&lt;/D&gt;&lt;D xsi:type="xsd:string"&gt;ANET&lt;/D&gt;&lt;D xsi:type="xsd:string"&gt;FANG&lt;/D&gt;&lt;D xsi:type="xsd:string"&gt;PRU&lt;/D&gt;&lt;D xsi:type="xsd:string"&gt;AME&lt;/D&gt;&lt;D xsi:type="xsd:string"&gt;MLM&lt;/D&gt;&lt;D xsi:type="xsd:string"&gt;ITW&lt;/D&gt;&lt;D xsi:type="xsd:string"&gt;SBUX&lt;/D&gt;&lt;D xsi:type="xsd:string"&gt;GLW&lt;/D&gt;&lt;D xsi:type="xsd:string"&gt;CLX&lt;/D&gt;&lt;D xsi:type="xsd:string"&gt;DVN&lt;/D&gt;&lt;D xsi:type="xsd:string"&gt;SWKS&lt;/D&gt;&lt;D xsi:type="xsd:string"&gt;OKE&lt;/D&gt;&lt;D xsi:type="xsd:string"&gt;BXP&lt;/D&gt;&lt;D xsi:type="xsd:string"&gt;SYY&lt;/D&gt;&lt;D xsi:type="xsd:string"&gt;ETN&lt;/D&gt;&lt;D xsi:type="xsd:string"&gt;PEG&lt;/D&gt;&lt;D xsi:type="xsd:string"&gt;AMD&lt;/D&gt;&lt;D xsi:type="xsd:string"&gt;AIZ&lt;/D&gt;&lt;D xsi:type="xsd:string"&gt;INCY&lt;/D&gt;&lt;D xsi:type="xsd:string"&gt;PSA&lt;/D&gt;&lt;D xsi:type="xsd:string"&gt;EA&lt;/D&gt;&lt;D xsi:type="xsd:string"&gt;PFE&lt;/D&gt;&lt;D xsi:type="xsd:string"&gt;CMI&lt;/D&gt;&lt;D xsi:type="xsd:string"&gt;ROK&lt;/D&gt;&lt;D xsi:type="xsd:string"&gt;EOG&lt;/D&gt;&lt;D xsi:type="xsd:string"&gt;ZBH&lt;/D&gt;&lt;D xsi:type="xsd:string"&gt;LDOS&lt;/D&gt;&lt;D xsi:type="xsd:string"&gt;KKR&lt;/D&gt;&lt;D xsi:type="xsd:string"&gt;VRSK&lt;/D&gt;&lt;D xsi:type="xsd:string"&gt;TAP&lt;/D&gt;&lt;D xsi:type="xsd:string"&gt;SMCI&lt;/D&gt;&lt;D xsi:type="xsd:string"&gt;BR&lt;/D&gt;&lt;D xsi:type="xsd:string"&gt;MPC&lt;/D&gt;&lt;D xsi:type="xsd:string"&gt;PYPL&lt;/D&gt;&lt;D xsi:type="xsd:string"&gt;INVH&lt;/D&gt;&lt;D xsi:type="xsd:string"&gt;APTV&lt;/D&gt;&lt;D xsi:type="xsd:string"&gt;CTVA&lt;/D&gt;&lt;D xsi:type="xsd:string"&gt;DD&lt;/D&gt;&lt;D xsi:type="xsd:string"&gt;AMCR&lt;/D&gt;&lt;D xsi:type="xsd:string"&gt;EXE&lt;/D&gt;&lt;D xsi:type="xsd:string"&gt;MAR&lt;/D&gt;&lt;D xsi:type="xsd:string"&gt;VMC&lt;/D&gt;&lt;D xsi:type="xsd:string"&gt;TECH&lt;/D&gt;&lt;D xsi:type="xsd:string"&gt;QCOM&lt;/D&gt;&lt;D xsi:type="xsd:string"&gt;ES&lt;/D&gt;&lt;D xsi:type="xsd:string"&gt;FICO&lt;/D&gt;&lt;D xsi:type="xsd:string"&gt;BIIB&lt;/D&gt;&lt;D xsi:type="xsd:string"&gt;O&lt;/D&gt;&lt;D xsi:type="xsd:string"&gt;TRMB&lt;/D&gt;&lt;D xsi:type="xsd:string"&gt;ALB&lt;/D&gt;&lt;D xsi:type="xsd:string"&gt;YUM&lt;/D&gt;&lt;D xsi:type="xsd:string"&gt;TT&lt;/D&gt;&lt;D xsi:type="xsd:string"&gt;HST&lt;/D&gt;&lt;D xsi:type="xsd:string"&gt;CTSH&lt;/D&gt;&lt;D xsi:type="xsd:string"&gt;AEP&lt;/D&gt;&lt;D xsi:type="xsd:string"&gt;SYK&lt;/D&gt;&lt;D xsi:type="xsd:string"&gt;GL&lt;/D&gt;&lt;D xsi:type="xsd:string"&gt;EBAY&lt;/D&gt;&lt;D xsi:type="xsd:string"&gt;EMR&lt;/D&gt;&lt;D xsi:type="xsd:string"&gt;COR&lt;/D&gt;&lt;D xsi:type="xsd:string"&gt;VTR&lt;/D&gt;&lt;D xsi:type="xsd:string"&gt;IDXX&lt;/D&gt;&lt;D xsi:type="xsd:string"&gt;TPL&lt;/D&gt;&lt;D xsi:type="xsd:string"&gt;APA&lt;/D&gt;&lt;D xsi:type="xsd:string"&gt;RSG&lt;/D&gt;&lt;D xsi:type="xsd:string"&gt;MET&lt;/D&gt;&lt;D xsi:type="xsd:string"&gt;CVS&lt;/D&gt;&lt;D xsi:type="xsd:string"&gt;VRTX&lt;/D&gt;&lt;D xsi:type="xsd:string"&gt;EXC&lt;/D&gt;&lt;D xsi:type="xsd:string"&gt;GNRC&lt;/D&gt;&lt;D xsi:type="xsd:string"&gt;CPAY&lt;/D&gt;&lt;D xsi:type="xsd:string"&gt;CDW&lt;/D&gt;&lt;D xsi:type="xsd:string"&gt;AWK&lt;/D&gt;&lt;D xsi:type="xsd:string"&gt;IR&lt;/D&gt;&lt;D xsi:type="xsd:string"&gt;FIS&lt;/D&gt;&lt;D xsi:type="xsd:string"&gt;NCLH&lt;/D&gt;&lt;D xsi:type="xsd:string"&gt;CF&lt;/D&gt;&lt;D xsi:type="xsd:string"&gt;MOS&lt;/D&gt;&lt;D xsi:type="xsd:string"&gt;KHC&lt;/D&gt;&lt;D xsi:type="xsd:string"&gt;UBER&lt;/D&gt;&lt;D xsi:type="xsd:string"&gt;PSKY&lt;/D&gt;&lt;D xsi:type="xsd:string"&gt;GEHC&lt;/D&gt;&lt;D xsi:type="xsd:string"&gt;GEN&lt;/D&gt;&lt;D xsi:type="xsd:string"&gt;TPR&lt;/D&gt;&lt;D xsi:type="xsd:string"&gt;MCK&lt;/D&gt;&lt;D xsi:type="xsd:string"&gt;AKAM&lt;/D&gt;&lt;D xsi:type="xsd:string"&gt;GWW&lt;/D&gt;&lt;D xsi:type="xsd:string"&gt;CRL&lt;/D&gt;&lt;D xsi:type="xsd:string"&gt;SATS&lt;/D&gt;&lt;D xsi:type="xsd:string"&gt;CEG&lt;/D&gt;&lt;D xsi:type="xsd:string"&gt;NWS&lt;/D&gt;&lt;D xsi:type="xsd:string"&gt;NWSA&lt;/D&gt;&lt;D xsi:type="xsd:string"&gt;COIN&lt;/D&gt;&lt;D xsi:type="xsd:string"&gt;TKO&lt;/D&gt;&lt;D xsi:type="xsd:string"&gt;WBD&lt;/D&gt;&lt;D xsi:type="xsd:string"&gt;SOLV&lt;/D&gt;&lt;D xsi:type="xsd:string"&gt;TSN&lt;/D&gt;&lt;D xsi:type="xsd:string"&gt;MCHP&lt;/D&gt;&lt;D xsi:type="xsd:string"&gt;SPG&lt;/D&gt;&lt;D xsi:type="xsd:string"&gt;IFF&lt;/D&gt;&lt;D xsi:type="xsd:string"&gt;VTRS&lt;/D&gt;&lt;D xsi:type="xsd:string"&gt;PLTR&lt;/D&gt;&lt;D xsi:type="xsd:string"&gt;HSIC&lt;/D&gt;&lt;D xsi:type="xsd:string"&gt;JKHY&lt;/D&gt;&lt;D xsi:type="xsd:string"&gt;AXON&lt;/D&gt;&lt;D xsi:type="xsd:string"&gt;WAT&lt;/D&gt;&lt;D xsi:type="xsd:string"&gt;ZBRA&lt;/D&gt;&lt;D xsi:type="xsd:string"&gt;EXPD&lt;/D&gt;&lt;D xsi:type="xsd:string"&gt;OXY&lt;/D&gt;&lt;D xsi:type="xsd:string"&gt;WYNN&lt;/D&gt;&lt;D xsi:type="xsd:string"&gt;J&lt;/D&gt;&lt;D xsi:type="xsd:string"&gt;TDG&lt;/D&gt;&lt;D xsi:type="xsd:string"&gt;DUK&lt;/D&gt;&lt;D xsi:type="xsd:string"&gt;LITE&lt;/D&gt;&lt;D xsi:type="xsd:string"&gt;FOX&lt;/D&gt;&lt;D xsi:type="xsd:string"&gt;FOXA&lt;/D&gt;&lt;D xsi:type="xsd:string"&gt;COHR&lt;/D&gt;&lt;D xsi:type="xsd:string"&gt;ATO&lt;/D&gt;&lt;D xsi:type="xsd:string"&gt;NI&lt;/D&gt;&lt;D xsi:type="xsd:string"&gt;DIS&lt;/D&gt;&lt;D xsi:type="xsd:string"&gt;TTD&lt;/D&gt;&lt;D xsi:type="xsd:string"&gt;VST&lt;/D&gt;&lt;D xsi:type="xsd:string"&gt;CRH&lt;/D&gt;&lt;D xsi:type="xsd:string"&gt;ABNB&lt;/D&gt;&lt;D xsi:type="xsd:string"&gt;APP&lt;/D&gt;&lt;D xsi:type="xsd:string"&gt;HOOD&lt;/D&gt;&lt;D xsi:type="xsd:string"&gt;KVUE&lt;/D&gt;&lt;D xsi:type="xsd:string"&gt;TTWO&lt;/D&gt;&lt;D xsi:type="xsd:string"&gt;ROST&lt;/D&gt;&lt;D xsi:type="xsd:string"&gt;WMT&lt;/D&gt;&lt;D xsi:type="xsd:string"&gt;AMAT&lt;/D&gt;&lt;D xsi:type="xsd:string"&gt;HD&lt;/D&gt;&lt;D xsi:type="xsd:string"&gt;KEYS&lt;/D&gt;&lt;D xsi:type="xsd:string"&gt;TJX&lt;/D&gt;&lt;D xsi:type="xsd:string"&gt;NVDA&lt;/D&gt;&lt;D xsi:type="xsd:string"&gt;TGT&lt;/D&gt;&lt;D xsi:type="xsd:string"&gt;MDT&lt;/D&gt;&lt;D xsi:type="xsd:string"&gt;SNPS&lt;/D&gt;&lt;D xsi:type="xsd:string"&gt;CSCO&lt;/D&gt;&lt;D xsi:type="xsd:string"&gt;CPRT&lt;/D&gt;&lt;D xsi:type="xsd:string"&gt;STE&lt;/D&gt;&lt;D xsi:type="xsd:string"&gt;ADSK&lt;/D&gt;&lt;D xsi:type="xsd:string"&gt;DLTR&lt;/D&gt;&lt;D xsi:type="xsd:string"&gt;DECK&lt;/D&gt;&lt;D xsi:type="xsd:string"&gt;DE&lt;/D&gt;&lt;D xsi:type="xsd:string"&gt;RL&lt;/D&gt;&lt;D xsi:type="xsd:string"&gt;INTU&lt;/D&gt;&lt;D xsi:type="xsd:string"&gt;ULTA&lt;/D&gt;&lt;D xsi:type="xsd:string"&gt;DG&lt;/D&gt;&lt;D xsi:type="xsd:string"&gt;WDAY&lt;/D&gt;&lt;D xsi:type="xsd:string"&gt;NDSN&lt;/D&gt;&lt;D xsi:type="xsd:string"&gt;AZO&lt;/D&gt;&lt;D xsi:type="xsd:string"&gt;A&lt;/D&gt;&lt;D xsi:type="xsd:string"&gt;PANW&lt;/D&gt;&lt;D xsi:type="xsd:string"&gt;ADI&lt;/D&gt;&lt;D xsi:type="xsd:string"&gt;WSM&lt;/D&gt;&lt;D xsi:type="xsd:string"&gt;BBY&lt;/D&gt;&lt;D xsi:type="xsd:string"&gt;LOW&lt;/D&gt;&lt;D xsi:type="xsd:string"&gt;COST&lt;/D&gt;&lt;D xsi:type="xsd:string"&gt;HRL&lt;/D&gt;&lt;D xsi:type="xsd:string"&gt;LULU&lt;/D&gt;&lt;D xsi:type="xsd:string"&gt;NTAP&lt;/D&gt;&lt;D xsi:type="xsd:string"&gt;DELL&lt;/D&gt;&lt;D xsi:type="xsd:string"&gt;CRWD&lt;/D&gt;&lt;D xsi:type="xsd:string"&gt;COO&lt;/D&gt;&lt;D xsi:type="xsd:string"&gt;HPE&lt;/D&gt;&lt;D xsi:type="xsd:string"&gt;CRM&lt;/D&gt;&lt;D xsi:type="xsd:string"&gt;HPQ&lt;/D&gt;&lt;D xsi:type="xsd:string"&gt;SJM&lt;/D&gt;&lt;D xsi:type="xsd:string"&gt;CIEN&lt;/D&gt;&lt;D xsi:type="xsd:string"&gt;AVGO&lt;/D&gt;&lt;D xsi:type="xsd:string"&gt;CPB&lt;/D&gt;&lt;D xsi:type="xsd:string"&gt;BF.B&lt;/D&gt;&lt;D xsi:type="xsd:string"&gt;ADBE&lt;/D&gt;&lt;D xsi:type="xsd:string"&gt;KR&lt;/D&gt;&lt;D xsi:type="xsd:string"&gt;ORCL&lt;/D&gt;&lt;D xsi:type="xsd:string"&gt;ACN&lt;/D&gt;&lt;D xsi:type="xsd:string"&gt;JBL&lt;/D&gt;&lt;D xsi:type="xsd:string"&gt;DRI&lt;/D&gt;&lt;D xsi:type="xsd:string"&gt;FDS&lt;/D&gt;&lt;D xsi:type="xsd:string"&gt;LEN&lt;/D&gt;&lt;D xsi:type="xsd:string"&gt;FDX&lt;/D&gt;&lt;D xsi:type="xsd:string"&gt;MKC&lt;/D&gt;&lt;D xsi:type="xsd:string"&gt;NKE&lt;/D&gt;&lt;D xsi:type="xsd:string"&gt;CCL&lt;/D&gt;&lt;D xsi:type="xsd:string"&gt;GIS&lt;/D&gt;&lt;D xsi:type="xsd:string"&gt;MU&lt;/D&gt;&lt;D xsi:type="xsd:string"&gt;PAYX&lt;/D&gt;&lt;D xsi:type="xsd:string"&gt;CTAS&lt;/D&gt;&lt;D xsi:type="xsd:string"&gt;AON&lt;/D&gt;&lt;D xsi:type="xsd:string"&gt;IQV&lt;/D&gt;&lt;D xsi:type="xsd:string"&gt;IT&lt;/D&gt;&lt;/FQL&gt;&lt;FQL&gt;&lt;Q&gt;000001172^FMA_GEOREV_ECONOMY("EMRG",0,,,,"PORTAGG")&lt;/Q&gt;&lt;R&gt;1&lt;/R&gt;&lt;C&gt;1&lt;/C&gt;&lt;D xsi:type="xsd:double"&gt;16.688648009833&lt;/D&gt;&lt;/FQL&gt;&lt;FQL&gt;&lt;Q&gt;000001172^FMA_PSALES(+2,0,,,"PORTAGG","MEANR")&lt;/Q&gt;&lt;R&gt;1&lt;/R&gt;&lt;C&gt;1&lt;/C&gt;&lt;D xsi:type="xsd:double"&gt;2.83319737620457&lt;/D&gt;&lt;/FQL&gt;&lt;FQL&gt;&lt;Q&gt;000001172^FMA_EVAL_EBITDA(LTM,0,,,"PORTAGG")&lt;/Q&gt;&lt;R&gt;1&lt;/R&gt;&lt;C&gt;1&lt;/C&gt;&lt;D xsi:type="xsd:double"&gt;17.3404210859253&lt;/D&gt;&lt;/FQL&gt;&lt;FQL&gt;&lt;Q&gt;000001172^FMA_PCT_ABOVE_MAVG(50,0)&lt;/Q&gt;&lt;R&gt;1&lt;/R&gt;&lt;C&gt;1&lt;/C&gt;&lt;D xsi:type="xsd:double"&gt;22.8628230616302&lt;/D&gt;&lt;/FQL&gt;&lt;FQL&gt;&lt;Q&gt;000001172^FG_COMPANY_NAME&lt;/Q&gt;&lt;R&gt;1&lt;/R&gt;&lt;C&gt;1&lt;/C&gt;&lt;D xsi:type="xsd:string"&gt;S&amp;amp;P 500&lt;/D&gt;&lt;/FQL&gt;&lt;FQL&gt;&lt;Q&gt;000001172^FMA_GEOREV_ECONOMY("EMRG",-1AY,,,,"PORTAGG")&lt;/Q&gt;&lt;R&gt;1&lt;/R&gt;&lt;C&gt;1&lt;/C&gt;&lt;D xsi:type="xsd:double"&gt;15.649589048175&lt;/D&gt;&lt;/FQL&gt;&lt;FQL&gt;&lt;Q&gt;000001172^FMA_GEOREV_ECONOMY("FRNT",0,,,,"PORTAGG")&lt;/Q&gt;&lt;R&gt;1&lt;/R&gt;&lt;C&gt;1&lt;/C&gt;&lt;D xsi:type="xsd:double"&gt;3.156555615865&lt;/D&gt;&lt;/FQL&gt;&lt;FQL&gt;&lt;Q&gt;000001172^JULIAN(FMA_GEOREV_ECONOMY("DVLP",-2AY,,,,"PORTAGG").DATES)&lt;/Q&gt;&lt;R&gt;1&lt;/R&gt;&lt;C&gt;1&lt;/C&gt;&lt;D xsi:type="xsd:long"&gt;45382&lt;/D&gt;&lt;/FQL&gt;&lt;FQL&gt;&lt;Q&gt;000001172^FMA_GEOREV_SUPER_REGION("R101",-1AY,,,,"PORTAGG")&lt;/Q&gt;&lt;R&gt;1&lt;/R&gt;&lt;C&gt;1&lt;/C&gt;&lt;D xsi:type="xsd:double"&gt;65.23829319067&lt;/D&gt;&lt;/FQL&gt;&lt;FQL&gt;&lt;Q&gt;000001172^FMA_PCT_ABOVE_MAVG(200,0)&lt;/Q&gt;&lt;R&gt;1&lt;/R&gt;&lt;C&gt;1&lt;/C&gt;&lt;D xsi:type="xsd:double"&gt;46.8127490039841&lt;/D&gt;&lt;/FQL&gt;&lt;FQL&gt;&lt;Q&gt;000001172^FG_TRET_PCHG_IDX(0,0CY,)/100&lt;/Q&gt;&lt;R&gt;1&lt;/R&gt;&lt;C&gt;1&lt;/C&gt;&lt;D xsi:type="xsd:double"&gt;-0.0433431413407038&lt;/D&gt;&lt;/FQL&gt;&lt;FQL&gt;&lt;Q&gt;000001172^FMA_EVAL_EBIT(LTM,0,,,"PORTAGG")&lt;/Q&gt;&lt;R&gt;1&lt;/R&gt;&lt;C&gt;1&lt;/C&gt;&lt;D xsi:type="xsd:double"&gt;23.6930196517072&lt;/D&gt;&lt;/FQL&gt;&lt;FQL&gt;&lt;Q&gt;000001172^FMA_GEOREV_SUPER_REGION("R274",-1AY,,,,"PORTAGG")&lt;/Q&gt;&lt;R&gt;1&lt;/R&gt;&lt;C&gt;1&lt;/C&gt;&lt;D xsi:type="xsd:double"&gt;13.256055219785&lt;/D&gt;&lt;/FQL&gt;&lt;FQL&gt;&lt;Q&gt;000001172^FMA_PSALES(NTMA,0,,,"PORTAGG","MEANR")&lt;/Q&gt;&lt;R&gt;1&lt;/R&gt;&lt;C&gt;1&lt;/C&gt;&lt;D xsi:type="xsd:double"&gt;2.9901467331767&lt;/D&gt;&lt;/FQL&gt;&lt;FQL&gt;&lt;Q&gt;000001172^FMA_DECLINERS_PCT(0)/100&lt;/Q&gt;&lt;R&gt;1&lt;/R&gt;&lt;C&gt;1&lt;/C&gt;&lt;D xsi:type="xsd:double"&gt;0.165009940357853&lt;/D&gt;&lt;/FQL&gt;&lt;FQL&gt;&lt;Q&gt;000001172^FG_PCHG_IDX(0,-1AY,)/100&lt;/Q&gt;&lt;R&gt;1&lt;/R&gt;&lt;C&gt;1&lt;/C&gt;&lt;D xsi:type="xsd:double"&gt;0.163344414239321&lt;/D&gt;&lt;/FQL&gt;&lt;FQL&gt;&lt;Q&gt;000001172^MAX(FG_TOTAL_RET_IDX(0,-1AY,))&lt;/Q&gt;&lt;R&gt;1&lt;/R&gt;&lt;C&gt;1&lt;/C&gt;&lt;D xsi:type="xsd:double"&gt;15527.821350081&lt;/D&gt;&lt;/FQL&gt;&lt;FQL&gt;&lt;Q&gt;000001172^FMA_EVAL_SALES(+2,0,,,"PORTAGG","MEANR")&lt;/Q&gt;&lt;R&gt;1&lt;/R&gt;&lt;C&gt;1&lt;/C&gt;&lt;D xsi:type="xsd:double"&gt;3.32666257011482&lt;/D&gt;&lt;/FQL&gt;&lt;FQL&gt;&lt;Q&gt;000001172^FMA_AD(-1AY,0,D)&lt;/Q&gt;&lt;R&gt;252&lt;/R&gt;&lt;C&gt;1&lt;/C&gt;&lt;D xsi:type="xsd:double"&gt;0&lt;/D&gt;&lt;D xsi:type="xsd:double"&gt;94&lt;/D&gt;&lt;D xsi:type="xsd:double"&gt;371&lt;/D&gt;&lt;D xsi:type="xsd:double"&gt;59&lt;/D&gt;&lt;D xsi:type="xsd:double"&gt;-416&lt;/D&gt;&lt;D xsi:type="xsd:double"&gt;-598&lt;/D&gt;&lt;D xsi:type="xsd:double"&gt;-963&lt;/D&gt;&lt;D xsi:type="xsd:double"&gt;-478&lt;/D&gt;&lt;D xsi:type="xsd:double"&gt;-832&lt;/D&gt;&lt;D xsi:type="xsd:double"&gt;-459&lt;/D&gt;&lt;D xsi:type="xsd:double"&gt;-97&lt;/D&gt;&lt;D xsi:type="xsd:double"&gt;-202&lt;/D&gt;&lt;D xsi:type="xsd:double"&gt;-572&lt;/D&gt;&lt;D xsi:type="xsd:double"&gt;-306&lt;/D&gt;&lt;D xsi:type="xsd:double"&gt;-731&lt;/D&gt;&lt;D xsi:type="xsd:double"&gt;-246&lt;/D&gt;&lt;D xsi:type="xsd:double"&gt;-24&lt;/D&gt;&lt;D xsi:type="xsd:double"&gt;284&lt;/D&gt;&lt;D xsi:type="xsd:double"&gt;193&lt;/D&gt;&lt;D xsi:type="xsd:double"&gt;359&lt;/D&gt;&lt;D xsi:type="xsd:double"&gt;599&lt;/D&gt;&lt;D xsi:type="xsd:double"&gt;738&lt;/D&gt;&lt;D xsi:type="xsd:double"&gt;664&lt;/D&gt;&lt;D xsi:type="xsd:double"&gt;1079&lt;/D&gt;&lt;D xsi:type="xsd:double"&gt;950&lt;/D&gt;&lt;D xsi:type="xsd:double"&gt;733&lt;/D&gt;&lt;D xsi:type="xsd:double"&gt;955&lt;/D&gt;&lt;D xsi:type="xsd:double"&gt;1149&lt;/D&gt;&lt;D xsi:type="xsd:double"&gt;1129&lt;/D&gt;&lt;D xsi:type="xsd:double"&gt;1445&lt;/D&gt;&lt;D xsi:type="xsd:double"&gt;1432&lt;/D&gt;&lt;D xsi:type="xsd:double"&gt;1226&lt;/D&gt;&lt;D xsi:type="xsd:double"&gt;1473&lt;/D&gt;&lt;D xsi:type="xsd:double"&gt;1862&lt;/D&gt;&lt;D xsi:type="xsd:double"&gt;1871&lt;/D&gt;&lt;D xsi:type="xsd:double"&gt;1717&lt;/D&gt;&lt;D xsi:type="xsd:double"&gt;1251&lt;/D&gt;&lt;D xsi:type="xsd:double"&gt;1125&lt;/D&gt;&lt;D xsi:type="xsd:double"&gt;969&lt;/D&gt;&lt;D xsi:type="xsd:double"&gt;1403&lt;/D&gt;&lt;D xsi:type="xsd:double"&gt;1065&lt;/D&gt;&lt;D xsi:type="xsd:double"&gt;1277&lt;/D&gt;&lt;D xsi:type="xsd:double"&gt;1298&lt;/D&gt;&lt;D xsi:type="xsd:double"&gt;1265&lt;/D&gt;&lt;D xsi:type="xsd:double"&gt;1483&lt;/D&gt;&lt;D xsi:type="xsd:double"&gt;1373&lt;/D&gt;&lt;D xsi:type="xsd:double"&gt;1249&lt;/D&gt;&lt;D xsi:type="xsd:double"&gt;1580&lt;/D&gt;&lt;D xsi:type="xsd:double"&gt;1604&lt;/D&gt;&lt;D xsi:type="xsd:double"&gt;1763&lt;/D&gt;&lt;D xsi:type="xsd:double"&gt;1603&lt;/D&gt;&lt;D xsi:type="xsd:double"&gt;1702&lt;/D&gt;&lt;D xsi:type="xsd:double"&gt;1339&lt;/D&gt;&lt;D xsi:type="xsd:double"&gt;1564&lt;/D&gt;&lt;D xsi:type="xsd:double"&gt;1238&lt;/D&gt;&lt;D xsi:type="xsd:double"&gt;1214&lt;/D&gt;&lt;D xsi:type="xsd:double"&gt;1310&lt;/D&gt;&lt;D xsi:type="xsd:double"&gt;1607&lt;/D&gt;&lt;D xsi:type="xsd:double"&gt;1861&lt;/D&gt;&lt;D xsi:type="xsd:double"&gt;1632&lt;/D&gt;&lt;D xsi:type="xsd:double"&gt;1874&lt;/D&gt;&lt;D xsi:type="xsd:double"&gt;2048&lt;/D&gt;&lt;D xsi:type="xsd:double"&gt;2243&lt;/D&gt;&lt;D xsi:type="xsd:double"&gt;2497&lt;/D&gt;&lt;D xsi:type="xsd:double"&gt;2570&lt;/D&gt;&lt;D xsi:type="xsd:double"&gt;2771&lt;/D&gt;&lt;D xsi:type="xsd:double"&gt;2461&lt;/D&gt;&lt;D xsi:type="xsd:double"&gt;2497&lt;/D&gt;&lt;D xsi:type="xsd:double"&gt;2600&lt;/D&gt;&lt;D xsi:type="xsd:double"&gt;2803&lt;/D&gt;&lt;D xsi:type="xsd:double"&gt;2523&lt;/D&gt;&lt;D xsi:type="xsd:double"&gt;2595&lt;/D&gt;&lt;D xsi:type="xsd:double"&gt;2189&lt;/D&gt;&lt;D xsi:type="xsd:double"&gt;2378&lt;/D&gt;&lt;D xsi:type="xsd:double"&gt;2622&lt;/D&gt;&lt;D xsi:type="xsd:double"&gt;2627&lt;/D&gt;&lt;D xsi:type="xsd:double"&gt;2489&lt;/D&gt;&lt;D xsi:type="xsd:double"&gt;2801&lt;/D&gt;&lt;D xsi:type="xsd:double"&gt;2983&lt;/D&gt;&lt;D xsi:type="xsd:double"&gt;2913&lt;/D&gt;&lt;D xsi:type="xsd:double"&gt;3080&lt;/D&gt;&lt;D xsi:type="xsd:double"&gt;2860&lt;/D&gt;&lt;D xsi:type="xsd:double"&gt;2866&lt;/D&gt;&lt;D xsi:type="xsd:double"&gt;2681&lt;/D&gt;&lt;D xsi:type="xsd:double"&gt;2456&lt;/D&gt;&lt;D xsi:type="xsd:double"&gt;2245&lt;/D&gt;&lt;D xsi:type="xsd:double"&gt;2604&lt;/D&gt;&lt;D xsi:type="xsd:double"&gt;2553&lt;/D&gt;&lt;D xsi:type="xsd:double"&gt;2530&lt;/D&gt;&lt;D xsi:type="xsd:double"&gt;2523&lt;/D&gt;&lt;D xsi:type="xsd:double"&gt;2614&lt;/D&gt;&lt;D xsi:type="xsd:double"&gt;2469&lt;/D&gt;&lt;D xsi:type="xsd:double"&gt;2770&lt;/D&gt;&lt;D xsi:type="xsd:double"&gt;3103&lt;/D&gt;&lt;D xsi:type="xsd:double"&gt;2884&lt;/D&gt;&lt;D xsi:type="xsd:double"&gt;2787&lt;/D&gt;&lt;D xsi:type="xsd:double"&gt;2748&lt;/D&gt;&lt;D xsi:type="xsd:double"&gt;2953&lt;/D&gt;&lt;D xsi:type="xsd:double"&gt;2974&lt;/D&gt;&lt;D xsi:type="xsd:double"&gt;2794&lt;/D&gt;&lt;D xsi:type="xsd:double"&gt;3141&lt;/D&gt;&lt;D xsi:type="xsd:double"&gt;2838&lt;/D&gt;&lt;D xsi:type="xsd:double"&gt;2853&lt;/D&gt;&lt;D xsi:type="xsd:double"&gt;3038&lt;/D&gt;&lt;D xsi:type="xsd:double"&gt;2982&lt;/D&gt;&lt;D xsi:type="xsd:double"&gt;3047&lt;/D&gt;&lt;D xsi:type="xsd:double"&gt;2778&lt;/D&gt;&lt;D xsi:type="xsd:double"&gt;2728&lt;/D&gt;&lt;D xsi:type="xsd:double"&gt;2961&lt;/D&gt;&lt;D xsi:type="xsd:double"&gt;3004&lt;/D&gt;&lt;D xsi:type="xsd:double"&gt;2990&lt;/D&gt;&lt;D xsi:type="xsd:double"&gt;2895&lt;/D&gt;&lt;D xsi:type="xsd:double"&gt;2795&lt;/D&gt;&lt;D xsi:type="xsd:double"&gt;3167&lt;/D&gt;&lt;D xsi:type="xsd:double"&gt;2898&lt;/D&gt;&lt;D xsi:type="xsd:double"&gt;2795&lt;/D&gt;&lt;D xsi:type="xsd:double"&gt;2670&lt;/D&gt;&lt;D xsi:type="xsd:double"&gt;2745&lt;/D&gt;&lt;D xsi:type="xsd:double"&gt;2884&lt;/D&gt;&lt;D xsi:type="xsd:double"&gt;2805&lt;/D&gt;&lt;D xsi:type="xsd:double"&gt;2793&lt;/D&gt;&lt;D xsi:type="xsd:double"&gt;2849&lt;/D&gt;&lt;D xsi:type="xsd:double"&gt;2786&lt;/D&gt;&lt;D xsi:type="xsd:double"&gt;2522&lt;/D&gt;&lt;D xsi:type="xsd:double"&gt;2878&lt;/D&gt;&lt;D xsi:type="xsd:double"&gt;2991&lt;/D&gt;&lt;D xsi:type="xsd:double"&gt;3091&lt;/D&gt;&lt;D xsi:type="xsd:double"&gt;3025&lt;/D&gt;&lt;D xsi:type="xsd:double"&gt;3082&lt;/D&gt;&lt;D xsi:type="xsd:double"&gt;3225&lt;/D&gt;&lt;D xsi:type="xsd:double"&gt;3200&lt;/D&gt;&lt;D xsi:type="xsd:double"&gt;3103&lt;/D&gt;&lt;D xsi:type="xsd:double"&gt;3130&lt;/D&gt;&lt;D xsi:type="xsd:double"&gt;2868&lt;/D&gt;&lt;D xsi:type="xsd:double"&gt;25</t>
        </r>
      </text>
    </comment>
    <comment ref="A2" authorId="0" shapeId="0" xr:uid="{9D7CDEC2-9572-4027-8D53-FF918254340B}">
      <text>
        <r>
          <rPr>
            <b/>
            <sz val="9"/>
            <color indexed="81"/>
            <rFont val="Tahoma"/>
            <family val="2"/>
          </rPr>
          <t>20&lt;/D&gt;&lt;D xsi:type="xsd:double"&gt;2732&lt;/D&gt;&lt;D xsi:type="xsd:double"&gt;3008&lt;/D&gt;&lt;D xsi:type="xsd:double"&gt;3002&lt;/D&gt;&lt;D xsi:type="xsd:double"&gt;2770&lt;/D&gt;&lt;D xsi:type="xsd:double"&gt;2992&lt;/D&gt;&lt;D xsi:type="xsd:double"&gt;3321&lt;/D&gt;&lt;D xsi:type="xsd:double"&gt;3418&lt;/D&gt;&lt;D xsi:type="xsd:double"&gt;3313&lt;/D&gt;&lt;D xsi:type="xsd:double"&gt;3380&lt;/D&gt;&lt;D xsi:type="xsd:double"&gt;3397&lt;/D&gt;&lt;D xsi:type="xsd:double"&gt;3544&lt;/D&gt;&lt;D xsi:type="xsd:double"&gt;3250&lt;/D&gt;&lt;D xsi:type="xsd:double"&gt;2996&lt;/D&gt;&lt;D xsi:type="xsd:double"&gt;2963&lt;/D&gt;&lt;D xsi:type="xsd:double"&gt;2984&lt;/D&gt;&lt;D xsi:type="xsd:double"&gt;2852&lt;/D&gt;&lt;D xsi:type="xsd:double"&gt;2790&lt;/D&gt;&lt;D xsi:type="xsd:double"&gt;2907&lt;/D&gt;&lt;D xsi:type="xsd:double"&gt;2728&lt;/D&gt;&lt;D xsi:type="xsd:double"&gt;3005&lt;/D&gt;&lt;D xsi:type="xsd:double"&gt;3130&lt;/D&gt;&lt;D xsi:type="xsd:double"&gt;3317&lt;/D&gt;&lt;D xsi:type="xsd:double"&gt;3408&lt;/D&gt;&lt;D xsi:type="xsd:double"&gt;3167&lt;/D&gt;&lt;D xsi:type="xsd:double"&gt;3034&lt;/D&gt;&lt;D xsi:type="xsd:double"&gt;2717&lt;/D&gt;&lt;D xsi:type="xsd:double"&gt;2714&lt;/D&gt;&lt;D xsi:type="xsd:double"&gt;2604&lt;/D&gt;&lt;D xsi:type="xsd:double"&gt;2402&lt;/D&gt;&lt;D xsi:type="xsd:double"&gt;2794&lt;/D&gt;&lt;D xsi:type="xsd:double"&gt;2812&lt;/D&gt;&lt;D xsi:type="xsd:double"&gt;3164&lt;/D&gt;&lt;D xsi:type="xsd:double"&gt;3382&lt;/D&gt;&lt;D xsi:type="xsd:double"&gt;3636&lt;/D&gt;&lt;D xsi:type="xsd:double"&gt;3403&lt;/D&gt;&lt;D xsi:type="xsd:double"&gt;3333&lt;/D&gt;&lt;D xsi:type="xsd:double"&gt;3505&lt;/D&gt;&lt;D xsi:type="xsd:double"&gt;3508&lt;/D&gt;&lt;D xsi:type="xsd:double"&gt;3522&lt;/D&gt;&lt;D xsi:type="xsd:double"&gt;3334&lt;/D&gt;&lt;D xsi:type="xsd:double"&gt;3264&lt;/D&gt;&lt;D xsi:type="xsd:double"&gt;3540&lt;/D&gt;&lt;D xsi:type="xsd:double"&gt;3776&lt;/D&gt;&lt;D xsi:type="xsd:double"&gt;3716&lt;/D&gt;&lt;D xsi:type="xsd:double"&gt;3779&lt;/D&gt;&lt;D xsi:type="xsd:double"&gt;3544&lt;/D&gt;&lt;D xsi:type="xsd:double"&gt;3557&lt;/D&gt;&lt;D xsi:type="xsd:double"&gt;3585&lt;/D&gt;&lt;D xsi:type="xsd:double"&gt;3652&lt;/D&gt;&lt;D xsi:type="xsd:double"&gt;3930&lt;/D&gt;&lt;D xsi:type="xsd:double"&gt;3861&lt;/D&gt;&lt;D xsi:type="xsd:double"&gt;4139&lt;/D&gt;&lt;D xsi:type="xsd:double"&gt;4173&lt;/D&gt;&lt;D xsi:type="xsd:double"&gt;4089&lt;/D&gt;&lt;D xsi:type="xsd:double"&gt;3974&lt;/D&gt;&lt;D xsi:type="xsd:double"&gt;3507&lt;/D&gt;&lt;D xsi:type="xsd:double"&gt;3659&lt;/D&gt;&lt;D xsi:type="xsd:double"&gt;3840&lt;/D&gt;&lt;D xsi:type="xsd:double"&gt;4097&lt;/D&gt;&lt;D xsi:type="xsd:double"&gt;3822&lt;/D&gt;&lt;D xsi:type="xsd:double"&gt;4031&lt;/D&gt;&lt;D xsi:type="xsd:double"&gt;4092&lt;/D&gt;&lt;D xsi:type="xsd:double"&gt;4086&lt;/D&gt;&lt;D xsi:type="xsd:double"&gt;4109&lt;/D&gt;&lt;D xsi:type="xsd:double"&gt;4243&lt;/D&gt;&lt;D xsi:type="xsd:double"&gt;4361&lt;/D&gt;&lt;D xsi:type="xsd:double"&gt;4312&lt;/D&gt;&lt;D xsi:type="xsd:double"&gt;4011&lt;/D&gt;&lt;D xsi:type="xsd:double"&gt;4336&lt;/D&gt;&lt;D xsi:type="xsd:double"&gt;4406&lt;/D&gt;&lt;D xsi:type="xsd:double"&gt;4272&lt;/D&gt;&lt;D xsi:type="xsd:double"&gt;4404&lt;/D&gt;&lt;D xsi:type="xsd:double"&gt;4369&lt;/D&gt;&lt;D xsi:type="xsd:double"&gt;4246&lt;/D&gt;&lt;D xsi:type="xsd:double"&gt;4321&lt;/D&gt;&lt;D xsi:type="xsd:double"&gt;4311&lt;/D&gt;&lt;D xsi:type="xsd:double"&gt;4390&lt;/D&gt;&lt;D xsi:type="xsd:double"&gt;4432&lt;/D&gt;&lt;D xsi:type="xsd:double"&gt;4656&lt;/D&gt;&lt;D xsi:type="xsd:double"&gt;4517&lt;/D&gt;&lt;D xsi:type="xsd:double"&gt;4815&lt;/D&gt;&lt;D xsi:type="xsd:double"&gt;4841&lt;/D&gt;&lt;D xsi:type="xsd:double"&gt;4942&lt;/D&gt;&lt;D xsi:type="xsd:double"&gt;5009&lt;/D&gt;&lt;D xsi:type="xsd:double"&gt;4826&lt;/D&gt;&lt;D xsi:type="xsd:double"&gt;5057&lt;/D&gt;&lt;D xsi:type="xsd:double"&gt;5037&lt;/D&gt;&lt;D xsi:type="xsd:double"&gt;5169&lt;/D&gt;&lt;D xsi:type="xsd:double"&gt;5076&lt;/D&gt;&lt;D xsi:type="xsd:double"&gt;5241&lt;/D&gt;&lt;D xsi:type="xsd:double"&gt;5084&lt;/D&gt;&lt;D xsi:type="xsd:double"&gt;5295&lt;/D&gt;&lt;D xsi:type="xsd:double"&gt;5309&lt;/D&gt;&lt;D xsi:type="xsd:double"&gt;5507&lt;/D&gt;&lt;D xsi:type="xsd:double"&gt;5560&lt;/D&gt;&lt;D xsi:type="xsd:double"&gt;5539&lt;/D&gt;&lt;D xsi:type="xsd:double"&gt;5307&lt;/D&gt;&lt;D xsi:type="xsd:double"&gt;5374&lt;/D&gt;&lt;D xsi:type="xsd:double"&gt;5146&lt;/D&gt;&lt;D xsi:type="xsd:double"&gt;4934&lt;/D&gt;&lt;D xsi:type="xsd:double"&gt;4939&lt;/D&gt;&lt;D xsi:type="xsd:double"&gt;4730&lt;/D&gt;&lt;D xsi:type="xsd:double"&gt;4569&lt;/D&gt;&lt;D xsi:type="xsd:double"&gt;4289&lt;/D&gt;&lt;D xsi:type="xsd:double"&gt;4303&lt;/D&gt;&lt;D xsi:type="xsd:double"&gt;4555&lt;/D&gt;&lt;D xsi:type="xsd:double"&gt;4684&lt;/D&gt;&lt;D xsi:type="xsd:double"&gt;4343&lt;/D&gt;&lt;D xsi:type="xsd:double"&gt;4264&lt;/D&gt;&lt;D xsi:type="xsd:double"&gt;3989&lt;/D&gt;&lt;D xsi:type="xsd:double"&gt;4249&lt;/D&gt;&lt;D xsi:type="xsd:double"&gt;4318&lt;/D&gt;&lt;D xsi:type="xsd:double"&gt;4460&lt;/D&gt;&lt;D xsi:type="xsd:double"&gt;4330&lt;/D&gt;&lt;D xsi:type="xsd:double"&gt;4048&lt;/D&gt;&lt;D xsi:type="xsd:double"&gt;4093&lt;/D&gt;&lt;D xsi:type="xsd:double"&gt;4384&lt;/D&gt;&lt;/FQL&gt;&lt;FQL&gt;&lt;Q&gt;000001172^JULIAN(FMA_GEOREV_ECONOMY("DVLP",-1AY,,,,"PORTAGG").DATES)&lt;/Q&gt;&lt;R&gt;1&lt;/R&gt;&lt;C&gt;1&lt;/C&gt;&lt;D xsi:type="xsd:long"&gt;45747&lt;/D&gt;&lt;/FQL&gt;&lt;FQL&gt;&lt;Q&gt;000001172^FMA_GEOREV_ECONOMY("DVLP",0,,,,"PORTAGG")&lt;/Q&gt;&lt;R&gt;1&lt;/R&gt;&lt;C&gt;1&lt;/C&gt;&lt;D xsi:type="xsd:double"&gt;77.575045819013&lt;/D&gt;&lt;/FQL&gt;&lt;FQL&gt;&lt;Q&gt;000001172^STRING_ARRAY CONSTITUENTS=GET_FQL_ARRAY(US_UNIV("FG_CONST_WEIGHT(000001172,0,CLOSE)&amp;gt;0"),"CONCAT(P_SYMBOL,FG_COMPANY_NAME,FG_PRICE_CHANGE(-1AY,,D)/100)");""&lt;/Q&gt;&lt;R&gt;1&lt;/R&gt;&lt;C&gt;1&lt;/C&gt;&lt;D xsi:type="xsd:string" /&gt;&lt;/FQL&gt;&lt;FQL&gt;&lt;Q&gt;000001172^FMA_GEOREV_ECONOMY("DVLP",-1AY,,,,"PORTAGG")&lt;/Q&gt;&lt;R&gt;1&lt;/R&gt;&lt;C&gt;1&lt;/C&gt;&lt;D xsi:type="xsd:double"&gt;78.709953938464&lt;/D&gt;&lt;/FQL&gt;&lt;FQL&gt;&lt;Q&gt;000001172^FMA_GEOREV_SUPER_REGION("R274",-2AY,,,,"PORTAGG")&lt;/Q&gt;&lt;R&gt;1&lt;/R&gt;&lt;C&gt;1&lt;/C&gt;&lt;D xsi:type="xsd:double"&gt;13.600101891034999&lt;/D&gt;&lt;/FQL&gt;&lt;FQL&gt;&lt;Q&gt;000001172^FMA_PSALES(LTM,0,,,"PORTAGG")&lt;/Q&gt;&lt;R&gt;1&lt;/R&gt;&lt;C&gt;1&lt;/C&gt;&lt;D xsi:type="xsd:double"&gt;3.18369540269657&lt;/D&gt;&lt;/FQL&gt;&lt;FQL&gt;&lt;Q&gt;000001172^FMA_PBK(+2,0,,,"PORTAGG","MEANR")&lt;/Q&gt;&lt;R&gt;1&lt;/R&gt;&lt;C&gt;1&lt;/C&gt;&lt;D xsi:type="xsd:double"&gt;3.8958698040195&lt;/D&gt;&lt;/FQL&gt;&lt;FQL&gt;&lt;Q&gt;000001172^FMA_DECLINERS(0)&lt;/Q&gt;&lt;R&gt;1&lt;/R&gt;&lt;C&gt;1&lt;/C&gt;&lt;D xsi:type="xsd:double"&gt;83&lt;/D&gt;&lt;/FQL&gt;&lt;FQL&gt;&lt;Q&gt;000001172^FMA_EVAL_SALES(+1,0,,,"PORTAGG","MEANR")&lt;/Q&gt;&lt;R&gt;1&lt;/R&gt;&lt;C&gt;1&lt;/C&gt;&lt;D xsi:type="xsd:double"&gt;3.58743189237255&lt;/D&gt;&lt;/FQL&gt;&lt;FQL&gt;&lt;Q&gt;000001172^FMA_ADVANCERS_VOL_PCT(0)/100&lt;/Q&gt;&lt;R&gt;1&lt;/R&gt;&lt;C&gt;1&lt;/C&gt;&lt;D xsi:type="xsd:double"&gt;0.813555402563506&lt;/D&gt;&lt;/FQL&gt;&lt;FQL&gt;&lt;Q&gt;000001172^FG_PCHG_IDX(0,0CY,)/100&lt;/Q&gt;&lt;R&gt;1&lt;/R&gt;&lt;C&gt;1&lt;/C&gt;&lt;D xsi:type="xsd:double"&gt;-0.0463059096572955&lt;/D&gt;&lt;/FQL&gt;&lt;FQL&gt;&lt;Q&gt;000001172^FMA_EVAL_SALES(NTMA,0,,,"PORTAGG","MEANR")&lt;/Q&gt;&lt;R&gt;1&lt;/R&gt;&lt;C&gt;1&lt;/C&gt;&lt;D xsi:type="xsd:double"&gt;3.52313260743229&lt;/D&gt;&lt;/FQL&gt;&lt;FQL&gt;&lt;Q&gt;000001172^FMA_GEOREV_ECONOMY("DVLP",-2AY,,,,"PORTAGG")&lt;/Q&gt;&lt;R&gt;1&lt;/R&gt;&lt;C&gt;1&lt;/C&gt;&lt;D xsi:type="xsd:double"&gt;77.722673452095&lt;/D&gt;&lt;/FQL&gt;&lt;FQL&gt;&lt;Q&gt;000001172^FMA_GEOREV_SUPER_REGION("R101",0,,,,"PORTAGG")&lt;/Q&gt;&lt;R&gt;1&lt;/R&gt;&lt;C&gt;1&lt;/C&gt;&lt;D xsi:type="xsd:double"&gt;64.597910398639&lt;/D&gt;&lt;/FQL&gt;&lt;FQL&gt;&lt;Q&gt;000001172^FMA_PBK(+1,0,,,"PORTAGG","MEANR")&lt;/Q&gt;&lt;R&gt;1&lt;/R&gt;&lt;C&gt;1&lt;/C&gt;&lt;D xsi:type="xsd:double"&gt;4.46498540731676&lt;/D&gt;&lt;/FQL&gt;&lt;FQL&gt;&lt;Q&gt;000001172^FMA_PBK(NTMA,0,,,"PORTAGG","MEANR")&lt;/Q&gt;&lt;R&gt;1&lt;/R&gt;&lt;C&gt;1&lt;/C&gt;&lt;D xsi:type="xsd:double"&gt;4.32465553253114&lt;/D&gt;&lt;/FQL&gt;&lt;FQL&gt;&lt;Q&gt;000001172^FMA_ADVANCERS_VOL(0)&lt;/Q&gt;&lt;R&gt;1&lt;/R&gt;&lt;C&gt;1&lt;/C&gt;&lt;D xsi:type="xsd:double"&gt;3199350.1547718&lt;/D&gt;&lt;/FQL&gt;&lt;FQL&gt;&lt;Q&gt;000001172^FMA_PBK(LTM,0,,,"PORTAGG","MEANR")&lt;/Q&gt;&lt;R&gt;1&lt;/R&gt;&lt;C&gt;1&lt;/C&gt;&lt;D xsi:type="xsd:double"&gt;5.00398325997246&lt;/D&gt;&lt;/FQL&gt;&lt;FQL&gt;&lt;Q&gt;000001172^FG_TRET_PCHG_IDX(0,-3AM,)/100&lt;/Q&gt;&lt;R&gt;1&lt;/R&gt;&lt;C&gt;1&lt;/C&gt;&lt;D xsi:type="xsd:double"&gt;-0.0433431413407038&lt;/D&gt;&lt;/FQL&gt;&lt;FQL&gt;&lt;Q&gt;000001172^FMA_EVAL_SALES(LTM,0,,,"PORTAGG")&lt;/Q&gt;&lt;R&gt;1&lt;/R&gt;&lt;C&gt;1&lt;/C&gt;&lt;D xsi:type="xsd:double"&gt;3.9126742585123&lt;/D&gt;&lt;/FQL&gt;&lt;FQL&gt;&lt;Q&gt;000001172^FMA_ADVANCERS_PCT(0)/100&lt;/Q&gt;&lt;R&gt;1&lt;/R&gt;&lt;C&gt;1&lt;/C&gt;&lt;D xsi:type="xsd:double"&gt;0.833001988071571&lt;/D&gt;&lt;/FQL&gt;&lt;FQL&gt;&lt;Q&gt;000001172^FMA_GEOREV_TOP_EXPOSURES(4,20,-1AY,,,,"PORTAGG")&lt;/Q&gt;&lt;R&gt;21&lt;/R&gt;&lt;C&gt;2&lt;/C&gt;&lt;D xsi:type="xsd:string"&gt;Dates&lt;/D&gt;&lt;D xsi:type="xsd:string"&gt;20250331&lt;/D&gt;&lt;D xsi:type="xsd:string"&gt;United States&lt;/D&gt;&lt;D xsi:type="xsd:string"&gt;59.746044&lt;/D&gt;&lt;D xsi:type="xsd:string"&gt;Mainland China&lt;/D&gt;&lt;D xsi:type="xsd:string"&gt;6.779068&lt;/D&gt;&lt;D xsi:type="xsd:string"&gt;Japan&lt;/D&gt;&lt;D xsi:type="xsd:string"&gt;2.273178&lt;/D&gt;&lt;D xsi:type="xsd:string"&gt;United Kingdom&lt;/D&gt;&lt;D xsi:type="xsd:string"&gt;2.241419&lt;/D&gt;&lt;D xsi:type="xsd:string"&gt;Germany&lt;/D&gt;&lt;D xsi:type="xsd:string"&gt;2.144826&lt;/D&gt;&lt;D xsi:type="xsd:string"&gt;Canada&lt;/D&gt;&lt;D xsi:type="xsd:string"&gt;1.784858&lt;/D&gt;&lt;D xsi:type="xsd:string"&gt;Singapore&lt;/D&gt;&lt;D xsi:type="xsd:string"&gt;1.751088&lt;/D&gt;&lt;D xsi:type="xsd:string"&gt;Taiwan, China&lt;/D&gt;&lt;D xsi:type="xsd:string"&gt;1.480592&lt;/D&gt;&lt;D xsi:type="xsd:string"&gt;India&lt;/D&gt;&lt;D xsi:type="xsd:string"&gt;1.415767&lt;/D&gt;&lt;D xsi:type="xsd:string"&gt;France&lt;/D&gt;&lt;D xsi:type="xsd:string"&gt;1.322139&lt;/D&gt;&lt;D xsi:type="xsd:string"&gt;Mexico&lt;/D&gt;&lt;D xsi:type="xsd:string"&gt;1.131939&lt;/D&gt;&lt;D xsi:type="xsd:string"&gt;Brazil&lt;/D&gt;&lt;D xsi:type="xsd:string"&gt;1.064824&lt;/D&gt;&lt;D xsi:type="xsd:string"&gt;Italy&lt;/D&gt;&lt;D xsi:type="xsd:string"&gt;1.057145&lt;/D&gt;&lt;D xsi:type="xsd:string"&gt;Republic of Korea (South Korea)&lt;/D&gt;&lt;D xsi:type="xsd:string"&gt;0.997334&lt;/D&gt;&lt;D xsi:type="xsd:string"&gt;Australia&lt;/D&gt;&lt;D xsi:type="xsd:string"&gt;0.838797&lt;/D&gt;&lt;D xsi:type="xsd:string"&gt;Russian Federation&lt;/D&gt;&lt;D xsi:type="xsd:string"&gt;0.834170&lt;/D&gt;&lt;D xsi:type="xsd:string"&gt;Netherlands&lt;/D&gt;&lt;D xsi:type="xsd:string"&gt;0.813382&lt;/D&gt;&lt;D xsi:type="xsd:string"&gt;Spain&lt;/D&gt;&lt;D xsi:type="xsd:string"&gt;0.774222&lt;/D&gt;&lt;D xsi:type="xsd:string"&gt;Indonesia&lt;/D&gt;&lt;D xsi:type="xsd:string"&gt;0.609163&lt;/D&gt;&lt;D xsi:type="xsd:string"&gt;Switzerland&lt;/D&gt;&lt;D xsi:type="xsd:string"&gt;0.509700&lt;/D&gt;&lt;/FQL&gt;&lt;FQL&gt;&lt;Q&gt;000001172^JULIAN(FMA_GEOREV_ECONOMY("DVLP",0,,,,"PORTAGG").DATES)&lt;/Q&gt;&lt;R&gt;1&lt;/R&gt;&lt;C&gt;1&lt;/C&gt;&lt;D xsi:type="xsd:long"&gt;46112&lt;/D&gt;&lt;/FQL&gt;&lt;FQL&gt;&lt;Q&gt;000001172^FMA_GEOREV_SUPER_REGION("R101",-2AY,,,,"PORTAGG")&lt;/Q&gt;&lt;R&gt;1&lt;/R&gt;&lt;C&gt;1&lt;/C&gt;&lt;D xsi:type="xsd:double"&gt;64.616587620962&lt;/D&gt;&lt;/FQL&gt;&lt;FQL&gt;&lt;Q&gt;000001172^FMA_DIV_YLD(LTM,0,,,"PORTAGG","MEANR")&lt;/Q&gt;&lt;R&gt;1&lt;/R&gt;&lt;C&gt;1&lt;/C&gt;&lt;D xsi:type="xsd:double"&gt;1.17414006160271&lt;/D&gt;&lt;/FQL&gt;&lt;FQL&gt;&lt;Q&gt;000001172^FG_PRICE_ICS(0/0/-1,-1D,D,LOCAL,SPLIT,0,,,5)&lt;/Q&gt;&lt;R&gt;251&lt;/R&gt;&lt;C&gt;1&lt;/C&gt;&lt;D xsi:type="xsd:double"&gt;5611.85&lt;/D&gt;&lt;D xsi:type="xsd:double"&gt;5633.07&lt;/D&gt;&lt;D xsi:type="xsd:double"&gt;5670.97&lt;/D&gt;&lt;D xsi:type="xsd:double"&gt;5396.52&lt;/D&gt;&lt;D xsi:type="xsd:double"&gt;5074.08&lt;/D&gt;&lt;D xsi:type="xsd:double"&gt;5062.25&lt;/D&gt;&lt;D xsi:type="xsd:double"&gt;4982.77&lt;/D&gt;&lt;D xsi:type="xsd:double"&gt;5456.9&lt;/D&gt;&lt;D xsi:type="xsd:double"&gt;5268.05&lt;/D&gt;&lt;D xsi:type="xsd:double"&gt;5363.36&lt;/D&gt;&lt;D xsi:type="xsd:double"&gt;5405.97&lt;/D&gt;&lt;D xsi:type="xsd:double"&gt;5396.63&lt;/D&gt;&lt;D xsi:type="xsd:double"&gt;5275.7&lt;/D&gt;&lt;D xsi:type="xsd:double"&gt;5282.7&lt;/D&gt;&lt;D xsi:type="xsd:double"&gt;5158.2&lt;/D&gt;&lt;D xsi:type="xsd:double"&gt;5287.76&lt;/D&gt;&lt;D xsi:type="xsd:double"&gt;5375.86&lt;/D&gt;&lt;D xsi:type="xsd:double"&gt;5484.77&lt;/D&gt;&lt;D xsi:type="xsd:double"&gt;5525.21&lt;/D&gt;&lt;D xsi:type="xsd:double"&gt;5528.75&lt;/D&gt;&lt;D xsi:type="xsd:double"&gt;5560.83&lt;/D&gt;&lt;D xsi:type="xsd:double"&gt;5569.06&lt;/D&gt;&lt;D xsi:type="xsd:double"&gt;5604.14&lt;/D&gt;&lt;D xsi:type="xsd:double"&gt;5686.67&lt;/D&gt;&lt;D xsi:type="xsd:double"&gt;5650.38&lt;/D&gt;&lt;D xsi:type="xsd:double"&gt;5606.91&lt;/D&gt;&lt;D xsi:type="xsd:double"&gt;5631.28&lt;/D&gt;&lt;D xsi:type="xsd:double"&gt;5663.94&lt;/D&gt;&lt;D xsi:type="xsd:double"&gt;5659.91&lt;/D&gt;&lt;D xsi:type="xsd:double"&gt;5844.19&lt;/D&gt;&lt;D xsi:type="xsd:double"&gt;5886.55&lt;/D&gt;&lt;D xsi:type="xsd:double"&gt;5892.58&lt;/D&gt;&lt;D xsi:type="xsd:double"&gt;5916.93&lt;/D&gt;&lt;D xsi:type="xsd:double"&gt;5958.38&lt;/D&gt;&lt;D xsi:type="xsd:double"&gt;5963.6&lt;/D&gt;&lt;D xsi:type="xsd:double"&gt;5940.46&lt;/D&gt;&lt;D xsi:type="xsd:double"&gt;5844.61&lt;/D&gt;&lt;D xsi:type="xsd:double"&gt;5842.01&lt;/D&gt;&lt;D xsi:type="xsd:double"&gt;5802.82&lt;/D&gt;&lt;D xsi:type="xsd:double"&gt;5921.54&lt;/D&gt;&lt;D xsi:type="xsd:double"&gt;5888.55&lt;/D&gt;&lt;D xsi:type="xsd:double"&gt;5912.17&lt;/D&gt;&lt;D xsi:type="xsd:double"&gt;5911.69&lt;/D&gt;&lt;D xsi:type="xsd:double"&gt;5935.94&lt;/D&gt;&lt;D xsi:type="xsd:double"&gt;5970.37&lt;/D&gt;&lt;D xsi:type="xsd:double"&gt;5970.81&lt;/D&gt;&lt;D xsi:type="xsd:double"&gt;5939.3&lt;/D&gt;&lt;D xsi:type="xsd:double"&gt;6000.36&lt;/D&gt;&lt;D xsi:type="xsd:double"&gt;6005.88&lt;/D&gt;&lt;D xsi:type="xsd:double"&gt;6038.81&lt;/D&gt;&lt;D xsi:type="xsd:double"&gt;6022.24&lt;/D&gt;&lt;D xsi:type="xsd:double"&gt;6045.26&lt;/D&gt;&lt;D xsi:type="xsd:double"&gt;5976.97&lt;/D&gt;&lt;D xsi:type="xsd:double"&gt;6033.11&lt;/D&gt;&lt;D xsi:type="xsd:double"&gt;5982.72&lt;/D&gt;&lt;D xsi:type="xsd:double"&gt;5980.87&lt;/D&gt;&lt;D xsi:type="xsd:double"&gt;5967.84&lt;/D&gt;&lt;D xsi:type="xsd:double"&gt;6025.17&lt;/D&gt;&lt;D xsi:type="xsd:double"&gt;6092.18&lt;/D&gt;&lt;D xsi:type="xsd:double"&gt;6092.16&lt;/D&gt;&lt;D xsi:type="xsd:double"&gt;6141.02&lt;/D&gt;&lt;D xsi:type="xsd:double"&gt;6173.07&lt;/D&gt;&lt;D xsi:type="xsd:double"&gt;6204.95&lt;/D&gt;&lt;D xsi:type="xsd:double"&gt;6198.01&lt;/D&gt;&lt;D xsi:type="xsd:double"&gt;6227.42&lt;/D&gt;&lt;D xsi:type="xsd:double"&gt;6279.35&lt;/D&gt;&lt;D xsi:type="xsd:double"&gt;6229.98&lt;/D&gt;&lt;D xsi:type="xsd:double"&gt;6225.52&lt;/D&gt;&lt;D xsi:type="xsd:double"&gt;6263.26&lt;/D&gt;&lt;D xsi:type="xsd:double"&gt;6280.46&lt;/D&gt;&lt;D xsi:type="xsd:double"&gt;6259.75&lt;/D&gt;&lt;D xsi:type="xsd:double"&gt;6268.56&lt;/D&gt;&lt;D xsi:type="xsd:double"&gt;6243.76&lt;/D&gt;&lt;D xsi:type="xsd:double"&gt;6263.7&lt;/D&gt;&lt;D xsi:type="xsd:double"&gt;6297.36&lt;/D&gt;&lt;D xsi:type="xsd:double"&gt;6296.79&lt;/D&gt;&lt;D xsi:type="xsd:double"&gt;6305.6&lt;/D&gt;&lt;D xsi:type="xsd:double"&gt;6309.62&lt;/D&gt;&lt;D xsi:type="xsd:double"&gt;6358.91&lt;/D&gt;&lt;D xsi:type="xsd:double"&gt;6363.35&lt;/D&gt;&lt;D xsi:type="xsd:double"&gt;6388.64&lt;/D&gt;&lt;D xsi:type="xsd:double"&gt;6389.77&lt;/D&gt;&lt;D xsi:type="xsd:double"&gt;6370.86&lt;/D&gt;&lt;D xsi:type="xsd:double"&gt;6362.9&lt;/D&gt;&lt;D xsi:type="xsd:double"&gt;6339.39&lt;/D&gt;&lt;D xsi:type="xsd:double"&gt;6238.01&lt;/D&gt;&lt;D xsi:type="xsd:double"&gt;6329.94&lt;/D&gt;&lt;D xsi:type="xsd:double"&gt;6299.19&lt;/D&gt;&lt;D xsi:type="xsd:double"&gt;6345.06&lt;/D&gt;&lt;D xsi:type="xsd:double"&gt;6340&lt;/D&gt;&lt;D xsi:type="xsd:double"&gt;6389.45&lt;/D&gt;&lt;D xsi:type="xsd:double"&gt;6373.45&lt;/D&gt;&lt;D xsi:type="xsd:double"&gt;6445.76&lt;/D&gt;&lt;D xsi:type="xsd:double"&gt;6466.58&lt;/D&gt;&lt;D xsi:type="xsd:double"&gt;6468.54&lt;/D&gt;&lt;D xsi:type="xsd:double"&gt;6449.8&lt;/D&gt;&lt;D xsi:type="xsd:double"&gt;6449.15&lt;/D&gt;&lt;D xsi:type="xsd:double"&gt;6411.37&lt;/D&gt;&lt;D xsi:type="xsd:double"&gt;6395.78&lt;/D&gt;&lt;D xsi:type="xsd:double"&gt;6370.17&lt;/D&gt;&lt;D xsi:type="xsd:double"&gt;6466.91&lt;/D&gt;&lt;D xsi:type="xsd:double"&gt;6439.32&lt;/D&gt;&lt;D xsi:type="xsd:double"&gt;6465.94&lt;/D&gt;&lt;D xsi:type="xsd:double"&gt;6481.4&lt;/D&gt;&lt;D xsi:type="xsd:double"&gt;6501.86&lt;/D&gt;&lt;D xsi:type="xsd:double"&gt;6460.26&lt;/D&gt;&lt;D xsi:type="xsd:double"&gt;6415.54&lt;/D&gt;&lt;D xsi:type="xsd:double"&gt;6448.26&lt;/D&gt;&lt;D xsi:type="xsd:double"&gt;6502.08&lt;/D&gt;&lt;D xsi:type="xsd:double"&gt;6481.5&lt;/D&gt;&lt;D xsi:type="xsd:double"&gt;6495.15&lt;/D&gt;&lt;D xsi:type="xsd:double"&gt;6512.61&lt;/D&gt;&lt;D xsi:type="xsd:double"&gt;6532.04&lt;/D&gt;&lt;D xsi:type="xsd:double"&gt;6587.47&lt;/D&gt;&lt;D xsi:type="xsd:double"&gt;6584.29&lt;/D&gt;&lt;D xsi:type="xsd:double"&gt;6615.28&lt;/D&gt;&lt;D xsi:type="xsd:double"&gt;6606.76&lt;/D&gt;&lt;D xsi:type="xsd:double"&gt;6600.35&lt;/D&gt;&lt;D xsi:type="xsd:double"&gt;6631.96&lt;/D&gt;&lt;D xsi:type="xsd:double"&gt;6664.36&lt;/D&gt;&lt;D xsi:type="xsd:double"&gt;6693.75&lt;/D&gt;&lt;D xsi:type="xsd:double"&gt;6656.92&lt;/D&gt;&lt;D xsi:type="xsd:double"&gt;6637.97&lt;/D&gt;&lt;D xsi:type="xsd:double"&gt;6604.72&lt;/D&gt;&lt;D xsi:type="xsd:double"&gt;6643.7&lt;/D&gt;&lt;D xsi:type="xsd:double"&gt;6661.21&lt;/D&gt;&lt;D xsi:type="xsd:double"&gt;6688.46&lt;/D&gt;&lt;D xsi:type="xsd:double"&gt;6711.2&lt;/D&gt;&lt;D xsi:type="xsd:double"&gt;6715.35&lt;/D&gt;&lt;D xsi:type="xsd:double"&gt;6715.79&lt;/D&gt;&lt;D xsi:type="xsd:double"&gt;6740.28&lt;/D&gt;&lt;D xsi:type="xsd:double"&gt;6714.59&lt;/D&gt;&lt;D xsi:type="xsd:double"&gt;6753.72&lt;/D&gt;&lt;D xsi:type="xsd:double"&gt;6735.11&lt;/D&gt;&lt;D xsi:type="xsd:double"&gt;6552.51&lt;/D&gt;&lt;D xsi:type="xsd:double"&gt;6654.72&lt;/D&gt;&lt;D xsi:type="xsd:double"&gt;6644.31&lt;/D&gt;&lt;D xsi:type="xsd:double"&gt;6671.06&lt;/D&gt;&lt;D xsi:type="xsd:double"&gt;6629.07&lt;/D&gt;&lt;D xsi:type="xsd:double"&gt;6664.01&lt;/D&gt;&lt;D xsi:type="xsd:double"&gt;6735.13&lt;/D&gt;&lt;D xsi:type="xsd:double"&gt;6735.35&lt;/D&gt;&lt;D xsi:type="xsd:double"&gt;6699.4&lt;/D&gt;&lt;D xsi:type="xsd:double"&gt;6738.44&lt;/D&gt;&lt;D xsi:type="xsd:double"&gt;6791.69&lt;/D&gt;&lt;D xsi:type="xsd:double"&gt;6875.16&lt;/D&gt;&lt;D xsi:type="xsd:double"&gt;6890.89&lt;/D&gt;&lt;D xsi:type="xsd:double"&gt;6890.59&lt;/D&gt;&lt;D xsi:type="xsd:double"&gt;6822.34&lt;/D&gt;&lt;D xsi:type="xsd:double"&gt;6840.2&lt;/D&gt;&lt;D xsi:type="xsd:double"&gt;6851.97&lt;/D&gt;&lt;D xsi:type="xsd:double"&gt;6771.55&lt;/D&gt;&lt;D xsi:type="xsd:double"&gt;6796.29&lt;/D&gt;&lt;D xsi:type="xsd:double"&gt;6720.32&lt;/D&gt;&lt;D xsi:type="xsd:double"&gt;6728.8&lt;/D&gt;&lt;D xsi:type="xsd:double"&gt;6832.43&lt;/D&gt;&lt;D xsi:type="xsd:double"&gt;6846.61&lt;/D&gt;&lt;D xsi:type="xsd:double"&gt;6850.92&lt;/D&gt;&lt;D xsi:type="xsd:double"&gt;6737.49&lt;/D&gt;&lt;D xsi:type="xsd:double"&gt;6734.11&lt;/D&gt;&lt;D xsi:type="xsd:double"&gt;6672.41&lt;/D&gt;&lt;D xsi:type="xsd:double"&gt;6617.32&lt;/D&gt;&lt;D xsi:type="xsd:double"&gt;6642.16&lt;/D&gt;&lt;D xsi:type="xsd:double"&gt;6538.76&lt;/D&gt;&lt;D xsi:type="xsd:double"&gt;6602.99&lt;/D&gt;&lt;D xsi:type="xsd:double"&gt;6705.12&lt;/D&gt;&lt;D xsi:type="xsd:double"&gt;6765.88&lt;/D&gt;&lt;D xsi:type="xsd:double"&gt;6812.61&lt;/D&gt;&lt;D xsi:type="xsd:double"&gt;6849.09&lt;/D&gt;&lt;D xsi:type="xsd:double"&gt;6812.63&lt;/D&gt;&lt;D xsi:type="xsd:double"&gt;6829.37&lt;/D&gt;&lt;D xsi:type="xsd:double"&gt;6849.72&lt;/D&gt;&lt;D xsi:type="xsd:double"&gt;6857.12&lt;/D&gt;&lt;D xsi:type="xsd:double"&gt;6870.4&lt;/D&gt;&lt;D xsi:type="xsd:double"&gt;6846.51&lt;/D&gt;&lt;D xsi:type="xsd:double"&gt;6840.51&lt;/D&gt;&lt;D xsi:type="xsd:double"&gt;6886.68&lt;/D&gt;&lt;D xsi:type="xsd:double"&gt;6901&lt;/D&gt;&lt;D xsi:type="xsd:double"&gt;6827.41&lt;/D&gt;&lt;D xsi:type="xsd:double"&gt;6816.51&lt;/D&gt;&lt;D xsi:type="xsd:double"&gt;6800.26&lt;/D&gt;&lt;D xsi:type="xsd:double"&gt;6721.43&lt;/D&gt;&lt;D xsi:type="xsd:double"&gt;6774.76&lt;/D&gt;&lt;D xsi:type="xsd:double"&gt;6834.5&lt;/D&gt;&lt;D xsi:type="xsd:double"&gt;6878.49&lt;/D&gt;&lt;D xsi:type="xsd:double"&gt;6909.79&lt;/D&gt;&lt;D xsi:type="xsd:double"&gt;6932.05&lt;/D&gt;&lt;D xsi:type="xsd:double"&gt;6929.94&lt;/D&gt;&lt;D xsi:type="xsd:double"&gt;6905.74&lt;/D&gt;&lt;D xsi:type="xsd:double"&gt;6896.24&lt;/D&gt;&lt;D xsi:type="xsd:double"&gt;6845.5&lt;/D&gt;&lt;D xsi:type="xsd:double"&gt;6858.47&lt;/D&gt;&lt;D xsi:type="xsd:double"&gt;6902.05&lt;/D&gt;&lt;D xsi:type="xsd:double"&gt;6944.82&lt;/D&gt;&lt;D xsi:type="xsd:double"&gt;6920.93&lt;/D&gt;&lt;D xsi:type="xsd:double"&gt;6921.46&lt;/D&gt;&lt;D xsi:type="xsd:double"&gt;6966.28&lt;/D&gt;&lt;D xsi:type="xsd:double"&gt;6977.27&lt;/D&gt;&lt;D xsi:type="xsd:double"&gt;6963.74&lt;/D&gt;&lt;D xsi:type="xsd:double"&gt;6926.6&lt;/D&gt;&lt;D xsi:type="xsd:double"&gt;6944.47&lt;/D&gt;&lt;D xsi:type="xsd:double"&gt;6940.01&lt;/D&gt;&lt;D xsi:type="xsd:double"&gt;6796.86&lt;/D&gt;&lt;D xsi:type="xsd:double"&gt;6875.62&lt;/D&gt;&lt;D xsi:type="xsd:double"&gt;6913.35&lt;/D&gt;&lt;D xsi:type="xsd:double"&gt;6915.61&lt;/D&gt;&lt;D xsi:type="xsd:double"&gt;6950.23&lt;/D&gt;&lt;D xsi:type="xsd:double"&gt;6978.6&lt;/D&gt;&lt;D xsi:type="xsd:double"&gt;6978.03&lt;/D&gt;&lt;D xsi:type="xsd:double"&gt;6969.01&lt;/D&gt;&lt;D xsi:type="xsd:double"&gt;6939.03&lt;/D&gt;&lt;D xsi:type="xsd:double"&gt;6976.44&lt;/D&gt;&lt;D xsi:type="xsd:double"&gt;6917.81&lt;/D&gt;&lt;D xsi:type="xsd:double"&gt;6882.72&lt;/D&gt;&lt;D xsi:type="xsd:double"&gt;6798.4&lt;/D&gt;&lt;D xsi:type="xsd:double"&gt;6932.3&lt;/D&gt;&lt;D xsi:type="xsd:double"&gt;6964.82&lt;/D&gt;&lt;D xsi:type="xsd:double"&gt;6941.81&lt;/D&gt;&lt;D xsi:type="xsd:double"&gt;6941.47&lt;/D&gt;&lt;D xsi:type="xsd:double"&gt;6832.76&lt;/D&gt;&lt;D xsi:type="xsd:double"&gt;6836.17&lt;/D&gt;&lt;D xsi:type="xsd:double"&gt;6843.22&lt;/D&gt;&lt;D xsi:type="xsd:double"&gt;6881.31&lt;/D&gt;&lt;D xsi:type="xsd:double"&gt;6861.89&lt;/D&gt;&lt;D xsi:type="xsd:double"&gt;6909.51&lt;/D&gt;&lt;D xsi:type="xsd:double"&gt;6837.75&lt;/D&gt;&lt;D xsi:type="xsd:double"&gt;6890.07&lt;/D&gt;&lt;D xsi:type="xsd:double"&gt;6946.13&lt;/D&gt;&lt;D xsi:type="xsd:double"&gt;6908.86&lt;/D&gt;&lt;D xsi:type="xsd:double"&gt;6878.88&lt;/D&gt;&lt;D xsi:type="xsd:double"&gt;6881.62&lt;/D&gt;&lt;D xsi:type="xsd:double"&gt;6816.63&lt;/D&gt;&lt;D xsi:type="xsd:double"&gt;6869.5&lt;/D&gt;&lt;D xsi:type="xsd:double"&gt;6830.71&lt;/D&gt;&lt;D xsi:type="xsd:double"&gt;6740.02&lt;/D&gt;&lt;D xsi:type="xsd:double"&gt;6795.99&lt;/D&gt;&lt;D xsi:type="xsd:double"&gt;6781.48&lt;/D&gt;&lt;D xsi:type="xsd:double"&gt;6775.8&lt;/D&gt;&lt;D xsi:type="xsd:double"&gt;6672.62&lt;/D&gt;&lt;D xsi:type="xsd:double"&gt;6632.19&lt;/D&gt;&lt;D xsi:type="xsd:double"&gt;6699.38&lt;/D&gt;&lt;D xsi:type="xsd:double"&gt;6716.09&lt;/D&gt;&lt;D xsi:type="xsd:double"&gt;6624.7&lt;/D&gt;&lt;D xsi:type="xsd:double"&gt;6606.49&lt;/D&gt;&lt;D xsi:type="xsd:double"&gt;6506.48&lt;/D&gt;&lt;D xsi:type="xsd:double"&gt;6581&lt;/D&gt;&lt;D xsi:type="xsd:double"&gt;6556.37&lt;/D&gt;&lt;D xsi:type="xsd:double"&gt;6591.9&lt;/D&gt;&lt;D xsi:type="xsd:double"&gt;6477.16&lt;/D&gt;&lt;D xsi:type="xsd:double"&gt;6368.85&lt;/D&gt;&lt;D xsi:type="xsd:double"&gt;6343.72&lt;/D&gt;&lt;/FQL&gt;&lt;FQL&gt;&lt;Q&gt;000001172^FMA_GEOREV_TOP_EXPOSURES(4,20,-2AY,,,,"PORTAGG")&lt;/Q&gt;&lt;R&gt;21&lt;/R&gt;&lt;C&gt;2&lt;/C&gt;&lt;D xsi:type="xsd:string"&gt;Dates&lt;/D&gt;&lt;D xsi:type="xsd:string"&gt;20240331&lt;/D&gt;&lt;D xsi:type="xsd:string"&gt;United States&lt;/D&gt;&lt;D xsi:type="xsd:string"&gt;59.068890&lt;/D&gt;&lt;D xsi:type="xsd:string"&gt;Mainland China&lt;/D&gt;&lt;D xsi:type="xsd:string"&gt;7.136275&lt;/D&gt;&lt;D xsi:type="xsd:string"&gt;Japan&lt;/D&gt;&lt;D xsi:type="xsd:string"&gt;2.577308&lt;/D&gt;&lt;D xsi:type="xsd:string"&gt;Germany&lt;/D&gt;&lt;D xsi:type="xsd:string"&gt;2.248618&lt;/D&gt;&lt;D xsi:type="xsd:string"&gt;United Kingdom&lt;/D&gt;&lt;D xsi:type="xsd:string"&gt;2.201190&lt;/D&gt;&lt;D xsi:type="xsd:string"&gt;Taiwan, China&lt;/D&gt;&lt;D xsi:type="xsd:string"&gt;1.869011&lt;/D&gt;&lt;D xsi:type="xsd:string"&gt;Canada&lt;/D&gt;&lt;D xsi:type="xsd:string"&gt;1.820535&lt;/D&gt;&lt;D xsi:type="xsd:string"&gt;India&lt;/D&gt;&lt;D xsi:type="xsd:string"&gt;1.441372&lt;/D&gt;&lt;D xsi:type="xsd:string"&gt;France&lt;/D&gt;&lt;D xsi:type="xsd:string"&gt;1.346463&lt;/D&gt;&lt;D xsi:type="xsd:string"&gt;Republic of Korea (South Korea)&lt;/D&gt;&lt;D xsi:type="xsd:string"&gt;1.085877&lt;/D&gt;&lt;D xsi:type="xsd:string"&gt;Brazil&lt;/D&gt;&lt;D xsi:type="xsd:string"&gt;1.076092&lt;/D&gt;&lt;D xsi:type="xsd:string"&gt;Italy&lt;/D&gt;&lt;D xsi:type="xsd:string"&gt;1.075846&lt;/D&gt;&lt;D xsi:type="xsd:string"&gt;Mexico&lt;/D&gt;&lt;D xsi:type="xsd:string"&gt;1.059909&lt;/D&gt;&lt;D xsi:type="xsd:string"&gt;Russian Federation&lt;/D&gt;&lt;D xsi:type="xsd:string"&gt;0.907139&lt;/D&gt;&lt;D xsi:type="xsd:string"&gt;Australia&lt;/D&gt;&lt;D xsi:type="xsd:string"&gt;0.880533&lt;/D&gt;&lt;D xsi:type="xsd:string"&gt;Netherlands&lt;/D&gt;&lt;D xsi:type="xsd:string"&gt;0.816454&lt;/D&gt;&lt;D xsi:type="xsd:string"&gt;Spain&lt;/D&gt;&lt;D xsi:type="xsd:string"&gt;0.776573&lt;/D&gt;&lt;D xsi:type="xsd:string"&gt;Singapore&lt;/D&gt;&lt;D xsi:type="xsd:string"&gt;0.673126&lt;/D&gt;&lt;D xsi:type="xsd:string"&gt;Indonesia&lt;/D&gt;&lt;D xsi:type="xsd:string"&gt;0.617458&lt;/D&gt;&lt;D xsi:type="xsd:string"&gt;Switzerland&lt;/D&gt;&lt;D xsi:type="xsd:string"&gt;0.536332&lt;/D&gt;&lt;/FQL&gt;&lt;FQL&gt;&lt;Q&gt;000001172^FMA_PCT_BELOW_MAVG(200,0)&lt;/Q&gt;&lt;R&gt;1&lt;/R&gt;&lt;C&gt;1&lt;/C&gt;&lt;D xsi:type="xsd:double"&gt;53.1872509960159&lt;/D&gt;&lt;/FQL&gt;&lt;FQL&gt;&lt;Q&gt;000001172^FMA_ADVANCERS(0)&lt;/Q&gt;&lt;R&gt;1&lt;/R&gt;&lt;C&gt;1&lt;/C&gt;&lt;D xsi:type="xsd:double"&gt;419&lt;/D&gt;&lt;/FQL&gt;&lt;FQL&gt;&lt;Q&gt;000001172^FG_PCHG_IDX(0,-3AM,)/100&lt;/Q&gt;&lt;R&gt;1&lt;/R&gt;&lt;C&gt;1&lt;/C&gt;&lt;D xsi:type="xsd:double"&gt;-0.0463059096572955&lt;/D&gt;&lt;/FQL&gt;&lt;FQL&gt;&lt;Q&gt;000001172^FMA_EVAL_EBIT(+2,0,,,"PORTAGG","MEANR")&lt;/Q&gt;&lt;R&gt;1&lt;/R&gt;&lt;C&gt;1&lt;/C&gt;&lt;D xsi:type="xsd:double"&gt;15.8068901642049&lt;/D&gt;&lt;/FQL&gt;&lt;FQL&gt;&lt;Q&gt;000001172^FMA_PCT_ABOVE_MAVG(50,-1AY,0,D)&lt;/Q&gt;&lt;R&gt;252&lt;/R&gt;&lt;C&gt;1&lt;/C&gt;&lt;D xsi:type="xsd:double"&gt;39.1650099403579&lt;/D&gt;&lt;D xsi:type="xsd:double"&gt;40.9542743538767&lt;/D&gt;&lt;D xsi:type="xsd:double"&gt;41.5506958250497&lt;/D&gt;&lt;D xsi:type="xsd:double"&gt;31.4115308151093&lt;/D&gt;&lt;D xsi:type="xsd:double"&gt;11.1332007952286&lt;/D&gt;&lt;D xsi:type="xsd:double"&gt;6.75944333996024&lt;/D&gt;&lt;D xsi:type="xsd:double"&gt;5.36779324055666&lt;/D&gt;&lt;D xsi:type="xsd:double"&gt;14.9105367793241&lt;/D&gt;&lt;D xsi:type="xsd:double"&gt;13.7176938369781&lt;/D&gt;&lt;D xsi:type="xsd:double"&gt;19.2842942345924&lt;/D&gt;&lt;D xsi:type="xsd:double"&gt;25.4473161033797&lt;/D&gt;&lt;D xsi:type="xsd:double"&gt;24.6520874751491&lt;/D&gt;&lt;D xsi:type="xsd:double"&gt;20.675944333996&lt;/D&gt;&lt;D xsi:type="xsd:double"&gt;24.0556660039761&lt;/D&gt;&lt;D xsi:type="xsd:double"&gt;14.5129224652087&lt;/D&gt;&lt;D xsi:type="xsd:double"&gt;24.0556660039761&lt;/D&gt;&lt;D xsi:type="xsd:double"&gt;27.037773359841&lt;/D&gt;&lt;D xsi:type="xsd:double"&gt;32.6043737574553&lt;/D&gt;&lt;D xsi:type="xsd:double"&gt;33.5984095427435&lt;/D&gt;&lt;D xsi:type="xsd:double"&gt;36.182902584493&lt;/D&gt;&lt;D xsi:type="xsd:double"&gt;40.1590457256461&lt;/D&gt;&lt;D xsi:type="xsd:double"&gt;42.7435387673956&lt;/D&gt;&lt;D xsi:type="xsd:double"&gt;41.351888667992&lt;/D&gt;&lt;D xsi:type="xsd:double"&gt;57.0576540755467&lt;/D&gt;&lt;D xsi:type="xsd:double"&gt;54.2743538767396&lt;/D&gt;&lt;D xsi:type="xsd:double"&gt;52.0874751491054&lt;/D&gt;&lt;D xsi:type="xsd:double"&gt;56.4612326043738&lt;/D&gt;&lt;D xsi:type="xsd:double"&gt;60.0397614314115&lt;/D&gt;&lt;D xsi:type="xsd:double"&gt;61.0337972166998&lt;/D&gt;&lt;D xsi:type="xsd:double"&gt;72.5646123260437&lt;/D&gt;&lt;D xsi:type="xsd:double"&gt;69.3836978131213&lt;/D&gt;&lt;D xsi:type="xsd:double"&gt;64.4135188866799&lt;/D&gt;&lt;D xsi:type="xsd:double"&gt;73.1610337972167&lt;/D&gt;&lt;D xsi:type="xsd:double"&gt;78.5288270377734&lt;/D&gt;&lt;D xsi:type="xsd:double"&gt;79.5228628230616&lt;/D&gt;&lt;D xsi:type="xsd:double"&gt;79.324055666004&lt;/D&gt;&lt;D xsi:type="xsd:double"&gt;65.8051689860835&lt;/D&gt;&lt;D xsi:type="xsd:double"&gt;62.8230616302187&lt;/D&gt;&lt;D xsi:type="xsd:double"&gt;60.4373757455268&lt;/D&gt;&lt;D xsi:type="xsd:double"&gt;73.3598409542744&lt;/D&gt;&lt;D xsi:type="xsd:double"&gt;66.2027833001988&lt;/D&gt;&lt;D xsi:type="xsd:double"&gt;69.3836978131213&lt;/D&gt;&lt;D xsi:type="xsd:double"&gt;70.9741550695825&lt;/D&gt;&lt;D xsi:type="xsd:double"&gt;69.9801192842942&lt;/D&gt;&lt;D xsi:type="xsd:double"&gt;71.1729622266402&lt;/D&gt;&lt;D xsi:type="xsd:double"&gt;71.3717693836978&lt;/D&gt;&lt;D xsi:type="xsd:double"&gt;68.7872763419483&lt;/D&gt;&lt;D xsi:type="xsd:double"&gt;73.9562624254473&lt;/D&gt;&lt;D xsi:type="xsd:double"&gt;75.3479125248509&lt;/D&gt;&lt;D xsi:type="xsd:double"&gt;78.9264413518887&lt;/D&gt;&lt;D xsi:type="xsd:double"&gt;76.3419483101392&lt;/D&gt;&lt;D xsi:type="xsd:double"&gt;79.1252485089463&lt;/D&gt;&lt;D xsi:type="xsd:double"&gt;69.7813121272366&lt;/D&gt;&lt;D xsi:type="xsd:double"&gt;72.7634194831014&lt;/D&gt;&lt;D xsi:type="xsd:double"&gt;62.0278330019881&lt;/D&gt;&lt;D xsi:type="xsd:double"&gt;60.6361829025845&lt;/D&gt;&lt;D xsi:type="xsd:double"&gt;60.8349900596421&lt;/D&gt;&lt;D xsi:type="xsd:double"&gt;69.9801192842942&lt;/D&gt;&lt;D xsi:type="xsd:double"&gt;73.7574552683897&lt;/D&gt;&lt;D xsi:type="xsd:double"&gt;66.0039761431412&lt;/D&gt;&lt;D xsi:type="xsd:double"&gt;68.5884691848907&lt;/D&gt;&lt;D xsi:type="xsd:double"&gt;68.986083499006&lt;/D&gt;&lt;D xsi:type="xsd:double"&gt;71.5705765407555&lt;/D&gt;&lt;D xsi:type="xsd:double"&gt;79.324055666004&lt;/D&gt;&lt;D xsi:type="xsd:double"&gt;74.7011952191235&lt;/D&gt;&lt;D xsi:type="xsd:double"&gt;77.8884462151394&lt;/D&gt;&lt;D xsi:type="xsd:double"&gt;72.3107569721116&lt;/D&gt;&lt;D xsi:type="xsd:double"&gt;72.3107569721116&lt;/D&gt;&lt;D xsi:type="xsd:double"&gt;71.9681908548708&lt;/D&gt;&lt;D xsi:type="xsd:double"&gt;73.1610337972167&lt;/D&gt;&lt;D xsi:type="xsd:double"&gt;67.3956262425447&lt;/D&gt;&lt;D xsi:type="xsd:double"&gt;69.1848906560636&lt;/D&gt;&lt;D xsi:type="xsd:double"&gt;58.8469184890656&lt;/D&gt;&lt;D xsi:type="xsd:double"&gt;61.2326043737575&lt;/D&gt;&lt;D xsi:type="xsd:double"&gt;64.3426294820717&lt;/D&gt;&lt;D xsi:type="xsd:double"&gt;63.5458167330677&lt;/D&gt;&lt;D xsi:type="xsd:double"&gt;59.7609561752988&lt;/D&gt;&lt;D xsi:type="xsd:double"&gt;72.5099601593625&lt;/D&gt;&lt;D xsi:type="xsd:double"&gt;75.1491053677932&lt;/D&gt;&lt;D xsi:type="xsd:double"&gt;71.1729622266402&lt;/D&gt;&lt;D xsi:type="xsd:double"&gt;73.7574552683897&lt;/D&gt;&lt;D xsi:type="xsd:double"&gt;67.1968190854871&lt;/D&gt;&lt;D xsi:type="xsd:double"&gt;66.4015904572565&lt;/D&gt;&lt;D xsi:type="xsd:double"&gt;60.8349900596421&lt;/D&gt;&lt;D xsi:type="xsd:double"&gt;55.6660039761431&lt;/D&gt;&lt;D xsi:type="xsd:double"&gt;48.3101391650099&lt;/D&gt;&lt;D xsi:type="xsd:double"&gt;54.2743538767396&lt;/D&gt;&lt;D xsi:type="xsd:double"&gt;53.0815109343936&lt;/D&gt;&lt;D xsi:type="xsd:double"&gt;51.0934393638171&lt;/D&gt;&lt;D xsi:type="xsd:double"&gt;52.882703777336&lt;/D&gt;&lt;D xsi:type="xsd:double"&gt;55.2683896620278&lt;/D&gt;&lt;D xsi:type="xsd:double"&gt;53.4791252485089&lt;/D&gt;&lt;D xsi:type="xsd:double"&gt;59.4433399602386&lt;/D&gt;&lt;D xsi:type="xsd:double"&gt;65.2087475149105&lt;/D&gt;&lt;D xsi:type="xsd:double"&gt;61.8290258449304&lt;/D&gt;&lt;D xsi:type="xsd:double"&gt;58.4493041749503&lt;/D&gt;&lt;D xsi:type="xsd:double"&gt;58.051689860835&lt;/D&gt;&lt;D xsi:type="xsd:double"&gt;63.4194831013916&lt;/D&gt;&lt;D xsi:type="xsd:double"&gt;63.6182902584493&lt;/D&gt;&lt;D xsi:type="xsd:double"&gt;60.6361829025845&lt;/D&gt;&lt;D xsi:type="xsd:double"&gt;70.5765407554672&lt;/D&gt;&lt;D xsi:type="xsd:double"&gt;65.4075546719682&lt;/D&gt;&lt;D xsi:type="xsd:double"&gt;64.6123260437376&lt;/D&gt;&lt;D xsi:type="xsd:double"&gt;65.4075546719682&lt;/D&gt;&lt;D xsi:type="xsd:double"&gt;63.6182902584493&lt;/D&gt;&lt;D xsi:type="xsd:double"&gt;63.0218687872763&lt;/D&gt;&lt;D xsi:type="xsd:double"&gt;56.8588469184891&lt;/D&gt;&lt;D xsi:type="xsd:double"&gt;54.8707753479125&lt;/D&gt;&lt;D xsi:type="xsd:double"&gt;57.6540755467197&lt;/D&gt;&lt;D xsi:type="xsd:double"&gt;58.648111332008&lt;/D&gt;&lt;D xsi:type="xsd:double"&gt;56.6600397614314&lt;/D&gt;&lt;D xsi:type="xsd:double"&gt;55.2683896620278&lt;/D&gt;&lt;D xsi:type="xsd:double"&gt;52.6838966202783&lt;/D&gt;&lt;D xsi:type="xsd:double"&gt;64.0159045725646&lt;/D&gt;&lt;D xsi:type="xsd:double"&gt;58.8469184890656&lt;/D&gt;&lt;D xsi:type="xsd:double"&gt;54.6719681908549&lt;/D&gt;&lt;D xsi:type="xsd:double"&gt;50.2982107355865&lt;/D&gt;&lt;D xsi:type="xsd:double"&gt;53.8767395626243&lt;/D&gt;&lt;D xsi:type="xsd:double"&gt;56.4612326043738&lt;/D&gt;&lt;D xsi:type="xsd:double"&gt;55.4671968190855&lt;/D&gt;&lt;D xsi:type="xsd:double"&gt;53.0815109343936&lt;/D&gt;&lt;D xsi:type="xsd:double"&gt;56.8588469184891&lt;/D&gt;&lt;D xsi:type="xsd:double"&gt;54.0755467196819&lt;/D&gt;&lt;D xsi:type="xsd:double"&gt;47.117296222664&lt;/D&gt;&lt;D xsi:type="xsd:double"&gt;53.8767395626243&lt;/D&gt;&lt;D xsi:type="xsd:double"&gt;54.2743538767396&lt;/D&gt;&lt;D xsi:type="xsd:double"&gt;56.6600397614314&lt;/D&gt;&lt;D xsi:type="xsd:double"&gt;55.2683896620278&lt;/D&gt;&lt;D xsi:type="xsd:double"&gt;55.4671968190855&lt;/D&gt;&lt;D xsi:type="xsd:double"&gt;59.0457256461233&lt;/D&gt;&lt;D xsi:type="xsd:double"&gt;56.0636182902585&lt;/D&gt;&lt;D xsi:type="xsd:double"&gt;54.4731610337972&lt;/D&gt;&lt;D xsi:type="xsd:double"&gt;54.8707753479125&lt;/D&gt;&lt;D xsi:type="xsd:double"&gt;49.1053677932406&lt;/D&gt;&lt;D xsi:type="xsd:double"&gt;35.9840954274354&lt;/D&gt;&lt;D xsi:type="xsd:double"&gt;41.351888667992&lt;/D&gt;&lt;D xsi:type="xsd:double"&gt;47.5149105367793&lt;/D&gt;&lt;D xsi:type="xsd:double"&gt;46.7196819085487&lt;/D&gt;&lt;D xsi:type="xsd:double"&gt;39.5626242544732&lt;/D&gt;&lt;D xsi:type="xsd:double"&gt;43.3399602385686&lt;/D&gt;&lt;D xsi:type="xsd:double"&gt;50.4970178926441&lt;/D&gt;&lt;D xsi:type="xsd:double"&gt;53.0815109343936&lt;/D&gt;&lt;D xsi:type="xsd:double"&gt;48.7077534791253&lt;/D&gt;&lt;D xsi:type="xsd:double"&gt;50.8946322067594&lt;/D&gt;&lt;D xsi:type="xsd:double"&gt;52.6838966202783&lt;/D&gt;&lt;D xsi:type="xsd:double"&gt;55.8648111332008&lt;/D&gt;&lt;D xsi:type="xsd:double"&gt;47.117296222664&lt;/D&gt;&lt;D xsi:type="xsd:double"&gt;41.1530815109344&lt;/D&gt;&lt;D xsi:type="xsd:double"&gt;41.351888667992&lt;/D&gt;&lt;D xsi:type="xsd:double"&gt;40.2390438247012&lt;/D&gt;&lt;D xsi:type="xsd:double"&gt;38.4462151394422&lt;/D&gt;&lt;D xsi:type="xsd:double"&gt;38.9221556886228&lt;/D&gt;&lt;D xsi:type="xsd:double"&gt;39.9201596806387&lt;/D&gt;&lt;D xsi:type="xsd:double"&gt;38.5229540918164&lt;/D&gt;&lt;D xsi:type="xsd:double"&gt;43.9121756487026&lt;/D&gt;&lt;D xsi:type="xsd:double"&gt;45.7085828343313&lt;/D&gt;&lt;D xsi:type="xsd:double"&gt;49.1017964071856&lt;/D&gt;&lt;D xsi:type="xsd:double"&gt;51.497005988024&lt;/D&gt;&lt;D xsi:type="xsd:double"&gt;44.5109780439122&lt;/D&gt;&lt;D xsi:type="xsd:double"&gt;43.1137724550898&lt;/D&gt;&lt;D xsi:type="xsd:double"&gt;36.5269461077844&lt;/D&gt;&lt;D xsi:type="xsd:double"&gt;35.7285429141717&lt;/D&gt;&lt;D xsi:type="xsd:double"&gt;34.1317365269461&lt;/D&gt;&lt;D xsi:type="xsd:double"&gt;31.1377245508982&lt;/D&gt;&lt;D xsi:type="xsd:double"&gt;38.9221556886228&lt;/D&gt;&lt;D xsi:type="xsd:double"&gt;41.1177644710579&lt;/D&gt;&lt;D xsi:type="xsd:double"&gt;50.6986027944112&lt;/D&gt;&lt;D xsi:type="xsd:double"&gt;55.2894211576846&lt;/D&gt;&lt;D xsi:type="xsd:double"&gt;58.4830339321357&lt;/D&gt;&lt;D xsi:type="xsd:double"&gt;51.0978043912176&lt;/D&gt;&lt;D xsi:type="xsd:double"&gt;51.0978043912176&lt;/D&gt;&lt;D xsi:type="xsd:double"&gt;53.4930139720559&lt;/D&gt;&lt;D xsi:type="xsd:double"&gt;54.6906187624751&lt;/D&gt;&lt;D xsi:type="xsd:double"&gt;54.4910179640719&lt;/D&gt;&lt;D xsi:type="xsd:double"&gt;49.1017964071856&lt;/D&gt;&lt;D xsi:type="xsd:double"&gt;46.5069860279441&lt;/D&gt;&lt;D xsi:type="xsd:double"&gt;53.6926147704591&lt;/D&gt;&lt;D xsi:type="xsd:double"&gt;60.2794411177645&lt;/D&gt;&lt;D xsi:type="xsd:double"&gt;58.6826347305389&lt;/D&gt;&lt;D xsi:type="xsd:double"&gt;61.4770459081836&lt;/D&gt;&lt;D xsi:type="xsd:double"&gt;56.0878243512974&lt;/D&gt;&lt;D xsi:type="xsd:double"&gt;58.2834331337325&lt;/D&gt;&lt;D xsi:type="xsd:double"&gt;56.0878243512974&lt;/D&gt;&lt;D xsi:type="xsd:double"&gt;56.8862275449102&lt;/D&gt;&lt;D xsi:type="xsd:double"&gt;61.5537848605578&lt;/D&gt;&lt;D xsi:type="xsd:double"&gt;60.5577689243028&lt;/D&gt;&lt;D xsi:type="xsd:double"&gt;61.7529880478088&lt;/D&gt;&lt;D xsi:type="xsd:double"&gt;62.5498007968127&lt;/D&gt;&lt;D xsi:type="xsd:double"&gt;63.3466135458167&lt;/D&gt;&lt;D xsi:type="xsd:double"&gt;62.3505976095618&lt;/D&gt;&lt;D xsi:type="xsd:double"&gt;55.7768924302789&lt;/D&gt;&lt;D xsi:type="xsd:double"&gt;58.4493041749503&lt;/D&gt;&lt;D xsi:type="xsd:double"&gt;62.8230616302187&lt;/D&gt;&lt;D xsi:type="xsd:double"&gt;66.7992047713718&lt;/D&gt;&lt;D xsi:type="xsd:double"&gt;60.4373757455268&lt;/D&gt;&lt;D xsi:type="xsd:double"&gt;68.986083499006&lt;/D&gt;&lt;D xsi:type="xsd:double"&gt;69.3836978131213&lt;/D&gt;&lt;D xsi:type="xsd:double"&gt;67.3956262425447&lt;/D&gt;&lt;D xsi:type="xsd:double"&gt;66.7992047713718&lt;/D&gt;&lt;D xsi:type="xsd:double"&gt;70.1789264413519&lt;/D&gt;&lt;D xsi:type="xsd:double"&gt;71.3717693836978&lt;/D&gt;&lt;D xsi:type="xsd:double"&gt;70.9741550695825&lt;/D&gt;&lt;D xsi:type="xsd:double"&gt;60.0397614314115&lt;/D&gt;&lt;D xsi:type="xsd:double"&gt;68.1908548707754&lt;/D&gt;&lt;D xsi:type="xsd:double"&gt;67.1968190854871&lt;/D&gt;&lt;D xsi:type="xsd:double"&gt;65.8051689860835&lt;/D&gt;&lt;D xsi:type="xsd:double"&gt;68.389662027833&lt;/D&gt;&lt;D xsi:type="xsd:double"&gt;65.6063618290258&lt;/D&gt;&lt;D xsi:type="xsd:double"&gt;61.4314115308151&lt;/D&gt;&lt;D xsi:type="xsd:double"&gt;61.8290258449304&lt;/D&gt;&lt;D xsi:type="xsd:double"&gt;64.4135188866799&lt;/D&gt;&lt;D xsi:type="xsd:double"&gt;63.4194831013916&lt;/D&gt;&lt;D xsi:type="xsd:double"&gt;61.2326043737575&lt;/D&gt;&lt;D xsi:type="xsd:double"&gt;65.5378486055777&lt;/D&gt;&lt;D xsi:type="xsd:double"&gt;63.1474103585657&lt;/D&gt;&lt;D xsi:type="xsd:double"&gt;68.3266932270916&lt;/D&gt;&lt;D xsi:type="xsd:double"&gt;67.5944333996024&lt;/D&gt;&lt;D xsi:type="xsd:double"&gt;67.9920477137177&lt;/D&gt;&lt;D xsi:type="xsd:double"&gt;66.2027833001988&lt;/D&gt;&lt;D xsi:type="xsd:double"&gt;60.8349900596421&lt;/D&gt;&lt;D xsi:type="xsd:double"&gt;62.2266401590457&lt;/D&gt;&lt;D xsi:type="xsd:double"&gt;63.6182902584493&lt;/D&gt;&lt;D xsi:type="xsd:double"&gt;65.8051689860835&lt;/D&gt;&lt;D xsi:type="xsd:double"&gt;63.6182902584493&lt;/D&gt;&lt;D xsi:type="xsd:double"&gt;64.2147117296223&lt;/D&gt;&lt;D xsi:type="xsd:double"&gt;60.2385685884692&lt;/D&gt;&lt;D xsi:type="xsd:double"&gt;61.2326043737575&lt;/D&gt;&lt;D xsi:type="xsd:double"&gt;62.0278330019881&lt;/D&gt;&lt;D xsi:type="xsd:double"&gt;65.2087475149105&lt;/D&gt;&lt;D xsi:type="xsd:double"&gt;61.6302186878728&lt;/D&gt;&lt;D xsi:type="xsd:double"&gt;60.4373757455268&lt;/D&gt;&lt;D xsi:type="xsd:double"&gt;55.4671968190855&lt;/D&gt;&lt;D xsi:type="xsd:double"&gt;56.8588469184891&lt;/D&gt;&lt;D xsi:type="xsd:double"&gt;51.8886679920477&lt;/D&gt;&lt;D xsi:type="xsd:double"&gt;43.3399602385686&lt;/D&gt;&lt;D xsi:type="xsd:double"&gt;42.9423459244533&lt;/D&gt;&lt;D xsi:type="xsd:double"&gt;39.7614314115308&lt;/D&gt;&lt;D xsi:type="xsd:double"&gt;37.1769383697813&lt;/D&gt;&lt;D xsi:type="xsd:double"&gt;31.013916500994&lt;/D&gt;&lt;D xsi:type="xsd:double"&gt;30.6163021868787&lt;/D&gt;&lt;D xsi:type="xsd:double"&gt;32.0079522862823&lt;/D&gt;&lt;D xsi:type="xsd:double"&gt;33.5984095427435&lt;/D&gt;&lt;D xsi:type="xsd:double"&gt;26.6401590457256&lt;/D&gt;&lt;D xsi:type="xsd:double"&gt;26.2425447316103&lt;/D&gt;&lt;D xsi:type="xsd:double"&gt;17.8926441351889&lt;/D&gt;&lt;D xsi:type="xsd:double"&gt;22.0675944333996&lt;/D&gt;&lt;D xsi:type="xsd:double"&gt;24.0556660039761&lt;/D&gt;&lt;D xsi:type="xsd:double"&gt;26.441351888668&lt;/D&gt;&lt;D xsi:type="xsd:double"&gt;21.6699801192843&lt;/D&gt;&lt;D xsi:type="xsd:double"&gt;19.6819085487078&lt;/D&gt;&lt;D xsi:type="xsd:double"&gt;19.4831013916501&lt;/D&gt;&lt;D xsi:type="xsd:double"&gt;22.8628230616302&lt;/D&gt;&lt;/FQL&gt;&lt;FQL&gt;&lt;Q&gt;000001172^FMA_PCT_ABOVE_MAVG(200,-1AY,0,D)&lt;/Q&gt;&lt;R&gt;252&lt;/R&gt;&lt;C&gt;1&lt;/C&gt;&lt;D xsi:type="xsd:double"&gt;41.7495029821074&lt;/D&gt;&lt;D xsi:type="xsd:double"&gt;41.7495029821074&lt;/D&gt;&lt;D xsi:type="xsd:double"&gt;45.5268389662028&lt;/D&gt;&lt;D xsi:type="xsd:double"&gt;35.3876739562624&lt;/D&gt;&lt;D xsi:type="xsd:double"&gt;21.272365805169&lt;/D&gt;&lt;D xsi:type="xsd:double"&gt;17.8926441351889&lt;/D&gt;&lt;D xsi:type="xsd:double"&gt;16.6998011928429&lt;/D&gt;&lt;D xsi:type="xsd:double"&gt;28.4294234592445&lt;/D&gt;&lt;D xsi:type="xsd:double"&gt;24.2544731610338&lt;/D&gt;&lt;D xsi:type="xsd:double"&gt;27.6341948310139&lt;/D&gt;&lt;D xsi:type="xsd:double"&gt;29.8210735586481&lt;/D&gt;&lt;D xsi:type="xsd:double"&gt;29.0258449304175&lt;/D&gt;&lt;D xsi:type="xsd:double"&gt;27.2365805168986&lt;/D&gt;&lt;D xsi:type="xsd:double"&gt;29.4234592445328&lt;/D&gt;&lt;D xsi:type="xsd:double"&gt;24.0556660039761&lt;/D&gt;&lt;D xsi:type="xsd:double"&gt;29.4234592445328&lt;/D&gt;&lt;D xsi:type="xsd:double"&gt;29.6222664015905&lt;/D&gt;&lt;D xsi:type="xsd:double"&gt;32.0079522862823&lt;/D&gt;&lt;D xsi:type="xsd:double"&gt;32.20675944334&lt;/D&gt;&lt;D xsi:type="xsd:double"&gt;32.4055666003976&lt;/D&gt;&lt;D xsi:type="xsd:double"&gt;33.7972166998012&lt;/D&gt;&lt;D xsi:type="xsd:double"&gt;34.9900596421471&lt;/D&gt;&lt;D xsi:type="xsd:double"&gt;34.7912524850895&lt;/D&gt;&lt;D xsi:type="xsd:double"&gt;40.3578528827038&lt;/D&gt;&lt;D xsi:type="xsd:double"&gt;39.7614314115308&lt;/D&gt;&lt;D xsi:type="xsd:double"&gt;36.3817097415507&lt;/D&gt;&lt;D xsi:type="xsd:double"&gt;40.1590457256461&lt;/D&gt;&lt;D xsi:type="xsd:double"&gt;42.3459244532803&lt;/D&gt;&lt;D xsi:type="xsd:double"&gt;41.7495029821074&lt;/D&gt;&lt;D xsi:type="xsd:double"&gt;49.9005964214712&lt;/D&gt;&lt;D xsi:type="xsd:double"&gt;49.3041749502982&lt;/D&gt;&lt;D xsi:type="xsd:double"&gt;47.7137176</t>
        </r>
      </text>
    </comment>
    <comment ref="A3" authorId="0" shapeId="0" xr:uid="{81258464-B8DA-4AC4-97E3-C91118E46F1D}">
      <text>
        <r>
          <rPr>
            <b/>
            <sz val="9"/>
            <color indexed="81"/>
            <rFont val="Tahoma"/>
            <family val="2"/>
          </rPr>
          <t>93837&lt;/D&gt;&lt;D xsi:type="xsd:double"&gt;51.6898608349901&lt;/D&gt;&lt;D xsi:type="xsd:double"&gt;54.8707753479125&lt;/D&gt;&lt;D xsi:type="xsd:double"&gt;54.4731610337972&lt;/D&gt;&lt;D xsi:type="xsd:double"&gt;52.882703777336&lt;/D&gt;&lt;D xsi:type="xsd:double"&gt;47.117296222664&lt;/D&gt;&lt;D xsi:type="xsd:double"&gt;46.1232604373757&lt;/D&gt;&lt;D xsi:type="xsd:double"&gt;44.9304174950298&lt;/D&gt;&lt;D xsi:type="xsd:double"&gt;49.1053677932406&lt;/D&gt;&lt;D xsi:type="xsd:double"&gt;45.9244532803181&lt;/D&gt;&lt;D xsi:type="xsd:double"&gt;47.713717693837&lt;/D&gt;&lt;D xsi:type="xsd:double"&gt;47.3161033797217&lt;/D&gt;&lt;D xsi:type="xsd:double"&gt;46.9184890656064&lt;/D&gt;&lt;D xsi:type="xsd:double"&gt;48.7077534791253&lt;/D&gt;&lt;D xsi:type="xsd:double"&gt;47.5149105367793&lt;/D&gt;&lt;D xsi:type="xsd:double"&gt;46.1232604373757&lt;/D&gt;&lt;D xsi:type="xsd:double"&gt;49.3041749502982&lt;/D&gt;&lt;D xsi:type="xsd:double"&gt;48.7077534791253&lt;/D&gt;&lt;D xsi:type="xsd:double"&gt;51.8886679920477&lt;/D&gt;&lt;D xsi:type="xsd:double"&gt;50.4970178926441&lt;/D&gt;&lt;D xsi:type="xsd:double"&gt;51.8886679920477&lt;/D&gt;&lt;D xsi:type="xsd:double"&gt;47.3161033797217&lt;/D&gt;&lt;D xsi:type="xsd:double"&gt;49.9005964214712&lt;/D&gt;&lt;D xsi:type="xsd:double"&gt;45.1292246520875&lt;/D&gt;&lt;D xsi:type="xsd:double"&gt;44.7316103379722&lt;/D&gt;&lt;D xsi:type="xsd:double"&gt;45.7256461232604&lt;/D&gt;&lt;D xsi:type="xsd:double"&gt;49.1053677932406&lt;/D&gt;&lt;D xsi:type="xsd:double"&gt;51.4910536779324&lt;/D&gt;&lt;D xsi:type="xsd:double"&gt;46.9184890656064&lt;/D&gt;&lt;D xsi:type="xsd:double"&gt;50.4970178926441&lt;/D&gt;&lt;D xsi:type="xsd:double"&gt;51.8886679920477&lt;/D&gt;&lt;D xsi:type="xsd:double"&gt;53.0815109343936&lt;/D&gt;&lt;D xsi:type="xsd:double"&gt;59.6421471172962&lt;/D&gt;&lt;D xsi:type="xsd:double"&gt;59.3625498007968&lt;/D&gt;&lt;D xsi:type="xsd:double"&gt;61.3545816733068&lt;/D&gt;&lt;D xsi:type="xsd:double"&gt;58.1673306772908&lt;/D&gt;&lt;D xsi:type="xsd:double"&gt;59.1633466135458&lt;/D&gt;&lt;D xsi:type="xsd:double"&gt;60.6361829025845&lt;/D&gt;&lt;D xsi:type="xsd:double"&gt;62.8230616302187&lt;/D&gt;&lt;D xsi:type="xsd:double"&gt;60.2385685884692&lt;/D&gt;&lt;D xsi:type="xsd:double"&gt;59.6421471172962&lt;/D&gt;&lt;D xsi:type="xsd:double"&gt;55.8648111332008&lt;/D&gt;&lt;D xsi:type="xsd:double"&gt;55.8648111332008&lt;/D&gt;&lt;D xsi:type="xsd:double"&gt;58.9641434262948&lt;/D&gt;&lt;D xsi:type="xsd:double"&gt;58.1673306772908&lt;/D&gt;&lt;D xsi:type="xsd:double"&gt;57.5697211155379&lt;/D&gt;&lt;D xsi:type="xsd:double"&gt;62.3505976095618&lt;/D&gt;&lt;D xsi:type="xsd:double"&gt;64.4135188866799&lt;/D&gt;&lt;D xsi:type="xsd:double"&gt;62.8230616302187&lt;/D&gt;&lt;D xsi:type="xsd:double"&gt;64.4135188866799&lt;/D&gt;&lt;D xsi:type="xsd:double"&gt;61.0337972166998&lt;/D&gt;&lt;D xsi:type="xsd:double"&gt;61.2326043737575&lt;/D&gt;&lt;D xsi:type="xsd:double"&gt;58.648111332008&lt;/D&gt;&lt;D xsi:type="xsd:double"&gt;57.455268389662&lt;/D&gt;&lt;D xsi:type="xsd:double"&gt;53.6779324055666&lt;/D&gt;&lt;D xsi:type="xsd:double"&gt;58.051689860835&lt;/D&gt;&lt;D xsi:type="xsd:double"&gt;56.4612326043738&lt;/D&gt;&lt;D xsi:type="xsd:double"&gt;54.4731610337972&lt;/D&gt;&lt;D xsi:type="xsd:double"&gt;55.8648111332008&lt;/D&gt;&lt;D xsi:type="xsd:double"&gt;56.6600397614314&lt;/D&gt;&lt;D xsi:type="xsd:double"&gt;55.4671968190855&lt;/D&gt;&lt;D xsi:type="xsd:double"&gt;58.8469184890656&lt;/D&gt;&lt;D xsi:type="xsd:double"&gt;63.6182902584493&lt;/D&gt;&lt;D xsi:type="xsd:double"&gt;60.8349900596421&lt;/D&gt;&lt;D xsi:type="xsd:double"&gt;60.2385685884692&lt;/D&gt;&lt;D xsi:type="xsd:double"&gt;60.4373757455268&lt;/D&gt;&lt;D xsi:type="xsd:double"&gt;63.6182902584493&lt;/D&gt;&lt;D xsi:type="xsd:double"&gt;63.6182902584493&lt;/D&gt;&lt;D xsi:type="xsd:double"&gt;62.8230616302187&lt;/D&gt;&lt;D xsi:type="xsd:double"&gt;68.5884691848907&lt;/D&gt;&lt;D xsi:type="xsd:double"&gt;65.0099403578529&lt;/D&gt;&lt;D xsi:type="xsd:double"&gt;64.2147117296223&lt;/D&gt;&lt;D xsi:type="xsd:double"&gt;65.6063618290258&lt;/D&gt;&lt;D xsi:type="xsd:double"&gt;65.4075546719682&lt;/D&gt;&lt;D xsi:type="xsd:double"&gt;66.2027833001988&lt;/D&gt;&lt;D xsi:type="xsd:double"&gt;63.817097415507&lt;/D&gt;&lt;D xsi:type="xsd:double"&gt;63.4194831013916&lt;/D&gt;&lt;D xsi:type="xsd:double"&gt;63.817097415507&lt;/D&gt;&lt;D xsi:type="xsd:double"&gt;63.817097415507&lt;/D&gt;&lt;D xsi:type="xsd:double"&gt;64.2147117296223&lt;/D&gt;&lt;D xsi:type="xsd:double"&gt;63.0218687872763&lt;/D&gt;&lt;D xsi:type="xsd:double"&gt;60.8349900596421&lt;/D&gt;&lt;D xsi:type="xsd:double"&gt;66.9980119284294&lt;/D&gt;&lt;D xsi:type="xsd:double"&gt;64.8111332007952&lt;/D&gt;&lt;D xsi:type="xsd:double"&gt;61.8290258449304&lt;/D&gt;&lt;D xsi:type="xsd:double"&gt;61.4314115308151&lt;/D&gt;&lt;D xsi:type="xsd:double"&gt;61.4314115308151&lt;/D&gt;&lt;D xsi:type="xsd:double"&gt;61.6302186878728&lt;/D&gt;&lt;D xsi:type="xsd:double"&gt;61.0337972166998&lt;/D&gt;&lt;D xsi:type="xsd:double"&gt;61.2326043737575&lt;/D&gt;&lt;D xsi:type="xsd:double"&gt;62.0278330019881&lt;/D&gt;&lt;D xsi:type="xsd:double"&gt;62.4254473161034&lt;/D&gt;&lt;D xsi:type="xsd:double"&gt;60.4373757455268&lt;/D&gt;&lt;D xsi:type="xsd:double"&gt;63.0218687872763&lt;/D&gt;&lt;D xsi:type="xsd:double"&gt;63.4194831013916&lt;/D&gt;&lt;D xsi:type="xsd:double"&gt;64.6123260437376&lt;/D&gt;&lt;D xsi:type="xsd:double"&gt;65.0099403578529&lt;/D&gt;&lt;D xsi:type="xsd:double"&gt;64.8111332007952&lt;/D&gt;&lt;D xsi:type="xsd:double"&gt;65.4075546719682&lt;/D&gt;&lt;D xsi:type="xsd:double"&gt;65.0099403578529&lt;/D&gt;&lt;D xsi:type="xsd:double"&gt;64.2147117296223&lt;/D&gt;&lt;D xsi:type="xsd:double"&gt;63.220675944334&lt;/D&gt;&lt;D xsi:type="xsd:double"&gt;62.0278330019881&lt;/D&gt;&lt;D xsi:type="xsd:double"&gt;54.6719681908549&lt;/D&gt;&lt;D xsi:type="xsd:double"&gt;57.6540755467197&lt;/D&gt;&lt;D xsi:type="xsd:double"&gt;61.4314115308151&lt;/D&gt;&lt;D xsi:type="xsd:double"&gt;61.4314115308151&lt;/D&gt;&lt;D xsi:type="xsd:double"&gt;56.0636182902585&lt;/D&gt;&lt;D xsi:type="xsd:double"&gt;58.2504970178926&lt;/D&gt;&lt;D xsi:type="xsd:double"&gt;61.8290258449304&lt;/D&gt;&lt;D xsi:type="xsd:double"&gt;63.817097415507&lt;/D&gt;&lt;D xsi:type="xsd:double"&gt;63.220675944334&lt;/D&gt;&lt;D xsi:type="xsd:double"&gt;64.2147117296223&lt;/D&gt;&lt;D xsi:type="xsd:double"&gt;63.6182902584493&lt;/D&gt;&lt;D xsi:type="xsd:double"&gt;62.8230616302187&lt;/D&gt;&lt;D xsi:type="xsd:double"&gt;60.2385685884692&lt;/D&gt;&lt;D xsi:type="xsd:double"&gt;54.2743538767396&lt;/D&gt;&lt;D xsi:type="xsd:double"&gt;53.6779324055666&lt;/D&gt;&lt;D xsi:type="xsd:double"&gt;54.1832669322709&lt;/D&gt;&lt;D xsi:type="xsd:double"&gt;53.3864541832669&lt;/D&gt;&lt;D xsi:type="xsd:double"&gt;53.0938123752495&lt;/D&gt;&lt;D xsi:type="xsd:double"&gt;54.0918163672655&lt;/D&gt;&lt;D xsi:type="xsd:double"&gt;51.6966067864271&lt;/D&gt;&lt;D xsi:type="xsd:double"&gt;54.2914171656687&lt;/D&gt;&lt;D xsi:type="xsd:double"&gt;55.688622754491&lt;/D&gt;&lt;D xsi:type="xsd:double"&gt;57.2854291417166&lt;/D&gt;&lt;D xsi:type="xsd:double"&gt;57.8842315369261&lt;/D&gt;&lt;D xsi:type="xsd:double"&gt;57.0858283433134&lt;/D&gt;&lt;D xsi:type="xsd:double"&gt;56.0878243512974&lt;/D&gt;&lt;D xsi:type="xsd:double"&gt;51.497005988024&lt;/D&gt;&lt;D xsi:type="xsd:double"&gt;52.0958083832335&lt;/D&gt;&lt;D xsi:type="xsd:double"&gt;50.2994011976048&lt;/D&gt;&lt;D xsi:type="xsd:double"&gt;47.3053892215569&lt;/D&gt;&lt;D xsi:type="xsd:double"&gt;53.6926147704591&lt;/D&gt;&lt;D xsi:type="xsd:double"&gt;53.2934131736527&lt;/D&gt;&lt;D xsi:type="xsd:double"&gt;56.8862275449102&lt;/D&gt;&lt;D xsi:type="xsd:double"&gt;58.2834331337325&lt;/D&gt;&lt;D xsi:type="xsd:double"&gt;61.2774451097804&lt;/D&gt;&lt;D xsi:type="xsd:double"&gt;57.8842315369261&lt;/D&gt;&lt;D xsi:type="xsd:double"&gt;56.8862275449102&lt;/D&gt;&lt;D xsi:type="xsd:double"&gt;59.2814371257485&lt;/D&gt;&lt;D xsi:type="xsd:double"&gt;59.0818363273453&lt;/D&gt;&lt;D xsi:type="xsd:double"&gt;60.2794411177645&lt;/D&gt;&lt;D xsi:type="xsd:double"&gt;56.4870259481038&lt;/D&gt;&lt;D xsi:type="xsd:double"&gt;55.8882235528942&lt;/D&gt;&lt;D xsi:type="xsd:double"&gt;59.0818363273453&lt;/D&gt;&lt;D xsi:type="xsd:double"&gt;62.2754491017964&lt;/D&gt;&lt;D xsi:type="xsd:double"&gt;62.4750499001996&lt;/D&gt;&lt;D xsi:type="xsd:double"&gt;61.87624750499&lt;/D&gt;&lt;D xsi:type="xsd:double"&gt;60.0798403193613&lt;/D&gt;&lt;D xsi:type="xsd:double"&gt;59.6806387225549&lt;/D&gt;&lt;D xsi:type="xsd:double"&gt;59.2814371257485&lt;/D&gt;&lt;D xsi:type="xsd:double"&gt;57.8842315369261&lt;/D&gt;&lt;D xsi:type="xsd:double"&gt;60.5577689243028&lt;/D&gt;&lt;D xsi:type="xsd:double"&gt;60.5577689243028&lt;/D&gt;&lt;D xsi:type="xsd:double"&gt;60.9561752988048&lt;/D&gt;&lt;D xsi:type="xsd:double"&gt;60.5577689243028&lt;/D&gt;&lt;D xsi:type="xsd:double"&gt;61.1553784860558&lt;/D&gt;&lt;D xsi:type="xsd:double"&gt;61.3545816733068&lt;/D&gt;&lt;D xsi:type="xsd:double"&gt;58.5657370517928&lt;/D&gt;&lt;D xsi:type="xsd:double"&gt;58.3665338645418&lt;/D&gt;&lt;D xsi:type="xsd:double"&gt;60.1593625498008&lt;/D&gt;&lt;D xsi:type="xsd:double"&gt;62.7490039840637&lt;/D&gt;&lt;D xsi:type="xsd:double"&gt;58.5657370517928&lt;/D&gt;&lt;D xsi:type="xsd:double"&gt;62.9482071713147&lt;/D&gt;&lt;D xsi:type="xsd:double"&gt;64.3426294820717&lt;/D&gt;&lt;D xsi:type="xsd:double"&gt;64.9402390438247&lt;/D&gt;&lt;D xsi:type="xsd:double"&gt;63.7450199203187&lt;/D&gt;&lt;D xsi:type="xsd:double"&gt;66.5338645418327&lt;/D&gt;&lt;D xsi:type="xsd:double"&gt;67.5298804780876&lt;/D&gt;&lt;D xsi:type="xsd:double"&gt;66.5338645418327&lt;/D&gt;&lt;D xsi:type="xsd:double"&gt;63.1474103585657&lt;/D&gt;&lt;D xsi:type="xsd:double"&gt;66.3346613545817&lt;/D&gt;&lt;D xsi:type="xsd:double"&gt;65.9362549800797&lt;/D&gt;&lt;D xsi:type="xsd:double"&gt;65.3386454183267&lt;/D&gt;&lt;D xsi:type="xsd:double"&gt;65.9362549800797&lt;/D&gt;&lt;D xsi:type="xsd:double"&gt;65.3386454183267&lt;/D&gt;&lt;D xsi:type="xsd:double"&gt;64.3426294820717&lt;/D&gt;&lt;D xsi:type="xsd:double"&gt;63.9442231075697&lt;/D&gt;&lt;D xsi:type="xsd:double"&gt;63.9442231075697&lt;/D&gt;&lt;D xsi:type="xsd:double"&gt;63.5458167330677&lt;/D&gt;&lt;D xsi:type="xsd:double"&gt;63.5458167330677&lt;/D&gt;&lt;D xsi:type="xsd:double"&gt;66.4670658682635&lt;/D&gt;&lt;D xsi:type="xsd:double"&gt;64.8702594810379&lt;/D&gt;&lt;D xsi:type="xsd:double"&gt;67.2654690618762&lt;/D&gt;&lt;D xsi:type="xsd:double"&gt;66.1354581673307&lt;/D&gt;&lt;D xsi:type="xsd:double"&gt;66.9322709163347&lt;/D&gt;&lt;D xsi:type="xsd:double"&gt;67.1314741035857&lt;/D&gt;&lt;D xsi:type="xsd:double"&gt;65.1394422310757&lt;/D&gt;&lt;D xsi:type="xsd:double"&gt;64.5418326693227&lt;/D&gt;&lt;D xsi:type="xsd:double"&gt;63.3466135458167&lt;/D&gt;&lt;D xsi:type="xsd:double"&gt;65.7370517928287&lt;/D&gt;&lt;D xsi:type="xsd:double"&gt;63.9442231075697&lt;/D&gt;&lt;D xsi:type="xsd:double"&gt;65.5378486055777&lt;/D&gt;&lt;D xsi:type="xsd:double"&gt;63.3466135458167&lt;/D&gt;&lt;D xsi:type="xsd:double"&gt;63.3466135458167&lt;/D&gt;&lt;D xsi:type="xsd:double"&gt;62.7490039840637&lt;/D&gt;&lt;D xsi:type="xsd:double"&gt;65.7370517928287&lt;/D&gt;&lt;D xsi:type="xsd:double"&gt;65.1394422310757&lt;/D&gt;&lt;D xsi:type="xsd:double"&gt;64.7410358565737&lt;/D&gt;&lt;D xsi:type="xsd:double"&gt;60.3585657370518&lt;/D&gt;&lt;D xsi:type="xsd:double"&gt;60.5577689243028&lt;/D&gt;&lt;D xsi:type="xsd:double"&gt;57.3705179282869&lt;/D&gt;&lt;D xsi:type="xsd:double"&gt;55.3784860557769&lt;/D&gt;&lt;D xsi:type="xsd:double"&gt;54.7808764940239&lt;/D&gt;&lt;D xsi:type="xsd:double"&gt;52.9880478087649&lt;/D&gt;&lt;D xsi:type="xsd:double"&gt;51.593625498008&lt;/D&gt;&lt;D xsi:type="xsd:double"&gt;48.804780876494&lt;/D&gt;&lt;D xsi:type="xsd:double"&gt;48.00796812749&lt;/D&gt;&lt;D xsi:type="xsd:double"&gt;48.207171314741&lt;/D&gt;&lt;D xsi:type="xsd:double"&gt;50.398406374502&lt;/D&gt;&lt;D xsi:type="xsd:double"&gt;46.2151394422311&lt;/D&gt;&lt;D xsi:type="xsd:double"&gt;46.2151394422311&lt;/D&gt;&lt;D xsi:type="xsd:double"&gt;43.4262948207171&lt;/D&gt;&lt;D xsi:type="xsd:double"&gt;46.0159362549801&lt;/D&gt;&lt;D xsi:type="xsd:double"&gt;46.8127490039841&lt;/D&gt;&lt;D xsi:type="xsd:double"&gt;47.808764940239&lt;/D&gt;&lt;D xsi:type="xsd:double"&gt;45.4183266932271&lt;/D&gt;&lt;D xsi:type="xsd:double"&gt;41.6334661354582&lt;/D&gt;&lt;D xsi:type="xsd:double"&gt;41.4342629482072&lt;/D&gt;&lt;D xsi:type="xsd:double"&gt;46.8127490039841&lt;/D&gt;&lt;/FQL&gt;&lt;FQL&gt;&lt;Q&gt;000001172^FMA_GEOREV_ECONOMY("ROW",-1AY,,,,"PORTAGG")&lt;/Q&gt;&lt;R&gt;1&lt;/R&gt;&lt;C&gt;1&lt;/C&gt;&lt;D xsi:type="xsd:double"&gt;2.528345493183&lt;/D&gt;&lt;/FQL&gt;&lt;FQL&gt;&lt;Q&gt;000001172^FMA_GEOREV_SUPER_REGION("R1",0,,,,"PORTAGG")&lt;/Q&gt;&lt;R&gt;1&lt;/R&gt;&lt;C&gt;1&lt;/C&gt;&lt;D xsi:type="xsd:double"&gt;3.637316547315&lt;/D&gt;&lt;/FQL&gt;&lt;FQL&gt;&lt;Q&gt;000001172^MOVING_AVG(P_PRICE(-199D,0D,D),200)&lt;/Q&gt;&lt;R&gt;1&lt;/R&gt;&lt;C&gt;1&lt;/C&gt;&lt;D xsi:type="xsd:double"&gt;6638.8581&lt;/D&gt;&lt;/FQL&gt;&lt;FQL&gt;&lt;Q&gt;000001172^FG_PRICE_IDX(0,,)&lt;/Q&gt;&lt;R&gt;1&lt;/R&gt;&lt;C&gt;1&lt;/C&gt;&lt;D xsi:type="xsd:double"&gt;6528.51738367566&lt;/D&gt;&lt;/FQL&gt;&lt;FQL&gt;&lt;Q&gt;000001172^FG_PCHG_IDX(0,-1AM,)/100&lt;/Q&gt;&lt;R&gt;1&lt;/R&gt;&lt;C&gt;1&lt;/C&gt;&lt;D xsi:type="xsd:double"&gt;-0.0509328831807613&lt;/D&gt;&lt;/FQL&gt;&lt;FQL&gt;&lt;Q&gt;000001172^FG_TRET_PCHG_IDX(0,-1D,)/100&lt;/Q&gt;&lt;R&gt;1&lt;/R&gt;&lt;C&gt;1&lt;/C&gt;&lt;D xsi:type="xsd:double"&gt;0.02922396387502&lt;/D&gt;&lt;/FQL&gt;&lt;FQL&gt;&lt;Q&gt;000001172^FMA_EVAL_EBIT(NTMA,0,,,"PORTAGG","MEANR")&lt;/Q&gt;&lt;R&gt;1&lt;/R&gt;&lt;C&gt;1&lt;/C&gt;&lt;D xsi:type="xsd:double"&gt;17.6752534822103&lt;/D&gt;&lt;/FQL&gt;&lt;FQL&gt;&lt;Q&gt;^JULIAN(DATE_YYYYMMDD(0/0/-1, -1D, D))&lt;/Q&gt;&lt;R&gt;251&lt;/R&gt;&lt;C&gt;1&lt;/C&gt;&lt;D xsi:type="xsd:long"&gt;45747&lt;/D&gt;&lt;D xsi:type="xsd:long"&gt;45748&lt;/D&gt;&lt;D xsi:type="xsd:long"&gt;45749&lt;/D&gt;&lt;D xsi:type="xsd:long"&gt;45750&lt;/D&gt;&lt;D xsi:type="xsd:long"&gt;45751&lt;/D&gt;&lt;D xsi:type="xsd:long"&gt;45754&lt;/D&gt;&lt;D xsi:type="xsd:long"&gt;45755&lt;/D&gt;&lt;D xsi:type="xsd:long"&gt;45756&lt;/D&gt;&lt;D xsi:type="xsd:long"&gt;45757&lt;/D&gt;&lt;D xsi:type="xsd:long"&gt;45758&lt;/D&gt;&lt;D xsi:type="xsd:long"&gt;45761&lt;/D&gt;&lt;D xsi:type="xsd:long"&gt;45762&lt;/D&gt;&lt;D xsi:type="xsd:long"&gt;45763&lt;/D&gt;&lt;D xsi:type="xsd:long"&gt;45764&lt;/D&gt;&lt;D xsi:type="xsd:long"&gt;45768&lt;/D&gt;&lt;D xsi:type="xsd:long"&gt;45769&lt;/D&gt;&lt;D xsi:type="xsd:long"&gt;45770&lt;/D&gt;&lt;D xsi:type="xsd:long"&gt;45771&lt;/D&gt;&lt;D xsi:type="xsd:long"&gt;45772&lt;/D&gt;&lt;D xsi:type="xsd:long"&gt;45775&lt;/D&gt;&lt;D xsi:type="xsd:long"&gt;45776&lt;/D&gt;&lt;D xsi:type="xsd:long"&gt;45777&lt;/D&gt;&lt;D xsi:type="xsd:long"&gt;45778&lt;/D&gt;&lt;D xsi:type="xsd:long"&gt;45779&lt;/D&gt;&lt;D xsi:type="xsd:long"&gt;45782&lt;/D&gt;&lt;D xsi:type="xsd:long"&gt;45783&lt;/D&gt;&lt;D xsi:type="xsd:long"&gt;45784&lt;/D&gt;&lt;D xsi:type="xsd:long"&gt;45785&lt;/D&gt;&lt;D xsi:type="xsd:long"&gt;45786&lt;/D&gt;&lt;D xsi:type="xsd:long"&gt;45789&lt;/D&gt;&lt;D xsi:type="xsd:long"&gt;45790&lt;/D&gt;&lt;D xsi:type="xsd:long"&gt;45791&lt;/D&gt;&lt;D xsi:type="xsd:long"&gt;45792&lt;/D&gt;&lt;D xsi:type="xsd:long"&gt;45793&lt;/D&gt;&lt;D xsi:type="xsd:long"&gt;45796&lt;/D&gt;&lt;D xsi:type="xsd:long"&gt;45797&lt;/D&gt;&lt;D xsi:type="xsd:long"&gt;45798&lt;/D&gt;&lt;D xsi:type="xsd:long"&gt;45799&lt;/D&gt;&lt;D xsi:type="xsd:long"&gt;45800&lt;/D&gt;&lt;D xsi:type="xsd:long"&gt;45804&lt;/D&gt;&lt;D xsi:type="xsd:long"&gt;45805&lt;/D&gt;&lt;D xsi:type="xsd:long"&gt;45806&lt;/D&gt;&lt;D xsi:type="xsd:long"&gt;45807&lt;/D&gt;&lt;D xsi:type="xsd:long"&gt;45810&lt;/D&gt;&lt;D xsi:type="xsd:long"&gt;45811&lt;/D&gt;&lt;D xsi:type="xsd:long"&gt;45812&lt;/D&gt;&lt;D xsi:type="xsd:long"&gt;45813&lt;/D&gt;&lt;D xsi:type="xsd:long"&gt;45814&lt;/D&gt;&lt;D xsi:type="xsd:long"&gt;45817&lt;/D&gt;&lt;D xsi:type="xsd:long"&gt;45818&lt;/D&gt;&lt;D xsi:type="xsd:long"&gt;45819&lt;/D&gt;&lt;D xsi:type="xsd:long"&gt;45820&lt;/D&gt;&lt;D xsi:type="xsd:long"&gt;45821&lt;/D&gt;&lt;D xsi:type="xsd:long"&gt;45824&lt;/D&gt;&lt;D xsi:type="xsd:long"&gt;45825&lt;/D&gt;&lt;D xsi:type="xsd:long"&gt;45826&lt;/D&gt;&lt;D xsi:type="xsd:long"&gt;45828&lt;/D&gt;&lt;D xsi:type="xsd:long"&gt;45831&lt;/D&gt;&lt;D xsi:type="xsd:long"&gt;45832&lt;/D&gt;&lt;D xsi:type="xsd:long"&gt;45833&lt;/D&gt;&lt;D xsi:type="xsd:long"&gt;45834&lt;/D&gt;&lt;D xsi:type="xsd:long"&gt;45835&lt;/D&gt;&lt;D xsi:type="xsd:long"&gt;45838&lt;/D&gt;&lt;D xsi:type="xsd:long"&gt;45839&lt;/D&gt;&lt;D xsi:type="xsd:long"&gt;45840&lt;/D&gt;&lt;D xsi:type="xsd:long"&gt;45841&lt;/D&gt;&lt;D xsi:type="xsd:long"&gt;45845&lt;/D&gt;&lt;D xsi:type="xsd:long"&gt;45846&lt;/D&gt;&lt;D xsi:type="xsd:long"&gt;45847&lt;/D&gt;&lt;D xsi:type="xsd:long"&gt;45848&lt;/D&gt;&lt;D xsi:type="xsd:long"&gt;45849&lt;/D&gt;&lt;D xsi:type="xsd:long"&gt;45852&lt;/D&gt;&lt;D xsi:type="xsd:long"&gt;45853&lt;/D&gt;&lt;D xsi:type="xsd:long"&gt;45854&lt;/D&gt;&lt;D xsi:type="xsd:long"&gt;45855&lt;/D&gt;&lt;D xsi:type="xsd:long"&gt;45856&lt;/D&gt;&lt;D xsi:type="xsd:long"&gt;45859&lt;/D&gt;&lt;D xsi:type="xsd:long"&gt;45860&lt;/D&gt;&lt;D xsi:type="xsd:long"&gt;45861&lt;/D&gt;&lt;D xsi:type="xsd:long"&gt;45862&lt;/D&gt;&lt;D xsi:type="xsd:long"&gt;45863&lt;/D&gt;&lt;D xsi:type="xsd:long"&gt;45866&lt;/D&gt;&lt;D xsi:type="xsd:long"&gt;45867&lt;/D&gt;&lt;D xsi:type="xsd:long"&gt;45868&lt;/D&gt;&lt;D xsi:type="xsd:long"&gt;45869&lt;/D&gt;&lt;D xsi:type="xsd:long"&gt;45870&lt;/D&gt;&lt;D xsi:type="xsd:long"&gt;45873&lt;/D&gt;&lt;D xsi:type="xsd:long"&gt;45874&lt;/D&gt;&lt;D xsi:type="xsd:long"&gt;45875&lt;/D&gt;&lt;D xsi:type="xsd:long"&gt;45876&lt;/D&gt;&lt;D xsi:type="xsd:long"&gt;45877&lt;/D&gt;&lt;D xsi:type="xsd:long"&gt;45880&lt;/D&gt;&lt;D xsi:type="xsd:long"&gt;45881&lt;/D&gt;&lt;D xsi:type="xsd:long"&gt;45882&lt;/D&gt;&lt;D xsi:type="xsd:long"&gt;45883&lt;/D&gt;&lt;D xsi:type="xsd:long"&gt;45884&lt;/D&gt;&lt;D xsi:type="xsd:long"&gt;45887&lt;/D&gt;&lt;D xsi:type="xsd:long"&gt;45888&lt;/D&gt;&lt;D xsi:type="xsd:long"&gt;45889&lt;/D&gt;&lt;D xsi:type="xsd:long"&gt;45890&lt;/D&gt;&lt;D xsi:type="xsd:long"&gt;45891&lt;/D&gt;&lt;D xsi:type="xsd:long"&gt;45894&lt;/D&gt;&lt;D xsi:type="xsd:long"&gt;45895&lt;/D&gt;&lt;D xsi:type="xsd:long"&gt;45896&lt;/D&gt;&lt;D xsi:type="xsd:long"&gt;45897&lt;/D&gt;&lt;D xsi:type="xsd:long"&gt;45898&lt;/D&gt;&lt;D xsi:type="xsd:long"&gt;45902&lt;/D&gt;&lt;D xsi:type="xsd:long"&gt;45903&lt;/D&gt;&lt;D xsi:type="xsd:long"&gt;45904&lt;/D&gt;&lt;D xsi:type="xsd:long"&gt;45905&lt;/D&gt;&lt;D xsi:type="xsd:long"&gt;45908&lt;/D&gt;&lt;D xsi:type="xsd:long"&gt;45909&lt;/D&gt;&lt;D xsi:type="xsd:long"&gt;45910&lt;/D&gt;&lt;D xsi:type="xsd:long"&gt;45911&lt;/D&gt;&lt;D xsi:type="xsd:long"&gt;45912&lt;/D&gt;&lt;D xsi:type="xsd:long"&gt;45915&lt;/D&gt;&lt;D xsi:type="xsd:long"&gt;45916&lt;/D&gt;&lt;D xsi:type="xsd:long"&gt;45917&lt;/D&gt;&lt;D xsi:type="xsd:long"&gt;45918&lt;/D&gt;&lt;D xsi:type="xsd:long"&gt;45919&lt;/D&gt;&lt;D xsi:type="xsd:long"&gt;45922&lt;/D&gt;&lt;D xsi:type="xsd:long"&gt;45923&lt;/D&gt;&lt;D xsi:type="xsd:long"&gt;45924&lt;/D&gt;&lt;D xsi:type="xsd:long"&gt;45925&lt;/D&gt;&lt;D xsi:type="xsd:long"&gt;45926&lt;/D&gt;&lt;D xsi:type="xsd:long"&gt;45929&lt;/D&gt;&lt;D xsi:type="xsd:long"&gt;45930&lt;/D&gt;&lt;D xsi:type="xsd:long"&gt;45931&lt;/D&gt;&lt;D xsi:type="xsd:long"&gt;45932&lt;/D&gt;&lt;D xsi:type="xsd:long"&gt;45933&lt;/D&gt;&lt;D xsi:type="xsd:long"&gt;45936&lt;/D&gt;&lt;D xsi:type="xsd:long"&gt;45937&lt;/D&gt;&lt;D xsi:type="xsd:long"&gt;45938&lt;/D&gt;&lt;D xsi:type="xsd:long"&gt;45939&lt;/D&gt;&lt;D xsi:type="xsd:long"&gt;45940&lt;/D&gt;&lt;D xsi:type="xsd:long"&gt;45943&lt;/D&gt;&lt;D xsi:type="xsd:long"&gt;45944&lt;/D&gt;&lt;D xsi:type="xsd:long"&gt;45945&lt;/D&gt;&lt;D xsi:type="xsd:long"&gt;45946&lt;/D&gt;&lt;D xsi:type="xsd:long"&gt;45947&lt;/D&gt;&lt;D xsi:type="xsd:long"&gt;45950&lt;/D&gt;&lt;D xsi:type="xsd:long"&gt;45951&lt;/D&gt;&lt;D xsi:type="xsd:long"&gt;45952&lt;/D&gt;&lt;D xsi:type="xsd:long"&gt;45953&lt;/D&gt;&lt;D xsi:type="xsd:long"&gt;45954&lt;/D&gt;&lt;D xsi:type="xsd:long"&gt;45957&lt;/D&gt;&lt;D xsi:type="xsd:long"&gt;45958&lt;/D&gt;&lt;D xsi:type="xsd:long"&gt;45959&lt;/D&gt;&lt;D xsi:type="xsd:long"&gt;45960&lt;/D&gt;&lt;D xsi:type="xsd:long"&gt;45961&lt;/D&gt;&lt;D xsi:type="xsd:long"&gt;45964&lt;/D&gt;&lt;D xsi:type="xsd:long"&gt;45965&lt;/D&gt;&lt;D xsi:type="xsd:long"&gt;45966&lt;/D&gt;&lt;D xsi:type="xsd:long"&gt;45967&lt;/D&gt;&lt;D xsi:type="xsd:long"&gt;45968&lt;/D&gt;&lt;D xsi:type="xsd:long"&gt;45971&lt;/D&gt;&lt;D xsi:type="xsd:long"&gt;45972&lt;/D&gt;&lt;D xsi:type="xsd:long"&gt;45973&lt;/D&gt;&lt;D xsi:type="xsd:long"&gt;45974&lt;/D&gt;&lt;D xsi:type="xsd:long"&gt;45975&lt;/D&gt;&lt;D xsi:type="xsd:long"&gt;45978&lt;/D&gt;&lt;D xsi:type="xsd:long"&gt;45979&lt;/D&gt;&lt;D xsi:type="xsd:long"&gt;45980&lt;/D&gt;&lt;D xsi:type="xsd:long"&gt;45981&lt;/D&gt;&lt;D xsi:type="xsd:long"&gt;45982&lt;/D&gt;&lt;D xsi:type="xsd:long"&gt;45985&lt;/D&gt;&lt;D xsi:type="xsd:long"&gt;45986&lt;/D&gt;&lt;D xsi:type="xsd:long"&gt;45987&lt;/D&gt;&lt;D xsi:type="xsd:long"&gt;45989&lt;/D&gt;&lt;D xsi:type="xsd:long"&gt;45992&lt;/D&gt;&lt;D xsi:type="xsd:long"&gt;45993&lt;/D&gt;&lt;D xsi:type="xsd:long"&gt;45994&lt;/D&gt;&lt;D xsi:type="xsd:long"&gt;45995&lt;/D&gt;&lt;D xsi:type="xsd:long"&gt;45996&lt;/D&gt;&lt;D xsi:type="xsd:long"&gt;45999&lt;/D&gt;&lt;D xsi:type="xsd:long"&gt;46000&lt;/D&gt;&lt;D xsi:type="xsd:long"&gt;46001&lt;/D&gt;&lt;D xsi:type="xsd:long"&gt;46002&lt;/D&gt;&lt;D xsi:type="xsd:long"&gt;46003&lt;/D&gt;&lt;D xsi:type="xsd:long"&gt;46006&lt;/D&gt;&lt;D xsi:type="xsd:long"&gt;46007&lt;/D&gt;&lt;D xsi:type="xsd:long"&gt;46008&lt;/D&gt;&lt;D xsi:type="xsd:long"&gt;46009&lt;/D&gt;&lt;D xsi:type="xsd:long"&gt;46010&lt;/D&gt;&lt;D xsi:type="xsd:long"&gt;46013&lt;/D&gt;&lt;D xsi:type="xsd:long"&gt;46014&lt;/D&gt;&lt;D xsi:type="xsd:long"&gt;46015&lt;/D&gt;&lt;D xsi:type="xsd:long"&gt;46017&lt;/D&gt;&lt;D xsi:type="xsd:long"&gt;46020&lt;/D&gt;&lt;D xsi:type="xsd:long"&gt;46021&lt;/D&gt;&lt;D xsi:type="xsd:long"&gt;46022&lt;/D&gt;&lt;D xsi:type="xsd:long"&gt;46024&lt;/D&gt;&lt;D xsi:type="xsd:long"&gt;46027&lt;/D&gt;&lt;D xsi:type="xsd:long"&gt;46028&lt;/D&gt;&lt;D xsi:type="xsd:long"&gt;46029&lt;/D&gt;&lt;D xsi:type="xsd:long"&gt;46030&lt;/D&gt;&lt;D xsi:type="xsd:long"&gt;46031&lt;/D&gt;&lt;D xsi:type="xsd:long"&gt;46034&lt;/D&gt;&lt;D xsi:type="xsd:long"&gt;46035&lt;/D&gt;&lt;D xsi:type="xsd:long"&gt;46036&lt;/D&gt;&lt;D xsi:type="xsd:long"&gt;46037&lt;/D&gt;&lt;D xsi:type="xsd:long"&gt;46038&lt;/D&gt;&lt;D xsi:type="xsd:long"&gt;46042&lt;/D&gt;&lt;D xsi:type="xsd:long"&gt;46043&lt;/D&gt;&lt;D xsi:type="xsd:long"&gt;46044&lt;/D&gt;&lt;D xsi:type="xsd:long"&gt;46045&lt;/D&gt;&lt;D xsi:type="xsd:long"&gt;46048&lt;/D&gt;&lt;D xsi:type="xsd:long"&gt;46049&lt;/D&gt;&lt;D xsi:type="xsd:long"&gt;46050&lt;/D&gt;&lt;D xsi:type="xsd:long"&gt;46051&lt;/D&gt;&lt;D xsi:type="xsd:long"&gt;46052&lt;/D&gt;&lt;D xsi:type="xsd:long"&gt;46055&lt;/D&gt;&lt;D xsi:type="xsd:long"&gt;46056&lt;/D&gt;&lt;D xsi:type="xsd:long"&gt;46057&lt;/D&gt;&lt;D xsi:type="xsd:long"&gt;46058&lt;/D&gt;&lt;D xsi:type="xsd:long"&gt;46059&lt;/D&gt;&lt;D xsi:type="xsd:long"&gt;46062&lt;/D&gt;&lt;D xsi:type="xsd:long"&gt;46063&lt;/D&gt;&lt;D xsi:type="xsd:long"&gt;46064&lt;/D&gt;&lt;D xsi:type="xsd:long"&gt;46065&lt;/D&gt;&lt;D xsi:type="xsd:long"&gt;46066&lt;/D&gt;&lt;D xsi:type="xsd:long"&gt;46070&lt;/D&gt;&lt;D xsi:type="xsd:long"&gt;46071&lt;/D&gt;&lt;D xsi:type="xsd:long"&gt;46072&lt;/D&gt;&lt;D xsi:type="xsd:long"&gt;46073&lt;/D&gt;&lt;D xsi:type="xsd:long"&gt;46076&lt;/D&gt;&lt;D xsi:type="xsd:long"&gt;46077&lt;/D&gt;&lt;D xsi:type="xsd:long"&gt;46078&lt;/D&gt;&lt;D xsi:type="xsd:long"&gt;46079&lt;/D&gt;&lt;D xsi:type="xsd:long"&gt;46080&lt;/D&gt;&lt;D xsi:type="xsd:long"&gt;46083&lt;/D&gt;&lt;D xsi:type="xsd:long"&gt;46084&lt;/D&gt;&lt;D xsi:type="xsd:long"&gt;46085&lt;/D&gt;&lt;D xsi:type="xsd:long"&gt;46086&lt;/D&gt;&lt;D xsi:type="xsd:long"&gt;46087&lt;/D&gt;&lt;D xsi:type="xsd:long"&gt;46090&lt;/D&gt;&lt;D xsi:type="xsd:long"&gt;46091&lt;/D&gt;&lt;D xsi:type="xsd:long"&gt;46092&lt;/D&gt;&lt;D xsi:type="xsd:long"&gt;46093&lt;/D&gt;&lt;D xsi:type="xsd:long"&gt;46094&lt;/D&gt;&lt;D xsi:type="xsd:long"&gt;46097&lt;/D&gt;&lt;D xsi:type="xsd:long"&gt;46098&lt;/D&gt;&lt;D xsi:type="xsd:long"&gt;46099&lt;/D&gt;&lt;D xsi:type="xsd:long"&gt;46100&lt;/D&gt;&lt;D xsi:type="xsd:long"&gt;46101&lt;/D&gt;&lt;D xsi:type="xsd:long"&gt;46104&lt;/D&gt;&lt;D xsi:type="xsd:long"&gt;46105&lt;/D&gt;&lt;D xsi:type="xsd:long"&gt;46106&lt;/D&gt;&lt;D xsi:type="xsd:long"&gt;46107&lt;/D&gt;&lt;D xsi:type="xsd:long"&gt;46108&lt;/D&gt;&lt;D xsi:type="xsd:long"&gt;46111&lt;/D&gt;&lt;/FQL&gt;&lt;FQL&gt;&lt;Q&gt;000001172^FMA_GEOREV_ECONOMY("ROW",-2AY,,,,"PORTAGG")&lt;/Q&gt;&lt;R&gt;1&lt;/R&gt;&lt;C&gt;1&lt;/C&gt;&lt;D xsi:type="xsd:double"&gt;2.478364634594&lt;/D&gt;&lt;/FQL&gt;&lt;FQL&gt;&lt;Q&gt;000001172^FG_NUMBER_IDX(0)&lt;/Q&gt;&lt;R&gt;1&lt;/R&gt;&lt;C&gt;1&lt;/C&gt;&lt;D xsi:type="xsd:long"&gt;503&lt;/D&gt;&lt;/FQL&gt;&lt;FQL&gt;&lt;Q&gt;000001172^FMA_PE(+1,0,,,"PORTAGG","MEANR")&lt;/Q&gt;&lt;R&gt;1&lt;/R&gt;&lt;C&gt;1&lt;/C&gt;&lt;D xsi:type="xsd:double"&gt;20.3868287427566&lt;/D&gt;&lt;/FQL&gt;&lt;FQL&gt;&lt;Q&gt;000001172^FMA_GEOREV_SUPER_REGION("R274",0,,,,"PORTAGG")&lt;/Q&gt;&lt;R&gt;1&lt;/R&gt;&lt;C&gt;1&lt;/C&gt;&lt;D xsi:type="xsd:double"&gt;12.998023979892&lt;/D&gt;&lt;/FQL&gt;&lt;FQL&gt;&lt;Q&gt;000001172^FMA_PSALES(+1,0,,,"PORTAGG","MEANR")&lt;/Q&gt;&lt;R&gt;1&lt;/R&gt;&lt;C&gt;1&lt;/C&gt;&lt;D xsi:type="xsd:double"&gt;3.04151197727667&lt;/D&gt;&lt;/FQL&gt;&lt;FQL&gt;&lt;Q&gt;000001172^FMA_DECLINERS_VOL(0)&lt;/Q&gt;&lt;R&gt;1&lt;/R&gt;&lt;C&gt;1&lt;/C&gt;&lt;D xsi:type="xsd:double"&gt;706279.686340332&lt;/D&gt;&lt;/FQL&gt;&lt;FQL&gt;&lt;Q&gt;000001172^FG_TRET_PCHG_IDX(0,-1AY,)/100&lt;/Q&gt;&lt;R&gt;1&lt;/R&gt;&lt;C&gt;1&lt;/C&gt;&lt;D xsi:type="xsd:double"&gt;0.178034716879839&lt;/D&gt;&lt;/FQL&gt;&lt;FQL&gt;&lt;Q&gt;000001172^MIN(FG_PRICE_IDX(0,-1AY,))&lt;/Q&gt;&lt;R&gt;1&lt;/R&gt;&lt;C&gt;1&lt;/C&gt;&lt;D xsi:type="xsd:double"&gt;4982.77031326942&lt;/D&gt;&lt;/FQL&gt;&lt;FQL&gt;&lt;Q&gt;000001172^FG_DESCRIPTION_IDX&lt;/Q&gt;&lt;R&gt;1&lt;/R&gt;&lt;C&gt;1&lt;/C&gt;&lt;D xsi:type="xsd:string"&gt;The S&amp;amp;P 500 includes 500 leading companies in leading industries of the U.S. economy. It is a core component of the U.S. indices that could be used as building blocks for portfolio construction. It is also the U.S. component of S&amp;amp;P Global 1200.&lt;/D&gt;&lt;/FQL&gt;&lt;FQL&gt;&lt;Q&gt;000001172^FMA_GEOREV_ECONOMY("EMRG",-2AY,,,,"PORTAGG")&lt;/Q&gt;&lt;R&gt;1&lt;/R&gt;&lt;C&gt;1&lt;/C&gt;&lt;D xsi:type="xsd:double"&gt;16.432642837389&lt;/D&gt;&lt;/FQL&gt;&lt;FQL&gt;&lt;Q&gt;000001172^FMA_DECLINERS_VOL_PCT(0)/100&lt;/Q&gt;&lt;R&gt;1&lt;/R&gt;&lt;C&gt;1&lt;/C&gt;&lt;D xsi:type="xsd:double"&gt;0.179598239250564&lt;/D&gt;&lt;/FQL&gt;&lt;FQL&gt;&lt;Q&gt;000001172^FG_VOLUME(0/0/-1,-1D,D,SPLIT)&lt;/Q&gt;&lt;R&gt;251&lt;/R&gt;&lt;C&gt;1&lt;/C&gt;&lt;D xsi:type="xsd:double"&gt;3.73387444373322&lt;/D&gt;&lt;D xsi:type="xsd:double"&gt;2.83001012270546&lt;/D&gt;&lt;D xsi:type="xsd:double"&gt;2.80855245383835&lt;/D&gt;&lt;D xsi:type="xsd:double"&gt;5.06390360165024&lt;/D&gt;&lt;D xsi:type="xsd:double"&gt;6.15911183667755&lt;/D&gt;&lt;D xsi:type="xsd:double"&gt;6.35023985996819&lt;/D&gt;&lt;D xsi:type="xsd:double"&gt;5.18172237336731&lt;/D&gt;&lt;D xsi:type="xsd:double"&gt;6.78823054846382&lt;/D&gt;&lt;D xsi:type="xsd:double"&gt;4.8647768619709&lt;/D&gt;&lt;D xsi:type="xsd:double"&gt;3.77956716524696&lt;/D&gt;&lt;D xsi:type="xsd:double"&gt;3.31429649631882&lt;/D&gt;&lt;D xsi:type="xsd:double"&gt;2.92495626825714&lt;/D&gt;&lt;D xsi:type="xsd:double"&gt;3.4071995591507&lt;/D&gt;&lt;D xsi:type="xsd:double"&gt;3.23336302644539&lt;/D&gt;&lt;D xsi:type="xsd:double"&gt;3.06036469729614&lt;/D&gt;&lt;D xsi:type="xsd:double"&gt;3.18436022184753&lt;/D&gt;&lt;D xsi:type="xsd:double"&gt;3.62087109598351&lt;/D&gt;&lt;D xsi:type="xsd:double"&gt;3.24921136392403&lt;/D&gt;&lt;D xsi:type="xsd:double"&gt;2.99042138072109&lt;/D&gt;&lt;D xsi:type="xsd:double"&gt;2.81542317007828&lt;/D&gt;&lt;D xsi:type="xsd:double"&gt;2.81216895127106&lt;/D&gt;&lt;D xsi:type="xsd:double"&gt;3.65861945637321&lt;/D&gt;&lt;D xsi:type="xsd:double"&gt;3.26172262381458&lt;/D&gt;&lt;D xsi:type="xsd:double"&gt;3.04578725833035&lt;/D&gt;&lt;D xsi:type="xsd:double"&gt;2.75481378096104&lt;/D&gt;&lt;D xsi:type="xsd:double"&gt;2.84248940015125&lt;/D&gt;&lt;D xsi:type="xsd:double"&gt;3.23993684068298&lt;/D&gt;&lt;D xsi:type="xsd:double"&gt;3.25166665661621&lt;/D&gt;&lt;D xsi:type="xsd:double"&gt;2.48388208491325&lt;/D&gt;&lt;D xsi:type="xsd:double"&gt;3.81640240061378&lt;/D&gt;&lt;D xsi:type="xsd:double"&gt;3.59572837559128&lt;/D&gt;&lt;D xsi:type="xsd:double"&gt;3.4865115895462&lt;/D&gt;&lt;D xsi:type="xsd:double"&gt;3.19568984178925&lt;/D&gt;&lt;D xsi:type="xsd:double"&gt;3.00813699885941&lt;/D&gt;&lt;D xsi:type="xsd:double"&gt;2.60809084012318&lt;/D&gt;&lt;D xsi:type="xsd:double"&gt;2.57031882440758&lt;/D&gt;&lt;D xsi:type="xsd:double"&gt;3.15779856521225&lt;/D&gt;&lt;D xsi:type="xsd:double"&gt;2.80181302000713&lt;/D&gt;&lt;D xsi:type="xsd:double"&gt;2.57648712404823&lt;/D&gt;&lt;D xsi:type="xsd:double"&gt;2.92795724487495&lt;/D&gt;&lt;D xsi:type="xsd:double"&gt;2.67875398515511&lt;/D&gt;&lt;D xsi:type="xsd:double"&gt;2.88077289991379&lt;/D&gt;&lt;D xsi:type="xsd:double"&gt;4.85975152014923&lt;/D&gt;&lt;D xsi:type="xsd:double"&gt;2.77687691231918&lt;/D&gt;&lt;D xsi:type="xsd:double"&gt;3.01327870030022&lt;/D&gt;&lt;D xsi:type="xsd:double"&gt;2.70158630277634&lt;/D&gt;&lt;D xsi:type="xsd:double"&gt;3.18126779319954&lt;/D&gt;&lt;D xsi:type="xsd:double"&gt;2.58854658942795&lt;/D&gt;&lt;D xsi:type="xsd:double"&gt;2.9180584154892&lt;/D&gt;&lt;D xsi:type="xsd:double"&gt;3.04502101340103&lt;/D&gt;&lt;D xsi:type="xsd:double"&gt;2.9967012253933&lt;/D&gt;&lt;D xsi:type="xsd:double"&gt;2.63781498307419&lt;/D&gt;&lt;D xsi:type="xsd:double"&gt;3.04737205569839&lt;/D&gt;&lt;D xsi:type="xsd:double"&gt;2.90035490794754&lt;/D&gt;&lt;D xsi:type="xsd:double"&gt;2.86648988584137&lt;/D&gt;&lt;D xsi:type="xsd:double"&gt;2.96490631438065&lt;/D&gt;&lt;D xsi:type="xsd:double"&gt;5.17494791160202&lt;/D&gt;&lt;D xsi:type="xsd:double"&gt;3.29159096245956&lt;/D&gt;&lt;D xsi:type="xsd:double"&gt;3.31431016400528&lt;/D&gt;&lt;D xsi:type="xsd:double"&gt;2.90802757089043&lt;/D&gt;&lt;D xsi:type="xsd:double"&gt;3.07118615285873&lt;/D&gt;&lt;D xsi:type="xsd:double"&gt;4.68090337691689&lt;/D&gt;&lt;D xsi:type="xsd:double"&gt;3.3847324325695&lt;/D&gt;&lt;D xsi:type="xsd:double"&gt;3.60392254146767&lt;/D&gt;&lt;D xsi:type="xsd:double"&gt;3.16464879828453&lt;/D&gt;&lt;D xsi:type="xsd:double"&gt;1.85186918177795&lt;/D&gt;&lt;D xsi:type="xsd:double"&gt;2.7658256157341&lt;/D&gt;&lt;D xsi:type="xsd:double"&gt;3.04115819556427&lt;/D&gt;&lt;D xsi:type="xsd:double"&gt;2.83327588445854&lt;/D&gt;&lt;D xsi:type="xsd:double"&gt;2.86731102151871&lt;/D&gt;&lt;D xsi:type="xsd:double"&gt;2.67666164979649&lt;/D&gt;&lt;D xsi:type="xsd:double"&gt;2.7414816866951&lt;/D&gt;&lt;D xsi:type="xsd:double"&gt;3.1376592670269&lt;/D&gt;&lt;D xsi:type="xsd:double"&gt;2.99736472940254&lt;/D&gt;&lt;D xsi:type="xsd:double"&gt;3.09210238178539&lt;/D&gt;&lt;D xsi:type="xsd:double"&gt;3.14469723635864&lt;/D&gt;&lt;D xsi:type="xsd:double"&gt;2.72217727973366&lt;/D&gt;&lt;D xsi:type="xsd:double"&gt;3.05766105046463&lt;/D&gt;&lt;D xsi:type="xsd:double"&gt;3.30814383296204&lt;/D&gt;&lt;D xsi:type="xsd:double"&gt;3.43167933109093&lt;/D&gt;&lt;D xsi:type="xsd:double"&gt;3.0233245984993&lt;/D&gt;&lt;D xsi:type="xsd:double"&gt;2.88628026039124&lt;/D&gt;&lt;D xsi:type="xsd:double"&gt;3.27941425319767&lt;/D&gt;&lt;D xsi:type="xsd:double"&gt;3.35089775631905&lt;/D&gt;&lt;D xsi:type="xsd:double"&gt;4.12232998287773&lt;/D&gt;&lt;D xsi:type="xsd:double"&gt;3.66554573677921&lt;/D&gt;&lt;D xsi:type="xsd:double"&gt;3.02954546593189&lt;/D&gt;&lt;D xsi:type="xsd:double"&gt;3.21744442697525&lt;/D&gt;&lt;D xsi:type="xsd:double"&gt;3.33266992648697&lt;/D&gt;&lt;D xsi:type="xsd:double"&gt;3.18510313653374&lt;/D&gt;&lt;D xsi:type="xsd:double"&gt;2.87515578223896&lt;/D&gt;&lt;D xsi:type="xsd:double"&gt;2.94699680720043&lt;/D&gt;&lt;D xsi:type="xsd:double"&gt;2.93406130745792&lt;/D&gt;&lt;D xsi:type="xsd:double"&gt;3.1193861893425&lt;/D&gt;&lt;D xsi:type="xsd:double"&gt;2.79281787545586&lt;/D&gt;&lt;D xsi:type="xsd:double"&gt;3.14783496372318&lt;/D&gt;&lt;D xsi:type="xsd:double"&gt;2.60752608096695&lt;/D&gt;&lt;D xsi:type="xsd:double"&gt;2.98344885679245&lt;/D&gt;&lt;D xsi:type="xsd:double"&gt;3.06538458167076&lt;/D&gt;&lt;D xsi:type="xsd:double"&gt;2.43279635451889&lt;/D&gt;&lt;D xsi:type="xsd:double"&gt;3.08617686477089&lt;/D&gt;&lt;D xsi:type="xsd:double"&gt;2.53184380273342&lt;/D&gt;&lt;D xsi:type="xsd:double"&gt;3.26311938526154&lt;/D&gt;&lt;D xsi:type="xsd:double"&gt;2.96958203859615&lt;/D&gt;&lt;D xsi:type="xsd:double"&gt;2.64191822036076&lt;/D&gt;&lt;D xsi:type="xsd:double"&gt;2.58297006353951&lt;/D&gt;&lt;D xsi:type="xsd:double"&gt;2.9032575225563&lt;/D&gt;&lt;D xsi:type="xsd:double"&gt;2.8264073797617&lt;/D&gt;&lt;D xsi:type="xsd:double"&gt;2.77046295031738&lt;/D&gt;&lt;D xsi:type="xsd:double"&gt;3.18450588422298&lt;/D&gt;&lt;D xsi:type="xsd:double"&gt;3.04516423164082&lt;/D&gt;&lt;D xsi:type="xsd:double"&gt;2.7278610245533&lt;/D&gt;&lt;D xsi:type="xsd:double"&gt;3.21488807356644&lt;/D&gt;&lt;D xsi:type="xsd:double"&gt;3.30174535661697&lt;/D&gt;&lt;D xsi:type="xsd:double"&gt;3.01926508326721&lt;/D&gt;&lt;D xsi:type="xsd:double"&gt;2.94518816809845&lt;/D&gt;&lt;D xsi:type="xsd:double"&gt;2.91952273037338&lt;/D&gt;&lt;D xsi:type="xsd:double"&gt;3.07573873310471&lt;/D&gt;&lt;D xsi:type="xsd:double"&gt;3.50073883114433&lt;/D&gt;&lt;D xsi:type="xsd:double"&gt;6.00382728484345&lt;/D&gt;&lt;D xsi:type="xsd:double"&gt;3.35570853129578&lt;/D&gt;&lt;D xsi:type="xsd:double"&gt;3.14124292353535&lt;/D&gt;&lt;D xsi:type="xsd:double"&gt;3.02995356015968&lt;/D&gt;&lt;D xsi:type="xsd:double"&gt;3.31060847846794&lt;/D&gt;&lt;D xsi:type="xsd:double"&gt;2.92276022039604&lt;/D&gt;&lt;D xsi:type="xsd:double"&gt;3.25292940638447&lt;/D&gt;&lt;D xsi:type="xsd:double"&gt;3.55970199932861&lt;/D&gt;&lt;D xsi:type="xsd:double"&gt;3.55579388403606&lt;/D&gt;&lt;D xsi:type="xsd:double"&gt;3.07206478747654&lt;/D&gt;&lt;D xsi:type="xsd:double"&gt;2.93319469953728&lt;/D&gt;&lt;D xsi:type="xsd:double"&gt;3.31486394199276&lt;/D&gt;&lt;D xsi:type="xsd:double"&gt;3.06932222610092&lt;/D&gt;&lt;D xsi:type="xsd:double"&gt;2.9515060953331&lt;/D&gt;&lt;D xsi:type="xsd:double"&gt;2.82785965037727&lt;/D&gt;&lt;D xsi:type="xsd:double"&gt;3.60796999004364&lt;/D&gt;&lt;D xsi:type="xsd:double"&gt;2.76513532470894&lt;/D&gt;&lt;D xsi:type="xsd:double"&gt;2.99738632563782&lt;/D&gt;&lt;D xsi:type="xsd:double"&gt;2.99770592587471&lt;/D&gt;&lt;D xsi:type="xsd:double"&gt;3.32651103066635&lt;/D&gt;&lt;D xsi:type="xsd:double"&gt;3.1643201303978&lt;/D&gt;&lt;D xsi:type="xsd:double"&gt;2.72033434340668&lt;/D&gt;&lt;D xsi:type="xsd:double"&gt;3.19466853347969&lt;/D&gt;&lt;D xsi:type="xsd:double"&gt;3.59101697031879&lt;/D&gt;&lt;D xsi:type="xsd:double"&gt;3.39686691068649&lt;/D&gt;&lt;D xsi:type="xsd:double"&gt;3.07970008758736&lt;/D&gt;&lt;D xsi:type="xsd:double"&gt;3.31945129786873&lt;/D&gt;&lt;D xsi:type="xsd:double"&gt;3.40350735365295&lt;/D&gt;&lt;D xsi:type="xsd:double"&gt;4.00938915825462&lt;/D&gt;&lt;D xsi:type="xsd:double"&gt;3.96509712294197&lt;/D&gt;&lt;D xsi:type="xsd:double"&gt;3.84116351460838&lt;/D&gt;&lt;D xsi:type="xsd:double"&gt;3.79329780452919&lt;/D&gt;&lt;D xsi:type="xsd:double"&gt;3.83462881885147&lt;/D&gt;&lt;D xsi:type="xsd:double"&gt;3.52591383101273&lt;/D&gt;&lt;D xsi:type="xsd:double"&gt;3.66459843289471&lt;/D&gt;&lt;D xsi:type="xsd:double"&gt;3.61028278508949&lt;/D&gt;&lt;D xsi:type="xsd:double"&gt;3.20503166425133&lt;/D&gt;&lt;D xsi:type="xsd:double"&gt;2.84686967604828&lt;/D&gt;&lt;D xsi:type="xsd:double"&gt;2.99664115872955&lt;/D&gt;&lt;D xsi:type="xsd:double"&gt;3.43366112175179&lt;/D&gt;&lt;D xsi:type="xsd:double"&gt;3.1571270208168&lt;/D&gt;&lt;D xsi:type="xsd:double"&gt;3.19658932708168&lt;/D&gt;&lt;D xsi:type="xsd:double"&gt;3.3082984237709&lt;/D&gt;&lt;D xsi:type="xsd:double"&gt;3.17225593095684&lt;/D&gt;&lt;D xsi:type="xsd:double"&gt;3.74693874834633&lt;/D&gt;&lt;D xsi:type="xsd:double"&gt;4.02114378769302&lt;/D&gt;&lt;D xsi:type="xsd:double"&gt;4.51072704879379&lt;/D&gt;&lt;D xsi:type="xsd:double"&gt;3.31657939250183&lt;/D&gt;&lt;D xsi:type="xsd:double"&gt;2.73423794618607&lt;/D&gt;&lt;D xsi:type="xsd:double"&gt;1.49172068597651&lt;/D&gt;&lt;D xsi:type="xsd:double"&gt;2.83377763450813&lt;/D&gt;&lt;D xsi:type="xsd:double"&gt;3.0384422971077&lt;/D&gt;&lt;D xsi:type="xsd:double"&gt;3.01301025055885&lt;/D&gt;&lt;D xsi:type="xsd:double"&gt;3.00489755256462&lt;/D&gt;&lt;D xsi:type="xsd:double"&gt;3.18098885586166&lt;/D&gt;&lt;D xsi:type="xsd:double"&gt;3.23480486846924&lt;/D&gt;&lt;D xsi:type="xsd:double"&gt;2.79397241620445&lt;/D&gt;&lt;D xsi:type="xsd:double"&gt;3.56919453617096&lt;/D&gt;&lt;D xsi:type="xsd:double"&gt;3.2005128736515&lt;/D&gt;&lt;D xsi:type="xsd:double"&gt;3.22842341406822&lt;/D&gt;&lt;D xsi:type="xsd:double"&gt;3.36511744202423&lt;/D&gt;&lt;D xsi:type="xsd:double"&gt;3.28264580200958&lt;/D&gt;&lt;D xsi:type="xsd:double"&gt;3.51575772463226&lt;/D&gt;&lt;D xsi:type="xsd:double"&gt;3.39919904626083&lt;/D&gt;&lt;D xsi:type="xsd:double"&gt;6.89658530230713&lt;/D&gt;&lt;D xsi:type="xsd:double"&gt;2.6654172498188&lt;/D&gt;&lt;D xsi:type="xsd:double"&gt;2.26599792197609&lt;/D&gt;&lt;D xsi:type="xsd:double"&gt;1.07922403037739&lt;/D&gt;&lt;D xsi:type="xsd:double"&gt;1.47850414243698&lt;/D&gt;&lt;D xsi:type="xsd:double"&gt;2.00027344776154&lt;/D&gt;&lt;D xsi:type="xsd:double"&gt;1.73850699066067&lt;/D&gt;&lt;D xsi:type="xsd:double"&gt;1.73604022932625&lt;/D&gt;&lt;D xsi:type="xsd:double"&gt;2.65916825073433&lt;/D&gt;&lt;D xsi:type="xsd:double"&gt;3.5073007904377&lt;/D&gt;&lt;D xsi:type="xsd:double"&gt;3.32663010240936&lt;/D&gt;&lt;D xsi:type="xsd:double"&gt;3.23388731050491&lt;/D&gt;&lt;D xsi:type="xsd:double"&gt;3.18953186926842&lt;/D&gt;&lt;D xsi:type="xsd:double"&gt;2.97026521955872&lt;/D&gt;&lt;D xsi:type="xsd:double"&gt;3.0294347808876&lt;/D&gt;&lt;D xsi:type="xsd:double"&gt;3.21679359754753&lt;/D&gt;&lt;D xsi:type="xsd:double"&gt;3.36516018357468&lt;/D&gt;&lt;D xsi:type="xsd:double"&gt;3.16301815807343&lt;/D&gt;&lt;D xsi:type="xsd:double"&gt;4.0505948015213&lt;/D&gt;&lt;D xsi:type="xsd:double"&gt;3.95297050091171&lt;/D&gt;&lt;D xsi:type="xsd:double"&gt;3.84766282458496&lt;/D&gt;&lt;D xsi:type="xsd:double"&gt;3.3758866410141&lt;/D&gt;&lt;D xsi:type="xsd:double"&gt;3.26235384945297&lt;/D&gt;&lt;D xsi:type="xsd:double"&gt;3.01624616251183&lt;/D&gt;&lt;D xsi:type="xsd:double"&gt;3.26873981553268&lt;/D&gt;&lt;D xsi:type="xsd:double"&gt;3.39451799150658&lt;/D&gt;&lt;D xsi:type="xsd:double"&gt;4.16175515492248&lt;/D&gt;&lt;D xsi:type="xsd:double"&gt;4.29627456293869&lt;/D&gt;&lt;D xsi:type="xsd:double"&gt;3.6368136138916&lt;/D&gt;&lt;D xsi:type="xsd:double"&gt;4.58141667862892&lt;/D&gt;&lt;D xsi:type="xsd:double"&gt;5.18179415007782&lt;/D&gt;&lt;D xsi:type="xsd:double"&gt;4.38832036423302&lt;/D&gt;&lt;D xsi:type="xsd:double"&gt;3.87680886651993&lt;/D&gt;&lt;D xsi:type="xsd:double"&gt;3.40217260256195&lt;/D&gt;&lt;D xsi:type="xsd:double"&gt;3.53349525584412&lt;/D&gt;&lt;D xsi:type="xsd:double"&gt;3.78433708114243&lt;/D&gt;&lt;D xsi:type="xsd:double"&gt;4.56899047452354&lt;/D&gt;&lt;D xsi:type="xsd:double"&gt;3.4459201400528&lt;/D&gt;&lt;D xsi:type="xsd:double"&gt;3.34321039510155&lt;/D&gt;&lt;D xsi:type="xsd:double"&gt;3.08591832410812&lt;/D&gt;&lt;D xsi:type="xsd:double"&gt;2.93413032645798&lt;/D&gt;&lt;D xsi:type="xsd:double"&gt;3.38038562372208&lt;/D&gt;&lt;D xsi:type="xsd:double"&gt;3.2871895930233&lt;/D&gt;&lt;D xsi:type="xsd:double"&gt;3.21854713880157&lt;/D&gt;&lt;D xsi:type="xsd:double"&gt;3.33946941080475&lt;/D&gt;&lt;D xsi:type="xsd:double"&gt;3.50895209737587&lt;/D&gt;&lt;D xsi:type="xsd:double"&gt;4.62693592660332&lt;/D&gt;&lt;D xsi:type="xsd:double"&gt;3.51518870639801&lt;/D&gt;&lt;D xsi:type="xsd:double"&gt;3.55536363858604&lt;/D&gt;&lt;D xsi:type="xsd:double"&gt;3.24979242446518&lt;/D&gt;&lt;D xsi:type="xsd:double"&gt;3.73512050008774&lt;/D&gt;&lt;D xsi:type="xsd:double"&gt;3.41971082364655&lt;/D&gt;&lt;D xsi:type="xsd:double"&gt;3.74447862762451&lt;/D&gt;&lt;D xsi:type="xsd:double"&gt;3.17786325269508&lt;/D&gt;&lt;D xsi:type="xsd:double"&gt;3.01881701534653&lt;/D&gt;&lt;D xsi:type="xsd:double"&gt;3.51914509366989&lt;/D&gt;&lt;D xsi:type="xsd:double"&gt;2.98418796928787&lt;/D&gt;&lt;D xsi:type="xsd:double"&gt;3.05166544469261&lt;/D&gt;&lt;D xsi:type="xsd:double"&gt;2.94121749115944&lt;/D&gt;&lt;D xsi:type="xsd:double"&gt;3.05368405043221&lt;/D&gt;&lt;D xsi:type="xsd:double"&gt;3.281800891222&lt;/D&gt;&lt;D xsi:type="xsd:double"&gt;7.06430729388428&lt;/D&gt;&lt;D xsi:type="xsd:double"&gt;3.50653977701569&lt;/D&gt;&lt;D xsi:type="xsd:double"&gt;3.13390907081795&lt;/D&gt;&lt;D xsi:type="xsd:double"&gt;2.95696529083443&lt;/D&gt;&lt;D xsi:type="xsd:double"&gt;3.04466362495804&lt;/D&gt;&lt;D xsi:type="xsd:double"&gt;3.17559378861237&lt;/D&gt;&lt;D xsi:type="xsd:double"&gt;3.32914278632545&lt;/D&gt;&lt;/FQL&gt;&lt;FQL&gt;&lt;Q&gt;000001172^FMA_GEOREV_ECONOMY("ROW",0,,,,"PORTAGG")&lt;/Q&gt;&lt;R&gt;1&lt;/R&gt;&lt;C&gt;1&lt;/C&gt;&lt;D xsi:type="xsd:double"&gt;2.579750555288&lt;/D&gt;&lt;/FQL&gt;&lt;FQL&gt;&lt;Q&gt;000001172^FG_TRET_PCHG_IDX(0,-1AM,)/100&lt;/Q&gt;&lt;R&gt;1&lt;/R&gt;&lt;C&gt;1&lt;/C&gt;&lt;D xsi:type="xsd:double"&gt;-0.0497951470630227&lt;/D&gt;&lt;/FQL&gt;&lt;FQL&gt;&lt;Q&gt;000001172^STRING_ARRAY SECTOR=GET_FQL_ARRAY(TRANSPOSE(FG_INDUSTRY_BREAKDOWN("ONE",0)),"P_SYMBOL","FG_CLASS_IDX","FG_MCAP_IDX(0,,,USD)");""&lt;/Q&gt;&lt;R&gt;1&lt;/R&gt;&lt;C&gt;1&lt;/C&gt;&lt;D xsi:type="xsd:string" /&gt;&lt;/FQL&gt;&lt;FQL&gt;&lt;Q&gt;000001172^FG_TOTAL_RET_IDX(0,,)&lt;/Q&gt;&lt;R&gt;1&lt;/R&gt;&lt;C&gt;1&lt;/C&gt;&lt;D xsi:type="xsd:double"&gt;14560.7523112209&lt;/D&gt;&lt;/FQL&gt;&lt;FQL&gt;&lt;Q&gt;000001172^FMA_PE(NTMA,0,,,"PORTAGG","MEANR")&lt;/Q&gt;&lt;R&gt;1&lt;/R&gt;&lt;C&gt;1&lt;/C&gt;&lt;D xsi:type="xsd:double"&gt;19.6773940986968&lt;/D&gt;&lt;/FQL&gt;&lt;FQL&gt;&lt;Q&gt;000001172^FMA_PEX(LTM,0,,,"PORTAGG")&lt;/Q&gt;&lt;R&gt;1&lt;/R&gt;&lt;C&gt;1&lt;/C&gt;&lt;D xsi:type="xsd:double"&gt;25.5690756210002&lt;/D&gt;&lt;/FQL&gt;&lt;FQL&gt;&lt;Q&gt;000001172^FMA_CURRENCY_IDX("NAME")&lt;/Q&gt;&lt;R&gt;1&lt;/R&gt;&lt;C&gt;1&lt;/C&gt;&lt;D xsi:type="xsd:string"&gt;USD&lt;/D&gt;&lt;/FQL&gt;&lt;FQL&gt;&lt;Q&gt;000001172^FMA_GEOREV_ECONOMY("FRNT",-1AY,,,,"PORTAGG")&lt;/Q&gt;&lt;R&gt;1&lt;/R&gt;&lt;C&gt;1&lt;/C&gt;&lt;D xsi:type="xsd:double"&gt;3.112111520178&lt;/D&gt;&lt;/FQL&gt;&lt;FQL&gt;&lt;Q&gt;000001172^F</t>
        </r>
      </text>
    </comment>
    <comment ref="A4" authorId="0" shapeId="0" xr:uid="{0D5CBF43-6158-43D7-8A21-8A6152C46B05}">
      <text>
        <r>
          <rPr>
            <b/>
            <sz val="9"/>
            <color indexed="81"/>
            <rFont val="Tahoma"/>
            <family val="2"/>
          </rPr>
          <t>MA_GEOREV_SUPER_REGION("R170",-1AY,,,,"PORTAGG")&lt;/Q&gt;&lt;R&gt;1&lt;/R&gt;&lt;C&gt;1&lt;/C&gt;&lt;D xsi:type="xsd:double"&gt;17.845901323231&lt;/D&gt;&lt;/FQL&gt;&lt;FQL&gt;&lt;Q&gt;000001172^FG_PCHG_IDX(0,-1D,)/100&lt;/Q&gt;&lt;R&gt;1&lt;/R&gt;&lt;C&gt;1&lt;/C&gt;&lt;D xsi:type="xsd:double"&gt;0.0291299761223511&lt;/D&gt;&lt;/FQL&gt;&lt;FQL&gt;&lt;Q&gt;000001172^FMA_GEOREV_SUPER_REGION("R170",-2AY,,,,"PORTAGG")&lt;/Q&gt;&lt;R&gt;1&lt;/R&gt;&lt;C&gt;1&lt;/C&gt;&lt;D xsi:type="xsd:double"&gt;18.081697002093&lt;/D&gt;&lt;/FQL&gt;&lt;FQL&gt;&lt;Q&gt;000001172^FMA_EVAL_EBIT(+1,0,,,"PORTAGG","MEANR")&lt;/Q&gt;&lt;R&gt;1&lt;/R&gt;&lt;C&gt;1&lt;/C&gt;&lt;D xsi:type="xsd:double"&gt;18.2867178408303&lt;/D&gt;&lt;/FQL&gt;&lt;FQL&gt;&lt;Q&gt;000001172^FMA_EVAL_EBITDA(+2,0,,,"PORTAGG","MEANR")&lt;/Q&gt;&lt;R&gt;1&lt;/R&gt;&lt;C&gt;1&lt;/C&gt;&lt;D xsi:type="xsd:double"&gt;12.2718937089695&lt;/D&gt;&lt;/FQL&gt;&lt;FQL&gt;&lt;Q&gt;000001172^MIN(FG_TOTAL_RET_IDX(0,-1AY,))&lt;/Q&gt;&lt;R&gt;1&lt;/R&gt;&lt;C&gt;1&lt;/C&gt;&lt;D xsi:type="xsd:double"&gt;10977.5005432334&lt;/D&gt;&lt;/FQL&gt;&lt;FQL&gt;&lt;Q&gt;000001172^JULIAN(FMA_GEOREV_SUPER_REGION("R101",-2AY,,,,"AGGREGATE").DATES)&lt;/Q&gt;&lt;R&gt;1&lt;/R&gt;&lt;C&gt;1&lt;/C&gt;&lt;D xsi:type="xsd:long"&gt;45382&lt;/D&gt;&lt;/FQL&gt;&lt;FQL&gt;&lt;Q&gt;000001172^FMA_GEOREV_TOP_EXPOSURES(4,20,-3AY,,,,"PORTAGG")&lt;/Q&gt;&lt;R&gt;21&lt;/R&gt;&lt;C&gt;2&lt;/C&gt;&lt;D xsi:type="xsd:string"&gt;Dates&lt;/D&gt;&lt;D xsi:type="xsd:string"&gt;20230331&lt;/D&gt;&lt;D xsi:type="xsd:string"&gt;United States&lt;/D&gt;&lt;D xsi:type="xsd:string"&gt;59.541962&lt;/D&gt;&lt;D xsi:type="xsd:string"&gt;Mainland China&lt;/D&gt;&lt;D xsi:type="xsd:string"&gt;7.239808&lt;/D&gt;&lt;D xsi:type="xsd:string"&gt;Japan&lt;/D&gt;&lt;D xsi:type="xsd:string"&gt;2.639198&lt;/D&gt;&lt;D xsi:type="xsd:string"&gt;United Kingdom&lt;/D&gt;&lt;D xsi:type="xsd:string"&gt;2.296192&lt;/D&gt;&lt;D xsi:type="xsd:string"&gt;Germany&lt;/D&gt;&lt;D xsi:type="xsd:string"&gt;2.220327&lt;/D&gt;&lt;D xsi:type="xsd:string"&gt;Canada&lt;/D&gt;&lt;D xsi:type="xsd:string"&gt;1.985508&lt;/D&gt;&lt;D xsi:type="xsd:string"&gt;France&lt;/D&gt;&lt;D xsi:type="xsd:string"&gt;1.378087&lt;/D&gt;&lt;D xsi:type="xsd:string"&gt;India&lt;/D&gt;&lt;D xsi:type="xsd:string"&gt;1.334670&lt;/D&gt;&lt;D xsi:type="xsd:string"&gt;Taiwan, China&lt;/D&gt;&lt;D xsi:type="xsd:string"&gt;1.236363&lt;/D&gt;&lt;D xsi:type="xsd:string"&gt;Republic of Korea (South Korea)&lt;/D&gt;&lt;D xsi:type="xsd:string"&gt;1.093938&lt;/D&gt;&lt;D xsi:type="xsd:string"&gt;Italy&lt;/D&gt;&lt;D xsi:type="xsd:string"&gt;1.068864&lt;/D&gt;&lt;D xsi:type="xsd:string"&gt;Brazil&lt;/D&gt;&lt;D xsi:type="xsd:string"&gt;1.050252&lt;/D&gt;&lt;D xsi:type="xsd:string"&gt;Russian Federation&lt;/D&gt;&lt;D xsi:type="xsd:string"&gt;0.937403&lt;/D&gt;&lt;D xsi:type="xsd:string"&gt;Mexico&lt;/D&gt;&lt;D xsi:type="xsd:string"&gt;0.895469&lt;/D&gt;&lt;D xsi:type="xsd:string"&gt;Australia&lt;/D&gt;&lt;D xsi:type="xsd:string"&gt;0.891330&lt;/D&gt;&lt;D xsi:type="xsd:string"&gt;Netherlands&lt;/D&gt;&lt;D xsi:type="xsd:string"&gt;0.807072&lt;/D&gt;&lt;D xsi:type="xsd:string"&gt;Spain&lt;/D&gt;&lt;D xsi:type="xsd:string"&gt;0.753867&lt;/D&gt;&lt;D xsi:type="xsd:string"&gt;Indonesia&lt;/D&gt;&lt;D xsi:type="xsd:string"&gt;0.613019&lt;/D&gt;&lt;D xsi:type="xsd:string"&gt;Singapore&lt;/D&gt;&lt;D xsi:type="xsd:string"&gt;0.579376&lt;/D&gt;&lt;D xsi:type="xsd:string"&gt;Switzerland&lt;/D&gt;&lt;D xsi:type="xsd:string"&gt;0.534802&lt;/D&gt;&lt;/FQL&gt;&lt;FQL&gt;&lt;Q&gt;000001172^FG_NAME_IDX&lt;/Q&gt;&lt;R&gt;1&lt;/R&gt;&lt;C&gt;1&lt;/C&gt;&lt;D xsi:type="xsd:string"&gt;S&amp;amp;P 500&lt;/D&gt;&lt;/FQL&gt;&lt;FQL&gt;&lt;Q&gt;000001172^MOVING_AVG(P_PRICE(-49D,0D,D),50)&lt;/Q&gt;&lt;R&gt;1&lt;/R&gt;&lt;C&gt;1&lt;/C&gt;&lt;D xsi:type="xsd:double"&gt;6793.9176&lt;/D&gt;&lt;/FQL&gt;&lt;FQL&gt;&lt;Q&gt;000001172^STRING_ARRAY WEIGHTS=GET_FQL_ARRAY(US_UNIV("FG_CONST_WEIGHT(000001172,0,CLOSE)&amp;gt;0"),"CONCAT(P_SYMBOL,FG_COMPANY_NAME,FG_MKT_VALUE(0,,,USD))");SUBARRAY(SORT(TRANSPOSE((FLOAT_ARRAY)WEIGHTS[2]),2),0,10)&lt;/Q&gt;&lt;R&gt;10&lt;/R&gt;&lt;C&gt;1&lt;/C&gt;&lt;D xsi:type="xsd:double"&gt;4237920&lt;/D&gt;&lt;D xsi:type="xsd:double"&gt;3725916.3&lt;/D&gt;&lt;D xsi:type="xsd:double"&gt;3478613.3&lt;/D&gt;&lt;D xsi:type="xsd:double"&gt;3470145.3&lt;/D&gt;&lt;D xsi:type="xsd:double"&gt;2748745.5&lt;/D&gt;&lt;D xsi:type="xsd:double"&gt;2235757.8&lt;/D&gt;&lt;D xsi:type="xsd:double"&gt;1465427.8&lt;/D&gt;&lt;D xsi:type="xsd:double"&gt;1447235.8&lt;/D&gt;&lt;D xsi:type="xsd:double"&gt;1394965.9&lt;/D&gt;&lt;D xsi:type="xsd:double"&gt;1033039.75&lt;/D&gt;&lt;/FQL&gt;&lt;FQL&gt;&lt;Q&gt;000001172^STRING_ARRAY WEIGHTS=GET_FQL_ARRAY(US_UNIV("FG_CONST_WEIGHT(000001172,0,CLOSE)&amp;gt;0"),"CONCAT(P_SYMBOL,FG_COMPANY_NAME,FG_MKT_VALUE(0,,,USD))");SUBARRAY(SORT_INDIRECT(TRANSPOSE(WEIGHTS[0]),TRANSPOSE((FLOAT_ARRAY)WEIGHTS[2]),2),0,10)&lt;/Q&gt;&lt;R&gt;10&lt;/R&gt;&lt;C&gt;1&lt;/C&gt;&lt;D xsi:type="xsd:string"&gt;NVDA-US&lt;/D&gt;&lt;D xsi:type="xsd:string"&gt;AAPL-US&lt;/D&gt;&lt;D xsi:type="xsd:string"&gt;GOOGL-US&lt;/D&gt;&lt;D xsi:type="xsd:string"&gt;GOOG-US&lt;/D&gt;&lt;D xsi:type="xsd:string"&gt;MSFT-US&lt;/D&gt;&lt;D xsi:type="xsd:string"&gt;AMZN-US&lt;/D&gt;&lt;D xsi:type="xsd:string"&gt;AVGO-US&lt;/D&gt;&lt;D xsi:type="xsd:string"&gt;META-US&lt;/D&gt;&lt;D xsi:type="xsd:string"&gt;TSLA-US&lt;/D&gt;&lt;D xsi:type="xsd:string"&gt;BRK.B-US&lt;/D&gt;&lt;/FQL&gt;&lt;FQL&gt;&lt;Q&gt;000001172^STRING_ARRAY WEIGHTS=GET_FQL_ARRAY(US_UNIV("FG_CONST_WEIGHT(000001172,0,CLOSE)&amp;gt;0"),"CONCAT(P_SYMBOL,FG_COMPANY_NAME,FG_MKT_VALUE(0,,,USD))");SUBARRAY(SORT_INDIRECT(TRANSPOSE(WEIGHTS[1]),TRANSPOSE((FLOAT_ARRAY)WEIGHTS[2]),2),0,10)&lt;/Q&gt;&lt;R&gt;10&lt;/R&gt;&lt;C&gt;1&lt;/C&gt;&lt;D xsi:type="xsd:string"&gt;NVIDIA Corporation&lt;/D&gt;&lt;D xsi:type="xsd:string"&gt;Apple Inc.&lt;/D&gt;&lt;D xsi:type="xsd:string"&gt;Alphabet Inc. Class A&lt;/D&gt;&lt;D xsi:type="xsd:string"&gt;Alphabet Inc. Class C&lt;/D&gt;&lt;D xsi:type="xsd:string"&gt;Microsoft Corporation&lt;/D&gt;&lt;D xsi:type="xsd:string"&gt;Amazon.com, Inc.&lt;/D&gt;&lt;D xsi:type="xsd:string"&gt;Broadcom Inc.&lt;/D&gt;&lt;D xsi:type="xsd:string"&gt;Meta Platforms Inc Class A&lt;/D&gt;&lt;D xsi:type="xsd:string"&gt;Tesla, Inc.&lt;/D&gt;&lt;D xsi:type="xsd:string"&gt;Berkshire Hathaway Inc. Class B&lt;/D&gt;&lt;/FQL&gt;&lt;FQL&gt;&lt;Q&gt;000001172^FG_MCAP_IDX(0,,,USD)&lt;/Q&gt;&lt;R&gt;1&lt;/R&gt;&lt;C&gt;1&lt;/C&gt;&lt;D xsi:type="xsd:double"&gt;55899275.1588662&lt;/D&gt;&lt;/FQL&gt;&lt;FQL&gt;&lt;Q&gt;000001172^SIZE(SECTOR)&lt;/Q&gt;&lt;R&gt;1&lt;/R&gt;&lt;C&gt;1&lt;/C&gt;&lt;D xsi:type="xsd:long"&gt;3&lt;/D&gt;&lt;/FQL&gt;&lt;FQL&gt;&lt;Q&gt;000001172^SECT&lt;/Q&gt;&lt;R&gt;11&lt;/R&gt;&lt;C&gt;1&lt;/C&gt;&lt;D xsi:type="xsd:string"&gt;99900001&lt;/D&gt;&lt;D xsi:type="xsd:string"&gt;99900037&lt;/D&gt;&lt;D xsi:type="xsd:string"&gt;99900125&lt;/D&gt;&lt;D xsi:type="xsd:string"&gt;99900285&lt;/D&gt;&lt;D xsi:type="xsd:string"&gt;99900477&lt;/D&gt;&lt;D xsi:type="xsd:string"&gt;99900565&lt;/D&gt;&lt;D xsi:type="xsd:string"&gt;99900621&lt;/D&gt;&lt;D xsi:type="xsd:string"&gt;99900701&lt;/D&gt;&lt;D xsi:type="xsd:string"&gt;99900793&lt;/D&gt;&lt;D xsi:type="xsd:string"&gt;99900821&lt;/D&gt;&lt;D xsi:type="xsd:string"&gt;86099Y65&lt;/D&gt;&lt;/FQL&gt;&lt;FQL&gt;&lt;Q&gt;NOTICKER^STRING_ARRAY SECTPERF=GET_FQL_ARRAY(TRANSPOSE(SECT),"P_SYMBOL","FG_CLASS_IDX","FG_PRICE_CHANGE(-1D,0)/100");""&lt;/Q&gt;&lt;R&gt;1&lt;/R&gt;&lt;C&gt;1&lt;/C&gt;&lt;D xsi:type="xsd:string" /&gt;&lt;/FQL&gt;&lt;FQL&gt;&lt;Q&gt;000001172^SIZE(SECT)&lt;/Q&gt;&lt;R&gt;1&lt;/R&gt;&lt;C&gt;1&lt;/C&gt;&lt;D xsi:type="xsd:long"&gt;11&lt;/D&gt;&lt;/FQL&gt;&lt;FQL&gt;&lt;Q&gt;000001172^GET_FQL_ARRAY(TRANSPOSE(SECT),"FMA_PSALES(LTM,0,,,\"PORTAGG\")")&lt;/Q&gt;&lt;R&gt;11&lt;/R&gt;&lt;C&gt;1&lt;/C&gt;&lt;D xsi:type="xsd:double"&gt;1.84914313902359&lt;/D&gt;&lt;D xsi:type="xsd:double"&gt;2.45321884293368&lt;/D&gt;&lt;D xsi:type="xsd:double"&gt;2.96446867823334&lt;/D&gt;&lt;D xsi:type="xsd:double"&gt;2.69367155991645&lt;/D&gt;&lt;D xsi:type="xsd:double"&gt;1.67400278617108&lt;/D&gt;&lt;D xsi:type="xsd:double"&gt;1.47550068054116&lt;/D&gt;&lt;D xsi:type="xsd:double"&gt;2.57524379524717&lt;/D&gt;&lt;D xsi:type="xsd:double"&gt;8.52381448054825&lt;/D&gt;&lt;D xsi:type="xsd:double"&gt;4.607642846529&lt;/D&gt;&lt;D xsi:type="xsd:double"&gt;3.04890887389978&lt;/D&gt;&lt;D xsi:type="xsd:double"&gt;6.34997675793121&lt;/D&gt;&lt;/FQL&gt;&lt;FQL&gt;&lt;Q&gt;000001172^GET_FQL_ARRAY(TRANSPOSE(SECT),"FMA_PSALES(NTMA,0,,,\"PORTAGG\",\"MEANR\")")&lt;/Q&gt;&lt;R&gt;11&lt;/R&gt;&lt;C&gt;1&lt;/C&gt;&lt;D xsi:type="xsd:double"&gt;1.78562701695214&lt;/D&gt;&lt;D xsi:type="xsd:double"&gt;2.26461870991172&lt;/D&gt;&lt;D xsi:type="xsd:double"&gt;2.75705598832444&lt;/D&gt;&lt;D xsi:type="xsd:double"&gt;2.47337625047427&lt;/D&gt;&lt;D xsi:type="xsd:double"&gt;1.56782475621955&lt;/D&gt;&lt;D xsi:type="xsd:double"&gt;1.39075185323873&lt;/D&gt;&lt;D xsi:type="xsd:double"&gt;3.04281871341179&lt;/D&gt;&lt;D xsi:type="xsd:double"&gt;6.65670473936109&lt;/D&gt;&lt;D xsi:type="xsd:double"&gt;4.06904575091924&lt;/D&gt;&lt;D xsi:type="xsd:double"&gt;2.82569454983382&lt;/D&gt;&lt;D xsi:type="xsd:double"&gt;5.86103492404899&lt;/D&gt;&lt;/FQL&gt;&lt;FQL&gt;&lt;Q&gt;000001172^GET_FQL_ARRAY(TRANSPOSE(SECT),"FMA_PSALES(+1,0,,,\"PORTAGG\",\"MEANR\")")&lt;/Q&gt;&lt;R&gt;11&lt;/R&gt;&lt;C&gt;1&lt;/C&gt;&lt;D xsi:type="xsd:double"&gt;1.79759790225244&lt;/D&gt;&lt;D xsi:type="xsd:double"&gt;2.28928864473089&lt;/D&gt;&lt;D xsi:type="xsd:double"&gt;2.80514329136537&lt;/D&gt;&lt;D xsi:type="xsd:double"&gt;2.51520547580356&lt;/D&gt;&lt;D xsi:type="xsd:double"&gt;1.58302111258941&lt;/D&gt;&lt;D xsi:type="xsd:double"&gt;1.40867974158231&lt;/D&gt;&lt;D xsi:type="xsd:double"&gt;3.08336774425988&lt;/D&gt;&lt;D xsi:type="xsd:double"&gt;6.89294077837352&lt;/D&gt;&lt;D xsi:type="xsd:double"&gt;4.1529488695581&lt;/D&gt;&lt;D xsi:type="xsd:double"&gt;2.86012429734667&lt;/D&gt;&lt;D xsi:type="xsd:double"&gt;5.95195044601339&lt;/D&gt;&lt;/FQL&gt;&lt;FQL&gt;&lt;Q&gt;000001172^GET_FQL_ARRAY(TRANSPOSE(SECT),"FMA_PSALES(+2,0,,,\"PORTAGG\",\"MEANR\")")&lt;/Q&gt;&lt;R&gt;11&lt;/R&gt;&lt;C&gt;1&lt;/C&gt;&lt;D xsi:type="xsd:double"&gt;1.74904931186792&lt;/D&gt;&lt;D xsi:type="xsd:double"&gt;2.18923835351979&lt;/D&gt;&lt;D xsi:type="xsd:double"&gt;2.61012256236604&lt;/D&gt;&lt;D xsi:type="xsd:double"&gt;2.34556472863477&lt;/D&gt;&lt;D xsi:type="xsd:double"&gt;1.52139144508944&lt;/D&gt;&lt;D xsi:type="xsd:double"&gt;1.33597219441112&lt;/D&gt;&lt;D xsi:type="xsd:double"&gt;2.91891889693151&lt;/D&gt;&lt;D xsi:type="xsd:double"&gt;5.9348723979342&lt;/D&gt;&lt;D xsi:type="xsd:double"&gt;3.81267511063385&lt;/D&gt;&lt;D xsi:type="xsd:double"&gt;2.72049254354458&lt;/D&gt;&lt;D xsi:type="xsd:double"&gt;5.58323749582445&lt;/D&gt;&lt;/FQL&gt;&lt;FQL&gt;&lt;Q&gt;000001172^GET_FQL_ARRAY(TRANSPOSE(SECT),"FG_CLASS_IDX")&lt;/Q&gt;&lt;R&gt;11&lt;/R&gt;&lt;C&gt;1&lt;/C&gt;&lt;D xsi:type="xsd:string"&gt;Energy&lt;/D&gt;&lt;D xsi:type="xsd:string"&gt;Materials&lt;/D&gt;&lt;D xsi:type="xsd:string"&gt;Industrials&lt;/D&gt;&lt;D xsi:type="xsd:string"&gt;Consumer Discretionary&lt;/D&gt;&lt;D xsi:type="xsd:string"&gt;Consumer Staples&lt;/D&gt;&lt;D xsi:type="xsd:string"&gt;Health Care&lt;/D&gt;&lt;D xsi:type="xsd:string"&gt;Financials&lt;/D&gt;&lt;D xsi:type="xsd:string"&gt;Information Technology&lt;/D&gt;&lt;D xsi:type="xsd:string"&gt;Communication Services&lt;/D&gt;&lt;D xsi:type="xsd:string"&gt;Utilities&lt;/D&gt;&lt;D xsi:type="xsd:string"&gt;Real Estate&lt;/D&gt;&lt;/FQL&gt;&lt;FQL&gt;&lt;Q&gt;000001172^GET_FQL_ARRAY(TRANSPOSE(SECT),"FMA_DIV_YLD(LTM,0,,,\"PORTAGG\",\"MEANR\")")&lt;/Q&gt;&lt;R&gt;11&lt;/R&gt;&lt;C&gt;1&lt;/C&gt;&lt;D xsi:type="xsd:double"&gt;2.47594301419434&lt;/D&gt;&lt;D xsi:type="xsd:double"&gt;1.6901951234882&lt;/D&gt;&lt;D xsi:type="xsd:double"&gt;1.15109167205492&lt;/D&gt;&lt;D xsi:type="xsd:double"&gt;0.677202631320344&lt;/D&gt;&lt;D xsi:type="xsd:double"&gt;2.38262309623092&lt;/D&gt;&lt;D xsi:type="xsd:double"&gt;1.75690979672735&lt;/D&gt;&lt;D xsi:type="xsd:double"&gt;1.55844964719218&lt;/D&gt;&lt;D xsi:type="xsd:double"&gt;0.552664218142997&lt;/D&gt;&lt;D xsi:type="xsd:double"&gt;0.651187935223412&lt;/D&gt;&lt;D xsi:type="xsd:double"&gt;2.61497298149876&lt;/D&gt;&lt;D xsi:type="xsd:double"&gt;3.35823424249532&lt;/D&gt;&lt;/FQL&gt;&lt;FQL&gt;&lt;Q&gt;000001172^GET_FQL_ARRAY(TRANSPOSE(SECT),"FMA_EVAL_EBITDA(LTM,0,,,\"PORTAGG\")")&lt;/Q&gt;&lt;R&gt;11&lt;/R&gt;&lt;C&gt;1&lt;/C&gt;&lt;D xsi:type="xsd:double"&gt;10.7928764394963&lt;/D&gt;&lt;D xsi:type="xsd:double"&gt;13.3893709796205&lt;/D&gt;&lt;D xsi:type="xsd:double"&gt;19.0987687279698&lt;/D&gt;&lt;D xsi:type="xsd:double"&gt;17.4924734349561&lt;/D&gt;&lt;D xsi:type="xsd:double"&gt;15.9696359667498&lt;/D&gt;&lt;D xsi:type="xsd:double"&gt;15.4108877626294&lt;/D&gt;&lt;D xsi:type="xsd:double"&gt;13.8910925203308&lt;/D&gt;&lt;D xsi:type="xsd:double"&gt;23.3264376703624&lt;/D&gt;&lt;D xsi:type="xsd:double"&gt;13.7763913434778&lt;/D&gt;&lt;D xsi:type="xsd:double"&gt;13.9786928814949&lt;/D&gt;&lt;D xsi:type="xsd:double"&gt;21.6506905772741&lt;/D&gt;&lt;/FQL&gt;&lt;FQL&gt;&lt;Q&gt;000001172^GET_FQL_ARRAY(TRANSPOSE(SECT),"FMA_EVAL_EBITDA(NTMA,0,,,\"PORTAGG\",\"MEANR\")")&lt;/Q&gt;&lt;R&gt;11&lt;/R&gt;&lt;C&gt;1&lt;/C&gt;&lt;D xsi:type="xsd:double"&gt;8.96433664496562&lt;/D&gt;&lt;D xsi:type="xsd:double"&gt;10.7065928456778&lt;/D&gt;&lt;D xsi:type="xsd:double"&gt;16.0640663566716&lt;/D&gt;&lt;D xsi:type="xsd:double"&gt;13.5951703328413&lt;/D&gt;&lt;D xsi:type="xsd:double"&gt;14.5962552861123&lt;/D&gt;&lt;D xsi:type="xsd:double"&gt;13.7384795665884&lt;/D&gt;&lt;D xsi:type="xsd:double"&gt;14.0323648271005&lt;/D&gt;&lt;D xsi:type="xsd:double"&gt;15.1546273079261&lt;/D&gt;&lt;D xsi:type="xsd:double"&gt;11.0959587588211&lt;/D&gt;&lt;D xsi:type="xsd:double"&gt;11.9035749047558&lt;/D&gt;&lt;D xsi:type="xsd:double"&gt;18.3297478956277&lt;/D&gt;&lt;/FQL&gt;&lt;FQL&gt;&lt;Q&gt;000001172^GET_FQL_ARRAY(TRANSPOSE(SECT),"FMA_EVAL_EBITDA(+1,0,,,\"PORTAGG\",\"MEANR\")")&lt;/Q&gt;&lt;R&gt;11&lt;/R&gt;&lt;C&gt;1&lt;/C&gt;&lt;D xsi:type="xsd:double"&gt;9.13451463403853&lt;/D&gt;&lt;D xsi:type="xsd:double"&gt;10.9653128634779&lt;/D&gt;&lt;D xsi:type="xsd:double"&gt;16.5172845337418&lt;/D&gt;&lt;D xsi:type="xsd:double"&gt;14.0228863068518&lt;/D&gt;&lt;D xsi:type="xsd:double"&gt;14.8234733916708&lt;/D&gt;&lt;D xsi:type="xsd:double"&gt;14.0714263114953&lt;/D&gt;&lt;D xsi:type="xsd:double"&gt;14.3446574461978&lt;/D&gt;&lt;D xsi:type="xsd:double"&gt;15.8605825364382&lt;/D&gt;&lt;D xsi:type="xsd:double"&gt;11.4145440947049&lt;/D&gt;&lt;D xsi:type="xsd:double"&gt;12.1691914513958&lt;/D&gt;&lt;D xsi:type="xsd:double"&gt;18.6455703156472&lt;/D&gt;&lt;/FQL&gt;&lt;FQL&gt;&lt;Q&gt;000001172^GET_FQL_ARRAY(TRANSPOSE(SECT),"FMA_EVAL_EBITDA(+2,0,,,\"PORTAGG\",\"MEANR\")")&lt;/Q&gt;&lt;R&gt;11&lt;/R&gt;&lt;C&gt;1&lt;/C&gt;&lt;D xsi:type="xsd:double"&gt;8.4443483450206&lt;/D&gt;&lt;D xsi:type="xsd:double"&gt;9.91605945795557&lt;/D&gt;&lt;D xsi:type="xsd:double"&gt;14.6792330378461&lt;/D&gt;&lt;D xsi:type="xsd:double"&gt;12.2882604122536&lt;/D&gt;&lt;D xsi:type="xsd:double"&gt;13.9019777413499&lt;/D&gt;&lt;D xsi:type="xsd:double"&gt;12.721142290484&lt;/D&gt;&lt;D xsi:type="xsd:double"&gt;13.0781373798587&lt;/D&gt;&lt;D xsi:type="xsd:double"&gt;12.9975418874724&lt;/D&gt;&lt;D xsi:type="xsd:double"&gt;10.122503565843&lt;/D&gt;&lt;D xsi:type="xsd:double"&gt;11.0919687900227&lt;/D&gt;&lt;D xsi:type="xsd:double"&gt;17.364734945568&lt;/D&gt;&lt;/FQL&gt;&lt;FQL&gt;&lt;Q&gt;000001172^GET_FQL_ARRAY(TRANSPOSE(SECT),"FMA_EVAL_SALES(LTM,0,,,\"PORTAGG\")")&lt;/Q&gt;&lt;R&gt;11&lt;/R&gt;&lt;C&gt;1&lt;/C&gt;&lt;D xsi:type="xsd:double"&gt;2.12089369151408&lt;/D&gt;&lt;D xsi:type="xsd:double"&gt;2.88961579384142&lt;/D&gt;&lt;D xsi:type="xsd:double"&gt;3.29123892039205&lt;/D&gt;&lt;D xsi:type="xsd:double"&gt;2.87270315048727&lt;/D&gt;&lt;D xsi:type="xsd:double"&gt;1.88195455944528&lt;/D&gt;&lt;D xsi:type="xsd:double"&gt;2.32003422016528&lt;/D&gt;&lt;D xsi:type="xsd:double"&gt;4.10464267956732&lt;/D&gt;&lt;D xsi:type="xsd:double"&gt;8.64800356656701&lt;/D&gt;&lt;D xsi:type="xsd:double"&gt;4.99554178982894&lt;/D&gt;&lt;D xsi:type="xsd:double"&gt;5.2394746178327&lt;/D&gt;&lt;D xsi:type="xsd:double"&gt;8.75104537034392&lt;/D&gt;&lt;/FQL&gt;&lt;FQL&gt;&lt;Q&gt;000001172^GET_FQL_ARRAY(TRANSPOSE(SECT),"FMA_EVAL_SALES(NTMA,0,,,\"PORTAGG\",\"MEANR\")")&lt;/Q&gt;&lt;R&gt;11&lt;/R&gt;&lt;C&gt;1&lt;/C&gt;&lt;D xsi:type="xsd:double"&gt;2.0483639551397&lt;/D&gt;&lt;D xsi:type="xsd:double"&gt;2.6674660558877&lt;/D&gt;&lt;D xsi:type="xsd:double"&gt;3.06096334938545&lt;/D&gt;&lt;D xsi:type="xsd:double"&gt;2.63792303939705&lt;/D&gt;&lt;D xsi:type="xsd:double"&gt;1.76258664128474&lt;/D&gt;&lt;D xsi:type="xsd:double"&gt;2.15134515209214&lt;/D&gt;&lt;D xsi:type="xsd:double"&gt;3.83145170644983&lt;/D&gt;&lt;D xsi:type="xsd:double"&gt;6.75369066970537&lt;/D&gt;&lt;D xsi:type="xsd:double"&gt;4.41160236817305&lt;/D&gt;&lt;D xsi:type="xsd:double"&gt;4.85588631340944&lt;/D&gt;&lt;D xsi:type="xsd:double"&gt;8.07722366439544&lt;/D&gt;&lt;/FQL&gt;&lt;FQL&gt;&lt;Q&gt;000001172^GET_FQL_ARRAY(TRANSPOSE(SECT),"FMA_EVAL_SALES(+1,0,,,\"PORTAGG\",\"MEANR\")")&lt;/Q&gt;&lt;R&gt;11&lt;/R&gt;&lt;C&gt;1&lt;/C&gt;&lt;D xsi:type="xsd:double"&gt;2.06205641391569&lt;/D&gt;&lt;D xsi:type="xsd:double"&gt;2.69652446357598&lt;/D&gt;&lt;D xsi:type="xsd:double"&gt;3.11435126490201&lt;/D&gt;&lt;D xsi:type="xsd:double"&gt;2.68263501669257&lt;/D&gt;&lt;D xsi:type="xsd:double"&gt;1.77967075392389&lt;/D&gt;&lt;D xsi:type="xsd:double"&gt;2.183621808283&lt;/D&gt;&lt;D xsi:type="xsd:double"&gt;3.87775627700294&lt;/D&gt;&lt;D xsi:type="xsd:double"&gt;6.99336858768368&lt;/D&gt;&lt;D xsi:type="xsd:double"&gt;4.50256895334862&lt;/D&gt;&lt;D xsi:type="xsd:double"&gt;4.91505298439006&lt;/D&gt;&lt;D xsi:type="xsd:double"&gt;8.20251638402393&lt;/D&gt;&lt;/FQL&gt;&lt;FQL&gt;&lt;Q&gt;000001172^GET_FQL_ARRAY(TRANSPOSE(SECT),"FMA_EVAL_SALES(+2,0,,,\"PORTAGG\",\"MEANR\")")&lt;/Q&gt;&lt;R&gt;11&lt;/R&gt;&lt;C&gt;1&lt;/C&gt;&lt;D xsi:type="xsd:double"&gt;2.00652588665751&lt;/D&gt;&lt;D xsi:type="xsd:double"&gt;2.57867647684019&lt;/D&gt;&lt;D xsi:type="xsd:double"&gt;2.8978336075293&lt;/D&gt;&lt;D xsi:type="xsd:double"&gt;2.50130310877187&lt;/D&gt;&lt;D xsi:type="xsd:double"&gt;1.71038518599843&lt;/D&gt;&lt;D xsi:type="xsd:double"&gt;2.05272203595338&lt;/D&gt;&lt;D xsi:type="xsd:double"&gt;3.68996551864867&lt;/D&gt;&lt;D xsi:type="xsd:double"&gt;6.02134147588274&lt;/D&gt;&lt;D xsi:type="xsd:double"&gt;4.13364891346993&lt;/D&gt;&lt;D xsi:type="xsd:double"&gt;4.67509926319087&lt;/D&gt;&lt;D xsi:type="xsd:double"&gt;7.69438479886393&lt;/D&gt;&lt;/FQL&gt;&lt;FQL&gt;&lt;Q&gt;000001172^GET_FQL_ARRAY(TRANSPOSE(SECT),"FMA_PBK(LTM,0,,,\"PORTAGG\",\"MEANR\")")&lt;/Q&gt;&lt;R&gt;11&lt;/R&gt;&lt;C&gt;1&lt;/C&gt;&lt;D xsi:type="xsd:double"&gt;2.62887562111634&lt;/D&gt;&lt;D xsi:type="xsd:double"&gt;3.24917101317053&lt;/D&gt;&lt;D xsi:type="xsd:double"&gt;6.94684848320222&lt;/D&gt;&lt;D xsi:type="xsd:double"&gt;8.16555006708369&lt;/D&gt;&lt;D xsi:type="xsd:double"&gt;6.99986415021603&lt;/D&gt;&lt;D xsi:type="xsd:double"&gt;4.8209128101196&lt;/D&gt;&lt;D xsi:type="xsd:double"&gt;2.08201491547966&lt;/D&gt;&lt;D xsi:type="xsd:double"&gt;11.4372551255643&lt;/D&gt;&lt;D xsi:type="xsd:double"&gt;5.16404571218756&lt;/D&gt;&lt;D xsi:type="xsd:double"&gt;2.4527596998944&lt;/D&gt;&lt;D xsi:type="xsd:double"&gt;3.06833071510603&lt;/D&gt;&lt;/FQL&gt;&lt;FQL&gt;&lt;Q&gt;000001172^GET_FQL_ARRAY(TRANSPOSE(SECT),"FMA_PBK(NTMA,0,,,\"PORTAGG\",\"MEANR\")")&lt;/Q&gt;&lt;R&gt;11&lt;/R&gt;&lt;C&gt;1&lt;/C&gt;&lt;D xsi:type="xsd:double"&gt;2.49734231561074&lt;/D&gt;&lt;D xsi:type="xsd:double"&gt;2.96356637371535&lt;/D&gt;&lt;D xsi:type="xsd:double"&gt;6.10790153865584&lt;/D&gt;&lt;D xsi:type="xsd:double"&gt;6.49472574885157&lt;/D&gt;&lt;D xsi:type="xsd:double"&gt;6.22432944241775&lt;/D&gt;&lt;D xsi:type="xsd:double"&gt;4.17143008391919&lt;/D&gt;&lt;D xsi:type="xsd:double"&gt;1.97473070705453&lt;/D&gt;&lt;D xsi:type="xsd:double"&gt;8.0997145161962&lt;/D&gt;&lt;D xsi:type="xsd:double"&gt;4.20308084423313&lt;/D&gt;&lt;D xsi:type="xsd:double"&gt;2.18380503475868&lt;/D&gt;&lt;D xsi:type="xsd:double"&gt;3.08183258349378&lt;/D&gt;&lt;/FQL&gt;&lt;FQL&gt;&lt;Q&gt;000001172^GET_FQL_ARRAY(TRANSPOSE(SECT),"FMA_PBK(+1,0,,,\"PORTAGG\",\"MEANR\")")&lt;/Q&gt;&lt;R&gt;11&lt;/R&gt;&lt;C&gt;1&lt;/C&gt;&lt;D xsi:type="xsd:double"&gt;2.52085833806377&lt;/D&gt;&lt;D xsi:type="xsd:double"&gt;3.02355230116708&lt;/D&gt;&lt;D xsi:type="xsd:double"&gt;6.28059740925254&lt;/D&gt;&lt;D xsi:type="xsd:double"&gt;6.79319168617494&lt;/D&gt;&lt;D xsi:type="xsd:double"&gt;6.35663384853692&lt;/D&gt;&lt;D xsi:type="xsd:double"&gt;4.28782433999748&lt;/D&gt;&lt;D xsi:type="xsd:double"&gt;2.00923516908634&lt;/D&gt;&lt;D xsi:type="xsd:double"&gt;8.64771296719872&lt;/D&gt;&lt;D xsi:type="xsd:double"&gt;4.37477599086777&lt;/D&gt;&lt;D xsi:type="xsd:double"&gt;2.21935962429544&lt;/D&gt;&lt;D xsi:type="xsd:double"&gt;3.06839295582032&lt;/D&gt;&lt;/FQL&gt;&lt;FQL&gt;&lt;Q&gt;000001172^GET_FQL_ARRAY(TRANSPOSE(SECT),"FMA_PBK(+2,0,,,\"PORTAGG\",\"MEANR\")")&lt;/Q&gt;&lt;R&gt;11&lt;/R&gt;&lt;C&gt;1&lt;/C&gt;&lt;D xsi:type="xsd:double"&gt;2.42548780255979&lt;/D&gt;&lt;D xsi:type="xsd:double"&gt;2.78027603983506&lt;/D&gt;&lt;D xsi:type="xsd:double"&gt;5.58021971183256&lt;/D&gt;&lt;D xsi:type="xsd:double"&gt;5.58274649591904&lt;/D&gt;&lt;D xsi:type="xsd:double"&gt;5.82006597927586&lt;/D&gt;&lt;D xsi:type="xsd:double"&gt;3.8157809681244&lt;/D&gt;&lt;D xsi:type="xsd:double"&gt;1.86930040640178&lt;/D&gt;&lt;D xsi:type="xsd:double"&gt;6.4252748047996&lt;/D&gt;&lt;D xsi:type="xsd:double"&gt;3.67845678507173&lt;/D&gt;&lt;D xsi:type="xsd:double"&gt;2.07516601117411&lt;/D&gt;&lt;D xsi:type="xsd:double"&gt;3.12289811249604&lt;/D&gt;&lt;/FQL&gt;&lt;FQL&gt;&lt;Q&gt;NOTICKER^SUBARRAY(SORT(TRANSPOSE((FLOAT_ARRAY)CONSTITUENTS[2]),2),0,10)&lt;/Q&gt;&lt;R&gt;10&lt;/R&gt;&lt;C&gt;1&lt;/C&gt;&lt;D xsi:type="xsd:double"&gt;0.044389&lt;/D&gt;&lt;D xsi:type="xsd:double"&gt;0.043349&lt;/D&gt;&lt;D xsi:type="xsd:double"&gt;0.039703&lt;/D&gt;&lt;D xsi:type="xsd:double"&gt;0.034716&lt;/D&gt;&lt;D xsi:type="xsd:double"&gt;0.034602&lt;/D&gt;&lt;D xsi:type="xsd:double"&gt;0.034168&lt;/D&gt;&lt;D xsi:type="xsd:double"&gt;0.033275&lt;/D&gt;&lt;D xsi:type="xsd:double"&gt;0.033251&lt;/D&gt;&lt;D xsi:type="xsd:double"&gt;0.032158&lt;/D&gt;&lt;D xsi:type="xsd:double"&gt;0.031893&lt;/D&gt;&lt;/FQL&gt;&lt;FQL&gt;&lt;Q&gt;000001172^GET_FQL_ARRAY(TRANSPOSE(SECT),"FMA_EVAL_EBIT(LTM,0,,,\"PORTAGG\")")&lt;/Q&gt;&lt;R&gt;11&lt;/R&gt;&lt;C&gt;1&lt;/C&gt;&lt;D xsi:type="xsd:double"&gt;19.5449356165702&lt;/D&gt;&lt;D xsi:type="xsd:double"&gt;20.2118956311051&lt;/D&gt;&lt;D xsi:type="xsd:double"&gt;25.0662553600559&lt;/D&gt;&lt;D xsi:type="xsd:double"&gt;26.4653743903139&lt;/D&gt;&lt;D xsi:type="xsd:double"&gt;20.070451115215&lt;/D&gt;&lt;D xsi:type="xsd:double"&gt;20.1997100520222&lt;/D&gt;&lt;D xsi:type="xsd:double"&gt;16.5275736429437&lt;/D&gt;&lt;D xsi:type="xsd:double"&gt;28.1870383543827&lt;/D&gt;&lt;D xsi:type="xsd:double"&gt;19.5207530013357&lt;/D&gt;&lt;D xsi:type="xsd:double"&gt;24.6255729369672&lt;/D&gt;&lt;D xsi:type="xsd:double"&gt;38.7455205846494&lt;/D&gt;&lt;/FQL&gt;&lt;FQL&gt;&lt;Q&gt;000001172^GET_FQL_ARRAY(TRANSPOSE(SECT),"FMA_EVAL_EBIT(NTMA,0,,,\"PORTAGG\",\"MEANR\")")&lt;/Q&gt;&lt;R&gt;11&lt;/R&gt;&lt;C&gt;1&lt;/C&gt;&lt;D xsi:type="xsd:double"&gt;15.439687500871&lt;/D&gt;&lt;D xsi:type="xsd:double"&gt;14.844523372741&lt;/D&gt;&lt;D xsi:type="xsd:double"&gt;19.8613342896927&lt;/D&gt;&lt;D xsi:type="xsd:double"&gt;21.3752634130002&lt;/D&gt;&lt;D xsi:type="xsd:double"&gt;17.9696228425573&lt;/D&gt;&lt;D xsi:type="xsd:double"&gt;15.3917601256026&lt;/D&gt;&lt;D xsi:type="xsd:double"&gt;15.7197063775353&lt;/D&gt;&lt;D xsi:type="xsd:double"&gt;17.1406549313262&lt;/D&gt;&lt;D xsi:type="xsd:double"&gt;16.7888694489468&lt;/D&gt;&lt;D xsi:type="xsd:double"&gt;19.4022978769146&lt;/D&gt;&lt;D xsi:type="xsd:double"&gt;31.6776040621641&lt;/D&gt;&lt;/FQL&gt;&lt;FQL&gt;&lt;Q&gt;000001172^GET_FQL_ARRAY(TRANSPOSE(SECT),"FMA_EVAL_EBIT(+1,0,,,\"PORTAGG\",\"MEANR\")")&lt;/Q&gt;&lt;R&gt;11&lt;/R&gt;&lt;C&gt;1&lt;/C&gt;&lt;D xsi:type="xsd:double"&gt;15.6992124416732&lt;/D&gt;&lt;D xsi:type="xsd:double"&gt;15.211585767613&lt;/D&gt;&lt;D xsi:type="xsd:double"&gt;20.510310616026&lt;/D&gt;&lt;D xsi:type="xsd:double"&gt;22.1239612144349&lt;/D&gt;&lt;D xsi:type="xsd:double"&gt;18.2611321452849&lt;/D&gt;&lt;D xsi:type="xsd:double"&gt;15.8020574714356&lt;/D&gt;&lt;D xsi:type="xsd:double"&gt;16.0977887918138&lt;/D&gt;&lt;D xsi:type="xsd:double"&gt;17.9504552288066&lt;/D&gt;&lt;D xsi:type="xsd:double"&gt;17.2977451475326&lt;/D&gt;&lt;D xsi:type="xsd:double"&gt;19.9120028820257&lt;/D&gt;&lt;D xsi:type="xsd:double"&gt;32.4054205714919&lt;/D&gt;&lt;/FQL&gt;&lt;FQL&gt;&lt;Q&gt;000001172^GET_FQL_ARRAY(TRANSPOSE(SECT),"FMA_EVAL_EBIT(+2,0,,,\"PORTAGG\",\"MEANR\")")&lt;/Q&gt;&lt;R&gt;11&lt;/R&gt;&lt;C&gt;1&lt;/C&gt;&lt;D xsi:type="xsd:double"&gt;14.6466946261977&lt;/D&gt;&lt;D xsi:type="xsd:double"&gt;13.7229438328541&lt;/D&gt;&lt;D xsi:type="xsd:double"&gt;17.8783510703412&lt;/D&gt;&lt;D xsi:type="xsd:double"&gt;19.0875756863942&lt;/D&gt;&lt;D xsi:type="xsd:double"&gt;17.0788999731119&lt;/D&gt;&lt;D xsi:type="xsd:double"&gt;14.1380737911131&lt;/D&gt;&lt;D xsi:type="xsd:double"&gt;14.564454556129&lt;/D&gt;&lt;D xsi:type="xsd:double"&gt;14.6662651334692&lt;/D&gt;&lt;D xsi:type="xsd:double"&gt;15.2339714810459&lt;/D&gt;&lt;D xsi:type="xsd:double"&gt;17.844865916853&lt;/D&gt;&lt;D xsi:type="xsd:double"&gt;29.4537202836626&lt;/D&gt;&lt;/FQL&gt;&lt;FQL&gt;&lt;Q&gt;NOTICKER^SUBARRAY(SORT_INDIRECT(TRANSPOSE(CONSTITUENTS[0]),TRANSPOSE((FLOAT_ARRAY)CONSTITUENTS[2]),2),0,10)&lt;/Q&gt;&lt;R&gt;10&lt;/R&gt;&lt;C&gt;1&lt;/C&gt;&lt;D xsi:type="xsd:string"&gt;LYV-US&lt;/D&gt;&lt;D xsi:type="xsd:string"&gt;FOX-US&lt;/D&gt;&lt;D xsi:type="xsd:string"&gt;AIG-US&lt;/D&gt;&lt;D xsi:type="xsd:string"&gt;WBD-US&lt;/D&gt;&lt;D xsi:type="xsd:string"&gt;PSKY-US&lt;/D&gt;&lt;D xsi:type="xsd:string"&gt;FOXA-US&lt;/D&gt;&lt;D xsi:type="xsd:string"&gt;OMC-US&lt;/D&gt;&lt;D xsi:type="xsd:string"&gt;COF-US&lt;/D&gt;&lt;D xsi:type="xsd:string"&gt;MO-US&lt;/D&gt;&lt;D xsi:type="xsd:string"&gt;F-US&lt;/D&gt;&lt;/FQL&gt;&lt;FQL&gt;&lt;Q&gt;NOTICKER^SUBARRAY(SORT_INDIRECT(TRANSPOSE(CONSTITUENTS[1]),TRANSPOSE((FLOAT_ARRAY)CONSTITUENTS[2]),2),0,10)&lt;/Q&gt;&lt;R&gt;10&lt;/R&gt;&lt;C&gt;1&lt;/C&gt;&lt;D xsi:type="xsd:string"&gt;Live Nation Entertainment, Inc.&lt;/D&gt;&lt;D xsi:type="xsd:string"&gt;Fox Corporation Class B&lt;/D&gt;&lt;D xsi:type="xsd:string"&gt;American International Group, Inc.&lt;/D&gt;&lt;D xsi:type="xsd:string"&gt;Warner Bros. Discovery, Inc. Series A&lt;/D&gt;&lt;D xsi:type="xsd:string"&gt;Paramount Skydance Corporation Class B&lt;/D&gt;&lt;D xsi:type="xsd:string"&gt;Fox Corporation Class A&lt;/D&gt;&lt;D xsi:type="xsd:string"&gt;Omnicom Group Inc&lt;/D&gt;&lt;D xsi:type="xsd:string"&gt;Capital One Financial Corp&lt;/D&gt;&lt;D xsi:type="xsd:string"&gt;Altria Group, Inc.&lt;/D&gt;&lt;D xsi:type="xsd:string"&gt;Ford Motor Company&lt;/D&gt;&lt;/FQL&gt;&lt;FQL&gt;&lt;Q&gt;000001172^GET_FQL_ARRAY(TRANSPOSE(SECT),"FMA_PEX(LTM,0,,,\"PORTAGG\")")&lt;/Q&gt;&lt;R&gt;11&lt;/R&gt;&lt;C&gt;1&lt;/C&gt;&lt;D xsi:type="xsd:double"&gt;22.4497278336909&lt;/D&gt;&lt;D xsi:type="xsd:double"&gt;26.1780976200925&lt;/D&gt;&lt;D xsi:type="xsd:double"&gt;27.9001338953238&lt;/D&gt;&lt;D xsi:type="xsd:double"&gt;31.3475987336706&lt;/D&gt;&lt;D xsi:type="xsd:double"&gt;24.6664730660722&lt;/D&gt;&lt;D xsi:type="xsd:double"&gt;22.4467835756885&lt;/D&gt;&lt;D xsi:type="xsd:double"&gt;16.8946029503326&lt;/D&gt;&lt;D xsi:type="xsd:double"&gt;32.9193639794381&lt;/D&gt;&lt;D xsi:type="xsd:double"&gt;22.2578027390621&lt;/D&gt;&lt;D xsi:type="xsd:double"&gt;22.7038823142602&lt;/D&gt;&lt;D xsi:type="xsd:double"&gt;33.9562107260425&lt;/D&gt;&lt;/FQL&gt;&lt;FQL&gt;&lt;Q&gt;000001172^GET_FQL_ARRAY(TRANSPOSE(SECT),"FMA_PE(NTMA,0,,,\"PORTAGG\",\"MEANR\")")&lt;/Q&gt;&lt;R&gt;11&lt;/R&gt;&lt;C&gt;1&lt;/C&gt;&lt;D xsi:type="xsd:double"&gt;19.6421177538751&lt;/D&gt;&lt;D xsi:type="xsd:double"&gt;18.8593786390058&lt;/D&gt;&lt;D xsi:type="xsd:double"&gt;24.2842359679391&lt;/D&gt;&lt;D xsi:type="xsd:double"&gt;25.5411459396901&lt;/D&gt;&lt;D xsi:type="xsd:double"&gt;21.9666264738776&lt;/D&gt;&lt;D xsi:type="xsd:double"&gt;17.1950408428851&lt;/D&gt;&lt;D xsi:type="xsd:double"&gt;14.339878947085&lt;/D&gt;&lt;D xsi:type="xsd:double"&gt;20.8778925649571&lt;/D&gt;&lt;D xsi:type="xsd:double"&gt;19.9537971589061&lt;/D&gt;&lt;D xsi:type="xsd:double"&gt;18.7196336084837&lt;/D&gt;&lt;D xsi:type="xsd:double"&gt;17.4337206789753&lt;/D&gt;&lt;/FQL&gt;&lt;FQL&gt;&lt;Q&gt;000001172^GET_FQL_ARRAY(TRANSPOSE(SECT),"FMA_PE(+1,0,,,\"PORTAGG\",\"MEANR\")")&lt;/Q&gt;&lt;R&gt;11&lt;/R&gt;&lt;C&gt;1&lt;/C&gt;&lt;D xsi:type="xsd:double"&gt;20.1528487483512&lt;/D&gt;&lt;D xsi:type="xsd:double"&gt;19.4509547430402&lt;/D&gt;&lt;D xsi:type="xsd:double"&gt;25.1678439054217&lt;/D&gt;&lt;D xsi:type="xsd:double"&gt;26.4834649028492&lt;/D&gt;&lt;D xsi:type="xsd:double"&gt;22.374999927084&lt;/D&gt;&lt;D xsi:type="xsd:double"&gt;17.7389557508058&lt;/D&gt;&lt;D xsi:type="xsd:double"&gt;14.7156020024725&lt;/D&gt;&lt;D xsi:type="xsd:double"&gt;21.9122164264296&lt;/D&gt;&lt;D xsi:type="xsd:double"&gt;20.6353652439017&lt;/D&gt;&lt;D xsi:type="xsd:double"&gt;19.1214887415429&lt;/D&gt;&lt;D xsi:type="xsd:double"&gt;17.7093406676105&lt;/D&gt;&lt;/FQL&gt;&lt;FQL&gt;&lt;Q&gt;000001172^GET_FQL_ARRAY(TRANSPOSE(SECT),"FMA_PE(+2,0,,,\"PORTAGG\",\"MEANR\")")&lt;/Q&gt;&lt;R&gt;11&lt;/R&gt;&lt;C&gt;1&lt;/C&gt;&lt;D xsi:type="xsd:double"&gt;18.0815508263091&lt;/D&gt;&lt;D xsi:type="xsd:double"&gt;17.0517849877895&lt;/D&gt;&lt;D xsi:type="xsd:double"&gt;21.5843228256313&lt;/D&gt;&lt;D xsi:type="xsd:double"&gt;22.6618379967038&lt;/D&gt;&lt;D xsi:type="xsd:double"&gt;20.7188187001915&lt;/D&gt;&lt;D xsi:type="xsd:double"&gt;15.5330786242387&lt;/D&gt;&lt;D xsi:type="xsd:double"&gt;13.1918362778454&lt;/D&gt;&lt;D xsi:type="xsd:double"&gt;17.7174585437912&lt;/D&gt;&lt;D xsi:type="xsd:double"&gt;17.8712280103083&lt;/D&gt;&lt;D xsi:type="xsd:double"&gt;17.4917429241361&lt;/D&gt;&lt;D xsi:type="xsd:double"&gt;16.5915484914788&lt;/D&gt;&lt;/FQL&gt;&lt;FQL&gt;&lt;Q&gt;000001172^SUBARRAY(SORT_INDIRECT(TRANSPOSE(SECTOR[1].VALUE),TRANSPOSE(SECTOR[2].VALUE),2),0,10)&lt;/Q&gt;&lt;R&gt;10&lt;/R&gt;&lt;C&gt;1&lt;/C&gt;&lt;D xsi:type="xsd:string"&gt;Information Technology&lt;/D&gt;&lt;D xsi:type="xsd:string"&gt;Financials&lt;/D&gt;&lt;D xsi:type="xsd:string"&gt;Communication Services&lt;/D&gt;&lt;D xsi:type="xsd:string"&gt;Consumer Discretionary&lt;/D&gt;&lt;D xsi:type="xsd:string"&gt;Health Care&lt;/D&gt;&lt;D xsi:type="xsd:string"&gt;Industrials&lt;/D&gt;&lt;D xsi:type="xsd:string"&gt;Consumer Staples&lt;/D&gt;&lt;D xsi:type="xsd:string"&gt;Energy&lt;/D&gt;&lt;D xsi:type="xsd:string"&gt;Utilities&lt;/D&gt;&lt;D xsi:type="xsd:string"&gt;Materials&lt;/D&gt;&lt;/FQL&gt;&lt;FQL&gt;&lt;Q&gt;NOTICKER^SUBARRAY(SORT(TRANSPOSE(SECTOR[2].VALUE),2),0,10)&lt;/Q&gt;&lt;R&gt;10&lt;/R&gt;&lt;C&gt;1&lt;/C&gt;&lt;D xsi:type="xsd:double"&gt;18396371.5482445&lt;/D&gt;&lt;D xsi:type="xsd:double"&gt;7041255.1300899&lt;/D&gt;&lt;D xsi:type="xsd:double"&gt;5749541.0517401&lt;/D&gt;&lt;D xsi:type="xsd:double"&gt;5514747.2835574&lt;/D&gt;&lt;D xsi:type="xsd:double"&gt;5292526.1196428&lt;/D&gt;&lt;D xsi:type="xsd:double"&gt;5041450.5204891&lt;/D&gt;&lt;D xsi:type="xsd:double"&gt;2937087.9986894&lt;/D&gt;&lt;D xsi:type="xsd:double"&gt;2244271.9759676&lt;/D&gt;&lt;D xsi:type="xsd:double"&gt;1420390.063584&lt;/D&gt;&lt;D xsi:type="xsd:double"&gt;1169765.816993&lt;/D&gt;&lt;/FQL&gt;&lt;FQL&gt;&lt;Q&gt;NDSN^CS_EVENT_DESC_N("ER",4)&lt;/Q&gt;&lt;R&gt;1&lt;/R&gt;&lt;C&gt;1&lt;/C&gt;&lt;D xsi:type="xsd:string"&gt;Q1 2027 Earnings Release (Projected)&lt;/D&gt;&lt;/FQL&gt;&lt;FQL&gt;&lt;Q&gt;AZO^CS_EVENT_DESC_N("ER",4)&lt;/Q&gt;&lt;R&gt;1&lt;/R&gt;&lt;C&gt;1&lt;/C&gt;&lt;D xsi:type="xsd:string"&gt;Q2 2027 Earnings Release (Projected)&lt;/D&gt;&lt;/FQL&gt;&lt;FQL&gt;&lt;Q&gt;NDSN^CS_EVENT_DATEJ_N("ER",4)&lt;/Q&gt;&lt;R&gt;1&lt;/R&gt;&lt;C&gt;1&lt;/C&gt;&lt;D xsi:type="xsd:long"&gt;46442&lt;/D&gt;&lt;/FQL&gt;&lt;FQL&gt;&lt;Q&gt;NDSN^CS_EVENT_TIME_N("ER",4)&lt;/Q&gt;&lt;R&gt;1&lt;/R&gt;&lt;C&gt;1&lt;/C&gt;&lt;D xsi:type="xsd:string"&gt;Unspecified&lt;/D&gt;&lt;/FQL&gt;&lt;FQL&gt;&lt;Q&gt;FOX^CS_EVENT_DATEJ_N("ER",4)&lt;/Q&gt;&lt;R&gt;1&lt;/R&gt;&lt;C&gt;1&lt;/C&gt;&lt;D xsi:type="xsd:long"&gt;46428&lt;/D&gt;&lt;/FQL&gt;&lt;FQL&gt;&lt;Q&gt;FOX^CS_EVENT_TIME_N("ER",4)&lt;/Q&gt;&lt;R&gt;1&lt;/R&gt;&lt;C&gt;1&lt;/C&gt;&lt;D xsi:type="xsd:string"&gt;Unspecified&lt;/D&gt;&lt;/FQL&gt;&lt;FQL&gt;&lt;Q&gt;AZO^CS_EVENT_DATEJ_N("ER",4)&lt;/Q&gt;&lt;R&gt;1&lt;/R&gt;&lt;C&gt;1&lt;/C&gt;&lt;D xsi:type="xsd:long"&gt;46448&lt;/D&gt;&lt;/FQL&gt;&lt;FQL&gt;&lt;Q&gt;A^CS_EVENT_DATEJ_N("ER",4)&lt;/Q&gt;&lt;R&gt;1&lt;/R&gt;&lt;C&gt;1&lt;/C&gt;&lt;D xsi:type="xsd:long"&gt;46448&lt;/D&gt;&lt;/FQL&gt;&lt;FQL&gt;&lt;Q&gt;PANW^CS_EVENT_DATEJ_N("ER",4)&lt;/Q&gt;&lt;R&gt;1&lt;/R&gt;&lt;C&gt;1&lt;/C&gt;&lt;D xsi:type="xsd:long"&gt;46441&lt;/D&gt;&lt;/FQL&gt;&lt;FQL&gt;&lt;Q&gt;A^CS_EVENT_TIME_N("ER",4)&lt;/Q&gt;&lt;R&gt;1&lt;/R&gt;&lt;C&gt;1&lt;/C&gt;&lt;D xsi:type="xsd:string"&gt;Unspecified&lt;/D&gt;&lt;/FQL&gt;&lt;FQL&gt;&lt;Q&gt;A^CS_EVENT_DESC_N("ER",4)&lt;/Q&gt;&lt;R&gt;1&lt;/R&gt;&lt;C&gt;1&lt;/C&gt;&lt;D xsi:type="xsd:string"&gt;Q1 2027 Earnings Release (Projected)&lt;/D&gt;&lt;/FQL&gt;&lt;FQL&gt;&lt;Q&gt;PANW^CS_EVENT_TIME_N("ER",4)&lt;/Q&gt;&lt;R&gt;1&lt;/R&gt;&lt;C&gt;1&lt;/C&gt;&lt;D xsi:type="xsd:string"&gt;Unspecified&lt;/D&gt;&lt;/FQL&gt;&lt;FQL&gt;&lt;Q&gt;PANW^CS_EVENT_DESC_N("ER",4)&lt;/Q&gt;&lt;R&gt;1&lt;/R&gt;&lt;C&gt;1&lt;/C&gt;&lt;D xsi:type="xsd:string"&gt;Q2 2027 Earnings Release (Projected)&lt;/D&gt;&lt;/FQL&gt;&lt;FQL&gt;&lt;Q&gt;KHC^CS_EVENT_TIME_N("ER",4)&lt;/Q&gt;&lt;R&gt;1&lt;/R&gt;&lt;C&gt;1&lt;/C&gt;&lt;D xsi:type="xsd:string"&gt;Unspecified&lt;/D&gt;&lt;/FQL&gt;&lt;FQL&gt;&lt;Q&gt;KHC^CS_EVENT_DESC_N("ER",4)&lt;/Q&gt;&lt;R&gt;1&lt;/R&gt;&lt;C&gt;1&lt;/C&gt;&lt;D xsi:type="xsd:string"&gt;Q4 2026 Earnings Release (Projected)&lt;/D&gt;&lt;/FQL&gt;&lt;FQL&gt;&lt;Q&gt;UBER^CS_EVENT_TIME_N("ER",4)&lt;/Q&gt;&lt;R&gt;1&lt;/R&gt;&lt;C&gt;1&lt;/C&gt;&lt;D xsi:type="xsd:string"&gt;Unspecified&lt;/D&gt;&lt;/FQL&gt;&lt;FQL&gt;&lt;Q&gt;UBER^CS_EVENT_DESC_N("ER",4)&lt;/Q&gt;&lt;R&gt;1&lt;/R&gt;&lt;C&gt;1&lt;/C&gt;&lt;D xsi:type="xsd:string"&gt;Q4 2026 Earnings Release (Projected)&lt;/D&gt;&lt;/FQL&gt;&lt;FQL&gt;&lt;Q&gt;GIS^CS_EVENT_DATEJ_N("ER",4)&lt;/Q&gt;&lt;R&gt;1&lt;/R&gt;&lt;C&gt;1&lt;/C&gt;&lt;D xsi:type="xsd:long"&gt;46470&lt;/D&gt;&lt;/FQL&gt;&lt;FQL&gt;&lt;Q&gt;GIS^CS_EVENT_TIME_N("ER",4)&lt;/Q&gt;&lt;R&gt;1&lt;/R&gt;&lt;C&gt;1&lt;/C&gt;&lt;D xsi:type="xsd:string"&gt;Unspecified&lt;/D&gt;&lt;/FQL&gt;&lt;FQL&gt;&lt;Q&gt;GIS^CS_EVENT_DESC_N("ER",4)&lt;/Q&gt;&lt;R&gt;1&lt;/R&gt;&lt;C&gt;1&lt;/C&gt;&lt;D xsi:type="xsd:string"&gt;Q3 2027 Earnings Release (Projected)&lt;/D&gt;&lt;/FQL&gt;&lt;FQL&gt;&lt;Q&gt;MU^CS_EVENT_DATEJ_N("ER",4)&lt;/Q&gt;&lt;R&gt;1&lt;/R&gt;&lt;C&gt;1&lt;/C&gt;&lt;D xsi:type="xsd:long"&gt;46476&lt;/D&gt;&lt;/FQL&gt;&lt;FQL&gt;&lt;Q&gt;MU^CS_EVENT_TIME_N("ER",4)&lt;/Q&gt;&lt;R&gt;1&lt;/R&gt;&lt;C&gt;1&lt;/C&gt;&lt;D xsi:type="xsd:string"&gt;Unspecified&lt;/D&gt;&lt;/FQL&gt;&lt;FQL&gt;&lt;Q&gt;MU^CS_EVENT_DESC_N("ER",4)&lt;/Q&gt;&lt;R&gt;1&lt;/R&gt;&lt;C&gt;1&lt;/C&gt;&lt;D xsi:type="xsd:string"&gt;Q2 2027 Earnings Release (Projected)&lt;/D&gt;&lt;/FQL&gt;&lt;FQL&gt;&lt;Q&gt;PAYX^CS_EVENT_DATEJ_N("ER",4)&lt;/Q&gt;&lt;R&gt;1&lt;/R&gt;&lt;C&gt;1&lt;/C&gt;&lt;D xsi:type="xsd:long"&gt;46477&lt;/D&gt;&lt;/FQL&gt;&lt;FQL&gt;&lt;Q&gt;PAYX^CS_EVENT_TIME_N("ER",4)&lt;/Q&gt;&lt;R&gt;1&lt;/R&gt;&lt;C&gt;1&lt;/C&gt;&lt;D xsi:type="xsd:string"&gt;Unspecified&lt;/D&gt;&lt;/FQL&gt;&lt;FQL&gt;&lt;Q&gt;PAYX^CS_EVENT_DESC_N("ER",4)&lt;/Q&gt;&lt;R&gt;1&lt;/R&gt;&lt;C&gt;1&lt;/C&gt;&lt;D xsi:type="xsd:string"&gt;Q3 2027 Earnings Release (Projected)&lt;/D&gt;&lt;/FQL&gt;&lt;FQL&gt;&lt;Q&gt;CTAS^CS_EVENT_DATEJ_N("ER",4)&lt;/Q&gt;&lt;R&gt;1&lt;/R&gt;&lt;C&gt;1&lt;/C&gt;&lt;D xsi:type="xsd:long"&gt;46477&lt;/D&gt;&lt;/FQL&gt;&lt;FQL&gt;&lt;Q&gt;CTAS^CS_EVENT_TIME_N("ER",4)&lt;/Q&gt;&lt;R&gt;1&lt;/R&gt;&lt;C&gt;1&lt;/C&gt;&lt;D xsi:type="xsd:string"&gt;Unspecified&lt;/D&gt;&lt;/FQL&gt;&lt;FQL&gt;&lt;Q&gt;CTAS^CS_EVENT_DESC_N("ER",4)&lt;/Q&gt;&lt;R&gt;1&lt;/R&gt;&lt;C&gt;1&lt;/C&gt;&lt;D xsi:type="xsd:string"&gt;Q3 2027 Earnings Release (Projected)&lt;/D&gt;&lt;/FQL&gt;&lt;FQL&gt;&lt;Q&gt;AON^CS_EVENT_DATEJ_N("ER",4)&lt;/Q&gt;&lt;R&gt;1&lt;/R&gt;&lt;C&gt;1&lt;/C&gt;&lt;D xsi:type="xsd:long"&gt;46500&lt;/D&gt;&lt;/FQL&gt;&lt;FQL&gt;&lt;Q&gt;AON^CS_EVENT_TIME_N("ER",4)&lt;/Q&gt;&lt;R&gt;1&lt;/R&gt;&lt;C&gt;1&lt;/C&gt;&lt;D xsi:type="xsd:string"&gt;Unspecified&lt;/D&gt;&lt;/FQL&gt;&lt;FQL&gt;&lt;Q&gt;AON^CS_EVENT_DESC_N("ER",4)&lt;/Q&gt;&lt;R&gt;1&lt;/R&gt;&lt;C&gt;1&lt;/C&gt;&lt;D xsi:type="xsd:string"&gt;Q1 2027 Earnings Release (Projected)&lt;/D&gt;&lt;/FQL&gt;&lt;FQL&gt;&lt;Q&gt;IQV^CS_EVENT_DATEJ_N("ER",4)&lt;/Q&gt;&lt;R&gt;0&lt;/R&gt;&lt;C&gt;0&lt;/C&gt;&lt;/FQL&gt;&lt;FQL&gt;&lt;Q&gt;IQV^CS_EVENT_TIME_N("ER",4)&lt;/Q&gt;&lt;R&gt;0&lt;/R&gt;&lt;C&gt;0&lt;/C&gt;&lt;/FQL&gt;&lt;FQL&gt;&lt;Q&gt;IQV^CS_EVENT_DESC_N("ER",4)&lt;/Q&gt;&lt;R&gt;0&lt;/R&gt;&lt;C&gt;0&lt;/C&gt;&lt;/FQL&gt;&lt;FQL&gt;&lt;Q&gt;IT^CS_EVENT_DATEJ_N("ER",4)&lt;/Q&gt;&lt;R&gt;0&lt;/R&gt;&lt;C&gt;0&lt;/C&gt;&lt;/FQL&gt;&lt;FQL&gt;&lt;Q&gt;IT^CS_EVENT_TIME_N("ER",4)&lt;/Q&gt;&lt;R&gt;0&lt;/R&gt;&lt;C&gt;0&lt;/C&gt;&lt;/FQL&gt;&lt;FQL&gt;&lt;Q&gt;IT^CS_EVENT_DESC_N("ER",4)&lt;/Q&gt;&lt;R&gt;0&lt;/R&gt;&lt;C&gt;0&lt;/C&gt;&lt;/FQL&gt;&lt;FQL&gt;&lt;Q&gt;AZO^CS_EVENT_TIME_N("ER",4)&lt;/Q&gt;&lt;R&gt;1&lt;/R&gt;&lt;C&gt;1&lt;/C&gt;&lt;D xsi:type="xsd:string"&gt;Unspecified&lt;/D&gt;&lt;/FQL&gt;&lt;FQL&gt;&lt;Q&gt;MKC^CS_EVENT_TIME_N("ER",4)&lt;/Q&gt;&lt;R&gt;1&lt;/R&gt;&lt;C&gt;1&lt;/C&gt;&lt;D xsi:type="xsd:string"&gt;Unspecified&lt;/D&gt;&lt;/FQL&gt;&lt;FQL&gt;&lt;Q&gt;MKC^CS_EVENT_DESC_N("ER",4)&lt;/Q&gt;&lt;R&gt;1&lt;/R&gt;&lt;C&gt;1&lt;/C&gt;&lt;D xsi:type="xsd:string"&gt;Q1 2027 Earnings Release (Projected)&lt;/D&gt;&lt;/FQL&gt;&lt;FQL&gt;&lt;Q&gt;NKE^CS_EVENT_TIME_N("ER",4)&lt;/Q&gt;&lt;R&gt;1&lt;/R&gt;&lt;C&gt;1&lt;/C&gt;&lt;D xsi:type="xsd:string"&gt;Unspecified&lt;/D&gt;&lt;/FQL&gt;&lt;FQL&gt;&lt;Q&gt;NKE^CS_EVENT_DESC_N("ER",4)&lt;/Q&gt;&lt;R&gt;1&lt;/R&gt;&lt;C&gt;1&lt;/C&gt;&lt;D xsi:type="xsd:string"&gt;Q3 2027 Earnings Release (Projected)&lt;/D&gt;&lt;/FQL&gt;&lt;FQL&gt;&lt;Q&gt;CCL^CS_EVENT_TIME_N("ER",4)&lt;/Q&gt;&lt;R&gt;1&lt;/R&gt;&lt;C&gt;1&lt;/C&gt;&lt;D xsi:type="xsd:string"&gt;Unspecified&lt;/D&gt;&lt;/FQL&gt;&lt;FQL&gt;&lt;Q&gt;CCL^CS_EVENT_DESC_N("ER",4)&lt;/Q&gt;&lt;R&gt;1&lt;/R&gt;&lt;C&gt;1&lt;/C&gt;&lt;D xsi:type="xsd:string"&gt;Q1 2027 Earnings Release (Projected)&lt;/D&gt;&lt;/FQL&gt;&lt;FQL&gt;&lt;Q&gt;VTR^CS_EVENT_DATEJ_N("ER",4)&lt;/Q&gt;&lt;R&gt;1&lt;/R&gt;&lt;C&gt;1&lt;/C&gt;&lt;D xsi:type="xsd:long"&gt;46435&lt;/D&gt;&lt;/FQL&gt;&lt;FQL&gt;&lt;Q&gt;IDXX^CS_EVENT_DATEJ_N("ER",4)&lt;/Q&gt;&lt;R&gt;0&lt;/R&gt;&lt;C&gt;0&lt;/C&gt;&lt;/FQL&gt;&lt;FQL&gt;&lt;Q&gt;TPL^CS_EVENT_DATEJ_N("ER",4)&lt;/Q&gt;&lt;R&gt;1&lt;/R&gt;&lt;C&gt;1&lt;/C&gt;&lt;D xsi:type="xsd:long"&gt;46442&lt;/D&gt;&lt;/FQL&gt;&lt;FQL&gt;&lt;Q&gt;TPR^CS_EVENT_DATEJ_N("ER",4)&lt;/Q&gt;&lt;R&gt;1&lt;/R&gt;&lt;C&gt;1&lt;/C&gt;&lt;D xsi:type="xsd:long"&gt;46429&lt;/D&gt;&lt;/FQL&gt;&lt;FQL&gt;&lt;Q&gt;TPR^CS_EVENT_TIME_N("ER",4)&lt;/Q&gt;&lt;R&gt;1&lt;/R&gt;&lt;C&gt;1&lt;/C&gt;&lt;D xsi:type="xsd:string"&gt;Unspecified&lt;/D&gt;&lt;/FQL&gt;&lt;FQL&gt;&lt;Q&gt;PSKY^CS_EVENT_TIME_N("ER",4)&lt;/Q&gt;&lt;R&gt;0&lt;/R&gt;&lt;C&gt;0&lt;/C&gt;&lt;/FQL&gt;&lt;FQL&gt;&lt;Q&gt;GEHC^CS_EVENT_TIME_N("ER",4)&lt;/Q&gt;&lt;R&gt;0&lt;/R&gt;&lt;C&gt;0&lt;/C&gt;&lt;/FQL&gt;&lt;FQL&gt;&lt;Q&gt;GEN^CS_EVENT_TIME_N("ER",4)&lt;/Q&gt;&lt;R&gt;1&lt;/R&gt;&lt;C&gt;1&lt;/C&gt;&lt;D xsi:type="xsd:string"&gt;Unspecified&lt;/D&gt;&lt;/FQL&gt;&lt;FQL&gt;&lt;Q&gt;FDX^CS_EVENT_DATEJ_N("ER",4)&lt;/Q&gt;&lt;R&gt;1&lt;/R&gt;&lt;C&gt;1&lt;/C&gt;&lt;D xsi:type="xsd:long"&gt;46464&lt;/D&gt;&lt;/FQL&gt;&lt;FQL&gt;&lt;Q&gt;MKC^CS_EVENT_DATEJ_N("ER",4)&lt;/Q&gt;&lt;R&gt;1&lt;/R&gt;&lt;C&gt;1&lt;/C&gt;&lt;D xsi:type="xsd:long"&gt;46476&lt;/D&gt;&lt;/FQL&gt;&lt;FQL&gt;&lt;Q&gt;NKE^CS_EVENT_DATEJ_N("ER",4)&lt;/Q&gt;&lt;R&gt;1&lt;/R&gt;&lt;C&gt;1&lt;/C&gt;&lt;D xsi:type="xsd:long"&gt;46471&lt;/D&gt;&lt;/FQL&gt;&lt;FQL&gt;&lt;Q&gt;CCL^CS_EVENT_DATEJ_N("ER",4)&lt;/Q&gt;&lt;R&gt;1&lt;/R&gt;&lt;C&gt;1&lt;/C&gt;&lt;D xsi:type="xsd:long"&gt;46477&lt;/D&gt;&lt;/FQL&gt;&lt;FQL&gt;&lt;Q&gt;ACN^CS_EVENT_DESC_N("ER",4)&lt;/Q&gt;&lt;R&gt;1&lt;/R&gt;&lt;C&gt;1&lt;/C&gt;&lt;D xsi:type="xsd:string"&gt;Q2 2027 Earnings Release (Projected)&lt;/D&gt;&lt;/FQL&gt;&lt;FQL&gt;&lt;Q&gt;JBL^CS_EVENT_DESC_N("ER",4)&lt;/Q&gt;&lt;R&gt;1&lt;/R&gt;&lt;C&gt;1&lt;/C&gt;&lt;D xsi:type="xsd:string"&gt;Q2 2027 Earnings Release (Projected)&lt;/D&gt;&lt;/FQL&gt;&lt;FQL&gt;&lt;Q&gt;DRI^CS_EVENT_DESC_N("ER",4)&lt;/Q&gt;&lt;R&gt;1&lt;/R&gt;&lt;C&gt;1&lt;/C&gt;&lt;D xsi:type="xsd:string"&gt;Q3 2027 Earnings Release (Projected)&lt;/D&gt;&lt;/FQL&gt;&lt;FQL&gt;&lt;Q&gt;FDS^CS_EVENT_DESC_N("ER",4)&lt;/Q&gt;&lt;R&gt;1&lt;/R&gt;&lt;C&gt;1&lt;/C&gt;&lt;D xsi:type="xsd:string"&gt;Q2 2027 Earnings Release (Projected)&lt;/D&gt;&lt;/FQL&gt;&lt;FQL&gt;&lt;Q&gt;LEN^CS_EVENT_DESC_N("ER",4)&lt;/Q&gt;&lt;R&gt;1&lt;/R&gt;&lt;C&gt;1&lt;/C&gt;&lt;D xsi:type="xsd:string"&gt;Q1 2027 Earnings Release (Projected)&lt;/D&gt;&lt;/FQL&gt;&lt;FQL&gt;&lt;Q&gt;FDX^CS_EVENT_DESC_N("ER",4)&lt;/Q&gt;&lt;R&gt;1&lt;/R&gt;&lt;C&gt;1&lt;/C&gt;&lt;D xsi:type="xsd:string"&gt;Q3 2027 Earnings Release (Projected)&lt;/D&gt;&lt;/FQL&gt;&lt;FQL&gt;&lt;Q&gt;FDX^CS_EVENT_TIME_N("ER",4)&lt;/Q&gt;&lt;R&gt;1&lt;/R&gt;&lt;C&gt;1&lt;/C&gt;&lt;D xsi:type="xsd:string"&gt;Unspecified&lt;/D&gt;&lt;/FQL&gt;&lt;FQL&gt;&lt;Q&gt;PSKY^CS_EVENT_DESC_N("ER",4)&lt;/Q&gt;&lt;R&gt;0&lt;/R&gt;&lt;C&gt;0&lt;/C&gt;&lt;/FQL&gt;&lt;FQL&gt;&lt;Q&gt;GEHC^CS_EVENT_DESC_N("ER",4)&lt;/Q&gt;&lt;R&gt;0&lt;/R&gt;&lt;C&gt;0&lt;/C&gt;&lt;/FQL&gt;&lt;FQL&gt;&lt;Q&gt;GEN^CS_EVENT_DESC_N("ER",4)&lt;/Q&gt;&lt;R&gt;1&lt;/R&gt;&lt;C&gt;1&lt;/C&gt;&lt;D xsi:type="xsd:string"&gt;Q3 2027 Earnings Release (Projected)&lt;/D&gt;&lt;/FQL&gt;&lt;FQL&gt;&lt;Q&gt;TPR^CS_EVENT_DESC_N("ER",4)&lt;/Q&gt;&lt;R&gt;1&lt;/R&gt;&lt;C&gt;1&lt;/C&gt;&lt;D xsi:type="xsd:string"&gt;Q2 2027 Earnings Release (Projected)&lt;/D&gt;&lt;/FQL&gt;&lt;FQL&gt;&lt;Q&gt;ACN^CS_EVENT_DATEJ_N("ER",4)&lt;/Q&gt;&lt;R&gt;1&lt;/R&gt;&lt;C&gt;1&lt;/C&gt;&lt;D xsi:type="xsd:long"&gt;46471&lt;/D&gt;&lt;/FQL&gt;&lt;FQL&gt;&lt;Q&gt;ACN^CS_EVENT_TIME_N("ER",4)&lt;/Q&gt;&lt;R&gt;1&lt;/R&gt;&lt;C&gt;1&lt;/C&gt;&lt;D xsi:type="xsd:string"&gt;Unspecified&lt;/D&gt;&lt;/FQL&gt;&lt;FQL&gt;&lt;Q&gt;JBL^CS_EVENT_DATEJ_N("ER",4)&lt;/Q&gt;&lt;R&gt;1&lt;/R&gt;&lt;C&gt;1&lt;/C&gt;&lt;D xsi:type="xsd:long"&gt;46464&lt;/D&gt;&lt;/FQL&gt;&lt;FQL&gt;&lt;Q&gt;JBL^CS_EVENT_TIME_N("ER",4)&lt;/Q&gt;&lt;R&gt;1&lt;/R&gt;&lt;C&gt;1&lt;/C&gt;&lt;D xsi:type="xsd:string"&gt;Unspecified&lt;/D&gt;&lt;/FQL&gt;&lt;FQL&gt;&lt;Q&gt;DRI^CS_EVENT_DATEJ_N("ER",4)&lt;/Q&gt;&lt;R&gt;1&lt;/R&gt;&lt;C&gt;1&lt;/C&gt;&lt;D xsi:type="xsd:long"&gt;46471&lt;/D&gt;&lt;/FQL&gt;&lt;FQL&gt;&lt;Q&gt;DRI^CS_EVENT_TIME_N("ER",4)&lt;/Q&gt;&lt;R&gt;1&lt;/R&gt;&lt;C&gt;1&lt;/C&gt;&lt;D xsi:type="xsd:string"&gt;Unspecified&lt;/D&gt;&lt;/FQL&gt;&lt;FQL&gt;&lt;Q&gt;FDS^CS_EVENT_DATEJ_N("ER",4)&lt;/Q&gt;&lt;R&gt;1&lt;/R&gt;&lt;C&gt;1&lt;/C&gt;&lt;D xsi:type="xsd:long"&gt;46471&lt;/D&gt;&lt;/FQL&gt;&lt;FQL&gt;&lt;Q&gt;FDS^CS_EVENT_TIME_N("ER",4)&lt;/Q&gt;&lt;R&gt;1&lt;/R&gt;&lt;C&gt;1&lt;/C&gt;&lt;D xsi:type="xsd:string"&gt;Unspecified&lt;/D&gt;&lt;/FQL&gt;&lt;FQL&gt;&lt;Q&gt;LEN^CS_EVENT_DATEJ_N("ER",4)&lt;/Q&gt;&lt;R&gt;1&lt;/R&gt;&lt;C&gt;1&lt;/C&gt;&lt;D xsi:type="xsd:long"&gt;46463&lt;/D&gt;&lt;/FQL&gt;&lt;FQL&gt;&lt;Q&gt;LEN^CS_EVENT_TIME_N("ER",4)&lt;/Q&gt;&lt;R&gt;1&lt;/R&gt;&lt;C&gt;1&lt;/C&gt;&lt;D xsi:type="xsd:string"&gt;Unspecified&lt;/D&gt;&lt;/FQL&gt;&lt;FQL&gt;&lt;Q&gt;KHC^CS_EVENT_DATEJ_N("ER",4)&lt;/Q&gt;&lt;R&gt;1&lt;/R&gt;&lt;C&gt;1&lt;/C&gt;&lt;D xsi:type="xsd:long"&gt;46435&lt;/D&gt;&lt;/FQL&gt;&lt;FQL&gt;&lt;Q&gt;UBER^CS_EVENT_DATEJ_N("ER",4)&lt;/Q&gt;&lt;R&gt;1&lt;/R&gt;&lt;C&gt;1&lt;/C&gt;&lt;D xsi:type="xsd:long"&gt;46428&lt;/D&gt;&lt;/FQL&gt;&lt;FQL&gt;&lt;Q&gt;PSKY^CS_EVENT_DATEJ_N("ER",4)&lt;/Q&gt;&lt;R&gt;0&lt;/R&gt;&lt;C&gt;0&lt;/C&gt;&lt;/FQL&gt;&lt;FQL&gt;&lt;Q&gt;GEHC^CS_EVENT_DATEJ_N("ER",4)&lt;/Q&gt;&lt;R&gt;0&lt;/R&gt;&lt;C&gt;0&lt;/C&gt;&lt;/FQL&gt;&lt;FQL&gt;&lt;Q&gt;GEN^CS_EVENT_DATEJ_N("ER",4)&lt;/Q&gt;&lt;R&gt;1&lt;/R&gt;&lt;C&gt;1&lt;/C&gt;&lt;D xsi:type="xsd:long"&gt;46422&lt;/D&gt;&lt;/FQL&gt;&lt;FQL&gt;&lt;Q&gt;NI^CS_EVENT_TIME_N("ER",4)&lt;/Q&gt;&lt;R&gt;1&lt;/R&gt;&lt;C&gt;1&lt;/C&gt;&lt;D xsi:type="xsd:string"&gt;Unspecified&lt;/D&gt;&lt;/FQL&gt;&lt;FQL&gt;&lt;Q&gt;NI^CS_EVENT_DESC_N("ER",4)&lt;/Q&gt;&lt;R&gt;1&lt;/R&gt;&lt;C&gt;1&lt;/C&gt;&lt;D xsi:type="xsd:string"&gt;Q4 2026 Earnings</t>
        </r>
      </text>
    </comment>
    <comment ref="A5" authorId="0" shapeId="0" xr:uid="{C203E0A0-C519-42FF-BF23-43389037B5D0}">
      <text>
        <r>
          <rPr>
            <b/>
            <sz val="9"/>
            <color indexed="81"/>
            <rFont val="Tahoma"/>
            <family val="2"/>
          </rPr>
          <t xml:space="preserve"> Release (Projected)&lt;/D&gt;&lt;/FQL&gt;&lt;FQL&gt;&lt;Q&gt;DIS^CS_EVENT_TIME_N("ER",4)&lt;/Q&gt;&lt;R&gt;1&lt;/R&gt;&lt;C&gt;1&lt;/C&gt;&lt;D xsi:type="xsd:string"&gt;Unspecified&lt;/D&gt;&lt;/FQL&gt;&lt;FQL&gt;&lt;Q&gt;DIS^CS_EVENT_DESC_N("ER",4)&lt;/Q&gt;&lt;R&gt;1&lt;/R&gt;&lt;C&gt;1&lt;/C&gt;&lt;D xsi:type="xsd:string"&gt;Q1 2027 Earnings Release (Projected)&lt;/D&gt;&lt;/FQL&gt;&lt;FQL&gt;&lt;Q&gt;TTD^CS_EVENT_TIME_N("ER",4)&lt;/Q&gt;&lt;R&gt;1&lt;/R&gt;&lt;C&gt;1&lt;/C&gt;&lt;D xsi:type="xsd:string"&gt;Unspecified&lt;/D&gt;&lt;/FQL&gt;&lt;FQL&gt;&lt;Q&gt;TTD^CS_EVENT_DESC_N("ER",4)&lt;/Q&gt;&lt;R&gt;1&lt;/R&gt;&lt;C&gt;1&lt;/C&gt;&lt;D xsi:type="xsd:string"&gt;Q4 2026 Earnings Release (Projected)&lt;/D&gt;&lt;/FQL&gt;&lt;FQL&gt;&lt;Q&gt;APA^CS_EVENT_DATEJ_N("ER",4)&lt;/Q&gt;&lt;R&gt;0&lt;/R&gt;&lt;C&gt;0&lt;/C&gt;&lt;/FQL&gt;&lt;FQL&gt;&lt;Q&gt;APA^CS_EVENT_TIME_N("ER",4)&lt;/Q&gt;&lt;R&gt;0&lt;/R&gt;&lt;C&gt;0&lt;/C&gt;&lt;/FQL&gt;&lt;FQL&gt;&lt;Q&gt;RSG^CS_EVENT_DATEJ_N("ER",4)&lt;/Q&gt;&lt;R&gt;1&lt;/R&gt;&lt;C&gt;1&lt;/C&gt;&lt;D xsi:type="xsd:long"&gt;46441&lt;/D&gt;&lt;/FQL&gt;&lt;FQL&gt;&lt;Q&gt;RSG^CS_EVENT_TIME_N("ER",4)&lt;/Q&gt;&lt;R&gt;1&lt;/R&gt;&lt;C&gt;1&lt;/C&gt;&lt;D xsi:type="xsd:string"&gt;Unspecified&lt;/D&gt;&lt;/FQL&gt;&lt;FQL&gt;&lt;Q&gt;MET^CS_EVENT_DATEJ_N("ER",4)&lt;/Q&gt;&lt;R&gt;1&lt;/R&gt;&lt;C&gt;1&lt;/C&gt;&lt;D xsi:type="xsd:long"&gt;46421&lt;/D&gt;&lt;/FQL&gt;&lt;FQL&gt;&lt;Q&gt;MET^CS_EVENT_TIME_N("ER",4)&lt;/Q&gt;&lt;R&gt;1&lt;/R&gt;&lt;C&gt;1&lt;/C&gt;&lt;D xsi:type="xsd:string"&gt;Unspecified&lt;/D&gt;&lt;/FQL&gt;&lt;FQL&gt;&lt;Q&gt;FOX^CS_EVENT_DESC_N("ER",4)&lt;/Q&gt;&lt;R&gt;1&lt;/R&gt;&lt;C&gt;1&lt;/C&gt;&lt;D xsi:type="xsd:string"&gt;Q2 2027 Earnings Release (Projected)&lt;/D&gt;&lt;/FQL&gt;&lt;FQL&gt;&lt;Q&gt;FOXA^CS_EVENT_DESC_N("ER",4)&lt;/Q&gt;&lt;R&gt;1&lt;/R&gt;&lt;C&gt;1&lt;/C&gt;&lt;D xsi:type="xsd:string"&gt;Q2 2027 Earnings Release (Projected)&lt;/D&gt;&lt;/FQL&gt;&lt;FQL&gt;&lt;Q&gt;COHR^CS_EVENT_DESC_N("ER",4)&lt;/Q&gt;&lt;R&gt;1&lt;/R&gt;&lt;C&gt;1&lt;/C&gt;&lt;D xsi:type="xsd:string"&gt;Q2 2027 Earnings Release (Projected)&lt;/D&gt;&lt;/FQL&gt;&lt;FQL&gt;&lt;Q&gt;ATO^CS_EVENT_DESC_N("ER",4)&lt;/Q&gt;&lt;R&gt;1&lt;/R&gt;&lt;C&gt;1&lt;/C&gt;&lt;D xsi:type="xsd:string"&gt;Q1 2027 Earnings Release (Projected)&lt;/D&gt;&lt;/FQL&gt;&lt;FQL&gt;&lt;Q&gt;VTR^CS_EVENT_TIME_N("ER",4)&lt;/Q&gt;&lt;R&gt;1&lt;/R&gt;&lt;C&gt;1&lt;/C&gt;&lt;D xsi:type="xsd:string"&gt;Unspecified&lt;/D&gt;&lt;/FQL&gt;&lt;FQL&gt;&lt;Q&gt;VTR^CS_EVENT_DESC_N("ER",4)&lt;/Q&gt;&lt;R&gt;1&lt;/R&gt;&lt;C&gt;1&lt;/C&gt;&lt;D xsi:type="xsd:string"&gt;Q4 2026 Earnings Release (Projected)&lt;/D&gt;&lt;/FQL&gt;&lt;FQL&gt;&lt;Q&gt;FOXA^CS_EVENT_DATEJ_N("ER",4)&lt;/Q&gt;&lt;R&gt;1&lt;/R&gt;&lt;C&gt;1&lt;/C&gt;&lt;D xsi:type="xsd:long"&gt;46428&lt;/D&gt;&lt;/FQL&gt;&lt;FQL&gt;&lt;Q&gt;COHR^CS_EVENT_DATEJ_N("ER",4)&lt;/Q&gt;&lt;R&gt;1&lt;/R&gt;&lt;C&gt;1&lt;/C&gt;&lt;D xsi:type="xsd:long"&gt;46428&lt;/D&gt;&lt;/FQL&gt;&lt;FQL&gt;&lt;Q&gt;ATO^CS_EVENT_DATEJ_N("ER",4)&lt;/Q&gt;&lt;R&gt;1&lt;/R&gt;&lt;C&gt;1&lt;/C&gt;&lt;D xsi:type="xsd:long"&gt;46427&lt;/D&gt;&lt;/FQL&gt;&lt;FQL&gt;&lt;Q&gt;NI^CS_EVENT_DATEJ_N("ER",4)&lt;/Q&gt;&lt;R&gt;1&lt;/R&gt;&lt;C&gt;1&lt;/C&gt;&lt;D xsi:type="xsd:long"&gt;46435&lt;/D&gt;&lt;/FQL&gt;&lt;FQL&gt;&lt;Q&gt;DIS^CS_EVENT_DATEJ_N("ER",4)&lt;/Q&gt;&lt;R&gt;1&lt;/R&gt;&lt;C&gt;1&lt;/C&gt;&lt;D xsi:type="xsd:long"&gt;46428&lt;/D&gt;&lt;/FQL&gt;&lt;FQL&gt;&lt;Q&gt;TTD^CS_EVENT_DATEJ_N("ER",4)&lt;/Q&gt;&lt;R&gt;1&lt;/R&gt;&lt;C&gt;1&lt;/C&gt;&lt;D xsi:type="xsd:long"&gt;46435&lt;/D&gt;&lt;/FQL&gt;&lt;FQL&gt;&lt;Q&gt;CVS^CS_EVENT_DATEJ_N("ER",4)&lt;/Q&gt;&lt;R&gt;1&lt;/R&gt;&lt;C&gt;1&lt;/C&gt;&lt;D xsi:type="xsd:long"&gt;46435&lt;/D&gt;&lt;/FQL&gt;&lt;FQL&gt;&lt;Q&gt;CVS^CS_EVENT_TIME_N("ER",4)&lt;/Q&gt;&lt;R&gt;1&lt;/R&gt;&lt;C&gt;1&lt;/C&gt;&lt;D xsi:type="xsd:string"&gt;Unspecified&lt;/D&gt;&lt;/FQL&gt;&lt;FQL&gt;&lt;Q&gt;CVS^CS_EVENT_DESC_N("ER",4)&lt;/Q&gt;&lt;R&gt;1&lt;/R&gt;&lt;C&gt;1&lt;/C&gt;&lt;D xsi:type="xsd:string"&gt;Q4 2026 Earnings Release (Projected)&lt;/D&gt;&lt;/FQL&gt;&lt;FQL&gt;&lt;Q&gt;VRTX^CS_EVENT_DATEJ_N("ER",4)&lt;/Q&gt;&lt;R&gt;1&lt;/R&gt;&lt;C&gt;1&lt;/C&gt;&lt;D xsi:type="xsd:long"&gt;46427&lt;/D&gt;&lt;/FQL&gt;&lt;FQL&gt;&lt;Q&gt;VRTX^CS_EVENT_TIME_N("ER",4)&lt;/Q&gt;&lt;R&gt;1&lt;/R&gt;&lt;C&gt;1&lt;/C&gt;&lt;D xsi:type="xsd:string"&gt;Unspecified&lt;/D&gt;&lt;/FQL&gt;&lt;FQL&gt;&lt;Q&gt;VRTX^CS_EVENT_DESC_N("ER",4)&lt;/Q&gt;&lt;R&gt;1&lt;/R&gt;&lt;C&gt;1&lt;/C&gt;&lt;D xsi:type="xsd:string"&gt;Q4 2026 Earnings Release (Projected)&lt;/D&gt;&lt;/FQL&gt;&lt;FQL&gt;&lt;Q&gt;EXC^CS_EVENT_DATEJ_N("ER",4)&lt;/Q&gt;&lt;R&gt;1&lt;/R&gt;&lt;C&gt;1&lt;/C&gt;&lt;D xsi:type="xsd:long"&gt;46442&lt;/D&gt;&lt;/FQL&gt;&lt;FQL&gt;&lt;Q&gt;EXC^CS_EVENT_TIME_N("ER",4)&lt;/Q&gt;&lt;R&gt;1&lt;/R&gt;&lt;C&gt;1&lt;/C&gt;&lt;D xsi:type="xsd:string"&gt;Unspecified&lt;/D&gt;&lt;/FQL&gt;&lt;FQL&gt;&lt;Q&gt;EXC^CS_EVENT_DESC_N("ER",4)&lt;/Q&gt;&lt;R&gt;1&lt;/R&gt;&lt;C&gt;1&lt;/C&gt;&lt;D xsi:type="xsd:string"&gt;Q4 2026 Earnings Release (Projected)&lt;/D&gt;&lt;/FQL&gt;&lt;FQL&gt;&lt;Q&gt;GNRC^CS_EVENT_DATEJ_N("ER",4)&lt;/Q&gt;&lt;R&gt;1&lt;/R&gt;&lt;C&gt;1&lt;/C&gt;&lt;D xsi:type="xsd:long"&gt;46435&lt;/D&gt;&lt;/FQL&gt;&lt;FQL&gt;&lt;Q&gt;GNRC^CS_EVENT_TIME_N("ER",4)&lt;/Q&gt;&lt;R&gt;1&lt;/R&gt;&lt;C&gt;1&lt;/C&gt;&lt;D xsi:type="xsd:string"&gt;Unspecified&lt;/D&gt;&lt;/FQL&gt;&lt;FQL&gt;&lt;Q&gt;GNRC^CS_EVENT_DESC_N("ER",4)&lt;/Q&gt;&lt;R&gt;1&lt;/R&gt;&lt;C&gt;1&lt;/C&gt;&lt;D xsi:type="xsd:string"&gt;Q4 2026 Earnings Release (Projected)&lt;/D&gt;&lt;/FQL&gt;&lt;FQL&gt;&lt;Q&gt;CPAY^CS_EVENT_DATEJ_N("ER",4)&lt;/Q&gt;&lt;R&gt;1&lt;/R&gt;&lt;C&gt;1&lt;/C&gt;&lt;D xsi:type="xsd:long"&gt;46428&lt;/D&gt;&lt;/FQL&gt;&lt;FQL&gt;&lt;Q&gt;CPAY^CS_EVENT_TIME_N("ER",4)&lt;/Q&gt;&lt;R&gt;1&lt;/R&gt;&lt;C&gt;1&lt;/C&gt;&lt;D xsi:type="xsd:string"&gt;Unspecified&lt;/D&gt;&lt;/FQL&gt;&lt;FQL&gt;&lt;Q&gt;CPAY^CS_EVENT_DESC_N("ER",4)&lt;/Q&gt;&lt;R&gt;1&lt;/R&gt;&lt;C&gt;1&lt;/C&gt;&lt;D xsi:type="xsd:string"&gt;Q4 2026 Earnings Release (Projected)&lt;/D&gt;&lt;/FQL&gt;&lt;FQL&gt;&lt;Q&gt;CDW^CS_EVENT_DATEJ_N("ER",4)&lt;/Q&gt;&lt;R&gt;0&lt;/R&gt;&lt;C&gt;0&lt;/C&gt;&lt;/FQL&gt;&lt;FQL&gt;&lt;Q&gt;CDW^CS_EVENT_TIME_N("ER",4)&lt;/Q&gt;&lt;R&gt;0&lt;/R&gt;&lt;C&gt;0&lt;/C&gt;&lt;/FQL&gt;&lt;FQL&gt;&lt;Q&gt;CDW^CS_EVENT_DESC_N("ER",4)&lt;/Q&gt;&lt;R&gt;0&lt;/R&gt;&lt;C&gt;0&lt;/C&gt;&lt;/FQL&gt;&lt;FQL&gt;&lt;Q&gt;AWK^CS_EVENT_DATEJ_N("ER",4)&lt;/Q&gt;&lt;R&gt;1&lt;/R&gt;&lt;C&gt;1&lt;/C&gt;&lt;D xsi:type="xsd:long"&gt;46442&lt;/D&gt;&lt;/FQL&gt;&lt;FQL&gt;&lt;Q&gt;AWK^CS_EVENT_TIME_N("ER",4)&lt;/Q&gt;&lt;R&gt;1&lt;/R&gt;&lt;C&gt;1&lt;/C&gt;&lt;D xsi:type="xsd:string"&gt;Unspecified&lt;/D&gt;&lt;/FQL&gt;&lt;FQL&gt;&lt;Q&gt;AWK^CS_EVENT_DESC_N("ER",4)&lt;/Q&gt;&lt;R&gt;1&lt;/R&gt;&lt;C&gt;1&lt;/C&gt;&lt;D xsi:type="xsd:string"&gt;Q4 2026 Earnings Release (Projected)&lt;/D&gt;&lt;/FQL&gt;&lt;FQL&gt;&lt;Q&gt;IR^CS_EVENT_DATEJ_N("ER",4)&lt;/Q&gt;&lt;R&gt;1&lt;/R&gt;&lt;C&gt;1&lt;/C&gt;&lt;D xsi:type="xsd:long"&gt;46436&lt;/D&gt;&lt;/FQL&gt;&lt;FQL&gt;&lt;Q&gt;IR^CS_EVENT_TIME_N("ER",4)&lt;/Q&gt;&lt;R&gt;1&lt;/R&gt;&lt;C&gt;1&lt;/C&gt;&lt;D xsi:type="xsd:string"&gt;Unspecified&lt;/D&gt;&lt;/FQL&gt;&lt;FQL&gt;&lt;Q&gt;IR^CS_EVENT_DESC_N("ER",4)&lt;/Q&gt;&lt;R&gt;1&lt;/R&gt;&lt;C&gt;1&lt;/C&gt;&lt;D xsi:type="xsd:string"&gt;Q4 2026 Earnings Release (Projected)&lt;/D&gt;&lt;/FQL&gt;&lt;FQL&gt;&lt;Q&gt;FIS^CS_EVENT_DATEJ_N("ER",4)&lt;/Q&gt;&lt;R&gt;1&lt;/R&gt;&lt;C&gt;1&lt;/C&gt;&lt;D xsi:type="xsd:long"&gt;46434&lt;/D&gt;&lt;/FQL&gt;&lt;FQL&gt;&lt;Q&gt;FIS^CS_EVENT_TIME_N("ER",4)&lt;/Q&gt;&lt;R&gt;1&lt;/R&gt;&lt;C&gt;1&lt;/C&gt;&lt;D xsi:type="xsd:string"&gt;Unspecified&lt;/D&gt;&lt;/FQL&gt;&lt;FQL&gt;&lt;Q&gt;FIS^CS_EVENT_DESC_N("ER",4)&lt;/Q&gt;&lt;R&gt;1&lt;/R&gt;&lt;C&gt;1&lt;/C&gt;&lt;D xsi:type="xsd:string"&gt;Q4 2026 Earnings Release (Projected)&lt;/D&gt;&lt;/FQL&gt;&lt;FQL&gt;&lt;Q&gt;NCLH^CS_EVENT_DATEJ_N("ER",4)&lt;/Q&gt;&lt;R&gt;0&lt;/R&gt;&lt;C&gt;0&lt;/C&gt;&lt;/FQL&gt;&lt;FQL&gt;&lt;Q&gt;NCLH^CS_EVENT_TIME_N("ER",4)&lt;/Q&gt;&lt;R&gt;0&lt;/R&gt;&lt;C&gt;0&lt;/C&gt;&lt;/FQL&gt;&lt;FQL&gt;&lt;Q&gt;NCLH^CS_EVENT_DESC_N("ER",4)&lt;/Q&gt;&lt;R&gt;0&lt;/R&gt;&lt;C&gt;0&lt;/C&gt;&lt;/FQL&gt;&lt;FQL&gt;&lt;Q&gt;CF^CS_EVENT_DATEJ_N("ER",4)&lt;/Q&gt;&lt;R&gt;1&lt;/R&gt;&lt;C&gt;1&lt;/C&gt;&lt;D xsi:type="xsd:long"&gt;46435&lt;/D&gt;&lt;/FQL&gt;&lt;FQL&gt;&lt;Q&gt;CF^CS_EVENT_TIME_N("ER",4)&lt;/Q&gt;&lt;R&gt;1&lt;/R&gt;&lt;C&gt;1&lt;/C&gt;&lt;D xsi:type="xsd:string"&gt;Unspecified&lt;/D&gt;&lt;/FQL&gt;&lt;FQL&gt;&lt;Q&gt;CF^CS_EVENT_DESC_N("ER",4)&lt;/Q&gt;&lt;R&gt;1&lt;/R&gt;&lt;C&gt;1&lt;/C&gt;&lt;D xsi:type="xsd:string"&gt;Q4 2026 Earnings Release (Projected)&lt;/D&gt;&lt;/FQL&gt;&lt;FQL&gt;&lt;Q&gt;MOS^CS_EVENT_DATEJ_N("ER",4)&lt;/Q&gt;&lt;R&gt;1&lt;/R&gt;&lt;C&gt;1&lt;/C&gt;&lt;D xsi:type="xsd:long"&gt;46442&lt;/D&gt;&lt;/FQL&gt;&lt;FQL&gt;&lt;Q&gt;MOS^CS_EVENT_TIME_N("ER",4)&lt;/Q&gt;&lt;R&gt;1&lt;/R&gt;&lt;C&gt;1&lt;/C&gt;&lt;D xsi:type="xsd:string"&gt;Unspecified&lt;/D&gt;&lt;/FQL&gt;&lt;FQL&gt;&lt;Q&gt;MOS^CS_EVENT_DESC_N("ER",4)&lt;/Q&gt;&lt;R&gt;1&lt;/R&gt;&lt;C&gt;1&lt;/C&gt;&lt;D xsi:type="xsd:string"&gt;Q4 2026 Earnings Release (Projected)&lt;/D&gt;&lt;/FQL&gt;&lt;FQL&gt;&lt;Q&gt;EME^CS_EVENT_TIME_N("ER",4)&lt;/Q&gt;&lt;R&gt;1&lt;/R&gt;&lt;C&gt;1&lt;/C&gt;&lt;D xsi:type="xsd:string"&gt;Unspecified&lt;/D&gt;&lt;/FQL&gt;&lt;FQL&gt;&lt;Q&gt;EME^CS_EVENT_DESC_N("ER",4)&lt;/Q&gt;&lt;R&gt;1&lt;/R&gt;&lt;C&gt;1&lt;/C&gt;&lt;D xsi:type="xsd:string"&gt;Q4 2026 Earnings Release (Projected)&lt;/D&gt;&lt;/FQL&gt;&lt;FQL&gt;&lt;Q&gt;UNP^CS_EVENT_DATEJ_N("ER",4)&lt;/Q&gt;&lt;R&gt;1&lt;/R&gt;&lt;C&gt;1&lt;/C&gt;&lt;D xsi:type="xsd:long"&gt;46499&lt;/D&gt;&lt;/FQL&gt;&lt;FQL&gt;&lt;Q&gt;UNP^CS_EVENT_TIME_N("ER",4)&lt;/Q&gt;&lt;R&gt;1&lt;/R&gt;&lt;C&gt;1&lt;/C&gt;&lt;D xsi:type="xsd:string"&gt;Unspecified&lt;/D&gt;&lt;/FQL&gt;&lt;FQL&gt;&lt;Q&gt;WDC^CS_EVENT_DATEJ_N("ER",4)&lt;/Q&gt;&lt;R&gt;1&lt;/R&gt;&lt;C&gt;1&lt;/C&gt;&lt;D xsi:type="xsd:long"&gt;46421&lt;/D&gt;&lt;/FQL&gt;&lt;FQL&gt;&lt;Q&gt;WDC^CS_EVENT_TIME_N("ER",4)&lt;/Q&gt;&lt;R&gt;1&lt;/R&gt;&lt;C&gt;1&lt;/C&gt;&lt;D xsi:type="xsd:string"&gt;Unspecified&lt;/D&gt;&lt;/FQL&gt;&lt;FQL&gt;&lt;Q&gt;FOXA^CS_EVENT_TIME_N("ER",4)&lt;/Q&gt;&lt;R&gt;1&lt;/R&gt;&lt;C&gt;1&lt;/C&gt;&lt;D xsi:type="xsd:string"&gt;Unspecified&lt;/D&gt;&lt;/FQL&gt;&lt;FQL&gt;&lt;Q&gt;COHR^CS_EVENT_TIME_N("ER",4)&lt;/Q&gt;&lt;R&gt;1&lt;/R&gt;&lt;C&gt;1&lt;/C&gt;&lt;D xsi:type="xsd:string"&gt;Unspecified&lt;/D&gt;&lt;/FQL&gt;&lt;FQL&gt;&lt;Q&gt;ATO^CS_EVENT_TIME_N("ER",4)&lt;/Q&gt;&lt;R&gt;1&lt;/R&gt;&lt;C&gt;1&lt;/C&gt;&lt;D xsi:type="xsd:string"&gt;Unspecified&lt;/D&gt;&lt;/FQL&gt;&lt;FQL&gt;&lt;Q&gt;PFG^CS_EVENT_TIME_N("ER",4)&lt;/Q&gt;&lt;R&gt;1&lt;/R&gt;&lt;C&gt;1&lt;/C&gt;&lt;D xsi:type="xsd:string"&gt;Unspecified&lt;/D&gt;&lt;/FQL&gt;&lt;FQL&gt;&lt;Q&gt;PFG^CS_EVENT_DESC_N("ER",4)&lt;/Q&gt;&lt;R&gt;1&lt;/R&gt;&lt;C&gt;1&lt;/C&gt;&lt;D xsi:type="xsd:string"&gt;Q4 2026 Earnings Release (Projected)&lt;/D&gt;&lt;/FQL&gt;&lt;FQL&gt;&lt;Q&gt;INTC^CS_EVENT_TIME_N("ER",4)&lt;/Q&gt;&lt;R&gt;1&lt;/R&gt;&lt;C&gt;1&lt;/C&gt;&lt;D xsi:type="xsd:string"&gt;Unspecified&lt;/D&gt;&lt;/FQL&gt;&lt;FQL&gt;&lt;Q&gt;INTC^CS_EVENT_DESC_N("ER",4)&lt;/Q&gt;&lt;R&gt;1&lt;/R&gt;&lt;C&gt;1&lt;/C&gt;&lt;D xsi:type="xsd:string"&gt;Q4 2026 Earnings Release (Projected)&lt;/D&gt;&lt;/FQL&gt;&lt;FQL&gt;&lt;Q&gt;FE^CS_EVENT_DESC_N("ER",4)&lt;/Q&gt;&lt;R&gt;1&lt;/R&gt;&lt;C&gt;1&lt;/C&gt;&lt;D xsi:type="xsd:string"&gt;Q4 2026 Earnings Release (Projected)&lt;/D&gt;&lt;/FQL&gt;&lt;FQL&gt;&lt;Q&gt;CAT^CS_EVENT_DESC_N("ER",4)&lt;/Q&gt;&lt;R&gt;1&lt;/R&gt;&lt;C&gt;1&lt;/C&gt;&lt;D xsi:type="xsd:string"&gt;Q4 2026 Earnings Release (Projected)&lt;/D&gt;&lt;/FQL&gt;&lt;FQL&gt;&lt;Q&gt;MCD^CS_EVENT_DESC_N("ER",4)&lt;/Q&gt;&lt;R&gt;1&lt;/R&gt;&lt;C&gt;1&lt;/C&gt;&lt;D xsi:type="xsd:string"&gt;Q4 2026 Earnings Release (Projected)&lt;/D&gt;&lt;/FQL&gt;&lt;FQL&gt;&lt;Q&gt;UNP^CS_EVENT_DESC_N("ER",4)&lt;/Q&gt;&lt;R&gt;1&lt;/R&gt;&lt;C&gt;1&lt;/C&gt;&lt;D xsi:type="xsd:string"&gt;Q1 2027 Earnings Release (Projected)&lt;/D&gt;&lt;/FQL&gt;&lt;FQL&gt;&lt;Q&gt;KLAC^CS_EVENT_TIME_N("ER",4)&lt;/Q&gt;&lt;R&gt;1&lt;/R&gt;&lt;C&gt;1&lt;/C&gt;&lt;D xsi:type="xsd:string"&gt;Unspecified&lt;/D&gt;&lt;/FQL&gt;&lt;FQL&gt;&lt;Q&gt;TROW^CS_EVENT_TIME_N("ER",4)&lt;/Q&gt;&lt;R&gt;1&lt;/R&gt;&lt;C&gt;1&lt;/C&gt;&lt;D xsi:type="xsd:string"&gt;Unspecified&lt;/D&gt;&lt;/FQL&gt;&lt;FQL&gt;&lt;Q&gt;AXP^CS_EVENT_TIME_N("ER",4)&lt;/Q&gt;&lt;R&gt;1&lt;/R&gt;&lt;C&gt;1&lt;/C&gt;&lt;D xsi:type="xsd:string"&gt;Unspecified&lt;/D&gt;&lt;/FQL&gt;&lt;FQL&gt;&lt;Q&gt;CNP^CS_EVENT_TIME_N("ER",4)&lt;/Q&gt;&lt;R&gt;1&lt;/R&gt;&lt;C&gt;1&lt;/C&gt;&lt;D xsi:type="xsd:string"&gt;Unspecified&lt;/D&gt;&lt;/FQL&gt;&lt;FQL&gt;&lt;Q&gt;VST^CS_EVENT_DATEJ_N("ER",4)&lt;/Q&gt;&lt;R&gt;1&lt;/R&gt;&lt;C&gt;1&lt;/C&gt;&lt;D xsi:type="xsd:long"&gt;46449&lt;/D&gt;&lt;/FQL&gt;&lt;FQL&gt;&lt;Q&gt;VST^CS_EVENT_TIME_N("ER",4)&lt;/Q&gt;&lt;R&gt;1&lt;/R&gt;&lt;C&gt;1&lt;/C&gt;&lt;D xsi:type="xsd:string"&gt;Unspecified&lt;/D&gt;&lt;/FQL&gt;&lt;FQL&gt;&lt;Q&gt;VST^CS_EVENT_DESC_N("ER",4)&lt;/Q&gt;&lt;R&gt;1&lt;/R&gt;&lt;C&gt;1&lt;/C&gt;&lt;D xsi:type="xsd:string"&gt;Q4 2026 Earnings Release (Projected)&lt;/D&gt;&lt;/FQL&gt;&lt;FQL&gt;&lt;Q&gt;CRH^CS_EVENT_DATEJ_N("ER",4)&lt;/Q&gt;&lt;R&gt;1&lt;/R&gt;&lt;C&gt;1&lt;/C&gt;&lt;D xsi:type="xsd:long"&gt;46450&lt;/D&gt;&lt;/FQL&gt;&lt;FQL&gt;&lt;Q&gt;CRH^CS_EVENT_TIME_N("ER",4)&lt;/Q&gt;&lt;R&gt;1&lt;/R&gt;&lt;C&gt;1&lt;/C&gt;&lt;D xsi:type="xsd:string"&gt;Unspecified&lt;/D&gt;&lt;/FQL&gt;&lt;FQL&gt;&lt;Q&gt;CRH^CS_EVENT_DESC_N("ER",4)&lt;/Q&gt;&lt;R&gt;1&lt;/R&gt;&lt;C&gt;1&lt;/C&gt;&lt;D xsi:type="xsd:string"&gt;Q4 2026 Earnings Release (Projected)&lt;/D&gt;&lt;/FQL&gt;&lt;FQL&gt;&lt;Q&gt;ABNB^CS_EVENT_DATEJ_N("ER",4)&lt;/Q&gt;&lt;R&gt;1&lt;/R&gt;&lt;C&gt;1&lt;/C&gt;&lt;D xsi:type="xsd:long"&gt;46434&lt;/D&gt;&lt;/FQL&gt;&lt;FQL&gt;&lt;Q&gt;ABNB^CS_EVENT_TIME_N("ER",4)&lt;/Q&gt;&lt;R&gt;1&lt;/R&gt;&lt;C&gt;1&lt;/C&gt;&lt;D xsi:type="xsd:string"&gt;Unspecified&lt;/D&gt;&lt;/FQL&gt;&lt;FQL&gt;&lt;Q&gt;ABNB^CS_EVENT_DESC_N("ER",4)&lt;/Q&gt;&lt;R&gt;1&lt;/R&gt;&lt;C&gt;1&lt;/C&gt;&lt;D xsi:type="xsd:string"&gt;Q4 2026 Earnings Release (Projected)&lt;/D&gt;&lt;/FQL&gt;&lt;FQL&gt;&lt;Q&gt;APP^CS_EVENT_DATEJ_N("ER",4)&lt;/Q&gt;&lt;R&gt;1&lt;/R&gt;&lt;C&gt;1&lt;/C&gt;&lt;D xsi:type="xsd:long"&gt;46435&lt;/D&gt;&lt;/FQL&gt;&lt;FQL&gt;&lt;Q&gt;APP^CS_EVENT_TIME_N("ER",4)&lt;/Q&gt;&lt;R&gt;1&lt;/R&gt;&lt;C&gt;1&lt;/C&gt;&lt;D xsi:type="xsd:string"&gt;Unspecified&lt;/D&gt;&lt;/FQL&gt;&lt;FQL&gt;&lt;Q&gt;APP^CS_EVENT_DESC_N("ER",4)&lt;/Q&gt;&lt;R&gt;1&lt;/R&gt;&lt;C&gt;1&lt;/C&gt;&lt;D xsi:type="xsd:string"&gt;Q4 2026 Earnings Release (Projected)&lt;/D&gt;&lt;/FQL&gt;&lt;FQL&gt;&lt;Q&gt;HOOD^CS_EVENT_DATEJ_N("ER",4)&lt;/Q&gt;&lt;R&gt;1&lt;/R&gt;&lt;C&gt;1&lt;/C&gt;&lt;D xsi:type="xsd:long"&gt;46434&lt;/D&gt;&lt;/FQL&gt;&lt;FQL&gt;&lt;Q&gt;HOOD^CS_EVENT_TIME_N("ER",4)&lt;/Q&gt;&lt;R&gt;1&lt;/R&gt;&lt;C&gt;1&lt;/C&gt;&lt;D xsi:type="xsd:string"&gt;Unspecified&lt;/D&gt;&lt;/FQL&gt;&lt;FQL&gt;&lt;Q&gt;HOOD^CS_EVENT_DESC_N("ER",4)&lt;/Q&gt;&lt;R&gt;1&lt;/R&gt;&lt;C&gt;1&lt;/C&gt;&lt;D xsi:type="xsd:string"&gt;Q4 2026 Earnings Release (Projected)&lt;/D&gt;&lt;/FQL&gt;&lt;FQL&gt;&lt;Q&gt;KVUE^CS_EVENT_DATEJ_N("ER",4)&lt;/Q&gt;&lt;R&gt;1&lt;/R&gt;&lt;C&gt;1&lt;/C&gt;&lt;D xsi:type="xsd:long"&gt;46429&lt;/D&gt;&lt;/FQL&gt;&lt;FQL&gt;&lt;Q&gt;KVUE^CS_EVENT_TIME_N("ER",4)&lt;/Q&gt;&lt;R&gt;1&lt;/R&gt;&lt;C&gt;1&lt;/C&gt;&lt;D xsi:type="xsd:string"&gt;Unspecified&lt;/D&gt;&lt;/FQL&gt;&lt;FQL&gt;&lt;Q&gt;KVUE^CS_EVENT_DESC_N("ER",4)&lt;/Q&gt;&lt;R&gt;1&lt;/R&gt;&lt;C&gt;1&lt;/C&gt;&lt;D xsi:type="xsd:string"&gt;Q4 2026 Earnings Release (Projected)&lt;/D&gt;&lt;/FQL&gt;&lt;FQL&gt;&lt;Q&gt;TTWO^CS_EVENT_DATEJ_N("ER",4)&lt;/Q&gt;&lt;R&gt;1&lt;/R&gt;&lt;C&gt;1&lt;/C&gt;&lt;D xsi:type="xsd:long"&gt;46426&lt;/D&gt;&lt;/FQL&gt;&lt;FQL&gt;&lt;Q&gt;TTWO^CS_EVENT_TIME_N("ER",4)&lt;/Q&gt;&lt;R&gt;1&lt;/R&gt;&lt;C&gt;1&lt;/C&gt;&lt;D xsi:type="xsd:string"&gt;Unspecified&lt;/D&gt;&lt;/FQL&gt;&lt;FQL&gt;&lt;Q&gt;TTWO^CS_EVENT_DESC_N("ER",4)&lt;/Q&gt;&lt;R&gt;1&lt;/R&gt;&lt;C&gt;1&lt;/C&gt;&lt;D xsi:type="xsd:string"&gt;Q3 2027 Earnings Release (Projected)&lt;/D&gt;&lt;/FQL&gt;&lt;FQL&gt;&lt;Q&gt;ROST^CS_EVENT_DATEJ_N("ER",4)&lt;/Q&gt;&lt;R&gt;1&lt;/R&gt;&lt;C&gt;1&lt;/C&gt;&lt;D xsi:type="xsd:long"&gt;46455&lt;/D&gt;&lt;/FQL&gt;&lt;FQL&gt;&lt;Q&gt;ROST^CS_EVENT_TIME_N("ER",4)&lt;/Q&gt;&lt;R&gt;1&lt;/R&gt;&lt;C&gt;1&lt;/C&gt;&lt;D xsi:type="xsd:string"&gt;Unspecified&lt;/D&gt;&lt;/FQL&gt;&lt;FQL&gt;&lt;Q&gt;ROST^CS_EVENT_DESC_N("ER",4)&lt;/Q&gt;&lt;R&gt;1&lt;/R&gt;&lt;C&gt;1&lt;/C&gt;&lt;D xsi:type="xsd:string"&gt;Q4 2026 Earnings Release (Projected)&lt;/D&gt;&lt;/FQL&gt;&lt;FQL&gt;&lt;Q&gt;WMT^CS_EVENT_DATEJ_N("ER",4)&lt;/Q&gt;&lt;R&gt;1&lt;/R&gt;&lt;C&gt;1&lt;/C&gt;&lt;D xsi:type="xsd:long"&gt;46441&lt;/D&gt;&lt;/FQL&gt;&lt;FQL&gt;&lt;Q&gt;WMT^CS_EVENT_TIME_N("ER",4)&lt;/Q&gt;&lt;R&gt;1&lt;/R&gt;&lt;C&gt;1&lt;/C&gt;&lt;D xsi:type="xsd:string"&gt;Unspecified&lt;/D&gt;&lt;/FQL&gt;&lt;FQL&gt;&lt;Q&gt;WMT^CS_EVENT_DESC_N("ER",4)&lt;/Q&gt;&lt;R&gt;1&lt;/R&gt;&lt;C&gt;1&lt;/C&gt;&lt;D xsi:type="xsd:string"&gt;Q4 2027 Earnings Release (Projected)&lt;/D&gt;&lt;/FQL&gt;&lt;FQL&gt;&lt;Q&gt;AMAT^CS_EVENT_DATEJ_N("ER",4)&lt;/Q&gt;&lt;R&gt;1&lt;/R&gt;&lt;C&gt;1&lt;/C&gt;&lt;D xsi:type="xsd:long"&gt;46436&lt;/D&gt;&lt;/FQL&gt;&lt;FQL&gt;&lt;Q&gt;AMAT^CS_EVENT_TIME_N("ER",4)&lt;/Q&gt;&lt;R&gt;1&lt;/R&gt;&lt;C&gt;1&lt;/C&gt;&lt;D xsi:type="xsd:string"&gt;Unspecified&lt;/D&gt;&lt;/FQL&gt;&lt;FQL&gt;&lt;Q&gt;AMAT^CS_EVENT_DESC_N("ER",4)&lt;/Q&gt;&lt;R&gt;1&lt;/R&gt;&lt;C&gt;1&lt;/C&gt;&lt;D xsi:type="xsd:string"&gt;Q1 2027 Earnings Release (Projected)&lt;/D&gt;&lt;/FQL&gt;&lt;FQL&gt;&lt;Q&gt;HD^CS_EVENT_DATEJ_N("ER",4)&lt;/Q&gt;&lt;R&gt;1&lt;/R&gt;&lt;C&gt;1&lt;/C&gt;&lt;D xsi:type="xsd:long"&gt;46441&lt;/D&gt;&lt;/FQL&gt;&lt;FQL&gt;&lt;Q&gt;HD^CS_EVENT_TIME_N("ER",4)&lt;/Q&gt;&lt;R&gt;1&lt;/R&gt;&lt;C&gt;1&lt;/C&gt;&lt;D xsi:type="xsd:string"&gt;Unspecified&lt;/D&gt;&lt;/FQL&gt;&lt;FQL&gt;&lt;Q&gt;HD^CS_EVENT_DESC_N("ER",4)&lt;/Q&gt;&lt;R&gt;1&lt;/R&gt;&lt;C&gt;1&lt;/C&gt;&lt;D xsi:type="xsd:string"&gt;Q4 2026 Earnings Release (Projected)&lt;/D&gt;&lt;/FQL&gt;&lt;FQL&gt;&lt;Q&gt;KEYS^CS_EVENT_DATEJ_N("ER",4)&lt;/Q&gt;&lt;R&gt;1&lt;/R&gt;&lt;C&gt;1&lt;/C&gt;&lt;D xsi:type="xsd:long"&gt;46441&lt;/D&gt;&lt;/FQL&gt;&lt;FQL&gt;&lt;Q&gt;KEYS^CS_EVENT_TIME_N("ER",4)&lt;/Q&gt;&lt;R&gt;1&lt;/R&gt;&lt;C&gt;1&lt;/C&gt;&lt;D xsi:type="xsd:string"&gt;Unspecified&lt;/D&gt;&lt;/FQL&gt;&lt;FQL&gt;&lt;Q&gt;KEYS^CS_EVENT_DESC_N("ER",4)&lt;/Q&gt;&lt;R&gt;1&lt;/R&gt;&lt;C&gt;1&lt;/C&gt;&lt;D xsi:type="xsd:string"&gt;Q1 2027 Earnings Release (Projected)&lt;/D&gt;&lt;/FQL&gt;&lt;FQL&gt;&lt;Q&gt;TJX^CS_EVENT_DATEJ_N("ER",4)&lt;/Q&gt;&lt;R&gt;1&lt;/R&gt;&lt;C&gt;1&lt;/C&gt;&lt;D xsi:type="xsd:long"&gt;46442&lt;/D&gt;&lt;/FQL&gt;&lt;FQL&gt;&lt;Q&gt;TJX^CS_EVENT_TIME_N("ER",4)&lt;/Q&gt;&lt;R&gt;1&lt;/R&gt;&lt;C&gt;1&lt;/C&gt;&lt;D xsi:type="xsd:string"&gt;Unspecified&lt;/D&gt;&lt;/FQL&gt;&lt;FQL&gt;&lt;Q&gt;TJX^CS_EVENT_DESC_N("ER",4)&lt;/Q&gt;&lt;R&gt;1&lt;/R&gt;&lt;C&gt;1&lt;/C&gt;&lt;D xsi:type="xsd:string"&gt;Q4 2027 Earnings Release&lt;/D&gt;&lt;/FQL&gt;&lt;FQL&gt;&lt;Q&gt;NVDA^CS_EVENT_DATEJ_N("ER",4)&lt;/Q&gt;&lt;R&gt;1&lt;/R&gt;&lt;C&gt;1&lt;/C&gt;&lt;D xsi:type="xsd:long"&gt;46442&lt;/D&gt;&lt;/FQL&gt;&lt;FQL&gt;&lt;Q&gt;NVDA^CS_EVENT_TIME_N("ER",4)&lt;/Q&gt;&lt;R&gt;1&lt;/R&gt;&lt;C&gt;1&lt;/C&gt;&lt;D xsi:type="xsd:string"&gt;Unspecified&lt;/D&gt;&lt;/FQL&gt;&lt;FQL&gt;&lt;Q&gt;NVDA^CS_EVENT_DESC_N("ER",4)&lt;/Q&gt;&lt;R&gt;1&lt;/R&gt;&lt;C&gt;1&lt;/C&gt;&lt;D xsi:type="xsd:string"&gt;Q4 2027 Earnings Release (Projected)&lt;/D&gt;&lt;/FQL&gt;&lt;FQL&gt;&lt;Q&gt;TGT^CS_EVENT_DATEJ_N("ER",4)&lt;/Q&gt;&lt;R&gt;1&lt;/R&gt;&lt;C&gt;1&lt;/C&gt;&lt;D xsi:type="xsd:long"&gt;46448&lt;/D&gt;&lt;/FQL&gt;&lt;FQL&gt;&lt;Q&gt;TGT^CS_EVENT_TIME_N("ER",4)&lt;/Q&gt;&lt;R&gt;1&lt;/R&gt;&lt;C&gt;1&lt;/C&gt;&lt;D xsi:type="xsd:string"&gt;Unspecified&lt;/D&gt;&lt;/FQL&gt;&lt;FQL&gt;&lt;Q&gt;TGT^CS_EVENT_DESC_N("ER",4)&lt;/Q&gt;&lt;R&gt;1&lt;/R&gt;&lt;C&gt;1&lt;/C&gt;&lt;D xsi:type="xsd:string"&gt;Q4 2026 Earnings Release (Projected)&lt;/D&gt;&lt;/FQL&gt;&lt;FQL&gt;&lt;Q&gt;MDT^CS_EVENT_DATEJ_N("ER",4)&lt;/Q&gt;&lt;R&gt;1&lt;/R&gt;&lt;C&gt;1&lt;/C&gt;&lt;D xsi:type="xsd:long"&gt;46441&lt;/D&gt;&lt;/FQL&gt;&lt;FQL&gt;&lt;Q&gt;MDT^CS_EVENT_TIME_N("ER",4)&lt;/Q&gt;&lt;R&gt;1&lt;/R&gt;&lt;C&gt;1&lt;/C&gt;&lt;D xsi:type="xsd:string"&gt;Unspecified&lt;/D&gt;&lt;/FQL&gt;&lt;FQL&gt;&lt;Q&gt;MDT^CS_EVENT_DESC_N("ER",4)&lt;/Q&gt;&lt;R&gt;1&lt;/R&gt;&lt;C&gt;1&lt;/C&gt;&lt;D xsi:type="xsd:string"&gt;Q3 2027 Earnings Release (Projected)&lt;/D&gt;&lt;/FQL&gt;&lt;FQL&gt;&lt;Q&gt;SNPS^CS_EVENT_DATEJ_N("ER",4)&lt;/Q&gt;&lt;R&gt;0&lt;/R&gt;&lt;C&gt;0&lt;/C&gt;&lt;/FQL&gt;&lt;FQL&gt;&lt;Q&gt;SNPS^CS_EVENT_TIME_N("ER",4)&lt;/Q&gt;&lt;R&gt;0&lt;/R&gt;&lt;C&gt;0&lt;/C&gt;&lt;/FQL&gt;&lt;FQL&gt;&lt;Q&gt;SNPS^CS_EVENT_DESC_N("ER",4)&lt;/Q&gt;&lt;R&gt;0&lt;/R&gt;&lt;C&gt;0&lt;/C&gt;&lt;/FQL&gt;&lt;FQL&gt;&lt;Q&gt;CSCO^CS_EVENT_DATEJ_N("ER",4)&lt;/Q&gt;&lt;R&gt;0&lt;/R&gt;&lt;C&gt;0&lt;/C&gt;&lt;/FQL&gt;&lt;FQL&gt;&lt;Q&gt;CSCO^CS_EVENT_TIME_N("ER",4)&lt;/Q&gt;&lt;R&gt;0&lt;/R&gt;&lt;C&gt;0&lt;/C&gt;&lt;/FQL&gt;&lt;FQL&gt;&lt;Q&gt;CSCO^CS_EVENT_DESC_N("ER",4)&lt;/Q&gt;&lt;R&gt;0&lt;/R&gt;&lt;C&gt;0&lt;/C&gt;&lt;/FQL&gt;&lt;FQL&gt;&lt;Q&gt;CPRT^CS_EVENT_DATEJ_N("ER",4)&lt;/Q&gt;&lt;R&gt;1&lt;/R&gt;&lt;C&gt;1&lt;/C&gt;&lt;D xsi:type="xsd:long"&gt;46443&lt;/D&gt;&lt;/FQL&gt;&lt;FQL&gt;&lt;Q&gt;CPRT^CS_EVENT_TIME_N("ER",4)&lt;/Q&gt;&lt;R&gt;1&lt;/R&gt;&lt;C&gt;1&lt;/C&gt;&lt;D xsi:type="xsd:string"&gt;Unspecified&lt;/D&gt;&lt;/FQL&gt;&lt;FQL&gt;&lt;Q&gt;CPRT^CS_EVENT_DESC_N("ER",4)&lt;/Q&gt;&lt;R&gt;1&lt;/R&gt;&lt;C&gt;1&lt;/C&gt;&lt;D xsi:type="xsd:string"&gt;Q2 2027 Earnings Release (Projected)&lt;/D&gt;&lt;/FQL&gt;&lt;FQL&gt;&lt;Q&gt;STE^CS_EVENT_DATEJ_N("ER",4)&lt;/Q&gt;&lt;R&gt;0&lt;/R&gt;&lt;C&gt;0&lt;/C&gt;&lt;/FQL&gt;&lt;FQL&gt;&lt;Q&gt;STE^CS_EVENT_TIME_N("ER",4)&lt;/Q&gt;&lt;R&gt;0&lt;/R&gt;&lt;C&gt;0&lt;/C&gt;&lt;/FQL&gt;&lt;FQL&gt;&lt;Q&gt;STE^CS_EVENT_DESC_N("ER",4)&lt;/Q&gt;&lt;R&gt;0&lt;/R&gt;&lt;C&gt;0&lt;/C&gt;&lt;/FQL&gt;&lt;FQL&gt;&lt;Q&gt;ADSK^CS_EVENT_DATEJ_N("ER",4)&lt;/Q&gt;&lt;R&gt;1&lt;/R&gt;&lt;C&gt;1&lt;/C&gt;&lt;D xsi:type="xsd:long"&gt;46443&lt;/D&gt;&lt;/FQL&gt;&lt;FQL&gt;&lt;Q&gt;ADSK^CS_EVENT_TIME_N("ER",4)&lt;/Q&gt;&lt;R&gt;1&lt;/R&gt;&lt;C&gt;1&lt;/C&gt;&lt;D xsi:type="xsd:string"&gt;Unspecified&lt;/D&gt;&lt;/FQL&gt;&lt;FQL&gt;&lt;Q&gt;ADSK^CS_EVENT_DESC_N("ER",4)&lt;/Q&gt;&lt;R&gt;1&lt;/R&gt;&lt;C&gt;1&lt;/C&gt;&lt;D xsi:type="xsd:string"&gt;Q4 2027 Earnings Release (Projected)&lt;/D&gt;&lt;/FQL&gt;&lt;FQL&gt;&lt;Q&gt;DLTR^CS_EVENT_DATEJ_N("ER",4)&lt;/Q&gt;&lt;R&gt;1&lt;/R&gt;&lt;C&gt;1&lt;/C&gt;&lt;D xsi:type="xsd:long"&gt;46449&lt;/D&gt;&lt;/FQL&gt;&lt;FQL&gt;&lt;Q&gt;DLTR^CS_EVENT_TIME_N("ER",4)&lt;/Q&gt;&lt;R&gt;1&lt;/R&gt;&lt;C&gt;1&lt;/C&gt;&lt;D xsi:type="xsd:string"&gt;Unspecified&lt;/D&gt;&lt;/FQL&gt;&lt;FQL&gt;&lt;Q&gt;DLTR^CS_EVENT_DESC_N("ER",4)&lt;/Q&gt;&lt;R&gt;1&lt;/R&gt;&lt;C&gt;1&lt;/C&gt;&lt;D xsi:type="xsd:string"&gt;Q4 2026 Earnings Release (Projected)&lt;/D&gt;&lt;/FQL&gt;&lt;FQL&gt;&lt;Q&gt;DECK^CS_EVENT_DATEJ_N("ER",4)&lt;/Q&gt;&lt;R&gt;1&lt;/R&gt;&lt;C&gt;1&lt;/C&gt;&lt;D xsi:type="xsd:long"&gt;46422&lt;/D&gt;&lt;/FQL&gt;&lt;FQL&gt;&lt;Q&gt;DECK^CS_EVENT_TIME_N("ER",4)&lt;/Q&gt;&lt;R&gt;1&lt;/R&gt;&lt;C&gt;1&lt;/C&gt;&lt;D xsi:type="xsd:string"&gt;Unspecified&lt;/D&gt;&lt;/FQL&gt;&lt;FQL&gt;&lt;Q&gt;DECK^CS_EVENT_DESC_N("ER",4)&lt;/Q&gt;&lt;R&gt;1&lt;/R&gt;&lt;C&gt;1&lt;/C&gt;&lt;D xsi:type="xsd:string"&gt;Q3 2027 Earnings Release (Projected)&lt;/D&gt;&lt;/FQL&gt;&lt;FQL&gt;&lt;Q&gt;DE^CS_EVENT_DATEJ_N("ER",4)&lt;/Q&gt;&lt;R&gt;1&lt;/R&gt;&lt;C&gt;1&lt;/C&gt;&lt;D xsi:type="xsd:long"&gt;46430&lt;/D&gt;&lt;/FQL&gt;&lt;FQL&gt;&lt;Q&gt;DE^CS_EVENT_TIME_N("ER",4)&lt;/Q&gt;&lt;R&gt;1&lt;/R&gt;&lt;C&gt;1&lt;/C&gt;&lt;D xsi:type="xsd:string"&gt;Unspecified&lt;/D&gt;&lt;/FQL&gt;&lt;FQL&gt;&lt;Q&gt;DE^CS_EVENT_DESC_N("ER",4)&lt;/Q&gt;&lt;R&gt;1&lt;/R&gt;&lt;C&gt;1&lt;/C&gt;&lt;D xsi:type="xsd:string"&gt;Q1 2027 Earnings Release (Projected)&lt;/D&gt;&lt;/FQL&gt;&lt;FQL&gt;&lt;Q&gt;RL^CS_EVENT_DATEJ_N("ER",4)&lt;/Q&gt;&lt;R&gt;1&lt;/R&gt;&lt;C&gt;1&lt;/C&gt;&lt;D xsi:type="xsd:long"&gt;46429&lt;/D&gt;&lt;/FQL&gt;&lt;FQL&gt;&lt;Q&gt;RL^CS_EVENT_TIME_N("ER",4)&lt;/Q&gt;&lt;R&gt;1&lt;/R&gt;&lt;C&gt;1&lt;/C&gt;&lt;D xsi:type="xsd:string"&gt;Unspecified&lt;/D&gt;&lt;/FQL&gt;&lt;FQL&gt;&lt;Q&gt;RL^CS_EVENT_DESC_N("ER",4)&lt;/Q&gt;&lt;R&gt;1&lt;/R&gt;&lt;C&gt;1&lt;/C&gt;&lt;D xsi:type="xsd:string"&gt;Q3 2027 Earnings Release (Projected)&lt;/D&gt;&lt;/FQL&gt;&lt;FQL&gt;&lt;Q&gt;INTU^CS_EVENT_DATEJ_N("ER",4)&lt;/Q&gt;&lt;R&gt;1&lt;/R&gt;&lt;C&gt;1&lt;/C&gt;&lt;D xsi:type="xsd:long"&gt;46443&lt;/D&gt;&lt;/FQL&gt;&lt;FQL&gt;&lt;Q&gt;INTU^CS_EVENT_TIME_N("ER",4)&lt;/Q&gt;&lt;R&gt;1&lt;/R&gt;&lt;C&gt;1&lt;/C&gt;&lt;D xsi:type="xsd:string"&gt;Unspecified&lt;/D&gt;&lt;/FQL&gt;&lt;FQL&gt;&lt;Q&gt;INTU^CS_EVENT_DESC_N("ER",4)&lt;/Q&gt;&lt;R&gt;1&lt;/R&gt;&lt;C&gt;1&lt;/C&gt;&lt;D xsi:type="xsd:string"&gt;Q2 2027 Earnings Release (Projected)&lt;/D&gt;&lt;/FQL&gt;&lt;FQL&gt;&lt;Q&gt;ULTA^CS_EVENT_DATEJ_N("ER",4)&lt;/Q&gt;&lt;R&gt;1&lt;/R&gt;&lt;C&gt;1&lt;/C&gt;&lt;D xsi:type="xsd:long"&gt;46457&lt;/D&gt;&lt;/FQL&gt;&lt;FQL&gt;&lt;Q&gt;ULTA^CS_EVENT_TIME_N("ER",4)&lt;/Q&gt;&lt;R&gt;1&lt;/R&gt;&lt;C&gt;1&lt;/C&gt;&lt;D xsi:type="xsd:string"&gt;Unspecified&lt;/D&gt;&lt;/FQL&gt;&lt;FQL&gt;&lt;Q&gt;ULTA^CS_EVENT_DESC_N("ER",4)&lt;/Q&gt;&lt;R&gt;1&lt;/R&gt;&lt;C&gt;1&lt;/C&gt;&lt;D xsi:type="xsd:string"&gt;Q4 2026 Earnings Release (Projected)&lt;/D&gt;&lt;/FQL&gt;&lt;FQL&gt;&lt;Q&gt;DG^CS_EVENT_DATEJ_N("ER",4)&lt;/Q&gt;&lt;R&gt;1&lt;/R&gt;&lt;C&gt;1&lt;/C&gt;&lt;D xsi:type="xsd:long"&gt;46464&lt;/D&gt;&lt;/FQL&gt;&lt;FQL&gt;&lt;Q&gt;DG^CS_EVENT_TIME_N("ER",4)&lt;/Q&gt;&lt;R&gt;1&lt;/R&gt;&lt;C&gt;1&lt;/C&gt;&lt;D xsi:type="xsd:string"&gt;Unspecified&lt;/D&gt;&lt;/FQL&gt;&lt;FQL&gt;&lt;Q&gt;DG^CS_EVENT_DESC_N("ER",4)&lt;/Q&gt;&lt;R&gt;1&lt;/R&gt;&lt;C&gt;1&lt;/C&gt;&lt;D xsi:type="xsd:string"&gt;Q4 2026 Earnings Release (Projected)&lt;/D&gt;&lt;/FQL&gt;&lt;FQL&gt;&lt;Q&gt;WDAY^CS_EVENT_DATEJ_N("ER",4)&lt;/Q&gt;&lt;R&gt;1&lt;/R&gt;&lt;C&gt;1&lt;/C&gt;&lt;D xsi:type="xsd:long"&gt;46447&lt;/D&gt;&lt;/FQL&gt;&lt;FQL&gt;&lt;Q&gt;WDAY^CS_EVENT_TIME_N("ER",4)&lt;/Q&gt;&lt;R&gt;1&lt;/R&gt;&lt;C&gt;1&lt;/C&gt;&lt;D xsi:type="xsd:string"&gt;Unspecified&lt;/D&gt;&lt;/FQL&gt;&lt;FQL&gt;&lt;Q&gt;WDAY^CS_EVENT_DESC_N("ER",4)&lt;/Q&gt;&lt;R&gt;1&lt;/R&gt;&lt;C&gt;1&lt;/C&gt;&lt;D xsi:type="xsd:string"&gt;Q4 2027 Earnings Release (Projected)&lt;/D&gt;&lt;/FQL&gt;&lt;FQL&gt;&lt;Q&gt;EME^CS_EVENT_DATEJ_N("ER",4)&lt;/Q&gt;&lt;R&gt;1&lt;/R&gt;&lt;C&gt;1&lt;/C&gt;&lt;D xsi:type="xsd:long"&gt;46443&lt;/D&gt;&lt;/FQL&gt;&lt;FQL&gt;&lt;Q&gt;KLAC^CS_EVENT_DATEJ_N("ER",4)&lt;/Q&gt;&lt;R&gt;1&lt;/R&gt;&lt;C&gt;1&lt;/C&gt;&lt;D xsi:type="xsd:long"&gt;46422&lt;/D&gt;&lt;/FQL&gt;&lt;FQL&gt;&lt;Q&gt;TROW^CS_EVENT_DATEJ_N("ER",4)&lt;/Q&gt;&lt;R&gt;1&lt;/R&gt;&lt;C&gt;1&lt;/C&gt;&lt;D xsi:type="xsd:long"&gt;46415&lt;/D&gt;&lt;/FQL&gt;&lt;FQL&gt;&lt;Q&gt;AXP^CS_EVENT_DATEJ_N("ER",4)&lt;/Q&gt;&lt;R&gt;1&lt;/R&gt;&lt;C&gt;1&lt;/C&gt;&lt;D xsi:type="xsd:long"&gt;46409&lt;/D&gt;&lt;/FQL&gt;&lt;FQL&gt;&lt;Q&gt;CNP^CS_EVENT_DATEJ_N("ER",4)&lt;/Q&gt;&lt;R&gt;1&lt;/R&gt;&lt;C&gt;1&lt;/C&gt;&lt;D xsi:type="xsd:long"&gt;46443&lt;/D&gt;&lt;/FQL&gt;&lt;FQL&gt;&lt;Q&gt;SLB^CS_EVENT_TIME_N("ER",4)&lt;/Q&gt;&lt;R&gt;1&lt;/R&gt;&lt;C&gt;1&lt;/C&gt;&lt;D xsi:type="xsd:string"&gt;Unspecified&lt;/D&gt;&lt;/FQL&gt;&lt;FQL&gt;&lt;Q&gt;HCA^CS_EVENT_TIME_N("ER",4)&lt;/Q&gt;&lt;R&gt;1&lt;/R&gt;&lt;C&gt;1&lt;/C&gt;&lt;D xsi:type="xsd:string"&gt;Unspecified&lt;/D&gt;&lt;/FQL&gt;&lt;FQL&gt;&lt;Q&gt;CHTR^CS_EVENT_TIME_N("ER",4)&lt;/Q&gt;&lt;R&gt;1&lt;/R&gt;&lt;C&gt;1&lt;/C&gt;&lt;D xsi:type="xsd:string"&gt;Unspecified&lt;/D&gt;&lt;/FQL&gt;&lt;FQL&gt;&lt;Q&gt;CARR^CS_EVENT_TIME_N("ER",4)&lt;/Q&gt;&lt;R&gt;1&lt;/R&gt;&lt;C&gt;1&lt;/C&gt;&lt;D xsi:type="xsd:string"&gt;Unspecified&lt;/D&gt;&lt;/FQL&gt;&lt;FQL&gt;&lt;Q&gt;CARR^CS_EVENT_DESC_N("ER",4)&lt;/Q&gt;&lt;R&gt;1&lt;/R&gt;&lt;C&gt;1&lt;/C&gt;&lt;D xsi:type="xsd:string"&gt;Q4 2026 Earnings Release (Projected)&lt;/D&gt;&lt;/FQL&gt;&lt;FQL&gt;&lt;Q&gt;CVX^CS_EVENT_TIME_N("ER",4)&lt;/Q&gt;&lt;R&gt;1&lt;/R&gt;&lt;C&gt;1&lt;/C&gt;&lt;D xsi:type="xsd:string"&gt;Unspecified&lt;/D&gt;&lt;/FQL&gt;&lt;FQL&gt;&lt;Q&gt;CVX^CS_EVENT_DESC_N("ER",4)&lt;/Q&gt;&lt;R&gt;1&lt;/R&gt;&lt;C&gt;1&lt;/C&gt;&lt;D xsi:type="xsd:string"&gt;Q4 2026 Earnings Release (Projected)&lt;/D&gt;&lt;/FQL&gt;&lt;FQL&gt;&lt;Q&gt;PG^CS_EVENT_TIME_N("ER",4)&lt;/Q&gt;&lt;R&gt;1&lt;/R&gt;&lt;C&gt;1&lt;/C&gt;&lt;D xsi:type="xsd:string"&gt;Unspecified&lt;/D&gt;&lt;/FQL&gt;&lt;FQL&gt;&lt;Q&gt;PG^CS_EVENT_DESC_N("ER",4)&lt;/Q&gt;&lt;R&gt;1&lt;/R&gt;&lt;C&gt;1&lt;/C&gt;&lt;D xsi:type="xsd:string"&gt;Q2 2027 Earnings Release (Projected)&lt;/D&gt;&lt;/FQL&gt;&lt;FQL&gt;&lt;Q&gt;NSC^CS_EVENT_TIME_N("ER",4)&lt;/Q&gt;&lt;R&gt;1&lt;/R&gt;&lt;C&gt;1&lt;/C&gt;&lt;D xsi:type="xsd:string"&gt;Unspecified&lt;/D&gt;&lt;/FQL&gt;&lt;FQL&gt;&lt;Q&gt;NSC^CS_EVENT_DESC_N("ER",4)&lt;/Q&gt;&lt;R&gt;1&lt;/R&gt;&lt;C&gt;1&lt;/C&gt;&lt;D xsi:type="xsd:string"&gt;Q4 2026 Earnings Release (Projected)&lt;/D&gt;&lt;/FQL&gt;&lt;FQL&gt;&lt;Q&gt;XOM^CS_EVENT_TIME_N("ER",4)&lt;/Q&gt;&lt;R&gt;1&lt;/R&gt;&lt;C&gt;1&lt;/C&gt;&lt;D xsi:type="xsd:string"&gt;Unspecified&lt;/D&gt;&lt;/FQL&gt;&lt;FQL&gt;&lt;Q&gt;XOM^CS_EVENT_DESC_N("ER",4)&lt;/Q&gt;&lt;R&gt;1&lt;/R&gt;&lt;C&gt;1&lt;/C&gt;&lt;D xsi:type="xsd:string"&gt;Q4 2026 Earnings Release (Projected)&lt;/D&gt;&lt;/FQL&gt;&lt;FQL&gt;&lt;Q&gt;ADI^CS_EVENT_DATEJ_N("ER",4)&lt;/Q&gt;&lt;R&gt;1&lt;/R&gt;&lt;C&gt;1&lt;/C&gt;&lt;D xsi:type="xsd:long"&gt;46435&lt;/D&gt;&lt;/FQL&gt;&lt;FQL&gt;&lt;Q&gt;ADI^CS_EVENT_TIME_N("ER",4)&lt;/Q&gt;&lt;R&gt;1&lt;/R&gt;&lt;C&gt;1&lt;/C&gt;&lt;D xsi:type="xsd:string"&gt;Unspecified&lt;/D&gt;&lt;/FQL&gt;&lt;FQL&gt;&lt;Q&gt;ADI^CS_EVENT_DESC_N("ER",4)&lt;/Q&gt;&lt;R&gt;1&lt;/R&gt;&lt;C&gt;1&lt;/C&gt;&lt;D xsi:type="xsd:string"&gt;Q1 2027 Earnings Release (Projected)&lt;/D&gt;&lt;/FQL&gt;&lt;FQL&gt;&lt;Q&gt;WSM^CS_EVENT_DATEJ_N("ER",4)&lt;/Q&gt;&lt;R&gt;1&lt;/R&gt;&lt;C&gt;1&lt;/C&gt;&lt;D xsi:type="xsd:long"&gt;46463&lt;/D&gt;&lt;/FQL&gt;&lt;FQL&gt;&lt;Q&gt;WSM^CS_EVENT_TIME_N("ER",4)&lt;/Q&gt;&lt;R&gt;1&lt;/R&gt;&lt;C&gt;1&lt;/C&gt;&lt;D xsi:type="xsd:string"&gt;Unspecified&lt;/D&gt;&lt;/FQL&gt;&lt;FQL&gt;&lt;Q&gt;WSM^CS_EVENT_DESC_N("ER",4)&lt;/Q&gt;&lt;R&gt;1&lt;/R&gt;&lt;C&gt;1&lt;/C&gt;&lt;D xsi:type="xsd:string"&gt;Q4 2026 Earnings Release (Projected)&lt;/D&gt;&lt;/FQL&gt;&lt;FQL&gt;&lt;Q&gt;BBY^CS_EVENT_DATEJ_N("ER",4)&lt;/Q&gt;&lt;R&gt;0&lt;/R&gt;&lt;C&gt;0&lt;/C&gt;&lt;/FQL&gt;&lt;FQL&gt;&lt;Q&gt;BBY^CS_EVENT_TIME_N("ER",4)&lt;/Q&gt;&lt;R&gt;0&lt;/R&gt;&lt;C&gt;0&lt;/C&gt;&lt;/FQL&gt;&lt;FQL&gt;&lt;Q&gt;BBY^CS_EVENT_DESC_N("ER",4)&lt;/Q&gt;&lt;R&gt;0&lt;/R&gt;&lt;C&gt;0&lt;/C&gt;&lt;/FQL&gt;&lt;FQL&gt;&lt;Q&gt;LOW^CS_EVENT_DATEJ_N("ER",4)&lt;/Q&gt;&lt;R&gt;1&lt;/R&gt;&lt;C&gt;1&lt;/C&gt;&lt;D xsi:type="xsd:long"&gt;46449&lt;/D&gt;&lt;/FQL&gt;&lt;FQL&gt;&lt;Q&gt;LOW^CS_EVENT_TIME_N("ER",4)&lt;/Q&gt;&lt;R&gt;1&lt;/R&gt;&lt;C&gt;1&lt;/C&gt;&lt;D xsi:type="xsd:string"&gt;Unspecified&lt;/D&gt;&lt;/FQL&gt;&lt;FQL&gt;&lt;Q&gt;LOW^CS_EVENT_DESC_N("ER",4)&lt;/Q&gt;&lt;R&gt;1&lt;/R&gt;&lt;C&gt;1&lt;/C&gt;&lt;D xsi:type="xsd:string"&gt;Q4 2026 Earnings Release (Projected)&lt;/D&gt;&lt;/FQL&gt;&lt;FQL&gt;&lt;Q&gt;COST^CS_EVENT_DATEJ_N("ER",4)&lt;/Q&gt;&lt;R&gt;1&lt;/R&gt;&lt;C&gt;1&lt;/C&gt;&lt;D xsi:type="xsd:long"&gt;46534&lt;/D&gt;&lt;/FQL&gt;&lt;FQL&gt;&lt;Q&gt;COST^CS_EVENT_TIME_N("ER",4)&lt;/Q&gt;&lt;R&gt;1&lt;/R&gt;&lt;C&gt;1&lt;/C&gt;&lt;D xsi:type="xsd:string"&gt;Unspecified&lt;/D&gt;&lt;/FQL&gt;&lt;FQL&gt;&lt;Q&gt;COST^CS_EVENT_DESC_N("ER",4)&lt;/Q&gt;&lt;R&gt;1&lt;/R&gt;&lt;C&gt;1&lt;/C&gt;&lt;D xsi:type="xsd:string"&gt;Q3 2027 Earnings Release (Projected)&lt;/D&gt;&lt;/FQL&gt;&lt;FQL&gt;&lt;Q&gt;HRL^CS_EVENT_DATEJ_N("ER",4)&lt;/Q&gt;&lt;R&gt;1&lt;/R&gt;&lt;C&gt;1&lt;/C&gt;&lt;D xsi:type="xsd:long"&gt;46450&lt;/D&gt;&lt;/FQL&gt;&lt;FQL&gt;&lt;Q&gt;HRL^CS_EVENT_TIME_N("ER",4)&lt;/Q&gt;&lt;R&gt;1&lt;/R&gt;&lt;C&gt;1&lt;/C&gt;&lt;D xsi:type="xsd:string"&gt;Unspecified&lt;/D&gt;&lt;/FQL&gt;&lt;FQL&gt;&lt;Q&gt;HRL^CS_EVENT_DESC_N("ER",4)&lt;/Q&gt;&lt;R&gt;1&lt;/R&gt;&lt;C&gt;1&lt;/C&gt;&lt;D xsi:type="xsd:string"&gt;Q1 2027 Earnings Release (Projected)&lt;/D&gt;&lt;/FQL&gt;&lt;FQL&gt;&lt;Q&gt;LULU^CS_EVENT_DATEJ_N("ER",4)&lt;/Q&gt;&lt;R&gt;1&lt;/R&gt;&lt;C&gt;1&lt;/C&gt;&lt;D xsi:type="xsd:long"&gt;46476&lt;/D&gt;&lt;/FQL&gt;&lt;FQL&gt;&lt;Q&gt;LULU^CS_EVENT_TIME_N("ER",4)&lt;/Q&gt;&lt;R&gt;1&lt;/R&gt;&lt;C&gt;1&lt;/C&gt;&lt;D xsi:type="xsd:string"&gt;Unspecified&lt;/D&gt;&lt;/FQL&gt;&lt;FQL&gt;&lt;Q&gt;LULU^CS_EVENT_DESC_N("ER",4)&lt;/Q&gt;&lt;R&gt;1&lt;/R&gt;&lt;C&gt;1&lt;/C&gt;&lt;D xsi:type="xsd:string"&gt;Q4 2026 Earnings Release (Projected)&lt;/D&gt;&lt;/FQL&gt;&lt;FQL&gt;&lt;Q&gt;NTAP^CS_EVENT_DATEJ_N("ER",4)&lt;/Q&gt;&lt;R&gt;1&lt;/R&gt;&lt;C&gt;1&lt;/C&gt;&lt;D xsi:type="xsd:long"&gt;46450&lt;/D&gt;&lt;/FQL&gt;&lt;FQL&gt;&lt;Q&gt;NTAP^CS_EVENT_TIME_N("ER",4)&lt;/Q&gt;&lt;R&gt;1&lt;/R&gt;&lt;C&gt;1&lt;/C&gt;&lt;D xsi:type="xsd:string"&gt;Unspecified&lt;/D&gt;&lt;/FQL&gt;&lt;FQL&gt;&lt;Q&gt;NTAP^CS_EVENT_DESC_N("ER",4)&lt;/Q&gt;&lt;R&gt;1&lt;/R&gt;&lt;C&gt;1&lt;/C&gt;&lt;D xsi:type="xsd:string"&gt;Q3 2027 Earnings Release&lt;/D&gt;&lt;/FQL&gt;&lt;FQL&gt;&lt;Q&gt;DELL^CS_EVENT_DATEJ_N("ER",4)&lt;/Q&gt;&lt;R&gt;1&lt;/R&gt;&lt;C&gt;1&lt;/C&gt;&lt;D xsi:type="xsd:long"&gt;46450&lt;/D&gt;&lt;/FQL&gt;&lt;FQL&gt;&lt;Q&gt;DELL^CS_EVENT_TIME_N("ER",4)&lt;/Q&gt;&lt;R&gt;1&lt;/R&gt;&lt;C&gt;1&lt;/C&gt;&lt;D xsi:type="xsd:string"&gt;Unspecified&lt;/D&gt;&lt;/FQL&gt;&lt;FQL&gt;&lt;Q&gt;DELL^CS_EVENT_DESC_N("ER",4)&lt;/Q&gt;&lt;R&gt;1&lt;/R&gt;&lt;C&gt;1&lt;/C&gt;&lt;D xsi:type="xsd:string"&gt;Q4 2027 Earnings Release (Projected)&lt;/D&gt;&lt;/FQL&gt;&lt;FQL&gt;&lt;Q&gt;CRWD^CS_EVENT_DATEJ_N("ER",4)&lt;/Q&gt;&lt;R&gt;1&lt;/R&gt;&lt;C&gt;1&lt;/C&gt;&lt;D xsi:type="xsd:long"&gt;46455&lt;/D&gt;&lt;/FQL&gt;&lt;FQL&gt;&lt;Q&gt;CRWD^CS_EVENT_TIME_N("ER",4)&lt;/Q&gt;&lt;R&gt;1&lt;/R&gt;&lt;C&gt;1&lt;/C&gt;&lt;D xsi:type="xsd:string"&gt;Unspecified&lt;/D&gt;&lt;/FQL&gt;&lt;FQL&gt;&lt;Q&gt;CRWD^CS_EVENT_DESC_N("ER",4)&lt;/Q&gt;&lt;R&gt;1&lt;/R&gt;&lt;C&gt;1&lt;/C&gt;&lt;D xsi:type="xsd:string"&gt;Q4 2027 Earnings Release (Projected)&lt;/D&gt;&lt;/FQL&gt;&lt;FQL&gt;&lt;Q&gt;COO^CS_EVENT_DATEJ_N("ER",4)&lt;/Q&gt;&lt;R&gt;0&lt;/R&gt;&lt;C&gt;0&lt;/C&gt;&lt;/FQL&gt;&lt;FQL&gt;&lt;Q&gt;COO^CS_EVENT_TIME_N("ER",4)&lt;/Q&gt;&lt;R&gt;0&lt;/R&gt;&lt;C&gt;0&lt;/C&gt;&lt;/FQL&gt;&lt;FQL&gt;&lt;Q&gt;COO^CS_EVENT_DESC_N("ER",4)&lt;/Q&gt;&lt;R&gt;0&lt;/R&gt;&lt;C&gt;0&lt;/C&gt;&lt;/FQL&gt;&lt;FQL&gt;&lt;Q&gt;HPE^CS_EVENT_DATEJ_N("ER",4)&lt;/Q&gt;&lt;R&gt;1&lt;/R&gt;&lt;C&gt;1&lt;/C&gt;&lt;D xsi:type="xsd:long"&gt;46448&lt;/D&gt;&lt;/FQL&gt;&lt;FQL&gt;&lt;Q&gt;HPE^CS_EVENT_TIME_N("ER",4)&lt;/Q&gt;&lt;R&gt;1&lt;/R&gt;&lt;C&gt;1&lt;/C&gt;&lt;D xsi:type="xsd:string"&gt;Unspecified&lt;/D&gt;&lt;/FQL&gt;&lt;FQL&gt;&lt;Q&gt;HPE^CS_EVENT_DESC_N("ER",4)&lt;/Q&gt;&lt;R&gt;1&lt;/R&gt;&lt;C&gt;1&lt;/C&gt;&lt;D xsi:type="xsd:string"&gt;Q1 2027 Earnings Release (Projected)&lt;/D&gt;&lt;/FQL&gt;&lt;FQL&gt;&lt;Q&gt;CRM^CS_EVENT_DATEJ_N("ER",4)&lt;/Q&gt;&lt;R&gt;1&lt;/R&gt;&lt;C&gt;1&lt;/C&gt;&lt;D xsi:type="xsd:long"&gt;46449&lt;/D&gt;&lt;/FQL&gt;&lt;FQL&gt;&lt;Q&gt;CRM^CS_EVENT_TIME_N("ER",4)&lt;/Q&gt;&lt;R&gt;1&lt;/R&gt;&lt;C&gt;1&lt;/C&gt;&lt;D xsi:type="xsd:string"&gt;Unspecified&lt;/D&gt;&lt;/FQL&gt;&lt;FQL&gt;&lt;Q&gt;CRM^CS_EVENT_DESC_N("ER",4)&lt;/Q&gt;&lt;R&gt;1&lt;/R&gt;&lt;C&gt;1&lt;/C&gt;&lt;D xsi:type="xsd:string"&gt;Q4 2027 Earnings Release (Projected)&lt;/D&gt;&lt;/FQL&gt;&lt;FQL&gt;&lt;Q&gt;HPQ^CS_EVENT_DATEJ_N("ER",4)&lt;/Q&gt;&lt;R&gt;1&lt;/R&gt;&lt;C&gt;1&lt;/C&gt;&lt;D xsi:type="xsd:long"&gt;46448&lt;/D&gt;&lt;/FQL&gt;&lt;FQL&gt;&lt;Q&gt;HPQ^CS_EVENT_TIME_N("ER",4)&lt;/Q&gt;&lt;R&gt;1&lt;/R&gt;&lt;C&gt;1&lt;/C&gt;&lt;D xsi:type="xsd:string"&gt;Unspecified&lt;/D&gt;&lt;/FQL&gt;&lt;FQL&gt;&lt;Q&gt;HPQ^CS_EVENT_DESC_N("ER",4)&lt;/Q&gt;&lt;R&gt;1&lt;/R&gt;&lt;C&gt;1&lt;/C&gt;&lt;D xsi:type="xsd:string"&gt;Q1 2027 Earnings Release (Projected)&lt;/D&gt;&lt;/FQL&gt;&lt;FQL&gt;&lt;Q&gt;SJM^CS_EVENT_DATEJ_N("ER",4)&lt;/Q&gt;&lt;R&gt;1&lt;/R&gt;&lt;C&gt;1&lt;/C&gt;&lt;D xsi:type="xsd:long"&gt;46448&lt;/D&gt;&lt;/FQL&gt;&lt;FQL&gt;&lt;Q&gt;SJM^CS_EVENT_TIME_N("ER",4)&lt;/Q&gt;&lt;R&gt;1&lt;/R&gt;&lt;C&gt;1&lt;/C&gt;&lt;D xsi:type="xsd:string"&gt;Unspecified&lt;/D&gt;&lt;/FQL&gt;&lt;FQL&gt;&lt;Q&gt;SJM^CS_EVENT_DESC_N("ER",4)&lt;/Q&gt;&lt;R&gt;1&lt;/R&gt;&lt;C&gt;1&lt;/C&gt;&lt;D xsi:type="xsd:string"&gt;Q3 2027 Earnings Release (Projected)&lt;/D&gt;&lt;/FQL&gt;&lt;FQL&gt;&lt;Q&gt;CIEN^CS_EVENT_DATEJ_N("ER",4)&lt;/Q&gt;&lt;R&gt;1&lt;/R&gt;&lt;C&gt;1&lt;/C&gt;&lt;D xsi:type="xsd:long"&gt;46454&lt;/D&gt;&lt;/FQL&gt;&lt;FQL&gt;&lt;Q&gt;CIEN^CS_EVENT_TIME_N("ER",4)&lt;/Q&gt;&lt;R&gt;1&lt;/R&gt;&lt;C&gt;1&lt;/C&gt;&lt;D xsi:type="xsd:string"&gt;Unspecified&lt;/D&gt;&lt;/FQL&gt;&lt;FQL&gt;&lt;Q&gt;CIEN^CS_EVENT_DESC_N("ER",4)&lt;/Q&gt;&lt;R&gt;1&lt;/R&gt;&lt;C&gt;1&lt;/C&gt;&lt;D xsi:type="xsd:string"&gt;Q1 2027 Earnings Release (Projected)&lt;/D&gt;&lt;/FQL&gt;&lt;FQL&gt;&lt;Q&gt;AVGO^CS_EVENT_DATEJ_N("ER",4)&lt;/Q&gt;&lt;R&gt;1&lt;/R&gt;&lt;C&gt;1&lt;/C&gt;&lt;D xsi:type="xsd:long"&gt;46457&lt;/D&gt;&lt;/FQL&gt;&lt;FQL&gt;&lt;Q&gt;AVGO^CS_EVENT_TIME_N("ER",4)&lt;/Q&gt;&lt;R&gt;1&lt;/R&gt;&lt;C&gt;1&lt;/C&gt;&lt;D xsi:type="xsd:string"&gt;Unspecified&lt;/D&gt;&lt;/FQL&gt;&lt;FQL&gt;&lt;Q&gt;AVGO^CS_EVENT_DESC_N("ER",4)&lt;/Q&gt;&lt;R&gt;1&lt;/R&gt;&lt;C&gt;1&lt;/C&gt;&lt;D xsi:type="xsd:string"&gt;Q1 2027 Earnings Release (Projected)&lt;/D&gt;&lt;/FQL&gt;&lt;FQL&gt;&lt;Q&gt;CPB^CS_EVENT_DATEJ_N("ER",4)&lt;/Q&gt;&lt;R&gt;0&lt;/R&gt;&lt;C&gt;0&lt;/C&gt;&lt;/FQL&gt;&lt;FQL&gt;&lt;Q&gt;CPB^CS_EVENT_TIME_N("ER",4)&lt;/Q&gt;&lt;R&gt;0&lt;/R&gt;&lt;C&gt;0&lt;/C&gt;&lt;/FQL&gt;&lt;FQL&gt;&lt;Q&gt;CPB^CS_EVENT_DESC_N("ER",4)&lt;/Q&gt;&lt;R&gt;0&lt;/R&gt;&lt;C&gt;0&lt;/C&gt;&lt;/FQL&gt;&lt;FQL&gt;&lt;Q&gt;BF.B^CS_EVENT_DATEJ_N("ER",4)&lt;/Q&gt;&lt;R&gt;1&lt;/R&gt;&lt;C&gt;1&lt;/C&gt;&lt;D xsi:type="xsd:long"&gt;46456&lt;/D&gt;&lt;/FQL&gt;&lt;FQL&gt;&lt;Q&gt;BF.B^CS_EVENT_TIME_N("ER",4)&lt;/Q&gt;&lt;R&gt;1&lt;/R&gt;&lt;C&gt;1&lt;/C&gt;&lt;D xsi:type="xsd:string"&gt;Unspecified&lt;/D&gt;&lt;/FQL&gt;&lt;FQL&gt;&lt;Q&gt;BF.B^CS_EVENT_DESC_N("ER",4)&lt;/Q&gt;&lt;R&gt;1&lt;/R&gt;&lt;C&gt;1&lt;/C&gt;&lt;D xsi:type="xsd:string"&gt;Q3 2027 Earnings Release (Projected)&lt;/D&gt;&lt;/FQL&gt;&lt;FQL&gt;&lt;Q&gt;ADBE^CS_EVENT_DATEJ_N("ER",4)&lt;/Q&gt;&lt;R&gt;1&lt;/R&gt;&lt;C&gt;1&lt;/C&gt;&lt;D xsi:type="xsd:long"&gt;46464&lt;/D&gt;&lt;/FQL&gt;&lt;FQL&gt;&lt;Q&gt;ADBE^CS_EVENT_TIME_N("ER",4)&lt;/Q&gt;&lt;R&gt;1&lt;/R&gt;&lt;C&gt;1&lt;/C&gt;&lt;D xsi:type="xsd:string"&gt;Unspecified&lt;/D&gt;&lt;/FQL&gt;&lt;FQL&gt;&lt;Q&gt;ADBE^CS_EVENT_DESC_N("ER",4)&lt;/Q&gt;&lt;R&gt;1&lt;/R&gt;&lt;C&gt;1&lt;/C&gt;&lt;D xsi:type="xsd:string"&gt;Q1 2027 Earnings Release (Projected)&lt;/D&gt;&lt;/FQL&gt;&lt;FQL&gt;&lt;Q&gt;KR^CS_EVENT_DATEJ_N("ER",4)&lt;/Q&gt;&lt;R&gt;1&lt;/R&gt;&lt;C&gt;1&lt;/C&gt;&lt;D xsi:type="xsd:long"&gt;46450&lt;/D&gt;&lt;/FQL&gt;&lt;FQL&gt;&lt;Q&gt;KR^CS_EVENT_TIME_N("ER",4)&lt;/Q&gt;&lt;R&gt;1&lt;/R&gt;&lt;C&gt;1&lt;/C&gt;&lt;D xsi:type="xsd:string"&gt;Unspecified&lt;/D&gt;&lt;/FQL&gt;&lt;FQL&gt;&lt;Q&gt;KR^CS_EVENT_DESC_N("ER",4)&lt;/Q&gt;&lt;R&gt;1&lt;/R&gt;&lt;C&gt;1&lt;/C&gt;&lt;D xsi:type="xsd:string"&gt;Q4 2026 Earnings Release (Projected)&lt;/D&gt;&lt;/FQL&gt;&lt;FQL&gt;&lt;Q&gt;ORCL^CS_EVENT_DATEJ_N("ER",4)&lt;/Q&gt;&lt;R&gt;0&lt;/R&gt;&lt;C&gt;0&lt;/C&gt;&lt;/FQL&gt;&lt;FQL&gt;&lt;Q&gt;ORCL^CS_EVENT_TIME_N("ER",4)&lt;/Q&gt;&lt;R&gt;0&lt;/R&gt;&lt;C&gt;0&lt;/C&gt;&lt;/FQL&gt;&lt;FQL&gt;&lt;Q&gt;ORCL^CS_EVENT_DESC_N("ER",4)&lt;/Q&gt;&lt;R&gt;0&lt;/R&gt;&lt;C&gt;0&lt;/C&gt;&lt;/FQL&gt;&lt;FQL&gt;&lt;Q&gt;CARR^CS_EVENT_DATEJ_N("ER",4)&lt;/Q&gt;&lt;R&gt;1&lt;/R&gt;&lt;C&gt;1&lt;/C&gt;&lt;D xsi:type="xsd:long"&gt;46427&lt;/D&gt;&lt;/FQL&gt;&lt;FQL&gt;&lt;Q&gt;CVX^CS_EVENT_DATEJ_N("ER",4)&lt;/Q&gt;&lt;R&gt;1&lt;/R&gt;&lt;C&gt;1&lt;/C&gt;&lt;D xsi:type="xsd:long"&gt;46409&lt;/D&gt;&lt;/FQL&gt;&lt;FQL&gt;&lt;Q&gt;PG^CS_EVENT_DATEJ_N("ER",4)&lt;/Q&gt;&lt;R&gt;1&lt;/R&gt;&lt;C&gt;1&lt;/C&gt;&lt;D xsi:type="xsd:long"&gt;46407&lt;/D&gt;&lt;/FQL&gt;&lt;FQL&gt;&lt;Q&gt;NSC^CS_EVENT_DATEJ_N("ER",4)&lt;/Q&gt;&lt;R&gt;1&lt;/R&gt;&lt;C&gt;1&lt;/C&gt;&lt;D xsi:type="xsd:long"&gt;46414&lt;/D&gt;&lt;/FQL&gt;&lt;FQL&gt;&lt;Q&gt;XOM^CS_EVENT_DATEJ_N("ER",4)&lt;/Q&gt;&lt;R&gt;1&lt;/R&gt;&lt;C&gt;1&lt;/C&gt;&lt;D xsi:type="xsd:long"&gt;46420&lt;/D&gt;&lt;/FQL&gt;&lt;FQL&gt;&lt;Q&gt;SLB^CS_EVENT_DATEJ_N("ER",4)&lt;/Q&gt;&lt;R&gt;1&lt;/R&gt;&lt;C&gt;1&lt;/C&gt;&lt;D xsi:type="xsd:long"&gt;46402&lt;/D&gt;&lt;/FQL&gt;&lt;FQL&gt;&lt;Q&gt;HCA^CS_EVENT_DATEJ_N("ER",4)&lt;/Q&gt;&lt;R&gt;1&lt;/R&gt;&lt;C&gt;1&lt;/C&gt;&lt;D xsi:type="xsd:long"&gt;46420&lt;/D&gt;&lt;/FQL&gt;&lt;FQL&gt;&lt;Q&gt;CHTR^CS_EVENT_DATEJ_N("ER",4)&lt;/Q&gt;&lt;R&gt;1&lt;/R&gt;&lt;C&gt;1&lt;/C&gt;&lt;D xsi:type="xsd:long"&gt;46416&lt;/D&gt;&lt;/FQL&gt;&lt;FQL&gt;&lt;Q&gt;GILD^CS_EVENT_DATEJ_N("ER",4)&lt;/Q&gt;&lt;R&gt;0&lt;/R&gt;&lt;C&gt;0&lt;/C&gt;&lt;/FQL&gt;&lt;FQL&gt;&lt;Q&gt;GILD^CS_EVENT_TIME_N("ER",4)&lt;/Q&gt;&lt;R&gt;0&lt;/R&gt;&lt;C&gt;0&lt;/C&gt;&lt;/FQL&gt;&lt;FQL&gt;&lt;Q&gt;GILD^CS_EVENT_DESC_N("ER",4)&lt;/Q&gt;&lt;R&gt;0&lt;/R&gt;&lt;C&gt;0&lt;/C&gt;&lt;/FQL&gt;&lt;FQL&gt;&lt;Q&gt;ERIE^CS_EVENT_DATEJ_N("ER",4)&lt;/Q&gt;&lt;R&gt;1&lt;/R&gt;&lt;C&gt;1&lt;/C&gt;&lt;D xsi:type="xsd:long"&gt;46447&lt;/D&gt;&lt;/FQL&gt;&lt;FQL&gt;&lt;Q&gt;ERIE^CS_EVENT_TIME_N("ER",4)&lt;/Q&gt;&lt;R&gt;1&lt;/R&gt;&lt;C&gt;1&lt;/C&gt;&lt;D xsi:type="xsd:string"&gt;Unspecified&lt;/D&gt;&lt;/FQL&gt;&lt;FQL&gt;&lt;Q&gt;ERIE^CS_EVENT_DESC_N("ER",4)&lt;/Q&gt;&lt;R&gt;1&lt;/R&gt;&lt;C&gt;1&lt;/C&gt;&lt;D xsi:type="xsd:string"&gt;Q4 2026 Earnings Release (Projected)&lt;/D&gt;&lt;/FQL&gt;&lt;FQL&gt;&lt;Q&gt;DOV^CS_EVENT_DATEJ_N("ER",4)&lt;/Q&gt;&lt;R&gt;1&lt;/R&gt;&lt;C&gt;1&lt;/C&gt;&lt;D xsi:type="xsd:long"&gt;46422&lt;/D&gt;&lt;/FQL&gt;&lt;FQL&gt;&lt;Q&gt;DOV^CS_EVENT_TIME_N("ER",4)&lt;/Q&gt;&lt;R&gt;1&lt;/R&gt;&lt;C&gt;1&lt;/C&gt;&lt;D xsi:type="xsd:string"&gt;Unspecified&lt;/D&gt;&lt;/FQL&gt;&lt;FQL&gt;&lt;Q&gt;DOV^CS_EVENT_DESC_N("ER",4)&lt;/Q&gt;&lt;R&gt;1&lt;/R&gt;&lt;C&gt;1&lt;/C&gt;&lt;D xsi:type="xsd:string"&gt;Q4 2026 Earnings Release (Projected)&lt;/D&gt;&lt;/FQL&gt;&lt;FQL&gt;&lt;Q&gt;DTE^CS_EVENT_DATEJ_N("ER",4)&lt;/Q&gt;&lt;R&gt;1&lt;/R&gt;&lt;C&gt;1&lt;/C&gt;&lt;D xsi:type="xsd:long"&gt;46430&lt;/D&gt;&lt;/FQL&gt;&lt;FQL&gt;&lt;Q&gt;DTE^CS_EVENT_TIME_N("ER",4)&lt;/Q&gt;&lt;R&gt;1&lt;/R&gt;&lt;C&gt;1&lt;/C&gt;&lt;D xsi:type="xsd:string"&gt;Unspecified&lt;/D&gt;&lt;/FQL&gt;&lt;FQL&gt;&lt;Q&gt;DTE^CS_EVENT_DESC_N("ER",4)&lt;/Q&gt;&lt;R&gt;1&lt;/R&gt;&lt;C&gt;1&lt;/C&gt;&lt;D xsi:type="xsd:string"&gt;Q4 2026 Earnings Release (Projected)&lt;/D&gt;&lt;/FQL&gt;&lt;FQL&gt;&lt;Q&gt;HAS^CS_EVENT_DATEJ_N("ER",4)&lt;/Q&gt;&lt;R&gt;1&lt;/R&gt;&lt;C&gt;1&lt;/C&gt;&lt;D xsi:type="xsd:long"&gt;46434&lt;/D&gt;&lt;/FQL&gt;&lt;FQL&gt;&lt;Q&gt;HAS^CS_EVENT_TIME_N("ER",4)&lt;/Q&gt;&lt;R&gt;1&lt;/R&gt;&lt;C&gt;1&lt;/C&gt;&lt;D xsi:type="xsd:string"&gt;Unspecified&lt;/D&gt;&lt;/FQL&gt;&lt;FQL&gt;&lt;Q&gt;HAS^CS_EVENT_DESC_N("ER",4)&lt;/Q&gt;&lt;R&gt;1&lt;/R&gt;&lt;C&gt;1&lt;/C&gt;&lt;D xsi:type="xsd:string"&gt;Q4 2026 Earnings Release (Projected)&lt;/D&gt;&lt;/FQL&gt;&lt;FQL&gt;&lt;Q&gt;AMZN^CS_EVENT_DATEJ_N("ER",4)&lt;/Q&gt;&lt;R&gt;1&lt;/R&gt;&lt;C&gt;1&lt;/C&gt;&lt;D xsi:type="xsd:long"&gt;46422&lt;/D&gt;&lt;/FQL&gt;&lt;FQL&gt;&lt;Q&gt;AMZN^CS_EVENT_TIME_N("ER",4)&lt;/Q&gt;&lt;R&gt;1&lt;/R&gt;&lt;C&gt;1&lt;/C&gt;&lt;D xsi:type="xsd:string"&gt;Unspecified&lt;/D&gt;&lt;/FQL&gt;&lt;FQL&gt;&lt;Q&gt;AMZN^CS_EVENT_DESC_N("ER",4)&lt;/Q&gt;&lt;R&gt;1&lt;/R&gt;&lt;C&gt;1&lt;/C&gt;&lt;D xsi:type="xsd:string"&gt;Q4 2026 Earnings Release (Projected)&lt;/D&gt;&lt;/FQL&gt;&lt;FQL&gt;&lt;Q&gt;HIG^CS_EVENT_DATEJ_N("ER",4)&lt;/Q&gt;&lt;R&gt;1&lt;/R&gt;&lt;C&gt;1&lt;/C&gt;&lt;D xsi:type="xsd:long"&gt;46422&lt;/D&gt;&lt;/FQL&gt;&lt;FQL&gt;&lt;Q&gt;HIG^CS_EVENT_TIME_N("ER",4)&lt;/Q&gt;&lt;R&gt;1&lt;/R&gt;&lt;C&gt;1&lt;/C&gt;&lt;D xsi:type="xsd:string"&gt;Unspecified&lt;/D&gt;&lt;/FQL&gt;&lt;FQL&gt;&lt;Q&gt;HIG^CS_EVENT_DESC_N("ER",4)&lt;/Q&gt;&lt;R&gt;1&lt;/R&gt;&lt;C&gt;1&lt;/C&gt;&lt;D xsi:type="xsd:string"&gt;Q4 2026 Earnings Release (Projected)&lt;/D&gt;&lt;/FQL&gt;&lt;FQL&gt;&lt;Q&gt;HBAN^CS_EVENT_DATEJ_N("ER",4)&lt;/Q&gt;&lt;R&gt;1&lt;/R&gt;&lt;C&gt;1&lt;/C&gt;&lt;D xsi:type="xsd:long"&gt;46415&lt;/D&gt;&lt;/FQL&gt;&lt;FQL&gt;&lt;Q&gt;HBAN^CS_EVENT_TIME_N("ER",4)&lt;/Q&gt;&lt;R&gt;1&lt;/R&gt;&lt;C&gt;1&lt;/C&gt;&lt;D xsi:type="xsd:string"&gt;Unspecified&lt;/D&gt;&lt;/FQL&gt;&lt;FQL&gt;&lt;Q&gt;HBAN^CS_EVENT_DESC_N("ER",4)&lt;/Q&gt;&lt;R&gt;1&lt;/R&gt;&lt;C&gt;1&lt;/C&gt;&lt;D xsi:type="xsd:string"&gt;Q4 2026 Earnings Release (Projected)&lt;/D&gt;&lt;/FQL&gt;&lt;FQL&gt;&lt;Q&gt;PFG^CS_EVENT_DATEJ_N("ER",4)&lt;/Q&gt;&lt;R&gt;1&lt;/R&gt;&lt;C&gt;1&lt;/C&gt;&lt;D xsi:type="xsd:long"&gt;46428&lt;/D&gt;&lt;/FQL&gt;&lt;FQL&gt;&lt;Q&gt;INTC^CS_EVENT_DATEJ_N("ER",4)&lt;/Q&gt;&lt;R&gt;1&lt;/R&gt;&lt;C&gt;1&lt;/C&gt;&lt;D xsi:type="xsd:long"&gt;46415&lt;/D&gt;&lt;/FQL&gt;&lt;FQL&gt;&lt;Q&gt;FE^CS_EVENT_DATEJ_N("ER",4)&lt;/Q&gt;&lt;R&gt;1&lt;/R&gt;&lt;C&gt;1&lt;/C&gt;&lt;D xsi:type="xsd:long"&gt;46429&lt;/D&gt;&lt;/FQL&gt;&lt;FQL&gt;&lt;Q&gt;CAT^CS_EVENT_DATEJ_N("ER",4)&lt;/Q&gt;&lt;R&gt;1&lt;/R&gt;&lt;C&gt;1&lt;/C&gt;&lt;D xsi:type="xsd:long"&gt;46422&lt;/D&gt;&lt;/FQL&gt;&lt;FQL&gt;&lt;Q&gt;MCD^CS_EVENT_DATEJ_N("ER",4)&lt;/Q&gt;&lt;R&gt;1&lt;/R&gt;&lt;C&gt;1&lt;/C&gt;&lt;D xsi:type="xsd:long"&gt;46415&lt;/D&gt;&lt;/FQL&gt;&lt;FQL&gt;&lt;Q&gt;KLAC^CS_EVENT_DESC_N("ER",4)&lt;/Q&gt;&lt;R&gt;1&lt;/R&gt;&lt;C&gt;1&lt;/C&gt;&lt;D xsi:type="xsd:string"&gt;Q2 2027 Earnings Release (Projected)&lt;/D&gt;&lt;/FQL&gt;&lt;FQL&gt;&lt;Q&gt;TROW^CS_EVENT_DESC_N("ER",4)&lt;/Q&gt;&lt;R&gt;1&lt;/R&gt;&lt;C&gt;1&lt;/C&gt;&lt;D xsi:type="xsd:string"&gt;Q4 2026 Earnings Release (Projected)&lt;/D&gt;&lt;/FQL&gt;&lt;FQL&gt;&lt;Q&gt;AXP^CS_EVENT_DESC_N("ER",4)&lt;/Q&gt;&lt;R&gt;1&lt;/R&gt;&lt;C&gt;1&lt;/C&gt;&lt;D xsi:type="xsd:string"&gt;Q4 2026 Earnings Release (Projected)&lt;/D&gt;&lt;/FQL&gt;&lt;FQL&gt;&lt;Q&gt;CNP^CS_EVENT_DESC_N("ER",4)&lt;/Q&gt;&lt;R&gt;1&lt;/R&gt;&lt;C&gt;1&lt;/C&gt;&lt;D xsi:type="xsd:string"&gt;Q4 2026 Earnings Release (Projected)&lt;/D&gt;&lt;/FQL&gt;&lt;FQL&gt;&lt;Q&gt;WDC^CS_EVENT_DESC_N("ER",4)&lt;/Q&gt;&lt;R&gt;1&lt;/R&gt;&lt;C&gt;1&lt;/C&gt;&lt;D xsi:type="xsd:string"&gt;Q2 2027 Earnings Release (Projected)&lt;/D&gt;&lt;/FQL&gt;&lt;FQL&gt;&lt;Q&gt;PM^CS_EVENT_DESC_N("ER",4)&lt;/Q&gt;&lt;R&gt;1&lt;/R&gt;&lt;C&gt;1&lt;/C&gt;&lt;D xsi:type="xsd:string"&gt;Q4 2026 Earnings Release (Projected)&lt;/D&gt;&lt;/FQL&gt;&lt;FQL&gt;&lt;Q&gt;GEV^CS_EVENT_DESC_N("ER",4)&lt;/Q&gt;&lt;R&gt;1&lt;/R&gt;&lt;C&gt;1&lt;/C&gt;&lt;D xsi:type="xsd:string"&gt;Q1 2027 Earnings Release (Projected)&lt;/D&gt;&lt;/FQL&gt;&lt;FQL&gt;&lt;Q&gt;PHM^CS_EVENT_DESC_N("ER",4)&lt;/Q&gt;&lt;R&gt;1&lt;/R&gt;&lt;C&gt;1&lt;/C&gt;&lt;D xsi:type="xsd:string"&gt;Q4 2026 Earnings Release (Projected)&lt;/D&gt;&lt;/FQL&gt;&lt;FQL&gt;&lt;Q&gt;CPT^CS_EVENT_DESC_N("ER",4)&lt;/Q&gt;&lt;R&gt;1&lt;/R&gt;&lt;C&gt;1&lt;/C&gt;&lt;D xsi:type="xsd:string"&gt;Q4 2026 Earnings Release (Projected)&lt;/D&gt;&lt;/FQL&gt;&lt;FQL&gt;&lt;Q&gt;WST^CS_EVENT_DESC_N("ER",4)&lt;/Q&gt;&lt;R&gt;1&lt;/R&gt;&lt;C&gt;1&lt;/C&gt;&lt;D xsi:type="xsd:string"&gt;Q4 2026 Earnings Release (Projected)&lt;/D&gt;&lt;/FQL&gt;&lt;FQL&gt;&lt;Q&gt;RMD^CS_EVENT_DESC_N("ER",4)&lt;/Q&gt;&lt;R&gt;1&lt;/R&gt;&lt;C&gt;1&lt;/C&gt;&lt;D xsi:type="xsd:string"&gt;Q2 2027 Earnings Release (Projected)&lt;/D&gt;&lt;/FQL&gt;&lt;FQL&gt;&lt;Q&gt;HON^CS_EVENT_DESC_N("ER",4)&lt;/Q&gt;&lt;R&gt;1&lt;/R&gt;&lt;C&gt;1&lt;/C&gt;&lt;D xsi:type="xsd:string"&gt;Q1 2027 Earnings Release (Projected)&lt;/D&gt;&lt;/FQL&gt;&lt;FQL&gt;&lt;Q&gt;PCG^CS_EVENT_DESC_N("ER",4)&lt;/Q&gt;&lt;R&gt;1&lt;/R&gt;&lt;C&gt;1&lt;/C&gt;&lt;D xsi:type="xsd:string"&gt;Q4 2026 Earnings Release (Projected)&lt;/D&gt;&lt;/FQL&gt;&lt;FQL&gt;&lt;Q&gt;MCK^CS_EVENT_DATEJ_N("ER",4)&lt;/Q&gt;&lt;R&gt;1&lt;/R&gt;&lt;C&gt;1&lt;/C&gt;&lt;D xsi:type="xsd:long"&gt;46428&lt;/D&gt;&lt;/FQL&gt;&lt;FQL&gt;&lt;Q&gt;MCK^CS_EVENT_TIME_N("ER",4)&lt;/Q&gt;&lt;R&gt;1&lt;/R&gt;&lt;C&gt;1&lt;/C&gt;&lt;D xsi:type="xsd:string"&gt;Unspecified&lt;/D&gt;&lt;/FQL&gt;&lt;FQL&gt;&lt;Q&gt;MCK^CS_EVENT_DESC_N("ER",4)&lt;/Q&gt;&lt;R&gt;1&lt;/R&gt;&lt;C&gt;1&lt;/C&gt;&lt;D xsi:type="xsd:string"&gt;Q3 2027 Earnings Release (Projected)&lt;/D&gt;&lt;/FQL&gt;&lt;FQL&gt;&lt;Q&gt;AKAM^CS_EVENT_DATEJ_N("ER",4)&lt;/Q&gt;&lt;R&gt;1&lt;/R&gt;&lt;C&gt;1&lt;/C&gt;&lt;D xsi:type="xsd:long"&gt;46434&lt;/D&gt;&lt;/FQL&gt;&lt;FQL&gt;&lt;Q&gt;AKAM^CS_EVENT_TIME_N("ER",4)&lt;/Q&gt;&lt;R&gt;1&lt;/R&gt;&lt;C&gt;1&lt;/C&gt;&lt;D xsi:type="xsd:string"&gt;Unspecified&lt;/D&gt;&lt;/FQL&gt;&lt;FQL&gt;&lt;Q&gt;AKAM^CS_EVENT_DESC_N("ER",4)&lt;/Q&gt;&lt;R&gt;1&lt;/R&gt;&lt;C&gt;1&lt;/C&gt;&lt;D xsi:type="xsd:string"&gt;Q4 2026 Earnings Release (Projected)&lt;/D&gt;&lt;/FQL&gt;&lt;FQL&gt;&lt;Q&gt;GWW^CS_EVENT_DATEJ_N("ER",4)&lt;/Q&gt;&lt;R&gt;1&lt;/R&gt;&lt;C&gt;1&lt;/C&gt;&lt;D xsi:type="xsd:long"&gt;46420&lt;/D&gt;&lt;/FQL&gt;&lt;FQL&gt;&lt;Q&gt;GWW^CS_EVENT_TIME_N("ER",4)&lt;/Q&gt;&lt;R&gt;1&lt;/R&gt;&lt;C&gt;1&lt;/C&gt;&lt;D xsi:type="xsd:string"&gt;8:00 AM&lt;/D&gt;&lt;/FQL&gt;&lt;FQL&gt;&lt;Q&gt;GWW^CS_EVENT_DESC_N("ER",4)&lt;/Q&gt;&lt;R&gt;1&lt;/R&gt;&lt;C&gt;1&lt;/C&gt;&lt;D xsi:type="xsd:string"&gt;Q4 2026 Earnings Release&lt;/D&gt;&lt;/FQL&gt;&lt;FQL&gt;&lt;Q&gt;CRL^CS_EVENT_DATEJ_N("ER",4)&lt;/Q&gt;&lt;R&gt;1&lt;/R&gt;&lt;C&gt;1&lt;/C&gt;&lt;D xsi:type="xsd:long"&gt;46442&lt;/D&gt;&lt;/FQL&gt;&lt;FQL&gt;&lt;Q&gt;CRL^CS_EVENT_TIME_N("ER",4)&lt;/Q&gt;&lt;R&gt;1&lt;/R&gt;&lt;C&gt;1&lt;/C&gt;&lt;D xsi:type="xsd:string"&gt;Unspecified&lt;/D&gt;&lt;/FQL&gt;&lt;FQL&gt;&lt;Q&gt;CRL^CS_EVENT_DESC_N("ER",4)&lt;/Q&gt;&lt;R&gt;1&lt;/R&gt;&lt;C&gt;1&lt;/C&gt;&lt;D xsi:type="xsd:string"&gt;Q4 2026 Earnings Release (Projected)&lt;/D&gt;&lt;/FQL&gt;&lt;FQL&gt;&lt;Q&gt;SATS^CS_EVENT_DATEJ_N("ER",4)&lt;/Q&gt;&lt;R&gt;1&lt;/R&gt;&lt;C&gt;1&lt;/C&gt;&lt;D xsi:type="xsd:long"&gt;46443&lt;/D&gt;&lt;/FQL&gt;&lt;FQL&gt;&lt;Q&gt;SATS^CS_EVENT_TIME_N("ER",4)&lt;/Q&gt;&lt;R&gt;1&lt;/R&gt;&lt;C&gt;1&lt;/C&gt;&lt;D xsi:type="xsd:string"&gt;Unspecified&lt;/D&gt;&lt;/FQL&gt;&lt;FQL&gt;&lt;Q&gt;SATS^CS_EVENT_DESC_N("ER",4)&lt;/Q&gt;&lt;R&gt;1&lt;/R&gt;&lt;C&gt;1&lt;/C&gt;&lt;D xsi:type="xsd:string"&gt;Q4 2026 Earnings Release (Projected)&lt;/D&gt;&lt;/FQL&gt;&lt;FQL&gt;&lt;Q&gt;CEG^CS_EVENT_DATEJ_N("ER",4)&lt;/Q&gt;&lt;R&gt;0&lt;/R&gt;&lt;C&gt;0&lt;/C&gt;&lt;/FQL&gt;&lt;FQL&gt;&lt;Q&gt;CEG^CS_EVENT_TIME_N("ER",4)&lt;/Q&gt;&lt;R&gt;0&lt;/R&gt;&lt;C&gt;0&lt;/C&gt;&lt;/FQL&gt;&lt;FQL&gt;&lt;Q&gt;CEG^CS_EVENT_DESC_N("ER",4)&lt;/Q&gt;&lt;R&gt;0&lt;/R&gt;&lt;C&gt;0&lt;/C&gt;&lt;/FQL&gt;&lt;FQL&gt;&lt;Q&gt;NWS^CS_EVENT_DATEJ_N("ER",4)&lt;/Q&gt;&lt;R&gt;1&lt;/R&gt;&lt;C&gt;1&lt;/C&gt;&lt;D xsi:type="xsd:long"&gt;46429&lt;/D&gt;&lt;/FQL&gt;&lt;FQL&gt;&lt;Q&gt;NWS^CS_EVENT_TIME_N("ER",4)&lt;/Q&gt;&lt;R&gt;1&lt;/R&gt;&lt;C&gt;1&lt;/C&gt;&lt;D</t>
        </r>
      </text>
    </comment>
    <comment ref="A6" authorId="0" shapeId="0" xr:uid="{FFC7F1E3-4410-48E9-A39E-5B4EA81A6772}">
      <text>
        <r>
          <rPr>
            <b/>
            <sz val="9"/>
            <color indexed="81"/>
            <rFont val="Tahoma"/>
            <family val="2"/>
          </rPr>
          <t xml:space="preserve"> xsi:type="xsd:string"&gt;Unspecified&lt;/D&gt;&lt;/FQL&gt;&lt;FQL&gt;&lt;Q&gt;NWS^CS_EVENT_DESC_N("ER",4)&lt;/Q&gt;&lt;R&gt;1&lt;/R&gt;&lt;C&gt;1&lt;/C&gt;&lt;D xsi:type="xsd:string"&gt;Q2 2027 Earnings Release (Projected)&lt;/D&gt;&lt;/FQL&gt;&lt;FQL&gt;&lt;Q&gt;NWSA^CS_EVENT_DATEJ_N("ER",4)&lt;/Q&gt;&lt;R&gt;1&lt;/R&gt;&lt;C&gt;1&lt;/C&gt;&lt;D xsi:type="xsd:long"&gt;46429&lt;/D&gt;&lt;/FQL&gt;&lt;FQL&gt;&lt;Q&gt;NWSA^CS_EVENT_TIME_N("ER",4)&lt;/Q&gt;&lt;R&gt;1&lt;/R&gt;&lt;C&gt;1&lt;/C&gt;&lt;D xsi:type="xsd:string"&gt;Unspecified&lt;/D&gt;&lt;/FQL&gt;&lt;FQL&gt;&lt;Q&gt;NWSA^CS_EVENT_DESC_N("ER",4)&lt;/Q&gt;&lt;R&gt;1&lt;/R&gt;&lt;C&gt;1&lt;/C&gt;&lt;D xsi:type="xsd:string"&gt;Q2 2027 Earnings Release (Projected)&lt;/D&gt;&lt;/FQL&gt;&lt;FQL&gt;&lt;Q&gt;COIN^CS_EVENT_DATEJ_N("ER",4)&lt;/Q&gt;&lt;R&gt;1&lt;/R&gt;&lt;C&gt;1&lt;/C&gt;&lt;D xsi:type="xsd:long"&gt;46436&lt;/D&gt;&lt;/FQL&gt;&lt;FQL&gt;&lt;Q&gt;COIN^CS_EVENT_TIME_N("ER",4)&lt;/Q&gt;&lt;R&gt;1&lt;/R&gt;&lt;C&gt;1&lt;/C&gt;&lt;D xsi:type="xsd:string"&gt;Unspecified&lt;/D&gt;&lt;/FQL&gt;&lt;FQL&gt;&lt;Q&gt;COIN^CS_EVENT_DESC_N("ER",4)&lt;/Q&gt;&lt;R&gt;1&lt;/R&gt;&lt;C&gt;1&lt;/C&gt;&lt;D xsi:type="xsd:string"&gt;Q4 2026 Earnings Release (Projected)&lt;/D&gt;&lt;/FQL&gt;&lt;FQL&gt;&lt;Q&gt;TKO^CS_EVENT_DATEJ_N("ER",4)&lt;/Q&gt;&lt;R&gt;1&lt;/R&gt;&lt;C&gt;1&lt;/C&gt;&lt;D xsi:type="xsd:long"&gt;46449&lt;/D&gt;&lt;/FQL&gt;&lt;FQL&gt;&lt;Q&gt;TKO^CS_EVENT_TIME_N("ER",4)&lt;/Q&gt;&lt;R&gt;1&lt;/R&gt;&lt;C&gt;1&lt;/C&gt;&lt;D xsi:type="xsd:string"&gt;Unspecified&lt;/D&gt;&lt;/FQL&gt;&lt;FQL&gt;&lt;Q&gt;TKO^CS_EVENT_DESC_N("ER",4)&lt;/Q&gt;&lt;R&gt;1&lt;/R&gt;&lt;C&gt;1&lt;/C&gt;&lt;D xsi:type="xsd:string"&gt;Q4 2026 Earnings Release (Projected)&lt;/D&gt;&lt;/FQL&gt;&lt;FQL&gt;&lt;Q&gt;WBD^CS_EVENT_DATEJ_N("ER",4)&lt;/Q&gt;&lt;R&gt;0&lt;/R&gt;&lt;C&gt;0&lt;/C&gt;&lt;/FQL&gt;&lt;FQL&gt;&lt;Q&gt;WBD^CS_EVENT_TIME_N("ER",4)&lt;/Q&gt;&lt;R&gt;0&lt;/R&gt;&lt;C&gt;0&lt;/C&gt;&lt;/FQL&gt;&lt;FQL&gt;&lt;Q&gt;WBD^CS_EVENT_DESC_N("ER",4)&lt;/Q&gt;&lt;R&gt;0&lt;/R&gt;&lt;C&gt;0&lt;/C&gt;&lt;/FQL&gt;&lt;FQL&gt;&lt;Q&gt;SOLV^CS_EVENT_DATEJ_N("ER",4)&lt;/Q&gt;&lt;R&gt;1&lt;/R&gt;&lt;C&gt;1&lt;/C&gt;&lt;D xsi:type="xsd:long"&gt;46450&lt;/D&gt;&lt;/FQL&gt;&lt;FQL&gt;&lt;Q&gt;SOLV^CS_EVENT_TIME_N("ER",4)&lt;/Q&gt;&lt;R&gt;1&lt;/R&gt;&lt;C&gt;1&lt;/C&gt;&lt;D xsi:type="xsd:string"&gt;Unspecified&lt;/D&gt;&lt;/FQL&gt;&lt;FQL&gt;&lt;Q&gt;SOLV^CS_EVENT_DESC_N("ER",4)&lt;/Q&gt;&lt;R&gt;1&lt;/R&gt;&lt;C&gt;1&lt;/C&gt;&lt;D xsi:type="xsd:string"&gt;Q4 2026 Earnings Release (Projected)&lt;/D&gt;&lt;/FQL&gt;&lt;FQL&gt;&lt;Q&gt;TSN^CS_EVENT_DATEJ_N("ER",4)&lt;/Q&gt;&lt;R&gt;1&lt;/R&gt;&lt;C&gt;1&lt;/C&gt;&lt;D xsi:type="xsd:long"&gt;46426&lt;/D&gt;&lt;/FQL&gt;&lt;FQL&gt;&lt;Q&gt;TSN^CS_EVENT_TIME_N("ER",4)&lt;/Q&gt;&lt;R&gt;1&lt;/R&gt;&lt;C&gt;1&lt;/C&gt;&lt;D xsi:type="xsd:string"&gt;Unspecified&lt;/D&gt;&lt;/FQL&gt;&lt;FQL&gt;&lt;Q&gt;TSN^CS_EVENT_DESC_N("ER",4)&lt;/Q&gt;&lt;R&gt;1&lt;/R&gt;&lt;C&gt;1&lt;/C&gt;&lt;D xsi:type="xsd:string"&gt;Q1 2027 Earnings Release (Projected)&lt;/D&gt;&lt;/FQL&gt;&lt;FQL&gt;&lt;Q&gt;MCHP^CS_EVENT_DATEJ_N("ER",4)&lt;/Q&gt;&lt;R&gt;1&lt;/R&gt;&lt;C&gt;1&lt;/C&gt;&lt;D xsi:type="xsd:long"&gt;46422&lt;/D&gt;&lt;/FQL&gt;&lt;FQL&gt;&lt;Q&gt;MCHP^CS_EVENT_TIME_N("ER",4)&lt;/Q&gt;&lt;R&gt;1&lt;/R&gt;&lt;C&gt;1&lt;/C&gt;&lt;D xsi:type="xsd:string"&gt;Unspecified&lt;/D&gt;&lt;/FQL&gt;&lt;FQL&gt;&lt;Q&gt;MCHP^CS_EVENT_DESC_N("ER",4)&lt;/Q&gt;&lt;R&gt;1&lt;/R&gt;&lt;C&gt;1&lt;/C&gt;&lt;D xsi:type="xsd:string"&gt;Q3 2027 Earnings Release (Projected)&lt;/D&gt;&lt;/FQL&gt;&lt;FQL&gt;&lt;Q&gt;SPG^CS_EVENT_DATEJ_N("ER",4)&lt;/Q&gt;&lt;R&gt;1&lt;/R&gt;&lt;C&gt;1&lt;/C&gt;&lt;D xsi:type="xsd:long"&gt;46426&lt;/D&gt;&lt;/FQL&gt;&lt;FQL&gt;&lt;Q&gt;SPG^CS_EVENT_TIME_N("ER",4)&lt;/Q&gt;&lt;R&gt;1&lt;/R&gt;&lt;C&gt;1&lt;/C&gt;&lt;D xsi:type="xsd:string"&gt;Unspecified&lt;/D&gt;&lt;/FQL&gt;&lt;FQL&gt;&lt;Q&gt;SPG^CS_EVENT_DESC_N("ER",4)&lt;/Q&gt;&lt;R&gt;1&lt;/R&gt;&lt;C&gt;1&lt;/C&gt;&lt;D xsi:type="xsd:string"&gt;Q4 2026 Earnings Release (Projected)&lt;/D&gt;&lt;/FQL&gt;&lt;FQL&gt;&lt;Q&gt;IFF^CS_EVENT_DATEJ_N("ER",4)&lt;/Q&gt;&lt;R&gt;1&lt;/R&gt;&lt;C&gt;1&lt;/C&gt;&lt;D xsi:type="xsd:long"&gt;46428&lt;/D&gt;&lt;/FQL&gt;&lt;FQL&gt;&lt;Q&gt;IFF^CS_EVENT_TIME_N("ER",4)&lt;/Q&gt;&lt;R&gt;1&lt;/R&gt;&lt;C&gt;1&lt;/C&gt;&lt;D xsi:type="xsd:string"&gt;Unspecified&lt;/D&gt;&lt;/FQL&gt;&lt;FQL&gt;&lt;Q&gt;IFF^CS_EVENT_DESC_N("ER",4)&lt;/Q&gt;&lt;R&gt;1&lt;/R&gt;&lt;C&gt;1&lt;/C&gt;&lt;D xsi:type="xsd:string"&gt;Q4 2026 Earnings Release (Projected)&lt;/D&gt;&lt;/FQL&gt;&lt;FQL&gt;&lt;Q&gt;VTRS^CS_EVENT_DATEJ_N("ER",4)&lt;/Q&gt;&lt;R&gt;1&lt;/R&gt;&lt;C&gt;1&lt;/C&gt;&lt;D xsi:type="xsd:long"&gt;46447&lt;/D&gt;&lt;/FQL&gt;&lt;FQL&gt;&lt;Q&gt;VTRS^CS_EVENT_TIME_N("ER",4)&lt;/Q&gt;&lt;R&gt;1&lt;/R&gt;&lt;C&gt;1&lt;/C&gt;&lt;D xsi:type="xsd:string"&gt;Unspecified&lt;/D&gt;&lt;/FQL&gt;&lt;FQL&gt;&lt;Q&gt;VTRS^CS_EVENT_DESC_N("ER",4)&lt;/Q&gt;&lt;R&gt;1&lt;/R&gt;&lt;C&gt;1&lt;/C&gt;&lt;D xsi:type="xsd:string"&gt;Q4 2026 Earnings Release (Projected)&lt;/D&gt;&lt;/FQL&gt;&lt;FQL&gt;&lt;Q&gt;PLTR^CS_EVENT_DATEJ_N("ER",4)&lt;/Q&gt;&lt;R&gt;1&lt;/R&gt;&lt;C&gt;1&lt;/C&gt;&lt;D xsi:type="xsd:long"&gt;46435&lt;/D&gt;&lt;/FQL&gt;&lt;FQL&gt;&lt;Q&gt;PLTR^CS_EVENT_TIME_N("ER",4)&lt;/Q&gt;&lt;R&gt;1&lt;/R&gt;&lt;C&gt;1&lt;/C&gt;&lt;D xsi:type="xsd:string"&gt;Unspecified&lt;/D&gt;&lt;/FQL&gt;&lt;FQL&gt;&lt;Q&gt;PLTR^CS_EVENT_DESC_N("ER",4)&lt;/Q&gt;&lt;R&gt;1&lt;/R&gt;&lt;C&gt;1&lt;/C&gt;&lt;D xsi:type="xsd:string"&gt;Q4 2026 Earnings Release (Projected)&lt;/D&gt;&lt;/FQL&gt;&lt;FQL&gt;&lt;Q&gt;HSIC^CS_EVENT_DATEJ_N("ER",4)&lt;/Q&gt;&lt;R&gt;1&lt;/R&gt;&lt;C&gt;1&lt;/C&gt;&lt;D xsi:type="xsd:long"&gt;46448&lt;/D&gt;&lt;/FQL&gt;&lt;FQL&gt;&lt;Q&gt;HSIC^CS_EVENT_TIME_N("ER",4)&lt;/Q&gt;&lt;R&gt;1&lt;/R&gt;&lt;C&gt;1&lt;/C&gt;&lt;D xsi:type="xsd:string"&gt;Unspecified&lt;/D&gt;&lt;/FQL&gt;&lt;FQL&gt;&lt;Q&gt;HSIC^CS_EVENT_DESC_N("ER",4)&lt;/Q&gt;&lt;R&gt;1&lt;/R&gt;&lt;C&gt;1&lt;/C&gt;&lt;D xsi:type="xsd:string"&gt;Q4 2026 Earnings Release (Projected)&lt;/D&gt;&lt;/FQL&gt;&lt;FQL&gt;&lt;Q&gt;JKHY^CS_EVENT_DATEJ_N("ER",4)&lt;/Q&gt;&lt;R&gt;1&lt;/R&gt;&lt;C&gt;1&lt;/C&gt;&lt;D xsi:type="xsd:long"&gt;46427&lt;/D&gt;&lt;/FQL&gt;&lt;FQL&gt;&lt;Q&gt;JKHY^CS_EVENT_TIME_N("ER",4)&lt;/Q&gt;&lt;R&gt;1&lt;/R&gt;&lt;C&gt;1&lt;/C&gt;&lt;D xsi:type="xsd:string"&gt;Unspecified&lt;/D&gt;&lt;/FQL&gt;&lt;FQL&gt;&lt;Q&gt;JKHY^CS_EVENT_DESC_N("ER",4)&lt;/Q&gt;&lt;R&gt;1&lt;/R&gt;&lt;C&gt;1&lt;/C&gt;&lt;D xsi:type="xsd:string"&gt;Q2 2027 Earnings Release (Projected)&lt;/D&gt;&lt;/FQL&gt;&lt;FQL&gt;&lt;Q&gt;AXON^CS_EVENT_DATEJ_N("ER",4)&lt;/Q&gt;&lt;R&gt;1&lt;/R&gt;&lt;C&gt;1&lt;/C&gt;&lt;D xsi:type="xsd:long"&gt;46448&lt;/D&gt;&lt;/FQL&gt;&lt;FQL&gt;&lt;Q&gt;AXON^CS_EVENT_TIME_N("ER",4)&lt;/Q&gt;&lt;R&gt;1&lt;/R&gt;&lt;C&gt;1&lt;/C&gt;&lt;D xsi:type="xsd:string"&gt;Unspecified&lt;/D&gt;&lt;/FQL&gt;&lt;FQL&gt;&lt;Q&gt;AXON^CS_EVENT_DESC_N("ER",4)&lt;/Q&gt;&lt;R&gt;1&lt;/R&gt;&lt;C&gt;1&lt;/C&gt;&lt;D xsi:type="xsd:string"&gt;Q4 2026 Earnings Release (Projected)&lt;/D&gt;&lt;/FQL&gt;&lt;FQL&gt;&lt;Q&gt;WAT^CS_EVENT_DATEJ_N("ER",4)&lt;/Q&gt;&lt;R&gt;1&lt;/R&gt;&lt;C&gt;1&lt;/C&gt;&lt;D xsi:type="xsd:long"&gt;46435&lt;/D&gt;&lt;/FQL&gt;&lt;FQL&gt;&lt;Q&gt;WAT^CS_EVENT_TIME_N("ER",4)&lt;/Q&gt;&lt;R&gt;1&lt;/R&gt;&lt;C&gt;1&lt;/C&gt;&lt;D xsi:type="xsd:string"&gt;Unspecified&lt;/D&gt;&lt;/FQL&gt;&lt;FQL&gt;&lt;Q&gt;WAT^CS_EVENT_DESC_N("ER",4)&lt;/Q&gt;&lt;R&gt;1&lt;/R&gt;&lt;C&gt;1&lt;/C&gt;&lt;D xsi:type="xsd:string"&gt;Q4 2026 Earnings Release (Projected)&lt;/D&gt;&lt;/FQL&gt;&lt;FQL&gt;&lt;Q&gt;ZBRA^CS_EVENT_DATEJ_N("ER",4)&lt;/Q&gt;&lt;R&gt;1&lt;/R&gt;&lt;C&gt;1&lt;/C&gt;&lt;D xsi:type="xsd:long"&gt;46436&lt;/D&gt;&lt;/FQL&gt;&lt;FQL&gt;&lt;Q&gt;ZBRA^CS_EVENT_TIME_N("ER",4)&lt;/Q&gt;&lt;R&gt;1&lt;/R&gt;&lt;C&gt;1&lt;/C&gt;&lt;D xsi:type="xsd:string"&gt;Unspecified&lt;/D&gt;&lt;/FQL&gt;&lt;FQL&gt;&lt;Q&gt;ZBRA^CS_EVENT_DESC_N("ER",4)&lt;/Q&gt;&lt;R&gt;1&lt;/R&gt;&lt;C&gt;1&lt;/C&gt;&lt;D xsi:type="xsd:string"&gt;Q4 2026 Earnings Release (Projected)&lt;/D&gt;&lt;/FQL&gt;&lt;FQL&gt;&lt;Q&gt;EXPD^CS_EVENT_DATEJ_N("ER",4)&lt;/Q&gt;&lt;R&gt;1&lt;/R&gt;&lt;C&gt;1&lt;/C&gt;&lt;D xsi:type="xsd:long"&gt;46441&lt;/D&gt;&lt;/FQL&gt;&lt;FQL&gt;&lt;Q&gt;EXPD^CS_EVENT_TIME_N("ER",4)&lt;/Q&gt;&lt;R&gt;1&lt;/R&gt;&lt;C&gt;1&lt;/C&gt;&lt;D xsi:type="xsd:string"&gt;Unspecified&lt;/D&gt;&lt;/FQL&gt;&lt;FQL&gt;&lt;Q&gt;EXPD^CS_EVENT_DESC_N("ER",4)&lt;/Q&gt;&lt;R&gt;1&lt;/R&gt;&lt;C&gt;1&lt;/C&gt;&lt;D xsi:type="xsd:string"&gt;Q4 2026 Earnings Release (Projected)&lt;/D&gt;&lt;/FQL&gt;&lt;FQL&gt;&lt;Q&gt;OXY^CS_EVENT_DATEJ_N("ER",4)&lt;/Q&gt;&lt;R&gt;1&lt;/R&gt;&lt;C&gt;1&lt;/C&gt;&lt;D xsi:type="xsd:long"&gt;46442&lt;/D&gt;&lt;/FQL&gt;&lt;FQL&gt;&lt;Q&gt;OXY^CS_EVENT_TIME_N("ER",4)&lt;/Q&gt;&lt;R&gt;1&lt;/R&gt;&lt;C&gt;1&lt;/C&gt;&lt;D xsi:type="xsd:string"&gt;Unspecified&lt;/D&gt;&lt;/FQL&gt;&lt;FQL&gt;&lt;Q&gt;OXY^CS_EVENT_DESC_N("ER",4)&lt;/Q&gt;&lt;R&gt;1&lt;/R&gt;&lt;C&gt;1&lt;/C&gt;&lt;D xsi:type="xsd:string"&gt;Q4 2026 Earnings Release (Projected)&lt;/D&gt;&lt;/FQL&gt;&lt;FQL&gt;&lt;Q&gt;WYNN^CS_EVENT_DATEJ_N("ER",4)&lt;/Q&gt;&lt;R&gt;1&lt;/R&gt;&lt;C&gt;1&lt;/C&gt;&lt;D xsi:type="xsd:long"&gt;46436&lt;/D&gt;&lt;/FQL&gt;&lt;FQL&gt;&lt;Q&gt;WYNN^CS_EVENT_TIME_N("ER",4)&lt;/Q&gt;&lt;R&gt;1&lt;/R&gt;&lt;C&gt;1&lt;/C&gt;&lt;D xsi:type="xsd:string"&gt;Unspecified&lt;/D&gt;&lt;/FQL&gt;&lt;FQL&gt;&lt;Q&gt;WYNN^CS_EVENT_DESC_N("ER",4)&lt;/Q&gt;&lt;R&gt;1&lt;/R&gt;&lt;C&gt;1&lt;/C&gt;&lt;D xsi:type="xsd:string"&gt;Q4 2026 Earnings Release (Projected)&lt;/D&gt;&lt;/FQL&gt;&lt;FQL&gt;&lt;Q&gt;J^CS_EVENT_DATEJ_N("ER",4)&lt;/Q&gt;&lt;R&gt;1&lt;/R&gt;&lt;C&gt;1&lt;/C&gt;&lt;D xsi:type="xsd:long"&gt;46427&lt;/D&gt;&lt;/FQL&gt;&lt;FQL&gt;&lt;Q&gt;J^CS_EVENT_TIME_N("ER",4)&lt;/Q&gt;&lt;R&gt;1&lt;/R&gt;&lt;C&gt;1&lt;/C&gt;&lt;D xsi:type="xsd:string"&gt;Unspecified&lt;/D&gt;&lt;/FQL&gt;&lt;FQL&gt;&lt;Q&gt;J^CS_EVENT_DESC_N("ER",4)&lt;/Q&gt;&lt;R&gt;1&lt;/R&gt;&lt;C&gt;1&lt;/C&gt;&lt;D xsi:type="xsd:string"&gt;Q1 2027 Earnings Release (Projected)&lt;/D&gt;&lt;/FQL&gt;&lt;FQL&gt;&lt;Q&gt;TDG^CS_EVENT_DATEJ_N("ER",4)&lt;/Q&gt;&lt;R&gt;1&lt;/R&gt;&lt;C&gt;1&lt;/C&gt;&lt;D xsi:type="xsd:long"&gt;46427&lt;/D&gt;&lt;/FQL&gt;&lt;FQL&gt;&lt;Q&gt;TDG^CS_EVENT_TIME_N("ER",4)&lt;/Q&gt;&lt;R&gt;1&lt;/R&gt;&lt;C&gt;1&lt;/C&gt;&lt;D xsi:type="xsd:string"&gt;Unspecified&lt;/D&gt;&lt;/FQL&gt;&lt;FQL&gt;&lt;Q&gt;TDG^CS_EVENT_DESC_N("ER",4)&lt;/Q&gt;&lt;R&gt;1&lt;/R&gt;&lt;C&gt;1&lt;/C&gt;&lt;D xsi:type="xsd:string"&gt;Q1 2027 Earnings Release (Projected)&lt;/D&gt;&lt;/FQL&gt;&lt;FQL&gt;&lt;Q&gt;DUK^CS_EVENT_DATEJ_N("ER",4)&lt;/Q&gt;&lt;R&gt;1&lt;/R&gt;&lt;C&gt;1&lt;/C&gt;&lt;D xsi:type="xsd:long"&gt;46429&lt;/D&gt;&lt;/FQL&gt;&lt;FQL&gt;&lt;Q&gt;DUK^CS_EVENT_TIME_N("ER",4)&lt;/Q&gt;&lt;R&gt;1&lt;/R&gt;&lt;C&gt;1&lt;/C&gt;&lt;D xsi:type="xsd:string"&gt;Unspecified&lt;/D&gt;&lt;/FQL&gt;&lt;FQL&gt;&lt;Q&gt;DUK^CS_EVENT_DESC_N("ER",4)&lt;/Q&gt;&lt;R&gt;1&lt;/R&gt;&lt;C&gt;1&lt;/C&gt;&lt;D xsi:type="xsd:string"&gt;Q4 2026 Earnings Release (Projected)&lt;/D&gt;&lt;/FQL&gt;&lt;FQL&gt;&lt;Q&gt;LITE^CS_EVENT_DATEJ_N("ER",4)&lt;/Q&gt;&lt;R&gt;1&lt;/R&gt;&lt;C&gt;1&lt;/C&gt;&lt;D xsi:type="xsd:long"&gt;46429&lt;/D&gt;&lt;/FQL&gt;&lt;FQL&gt;&lt;Q&gt;LITE^CS_EVENT_TIME_N("ER",4)&lt;/Q&gt;&lt;R&gt;1&lt;/R&gt;&lt;C&gt;1&lt;/C&gt;&lt;D xsi:type="xsd:string"&gt;Unspecified&lt;/D&gt;&lt;/FQL&gt;&lt;FQL&gt;&lt;Q&gt;LITE^CS_EVENT_DESC_N("ER",4)&lt;/Q&gt;&lt;R&gt;1&lt;/R&gt;&lt;C&gt;1&lt;/C&gt;&lt;D xsi:type="xsd:string"&gt;Q2 2027 Earnings Release (Projected)&lt;/D&gt;&lt;/FQL&gt;&lt;FQL&gt;&lt;Q&gt;IDXX^CS_EVENT_DESC_N("ER",4)&lt;/Q&gt;&lt;R&gt;0&lt;/R&gt;&lt;C&gt;0&lt;/C&gt;&lt;/FQL&gt;&lt;FQL&gt;&lt;Q&gt;TPL^CS_EVENT_DESC_N("ER",4)&lt;/Q&gt;&lt;R&gt;1&lt;/R&gt;&lt;C&gt;1&lt;/C&gt;&lt;D xsi:type="xsd:string"&gt;Q4 2026 Earnings Release (Projected)&lt;/D&gt;&lt;/FQL&gt;&lt;FQL&gt;&lt;Q&gt;APA^CS_EVENT_DESC_N("ER",4)&lt;/Q&gt;&lt;R&gt;0&lt;/R&gt;&lt;C&gt;0&lt;/C&gt;&lt;/FQL&gt;&lt;FQL&gt;&lt;Q&gt;RSG^CS_EVENT_DESC_N("ER",4)&lt;/Q&gt;&lt;R&gt;1&lt;/R&gt;&lt;C&gt;1&lt;/C&gt;&lt;D xsi:type="xsd:string"&gt;Q4 2026 Earnings Release (Projected)&lt;/D&gt;&lt;/FQL&gt;&lt;FQL&gt;&lt;Q&gt;MET^CS_EVENT_DESC_N("ER",4)&lt;/Q&gt;&lt;R&gt;1&lt;/R&gt;&lt;C&gt;1&lt;/C&gt;&lt;D xsi:type="xsd:string"&gt;Q4 2026 Earnings Release (Projected)&lt;/D&gt;&lt;/FQL&gt;&lt;FQL&gt;&lt;Q&gt;FE^CS_EVENT_TIME_N("ER",4)&lt;/Q&gt;&lt;R&gt;1&lt;/R&gt;&lt;C&gt;1&lt;/C&gt;&lt;D xsi:type="xsd:string"&gt;Unspecified&lt;/D&gt;&lt;/FQL&gt;&lt;FQL&gt;&lt;Q&gt;CAT^CS_EVENT_TIME_N("ER",4)&lt;/Q&gt;&lt;R&gt;1&lt;/R&gt;&lt;C&gt;1&lt;/C&gt;&lt;D xsi:type="xsd:string"&gt;Unspecified&lt;/D&gt;&lt;/FQL&gt;&lt;FQL&gt;&lt;Q&gt;MCD^CS_EVENT_TIME_N("ER",4)&lt;/Q&gt;&lt;R&gt;1&lt;/R&gt;&lt;C&gt;1&lt;/C&gt;&lt;D xsi:type="xsd:string"&gt;Unspecified&lt;/D&gt;&lt;/FQL&gt;&lt;FQL&gt;&lt;Q&gt;IDXX^CS_EVENT_TIME_N("ER",4)&lt;/Q&gt;&lt;R&gt;0&lt;/R&gt;&lt;C&gt;0&lt;/C&gt;&lt;/FQL&gt;&lt;FQL&gt;&lt;Q&gt;TPL^CS_EVENT_TIME_N("ER",4)&lt;/Q&gt;&lt;R&gt;1&lt;/R&gt;&lt;C&gt;1&lt;/C&gt;&lt;D xsi:type="xsd:string"&gt;Unspecified&lt;/D&gt;&lt;/FQL&gt;&lt;FQL&gt;&lt;Q&gt;PCG^CS_EVENT_DATEJ_N("ER",4)&lt;/Q&gt;&lt;R&gt;1&lt;/R&gt;&lt;C&gt;1&lt;/C&gt;&lt;D xsi:type="xsd:long"&gt;46443&lt;/D&gt;&lt;/FQL&gt;&lt;FQL&gt;&lt;Q&gt;AOS^CS_EVENT_DATEJ_N("ER",4)&lt;/Q&gt;&lt;R&gt;1&lt;/R&gt;&lt;C&gt;1&lt;/C&gt;&lt;D xsi:type="xsd:long"&gt;46420&lt;/D&gt;&lt;/FQL&gt;&lt;FQL&gt;&lt;Q&gt;NEM^CS_EVENT_DATEJ_N("ER",4)&lt;/Q&gt;&lt;R&gt;1&lt;/R&gt;&lt;C&gt;1&lt;/C&gt;&lt;D xsi:type="xsd:long"&gt;46443&lt;/D&gt;&lt;/FQL&gt;&lt;FQL&gt;&lt;Q&gt;KIM^CS_EVENT_DATEJ_N("ER",4)&lt;/Q&gt;&lt;R&gt;1&lt;/R&gt;&lt;C&gt;1&lt;/C&gt;&lt;D xsi:type="xsd:long"&gt;46429&lt;/D&gt;&lt;/FQL&gt;&lt;FQL&gt;&lt;Q&gt;HSY^CS_EVENT_DATEJ_N("ER",4)&lt;/Q&gt;&lt;R&gt;1&lt;/R&gt;&lt;C&gt;1&lt;/C&gt;&lt;D xsi:type="xsd:long"&gt;46422&lt;/D&gt;&lt;/FQL&gt;&lt;FQL&gt;&lt;Q&gt;VRSN^CS_EVENT_DATEJ_N("ER",4)&lt;/Q&gt;&lt;R&gt;1&lt;/R&gt;&lt;C&gt;1&lt;/C&gt;&lt;D xsi:type="xsd:long"&gt;46429&lt;/D&gt;&lt;/FQL&gt;&lt;FQL&gt;&lt;Q&gt;CINF^CS_EVENT_DATEJ_N("ER",4)&lt;/Q&gt;&lt;R&gt;1&lt;/R&gt;&lt;C&gt;1&lt;/C&gt;&lt;D xsi:type="xsd:long"&gt;46433&lt;/D&gt;&lt;/FQL&gt;&lt;FQL&gt;&lt;Q&gt;AJG^CS_EVENT_DATEJ_N("ER",4)&lt;/Q&gt;&lt;R&gt;1&lt;/R&gt;&lt;C&gt;1&lt;/C&gt;&lt;D xsi:type="xsd:long"&gt;46415&lt;/D&gt;&lt;/FQL&gt;&lt;FQL&gt;&lt;Q&gt;WTW^CS_EVENT_DATEJ_N("ER",4)&lt;/Q&gt;&lt;R&gt;1&lt;/R&gt;&lt;C&gt;1&lt;/C&gt;&lt;D xsi:type="xsd:long"&gt;46427&lt;/D&gt;&lt;/FQL&gt;&lt;FQL&gt;&lt;Q&gt;AOS^CS_EVENT_TIME_N("ER",4)&lt;/Q&gt;&lt;R&gt;1&lt;/R&gt;&lt;C&gt;1&lt;/C&gt;&lt;D xsi:type="xsd:string"&gt;Unspecified&lt;/D&gt;&lt;/FQL&gt;&lt;FQL&gt;&lt;Q&gt;AOS^CS_EVENT_DESC_N("ER",4)&lt;/Q&gt;&lt;R&gt;1&lt;/R&gt;&lt;C&gt;1&lt;/C&gt;&lt;D xsi:type="xsd:string"&gt;Q4 2026 Earnings Release (Projected)&lt;/D&gt;&lt;/FQL&gt;&lt;FQL&gt;&lt;Q&gt;NEM^CS_EVENT_TIME_N("ER",4)&lt;/Q&gt;&lt;R&gt;1&lt;/R&gt;&lt;C&gt;1&lt;/C&gt;&lt;D xsi:type="xsd:string"&gt;Unspecified&lt;/D&gt;&lt;/FQL&gt;&lt;FQL&gt;&lt;Q&gt;NEM^CS_EVENT_DESC_N("ER",4)&lt;/Q&gt;&lt;R&gt;1&lt;/R&gt;&lt;C&gt;1&lt;/C&gt;&lt;D xsi:type="xsd:string"&gt;Q4 2026 Earnings Release (Projected)&lt;/D&gt;&lt;/FQL&gt;&lt;FQL&gt;&lt;Q&gt;KIM^CS_EVENT_TIME_N("ER",4)&lt;/Q&gt;&lt;R&gt;1&lt;/R&gt;&lt;C&gt;1&lt;/C&gt;&lt;D xsi:type="xsd:string"&gt;Unspecified&lt;/D&gt;&lt;/FQL&gt;&lt;FQL&gt;&lt;Q&gt;KIM^CS_EVENT_DESC_N("ER",4)&lt;/Q&gt;&lt;R&gt;1&lt;/R&gt;&lt;C&gt;1&lt;/C&gt;&lt;D xsi:type="xsd:string"&gt;Q4 2026 Earnings Release (Projected)&lt;/D&gt;&lt;/FQL&gt;&lt;FQL&gt;&lt;Q&gt;HSY^CS_EVENT_TIME_N("ER",4)&lt;/Q&gt;&lt;R&gt;1&lt;/R&gt;&lt;C&gt;1&lt;/C&gt;&lt;D xsi:type="xsd:string"&gt;Unspecified&lt;/D&gt;&lt;/FQL&gt;&lt;FQL&gt;&lt;Q&gt;HSY^CS_EVENT_DESC_N("ER",4)&lt;/Q&gt;&lt;R&gt;1&lt;/R&gt;&lt;C&gt;1&lt;/C&gt;&lt;D xsi:type="xsd:string"&gt;Q4 2026 Earnings Release (Projected)&lt;/D&gt;&lt;/FQL&gt;&lt;FQL&gt;&lt;Q&gt;VRSN^CS_EVENT_TIME_N("ER",4)&lt;/Q&gt;&lt;R&gt;1&lt;/R&gt;&lt;C&gt;1&lt;/C&gt;&lt;D xsi:type="xsd:string"&gt;Unspecified&lt;/D&gt;&lt;/FQL&gt;&lt;FQL&gt;&lt;Q&gt;VRSN^CS_EVENT_DESC_N("ER",4)&lt;/Q&gt;&lt;R&gt;1&lt;/R&gt;&lt;C&gt;1&lt;/C&gt;&lt;D xsi:type="xsd:string"&gt;Q4 2026 Earnings Release (Projected)&lt;/D&gt;&lt;/FQL&gt;&lt;FQL&gt;&lt;Q&gt;CINF^CS_EVENT_TIME_N("ER",4)&lt;/Q&gt;&lt;R&gt;1&lt;/R&gt;&lt;C&gt;1&lt;/C&gt;&lt;D xsi:type="xsd:string"&gt;Unspecified&lt;/D&gt;&lt;/FQL&gt;&lt;FQL&gt;&lt;Q&gt;CINF^CS_EVENT_DESC_N("ER",4)&lt;/Q&gt;&lt;R&gt;1&lt;/R&gt;&lt;C&gt;1&lt;/C&gt;&lt;D xsi:type="xsd:string"&gt;Q4 2026 Earnings Release (Projected)&lt;/D&gt;&lt;/FQL&gt;&lt;FQL&gt;&lt;Q&gt;AJG^CS_EVENT_TIME_N("ER",4)&lt;/Q&gt;&lt;R&gt;1&lt;/R&gt;&lt;C&gt;1&lt;/C&gt;&lt;D xsi:type="xsd:string"&gt;Unspecified&lt;/D&gt;&lt;/FQL&gt;&lt;FQL&gt;&lt;Q&gt;AJG^CS_EVENT_DESC_N("ER",4)&lt;/Q&gt;&lt;R&gt;1&lt;/R&gt;&lt;C&gt;1&lt;/C&gt;&lt;D xsi:type="xsd:string"&gt;Q4 2026 Earnings Release (Projected)&lt;/D&gt;&lt;/FQL&gt;&lt;FQL&gt;&lt;Q&gt;WTW^CS_EVENT_TIME_N("ER",4)&lt;/Q&gt;&lt;R&gt;1&lt;/R&gt;&lt;C&gt;1&lt;/C&gt;&lt;D xsi:type="xsd:string"&gt;Unspecified&lt;/D&gt;&lt;/FQL&gt;&lt;FQL&gt;&lt;Q&gt;WTW^CS_EVENT_DESC_N("ER",4)&lt;/Q&gt;&lt;R&gt;1&lt;/R&gt;&lt;C&gt;1&lt;/C&gt;&lt;D xsi:type="xsd:string"&gt;Q4 2026 Earnings Release (Projected)&lt;/D&gt;&lt;/FQL&gt;&lt;FQL&gt;&lt;Q&gt;PCG^CS_EVENT_TIME_N("ER",4)&lt;/Q&gt;&lt;R&gt;1&lt;/R&gt;&lt;C&gt;1&lt;/C&gt;&lt;D xsi:type="xsd:string"&gt;Unspecified&lt;/D&gt;&lt;/FQL&gt;&lt;FQL&gt;&lt;Q&gt;PM^CS_EVENT_DATEJ_N("ER",4)&lt;/Q&gt;&lt;R&gt;1&lt;/R&gt;&lt;C&gt;1&lt;/C&gt;&lt;D xsi:type="xsd:long"&gt;46429&lt;/D&gt;&lt;/FQL&gt;&lt;FQL&gt;&lt;Q&gt;PM^CS_EVENT_TIME_N("ER",4)&lt;/Q&gt;&lt;R&gt;1&lt;/R&gt;&lt;C&gt;1&lt;/C&gt;&lt;D xsi:type="xsd:string"&gt;Unspecified&lt;/D&gt;&lt;/FQL&gt;&lt;FQL&gt;&lt;Q&gt;GEV^CS_EVENT_DATEJ_N("ER",4)&lt;/Q&gt;&lt;R&gt;1&lt;/R&gt;&lt;C&gt;1&lt;/C&gt;&lt;D xsi:type="xsd:long"&gt;46505&lt;/D&gt;&lt;/FQL&gt;&lt;FQL&gt;&lt;Q&gt;GEV^CS_EVENT_TIME_N("ER",4)&lt;/Q&gt;&lt;R&gt;1&lt;/R&gt;&lt;C&gt;1&lt;/C&gt;&lt;D xsi:type="xsd:string"&gt;Unspecified&lt;/D&gt;&lt;/FQL&gt;&lt;FQL&gt;&lt;Q&gt;PHM^CS_EVENT_DATEJ_N("ER",4)&lt;/Q&gt;&lt;R&gt;1&lt;/R&gt;&lt;C&gt;1&lt;/C&gt;&lt;D xsi:type="xsd:long"&gt;46420&lt;/D&gt;&lt;/FQL&gt;&lt;FQL&gt;&lt;Q&gt;PHM^CS_EVENT_TIME_N("ER",4)&lt;/Q&gt;&lt;R&gt;1&lt;/R&gt;&lt;C&gt;1&lt;/C&gt;&lt;D xsi:type="xsd:string"&gt;Unspecified&lt;/D&gt;&lt;/FQL&gt;&lt;FQL&gt;&lt;Q&gt;CPT^CS_EVENT_DATEJ_N("ER",4)&lt;/Q&gt;&lt;R&gt;1&lt;/R&gt;&lt;C&gt;1&lt;/C&gt;&lt;D xsi:type="xsd:long"&gt;46422&lt;/D&gt;&lt;/FQL&gt;&lt;FQL&gt;&lt;Q&gt;CPT^CS_EVENT_TIME_N("ER",4)&lt;/Q&gt;&lt;R&gt;1&lt;/R&gt;&lt;C&gt;1&lt;/C&gt;&lt;D xsi:type="xsd:string"&gt;Unspecified&lt;/D&gt;&lt;/FQL&gt;&lt;FQL&gt;&lt;Q&gt;WST^CS_EVENT_DATEJ_N("ER",4)&lt;/Q&gt;&lt;R&gt;1&lt;/R&gt;&lt;C&gt;1&lt;/C&gt;&lt;D xsi:type="xsd:long"&gt;46436&lt;/D&gt;&lt;/FQL&gt;&lt;FQL&gt;&lt;Q&gt;WST^CS_EVENT_TIME_N("ER",4)&lt;/Q&gt;&lt;R&gt;1&lt;/R&gt;&lt;C&gt;1&lt;/C&gt;&lt;D xsi:type="xsd:string"&gt;Unspecified&lt;/D&gt;&lt;/FQL&gt;&lt;FQL&gt;&lt;Q&gt;RMD^CS_EVENT_DATEJ_N("ER",4)&lt;/Q&gt;&lt;R&gt;1&lt;/R&gt;&lt;C&gt;1&lt;/C&gt;&lt;D xsi:type="xsd:long"&gt;46415&lt;/D&gt;&lt;/FQL&gt;&lt;FQL&gt;&lt;Q&gt;RMD^CS_EVENT_TIME_N("ER",4)&lt;/Q&gt;&lt;R&gt;1&lt;/R&gt;&lt;C&gt;1&lt;/C&gt;&lt;D xsi:type="xsd:string"&gt;Unspecified&lt;/D&gt;&lt;/FQL&gt;&lt;FQL&gt;&lt;Q&gt;HON^CS_EVENT_DATEJ_N("ER",4)&lt;/Q&gt;&lt;R&gt;1&lt;/R&gt;&lt;C&gt;1&lt;/C&gt;&lt;D xsi:type="xsd:long"&gt;46506&lt;/D&gt;&lt;/FQL&gt;&lt;FQL&gt;&lt;Q&gt;HON^CS_EVENT_TIME_N("ER",4)&lt;/Q&gt;&lt;R&gt;1&lt;/R&gt;&lt;C&gt;1&lt;/C&gt;&lt;D xsi:type="xsd:string"&gt;Unspecified&lt;/D&gt;&lt;/FQL&gt;&lt;FQL&gt;&lt;Q&gt;EQR^CS_EVENT_DATEJ_N("ER",3)&lt;/Q&gt;&lt;R&gt;1&lt;/R&gt;&lt;C&gt;1&lt;/C&gt;&lt;D xsi:type="xsd:long"&gt;46329&lt;/D&gt;&lt;/FQL&gt;&lt;FQL&gt;&lt;Q&gt;EQR^CS_EVENT_TIME_N("ER",3)&lt;/Q&gt;&lt;R&gt;1&lt;/R&gt;&lt;C&gt;1&lt;/C&gt;&lt;D xsi:type="xsd:string"&gt;Unspecified&lt;/D&gt;&lt;/FQL&gt;&lt;FQL&gt;&lt;Q&gt;MCO^CS_EVENT_DATEJ_N("ER",4)&lt;/Q&gt;&lt;R&gt;1&lt;/R&gt;&lt;C&gt;1&lt;/C&gt;&lt;D xsi:type="xsd:long"&gt;46423&lt;/D&gt;&lt;/FQL&gt;&lt;FQL&gt;&lt;Q&gt;MCO^CS_EVENT_TIME_N("ER",4)&lt;/Q&gt;&lt;R&gt;1&lt;/R&gt;&lt;C&gt;1&lt;/C&gt;&lt;D xsi:type="xsd:string"&gt;Unspecified&lt;/D&gt;&lt;/FQL&gt;&lt;FQL&gt;&lt;Q&gt;MCO^CS_EVENT_DESC_N("ER",4)&lt;/Q&gt;&lt;R&gt;1&lt;/R&gt;&lt;C&gt;1&lt;/C&gt;&lt;D xsi:type="xsd:string"&gt;Q4 2026 Earnings Release (Projected)&lt;/D&gt;&lt;/FQL&gt;&lt;FQL&gt;&lt;Q&gt;KO^CS_EVENT_DATEJ_N("ER",4)&lt;/Q&gt;&lt;R&gt;1&lt;/R&gt;&lt;C&gt;1&lt;/C&gt;&lt;D xsi:type="xsd:long"&gt;46434&lt;/D&gt;&lt;/FQL&gt;&lt;FQL&gt;&lt;Q&gt;KO^CS_EVENT_TIME_N("ER",4)&lt;/Q&gt;&lt;R&gt;1&lt;/R&gt;&lt;C&gt;1&lt;/C&gt;&lt;D xsi:type="xsd:string"&gt;Unspecified&lt;/D&gt;&lt;/FQL&gt;&lt;FQL&gt;&lt;Q&gt;KO^CS_EVENT_DESC_N("ER",4)&lt;/Q&gt;&lt;R&gt;1&lt;/R&gt;&lt;C&gt;1&lt;/C&gt;&lt;D xsi:type="xsd:string"&gt;Q4 2026 Earnings Release (Projected)&lt;/D&gt;&lt;/FQL&gt;&lt;FQL&gt;&lt;Q&gt;FISV^CS_EVENT_DATEJ_N("ER",4)&lt;/Q&gt;&lt;R&gt;1&lt;/R&gt;&lt;C&gt;1&lt;/C&gt;&lt;D xsi:type="xsd:long"&gt;46427&lt;/D&gt;&lt;/FQL&gt;&lt;FQL&gt;&lt;Q&gt;FISV^CS_EVENT_TIME_N("ER",4)&lt;/Q&gt;&lt;R&gt;1&lt;/R&gt;&lt;C&gt;1&lt;/C&gt;&lt;D xsi:type="xsd:string"&gt;Unspecified&lt;/D&gt;&lt;/FQL&gt;&lt;FQL&gt;&lt;Q&gt;FISV^CS_EVENT_DESC_N("ER",4)&lt;/Q&gt;&lt;R&gt;1&lt;/R&gt;&lt;C&gt;1&lt;/C&gt;&lt;D xsi:type="xsd:string"&gt;Q4 2026 Earnings Release (Projected)&lt;/D&gt;&lt;/FQL&gt;&lt;FQL&gt;&lt;Q&gt;AMT^CS_EVENT_DATEJ_N("ER",4)&lt;/Q&gt;&lt;R&gt;1&lt;/R&gt;&lt;C&gt;1&lt;/C&gt;&lt;D xsi:type="xsd:long"&gt;46443&lt;/D&gt;&lt;/FQL&gt;&lt;FQL&gt;&lt;Q&gt;AMT^CS_EVENT_TIME_N("ER",4)&lt;/Q&gt;&lt;R&gt;1&lt;/R&gt;&lt;C&gt;1&lt;/C&gt;&lt;D xsi:type="xsd:string"&gt;Unspecified&lt;/D&gt;&lt;/FQL&gt;&lt;FQL&gt;&lt;Q&gt;AMT^CS_EVENT_DESC_N("ER",4)&lt;/Q&gt;&lt;R&gt;1&lt;/R&gt;&lt;C&gt;1&lt;/C&gt;&lt;D xsi:type="xsd:string"&gt;Q4 2026 Earnings Release (Projected)&lt;/D&gt;&lt;/FQL&gt;&lt;FQL&gt;&lt;Q&gt;NVR^CS_EVENT_DATEJ_N("ER",4)&lt;/Q&gt;&lt;R&gt;1&lt;/R&gt;&lt;C&gt;1&lt;/C&gt;&lt;D xsi:type="xsd:long"&gt;46420&lt;/D&gt;&lt;/FQL&gt;&lt;FQL&gt;&lt;Q&gt;NVR^CS_EVENT_TIME_N("ER",4)&lt;/Q&gt;&lt;R&gt;1&lt;/R&gt;&lt;C&gt;1&lt;/C&gt;&lt;D xsi:type="xsd:string"&gt;Unspecified&lt;/D&gt;&lt;/FQL&gt;&lt;FQL&gt;&lt;Q&gt;NVR^CS_EVENT_DESC_N("ER",4)&lt;/Q&gt;&lt;R&gt;1&lt;/R&gt;&lt;C&gt;1&lt;/C&gt;&lt;D xsi:type="xsd:string"&gt;Q4 2026 Earnings Release (Projected)&lt;/D&gt;&lt;/FQL&gt;&lt;FQL&gt;&lt;Q&gt;ROP^CS_EVENT_DATEJ_N("ER",4)&lt;/Q&gt;&lt;R&gt;0&lt;/R&gt;&lt;C&gt;0&lt;/C&gt;&lt;/FQL&gt;&lt;FQL&gt;&lt;Q&gt;ROP^CS_EVENT_TIME_N("ER",4)&lt;/Q&gt;&lt;R&gt;0&lt;/R&gt;&lt;C&gt;0&lt;/C&gt;&lt;/FQL&gt;&lt;FQL&gt;&lt;Q&gt;ROP^CS_EVENT_DESC_N("ER",4)&lt;/Q&gt;&lt;R&gt;0&lt;/R&gt;&lt;C&gt;0&lt;/C&gt;&lt;/FQL&gt;&lt;FQL&gt;&lt;Q&gt;TER^CS_EVENT_DATEJ_N("ER",4)&lt;/Q&gt;&lt;R&gt;1&lt;/R&gt;&lt;C&gt;1&lt;/C&gt;&lt;D xsi:type="xsd:long"&gt;46414&lt;/D&gt;&lt;/FQL&gt;&lt;FQL&gt;&lt;Q&gt;TER^CS_EVENT_TIME_N("ER",4)&lt;/Q&gt;&lt;R&gt;1&lt;/R&gt;&lt;C&gt;1&lt;/C&gt;&lt;D xsi:type="xsd:string"&gt;Unspecified&lt;/D&gt;&lt;/FQL&gt;&lt;FQL&gt;&lt;Q&gt;TER^CS_EVENT_DESC_N("ER",4)&lt;/Q&gt;&lt;R&gt;1&lt;/R&gt;&lt;C&gt;1&lt;/C&gt;&lt;D xsi:type="xsd:string"&gt;Q4 2026 Earnings Release (Projected)&lt;/D&gt;&lt;/FQL&gt;&lt;FQL&gt;&lt;Q&gt;MMM^CS_EVENT_DATEJ_N("ER",4)&lt;/Q&gt;&lt;R&gt;1&lt;/R&gt;&lt;C&gt;1&lt;/C&gt;&lt;D xsi:type="xsd:long"&gt;46413&lt;/D&gt;&lt;/FQL&gt;&lt;FQL&gt;&lt;Q&gt;MMM^CS_EVENT_TIME_N("ER",4)&lt;/Q&gt;&lt;R&gt;1&lt;/R&gt;&lt;C&gt;1&lt;/C&gt;&lt;D xsi:type="xsd:string"&gt;Unspecified&lt;/D&gt;&lt;/FQL&gt;&lt;FQL&gt;&lt;Q&gt;MMM^CS_EVENT_DESC_N("ER",4)&lt;/Q&gt;&lt;R&gt;1&lt;/R&gt;&lt;C&gt;1&lt;/C&gt;&lt;D xsi:type="xsd:string"&gt;Q4 2026 Earnings Release (Projected)&lt;/D&gt;&lt;/FQL&gt;&lt;FQL&gt;&lt;Q&gt;IEX^CS_EVENT_DATEJ_N("ER",4)&lt;/Q&gt;&lt;R&gt;1&lt;/R&gt;&lt;C&gt;1&lt;/C&gt;&lt;D xsi:type="xsd:long"&gt;46420&lt;/D&gt;&lt;/FQL&gt;&lt;FQL&gt;&lt;Q&gt;IEX^CS_EVENT_TIME_N("ER",4)&lt;/Q&gt;&lt;R&gt;1&lt;/R&gt;&lt;C&gt;1&lt;/C&gt;&lt;D xsi:type="xsd:string"&gt;Unspecified&lt;/D&gt;&lt;/FQL&gt;&lt;FQL&gt;&lt;Q&gt;IEX^CS_EVENT_DESC_N("ER",4)&lt;/Q&gt;&lt;R&gt;1&lt;/R&gt;&lt;C&gt;1&lt;/C&gt;&lt;D xsi:type="xsd:string"&gt;Q4 2026 Earnings Release (Projected)&lt;/D&gt;&lt;/FQL&gt;&lt;FQL&gt;&lt;Q&gt;CSGP^CS_EVENT_DATEJ_N("ER",4)&lt;/Q&gt;&lt;R&gt;1&lt;/R&gt;&lt;C&gt;1&lt;/C&gt;&lt;D xsi:type="xsd:long"&gt;46441&lt;/D&gt;&lt;/FQL&gt;&lt;FQL&gt;&lt;Q&gt;CSGP^CS_EVENT_TIME_N("ER",4)&lt;/Q&gt;&lt;R&gt;1&lt;/R&gt;&lt;C&gt;1&lt;/C&gt;&lt;D xsi:type="xsd:string"&gt;Unspecified&lt;/D&gt;&lt;/FQL&gt;&lt;FQL&gt;&lt;Q&gt;CSGP^CS_EVENT_DESC_N("ER",4)&lt;/Q&gt;&lt;R&gt;1&lt;/R&gt;&lt;C&gt;1&lt;/C&gt;&lt;D xsi:type="xsd:string"&gt;Q4 2026 Earnings Release (Projected)&lt;/D&gt;&lt;/FQL&gt;&lt;FQL&gt;&lt;Q&gt;TXN^CS_EVENT_DATEJ_N("ER",4)&lt;/Q&gt;&lt;R&gt;1&lt;/R&gt;&lt;C&gt;1&lt;/C&gt;&lt;D xsi:type="xsd:long"&gt;46413&lt;/D&gt;&lt;/FQL&gt;&lt;FQL&gt;&lt;Q&gt;TXN^CS_EVENT_TIME_N("ER",4)&lt;/Q&gt;&lt;R&gt;1&lt;/R&gt;&lt;C&gt;1&lt;/C&gt;&lt;D xsi:type="xsd:string"&gt;Unspecified&lt;/D&gt;&lt;/FQL&gt;&lt;FQL&gt;&lt;Q&gt;TXN^CS_EVENT_DESC_N("ER",4)&lt;/Q&gt;&lt;R&gt;1&lt;/R&gt;&lt;C&gt;1&lt;/C&gt;&lt;D xsi:type="xsd:string"&gt;Q4 2026 Earnings Release (Projected)&lt;/D&gt;&lt;/FQL&gt;&lt;FQL&gt;&lt;Q&gt;ESS^CS_EVENT_DATEJ_N("ER",4)&lt;/Q&gt;&lt;R&gt;1&lt;/R&gt;&lt;C&gt;1&lt;/C&gt;&lt;D xsi:type="xsd:long"&gt;46427&lt;/D&gt;&lt;/FQL&gt;&lt;FQL&gt;&lt;Q&gt;ESS^CS_EVENT_TIME_N("ER",4)&lt;/Q&gt;&lt;R&gt;1&lt;/R&gt;&lt;C&gt;1&lt;/C&gt;&lt;D xsi:type="xsd:string"&gt;Unspecified&lt;/D&gt;&lt;/FQL&gt;&lt;FQL&gt;&lt;Q&gt;ESS^CS_EVENT_DESC_N("ER",4)&lt;/Q&gt;&lt;R&gt;1&lt;/R&gt;&lt;C&gt;1&lt;/C&gt;&lt;D xsi:type="xsd:string"&gt;Q4 2026 Earnings Release (Projected)&lt;/D&gt;&lt;/FQL&gt;&lt;FQL&gt;&lt;Q&gt;CNC^CS_EVENT_DATEJ_N("ER",4)&lt;/Q&gt;&lt;R&gt;1&lt;/R&gt;&lt;C&gt;1&lt;/C&gt;&lt;D xsi:type="xsd:long"&gt;46427&lt;/D&gt;&lt;/FQL&gt;&lt;FQL&gt;&lt;Q&gt;CNC^CS_EVENT_TIME_N("ER",4)&lt;/Q&gt;&lt;R&gt;1&lt;/R&gt;&lt;C&gt;1&lt;/C&gt;&lt;D xsi:type="xsd:string"&gt;Unspecified&lt;/D&gt;&lt;/FQL&gt;&lt;FQL&gt;&lt;Q&gt;CNC^CS_EVENT_DESC_N("ER",4)&lt;/Q&gt;&lt;R&gt;1&lt;/R&gt;&lt;C&gt;1&lt;/C&gt;&lt;D xsi:type="xsd:string"&gt;Q4 2026 Earnings Release (Projected)&lt;/D&gt;&lt;/FQL&gt;&lt;FQL&gt;&lt;Q&gt;WM^CS_EVENT_DATEJ_N("ER",4)&lt;/Q&gt;&lt;R&gt;1&lt;/R&gt;&lt;C&gt;1&lt;/C&gt;&lt;D xsi:type="xsd:long"&gt;46421&lt;/D&gt;&lt;/FQL&gt;&lt;FQL&gt;&lt;Q&gt;WM^CS_EVENT_TIME_N("ER",4)&lt;/Q&gt;&lt;R&gt;1&lt;/R&gt;&lt;C&gt;1&lt;/C&gt;&lt;D xsi:type="xsd:string"&gt;Unspecified&lt;/D&gt;&lt;/FQL&gt;&lt;FQL&gt;&lt;Q&gt;WM^CS_EVENT_DESC_N("ER",4)&lt;/Q&gt;&lt;R&gt;1&lt;/R&gt;&lt;C&gt;1&lt;/C&gt;&lt;D xsi:type="xsd:string"&gt;Q4 2026 Earnings Release (Projected)&lt;/D&gt;&lt;/FQL&gt;&lt;FQL&gt;&lt;Q&gt;EQR^CS_EVENT_DATEJ_N("ER",4)&lt;/Q&gt;&lt;R&gt;1&lt;/R&gt;&lt;C&gt;1&lt;/C&gt;&lt;D xsi:type="xsd:long"&gt;46429&lt;/D&gt;&lt;/FQL&gt;&lt;FQL&gt;&lt;Q&gt;EQR^CS_EVENT_TIME_N("ER",4)&lt;/Q&gt;&lt;R&gt;1&lt;/R&gt;&lt;C&gt;1&lt;/C&gt;&lt;D xsi:type="xsd:string"&gt;Unspecified&lt;/D&gt;&lt;/FQL&gt;&lt;FQL&gt;&lt;Q&gt;EQR^CS_EVENT_DESC_N("ER",4)&lt;/Q&gt;&lt;R&gt;1&lt;/R&gt;&lt;C&gt;1&lt;/C&gt;&lt;D xsi:type="xsd:string"&gt;Q4 2026 Earnings Release (Projected)&lt;/D&gt;&lt;/FQL&gt;&lt;FQL&gt;&lt;Q&gt;PCAR^CS_EVENT_DATEJ_N("ER",4)&lt;/Q&gt;&lt;R&gt;0&lt;/R&gt;&lt;C&gt;0&lt;/C&gt;&lt;/FQL&gt;&lt;FQL&gt;&lt;Q&gt;PCAR^CS_EVENT_TIME_N("ER",4)&lt;/Q&gt;&lt;R&gt;0&lt;/R&gt;&lt;C&gt;0&lt;/C&gt;&lt;/FQL&gt;&lt;FQL&gt;&lt;Q&gt;PCAR^CS_EVENT_DESC_N("ER",4)&lt;/Q&gt;&lt;R&gt;0&lt;/R&gt;&lt;C&gt;0&lt;/C&gt;&lt;/FQL&gt;&lt;FQL&gt;&lt;Q&gt;SPGI^CS_EVENT_DATEJ_N("ER",4)&lt;/Q&gt;&lt;R&gt;1&lt;/R&gt;&lt;C&gt;1&lt;/C&gt;&lt;D xsi:type="xsd:long"&gt;46427&lt;/D&gt;&lt;/FQL&gt;&lt;FQL&gt;&lt;Q&gt;SPGI^CS_EVENT_TIME_N("ER",4)&lt;/Q&gt;&lt;R&gt;1&lt;/R&gt;&lt;C&gt;1&lt;/C&gt;&lt;D xsi:type="xsd:string"&gt;Unspecified&lt;/D&gt;&lt;/FQL&gt;&lt;FQL&gt;&lt;Q&gt;SPGI^CS_EVENT_DESC_N("ER",4)&lt;/Q&gt;&lt;R&gt;1&lt;/R&gt;&lt;C&gt;1&lt;/C&gt;&lt;D xsi:type="xsd:string"&gt;Q4 2026 Earnings Release (Projected)&lt;/D&gt;&lt;/FQL&gt;&lt;FQL&gt;&lt;Q&gt;SHW^CS_EVENT_DATEJ_N("ER",4)&lt;/Q&gt;&lt;R&gt;1&lt;/R&gt;&lt;C&gt;1&lt;/C&gt;&lt;D xsi:type="xsd:long"&gt;46415&lt;/D&gt;&lt;/FQL&gt;&lt;FQL&gt;&lt;Q&gt;SHW^CS_EVENT_TIME_N("ER",4)&lt;/Q&gt;&lt;R&gt;1&lt;/R&gt;&lt;C&gt;1&lt;/C&gt;&lt;D xsi:type="xsd:string"&gt;Unspecified&lt;/D&gt;&lt;/FQL&gt;&lt;FQL&gt;&lt;Q&gt;SHW^CS_EVENT_DESC_N("ER",4)&lt;/Q&gt;&lt;R&gt;1&lt;/R&gt;&lt;C&gt;1&lt;/C&gt;&lt;D xsi:type="xsd:string"&gt;Q4 2026 Earnings Release (Projected)&lt;/D&gt;&lt;/FQL&gt;&lt;FQL&gt;&lt;Q&gt;ECL^CS_EVENT_DATEJ_N("ER",4)&lt;/Q&gt;&lt;R&gt;1&lt;/R&gt;&lt;C&gt;1&lt;/C&gt;&lt;D xsi:type="xsd:long"&gt;46434&lt;/D&gt;&lt;/FQL&gt;&lt;FQL&gt;&lt;Q&gt;ECL^CS_EVENT_TIME_N("ER",4)&lt;/Q&gt;&lt;R&gt;1&lt;/R&gt;&lt;C&gt;1&lt;/C&gt;&lt;D xsi:type="xsd:string"&gt;Unspecified&lt;/D&gt;&lt;/FQL&gt;&lt;FQL&gt;&lt;Q&gt;ECL^CS_EVENT_DESC_N("ER",4)&lt;/Q&gt;&lt;R&gt;1&lt;/R&gt;&lt;C&gt;1&lt;/C&gt;&lt;D xsi:type="xsd:string"&gt;Q4 2026 Earnings Release (Projected)&lt;/D&gt;&lt;/FQL&gt;&lt;FQL&gt;&lt;Q&gt;EIX^CS_EVENT_DATEJ_N("ER",4)&lt;/Q&gt;&lt;R&gt;1&lt;/R&gt;&lt;C&gt;1&lt;/C&gt;&lt;D xsi:type="xsd:long"&gt;46443&lt;/D&gt;&lt;/FQL&gt;&lt;FQL&gt;&lt;Q&gt;EIX^CS_EVENT_TIME_N("ER",4)&lt;/Q&gt;&lt;R&gt;1&lt;/R&gt;&lt;C&gt;1&lt;/C&gt;&lt;D xsi:type="xsd:string"&gt;Unspecified&lt;/D&gt;&lt;/FQL&gt;&lt;FQL&gt;&lt;Q&gt;EIX^CS_EVENT_DESC_N("ER",4)&lt;/Q&gt;&lt;R&gt;1&lt;/R&gt;&lt;C&gt;1&lt;/C&gt;&lt;D xsi:type="xsd:string"&gt;Q4 2026 Earnings Release (Projected)&lt;/D&gt;&lt;/FQL&gt;&lt;FQL&gt;&lt;Q&gt;UPS^CS_EVENT_DATEJ_N("ER",4)&lt;/Q&gt;&lt;R&gt;1&lt;/R&gt;&lt;C&gt;1&lt;/C&gt;&lt;D xsi:type="xsd:long"&gt;46504&lt;/D&gt;&lt;/FQL&gt;&lt;FQL&gt;&lt;Q&gt;UPS^CS_EVENT_TIME_N("ER",4)&lt;/Q&gt;&lt;R&gt;1&lt;/R&gt;&lt;C&gt;1&lt;/C&gt;&lt;D xsi:type="xsd:string"&gt;Unspecified&lt;/D&gt;&lt;/FQL&gt;&lt;FQL&gt;&lt;Q&gt;UPS^CS_EVENT_DESC_N("ER",4)&lt;/Q&gt;&lt;R&gt;1&lt;/R&gt;&lt;C&gt;1&lt;/C&gt;&lt;D xsi:type="xsd:string"&gt;Q1 2027 Earnings Release (Projected)&lt;/D&gt;&lt;/FQL&gt;&lt;FQL&gt;&lt;Q&gt;ACGL^CS_EVENT_DATEJ_N("ER",4)&lt;/Q&gt;&lt;R&gt;1&lt;/R&gt;&lt;C&gt;1&lt;/C&gt;&lt;D xsi:type="xsd:long"&gt;46433&lt;/D&gt;&lt;/FQL&gt;&lt;FQL&gt;&lt;Q&gt;ACGL^CS_EVENT_TIME_N("ER",4)&lt;/Q&gt;&lt;R&gt;1&lt;/R&gt;&lt;C&gt;1&lt;/C&gt;&lt;D xsi:type="xsd:string"&gt;Unspecified&lt;/D&gt;&lt;/FQL&gt;&lt;FQL&gt;&lt;Q&gt;ACGL^CS_EVENT_DESC_N("ER",4)&lt;/Q&gt;&lt;R&gt;1&lt;/R&gt;&lt;C&gt;1&lt;/C&gt;&lt;D xsi:type="xsd:string"&gt;Q4 2026 Earnings Release (Projected)&lt;/D&gt;&lt;/FQL&gt;&lt;FQL&gt;&lt;Q&gt;KMB^CS_EVENT_DATEJ_N("ER",4)&lt;/Q&gt;&lt;R&gt;1&lt;/R&gt;&lt;C&gt;1&lt;/C&gt;&lt;D xsi:type="xsd:long"&gt;46414&lt;/D&gt;&lt;/FQL&gt;&lt;FQL&gt;&lt;Q&gt;KMB^CS_EVENT_TIME_N("ER",4)&lt;/Q&gt;&lt;R&gt;1&lt;/R&gt;&lt;C&gt;1&lt;/C&gt;&lt;D xsi:type="xsd:string"&gt;Unspecified&lt;/D&gt;&lt;/FQL&gt;&lt;FQL&gt;&lt;Q&gt;KMB^CS_EVENT_DESC_N("ER",4)&lt;/Q&gt;&lt;R&gt;1&lt;/R&gt;&lt;C&gt;1&lt;/C&gt;&lt;D xsi:type="xsd:string"&gt;Q4 2026 Earnings Release (Projected)&lt;/D&gt;&lt;/FQL&gt;&lt;FQL&gt;&lt;Q&gt;PEP^CS_EVENT_DATEJ_N("ER",4)&lt;/Q&gt;&lt;R&gt;1&lt;/R&gt;&lt;C&gt;1&lt;/C&gt;&lt;D xsi:type="xsd:long"&gt;46429&lt;/D&gt;&lt;/FQL&gt;&lt;FQL&gt;&lt;Q&gt;PEP^CS_EVENT_TIME_N("ER",4)&lt;/Q&gt;&lt;R&gt;1&lt;/R&gt;&lt;C&gt;1&lt;/C&gt;&lt;D xsi:type="xsd:string"&gt;Unspecified&lt;/D&gt;&lt;/FQL&gt;&lt;FQL&gt;&lt;Q&gt;PEP^CS_EVENT_DESC_N("ER",4)&lt;/Q&gt;&lt;R&gt;1&lt;/R&gt;&lt;C&gt;1&lt;/C&gt;&lt;D xsi:type="xsd:string"&gt;Q4 2026 Earnings Release (Projected)&lt;/D&gt;&lt;/FQL&gt;&lt;FQL&gt;&lt;Q&gt;HUBB^CS_EVENT_DATEJ_N("ER",4)&lt;/Q&gt;&lt;R&gt;1&lt;/R&gt;&lt;C&gt;1&lt;/C&gt;&lt;D xsi:type="xsd:long"&gt;46420&lt;/D&gt;&lt;/FQL&gt;&lt;FQL&gt;&lt;Q&gt;HUBB^CS_EVENT_TIME_N("ER",4)&lt;/Q&gt;&lt;R&gt;1&lt;/R&gt;&lt;C&gt;1&lt;/C&gt;&lt;D xsi:type="xsd:string"&gt;Unspecified&lt;/D&gt;&lt;/FQL&gt;&lt;FQL&gt;&lt;Q&gt;HUBB^CS_EVENT_DESC_N("ER",4)&lt;/Q&gt;&lt;R&gt;1&lt;/R&gt;&lt;C&gt;1&lt;/C&gt;&lt;D xsi:type="xsd:string"&gt;Q4 2026 Earnings Release (Projected)&lt;/D&gt;&lt;/FQL&gt;&lt;FQL&gt;&lt;Q&gt;ADM^CS_EVENT_DATEJ_N("ER",4)&lt;/Q&gt;&lt;R&gt;1&lt;/R&gt;&lt;C&gt;1&lt;/C&gt;&lt;D xsi:type="xsd:long"&gt;46413&lt;/D&gt;&lt;/FQL&gt;&lt;FQL&gt;&lt;Q&gt;ADM^CS_EVENT_TIME_N("ER",4)&lt;/Q&gt;&lt;R&gt;1&lt;/R&gt;&lt;C&gt;1&lt;/C&gt;&lt;D xsi:type="xsd:string"&gt;Unspecified&lt;/D&gt;&lt;/FQL&gt;&lt;FQL&gt;&lt;Q&gt;ADM^CS_EVENT_DESC_N("ER",4)&lt;/Q&gt;&lt;R&gt;1&lt;/R&gt;&lt;C&gt;1&lt;/C&gt;&lt;D xsi:type="xsd:string"&gt;Q4 2026 Earnings Release (Projected)&lt;/D&gt;&lt;/FQL&gt;&lt;FQL&gt;&lt;Q&gt;BKNG^CS_EVENT_DATEJ_N("ER",4)&lt;/Q&gt;&lt;R&gt;1&lt;/R&gt;&lt;C&gt;1&lt;/C&gt;&lt;D xsi:type="xsd:long"&gt;46443&lt;/D&gt;&lt;/FQL&gt;&lt;FQL&gt;&lt;Q&gt;BKNG^CS_EVENT_TIME_N("ER",4)&lt;/Q&gt;&lt;R&gt;1&lt;/R&gt;&lt;C&gt;1&lt;/C&gt;&lt;D xsi:type="xsd:string"&gt;Unspecified&lt;/D&gt;&lt;/FQL&gt;&lt;FQL&gt;&lt;Q&gt;BKNG^CS_EVENT_DESC_N("ER",4)&lt;/Q&gt;&lt;R&gt;1&lt;/R&gt;&lt;C&gt;1&lt;/C&gt;&lt;D xsi:type="xsd:string"&gt;Q4 2026 Earnings Release (Projected)&lt;/D&gt;&lt;/FQL&gt;&lt;FQL&gt;&lt;Q&gt;MSCI^CS_EVENT_DATEJ_N("ER",4)&lt;/Q&gt;&lt;R&gt;1&lt;/R&gt;&lt;C&gt;1&lt;/C&gt;&lt;D xsi:type="xsd:long"&gt;46420&lt;/D&gt;&lt;/FQL&gt;&lt;FQL&gt;&lt;Q&gt;MSCI^CS_EVENT_TIME_N("ER",4)&lt;/Q&gt;&lt;R&gt;1&lt;/R&gt;&lt;C&gt;1&lt;/C&gt;&lt;D xsi:type="xsd:string"&gt;Unspecified&lt;/D&gt;&lt;/FQL&gt;&lt;FQL&gt;&lt;Q&gt;MSCI^CS_EVENT_DESC_N("ER",4)&lt;/Q&gt;&lt;R&gt;1&lt;/R&gt;&lt;C&gt;1&lt;/C&gt;&lt;D xsi:type="xsd:string"&gt;Q4 2026 Earnings Release (Projected)&lt;/D&gt;&lt;/FQL&gt;&lt;FQL&gt;&lt;Q&gt;GOOGL^CS_EVENT_DATEJ_N("ER",4)&lt;/Q&gt;&lt;R&gt;1&lt;/R&gt;&lt;C&gt;1&lt;/C&gt;&lt;D xsi:type="xsd:long"&gt;46420&lt;/D&gt;&lt;/FQL&gt;&lt;FQL&gt;&lt;Q&gt;GOOGL^CS_EVENT_TIME_N("ER",4)&lt;/Q&gt;&lt;R&gt;1&lt;/R&gt;&lt;C&gt;1&lt;/C&gt;&lt;D xsi:type="xsd:string"&gt;Unspecified&lt;/D&gt;&lt;/FQL&gt;&lt;FQL&gt;&lt;Q&gt;GOOGL^CS_EVENT_DESC_N("ER",4)&lt;/Q&gt;&lt;R&gt;1&lt;/R&gt;&lt;C&gt;1&lt;/C&gt;&lt;D xsi:type="xsd:string"&gt;Q4 2026 Earnings Release (Projected)&lt;/D&gt;&lt;/FQL&gt;&lt;FQL&gt;&lt;Q&gt;GM^CS_EVENT_DATEJ_N("ER",4)&lt;/Q&gt;&lt;R&gt;1&lt;/R&gt;&lt;C&gt;1&lt;/C&gt;&lt;D xsi:type="xsd:long"&gt;46420&lt;/D&gt;&lt;/FQL&gt;&lt;FQL&gt;&lt;Q&gt;GM^CS_EVENT_TIME_N("ER",4)&lt;/Q&gt;&lt;R&gt;1&lt;/R&gt;&lt;C&gt;1&lt;/C&gt;&lt;D xsi:type="xsd:string"&gt;Unspecified&lt;/D&gt;&lt;/FQL&gt;&lt;FQL&gt;&lt;Q&gt;GM^CS_EVENT_DESC_N("ER",4)&lt;/Q&gt;&lt;R&gt;1&lt;/R&gt;&lt;C&gt;1&lt;/C&gt;&lt;D xsi:type="xsd:string"&gt;Q4 2026 Earnings Release (Projected)&lt;/D&gt;&lt;/FQL&gt;&lt;FQL&gt;&lt;Q&gt;NEE^CS_EVENT_DATEJ_N("ER",4)&lt;/Q&gt;&lt;R&gt;1&lt;/R&gt;&lt;C&gt;1&lt;/C&gt;&lt;D xsi:type="xsd:long"&gt;46413&lt;/D&gt;&lt;/FQL&gt;&lt;FQL&gt;&lt;Q&gt;NEE^CS_EVENT_TIME_N("ER",4)&lt;/Q&gt;&lt;R&gt;1&lt;/R&gt;&lt;C&gt;1&lt;/C&gt;&lt;D xsi:type="xsd:string"&gt;Unspecified&lt;/D&gt;&lt;/FQL&gt;&lt;FQL&gt;&lt;Q&gt;NEE^CS_EVENT_DESC_N("ER",4)&lt;/Q&gt;&lt;R&gt;1&lt;/R&gt;&lt;C&gt;1&lt;/C&gt;&lt;D xsi:type="xsd:string"&gt;Q4 2026 Earnings Release (Projected)&lt;/D&gt;&lt;/FQL&gt;&lt;FQL&gt;&lt;Q&gt;NXPI^CS_EVENT_DATEJ_N("ER",4)&lt;/Q&gt;&lt;R&gt;1&lt;/R&gt;&lt;C&gt;1&lt;/C&gt;&lt;D xsi:type="xsd:long"&gt;46419&lt;/D&gt;&lt;/FQL&gt;&lt;FQL&gt;&lt;Q&gt;NXPI^CS_EVENT_TIME_N("ER",4)&lt;/Q&gt;&lt;R&gt;1&lt;/R&gt;&lt;C&gt;1&lt;/C&gt;&lt;D xsi:type="xsd:string"&gt;Unspecified&lt;/D&gt;&lt;/FQL&gt;&lt;FQL&gt;&lt;Q&gt;NXPI^CS_EVENT_DESC_N("ER",4)&lt;/Q&gt;&lt;R&gt;1&lt;/R&gt;&lt;C&gt;1&lt;/C&gt;&lt;D xsi:type="xsd:string"&gt;Q4 2026 Earnings Release (Projected)&lt;/D&gt;&lt;/FQL&gt;&lt;FQL&gt;&lt;Q&gt;MDLZ^CS_EVENT_DATEJ_N("ER",4)&lt;/Q&gt;&lt;R&gt;1&lt;/R&gt;&lt;C&gt;1&lt;/C&gt;&lt;D xsi:type="xsd:long"&gt;46415&lt;/D&gt;&lt;/FQL&gt;&lt;FQL&gt;&lt;Q&gt;MDLZ^CS_EVENT_TIME_N("ER",4)&lt;/Q&gt;&lt;R&gt;1&lt;/R&gt;&lt;C&gt;1&lt;/C&gt;&lt;D xsi:type="xsd:string"&gt;Unspecified&lt;/D&gt;&lt;/FQL&gt;&lt;FQL&gt;&lt;Q&gt;MDLZ^CS_EVENT_DESC_N("ER",4)&lt;/Q&gt;&lt;R&gt;1&lt;/R&gt;&lt;C&gt;1&lt;/C&gt;&lt;D xsi:type="xsd:string"&gt;Q4 2026 Earnings Release (Projected)&lt;/D&gt;&lt;/FQL&gt;&lt;FQL&gt;&lt;Q&gt;TSLA^CS_EVENT_DATEJ_N("ER",4)&lt;/Q&gt;&lt;R&gt;1&lt;/R&gt;&lt;C&gt;1&lt;/C&gt;&lt;D xsi:type="xsd:long"&gt;46421&lt;/D&gt;&lt;/FQL&gt;&lt;FQL&gt;&lt;Q&gt;TSLA^CS_EVENT_TIME_N("ER",4)&lt;/Q&gt;&lt;R&gt;1&lt;/R&gt;&lt;C&gt;1&lt;/C&gt;&lt;D xsi:type="xsd:string"&gt;Unspecified&lt;/D&gt;&lt;/FQL&gt;&lt;FQL&gt;&lt;Q&gt;TSLA^CS_EVENT_DESC_N("ER",4)&lt;/Q&gt;&lt;R&gt;1&lt;/R&gt;&lt;C&gt;1&lt;/C&gt;&lt;D xsi:type="xsd:string"&gt;Q4 2026 Earnings Release (Projected)&lt;/D&gt;&lt;/FQL&gt;&lt;FQL&gt;&lt;Q&gt;GOOG^CS_EVENT_DATEJ_N("ER",4)&lt;/Q&gt;&lt;R&gt;1&lt;/R&gt;&lt;C&gt;1&lt;/C&gt;&lt;D xsi:type="xsd:long"&gt;46420&lt;/D&gt;&lt;/FQL&gt;&lt;FQL&gt;&lt;Q&gt;GOOG^CS_EVENT_TIME_N("ER",4)&lt;/Q&gt;&lt;R&gt;1&lt;/R&gt;&lt;C&gt;1&lt;/C&gt;&lt;D xsi:type="xsd:string"&gt;Unspecified&lt;/D&gt;&lt;/FQL&gt;&lt;FQL&gt;&lt;Q&gt;GOOG^CS_EVENT_DESC_N("ER",4)&lt;/Q&gt;&lt;R&gt;1&lt;/R&gt;&lt;C&gt;1&lt;/C&gt;&lt;D xsi:type="xsd:string"&gt;Q4 2026 Earnings Release (Projected)&lt;/D&gt;&lt;/FQL&gt;&lt;FQL&gt;&lt;Q&gt;HLT^CS_EVENT_DATEJ_N("ER",4)&lt;/Q&gt;&lt;R&gt;1&lt;/R&gt;&lt;C&gt;1&lt;/C&gt;&lt;D xsi:type="xsd:long"&gt;46435&lt;/D&gt;&lt;/FQL&gt;&lt;FQL&gt;&lt;Q&gt;HLT^CS_EVENT_TIME_N("ER",4)&lt;/Q&gt;&lt;R&gt;1&lt;/R&gt;&lt;C&gt;1&lt;/C&gt;&lt;D xsi:type="xsd:string"&gt;Unspecified&lt;/D&gt;&lt;/FQL&gt;&lt;FQL&gt;&lt;Q&gt;HLT^CS_EVENT_DESC_N("ER",4)&lt;/Q&gt;&lt;R&gt;1&lt;/R&gt;&lt;C&gt;1&lt;/C&gt;&lt;D xsi:type="xsd:string"&gt;Q4 2026 Earnings Release (Projected)&lt;/D&gt;&lt;/FQL&gt;&lt;FQL&gt;&lt;Q&gt;IVZ^CS_EVENT_DATEJ_N("ER",4)&lt;/Q&gt;&lt;R&gt;1&lt;/R&gt;&lt;C&gt;1&lt;/C&gt;&lt;D xsi:type="xsd:long"&gt;46413&lt;/D&gt;&lt;/FQL&gt;&lt;FQL&gt;&lt;Q&gt;IVZ^CS_EVENT_TIME_N("ER",4)&lt;/Q&gt;&lt;R&gt;1&lt;/R&gt;&lt;C&gt;1&lt;/C&gt;&lt;D xsi:type="xsd:string"&gt;Unspecified&lt;/D&gt;&lt;/FQL&gt;&lt;FQL&gt;&lt;Q&gt;IVZ^CS_EVENT_DESC_N("ER",4)&lt;/Q&gt;&lt;R&gt;1&lt;/R&gt;&lt;C&gt;1&lt;/C&gt;&lt;D xsi:type="xsd:string"&gt;Q4 2026 Earnings Release (Projected)&lt;/D&gt;&lt;/FQL&gt;&lt;FQL&gt;&lt;Q&gt;EXR^CS_EVENT_DATEJ_N("ER",4)&lt;/Q&gt;&lt;R&gt;1&lt;/R&gt;&lt;C&gt;1&lt;/C&gt;&lt;D xsi:type="xsd:long"&gt;46442&lt;/D&gt;&lt;/FQL&gt;&lt;FQL&gt;&lt;Q&gt;EXR^CS_EVENT_TIME_N("ER",4)&lt;/Q&gt;&lt;R&gt;1&lt;/R&gt;&lt;C&gt;1&lt;/C&gt;&lt;D xsi:type="xsd:string"&gt;Unspecified&lt;/D&gt;&lt;/FQL&gt;&lt;FQL&gt;&lt;Q&gt;EXR^CS_EVENT_DESC_N("ER",4)&lt;/Q&gt;&lt;R&gt;1&lt;/R&gt;&lt;C&gt;1&lt;/C&gt;&lt;D xsi:type="xsd:string"&gt;Q4 2026 Earnings Release (Projected)&lt;/D&gt;&lt;/FQL&gt;&lt;FQL&gt;&lt;Q&gt;TMUS^CS_EVENT_DATEJ_N("ER",4)&lt;/Q&gt;&lt;R&gt;1&lt;/R&gt;&lt;C&gt;1&lt;/C&gt;&lt;D xsi:type="xsd:long"&gt;46421&lt;/D&gt;&lt;/FQL&gt;&lt;FQL&gt;&lt;Q&gt;TMUS^CS_EVENT_TIME_N("ER",4)&lt;/Q&gt;&lt;R&gt;1&lt;/R&gt;&lt;C&gt;1&lt;/C&gt;&lt;D xsi:type="xsd:string"&gt;Unspecified&lt;/D&gt;&lt;/FQL&gt;&lt;FQL&gt;&lt;Q&gt;TMUS^CS_EVENT_DESC_N("ER",4)&lt;/Q&gt;&lt;R&gt;1&lt;/R&gt;&lt;C&gt;1&lt;/C&gt;&lt;D xsi:type="xsd:string"&gt;Q4 2026 Earnings Release (Projected)&lt;/D&gt;&lt;/FQL&gt;&lt;FQL&gt;&lt;Q&gt;UDR^CS_EVENT_DATEJ_N("ER",4)&lt;/Q&gt;&lt;R&gt;1&lt;/R&gt;&lt;C&gt;1&lt;/C&gt;&lt;D xsi:type="xsd:long"&gt;46427&lt;/D&gt;&lt;/FQL&gt;&lt;FQL&gt;&lt;Q&gt;UDR^CS_EVENT_TIME_N("ER",4)&lt;/Q&gt;&lt;R&gt;1&lt;/R&gt;&lt;C&gt;1&lt;/C&gt;&lt;D xsi:type="xsd:string"&gt;Unspecified&lt;/D&gt;&lt;/FQL&gt;&lt;FQL&gt;&lt;Q&gt;UDR^CS_EVENT_DESC_N("ER",4)&lt;/Q&gt;&lt;R&gt;1&lt;/R&gt;&lt;C&gt;1&lt;/C&gt;&lt;D xsi:type="xsd:string"&gt;Q4 2026 Earnings Release (Projected)&lt;/D&gt;&lt;/FQL&gt;&lt;FQL&gt;&lt;Q&gt;V^CS_EVENT_DATEJ_N("ER",4)&lt;/Q&gt;&lt;R&gt;1&lt;/R&gt;&lt;C&gt;1&lt;/C&gt;&lt;D xsi:type="xsd:long"&gt;46415&lt;/D&gt;&lt;/FQL&gt;&lt;FQL&gt;&lt;Q&gt;V^CS_EVENT_TIME_N("ER",4)&lt;/Q&gt;&lt;R&gt;1&lt;/R&gt;&lt;C&gt;1&lt;/C&gt;&lt;D xsi:type="xsd:string"&gt;Unspecified&lt;/D&gt;&lt;/FQL&gt;&lt;FQL&gt;&lt;Q&gt;V^CS_EVENT_DESC_N("ER",4)&lt;/Q&gt;&lt;R&gt;1&lt;/R&gt;&lt;C&gt;1&lt;/C&gt;&lt;D xsi:type="xsd:string"&gt;Q1 2027 Earnings Release (Projected)&lt;/D&gt;&lt;/FQL&gt;&lt;FQL&gt;&lt;Q&gt;PNR^CS_EVENT_DATEJ_N("ER",4)&lt;/Q&gt;&lt;R&gt;1&lt;/R&gt;&lt;C&gt;1&lt;/C&gt;&lt;D xsi:type="xsd:long"&gt;46420&lt;/D&gt;&lt;/FQL&gt;&lt;FQL&gt;&lt;Q&gt;PNR^CS_EVENT_TIME_N("ER",4)&lt;/Q&gt;&lt;R&gt;1&lt;/R&gt;&lt;C&gt;1&lt;/C&gt;&lt;D xsi:type="xsd:string"&gt;Unspecified&lt;/D&gt;&lt;/FQL&gt;&lt;FQL&gt;&lt;Q&gt;PNR^CS_EVENT_DESC_N("ER",4)&lt;/Q&gt;&lt;R&gt;1&lt;/R&gt;&lt;C&gt;1&lt;/C&gt;&lt;D xsi:type="xsd:string"&gt;Q4 2026 Earnings Release (Projected)&lt;/D&gt;&lt;/FQL&gt;&lt;FQL&gt;&lt;Q&gt;VLTO^CS_EVENT_DATEJ_N("ER",4)&lt;/Q&gt;&lt;R&gt;1&lt;/R&gt;&lt;C&gt;1&lt;/C&gt;&lt;D xsi:type="xsd:long"&gt;46427&lt;/D&gt;&lt;/FQL&gt;&lt;FQL&gt;&lt;Q&gt;VLTO^CS_EVENT_TIME_N("ER",4)&lt;/Q&gt;&lt;R&gt;1&lt;/R&gt;&lt;C&gt;1&lt;/C&gt;&lt;D xsi:type="xsd:string"&gt;Unspecified&lt;/D&gt;&lt;/FQL&gt;&lt;FQL&gt;&lt;Q&gt;VLTO^CS_EVENT_DESC_N("ER",4)&lt;/Q&gt;&lt;R&gt;1&lt;/R&gt;&lt;C&gt;1&lt;/C&gt;&lt;D xsi:type="xsd:string"&gt;Q4 2026 Earnings Release (Projected)&lt;/D&gt;&lt;/FQL&gt;&lt;FQL&gt;&lt;Q&gt;XYL^CS_EVENT_DATEJ_N("ER",4)&lt;/Q&gt;&lt;R&gt;1&lt;/R&gt;&lt;C&gt;1&lt;/C&gt;&lt;D xsi:type="xsd:long"&gt;46427&lt;/D&gt;&lt;/FQL&gt;&lt;FQL&gt;&lt;Q&gt;XYL^CS_EVENT_TIME_N("ER",4)&lt;/Q&gt;&lt;R&gt;1&lt;/R&gt;&lt;C&gt;1&lt;/C&gt;&lt;D xsi:type="xsd:string"&gt;Unspecified&lt;/D&gt;&lt;/FQL&gt;&lt;FQL&gt;&lt;Q&gt;XYL^CS_EVENT_DESC_N("ER",4)&lt;/Q&gt;&lt;R&gt;1&lt;/R&gt;&lt;C&gt;1&lt;/C&gt;&lt;D xsi:type="xsd:string"&gt;Q4 2026 Earnings Release (Projected)&lt;/D&gt;&lt;/FQL&gt;&lt;FQL&gt;&lt;Q&gt;MAA^CS_EVENT_DATEJ_N("ER",4)&lt;/Q&gt;&lt;R&gt;1&lt;/R&gt;&lt;C&gt;1&lt;/C&gt;&lt;D xsi:type="xsd:long"&gt;46428&lt;/D&gt;&lt;/FQL&gt;&lt;FQL&gt;&lt;Q&gt;MAA^CS_EVENT_TIME_N("ER",4)&lt;/Q&gt;&lt;R&gt;1&lt;/R&gt;&lt;C&gt;1&lt;/C&gt;&lt;D xsi:type="xsd:string"&gt;Unspecified&lt;/D&gt;&lt;/FQL&gt;&lt;FQL&gt;&lt;Q&gt;MAA^CS_EVENT_DESC_N("ER",4)&lt;/Q&gt;&lt;R&gt;1&lt;/R&gt;&lt;C&gt;1&lt;/C&gt;&lt;D xsi:type="xsd:string"&gt;Q4 2026 Earnings Release (Projected)&lt;/D&gt;&lt;/FQL&gt;&lt;FQL&gt;&lt;Q&gt;EQIX^CS_EVENT_DATEJ_N("ER",4)&lt;/Q&gt;&lt;R&gt;1&lt;/R&gt;&lt;C&gt;1&lt;/C&gt;&lt;D xsi:type="xsd:long"&gt;46435&lt;/D&gt;&lt;/FQL&gt;&lt;FQL&gt;&lt;Q&gt;EQIX^CS_EVENT_TIME_N("ER",4)&lt;/Q&gt;&lt;R&gt;1&lt;/R&gt;&lt;C&gt;1&lt;/C&gt;&lt;D xsi:type="xsd:string"&gt;Unspecified&lt;/D&gt;&lt;/FQL&gt;&lt;FQL&gt;&lt;Q&gt;EQIX^CS_EVENT_DESC_N("ER",4)&lt;/Q&gt;&lt;R&gt;1&lt;/R&gt;&lt;C&gt;1&lt;/C&gt;&lt;D xsi:type="xsd:string"&gt;Q4 2026 Earnings Release (Projected)&lt;/D&gt;&lt;/FQL&gt;&lt;FQL&gt;&lt;Q&gt;GRMN^CS_EVENT_DATEJ_N("ER",4)&lt;/Q&gt;&lt;R&gt;1&lt;/R&gt;&lt;C&gt;1&lt;/C&gt;&lt;D xsi:type="xsd:long"&gt;46442&lt;/D&gt;&lt;/FQL&gt;&lt;FQL&gt;&lt;Q&gt;GRMN^CS_EVENT_TIME_N("ER",4)&lt;/Q&gt;&lt;R&gt;1&lt;/R&gt;&lt;C&gt;1&lt;/C&gt;&lt;D xsi:type="xsd:string"&gt;Unspecified&lt;/D&gt;&lt;/FQL&gt;&lt;FQL&gt;&lt;Q&gt;GRMN^CS_EVENT_DESC_N("ER",4)&lt;/Q&gt;&lt;R&gt;1&lt;/R&gt;&lt;C&gt;1&lt;/C&gt;&lt;D xsi:type="xsd:string"&gt;Q4 2026 Earnings Release (Projected)&lt;/D&gt;&lt;/FQL&gt;&lt;FQL&gt;&lt;Q&gt;EW^CS_EVENT_DATEJ_N("ER",4)&lt;/Q&gt;&lt;R&gt;0&lt;/R&gt;&lt;C&gt;0&lt;/C&gt;&lt;/FQL&gt;&lt;FQL&gt;&lt;Q&gt;EW^CS_EVENT_TIME_N("ER",4)&lt;/Q&gt;&lt;R&gt;0&lt;/R&gt;&lt;C&gt;0&lt;/C&gt;&lt;/FQL&gt;&lt;FQL&gt;&lt;Q&gt;EW^CS_EVENT_DESC_N("ER",4)&lt;/Q&gt;&lt;R&gt;0&lt;/R&gt;&lt;C&gt;0&lt;/C&gt;&lt;/FQL&gt;&lt;FQL&gt;&lt;Q&gt;MGM^CS_EVENT_DATEJ_N("ER",4)&lt;/Q&gt;&lt;R&gt;1&lt;/R&gt;&lt;C&gt;1&lt;/C&gt;&lt;D xsi:type="xsd:long"&gt;46428&lt;/D&gt;&lt;/FQL&gt;&lt;FQL&gt;&lt;Q&gt;MGM^CS_EVENT_TIME_N("ER",4)&lt;/Q&gt;&lt;R&gt;1&lt;/R&gt;&lt;C&gt;1&lt;/C&gt;&lt;D xsi:type="xsd:string"&gt;Unspecified&lt;/D&gt;&lt;/FQL&gt;&lt;FQL&gt;&lt;Q&gt;MGM^CS_EVENT_DESC_N("ER",4)&lt;/Q&gt;&lt;R&gt;1&lt;/R&gt;&lt;C&gt;1&lt;/C&gt;&lt;D xsi:type="xsd:string"&gt;Q4 2026 Earnings Release (Projected)&lt;/D&gt;&lt;/FQL&gt;&lt;FQL&gt;&lt;Q&gt;APH^CS_EVENT_DATEJ_N("ER",4)&lt;/Q&gt;&lt;R&gt;1&lt;/R&gt;&lt;C&gt;1&lt;/C&gt;&lt;D xsi:type="xsd:long"&gt;46414&lt;/D&gt;&lt;/FQL&gt;&lt;FQL&gt;&lt;Q&gt;APH^CS_EVENT_TIME_N("ER",4)&lt;/Q&gt;&lt;R&gt;1&lt;/R&gt;&lt;C&gt;1&lt;/C&gt;&lt;D xsi:type="xsd:string"&gt;Unspecified&lt;/D&gt;&lt;/FQL&gt;&lt;FQL&gt;&lt;Q&gt;APH^CS_EVENT_DESC_N("ER",4)&lt;/Q&gt;&lt;R&gt;1&lt;/R&gt;&lt;C&gt;1&lt;/C&gt;&lt;D xsi:type="xsd:string"&gt;Q4 2026 Earnings Release (Projected)&lt;/D&gt;&lt;/FQL&gt;&lt;FQL&gt;&lt;Q&gt;ALL^CS_EVENT_DATEJ_N("ER",4)&lt;/Q&gt;&lt;R&gt;1&lt;/R&gt;&lt;C&gt;1&lt;/C&gt;&lt;D xsi:type="xsd:long"&gt;46421&lt;/D&gt;&lt;/FQL&gt;&lt;FQL&gt;&lt;Q&gt;ALL^CS_EVENT_TIME_N("ER",4)&lt;/Q&gt;&lt;R&gt;1&lt;/R&gt;&lt;C&gt;1&lt;/C&gt;&lt;D xsi:type="xsd:string"&gt;Unspecified&lt;/D&gt;&lt;/FQL&gt;&lt;FQL&gt;&lt;Q&gt;ALL^CS_EVENT_DESC_N("ER",4)&lt;/Q&gt;&lt;R&gt;1&lt;/R&gt;&lt;C&gt;1&lt;/C&gt;&lt;D xsi:type="xsd:string"&gt;Q4 2026 Earnings Release (Projected)&lt;/D&gt;&lt;/FQL&gt;&lt;FQL&gt;&lt;Q&gt;SWK^CS_EVENT_DATEJ_N("ER",4)&lt;/Q&gt;&lt;R&gt;1&lt;/R&gt;&lt;C&gt;1&lt;/C&gt;&lt;D xsi:type="xsd:long"&gt;46422&lt;/D&gt;&lt;/FQL&gt;&lt;FQL&gt;&lt;Q&gt;SWK^CS_EVENT_TIME_N("ER",4)&lt;/Q&gt;&lt;R&gt;1&lt;/R&gt;&lt;C&gt;1&lt;/C&gt;&lt;D xsi:type="xsd:string"&gt;Unspecified&lt;/D&gt;&lt;/FQL&gt;&lt;FQL&gt;&lt;Q&gt;SWK^CS_EVENT_DESC_N("ER",4)&lt;/Q&gt;&lt;R&gt;1&lt;/R&gt;&lt;C&gt;1&lt;/C&gt;&lt;D xsi:type="xsd:string"&gt;Q4 2026 Earnings Release (Projected)&lt;/D&gt;&lt;/FQL&gt;&lt;FQL&gt;&lt;Q&gt;REGN^CS_EVENT_DATEJ_N("ER",4)&lt;/Q&gt;&lt;R&gt;1&lt;/R&gt;&lt;C&gt;1&lt;/C&gt;&lt;D xsi:type="xsd:long"&gt;46513&lt;/D&gt;&lt;/FQL&gt;&lt;FQL&gt;&lt;Q&gt;REGN^CS_EVENT_TIME_N("ER",4)&lt;/Q&gt;&lt;R&gt;1&lt;/R&gt;&lt;C&gt;1&lt;/C&gt;&lt;D xsi:type="xsd:string"&gt;Unspecified&lt;/D&gt;&lt;/FQL&gt;&lt;FQL&gt;&lt;Q&gt;REGN^CS_EVENT_DESC_N("ER",4)&lt;/Q&gt;&lt;R&gt;1&lt;/R&gt;&lt;C&gt;1&lt;/C&gt;&lt;D xsi:type="xsd:string"&gt;Q1 2027 Earnings Release (Projected)&lt;/D&gt;&lt;/FQL&gt;&lt;FQL&gt;&lt;Q&gt;ODFL^CS_EVENT_DATEJ_N("ER",4)&lt;/Q&gt;&lt;R&gt;1&lt;/R&gt;&lt;C&gt;1&lt;/C&gt;&lt;D xsi:type="xsd:long"&gt;46421&lt;/D&gt;&lt;/FQL&gt;&lt;FQL&gt;&lt;Q&gt;ODFL^CS_EVENT_TIME_N("ER",4)&lt;/Q&gt;&lt;R&gt;1&lt;/R&gt;&lt;C&gt;1&lt;/C&gt;&lt;D xsi:type="xsd:string"&gt;Unspecified&lt;/D&gt;&lt;/FQL&gt;&lt;FQL&gt;&lt;Q&gt;ODFL^CS_EVENT_DESC_N("ER",4)&lt;/Q&gt;&lt;R&gt;1&lt;/R&gt;&lt;C&gt;1&lt;/C&gt;&lt;D xsi:type="xsd:string"&gt;Q4 2026 Earnings Release (Projected)&lt;/D&gt;&lt;/FQL&gt;&lt;FQL&gt;&lt;Q&gt;ALGN^CS_EVENT_DATEJ_N("ER",4)&lt;/Q&gt;&lt;R&gt;1&lt;/R&gt;&lt;C&gt;1&lt;/C&gt;&lt;D xsi:type="xsd:long"&gt;46421&lt;/D&gt;&lt;/FQL&gt;&lt;FQL&gt;&lt;Q&gt;ALGN^CS_EVENT_TIME_N("ER",4)&lt;/Q&gt;&lt;R&gt;1&lt;/R&gt;&lt;C&gt;1&lt;/C&gt;&lt;D xsi:type="xsd:string"&gt;Unspecified&lt;/D&gt;&lt;/FQL&gt;&lt;FQL&gt;&lt;Q&gt;ALGN^CS_EVENT_DESC_N("ER",4)&lt;/Q&gt;&lt;R&gt;1&lt;/R&gt;&lt;C&gt;1&lt;/C&gt;&lt;D xsi:type="xsd:string"&gt;Q4 2026 Earnings Release&lt;/D&gt;&lt;/FQL&gt;&lt;FQL&gt;&lt;Q&gt;GD^CS_EVENT_DATEJ_N("ER",4)&lt;/Q&gt;&lt;R&gt;1&lt;/R&gt;&lt;C&gt;1&lt;/C&gt;&lt;D xsi:type="xsd:long"&gt;46414&lt;/D&gt;&lt;/FQL&gt;&lt;FQL&gt;&lt;Q&gt;GD^CS_EVENT_TIME_N("ER",4)&lt;/Q&gt;&lt;R&gt;1&lt;/R&gt;&lt;C&gt;1&lt;/C&gt;&lt;D xsi:type="xsd:string"&gt;Unspecified&lt;/D&gt;&lt;/FQL&gt;&lt;FQL&gt;&lt;Q&gt;GD^CS_EVENT_DESC_N("ER",4)&lt;/Q&gt;&lt;R&gt;1&lt;/R&gt;&lt;C&gt;1&lt;/C&gt;&lt;D xsi:type="xsd:string"&gt;Q4 2026 Earnings Release (Projected)&lt;/D&gt;&lt;/FQL&gt;&lt;FQL&gt;&lt;Q&gt;ETR^CS_EVENT_DATEJ_N("ER",4)&lt;/Q&gt;&lt;R&gt;1&lt;/R&gt;&lt;C&gt;1&lt;/C&gt;&lt;D xsi:type="xsd:long"&gt;46442&lt;/D&gt;&lt;/FQL&gt;&lt;FQL&gt;&lt;Q&gt;ETR^CS_EVENT_TIME_N("ER",4)&lt;/Q&gt;&lt;R&gt;1&lt;/R&gt;&lt;C&gt;1&lt;/C&gt;&lt;D xsi:type="xsd:string"&gt;Unspecified&lt;/D&gt;&lt;/FQL&gt;&lt;FQL&gt;&lt;Q&gt;ETR^CS_EVENT_DESC_N("ER",4)&lt;/Q&gt;&lt;R&gt;1&lt;/R&gt;&lt;C&gt;1&lt;/C&gt;&lt;D xsi:type="xsd:string"&gt;Q4 2026 Earnings Release (Projected)&lt;/D&gt;&lt;/FQL&gt;&lt;FQL&gt;&lt;Q&gt;EG^CS_EVENT_DATEJ_N("ER",4)&lt;/Q&gt;&lt;R&gt;1&lt;/R&gt;&lt;C&gt;1&lt;/C&gt;&lt;D xsi:type="xsd:long"&gt;46428&lt;/D&gt;&lt;/FQL&gt;&lt;FQL&gt;&lt;Q&gt;EG^CS_EVENT_TIME_N("ER",4)&lt;/Q&gt;&lt;R&gt;1&lt;/R&gt;&lt;C&gt;1&lt;/C&gt;&lt;D xsi:type="xsd:string"&gt;Unspecified&lt;/D&gt;&lt;/FQL&gt;&lt;FQL&gt;&lt;Q&gt;EG^CS_EVENT_DESC_N("ER",4)&lt;/Q&gt;&lt;R&gt;1&lt;/R&gt;&lt;C&gt;1&lt;/C&gt;&lt;D xsi:type="xsd:string"&gt;Q4 2026 Earnings Release (Projected)&lt;/D&gt;&lt;/FQL&gt;&lt;FQL&gt;&lt;Q&gt;FIX^CS_EVENT_DATEJ_N("ER",4)&lt;/Q&gt;&lt;R&gt;1&lt;/R&gt;&lt;C&gt;1&lt;/C&gt;&lt;D xsi:type="xsd:long"&gt;46443&lt;/D&gt;&lt;/FQL&gt;&lt;FQL&gt;&lt;Q&gt;FIX^CS_EVENT_TIME_N("ER",4)&lt;/Q&gt;&lt;R&gt;1&lt;/R&gt;&lt;C&gt;1&lt;/C&gt;&lt;D xsi:type="xsd:string"&gt;Unspecified&lt;/D&gt;&lt;/FQL&gt;&lt;FQL&gt;&lt;Q&gt;FIX^CS_EVENT_DESC_N("ER",4)&lt;/Q&gt;&lt;R&gt;1&lt;/R&gt;&lt;C&gt;1&lt;/C&gt;&lt;D xsi:type="xsd:string"&gt;Q4 2026 Earnings Release (Projected)&lt;/D&gt;&lt;/FQL&gt;&lt;FQL&gt;&lt;Q&gt;ROL^CS_EVENT_DATEJ_N("ER",4)&lt;/Q&gt;&lt;R&gt;1&lt;/R&gt;&lt;C&gt;1&lt;/C&gt;&lt;D xsi:type="xsd:long"&gt;46435&lt;/D&gt;&lt;/FQL&gt;&lt;FQL&gt;&lt;Q&gt;ROL^CS_EVENT_TIME_N("ER",4)&lt;/Q&gt;&lt;R&gt;1&lt;/R&gt;&lt;C&gt;1&lt;/C&gt;&lt;D xsi:type="xsd:string"&gt;Unspecified&lt;/D&gt;&lt;/FQL&gt;&lt;FQL&gt;&lt;Q&gt;ROL^CS_EVENT_DESC_N("ER",4)&lt;/Q&gt;&lt;R&gt;1&lt;/R&gt;&lt;C&gt;1&lt;/C&gt;&lt;D xsi:type="xsd:string"&gt;Q4 2026 Earnings Release (Projected)&lt;/D&gt;&lt;/FQL&gt;&lt;FQL&gt;&lt;Q&gt;ADP^CS_EVENT_DATEJ_N("ER",4)&lt;/Q&gt;&lt;R&gt;1&lt;/R&gt;&lt;C&gt;1&lt;/C&gt;&lt;D xsi:type="xsd:long"&gt;46414&lt;/D&gt;&lt;/FQL&gt;&lt;FQL&gt;&lt;Q&gt;ADP^CS_EVENT_TIME_N("ER",4)&lt;/Q&gt;&lt;R&gt;1&lt;/R&gt;&lt;C&gt;1&lt;/C&gt;&lt;D xsi:type="xsd:string"&gt;Unspecified&lt;/D&gt;&lt;/FQL&gt;&lt;FQL&gt;&lt;Q&gt;ADP^CS_EVENT_DESC_N("ER",4)&lt;/Q&gt;&lt;R&gt;1&lt;/R&gt;&lt;C&gt;1&lt;/C&gt;&lt;D xsi:type="xsd:string"&gt;Q2 2027 Earnings Release (Projected)&lt;/D&gt;&lt;/FQL&gt;&lt;FQL&gt;&lt;Q&gt;TDY^CS_EVENT_DATEJ_N("ER",4)&lt;/Q&gt;&lt;R&gt;1&lt;/R&gt;&lt;C&gt;1&lt;/C&gt;&lt;D xsi:type="xsd:long"&gt;46414&lt;/D&gt;&lt;/FQL&gt;&lt;FQL&gt;&lt;Q&gt;TDY^CS_EVENT_TIME_N("ER",4)&lt;/Q&gt;&lt;R&gt;1&lt;/R&gt;&lt;C&gt;1&lt;/C&gt;&lt;D xsi:type="xsd:string"&gt;Unspecified&lt;/D&gt;&lt;/FQL&gt;&lt;FQL&gt;&lt;Q&gt;TDY^CS_EVENT_DESC_N("ER",4)&lt;/Q&gt;&lt;R&gt;1&lt;/R&gt;&lt;C&gt;1&lt;/C&gt;&lt;D xsi:type="xsd:string"&gt;Q4 2026 Earnings Release (Projected)&lt;/D&gt;&lt;/FQL&gt;&lt;FQL&gt;&lt;Q&gt;URI^CS_EVENT_DATEJ_N("ER",4)&lt;/Q&gt;&lt;R&gt;1&lt;/R&gt;&lt;C&gt;1&lt;/C&gt;&lt;D xsi:type="xsd:long"&gt;46414&lt;/D&gt;&lt;/FQL&gt;&lt;FQL&gt;&lt;Q&gt;URI^CS_EVENT_TIME_N("ER",4)&lt;/Q&gt;&lt;R&gt;1&lt;/R&gt;&lt;C&gt;1&lt;/C&gt;&lt;D xsi:type="xsd:string"&gt;Unspecified&lt;/D&gt;&lt;/FQL&gt;&lt;FQL&gt;&lt;Q&gt;URI^CS_EVENT_DESC_N("ER",4)&lt;/Q&gt;&lt;R&gt;1&lt;/R&gt;&lt;C&gt;1&lt;/C&gt;&lt;D xsi:type="xsd:string"&gt;Q4 2026 Earnings Release (Projected)&lt;/D&gt;&lt;/FQL&gt;&lt;FQL&gt;&lt;Q&gt;AMGN^CS_EVENT_DATEJ_N("ER",4)&lt;/Q&gt;&lt;R&gt;1&lt;/R&gt;&lt;C&gt;1&lt;/C&gt;&lt;D xsi:type="xsd:long"&gt;46427&lt;/D&gt;&lt;/FQL&gt;&lt;FQL&gt;&lt;Q&gt;AMGN^CS_EVENT_TIME_N("ER",4)&lt;/Q&gt;&lt;R&gt;1&lt;/R&gt;&lt;C&gt;1&lt;/C&gt;&lt;D xsi:type="xsd:string"&gt;Unspecifi</t>
        </r>
      </text>
    </comment>
    <comment ref="A7" authorId="0" shapeId="0" xr:uid="{484B86CA-7D05-4C1E-9006-81860C61CFAB}">
      <text>
        <r>
          <rPr>
            <b/>
            <sz val="9"/>
            <color indexed="81"/>
            <rFont val="Tahoma"/>
            <family val="2"/>
          </rPr>
          <t>ed&lt;/D&gt;&lt;/FQL&gt;&lt;FQL&gt;&lt;Q&gt;AMGN^CS_EVENT_DESC_N("ER",4)&lt;/Q&gt;&lt;R&gt;1&lt;/R&gt;&lt;C&gt;1&lt;/C&gt;&lt;D xsi:type="xsd:string"&gt;Q4 2026 Earnings Release (Projected)&lt;/D&gt;&lt;/FQL&gt;&lt;FQL&gt;&lt;Q&gt;AVY^CS_EVENT_DATEJ_N("ER",4)&lt;/Q&gt;&lt;R&gt;1&lt;/R&gt;&lt;C&gt;1&lt;/C&gt;&lt;D xsi:type="xsd:long"&gt;46421&lt;/D&gt;&lt;/FQL&gt;&lt;FQL&gt;&lt;Q&gt;AVY^CS_EVENT_TIME_N("ER",4)&lt;/Q&gt;&lt;R&gt;1&lt;/R&gt;&lt;C&gt;1&lt;/C&gt;&lt;D xsi:type="xsd:string"&gt;Unspecified&lt;/D&gt;&lt;/FQL&gt;&lt;FQL&gt;&lt;Q&gt;AVY^CS_EVENT_DESC_N("ER",4)&lt;/Q&gt;&lt;R&gt;1&lt;/R&gt;&lt;C&gt;1&lt;/C&gt;&lt;D xsi:type="xsd:string"&gt;Q4 2026 Earnings Release (Projected)&lt;/D&gt;&lt;/FQL&gt;&lt;FQL&gt;&lt;Q&gt;EQT^CS_EVENT_DATEJ_N("ER",4)&lt;/Q&gt;&lt;R&gt;0&lt;/R&gt;&lt;C&gt;0&lt;/C&gt;&lt;/FQL&gt;&lt;FQL&gt;&lt;Q&gt;EQT^CS_EVENT_TIME_N("ER",4)&lt;/Q&gt;&lt;R&gt;0&lt;/R&gt;&lt;C&gt;0&lt;/C&gt;&lt;/FQL&gt;&lt;FQL&gt;&lt;Q&gt;EQT^CS_EVENT_DESC_N("ER",4)&lt;/Q&gt;&lt;R&gt;0&lt;/R&gt;&lt;C&gt;0&lt;/C&gt;&lt;/FQL&gt;&lt;FQL&gt;&lt;Q&gt;ORLY^CS_EVENT_DATEJ_N("ER",4)&lt;/Q&gt;&lt;R&gt;0&lt;/R&gt;&lt;C&gt;0&lt;/C&gt;&lt;/FQL&gt;&lt;FQL&gt;&lt;Q&gt;ORLY^CS_EVENT_TIME_N("ER",4)&lt;/Q&gt;&lt;R&gt;0&lt;/R&gt;&lt;C&gt;0&lt;/C&gt;&lt;/FQL&gt;&lt;FQL&gt;&lt;Q&gt;ORLY^CS_EVENT_DESC_N("ER",4)&lt;/Q&gt;&lt;R&gt;0&lt;/R&gt;&lt;C&gt;0&lt;/C&gt;&lt;/FQL&gt;&lt;FQL&gt;&lt;Q&gt;TMO^CS_EVENT_DATEJ_N("ER",4)&lt;/Q&gt;&lt;R&gt;1&lt;/R&gt;&lt;C&gt;1&lt;/C&gt;&lt;D xsi:type="xsd:long"&gt;46422&lt;/D&gt;&lt;/FQL&gt;&lt;FQL&gt;&lt;Q&gt;TMO^CS_EVENT_TIME_N("ER",4)&lt;/Q&gt;&lt;R&gt;1&lt;/R&gt;&lt;C&gt;1&lt;/C&gt;&lt;D xsi:type="xsd:string"&gt;Unspecified&lt;/D&gt;&lt;/FQL&gt;&lt;FQL&gt;&lt;Q&gt;TMO^CS_EVENT_DESC_N("ER",4)&lt;/Q&gt;&lt;R&gt;1&lt;/R&gt;&lt;C&gt;1&lt;/C&gt;&lt;D xsi:type="xsd:string"&gt;Q4 2026 Earnings Release (Projected)&lt;/D&gt;&lt;/FQL&gt;&lt;FQL&gt;&lt;Q&gt;AVB^CS_EVENT_DATEJ_N("ER",4)&lt;/Q&gt;&lt;R&gt;0&lt;/R&gt;&lt;C&gt;0&lt;/C&gt;&lt;/FQL&gt;&lt;FQL&gt;&lt;Q&gt;AVB^CS_EVENT_TIME_N("ER",4)&lt;/Q&gt;&lt;R&gt;0&lt;/R&gt;&lt;C&gt;0&lt;/C&gt;&lt;/FQL&gt;&lt;FQL&gt;&lt;Q&gt;AVB^CS_EVENT_DESC_N("ER",4)&lt;/Q&gt;&lt;R&gt;0&lt;/R&gt;&lt;C&gt;0&lt;/C&gt;&lt;/FQL&gt;&lt;FQL&gt;&lt;Q&gt;LRCX^CS_EVENT_DATEJ_N("ER",4)&lt;/Q&gt;&lt;R&gt;1&lt;/R&gt;&lt;C&gt;1&lt;/C&gt;&lt;D xsi:type="xsd:long"&gt;46414&lt;/D&gt;&lt;/FQL&gt;&lt;FQL&gt;&lt;Q&gt;LRCX^CS_EVENT_TIME_N("ER",4)&lt;/Q&gt;&lt;R&gt;1&lt;/R&gt;&lt;C&gt;1&lt;/C&gt;&lt;D xsi:type="xsd:string"&gt;Unspecified&lt;/D&gt;&lt;/FQL&gt;&lt;FQL&gt;&lt;Q&gt;LRCX^CS_EVENT_DESC_N("ER",4)&lt;/Q&gt;&lt;R&gt;1&lt;/R&gt;&lt;C&gt;1&lt;/C&gt;&lt;D xsi:type="xsd:string"&gt;Q2 2027 Earnings Release (Projected)&lt;/D&gt;&lt;/FQL&gt;&lt;FQL&gt;&lt;Q&gt;TYL^CS_EVENT_DATEJ_N("ER",4)&lt;/Q&gt;&lt;R&gt;1&lt;/R&gt;&lt;C&gt;1&lt;/C&gt;&lt;D xsi:type="xsd:long"&gt;46435&lt;/D&gt;&lt;/FQL&gt;&lt;FQL&gt;&lt;Q&gt;TYL^CS_EVENT_TIME_N("ER",4)&lt;/Q&gt;&lt;R&gt;1&lt;/R&gt;&lt;C&gt;1&lt;/C&gt;&lt;D xsi:type="xsd:string"&gt;Unspecified&lt;/D&gt;&lt;/FQL&gt;&lt;FQL&gt;&lt;Q&gt;TYL^CS_EVENT_DESC_N("ER",4)&lt;/Q&gt;&lt;R&gt;1&lt;/R&gt;&lt;C&gt;1&lt;/C&gt;&lt;D xsi:type="xsd:string"&gt;Q4 2026 Earnings Release (Projected)&lt;/D&gt;&lt;/FQL&gt;&lt;FQL&gt;&lt;Q&gt;REG^CS_EVENT_DATEJ_N("ER",4)&lt;/Q&gt;&lt;R&gt;1&lt;/R&gt;&lt;C&gt;1&lt;/C&gt;&lt;D xsi:type="xsd:long"&gt;46429&lt;/D&gt;&lt;/FQL&gt;&lt;FQL&gt;&lt;Q&gt;REG^CS_EVENT_TIME_N("ER",4)&lt;/Q&gt;&lt;R&gt;1&lt;/R&gt;&lt;C&gt;1&lt;/C&gt;&lt;D xsi:type="xsd:string"&gt;Unspecified&lt;/D&gt;&lt;/FQL&gt;&lt;FQL&gt;&lt;Q&gt;REG^CS_EVENT_DESC_N("ER",4)&lt;/Q&gt;&lt;R&gt;1&lt;/R&gt;&lt;C&gt;1&lt;/C&gt;&lt;D xsi:type="xsd:string"&gt;Q4 2026 Earnings Release (Projected)&lt;/D&gt;&lt;/FQL&gt;&lt;FQL&gt;&lt;Q&gt;BG^CS_EVENT_DATEJ_N("ER",4)&lt;/Q&gt;&lt;R&gt;1&lt;/R&gt;&lt;C&gt;1&lt;/C&gt;&lt;D xsi:type="xsd:long"&gt;46505&lt;/D&gt;&lt;/FQL&gt;&lt;FQL&gt;&lt;Q&gt;BG^CS_EVENT_TIME_N("ER",4)&lt;/Q&gt;&lt;R&gt;1&lt;/R&gt;&lt;C&gt;1&lt;/C&gt;&lt;D xsi:type="xsd:string"&gt;Unspecified&lt;/D&gt;&lt;/FQL&gt;&lt;FQL&gt;&lt;Q&gt;BG^CS_EVENT_DESC_N("ER",4)&lt;/Q&gt;&lt;R&gt;1&lt;/R&gt;&lt;C&gt;1&lt;/C&gt;&lt;D xsi:type="xsd:string"&gt;Q1 2027 Earnings Release (Projected)&lt;/D&gt;&lt;/FQL&gt;&lt;FQL&gt;&lt;Q&gt;F^CS_EVENT_DATEJ_N("ER",4)&lt;/Q&gt;&lt;R&gt;1&lt;/R&gt;&lt;C&gt;1&lt;/C&gt;&lt;D xsi:type="xsd:long"&gt;46422&lt;/D&gt;&lt;/FQL&gt;&lt;FQL&gt;&lt;Q&gt;F^CS_EVENT_TIME_N("ER",4)&lt;/Q&gt;&lt;R&gt;1&lt;/R&gt;&lt;C&gt;1&lt;/C&gt;&lt;D xsi:type="xsd:string"&gt;Unspecified&lt;/D&gt;&lt;/FQL&gt;&lt;FQL&gt;&lt;Q&gt;F^CS_EVENT_DESC_N("ER",4)&lt;/Q&gt;&lt;R&gt;1&lt;/R&gt;&lt;C&gt;1&lt;/C&gt;&lt;D xsi:type="xsd:string"&gt;Q4 2026 Earnings Release (Projected)&lt;/D&gt;&lt;/FQL&gt;&lt;FQL&gt;&lt;Q&gt;AFL^CS_EVENT_DATEJ_N("ER",4)&lt;/Q&gt;&lt;R&gt;1&lt;/R&gt;&lt;C&gt;1&lt;/C&gt;&lt;D xsi:type="xsd:long"&gt;46421&lt;/D&gt;&lt;/FQL&gt;&lt;FQL&gt;&lt;Q&gt;AFL^CS_EVENT_TIME_N("ER",4)&lt;/Q&gt;&lt;R&gt;1&lt;/R&gt;&lt;C&gt;1&lt;/C&gt;&lt;D xsi:type="xsd:string"&gt;Unspecified&lt;/D&gt;&lt;/FQL&gt;&lt;FQL&gt;&lt;Q&gt;AFL^CS_EVENT_DESC_N("ER",4)&lt;/Q&gt;&lt;R&gt;1&lt;/R&gt;&lt;C&gt;1&lt;/C&gt;&lt;D xsi:type="xsd:string"&gt;Q4 2027 Earnings Release (Projected)&lt;/D&gt;&lt;/FQL&gt;&lt;FQL&gt;&lt;Q&gt;HUM^CS_EVENT_DATEJ_N("ER",4)&lt;/Q&gt;&lt;R&gt;1&lt;/R&gt;&lt;C&gt;1&lt;/C&gt;&lt;D xsi:type="xsd:long"&gt;46421&lt;/D&gt;&lt;/FQL&gt;&lt;FQL&gt;&lt;Q&gt;HUM^CS_EVENT_TIME_N("ER",4)&lt;/Q&gt;&lt;R&gt;1&lt;/R&gt;&lt;C&gt;1&lt;/C&gt;&lt;D xsi:type="xsd:string"&gt;Unspecified&lt;/D&gt;&lt;/FQL&gt;&lt;FQL&gt;&lt;Q&gt;HUM^CS_EVENT_DESC_N("ER",4)&lt;/Q&gt;&lt;R&gt;1&lt;/R&gt;&lt;C&gt;1&lt;/C&gt;&lt;D xsi:type="xsd:string"&gt;Q4 2026 Earnings Release (Projected)&lt;/D&gt;&lt;/FQL&gt;&lt;FQL&gt;&lt;Q&gt;CMG^CS_EVENT_DATEJ_N("ER",4)&lt;/Q&gt;&lt;R&gt;1&lt;/R&gt;&lt;C&gt;1&lt;/C&gt;&lt;D xsi:type="xsd:long"&gt;46427&lt;/D&gt;&lt;/FQL&gt;&lt;FQL&gt;&lt;Q&gt;CMG^CS_EVENT_TIME_N("ER",4)&lt;/Q&gt;&lt;R&gt;1&lt;/R&gt;&lt;C&gt;1&lt;/C&gt;&lt;D xsi:type="xsd:string"&gt;Unspecified&lt;/D&gt;&lt;/FQL&gt;&lt;FQL&gt;&lt;Q&gt;CMG^CS_EVENT_DESC_N("ER",4)&lt;/Q&gt;&lt;R&gt;1&lt;/R&gt;&lt;C&gt;1&lt;/C&gt;&lt;D xsi:type="xsd:string"&gt;Q4 2026 Earnings Release (Projected)&lt;/D&gt;&lt;/FQL&gt;&lt;FQL&gt;&lt;Q&gt;ABBV^CS_EVENT_DATEJ_N("ER",4)&lt;/Q&gt;&lt;R&gt;1&lt;/R&gt;&lt;C&gt;1&lt;/C&gt;&lt;D xsi:type="xsd:long"&gt;46421&lt;/D&gt;&lt;/FQL&gt;&lt;FQL&gt;&lt;Q&gt;ABBV^CS_EVENT_TIME_N("ER",4)&lt;/Q&gt;&lt;R&gt;1&lt;/R&gt;&lt;C&gt;1&lt;/C&gt;&lt;D xsi:type="xsd:string"&gt;Unspecified&lt;/D&gt;&lt;/FQL&gt;&lt;FQL&gt;&lt;Q&gt;ABBV^CS_EVENT_DESC_N("ER",4)&lt;/Q&gt;&lt;R&gt;1&lt;/R&gt;&lt;C&gt;1&lt;/C&gt;&lt;D xsi:type="xsd:string"&gt;Q4 2026 Earnings Release (Projected)&lt;/D&gt;&lt;/FQL&gt;&lt;FQL&gt;&lt;Q&gt;STX^CS_EVENT_DATEJ_N("ER",4)&lt;/Q&gt;&lt;R&gt;1&lt;/R&gt;&lt;C&gt;1&lt;/C&gt;&lt;D xsi:type="xsd:long"&gt;46414&lt;/D&gt;&lt;/FQL&gt;&lt;FQL&gt;&lt;Q&gt;STX^CS_EVENT_TIME_N("ER",4)&lt;/Q&gt;&lt;R&gt;1&lt;/R&gt;&lt;C&gt;1&lt;/C&gt;&lt;D xsi:type="xsd:string"&gt;Unspecified&lt;/D&gt;&lt;/FQL&gt;&lt;FQL&gt;&lt;Q&gt;STX^CS_EVENT_DESC_N("ER",4)&lt;/Q&gt;&lt;R&gt;1&lt;/R&gt;&lt;C&gt;1&lt;/C&gt;&lt;D xsi:type="xsd:string"&gt;Q2 2027 Earnings Release (Projected)&lt;/D&gt;&lt;/FQL&gt;&lt;FQL&gt;&lt;Q&gt;PTC^CS_EVENT_DATEJ_N("ER",4)&lt;/Q&gt;&lt;R&gt;1&lt;/R&gt;&lt;C&gt;1&lt;/C&gt;&lt;D xsi:type="xsd:long"&gt;46421&lt;/D&gt;&lt;/FQL&gt;&lt;FQL&gt;&lt;Q&gt;PTC^CS_EVENT_TIME_N("ER",4)&lt;/Q&gt;&lt;R&gt;1&lt;/R&gt;&lt;C&gt;1&lt;/C&gt;&lt;D xsi:type="xsd:string"&gt;Unspecified&lt;/D&gt;&lt;/FQL&gt;&lt;FQL&gt;&lt;Q&gt;PTC^CS_EVENT_DESC_N("ER",4)&lt;/Q&gt;&lt;R&gt;1&lt;/R&gt;&lt;C&gt;1&lt;/C&gt;&lt;D xsi:type="xsd:string"&gt;Q1 2027 Earnings Release (Projected)&lt;/D&gt;&lt;/FQL&gt;&lt;FQL&gt;&lt;Q&gt;CHRW^CS_EVENT_DATEJ_N("ER",4)&lt;/Q&gt;&lt;R&gt;1&lt;/R&gt;&lt;C&gt;1&lt;/C&gt;&lt;D xsi:type="xsd:long"&gt;46421&lt;/D&gt;&lt;/FQL&gt;&lt;FQL&gt;&lt;Q&gt;CHRW^CS_EVENT_TIME_N("ER",4)&lt;/Q&gt;&lt;R&gt;1&lt;/R&gt;&lt;C&gt;1&lt;/C&gt;&lt;D xsi:type="xsd:string"&gt;Unspecified&lt;/D&gt;&lt;/FQL&gt;&lt;FQL&gt;&lt;Q&gt;CHRW^CS_EVENT_DESC_N("ER",4)&lt;/Q&gt;&lt;R&gt;1&lt;/R&gt;&lt;C&gt;1&lt;/C&gt;&lt;D xsi:type="xsd:string"&gt;Q4 2026 Earnings Release (Projected)&lt;/D&gt;&lt;/FQL&gt;&lt;FQL&gt;&lt;Q&gt;LVS^CS_EVENT_DATEJ_N("ER",4)&lt;/Q&gt;&lt;R&gt;1&lt;/R&gt;&lt;C&gt;1&lt;/C&gt;&lt;D xsi:type="xsd:long"&gt;46414&lt;/D&gt;&lt;/FQL&gt;&lt;FQL&gt;&lt;Q&gt;LVS^CS_EVENT_TIME_N("ER",4)&lt;/Q&gt;&lt;R&gt;1&lt;/R&gt;&lt;C&gt;1&lt;/C&gt;&lt;D xsi:type="xsd:string"&gt;Unspecified&lt;/D&gt;&lt;/FQL&gt;&lt;FQL&gt;&lt;Q&gt;LVS^CS_EVENT_DESC_N("ER",4)&lt;/Q&gt;&lt;R&gt;1&lt;/R&gt;&lt;C&gt;1&lt;/C&gt;&lt;D xsi:type="xsd:string"&gt;Q4 2026 Earnings Release (Projected)&lt;/D&gt;&lt;/FQL&gt;&lt;FQL&gt;&lt;Q&gt;TEL^CS_EVENT_DATEJ_N("ER",4)&lt;/Q&gt;&lt;R&gt;0&lt;/R&gt;&lt;C&gt;0&lt;/C&gt;&lt;/FQL&gt;&lt;FQL&gt;&lt;Q&gt;TEL^CS_EVENT_TIME_N("ER",4)&lt;/Q&gt;&lt;R&gt;0&lt;/R&gt;&lt;C&gt;0&lt;/C&gt;&lt;/FQL&gt;&lt;FQL&gt;&lt;Q&gt;TEL^CS_EVENT_DESC_N("ER",4)&lt;/Q&gt;&lt;R&gt;0&lt;/R&gt;&lt;C&gt;0&lt;/C&gt;&lt;/FQL&gt;&lt;FQL&gt;&lt;Q&gt;META^CS_EVENT_DATEJ_N("ER",4)&lt;/Q&gt;&lt;R&gt;1&lt;/R&gt;&lt;C&gt;1&lt;/C&gt;&lt;D xsi:type="xsd:long"&gt;46421&lt;/D&gt;&lt;/FQL&gt;&lt;FQL&gt;&lt;Q&gt;META^CS_EVENT_TIME_N("ER",4)&lt;/Q&gt;&lt;R&gt;1&lt;/R&gt;&lt;C&gt;1&lt;/C&gt;&lt;D xsi:type="xsd:string"&gt;Unspecified&lt;/D&gt;&lt;/FQL&gt;&lt;FQL&gt;&lt;Q&gt;META^CS_EVENT_DESC_N("ER",4)&lt;/Q&gt;&lt;R&gt;1&lt;/R&gt;&lt;C&gt;1&lt;/C&gt;&lt;D xsi:type="xsd:string"&gt;Q4 2026 Earnings Release (Projected)&lt;/D&gt;&lt;/FQL&gt;&lt;FQL&gt;&lt;Q&gt;PSX^CS_EVENT_DATEJ_N("ER",4)&lt;/Q&gt;&lt;R&gt;1&lt;/R&gt;&lt;C&gt;1&lt;/C&gt;&lt;D xsi:type="xsd:long"&gt;46422&lt;/D&gt;&lt;/FQL&gt;&lt;FQL&gt;&lt;Q&gt;PSX^CS_EVENT_TIME_N("ER",4)&lt;/Q&gt;&lt;R&gt;1&lt;/R&gt;&lt;C&gt;1&lt;/C&gt;&lt;D xsi:type="xsd:string"&gt;Unspecified&lt;/D&gt;&lt;/FQL&gt;&lt;FQL&gt;&lt;Q&gt;PSX^CS_EVENT_DESC_N("ER",4)&lt;/Q&gt;&lt;R&gt;1&lt;/R&gt;&lt;C&gt;1&lt;/C&gt;&lt;D xsi:type="xsd:string"&gt;Q4 2026 Earnings Release (Projected)&lt;/D&gt;&lt;/FQL&gt;&lt;FQL&gt;&lt;Q&gt;NOW^CS_EVENT_DATEJ_N("ER",4)&lt;/Q&gt;&lt;R&gt;1&lt;/R&gt;&lt;C&gt;1&lt;/C&gt;&lt;D xsi:type="xsd:long"&gt;46414&lt;/D&gt;&lt;/FQL&gt;&lt;FQL&gt;&lt;Q&gt;NOW^CS_EVENT_TIME_N("ER",4)&lt;/Q&gt;&lt;R&gt;1&lt;/R&gt;&lt;C&gt;1&lt;/C&gt;&lt;D xsi:type="xsd:string"&gt;Unspecified&lt;/D&gt;&lt;/FQL&gt;&lt;FQL&gt;&lt;Q&gt;NOW^CS_EVENT_DESC_N("ER",4)&lt;/Q&gt;&lt;R&gt;1&lt;/R&gt;&lt;C&gt;1&lt;/C&gt;&lt;D xsi:type="xsd:string"&gt;Q4 2026 Earnings Release (Projected)&lt;/D&gt;&lt;/FQL&gt;&lt;FQL&gt;&lt;Q&gt;VICI^CS_EVENT_DATEJ_N("ER",4)&lt;/Q&gt;&lt;R&gt;1&lt;/R&gt;&lt;C&gt;1&lt;/C&gt;&lt;D xsi:type="xsd:long"&gt;46443&lt;/D&gt;&lt;/FQL&gt;&lt;FQL&gt;&lt;Q&gt;VICI^CS_EVENT_TIME_N("ER",4)&lt;/Q&gt;&lt;R&gt;1&lt;/R&gt;&lt;C&gt;1&lt;/C&gt;&lt;D xsi:type="xsd:string"&gt;Unspecified&lt;/D&gt;&lt;/FQL&gt;&lt;FQL&gt;&lt;Q&gt;VICI^CS_EVENT_DESC_N("ER",4)&lt;/Q&gt;&lt;R&gt;1&lt;/R&gt;&lt;C&gt;1&lt;/C&gt;&lt;D xsi:type="xsd:string"&gt;Q4 2026 Earnings Release (Projected)&lt;/D&gt;&lt;/FQL&gt;&lt;FQL&gt;&lt;Q&gt;VRT^CS_EVENT_DATEJ_N("ER",4)&lt;/Q&gt;&lt;R&gt;1&lt;/R&gt;&lt;C&gt;1&lt;/C&gt;&lt;D xsi:type="xsd:long"&gt;46442&lt;/D&gt;&lt;/FQL&gt;&lt;FQL&gt;&lt;Q&gt;VRT^CS_EVENT_TIME_N("ER",4)&lt;/Q&gt;&lt;R&gt;1&lt;/R&gt;&lt;C&gt;1&lt;/C&gt;&lt;D xsi:type="xsd:string"&gt;Unspecified&lt;/D&gt;&lt;/FQL&gt;&lt;FQL&gt;&lt;Q&gt;VRT^CS_EVENT_DESC_N("ER",4)&lt;/Q&gt;&lt;R&gt;1&lt;/R&gt;&lt;C&gt;1&lt;/C&gt;&lt;D xsi:type="xsd:string"&gt;Q4 2026 Earnings Release (Projected)&lt;/D&gt;&lt;/FQL&gt;&lt;FQL&gt;&lt;Q&gt;OTIS^CS_EVENT_DATEJ_N("ER",4)&lt;/Q&gt;&lt;R&gt;1&lt;/R&gt;&lt;C&gt;1&lt;/C&gt;&lt;D xsi:type="xsd:long"&gt;46421&lt;/D&gt;&lt;/FQL&gt;&lt;FQL&gt;&lt;Q&gt;OTIS^CS_EVENT_TIME_N("ER",4)&lt;/Q&gt;&lt;R&gt;1&lt;/R&gt;&lt;C&gt;1&lt;/C&gt;&lt;D xsi:type="xsd:string"&gt;Unspecified&lt;/D&gt;&lt;/FQL&gt;&lt;FQL&gt;&lt;Q&gt;OTIS^CS_EVENT_DESC_N("ER",4)&lt;/Q&gt;&lt;R&gt;1&lt;/R&gt;&lt;C&gt;1&lt;/C&gt;&lt;D xsi:type="xsd:string"&gt;Q4 2026 Earnings Release (Projected)&lt;/D&gt;&lt;/FQL&gt;&lt;FQL&gt;&lt;Q&gt;AES^CS_EVENT_DATEJ_N("ER",4)&lt;/Q&gt;&lt;R&gt;1&lt;/R&gt;&lt;C&gt;1&lt;/C&gt;&lt;D xsi:type="xsd:long"&gt;46447&lt;/D&gt;&lt;/FQL&gt;&lt;FQL&gt;&lt;Q&gt;AES^CS_EVENT_TIME_N("ER",4)&lt;/Q&gt;&lt;R&gt;1&lt;/R&gt;&lt;C&gt;1&lt;/C&gt;&lt;D xsi:type="xsd:string"&gt;Unspecified&lt;/D&gt;&lt;/FQL&gt;&lt;FQL&gt;&lt;Q&gt;AES^CS_EVENT_DESC_N("ER",4)&lt;/Q&gt;&lt;R&gt;1&lt;/R&gt;&lt;C&gt;1&lt;/C&gt;&lt;D xsi:type="xsd:string"&gt;Q4 2026 Earnings Release (Projected)&lt;/D&gt;&lt;/FQL&gt;&lt;FQL&gt;&lt;Q&gt;ED^CS_EVENT_DATEJ_N("ER",4)&lt;/Q&gt;&lt;R&gt;1&lt;/R&gt;&lt;C&gt;1&lt;/C&gt;&lt;D xsi:type="xsd:long"&gt;46436&lt;/D&gt;&lt;/FQL&gt;&lt;FQL&gt;&lt;Q&gt;ED^CS_EVENT_TIME_N("ER",4)&lt;/Q&gt;&lt;R&gt;1&lt;/R&gt;&lt;C&gt;1&lt;/C&gt;&lt;D xsi:type="xsd:string"&gt;Unspecified&lt;/D&gt;&lt;/FQL&gt;&lt;FQL&gt;&lt;Q&gt;ED^CS_EVENT_DESC_N("ER",4)&lt;/Q&gt;&lt;R&gt;1&lt;/R&gt;&lt;C&gt;1&lt;/C&gt;&lt;D xsi:type="xsd:string"&gt;Q4 2026 Earnings Release (Projected)&lt;/D&gt;&lt;/FQL&gt;&lt;FQL&gt;&lt;Q&gt;SO^CS_EVENT_DATEJ_N("ER",4)&lt;/Q&gt;&lt;R&gt;1&lt;/R&gt;&lt;C&gt;1&lt;/C&gt;&lt;D xsi:type="xsd:long"&gt;46436&lt;/D&gt;&lt;/FQL&gt;&lt;FQL&gt;&lt;Q&gt;SO^CS_EVENT_TIME_N("ER",4)&lt;/Q&gt;&lt;R&gt;1&lt;/R&gt;&lt;C&gt;1&lt;/C&gt;&lt;D xsi:type="xsd:string"&gt;Unspecified&lt;/D&gt;&lt;/FQL&gt;&lt;FQL&gt;&lt;Q&gt;SO^CS_EVENT_DESC_N("ER",4)&lt;/Q&gt;&lt;R&gt;1&lt;/R&gt;&lt;C&gt;1&lt;/C&gt;&lt;D xsi:type="xsd:string"&gt;Q4 2026 Earnings Release (Projected)&lt;/D&gt;&lt;/FQL&gt;&lt;FQL&gt;&lt;Q&gt;IP^CS_EVENT_DATEJ_N("ER",4)&lt;/Q&gt;&lt;R&gt;1&lt;/R&gt;&lt;C&gt;1&lt;/C&gt;&lt;D xsi:type="xsd:long"&gt;46422&lt;/D&gt;&lt;/FQL&gt;&lt;FQL&gt;&lt;Q&gt;IP^CS_EVENT_TIME_N("ER",4)&lt;/Q&gt;&lt;R&gt;1&lt;/R&gt;&lt;C&gt;1&lt;/C&gt;&lt;D xsi:type="xsd:string"&gt;Unspecified&lt;/D&gt;&lt;/FQL&gt;&lt;FQL&gt;&lt;Q&gt;IP^CS_EVENT_DESC_N("ER",4)&lt;/Q&gt;&lt;R&gt;1&lt;/R&gt;&lt;C&gt;1&lt;/C&gt;&lt;D xsi:type="xsd:string"&gt;Q4 2026 Earnings Release (Projected)&lt;/D&gt;&lt;/FQL&gt;&lt;FQL&gt;&lt;Q&gt;BAX^CS_EVENT_DATEJ_N("ER",4)&lt;/Q&gt;&lt;R&gt;0&lt;/R&gt;&lt;C&gt;0&lt;/C&gt;&lt;/FQL&gt;&lt;FQL&gt;&lt;Q&gt;BAX^CS_EVENT_TIME_N("ER",4)&lt;/Q&gt;&lt;R&gt;0&lt;/R&gt;&lt;C&gt;0&lt;/C&gt;&lt;/FQL&gt;&lt;FQL&gt;&lt;Q&gt;BAX^CS_EVENT_DESC_N("ER",4)&lt;/Q&gt;&lt;R&gt;0&lt;/R&gt;&lt;C&gt;0&lt;/C&gt;&lt;/FQL&gt;&lt;FQL&gt;&lt;Q&gt;MNST^CS_EVENT_DATEJ_N("ER",4)&lt;/Q&gt;&lt;R&gt;1&lt;/R&gt;&lt;C&gt;1&lt;/C&gt;&lt;D xsi:type="xsd:long"&gt;46450&lt;/D&gt;&lt;/FQL&gt;&lt;FQL&gt;&lt;Q&gt;MNST^CS_EVENT_TIME_N("ER",4)&lt;/Q&gt;&lt;R&gt;1&lt;/R&gt;&lt;C&gt;1&lt;/C&gt;&lt;D xsi:type="xsd:string"&gt;Unspecified&lt;/D&gt;&lt;/FQL&gt;&lt;FQL&gt;&lt;Q&gt;MNST^CS_EVENT_DESC_N("ER",4)&lt;/Q&gt;&lt;R&gt;1&lt;/R&gt;&lt;C&gt;1&lt;/C&gt;&lt;D xsi:type="xsd:string"&gt;Q4 2026 Earnings Release (Projected)&lt;/D&gt;&lt;/FQL&gt;&lt;FQL&gt;&lt;Q&gt;CAH^CS_EVENT_DATEJ_N("ER",4)&lt;/Q&gt;&lt;R&gt;1&lt;/R&gt;&lt;C&gt;1&lt;/C&gt;&lt;D xsi:type="xsd:long"&gt;46422&lt;/D&gt;&lt;/FQL&gt;&lt;FQL&gt;&lt;Q&gt;CAH^CS_EVENT_TIME_N("ER",4)&lt;/Q&gt;&lt;R&gt;1&lt;/R&gt;&lt;C&gt;1&lt;/C&gt;&lt;D xsi:type="xsd:string"&gt;Unspecified&lt;/D&gt;&lt;/FQL&gt;&lt;FQL&gt;&lt;Q&gt;CAH^CS_EVENT_DESC_N("ER",4)&lt;/Q&gt;&lt;R&gt;1&lt;/R&gt;&lt;C&gt;1&lt;/C&gt;&lt;D xsi:type="xsd:string"&gt;Q2 2027 Earnings Release (Projected)&lt;/D&gt;&lt;/FQL&gt;&lt;FQL&gt;&lt;Q&gt;LHX^CS_EVENT_DATEJ_N("ER",4)&lt;/Q&gt;&lt;R&gt;1&lt;/R&gt;&lt;C&gt;1&lt;/C&gt;&lt;D xsi:type="xsd:long"&gt;46415&lt;/D&gt;&lt;/FQL&gt;&lt;FQL&gt;&lt;Q&gt;LHX^CS_EVENT_TIME_N("ER",4)&lt;/Q&gt;&lt;R&gt;1&lt;/R&gt;&lt;C&gt;1&lt;/C&gt;&lt;D xsi:type="xsd:string"&gt;Unspecified&lt;/D&gt;&lt;/FQL&gt;&lt;FQL&gt;&lt;Q&gt;LHX^CS_EVENT_DESC_N("ER",4)&lt;/Q&gt;&lt;R&gt;1&lt;/R&gt;&lt;C&gt;1&lt;/C&gt;&lt;D xsi:type="xsd:string"&gt;Q4 2026 Earnings Release (Projected)&lt;/D&gt;&lt;/FQL&gt;&lt;FQL&gt;&lt;Q&gt;AIG^CS_EVENT_DATEJ_N("ER",4)&lt;/Q&gt;&lt;R&gt;1&lt;/R&gt;&lt;C&gt;1&lt;/C&gt;&lt;D xsi:type="xsd:long"&gt;46434&lt;/D&gt;&lt;/FQL&gt;&lt;FQL&gt;&lt;Q&gt;AIG^CS_EVENT_TIME_N("ER",4)&lt;/Q&gt;&lt;R&gt;1&lt;/R&gt;&lt;C&gt;1&lt;/C&gt;&lt;D xsi:type="xsd:string"&gt;Unspecified&lt;/D&gt;&lt;/FQL&gt;&lt;FQL&gt;&lt;Q&gt;AIG^CS_EVENT_DESC_N("ER",4)&lt;/Q&gt;&lt;R&gt;1&lt;/R&gt;&lt;C&gt;1&lt;/C&gt;&lt;D xsi:type="xsd:string"&gt;Q4 2026 Earnings Release (Projected)&lt;/D&gt;&lt;/FQL&gt;&lt;FQL&gt;&lt;Q&gt;LLY^CS_EVENT_DATEJ_N("ER",4)&lt;/Q&gt;&lt;R&gt;1&lt;/R&gt;&lt;C&gt;1&lt;/C&gt;&lt;D xsi:type="xsd:long"&gt;46428&lt;/D&gt;&lt;/FQL&gt;&lt;FQL&gt;&lt;Q&gt;LLY^CS_EVENT_TIME_N("ER",4)&lt;/Q&gt;&lt;R&gt;1&lt;/R&gt;&lt;C&gt;1&lt;/C&gt;&lt;D xsi:type="xsd:string"&gt;Unspecified&lt;/D&gt;&lt;/FQL&gt;&lt;FQL&gt;&lt;Q&gt;LLY^CS_EVENT_DESC_N("ER",4)&lt;/Q&gt;&lt;R&gt;1&lt;/R&gt;&lt;C&gt;1&lt;/C&gt;&lt;D xsi:type="xsd:string"&gt;Q4 2026 Earnings Release (Projected)&lt;/D&gt;&lt;/FQL&gt;&lt;FQL&gt;&lt;Q&gt;LH^CS_EVENT_DATEJ_N("ER",4)&lt;/Q&gt;&lt;R&gt;1&lt;/R&gt;&lt;C&gt;1&lt;/C&gt;&lt;D xsi:type="xsd:long"&gt;46429&lt;/D&gt;&lt;/FQL&gt;&lt;FQL&gt;&lt;Q&gt;LH^CS_EVENT_TIME_N("ER",4)&lt;/Q&gt;&lt;R&gt;1&lt;/R&gt;&lt;C&gt;1&lt;/C&gt;&lt;D xsi:type="xsd:string"&gt;Unspecified&lt;/D&gt;&lt;/FQL&gt;&lt;FQL&gt;&lt;Q&gt;LH^CS_EVENT_DESC_N("ER",4)&lt;/Q&gt;&lt;R&gt;1&lt;/R&gt;&lt;C&gt;1&lt;/C&gt;&lt;D xsi:type="xsd:string"&gt;Q4 2026 Earnings Release (Projected)&lt;/D&gt;&lt;/FQL&gt;&lt;FQL&gt;&lt;Q&gt;BMY^CS_EVENT_DATEJ_N("ER",4)&lt;/Q&gt;&lt;R&gt;1&lt;/R&gt;&lt;C&gt;1&lt;/C&gt;&lt;D xsi:type="xsd:long"&gt;46422&lt;/D&gt;&lt;/FQL&gt;&lt;FQL&gt;&lt;Q&gt;BMY^CS_EVENT_TIME_N("ER",4)&lt;/Q&gt;&lt;R&gt;1&lt;/R&gt;&lt;C&gt;1&lt;/C&gt;&lt;D xsi:type="xsd:string"&gt;Unspecified&lt;/D&gt;&lt;/FQL&gt;&lt;FQL&gt;&lt;Q&gt;BMY^CS_EVENT_DESC_N("ER",4)&lt;/Q&gt;&lt;R&gt;1&lt;/R&gt;&lt;C&gt;1&lt;/C&gt;&lt;D xsi:type="xsd:string"&gt;Q4 2026 Earnings Release (Projected)&lt;/D&gt;&lt;/FQL&gt;&lt;FQL&gt;&lt;Q&gt;LNT^CS_EVENT_DATEJ_N("ER",4)&lt;/Q&gt;&lt;R&gt;1&lt;/R&gt;&lt;C&gt;1&lt;/C&gt;&lt;D xsi:type="xsd:long"&gt;46436&lt;/D&gt;&lt;/FQL&gt;&lt;FQL&gt;&lt;Q&gt;LNT^CS_EVENT_TIME_N("ER",4)&lt;/Q&gt;&lt;R&gt;1&lt;/R&gt;&lt;C&gt;1&lt;/C&gt;&lt;D xsi:type="xsd:string"&gt;Unspecified&lt;/D&gt;&lt;/FQL&gt;&lt;FQL&gt;&lt;Q&gt;LNT^CS_EVENT_DESC_N("ER",4)&lt;/Q&gt;&lt;R&gt;1&lt;/R&gt;&lt;C&gt;1&lt;/C&gt;&lt;D xsi:type="xsd:string"&gt;Q4 2026 Earnings Release (Projected)&lt;/D&gt;&lt;/FQL&gt;&lt;FQL&gt;&lt;Q&gt;APD^CS_EVENT_DATEJ_N("ER",4)&lt;/Q&gt;&lt;R&gt;1&lt;/R&gt;&lt;C&gt;1&lt;/C&gt;&lt;D xsi:type="xsd:long"&gt;46422&lt;/D&gt;&lt;/FQL&gt;&lt;FQL&gt;&lt;Q&gt;APD^CS_EVENT_TIME_N("ER",4)&lt;/Q&gt;&lt;R&gt;1&lt;/R&gt;&lt;C&gt;1&lt;/C&gt;&lt;D xsi:type="xsd:string"&gt;Unspecified&lt;/D&gt;&lt;/FQL&gt;&lt;FQL&gt;&lt;Q&gt;APD^CS_EVENT_DESC_N("ER",4)&lt;/Q&gt;&lt;R&gt;1&lt;/R&gt;&lt;C&gt;1&lt;/C&gt;&lt;D xsi:type="xsd:string"&gt;Q1 2027 Earnings Release (Projected)&lt;/D&gt;&lt;/FQL&gt;&lt;FQL&gt;&lt;Q&gt;SRE^CS_EVENT_DATEJ_N("ER",4)&lt;/Q&gt;&lt;R&gt;1&lt;/R&gt;&lt;C&gt;1&lt;/C&gt;&lt;D xsi:type="xsd:long"&gt;46448&lt;/D&gt;&lt;/FQL&gt;&lt;FQL&gt;&lt;Q&gt;SRE^CS_EVENT_TIME_N("ER",4)&lt;/Q&gt;&lt;R&gt;1&lt;/R&gt;&lt;C&gt;1&lt;/C&gt;&lt;D xsi:type="xsd:string"&gt;Unspecified&lt;/D&gt;&lt;/FQL&gt;&lt;FQL&gt;&lt;Q&gt;SRE^CS_EVENT_DESC_N("ER",4)&lt;/Q&gt;&lt;R&gt;1&lt;/R&gt;&lt;C&gt;1&lt;/C&gt;&lt;D xsi:type="xsd:string"&gt;Q4 2026 Earnings Release (Projected)&lt;/D&gt;&lt;/FQL&gt;&lt;FQL&gt;&lt;Q&gt;PPL^CS_EVENT_DATEJ_N("ER",4)&lt;/Q&gt;&lt;R&gt;1&lt;/R&gt;&lt;C&gt;1&lt;/C&gt;&lt;D xsi:type="xsd:long"&gt;46430&lt;/D&gt;&lt;/FQL&gt;&lt;FQL&gt;&lt;Q&gt;PPL^CS_EVENT_TIME_N("ER",4)&lt;/Q&gt;&lt;R&gt;1&lt;/R&gt;&lt;C&gt;1&lt;/C&gt;&lt;D xsi:type="xsd:string"&gt;Unspecified&lt;/D&gt;&lt;/FQL&gt;&lt;FQL&gt;&lt;Q&gt;PPL^CS_EVENT_DESC_N("ER",4)&lt;/Q&gt;&lt;R&gt;1&lt;/R&gt;&lt;C&gt;1&lt;/C&gt;&lt;D xsi:type="xsd:string"&gt;Q4 2026 Earnings Release (Projected)&lt;/D&gt;&lt;/FQL&gt;&lt;FQL&gt;&lt;Q&gt;TXT^CS_EVENT_DATEJ_N("ER",4)&lt;/Q&gt;&lt;R&gt;1&lt;/R&gt;&lt;C&gt;1&lt;/C&gt;&lt;D xsi:type="xsd:long"&gt;46414&lt;/D&gt;&lt;/FQL&gt;&lt;FQL&gt;&lt;Q&gt;TXT^CS_EVENT_TIME_N("ER",4)&lt;/Q&gt;&lt;R&gt;1&lt;/R&gt;&lt;C&gt;1&lt;/C&gt;&lt;D xsi:type="xsd:string"&gt;Unspecified&lt;/D&gt;&lt;/FQL&gt;&lt;FQL&gt;&lt;Q&gt;TXT^CS_EVENT_DESC_N("ER",4)&lt;/Q&gt;&lt;R&gt;1&lt;/R&gt;&lt;C&gt;1&lt;/C&gt;&lt;D xsi:type="xsd:string"&gt;Q4 2026 Earnings Release (Projected)&lt;/D&gt;&lt;/FQL&gt;&lt;FQL&gt;&lt;Q&gt;AEE^CS_EVENT_DATEJ_N("ER",4)&lt;/Q&gt;&lt;R&gt;1&lt;/R&gt;&lt;C&gt;1&lt;/C&gt;&lt;D xsi:type="xsd:long"&gt;46436&lt;/D&gt;&lt;/FQL&gt;&lt;FQL&gt;&lt;Q&gt;AEE^CS_EVENT_TIME_N("ER",4)&lt;/Q&gt;&lt;R&gt;1&lt;/R&gt;&lt;C&gt;1&lt;/C&gt;&lt;D xsi:type="xsd:string"&gt;Unspecified&lt;/D&gt;&lt;/FQL&gt;&lt;FQL&gt;&lt;Q&gt;AEE^CS_EVENT_DESC_N("ER",4)&lt;/Q&gt;&lt;R&gt;1&lt;/R&gt;&lt;C&gt;1&lt;/C&gt;&lt;D xsi:type="xsd:string"&gt;Q4 2026 Earnings Release (Projected)&lt;/D&gt;&lt;/FQL&gt;&lt;FQL&gt;&lt;Q&gt;TRGP^CS_EVENT_DATEJ_N("ER",4)&lt;/Q&gt;&lt;R&gt;0&lt;/R&gt;&lt;C&gt;0&lt;/C&gt;&lt;/FQL&gt;&lt;FQL&gt;&lt;Q&gt;TRGP^CS_EVENT_TIME_N("ER",4)&lt;/Q&gt;&lt;R&gt;0&lt;/R&gt;&lt;C&gt;0&lt;/C&gt;&lt;/FQL&gt;&lt;FQL&gt;&lt;Q&gt;TRGP^CS_EVENT_DESC_N("ER",4)&lt;/Q&gt;&lt;R&gt;0&lt;/R&gt;&lt;C&gt;0&lt;/C&gt;&lt;/FQL&gt;&lt;FQL&gt;&lt;Q&gt;MTD^CS_EVENT_DATEJ_N("ER",4)&lt;/Q&gt;&lt;R&gt;1&lt;/R&gt;&lt;C&gt;1&lt;/C&gt;&lt;D xsi:type="xsd:long"&gt;46429&lt;/D&gt;&lt;/FQL&gt;&lt;FQL&gt;&lt;Q&gt;MTD^CS_EVENT_TIME_N("ER",4)&lt;/Q&gt;&lt;R&gt;1&lt;/R&gt;&lt;C&gt;1&lt;/C&gt;&lt;D xsi:type="xsd:string"&gt;Unspecified&lt;/D&gt;&lt;/FQL&gt;&lt;FQL&gt;&lt;Q&gt;MTD^CS_EVENT_DESC_N("ER",4)&lt;/Q&gt;&lt;R&gt;1&lt;/R&gt;&lt;C&gt;1&lt;/C&gt;&lt;D xsi:type="xsd:string"&gt;Q4 2026 Earnings Release (Projected)&lt;/D&gt;&lt;/FQL&gt;&lt;FQL&gt;&lt;Q&gt;APO^CS_EVENT_DATEJ_N("ER",4)&lt;/Q&gt;&lt;R&gt;1&lt;/R&gt;&lt;C&gt;1&lt;/C&gt;&lt;D xsi:type="xsd:long"&gt;46429&lt;/D&gt;&lt;/FQL&gt;&lt;FQL&gt;&lt;Q&gt;APO^CS_EVENT_TIME_N("ER",4)&lt;/Q&gt;&lt;R&gt;1&lt;/R&gt;&lt;C&gt;1&lt;/C&gt;&lt;D xsi:type="xsd:string"&gt;Unspecified&lt;/D&gt;&lt;/FQL&gt;&lt;FQL&gt;&lt;Q&gt;APO^CS_EVENT_DESC_N("ER",4)&lt;/Q&gt;&lt;R&gt;1&lt;/R&gt;&lt;C&gt;1&lt;/C&gt;&lt;D xsi:type="xsd:string"&gt;Q4 2026 Earnings Release (Projected)&lt;/D&gt;&lt;/FQL&gt;&lt;FQL&gt;&lt;Q&gt;D^CS_EVENT_DATEJ_N("ER",4)&lt;/Q&gt;&lt;R&gt;1&lt;/R&gt;&lt;C&gt;1&lt;/C&gt;&lt;D xsi:type="xsd:long"&gt;46423&lt;/D&gt;&lt;/FQL&gt;&lt;FQL&gt;&lt;Q&gt;D^CS_EVENT_TIME_N("ER",4)&lt;/Q&gt;&lt;R&gt;1&lt;/R&gt;&lt;C&gt;1&lt;/C&gt;&lt;D xsi:type="xsd:string"&gt;Unspecified&lt;/D&gt;&lt;/FQL&gt;&lt;FQL&gt;&lt;Q&gt;D^CS_EVENT_DESC_N("ER",4)&lt;/Q&gt;&lt;R&gt;1&lt;/R&gt;&lt;C&gt;1&lt;/C&gt;&lt;D xsi:type="xsd:string"&gt;Q4 2026 Earnings Release (Projected)&lt;/D&gt;&lt;/FQL&gt;&lt;FQL&gt;&lt;Q&gt;VLO^CS_EVENT_DATEJ_N("ER",4)&lt;/Q&gt;&lt;R&gt;1&lt;/R&gt;&lt;C&gt;1&lt;/C&gt;&lt;D xsi:type="xsd:long"&gt;46415&lt;/D&gt;&lt;/FQL&gt;&lt;FQL&gt;&lt;Q&gt;VLO^CS_EVENT_TIME_N("ER",4)&lt;/Q&gt;&lt;R&gt;1&lt;/R&gt;&lt;C&gt;1&lt;/C&gt;&lt;D xsi:type="xsd:string"&gt;Unspecified&lt;/D&gt;&lt;/FQL&gt;&lt;FQL&gt;&lt;Q&gt;VLO^CS_EVENT_DESC_N("ER",4)&lt;/Q&gt;&lt;R&gt;1&lt;/R&gt;&lt;C&gt;1&lt;/C&gt;&lt;D xsi:type="xsd:string"&gt;Q4 2026 Earnings Release (Projected)&lt;/D&gt;&lt;/FQL&gt;&lt;FQL&gt;&lt;Q&gt;PH^CS_EVENT_DATEJ_N("ER",4)&lt;/Q&gt;&lt;R&gt;1&lt;/R&gt;&lt;C&gt;1&lt;/C&gt;&lt;D xsi:type="xsd:long"&gt;46422&lt;/D&gt;&lt;/FQL&gt;&lt;FQL&gt;&lt;Q&gt;PH^CS_EVENT_TIME_N("ER",4)&lt;/Q&gt;&lt;R&gt;1&lt;/R&gt;&lt;C&gt;1&lt;/C&gt;&lt;D xsi:type="xsd:string"&gt;Unspecified&lt;/D&gt;&lt;/FQL&gt;&lt;FQL&gt;&lt;Q&gt;PH^CS_EVENT_DESC_N("ER",4)&lt;/Q&gt;&lt;R&gt;1&lt;/R&gt;&lt;C&gt;1&lt;/C&gt;&lt;D xsi:type="xsd:string"&gt;Q2 2027 Earnings Release (Projected)&lt;/D&gt;&lt;/FQL&gt;&lt;FQL&gt;&lt;Q&gt;AAPL^CS_EVENT_DATEJ_N("ER",4)&lt;/Q&gt;&lt;R&gt;1&lt;/R&gt;&lt;C&gt;1&lt;/C&gt;&lt;D xsi:type="xsd:long"&gt;46422&lt;/D&gt;&lt;/FQL&gt;&lt;FQL&gt;&lt;Q&gt;AAPL^CS_EVENT_TIME_N("ER",4)&lt;/Q&gt;&lt;R&gt;1&lt;/R&gt;&lt;C&gt;1&lt;/C&gt;&lt;D xsi:type="xsd:string"&gt;Unspecified&lt;/D&gt;&lt;/FQL&gt;&lt;FQL&gt;&lt;Q&gt;AAPL^CS_EVENT_DESC_N("ER",4)&lt;/Q&gt;&lt;R&gt;1&lt;/R&gt;&lt;C&gt;1&lt;/C&gt;&lt;D xsi:type="xsd:string"&gt;Q1 2027 Earnings Release (Projected)&lt;/D&gt;&lt;/FQL&gt;&lt;FQL&gt;&lt;Q&gt;WY^CS_EVENT_DATEJ_N("ER",4)&lt;/Q&gt;&lt;R&gt;1&lt;/R&gt;&lt;C&gt;1&lt;/C&gt;&lt;D xsi:type="xsd:long"&gt;46506&lt;/D&gt;&lt;/FQL&gt;&lt;FQL&gt;&lt;Q&gt;WY^CS_EVENT_TIME_N("ER",4)&lt;/Q&gt;&lt;R&gt;1&lt;/R&gt;&lt;C&gt;1&lt;/C&gt;&lt;D xsi:type="xsd:string"&gt;Unspecified&lt;/D&gt;&lt;/FQL&gt;&lt;FQL&gt;&lt;Q&gt;WY^CS_EVENT_DESC_N("ER",4)&lt;/Q&gt;&lt;R&gt;1&lt;/R&gt;&lt;C&gt;1&lt;/C&gt;&lt;D xsi:type="xsd:string"&gt;Q1 2027 Earnings Release (Projected)&lt;/D&gt;&lt;/FQL&gt;&lt;FQL&gt;&lt;Q&gt;PWR^CS_EVENT_DATEJ_N("ER",4)&lt;/Q&gt;&lt;R&gt;0&lt;/R&gt;&lt;C&gt;0&lt;/C&gt;&lt;/FQL&gt;&lt;FQL&gt;&lt;Q&gt;PWR^CS_EVENT_TIME_N("ER",4)&lt;/Q&gt;&lt;R&gt;0&lt;/R&gt;&lt;C&gt;0&lt;/C&gt;&lt;/FQL&gt;&lt;FQL&gt;&lt;Q&gt;PWR^CS_EVENT_DESC_N("ER",4)&lt;/Q&gt;&lt;R&gt;0&lt;/R&gt;&lt;C&gt;0&lt;/C&gt;&lt;/FQL&gt;&lt;FQL&gt;&lt;Q&gt;CTRA^CS_EVENT_DATEJ_N("ER",4)&lt;/Q&gt;&lt;R&gt;1&lt;/R&gt;&lt;C&gt;1&lt;/C&gt;&lt;D xsi:type="xsd:long"&gt;46442&lt;/D&gt;&lt;/FQL&gt;&lt;FQL&gt;&lt;Q&gt;CTRA^CS_EVENT_TIME_N("ER",4)&lt;/Q&gt;&lt;R&gt;1&lt;/R&gt;&lt;C&gt;1&lt;/C&gt;&lt;D xsi:type="xsd:string"&gt;Unspecified&lt;/D&gt;&lt;/FQL&gt;&lt;FQL&gt;&lt;Q&gt;CTRA^CS_EVENT_DESC_N("ER",4)&lt;/Q&gt;&lt;R&gt;1&lt;/R&gt;&lt;C&gt;1&lt;/C&gt;&lt;D xsi:type="xsd:string"&gt;Q4 2026 Earnings Release (Projected)&lt;/D&gt;&lt;/FQL&gt;&lt;FQL&gt;&lt;Q&gt;RCL^CS_EVENT_DATEJ_N("ER",4)&lt;/Q&gt;&lt;R&gt;1&lt;/R&gt;&lt;C&gt;1&lt;/C&gt;&lt;D xsi:type="xsd:long"&gt;46422&lt;/D&gt;&lt;/FQL&gt;&lt;FQL&gt;&lt;Q&gt;RCL^CS_EVENT_TIME_N("ER",4)&lt;/Q&gt;&lt;R&gt;1&lt;/R&gt;&lt;C&gt;1&lt;/C&gt;&lt;D xsi:type="xsd:string"&gt;Unspecified&lt;/D&gt;&lt;/FQL&gt;&lt;FQL&gt;&lt;Q&gt;RCL^CS_EVENT_DESC_N("ER",4)&lt;/Q&gt;&lt;R&gt;1&lt;/R&gt;&lt;C&gt;1&lt;/C&gt;&lt;D xsi:type="xsd:string"&gt;Q4 2026 Earnings Release (Projected)&lt;/D&gt;&lt;/FQL&gt;&lt;FQL&gt;&lt;Q&gt;BDX^CS_EVENT_DATEJ_N("ER",4)&lt;/Q&gt;&lt;R&gt;1&lt;/R&gt;&lt;C&gt;1&lt;/C&gt;&lt;D xsi:type="xsd:long"&gt;46422&lt;/D&gt;&lt;/FQL&gt;&lt;FQL&gt;&lt;Q&gt;BDX^CS_EVENT_TIME_N("ER",4)&lt;/Q&gt;&lt;R&gt;1&lt;/R&gt;&lt;C&gt;1&lt;/C&gt;&lt;D xsi:type="xsd:string"&gt;Unspecified&lt;/D&gt;&lt;/FQL&gt;&lt;FQL&gt;&lt;Q&gt;BDX^CS_EVENT_DESC_N("ER",4)&lt;/Q&gt;&lt;R&gt;1&lt;/R&gt;&lt;C&gt;1&lt;/C&gt;&lt;D xsi:type="xsd:string"&gt;Q1 2027 Earnings Release (Projected)&lt;/D&gt;&lt;/FQL&gt;&lt;FQL&gt;&lt;Q&gt;BALL^CS_EVENT_DATEJ_N("ER",4)&lt;/Q&gt;&lt;R&gt;1&lt;/R&gt;&lt;C&gt;1&lt;/C&gt;&lt;D xsi:type="xsd:long"&gt;46422&lt;/D&gt;&lt;/FQL&gt;&lt;FQL&gt;&lt;Q&gt;BALL^CS_EVENT_TIME_N("ER",4)&lt;/Q&gt;&lt;R&gt;1&lt;/R&gt;&lt;C&gt;1&lt;/C&gt;&lt;D xsi:type="xsd:string"&gt;Unspecified&lt;/D&gt;&lt;/FQL&gt;&lt;FQL&gt;&lt;Q&gt;BALL^CS_EVENT_DESC_N("ER",4)&lt;/Q&gt;&lt;R&gt;1&lt;/R&gt;&lt;C&gt;1&lt;/C&gt;&lt;D xsi:type="xsd:string"&gt;Q4 2026 Earnings Release (Projected)&lt;/D&gt;&lt;/FQL&gt;&lt;FQL&gt;&lt;Q&gt;CI^CS_EVENT_DATEJ_N("ER",4)&lt;/Q&gt;&lt;R&gt;1&lt;/R&gt;&lt;C&gt;1&lt;/C&gt;&lt;D xsi:type="xsd:long"&gt;46507&lt;/D&gt;&lt;/FQL&gt;&lt;FQL&gt;&lt;Q&gt;CI^CS_EVENT_TIME_N("ER",4)&lt;/Q&gt;&lt;R&gt;1&lt;/R&gt;&lt;C&gt;1&lt;/C&gt;&lt;D xsi:type="xsd:string"&gt;Unspecified&lt;/D&gt;&lt;/FQL&gt;&lt;FQL&gt;&lt;Q&gt;CI^CS_EVENT_DESC_N("ER",4)&lt;/Q&gt;&lt;R&gt;1&lt;/R&gt;&lt;C&gt;1&lt;/C&gt;&lt;D xsi:type="xsd:string"&gt;Q1 2027 Earnings Release (Projected)&lt;/D&gt;&lt;/FQL&gt;&lt;FQL&gt;&lt;Q&gt;HOLX^CS_EVENT_DATEJ_N("ER",4)&lt;/Q&gt;&lt;R&gt;1&lt;/R&gt;&lt;C&gt;1&lt;/C&gt;&lt;D xsi:type="xsd:long"&gt;46421&lt;/D&gt;&lt;/FQL&gt;&lt;FQL&gt;&lt;Q&gt;HOLX^CS_EVENT_TIME_N("ER",4)&lt;/Q&gt;&lt;R&gt;1&lt;/R&gt;&lt;C&gt;1&lt;/C&gt;&lt;D xsi:type="xsd:string"&gt;Unspecified&lt;/D&gt;&lt;/FQL&gt;&lt;FQL&gt;&lt;Q&gt;HOLX^CS_EVENT_DESC_N("ER",4)&lt;/Q&gt;&lt;R&gt;1&lt;/R&gt;&lt;C&gt;1&lt;/C&gt;&lt;D xsi:type="xsd:string"&gt;Q1 2027 Earnings Release (Projected)&lt;/D&gt;&lt;/FQL&gt;&lt;FQL&gt;&lt;Q&gt;IRM^CS_EVENT_DATEJ_N("ER",4)&lt;/Q&gt;&lt;R&gt;1&lt;/R&gt;&lt;C&gt;1&lt;/C&gt;&lt;D xsi:type="xsd:long"&gt;46443&lt;/D&gt;&lt;/FQL&gt;&lt;FQL&gt;&lt;Q&gt;IRM^CS_EVENT_TIME_N("ER",4)&lt;/Q&gt;&lt;R&gt;1&lt;/R&gt;&lt;C&gt;1&lt;/C&gt;&lt;D xsi:type="xsd:string"&gt;Unspecified&lt;/D&gt;&lt;/FQL&gt;&lt;FQL&gt;&lt;Q&gt;IRM^CS_EVENT_DESC_N("ER",4)&lt;/Q&gt;&lt;R&gt;1&lt;/R&gt;&lt;C&gt;1&lt;/C&gt;&lt;D xsi:type="xsd:string"&gt;Q4 2026 Earnings Release (Projected)&lt;/D&gt;&lt;/FQL&gt;&lt;FQL&gt;&lt;Q&gt;COP^CS_EVENT_DATEJ_N("ER",4)&lt;/Q&gt;&lt;R&gt;1&lt;/R&gt;&lt;C&gt;1&lt;/C&gt;&lt;D xsi:type="xsd:long"&gt;46429&lt;/D&gt;&lt;/FQL&gt;&lt;FQL&gt;&lt;Q&gt;COP^CS_EVENT_TIME_N("ER",4)&lt;/Q&gt;&lt;R&gt;1&lt;/R&gt;&lt;C&gt;1&lt;/C&gt;&lt;D xsi:type="xsd:string"&gt;Unspecified&lt;/D&gt;&lt;/FQL&gt;&lt;FQL&gt;&lt;Q&gt;COP^CS_EVENT_DESC_N("ER",4)&lt;/Q&gt;&lt;R&gt;1&lt;/R&gt;&lt;C&gt;1&lt;/C&gt;&lt;D xsi:type="xsd:string"&gt;Q4 2026 Earnings Release (Projected)&lt;/D&gt;&lt;/FQL&gt;&lt;FQL&gt;&lt;Q&gt;DVA^CS_EVENT_DATEJ_N("ER",4)&lt;/Q&gt;&lt;R&gt;1&lt;/R&gt;&lt;C&gt;1&lt;/C&gt;&lt;D xsi:type="xsd:long"&gt;46429&lt;/D&gt;&lt;/FQL&gt;&lt;FQL&gt;&lt;Q&gt;DVA^CS_EVENT_TIME_N("ER",4)&lt;/Q&gt;&lt;R&gt;1&lt;/R&gt;&lt;C&gt;1&lt;/C&gt;&lt;D xsi:type="xsd:string"&gt;Unspecified&lt;/D&gt;&lt;/FQL&gt;&lt;FQL&gt;&lt;Q&gt;DVA^CS_EVENT_DESC_N("ER",4)&lt;/Q&gt;&lt;R&gt;1&lt;/R&gt;&lt;C&gt;1&lt;/C&gt;&lt;D xsi:type="xsd:string"&gt;Q4 2026 Earnings Release (Projected)&lt;/D&gt;&lt;/FQL&gt;&lt;FQL&gt;&lt;Q&gt;MPWR^CS_EVENT_DATEJ_N("ER",4)&lt;/Q&gt;&lt;R&gt;1&lt;/R&gt;&lt;C&gt;1&lt;/C&gt;&lt;D xsi:type="xsd:long"&gt;46429&lt;/D&gt;&lt;/FQL&gt;&lt;FQL&gt;&lt;Q&gt;MPWR^CS_EVENT_TIME_N("ER",4)&lt;/Q&gt;&lt;R&gt;1&lt;/R&gt;&lt;C&gt;1&lt;/C&gt;&lt;D xsi:type="xsd:string"&gt;Unspecified&lt;/D&gt;&lt;/FQL&gt;&lt;FQL&gt;&lt;Q&gt;MPWR^CS_EVENT_DESC_N("ER",4)&lt;/Q&gt;&lt;R&gt;1&lt;/R&gt;&lt;C&gt;1&lt;/C&gt;&lt;D xsi:type="xsd:string"&gt;Q4 2026 Earnings Release (Projected)&lt;/D&gt;&lt;/FQL&gt;&lt;FQL&gt;&lt;Q&gt;MO^CS_EVENT_DATEJ_N("ER",4)&lt;/Q&gt;&lt;R&gt;1&lt;/R&gt;&lt;C&gt;1&lt;/C&gt;&lt;D xsi:type="xsd:long"&gt;46422&lt;/D&gt;&lt;/FQL&gt;&lt;FQL&gt;&lt;Q&gt;MO^CS_EVENT_TIME_N("ER",4)&lt;/Q&gt;&lt;R&gt;1&lt;/R&gt;&lt;C&gt;1&lt;/C&gt;&lt;D xsi:type="xsd:string"&gt;Unspecified&lt;/D&gt;&lt;/FQL&gt;&lt;FQL&gt;&lt;Q&gt;MO^CS_EVENT_DESC_N("ER",4)&lt;/Q&gt;&lt;R&gt;1&lt;/R&gt;&lt;C&gt;1&lt;/C&gt;&lt;D xsi:type="xsd:string"&gt;Q4 2026 Earnings Release (Projected)&lt;/D&gt;&lt;/FQL&gt;&lt;FQL&gt;&lt;Q&gt;PNW^CS_EVENT_DATEJ_N("ER",4)&lt;/Q&gt;&lt;R&gt;0&lt;/R&gt;&lt;C&gt;0&lt;/C&gt;&lt;/FQL&gt;&lt;FQL&gt;&lt;Q&gt;PNW^CS_EVENT_TIME_N("ER",4)&lt;/Q&gt;&lt;R&gt;0&lt;/R&gt;&lt;C&gt;0&lt;/C&gt;&lt;/FQL&gt;&lt;FQL&gt;&lt;Q&gt;PNW^CS_EVENT_DESC_N("ER",4)&lt;/Q&gt;&lt;R&gt;0&lt;/R&gt;&lt;C&gt;0&lt;/C&gt;&lt;/FQL&gt;&lt;FQL&gt;&lt;Q&gt;NRG^CS_EVENT_DATEJ_N("ER",4)&lt;/Q&gt;&lt;R&gt;1&lt;/R&gt;&lt;C&gt;1&lt;/C&gt;&lt;D xsi:type="xsd:long"&gt;46449&lt;/D&gt;&lt;/FQL&gt;&lt;FQL&gt;&lt;Q&gt;NRG^CS_EVENT_TIME_N("ER",4)&lt;/Q&gt;&lt;R&gt;1&lt;/R&gt;&lt;C&gt;1&lt;/C&gt;&lt;D xsi:type="xsd:string"&gt;Unspecified&lt;/D&gt;&lt;/FQL&gt;&lt;FQL&gt;&lt;Q&gt;NRG^CS_EVENT_DESC_N("ER",4)&lt;/Q&gt;&lt;R&gt;1&lt;/R&gt;&lt;C&gt;1&lt;/C&gt;&lt;D xsi:type="xsd:string"&gt;Q4 2026 Earnings Release (Projected)&lt;/D&gt;&lt;/FQL&gt;&lt;FQL&gt;&lt;Q&gt;GDDY^CS_EVENT_DATEJ_N("ER",4)&lt;/Q&gt;&lt;R&gt;1&lt;/R&gt;&lt;C&gt;1&lt;/C&gt;&lt;D xsi:type="xsd:long"&gt;46434&lt;/D&gt;&lt;/FQL&gt;&lt;FQL&gt;&lt;Q&gt;GDDY^CS_EVENT_TIME_N("ER",4)&lt;/Q&gt;&lt;R&gt;1&lt;/R&gt;&lt;C&gt;1&lt;/C&gt;&lt;D xsi:type="xsd:string"&gt;Unspecified&lt;/D&gt;&lt;/FQL&gt;&lt;FQL&gt;&lt;Q&gt;GDDY^CS_EVENT_DESC_N("ER",4)&lt;/Q&gt;&lt;R&gt;1&lt;/R&gt;&lt;C&gt;1&lt;/C&gt;&lt;D xsi:type="xsd:string"&gt;Q4 2026 Earnings Release (Projected)&lt;/D&gt;&lt;/FQL&gt;&lt;FQL&gt;&lt;Q&gt;MRK^CS_EVENT_DATEJ_N("ER",4)&lt;/Q&gt;&lt;R&gt;1&lt;/R&gt;&lt;C&gt;1&lt;/C&gt;&lt;D xsi:type="xsd:long"&gt;46422&lt;/D&gt;&lt;/FQL&gt;&lt;FQL&gt;&lt;Q&gt;MRK^CS_EVENT_TIME_N("ER",4)&lt;/Q&gt;&lt;R&gt;1&lt;/R&gt;&lt;C&gt;1&lt;/C&gt;&lt;D xsi:type="xsd:string"&gt;Unspecified&lt;/D&gt;&lt;/FQL&gt;&lt;FQL&gt;&lt;Q&gt;MRK^CS_EVENT_DESC_N("ER",4)&lt;/Q&gt;&lt;R&gt;1&lt;/R&gt;&lt;C&gt;1&lt;/C&gt;&lt;D xsi:type="xsd:string"&gt;Q4 2026 Earnings Release (Projected)&lt;/D&gt;&lt;/FQL&gt;&lt;FQL&gt;&lt;Q&gt;LYV^CS_EVENT_DATEJ_N("ER",4)&lt;/Q&gt;&lt;R&gt;1&lt;/R&gt;&lt;C&gt;1&lt;/C&gt;&lt;D xsi:type="xsd:long"&gt;46443&lt;/D&gt;&lt;/FQL&gt;&lt;FQL&gt;&lt;Q&gt;LYV^CS_EVENT_TIME_N("ER",4)&lt;/Q&gt;&lt;R&gt;1&lt;/R&gt;&lt;C&gt;1&lt;/C&gt;&lt;D xsi:type="xsd:string"&gt;Unspecified&lt;/D&gt;&lt;/FQL&gt;&lt;FQL&gt;&lt;Q&gt;LYV^CS_EVENT_DESC_N("ER",4)&lt;/Q&gt;&lt;R&gt;1&lt;/R&gt;&lt;C&gt;1&lt;/C&gt;&lt;D xsi:type="xsd:string"&gt;Q4 2026 Earnings Release (Projected)&lt;/D&gt;&lt;/FQL&gt;&lt;FQL&gt;&lt;Q&gt;BLDR^CS_EVENT_DATEJ_N("ER",4)&lt;/Q&gt;&lt;R&gt;1&lt;/R&gt;&lt;C&gt;1&lt;/C&gt;&lt;D xsi:type="xsd:long"&gt;46443&lt;/D&gt;&lt;/FQL&gt;&lt;FQL&gt;&lt;Q&gt;BLDR^CS_EVENT_TIME_N("ER",4)&lt;/Q&gt;&lt;R&gt;1&lt;/R&gt;&lt;C&gt;1&lt;/C&gt;&lt;D xsi:type="xsd:string"&gt;Unspecified&lt;/D&gt;&lt;/FQL&gt;&lt;FQL&gt;&lt;Q&gt;BLDR^CS_EVENT_DESC_N("ER",4)&lt;/Q&gt;&lt;R&gt;1&lt;/R&gt;&lt;C&gt;1&lt;/C&gt;&lt;D xsi:type="xsd:string"&gt;Q4 2026 Earnings Release (Projected)&lt;/D&gt;&lt;/FQL&gt;&lt;FQL&gt;&lt;Q&gt;FTNT^CS_EVENT_DATEJ_N("ER",4)&lt;/Q&gt;&lt;R&gt;1&lt;/R&gt;&lt;C&gt;1&lt;/C&gt;&lt;D xsi:type="xsd:long"&gt;46427&lt;/D&gt;&lt;/FQL&gt;&lt;FQL&gt;&lt;Q&gt;FTNT^CS_EVENT_TIME_N("ER",4)&lt;/Q&gt;&lt;R&gt;1&lt;/R&gt;&lt;C&gt;1&lt;/C&gt;&lt;D xsi:type="xsd:string"&gt;Unspecified&lt;/D&gt;&lt;/FQL&gt;&lt;FQL&gt;&lt;Q&gt;FTNT^CS_EVENT_DESC_N("ER",4)&lt;/Q&gt;&lt;R&gt;1&lt;/R&gt;&lt;C&gt;1&lt;/C&gt;&lt;D xsi:type="xsd:string"&gt;Q4 2026 Earnings Release (Projected)&lt;/D&gt;&lt;/FQL&gt;&lt;FQL&gt;&lt;Q&gt;EPAM^CS_EVENT_DATEJ_N("ER",4)&lt;/Q&gt;&lt;R&gt;1&lt;/R&gt;&lt;C&gt;1&lt;/C&gt;&lt;D xsi:type="xsd:long"&gt;46436&lt;/D&gt;&lt;/FQL&gt;&lt;FQL&gt;&lt;Q&gt;EPAM^CS_EVENT_TIME_N("ER",4)&lt;/Q&gt;&lt;R&gt;1&lt;/R&gt;&lt;C&gt;1&lt;/C&gt;&lt;D xsi:type="xsd:string"&gt;Unspecified&lt;/D&gt;&lt;/FQL&gt;&lt;FQL&gt;&lt;Q&gt;EPAM^CS_EVENT_DESC_N("ER",4)&lt;/Q&gt;&lt;R&gt;1&lt;/R&gt;&lt;C&gt;1&lt;/C&gt;&lt;D xsi:type="xsd:string"&gt;Q4 2026 Earnings Release (Projected)&lt;/D&gt;&lt;/FQL&gt;&lt;FQL&gt;&lt;Q&gt;PODD^CS_EVENT_DATEJ_N("ER",4)&lt;/Q&gt;&lt;R&gt;1&lt;/R&gt;&lt;C&gt;1&lt;/C&gt;&lt;D xsi:type="xsd:long"&gt;46443&lt;/D&gt;&lt;/FQL&gt;&lt;FQL&gt;&lt;Q&gt;PODD^CS_EVENT_TIME_N("ER",4)&lt;/Q&gt;&lt;R&gt;1&lt;/R&gt;&lt;C&gt;1&lt;/C&gt;&lt;D xsi:type="xsd:string"&gt;Unspecified&lt;/D&gt;&lt;/FQL&gt;&lt;FQL&gt;&lt;Q&gt;PODD^CS_EVENT_DESC_N("ER",4)&lt;/Q&gt;&lt;R&gt;1&lt;/R&gt;&lt;C&gt;1&lt;/C&gt;&lt;D xsi:type="xsd:string"&gt;Q4 2026 Earnings Release (Projected)&lt;/D&gt;&lt;/FQL&gt;&lt;FQL&gt;&lt;Q&gt;ZTS^CS_EVENT_DATEJ_N("ER",4)&lt;/Q&gt;&lt;R&gt;1&lt;/R&gt;&lt;C&gt;1&lt;/C&gt;&lt;D xsi:type="xsd:long"&gt;46434&lt;/D&gt;&lt;/FQL&gt;&lt;FQL&gt;&lt;Q&gt;ZTS^CS_EVENT_TIME_N("ER",4)&lt;/Q&gt;&lt;R&gt;1&lt;/R&gt;&lt;C&gt;1&lt;/C&gt;&lt;D xsi:type="xsd:string"&gt;Unspecified&lt;/D&gt;&lt;/FQL&gt;&lt;FQL&gt;&lt;Q&gt;ZTS^CS_EVENT_DESC_N("ER",4)&lt;/Q&gt;&lt;R&gt;1&lt;/R&gt;&lt;C&gt;1&lt;/C&gt;&lt;D xsi:type="xsd:string"&gt;Q4 2026 Earnings Release (Projected)&lt;/D&gt;&lt;/FQL&gt;&lt;FQL&gt;&lt;Q&gt;ICE^CS_EVENT_DATEJ_N("ER",4)&lt;/Q&gt;&lt;R&gt;1&lt;/R&gt;&lt;C&gt;1&lt;/C&gt;&lt;D xsi:type="xsd:long"&gt;46429&lt;/D&gt;&lt;/FQL&gt;&lt;FQL&gt;&lt;Q&gt;ICE^CS_EVENT_TIME_N("ER",4)&lt;/Q&gt;&lt;R&gt;1&lt;/R&gt;&lt;C&gt;1&lt;/C&gt;&lt;D xsi:type="xsd:string"&gt;Unspecified&lt;/D&gt;&lt;/FQL&gt;&lt;FQL&gt;&lt;Q&gt;ICE^CS_EVENT_DESC_N("ER",4)&lt;/Q&gt;&lt;R&gt;1&lt;/R&gt;&lt;C&gt;1&lt;/C&gt;&lt;D xsi:type="xsd:string"&gt;Q4 2026 Earnings Release (Projected)&lt;/D&gt;&lt;/FQL&gt;&lt;FQL&gt;&lt;Q&gt;CVNA^CS_EVENT_DATEJ_N("ER",4)&lt;/Q&gt;&lt;R&gt;1&lt;/R&gt;&lt;C&gt;1&lt;/C&gt;&lt;D xsi:type="xsd:long"&gt;46443&lt;/D&gt;&lt;/FQL&gt;&lt;FQL&gt;&lt;Q&gt;CVNA^CS_EVENT_TIME_N("ER",4)&lt;/Q&gt;&lt;R&gt;1&lt;/R&gt;&lt;C&gt;1&lt;/C&gt;&lt;D xsi:type="xsd:string"&gt;Unspecified&lt;/D&gt;&lt;/FQL&gt;&lt;FQL&gt;&lt;Q&gt;CVNA^CS_EVENT_DESC_N("ER",4)&lt;/Q&gt;&lt;R&gt;1&lt;/R&gt;&lt;C&gt;1&lt;/C&gt;&lt;D xsi:type="xsd:string"&gt;Q4 2026 Earnings Release (Projected)&lt;/D&gt;&lt;/FQL&gt;&lt;FQL&gt;&lt;Q&gt;MSI^CS_EVENT_DATEJ_N("ER",4)&lt;/Q&gt;&lt;R&gt;1&lt;/R&gt;&lt;C&gt;1&lt;/C&gt;&lt;D xsi:type="xsd:long"&gt;46429&lt;/D&gt;&lt;/FQL&gt;&lt;FQL&gt;&lt;Q&gt;MSI^CS_EVENT_TIME_N("ER",4)&lt;/Q&gt;&lt;R&gt;1&lt;/R&gt;&lt;C&gt;1&lt;/C&gt;&lt;D xsi:type="xsd:string"&gt;Unspecified&lt;/D&gt;&lt;/FQL&gt;&lt;FQL&gt;&lt;Q&gt;MSI^CS_EVENT_DESC_N("ER",4)&lt;/Q&gt;&lt;R&gt;1&lt;/R&gt;&lt;C&gt;1&lt;/C&gt;&lt;D xsi:type="xsd:string"&gt;Q4 2026 Earnings Release (Projected)&lt;/D&gt;&lt;/FQL&gt;&lt;FQL&gt;&lt;Q&gt;HII^CS_EVENT_DATEJ_N("ER",4)&lt;/Q&gt;&lt;R&gt;1&lt;/R&gt;&lt;C&gt;1&lt;/C&gt;&lt;D xsi:type="xsd:long"&gt;46429&lt;/D&gt;&lt;/FQL&gt;&lt;FQL&gt;&lt;Q&gt;HII^CS_EVENT_TIME_N("ER",4)&lt;/Q&gt;&lt;R&gt;1&lt;/R&gt;&lt;C&gt;1&lt;/C&gt;&lt;D xsi:type="xsd:string"&gt;Unspecified&lt;/D&gt;&lt;/FQL&gt;&lt;FQL&gt;&lt;Q&gt;HII^CS_EVENT_DESC_N("ER",4)&lt;/Q&gt;&lt;R&gt;1&lt;/R&gt;&lt;C&gt;1&lt;/C&gt;&lt;D xsi:type="xsd:string"&gt;Q4 2026 Earnings Release (Projected)&lt;/D&gt;&lt;/FQL&gt;&lt;FQL&gt;&lt;Q&gt;EXPE^CS_EVENT_DATEJ_N("ER",4)&lt;/Q&gt;&lt;R&gt;1&lt;/R&gt;&lt;C&gt;1&lt;/C&gt;&lt;D xsi:type="xsd:long"&gt;46429&lt;/D&gt;&lt;/FQL&gt;&lt;FQL&gt;&lt;Q&gt;EXPE^CS_EVENT_TIME_N("ER",4)&lt;/Q&gt;&lt;R&gt;1&lt;/R&gt;&lt;C&gt;1&lt;/C&gt;&lt;D xsi:type="xsd:string"&gt;Unspecified&lt;/D&gt;&lt;/FQL&gt;&lt;FQL&gt;&lt;Q&gt;EXPE^CS_EVENT_DESC_N("ER",4)&lt;/Q&gt;&lt;R&gt;1&lt;/R&gt;&lt;C&gt;1&lt;/C&gt;&lt;D xsi:type="xsd:string"&gt;Q4 2026 Earnings Release (Projected)&lt;/D&gt;&lt;/FQL&gt;&lt;FQL&gt;&lt;Q&gt;XYZ^CS_EVENT_DATEJ_N("ER",4)&lt;/Q&gt;&lt;R&gt;1&lt;/R&gt;&lt;C&gt;1&lt;/C&gt;&lt;D xsi:type="xsd:long"&gt;46443&lt;/D&gt;&lt;/FQL&gt;&lt;FQL&gt;&lt;Q&gt;XYZ^CS_EVENT_TIME_N("ER",4)&lt;/Q&gt;&lt;R&gt;1&lt;/R&gt;&lt;C&gt;1&lt;/C&gt;&lt;D xsi:type="xsd:string"&gt;Unspecified&lt;/D&gt;&lt;/FQL&gt;&lt;FQL&gt;&lt;Q&gt;XYZ^CS_EVENT_DESC_N("ER",4)&lt;/Q&gt;&lt;R&gt;1&lt;/R&gt;&lt;C&gt;1&lt;/C&gt;&lt;D xsi:type="xsd:string"&gt;Q4 2026 Earnings Release (Projected)&lt;/D&gt;&lt;/FQL&gt;&lt;FQL&gt;&lt;Q&gt;HWM^CS_EVENT_DATEJ_N("ER",4)&lt;/Q&gt;&lt;R&gt;1&lt;/R&gt;&lt;C&gt;1&lt;/C&gt;&lt;D xsi:type="xsd:long"&gt;46434&lt;/D&gt;&lt;/FQL&gt;&lt;FQL&gt;&lt;Q&gt;HWM^CS_EVENT_TIME_N("ER",4)&lt;/Q&gt;&lt;R&gt;1&lt;/R&gt;&lt;C&gt;1&lt;/C&gt;&lt;D xsi:type="xsd:string"&gt;Unspecified&lt;/D&gt;&lt;/FQL&gt;&lt;FQL&gt;&lt;Q&gt;HWM^CS_EVENT_DESC_N("ER",4)&lt;/Q&gt;&lt;R&gt;1&lt;/R&gt;&lt;C&gt;1&lt;/C&gt;&lt;D xsi:type="xsd:string"&gt;Q4 2026 Earnings Release (Projected)&lt;/D&gt;&lt;/FQL&gt;&lt;FQL&gt;&lt;Q&gt;SW^CS_EVENT_DATEJ_N("ER",4)&lt;/Q&gt;&lt;R&gt;0&lt;/R&gt;&lt;C&gt;0&lt;/C&gt;&lt;/FQL&gt;&lt;FQL&gt;&lt;Q&gt;SW^CS_EVENT_TIME_N("ER",4)&lt;/Q&gt;&lt;R&gt;0&lt;/R&gt;&lt;C&gt;0&lt;/C&gt;&lt;/FQL&gt;&lt;FQL&gt;&lt;Q&gt;SW^CS_EVENT_DESC_N("ER",4)&lt;/Q&gt;&lt;R&gt;0&lt;/R&gt;&lt;C&gt;0&lt;/C&gt;&lt;/FQL&gt;&lt;FQL&gt;&lt;Q&gt;MRNA^CS_EVENT_DATEJ_N("ER",4)&lt;/Q&gt;&lt;R&gt;1&lt;/R&gt;&lt;C&gt;1&lt;/C&gt;&lt;D xsi:type="xsd:long"&gt;46443&lt;/D&gt;&lt;/FQL&gt;&lt;FQL&gt;&lt;Q&gt;MRNA^CS_EVENT_TIME_N("ER",4)&lt;/Q&gt;&lt;R&gt;1&lt;/R&gt;&lt;C&gt;1&lt;/C&gt;&lt;D xsi:type="xsd:string"&gt;Unspecified&lt;/D&gt;&lt;/FQL&gt;&lt;FQL&gt;&lt;Q&gt;MRNA^CS_EVENT_DESC_N("ER",4)&lt;/Q&gt;&lt;R&gt;1&lt;/R&gt;&lt;C&gt;1&lt;/C&gt;&lt;D xsi:type="xsd:string"&gt;Q4 2026 Earnings Release (Projected)&lt;/D&gt;&lt;/FQL&gt;&lt;FQL&gt;&lt;Q&gt;LIN^CS_EVENT_DATEJ_N("ER",4)&lt;/Q&gt;&lt;R&gt;1&lt;/R&gt;&lt;C&gt;1&lt;/C&gt;&lt;D xsi:type="xsd:long"&gt;46429&lt;/D&gt;&lt;/FQL&gt;&lt;FQL&gt;&lt;Q&gt;LIN^CS_EVENT_TIME_N("ER",4)&lt;/Q&gt;&lt;R&gt;1&lt;/R&gt;&lt;C&gt;1&lt;/C&gt;&lt;D xsi:type="xsd:string"&gt;Unspecified&lt;/D&gt;&lt;/FQL&gt;&lt;FQL&gt;&lt;Q&gt;LIN^CS_EVENT_DESC_N("ER",4)&lt;/Q&gt;&lt;R&gt;1&lt;/R&gt;&lt;C&gt;1&lt;/C&gt;&lt;D xsi:type="xsd:string"&gt;Q4 2026 Earnings Release (Projected)&lt;/D&gt;&lt;/FQL&gt;&lt;FQL&gt;&lt;Q&gt;DDOG^CS_EVENT_DATEJ_N("ER",4)&lt;/Q&gt;&lt;R&gt;1&lt;/R&gt;&lt;C&gt;1&lt;/C&gt;&lt;D xsi:type="xsd:long"&gt;46436&lt;/D&gt;&lt;/FQL&gt;&lt;FQL&gt;&lt;Q&gt;DDOG^CS_EVENT_TIME_N("ER",4)&lt;/Q&gt;&lt;R&gt;1&lt;/R&gt;&lt;C&gt;1&lt;/C&gt;&lt;D xsi:type="xsd:string"&gt;Unspecified&lt;/D&gt;&lt;/FQL&gt;&lt;FQL&gt;&lt;Q&gt;DDOG^CS_EVENT_DESC_N("ER",4)&lt;/Q&gt;&lt;R&gt;1&lt;/R&gt;&lt;C&gt;1&lt;/C&gt;&lt;D xsi:type="xsd:string"&gt;Q4 2026 Earnings Release (Projected)&lt;/D&gt;&lt;/FQL&gt;&lt;FQL&gt;&lt;Q&gt;DASH^CS_EVENT_DATEJ_N("ER",4)&lt;/Q&gt;&lt;R&gt;1&lt;/R&gt;&lt;C&gt;1&lt;/C&gt;&lt;D xsi:type="xsd:long"&gt;46436&lt;/D&gt;&lt;/FQL&gt;&lt;FQL&gt;&lt;Q&gt;DASH^CS_EVENT_TIME_N("ER",4)&lt;/Q&gt;&lt;R&gt;1&lt;/R&gt;&lt;C&gt;1&lt;/C&gt;&lt;D xsi:type="xsd:string"&gt;Unspecified&lt;/D&gt;&lt;/FQL&gt;&lt;FQL&gt;&lt;Q&gt;DASH^CS_EVENT_DESC_N("ER",4)&lt;/Q&gt;&lt;R&gt;1&lt;/R&gt;&lt;C&gt;1&lt;/C&gt;&lt;D xsi:type="xsd:string"&gt;Q4 2026 Earnings Release (Projected)&lt;/D&gt;&lt;/FQL&gt;&lt;FQL&gt;&lt;Q&gt;SNDK^CS_EVENT_DATEJ_N("ER",4)&lt;/Q&gt;&lt;R&gt;1&lt;/R&gt;&lt;C&gt;1&lt;/C&gt;&lt;D xsi:type="xsd:long"&gt;46519&lt;/D&gt;&lt;/FQL&gt;&lt;FQL&gt;&lt;Q&gt;SNDK^CS_EVENT_TIME_N("ER",4)&lt;/Q&gt;&lt;R&gt;1&lt;/R&gt;&lt;C&gt;1&lt;/C&gt;&lt;D xsi:type="xsd:string"&gt;Unspecified&lt;/D&gt;&lt;/FQL&gt;&lt;FQL&gt;&lt;Q&gt;SNDK^CS_EVENT_DESC_N("ER",4)&lt;/Q&gt;&lt;R&gt;1&lt;/R&gt;&lt;C&gt;1&lt;/C&gt;&lt;D xsi:type="xsd:string"&gt;Q3 2027 Earnings Release (Projected)&lt;/D&gt;&lt;/FQL&gt;&lt;FQL&gt;&lt;Q&gt;EVRG^CS_EVENT_DATEJ_N("ER",4)&lt;/Q&gt;&lt;R&gt;1&lt;/R&gt;&lt;C&gt;1&lt;/C&gt;&lt;D xsi:type="xsd:long"&gt;46437&lt;/D&gt;&lt;/FQL&gt;&lt;FQL&gt;&lt;Q&gt;EVRG^CS_EVENT_TIME_N("ER",4)&lt;/Q&gt;&lt;R&gt;1&lt;/R&gt;&lt;C&gt;1&lt;/C&gt;&lt;D xsi:type="xsd:string"&gt;Unspecified&lt;/D&gt;&lt;/FQL&gt;&lt;FQL&gt;&lt;Q&gt;EVRG^CS_EVENT_DESC_N("ER",4)&lt;/Q&gt;&lt;R&gt;1&lt;/R&gt;&lt;C&gt;1&lt;/C&gt;&lt;D xsi:type="xsd:string"&gt;Q4 2026 Earnings Release (Projected)&lt;/D&gt;&lt;/FQL&gt;&lt;FQL&gt;&lt;Q&gt;FRT^CS_EVENT_DATEJ_N("ER",4)&lt;/Q&gt;&lt;R&gt;1&lt;/R&gt;&lt;C&gt;1&lt;/C&gt;&lt;D xsi:type="xsd:long"&gt;46429&lt;/D&gt;&lt;/FQL&gt;&lt;FQL&gt;&lt;Q&gt;FRT^CS_EVENT_TIME_N("ER",4)&lt;/Q&gt;&lt;R&gt;1&lt;/R&gt;&lt;C&gt;1&lt;/C&gt;&lt;D xsi:type="xsd:string"&gt;Unspecified&lt;/D&gt;&lt;/FQL&gt;&lt;FQL&gt;&lt;Q&gt;FRT^CS_EVENT_DESC_N("ER",4)&lt;/Q&gt;&lt;R&gt;1&lt;/R&gt;&lt;C&gt;1&lt;/C&gt;&lt;D xsi:type="xsd:string"&gt;Q4 2026 Earnings Release (Projected)&lt;/D&gt;&lt;/FQL&gt;&lt;FQL&gt;&lt;Q&gt;CL^CS_EVENT_DATEJ_N("ER",4)&lt;/Q&gt;&lt;R&gt;1&lt;/R&gt;&lt;C&gt;1&lt;/C&gt;&lt;D xsi:type="xsd:long"&gt;46409&lt;/D&gt;&lt;/FQL&gt;&lt;FQL&gt;&lt;Q&gt;CL^CS_EVENT_TIME_N("ER",4)&lt;/Q&gt;&lt;R&gt;1&lt;/R&gt;&lt;C&gt;1&lt;/C&gt;&lt;D xsi:type="xsd:string"&gt;Unspecified&lt;/D&gt;&lt;/FQL&gt;&lt;FQL&gt;&lt;Q&gt;CL^CS_EVENT_DESC_N("ER",4)&lt;/Q&gt;&lt;R&gt;1&lt;/R&gt;&lt;C&gt;1&lt;/C&gt;&lt;D xsi:type="xsd:string"&gt;Q4 2026 Earnings Release (Projected)&lt;/D&gt;&lt;/FQL&gt;&lt;FQL&gt;&lt;Q&gt;EL^CS_EVENT_DATEJ_N("ER",4)&lt;/Q&gt;&lt;R&gt;1&lt;/R&gt;&lt;C&gt;1&lt;/C&gt;&lt;D xsi:type="xsd:long"&gt;46429&lt;/D&gt;&lt;/FQL&gt;&lt;FQL&gt;&lt;Q&gt;EL^CS_EVENT_TIME_N("ER",4)&lt;/Q&gt;&lt;R&gt;1&lt;/R&gt;&lt;C&gt;1&lt;/C&gt;&lt;D xsi:type="xsd:string"&gt;Unspecified&lt;/D&gt;&lt;/FQL&gt;&lt;FQL&gt;&lt;Q&gt;EL^CS_EVENT_DESC_N("ER",4)&lt;/Q&gt;&lt;R&gt;1&lt;/R&gt;&lt;C&gt;1&lt;/C&gt;&lt;D xsi:type="xsd:string"&gt;Q2 2027 Earnings Release (Projected)&lt;/D&gt;&lt;/FQL&gt;&lt;FQL&gt;&lt;Q&gt;CHD^CS_EVENT_DATEJ_N("ER",4)&lt;/Q&gt;&lt;R&gt;1&lt;/R&gt;&lt;C&gt;1&lt;/C&gt;&lt;D xsi:type="xsd:long"&gt;46416&lt;/D&gt;&lt;/FQL&gt;&lt;FQL&gt;&lt;Q&gt;CHD^CS_EVENT_TIME_N("ER",4)&lt;/Q&gt;&lt;R&gt;1&lt;/R&gt;&lt;C&gt;1&lt;/C&gt;&lt;D xsi:type="xsd:string"&gt;Unspecified&lt;/D&gt;&lt;/FQL&gt;&lt;FQL&gt;&lt;Q&gt;CHD^CS_EVENT_DESC_N("ER",4)&lt;/Q&gt;&lt;R&gt;1&lt;/R&gt;&lt;C&gt;1&lt;/C&gt;&lt;D xsi:type="xsd:string"&gt;Q4 2026 Earnings Release (Projected)&lt;/D&gt;&lt;/FQL&gt;&lt;FQL&gt;&lt;Q&gt;CBOE^CS_EVENT_DATEJ_N("ER",4)&lt;/Q&gt;&lt;R&gt;1&lt;/R&gt;&lt;C&gt;1&lt;/C&gt;&lt;D xsi:type="xsd:long"&gt;46416&lt;/D&gt;&lt;/FQL&gt;&lt;FQL&gt;&lt;Q&gt;CBOE^CS_EVENT_TIME_N("ER",4)&lt;/Q&gt;&lt;R&gt;1&lt;/R&gt;&lt;C&gt;1&lt;/C&gt;&lt;D xsi:type="xsd:string"&gt;Unspecified&lt;/D&gt;&lt;/FQL&gt;&lt;FQL&gt;&lt;Q&gt;CBOE^CS_EVENT_DESC_N("ER",4)&lt;/Q&gt;&lt;R&gt;1&lt;/R&gt;&lt;C&gt;1&lt;/C&gt;&lt;D xsi:type="xsd:string"&gt;Q4 2026 Earnings Release (Projected)&lt;/D&gt;&lt;/FQL&gt;&lt;FQL&gt;&lt;Q&gt;JCI^CS_EVENT_DATEJ_N("ER",4)&lt;/Q&gt;&lt;R&gt;1&lt;/R&gt;&lt;C&gt;1&lt;/C&gt;&lt;D xsi:type="xsd:long"&gt;46421&lt;/D&gt;&lt;/FQL&gt;&lt;FQL&gt;&lt;Q&gt;JCI^CS_EVENT_TIME_N("ER",4)&lt;/Q&gt;&lt;R&gt;1&lt;/R&gt;&lt;C&gt;1&lt;/C&gt;&lt;D xsi:type="xsd:string"&gt;Unspecified&lt;/D&gt;&lt;/FQL&gt;&lt;FQL&gt;&lt;Q&gt;JCI^CS_EVENT_DESC_N("ER",4)&lt;/Q&gt;&lt;R&gt;1&lt;/R&gt;&lt;C&gt;1&lt;/C&gt;&lt;D xsi:type="xsd:string"&gt;Q1 2027 Earnings Release (Projected)&lt;/D&gt;&lt;/FQL&gt;&lt;FQL&gt;&lt;Q&gt;WEC^CS_EVENT_DATEJ_N("ER",4)&lt;/Q&gt;&lt;R&gt;1&lt;/R&gt;&lt;C&gt;1&lt;/C&gt;&lt;D xsi:type="xsd:long"&gt;46422&lt;/D&gt;&lt;/FQL&gt;&lt;FQL&gt;&lt;Q&gt;WEC^CS_EVENT_TIME_N("ER",4)&lt;/Q&gt;&lt;R&gt;1&lt;/R&gt;&lt;C&gt;1&lt;/C&gt;&lt;D xsi:type="xsd:string"&gt;Unspecified&lt;/D&gt;&lt;/FQL&gt;&lt;FQL&gt;&lt;Q&gt;WEC^CS_EVENT_DESC_N("ER",4)&lt;/Q&gt;&lt;R&gt;1&lt;/R&gt;&lt;C&gt;1&lt;/C&gt;&lt;D xsi:type="xsd:string"&gt;Q4 2026 Earnings Release (Projected)&lt;/D&gt;&lt;/FQL&gt;&lt;FQL&gt;&lt;Q&gt;BEN^CS_EVENT_DATEJ_N("ER",4)&lt;/Q&gt;&lt;R&gt;1&lt;/R&gt;&lt;C&gt;1&lt;/C&gt;&lt;D xsi:type="xsd:long"&gt;46419&lt;/D&gt;&lt;/FQL&gt;&lt;FQL&gt;&lt;Q&gt;BEN^CS_EVENT_TIME_N("ER",4)&lt;/Q&gt;&lt;R&gt;1&lt;/R&gt;&lt;C&gt;1&lt;/C&gt;&lt;D xsi:type="xsd:string"&gt;Unspecified&lt;/D&gt;&lt;/FQL&gt;&lt;FQL&gt;&lt;Q&gt;BEN^CS_EVENT_DESC_N("ER",4)&lt;/Q&gt;&lt;R&gt;1&lt;/R&gt;&lt;C&gt;1&lt;/C&gt;&lt;D xsi:type="xsd:string"&gt;Q1 2027 Earnings Release (Projected)&lt;/D&gt;&lt;/FQL&gt;&lt;FQL&gt;&lt;Q&gt;WMB^CS_EVENT_DATEJ_N("ER",4)&lt;/Q&gt;&lt;R&gt;0&lt;/R&gt;&lt;C&gt;0&lt;/C&gt;&lt;/FQL&gt;&lt;FQL&gt;&lt;Q&gt;WMB^CS_EVENT_TIME_N("ER",4)&lt;/Q&gt;&lt;R&gt;0&lt;/R&gt;&lt;C&gt;0&lt;/C&gt;&lt;/FQL&gt;&lt;FQL&gt;&lt;Q&gt;WMB^CS_EVENT_DESC_N("ER",4)&lt;/Q&gt;&lt;R&gt;0&lt;/R&gt;&lt;C&gt;0&lt;/C&gt;&lt;/FQL&gt;&lt;FQL&gt;&lt;Q&gt;SBAC^CS_EVENT_DATEJ_N("ER",4)&lt;/Q&gt;&lt;R&gt;1&lt;/R&gt;&lt;C&gt;1&lt;/C&gt;&lt;D xsi:type="xsd:long"&gt;46447&lt;/D&gt;&lt;/FQL&gt;&lt;FQL&gt;&lt;Q&gt;SBAC^CS_EVENT_TIME_N("ER",4)&lt;/Q&gt;&lt;R&gt;1&lt;/R&gt;&lt;C&gt;1&lt;/C&gt;&lt;D xsi:type="xsd:string"&gt;Unspecified&lt;/D&gt;&lt;/FQL&gt;&lt;FQL&gt;&lt;Q&gt;SBAC^CS_EVENT_DESC_N("ER",4)&lt;/Q&gt;&lt;R&gt;1&lt;/R&gt;&lt;C&gt;1&lt;/C&gt;&lt;D xsi:type="xsd:string"&gt;Q4 2026 Earnings Release (Projected)&lt;/D&gt;&lt;/FQL&gt;&lt;FQL&gt;&lt;Q&gt;WELL^CS_EVENT_DATEJ_N("ER",4)&lt;/Q&gt;&lt;R&gt;1&lt;/R&gt;&lt;C&gt;1&lt;/C&gt;&lt;D xsi:type="xsd:long"&gt;46434&lt;/D&gt;&lt;/FQL&gt;&lt;FQL&gt;&lt;Q&gt;WELL^CS_EVENT_TIME_N("ER",4)&lt;/Q&gt;&lt;R&gt;1&lt;/R&gt;&lt;C&gt;1&lt;/C&gt;&lt;D xsi:type="xsd:string"&gt;Unspecified&lt;/D&gt;&lt;/FQL&gt;&lt;FQL&gt;&lt;Q&gt;WELL^CS_EVENT_DESC_N("ER",4)&lt;/Q&gt;&lt;R&gt;1&lt;/R&gt;&lt;C&gt;1&lt;/C&gt;&lt;D xsi:type="xsd:string"&gt;Q4 2026 Earnings Release (Projected)&lt;/D&gt;&lt;/FQL&gt;&lt;FQL&gt;&lt;Q&gt;L^CS_EVENT_DATEJ_N("ER",4)&lt;/Q&gt;&lt;R&gt;1&lt;/R&gt;&lt;C&gt;1&lt;/C&gt;&lt;D xsi:type="xsd:long"&gt;46426&lt;/D&gt;&lt;/FQL&gt;&lt;FQL&gt;&lt;Q&gt;L^CS_EVENT_TIME_N("ER",4)&lt;/Q&gt;&lt;R&gt;1&lt;/R&gt;&lt;C&gt;1&lt;/C&gt;&lt;D xsi:type="xsd:string"&gt;Unspecified&lt;/D&gt;&lt;/FQL&gt;&lt;FQL&gt;&lt;Q&gt;L^CS_EVENT_DESC_N("ER",4)&lt;/Q&gt;&lt;R&gt;1&lt;/R&gt;&lt;C&gt;1&lt;/C&gt;&lt;D xsi:type="xsd:string"&gt;Q4 2026 Earnings Release (Projected)&lt;/D&gt;&lt;/FQL&gt;&lt;FQL&gt;&lt;Q&gt;ON^CS_EVENT_DATEJ_N("ER",4)&lt;/Q&gt;&lt;R&gt;0&lt;/R&gt;&lt;C&gt;0&lt;/C&gt;&lt;/FQL&gt;&lt;FQL&gt;&lt;Q&gt;ON^CS_EVENT_TIME_N("ER",4)&lt;/Q&gt;&lt;R&gt;0&lt;/R&gt;&lt;C&gt;0&lt;/C&gt;&lt;/FQL&gt;&lt;FQL&gt;&lt;Q&gt;ON^CS_EVENT_DESC_N("ER",4)&lt;/Q&gt;&lt;R&gt;0&lt;/R&gt;&lt;C&gt;0&lt;/C&gt;&lt;/FQL&gt;&lt;FQL&gt;&lt;Q&gt;GPN^CS_EVENT_DATEJ_N("ER",4)&lt;/Q&gt;&lt;R&gt;1&lt;/R&gt;&lt;C&gt;1&lt;/C&gt;&lt;D xsi:type="xsd:long"&gt;46429&lt;/D&gt;&lt;/FQL&gt;&lt;FQL&gt;&lt;Q&gt;GPN^CS_EVENT_TIME_N("ER",4)&lt;/Q&gt;&lt;R&gt;1&lt;/R&gt;&lt;C&gt;1&lt;/C&gt;&lt;D xsi:type="xsd:string"&gt;Unspecified&lt;/D&gt;&lt;/FQL&gt;&lt;FQL&gt;&lt;Q&gt;GPN^CS_EVENT_DESC_N("ER",4)&lt;/Q&gt;&lt;R&gt;1&lt;/R&gt;&lt;C&gt;1&lt;/C&gt;&lt;D xsi:type="xsd:string"&gt;Q4 2026 Earnings Release (Projected)&lt;/D&gt;&lt;/FQL&gt;&lt;FQL&gt;&lt;Q&gt;FFIV^CS_EVENT_DATEJ_N("ER",4)&lt;/Q&gt;&lt;R&gt;1&lt;/R&gt;&lt;C&gt;1&lt;/C&gt;&lt;D xsi:type="xsd:long"&gt;46413&lt;/D&gt;&lt;/FQL&gt;&lt;FQL&gt;&lt;Q&gt;FFIV^CS_EVENT_TIME_N("ER",4)&lt;/Q&gt;&lt;R&gt;1&lt;/R&gt;&lt;C&gt;1&lt;/C&gt;&lt;D xsi:type="xsd:string"&gt;Unspecified&lt;/D&gt;&lt;/FQL&gt;&lt;FQL&gt;&lt;Q&gt;FFIV^CS_EVENT_DESC_N("ER",4)&lt;/Q&gt;&lt;R&gt;1&lt;/R&gt;&lt;C&gt;1&lt;/C&gt;&lt;D xsi:type="xsd:string"&gt;Q1 2027 Earnings Release (Projected)&lt;/D&gt;&lt;/FQL&gt;&lt;FQL&gt;&lt;Q&gt;RVTY^CS_EVENT_DATEJ_N("ER",4)&lt;/Q&gt;&lt;R&gt;1&lt;/R&gt;&lt;C&gt;1&lt;/C&gt;&lt;D xsi:type="xsd:long"&gt;46422&lt;/D&gt;&lt;/FQL&gt;&lt;FQL&gt;&lt;Q&gt;RVTY^CS_EVENT_TIME_N("ER",4)&lt;/Q&gt;&lt;R&gt;1&lt;/R&gt;&lt;C&gt;1&lt;/C&gt;&lt;D xsi:type="xsd:string"&gt;Unspecified&lt;/D&gt;&lt;/FQL&gt;&lt;FQL&gt;&lt;Q&gt;RVTY^CS_EVENT_DESC_N("ER",4)&lt;/Q&gt;&lt;R&gt;1&lt;/R&gt;&lt;C&gt;1&lt;/C&gt;&lt;D xsi:type="xsd:string"&gt;Q4 2026 Earnings Release (Projected)&lt;/D&gt;&lt;/FQL&gt;&lt;FQL&gt;&lt;Q&gt;BRK.B^CS_EVENT_DATEJ_N("ER",4)&lt;/Q&gt;&lt;R&gt;1&lt;/R&gt;&lt;C&gt;1&lt;/C&gt;&lt;D xsi:type="xsd:long"&gt;46440&lt;/D&gt;&lt;/FQL&gt;&lt;FQL&gt;&lt;Q&gt;BRK.B^CS_EVENT_TIME_N("ER",4)&lt;/Q&gt;&lt;R&gt;1&lt;/R&gt;&lt;C&gt;1&lt;/C&gt;&lt;D xsi:type="xsd:string"&gt;Unspecified&lt;/D&gt;&lt;/FQL&gt;&lt;FQL&gt;&lt;Q&gt;BRK.B^CS_EVENT_DESC_N("ER",4)&lt;/Q&gt;&lt;R&gt;1&lt;/R&gt;&lt;C&gt;1&lt;/C&gt;&lt;D xsi:type="xsd:string"&gt;Q4 2026 Earnings Release (Projected)&lt;/D&gt;&lt;/FQL&gt;&lt;FQL&gt;&lt;Q&gt;ANET^CS_EVENT_DATEJ_N("ER",4)&lt;/Q&gt;&lt;R&gt;1&lt;/R&gt;&lt;C&gt;1&lt;/C&gt;&lt;D xsi:type="xsd:long"&gt;46433&lt;/D&gt;&lt;/FQL&gt;&lt;FQL&gt;&lt;Q&gt;ANET^CS_EVENT_TIME_N("ER",4)&lt;/Q&gt;&lt;R&gt;1&lt;/R&gt;&lt;C&gt;1&lt;/C&gt;&lt;D xsi:type="xsd:string"&gt;Unspecified&lt;/D&gt;&lt;/FQL&gt;&lt;FQL&gt;&lt;Q&gt;ANET^CS_EVENT_DESC_N("ER",4)&lt;/Q&gt;&lt;R&gt;1&lt;/R&gt;&lt;C&gt;1&lt;/C&gt;&lt;D xsi:type="xsd:string"&gt;Q4 2026 Earnings Release (Projected)&lt;/D&gt;&lt;/FQL&gt;&lt;FQL&gt;&lt;Q&gt;FANG^CS_EVENT_DATEJ_N("ER",4)&lt;/Q&gt;&lt;R&gt;1&lt;/R&gt;&lt;C&gt;1&lt;/C&gt;&lt;D xsi:type="xsd:long"&gt;46441&lt;/D&gt;&lt;/FQL&gt;&lt;FQL&gt;&lt;Q&gt;FANG^CS_EVENT_TIME_N("ER",4)&lt;/Q&gt;&lt;R&gt;1&lt;/R&gt;&lt;C&gt;1&lt;/C&gt;&lt;D xsi:type="xsd:string"&gt;Unspecified&lt;/D&gt;&lt;/FQL&gt;&lt;FQL&gt;&lt;Q&gt;FANG^CS_EVENT_DESC_N("ER",4)&lt;/Q&gt;&lt;R&gt;1&lt;/R&gt;&lt;C&gt;1&lt;/C&gt;&lt;D xsi:type="xsd:string"&gt;Q4 2026 Earnings Release (Projected)&lt;/D&gt;&lt;/FQL&gt;&lt;FQL&gt;&lt;Q&gt;PRU^CS_EVENT_DATEJ_N("ER",4)&lt;/Q&gt;&lt;R&gt;1&lt;/R&gt;&lt;C&gt;1&lt;/C&gt;&lt;D x</t>
        </r>
      </text>
    </comment>
    <comment ref="A8" authorId="0" shapeId="0" xr:uid="{9949AFF5-127C-4EA3-9674-6FE1F6698C83}">
      <text>
        <r>
          <rPr>
            <b/>
            <sz val="9"/>
            <color indexed="81"/>
            <rFont val="Tahoma"/>
            <family val="2"/>
          </rPr>
          <t>si:type="xsd:long"&gt;46427&lt;/D&gt;&lt;/FQL&gt;&lt;FQL&gt;&lt;Q&gt;PRU^CS_EVENT_TIME_N("ER",4)&lt;/Q&gt;&lt;R&gt;1&lt;/R&gt;&lt;C&gt;1&lt;/C&gt;&lt;D xsi:type="xsd:string"&gt;Unspecified&lt;/D&gt;&lt;/FQL&gt;&lt;FQL&gt;&lt;Q&gt;PRU^CS_EVENT_DESC_N("ER",4)&lt;/Q&gt;&lt;R&gt;1&lt;/R&gt;&lt;C&gt;1&lt;/C&gt;&lt;D xsi:type="xsd:string"&gt;Q4 2026 Earnings Release (Projected)&lt;/D&gt;&lt;/FQL&gt;&lt;FQL&gt;&lt;Q&gt;AME^CS_EVENT_DATEJ_N("ER",4)&lt;/Q&gt;&lt;R&gt;1&lt;/R&gt;&lt;C&gt;1&lt;/C&gt;&lt;D xsi:type="xsd:long"&gt;46422&lt;/D&gt;&lt;/FQL&gt;&lt;FQL&gt;&lt;Q&gt;AME^CS_EVENT_TIME_N("ER",4)&lt;/Q&gt;&lt;R&gt;1&lt;/R&gt;&lt;C&gt;1&lt;/C&gt;&lt;D xsi:type="xsd:string"&gt;Unspecified&lt;/D&gt;&lt;/FQL&gt;&lt;FQL&gt;&lt;Q&gt;AME^CS_EVENT_DESC_N("ER",4)&lt;/Q&gt;&lt;R&gt;1&lt;/R&gt;&lt;C&gt;1&lt;/C&gt;&lt;D xsi:type="xsd:string"&gt;Q4 2026 Earnings Release (Projected)&lt;/D&gt;&lt;/FQL&gt;&lt;FQL&gt;&lt;Q&gt;MLM^CS_EVENT_DATEJ_N("ER",4)&lt;/Q&gt;&lt;R&gt;1&lt;/R&gt;&lt;C&gt;1&lt;/C&gt;&lt;D xsi:type="xsd:long"&gt;46435&lt;/D&gt;&lt;/FQL&gt;&lt;FQL&gt;&lt;Q&gt;MLM^CS_EVENT_TIME_N("ER",4)&lt;/Q&gt;&lt;R&gt;1&lt;/R&gt;&lt;C&gt;1&lt;/C&gt;&lt;D xsi:type="xsd:string"&gt;Unspecified&lt;/D&gt;&lt;/FQL&gt;&lt;FQL&gt;&lt;Q&gt;MLM^CS_EVENT_DESC_N("ER",4)&lt;/Q&gt;&lt;R&gt;1&lt;/R&gt;&lt;C&gt;1&lt;/C&gt;&lt;D xsi:type="xsd:string"&gt;Q4 2026 Earnings Release (Projected)&lt;/D&gt;&lt;/FQL&gt;&lt;FQL&gt;&lt;Q&gt;ITW^CS_EVENT_DATEJ_N("ER",4)&lt;/Q&gt;&lt;R&gt;1&lt;/R&gt;&lt;C&gt;1&lt;/C&gt;&lt;D xsi:type="xsd:long"&gt;46422&lt;/D&gt;&lt;/FQL&gt;&lt;FQL&gt;&lt;Q&gt;ITW^CS_EVENT_TIME_N("ER",4)&lt;/Q&gt;&lt;R&gt;1&lt;/R&gt;&lt;C&gt;1&lt;/C&gt;&lt;D xsi:type="xsd:string"&gt;Unspecified&lt;/D&gt;&lt;/FQL&gt;&lt;FQL&gt;&lt;Q&gt;ITW^CS_EVENT_DESC_N("ER",4)&lt;/Q&gt;&lt;R&gt;1&lt;/R&gt;&lt;C&gt;1&lt;/C&gt;&lt;D xsi:type="xsd:string"&gt;Q4 2026 Earnings Release (Projected)&lt;/D&gt;&lt;/FQL&gt;&lt;FQL&gt;&lt;Q&gt;SBUX^CS_EVENT_DATEJ_N("ER",4)&lt;/Q&gt;&lt;R&gt;1&lt;/R&gt;&lt;C&gt;1&lt;/C&gt;&lt;D xsi:type="xsd:long"&gt;46420&lt;/D&gt;&lt;/FQL&gt;&lt;FQL&gt;&lt;Q&gt;SBUX^CS_EVENT_TIME_N("ER",4)&lt;/Q&gt;&lt;R&gt;1&lt;/R&gt;&lt;C&gt;1&lt;/C&gt;&lt;D xsi:type="xsd:string"&gt;Unspecified&lt;/D&gt;&lt;/FQL&gt;&lt;FQL&gt;&lt;Q&gt;SBUX^CS_EVENT_DESC_N("ER",4)&lt;/Q&gt;&lt;R&gt;1&lt;/R&gt;&lt;C&gt;1&lt;/C&gt;&lt;D xsi:type="xsd:string"&gt;Q1 2027 Earnings Release (Projected)&lt;/D&gt;&lt;/FQL&gt;&lt;FQL&gt;&lt;Q&gt;GLW^CS_EVENT_DATEJ_N("ER",4)&lt;/Q&gt;&lt;R&gt;1&lt;/R&gt;&lt;C&gt;1&lt;/C&gt;&lt;D xsi:type="xsd:long"&gt;46421&lt;/D&gt;&lt;/FQL&gt;&lt;FQL&gt;&lt;Q&gt;GLW^CS_EVENT_TIME_N("ER",4)&lt;/Q&gt;&lt;R&gt;1&lt;/R&gt;&lt;C&gt;1&lt;/C&gt;&lt;D xsi:type="xsd:string"&gt;Unspecified&lt;/D&gt;&lt;/FQL&gt;&lt;FQL&gt;&lt;Q&gt;GLW^CS_EVENT_DESC_N("ER",4)&lt;/Q&gt;&lt;R&gt;1&lt;/R&gt;&lt;C&gt;1&lt;/C&gt;&lt;D xsi:type="xsd:string"&gt;Q4 2026 Earnings Release (Projected)&lt;/D&gt;&lt;/FQL&gt;&lt;FQL&gt;&lt;Q&gt;CLX^CS_EVENT_DATEJ_N("ER",4)&lt;/Q&gt;&lt;R&gt;1&lt;/R&gt;&lt;C&gt;1&lt;/C&gt;&lt;D xsi:type="xsd:long"&gt;46422&lt;/D&gt;&lt;/FQL&gt;&lt;FQL&gt;&lt;Q&gt;CLX^CS_EVENT_TIME_N("ER",4)&lt;/Q&gt;&lt;R&gt;1&lt;/R&gt;&lt;C&gt;1&lt;/C&gt;&lt;D xsi:type="xsd:string"&gt;Unspecified&lt;/D&gt;&lt;/FQL&gt;&lt;FQL&gt;&lt;Q&gt;CLX^CS_EVENT_DESC_N("ER",4)&lt;/Q&gt;&lt;R&gt;1&lt;/R&gt;&lt;C&gt;1&lt;/C&gt;&lt;D xsi:type="xsd:string"&gt;Q2 2027 Earnings Release (Projected)&lt;/D&gt;&lt;/FQL&gt;&lt;FQL&gt;&lt;Q&gt;DVN^CS_EVENT_DATEJ_N("ER",4)&lt;/Q&gt;&lt;R&gt;1&lt;/R&gt;&lt;C&gt;1&lt;/C&gt;&lt;D xsi:type="xsd:long"&gt;46434&lt;/D&gt;&lt;/FQL&gt;&lt;FQL&gt;&lt;Q&gt;DVN^CS_EVENT_TIME_N("ER",4)&lt;/Q&gt;&lt;R&gt;1&lt;/R&gt;&lt;C&gt;1&lt;/C&gt;&lt;D xsi:type="xsd:string"&gt;Unspecified&lt;/D&gt;&lt;/FQL&gt;&lt;FQL&gt;&lt;Q&gt;DVN^CS_EVENT_DESC_N("ER",4)&lt;/Q&gt;&lt;R&gt;1&lt;/R&gt;&lt;C&gt;1&lt;/C&gt;&lt;D xsi:type="xsd:string"&gt;Q4 2026 Earnings Release (Projected)&lt;/D&gt;&lt;/FQL&gt;&lt;FQL&gt;&lt;Q&gt;SWKS^CS_EVENT_DATEJ_N("ER",4)&lt;/Q&gt;&lt;R&gt;1&lt;/R&gt;&lt;C&gt;1&lt;/C&gt;&lt;D xsi:type="xsd:long"&gt;46427&lt;/D&gt;&lt;/FQL&gt;&lt;FQL&gt;&lt;Q&gt;SWKS^CS_EVENT_TIME_N("ER",4)&lt;/Q&gt;&lt;R&gt;1&lt;/R&gt;&lt;C&gt;1&lt;/C&gt;&lt;D xsi:type="xsd:string"&gt;Unspecified&lt;/D&gt;&lt;/FQL&gt;&lt;FQL&gt;&lt;Q&gt;SWKS^CS_EVENT_DESC_N("ER",4)&lt;/Q&gt;&lt;R&gt;1&lt;/R&gt;&lt;C&gt;1&lt;/C&gt;&lt;D xsi:type="xsd:string"&gt;Q1 2027 Earnings Release (Projected)&lt;/D&gt;&lt;/FQL&gt;&lt;FQL&gt;&lt;Q&gt;OKE^CS_EVENT_DATEJ_N("ER",4)&lt;/Q&gt;&lt;R&gt;1&lt;/R&gt;&lt;C&gt;1&lt;/C&gt;&lt;D xsi:type="xsd:long"&gt;46447&lt;/D&gt;&lt;/FQL&gt;&lt;FQL&gt;&lt;Q&gt;OKE^CS_EVENT_TIME_N("ER",4)&lt;/Q&gt;&lt;R&gt;1&lt;/R&gt;&lt;C&gt;1&lt;/C&gt;&lt;D xsi:type="xsd:string"&gt;Unspecified&lt;/D&gt;&lt;/FQL&gt;&lt;FQL&gt;&lt;Q&gt;OKE^CS_EVENT_DESC_N("ER",4)&lt;/Q&gt;&lt;R&gt;1&lt;/R&gt;&lt;C&gt;1&lt;/C&gt;&lt;D xsi:type="xsd:string"&gt;Q4 2026 Earnings Release (Projected)&lt;/D&gt;&lt;/FQL&gt;&lt;FQL&gt;&lt;Q&gt;BXP^CS_EVENT_DATEJ_N("ER",4)&lt;/Q&gt;&lt;R&gt;0&lt;/R&gt;&lt;C&gt;0&lt;/C&gt;&lt;/FQL&gt;&lt;FQL&gt;&lt;Q&gt;BXP^CS_EVENT_TIME_N("ER",4)&lt;/Q&gt;&lt;R&gt;0&lt;/R&gt;&lt;C&gt;0&lt;/C&gt;&lt;/FQL&gt;&lt;FQL&gt;&lt;Q&gt;BXP^CS_EVENT_DESC_N("ER",4)&lt;/Q&gt;&lt;R&gt;0&lt;/R&gt;&lt;C&gt;0&lt;/C&gt;&lt;/FQL&gt;&lt;FQL&gt;&lt;Q&gt;SYY^CS_EVENT_DATEJ_N("ER",4)&lt;/Q&gt;&lt;R&gt;1&lt;/R&gt;&lt;C&gt;1&lt;/C&gt;&lt;D xsi:type="xsd:long"&gt;46420&lt;/D&gt;&lt;/FQL&gt;&lt;FQL&gt;&lt;Q&gt;SYY^CS_EVENT_TIME_N("ER",4)&lt;/Q&gt;&lt;R&gt;1&lt;/R&gt;&lt;C&gt;1&lt;/C&gt;&lt;D xsi:type="xsd:string"&gt;Unspecified&lt;/D&gt;&lt;/FQL&gt;&lt;FQL&gt;&lt;Q&gt;SYY^CS_EVENT_DESC_N("ER",4)&lt;/Q&gt;&lt;R&gt;1&lt;/R&gt;&lt;C&gt;1&lt;/C&gt;&lt;D xsi:type="xsd:string"&gt;Q2 2027 Earnings Release (Projected)&lt;/D&gt;&lt;/FQL&gt;&lt;FQL&gt;&lt;Q&gt;ETN^CS_EVENT_DATEJ_N("ER",4)&lt;/Q&gt;&lt;R&gt;0&lt;/R&gt;&lt;C&gt;0&lt;/C&gt;&lt;/FQL&gt;&lt;FQL&gt;&lt;Q&gt;ETN^CS_EVENT_TIME_N("ER",4)&lt;/Q&gt;&lt;R&gt;0&lt;/R&gt;&lt;C&gt;0&lt;/C&gt;&lt;/FQL&gt;&lt;FQL&gt;&lt;Q&gt;ETN^CS_EVENT_DESC_N("ER",4)&lt;/Q&gt;&lt;R&gt;0&lt;/R&gt;&lt;C&gt;0&lt;/C&gt;&lt;/FQL&gt;&lt;FQL&gt;&lt;Q&gt;PEG^CS_EVENT_DATEJ_N("ER",4)&lt;/Q&gt;&lt;R&gt;1&lt;/R&gt;&lt;C&gt;1&lt;/C&gt;&lt;D xsi:type="xsd:long"&gt;46443&lt;/D&gt;&lt;/FQL&gt;&lt;FQL&gt;&lt;Q&gt;PEG^CS_EVENT_TIME_N("ER",4)&lt;/Q&gt;&lt;R&gt;1&lt;/R&gt;&lt;C&gt;1&lt;/C&gt;&lt;D xsi:type="xsd:string"&gt;Unspecified&lt;/D&gt;&lt;/FQL&gt;&lt;FQL&gt;&lt;Q&gt;PEG^CS_EVENT_DESC_N("ER",4)&lt;/Q&gt;&lt;R&gt;1&lt;/R&gt;&lt;C&gt;1&lt;/C&gt;&lt;D xsi:type="xsd:string"&gt;Q4 2026 Earnings Release (Projected)&lt;/D&gt;&lt;/FQL&gt;&lt;FQL&gt;&lt;Q&gt;AMD^CS_EVENT_DATEJ_N("ER",4)&lt;/Q&gt;&lt;R&gt;1&lt;/R&gt;&lt;C&gt;1&lt;/C&gt;&lt;D xsi:type="xsd:long"&gt;46420&lt;/D&gt;&lt;/FQL&gt;&lt;FQL&gt;&lt;Q&gt;AMD^CS_EVENT_TIME_N("ER",4)&lt;/Q&gt;&lt;R&gt;1&lt;/R&gt;&lt;C&gt;1&lt;/C&gt;&lt;D xsi:type="xsd:string"&gt;Unspecified&lt;/D&gt;&lt;/FQL&gt;&lt;FQL&gt;&lt;Q&gt;AMD^CS_EVENT_DESC_N("ER",4)&lt;/Q&gt;&lt;R&gt;1&lt;/R&gt;&lt;C&gt;1&lt;/C&gt;&lt;D xsi:type="xsd:string"&gt;Q4 2026 Earnings Release (Projected)&lt;/D&gt;&lt;/FQL&gt;&lt;FQL&gt;&lt;Q&gt;AIZ^CS_EVENT_DATEJ_N("ER",4)&lt;/Q&gt;&lt;R&gt;1&lt;/R&gt;&lt;C&gt;1&lt;/C&gt;&lt;D xsi:type="xsd:long"&gt;46427&lt;/D&gt;&lt;/FQL&gt;&lt;FQL&gt;&lt;Q&gt;AIZ^CS_EVENT_TIME_N("ER",4)&lt;/Q&gt;&lt;R&gt;1&lt;/R&gt;&lt;C&gt;1&lt;/C&gt;&lt;D xsi:type="xsd:string"&gt;Unspecified&lt;/D&gt;&lt;/FQL&gt;&lt;FQL&gt;&lt;Q&gt;AIZ^CS_EVENT_DESC_N("ER",4)&lt;/Q&gt;&lt;R&gt;1&lt;/R&gt;&lt;C&gt;1&lt;/C&gt;&lt;D xsi:type="xsd:string"&gt;Q4 2026 Earnings Release (Projected)&lt;/D&gt;&lt;/FQL&gt;&lt;FQL&gt;&lt;Q&gt;INCY^CS_EVENT_DATEJ_N("ER",4)&lt;/Q&gt;&lt;R&gt;1&lt;/R&gt;&lt;C&gt;1&lt;/C&gt;&lt;D xsi:type="xsd:long"&gt;46427&lt;/D&gt;&lt;/FQL&gt;&lt;FQL&gt;&lt;Q&gt;INCY^CS_EVENT_TIME_N("ER",4)&lt;/Q&gt;&lt;R&gt;1&lt;/R&gt;&lt;C&gt;1&lt;/C&gt;&lt;D xsi:type="xsd:string"&gt;Unspecified&lt;/D&gt;&lt;/FQL&gt;&lt;FQL&gt;&lt;Q&gt;INCY^CS_EVENT_DESC_N("ER",4)&lt;/Q&gt;&lt;R&gt;1&lt;/R&gt;&lt;C&gt;1&lt;/C&gt;&lt;D xsi:type="xsd:string"&gt;Q4 2026 Earnings Release (Projected)&lt;/D&gt;&lt;/FQL&gt;&lt;FQL&gt;&lt;Q&gt;PSA^CS_EVENT_DATEJ_N("ER",4)&lt;/Q&gt;&lt;R&gt;1&lt;/R&gt;&lt;C&gt;1&lt;/C&gt;&lt;D xsi:type="xsd:long"&gt;46441&lt;/D&gt;&lt;/FQL&gt;&lt;FQL&gt;&lt;Q&gt;PSA^CS_EVENT_TIME_N("ER",4)&lt;/Q&gt;&lt;R&gt;1&lt;/R&gt;&lt;C&gt;1&lt;/C&gt;&lt;D xsi:type="xsd:string"&gt;Unspecified&lt;/D&gt;&lt;/FQL&gt;&lt;FQL&gt;&lt;Q&gt;PSA^CS_EVENT_DESC_N("ER",4)&lt;/Q&gt;&lt;R&gt;1&lt;/R&gt;&lt;C&gt;1&lt;/C&gt;&lt;D xsi:type="xsd:string"&gt;Q4 2026 Earnings Release (Projected)&lt;/D&gt;&lt;/FQL&gt;&lt;FQL&gt;&lt;Q&gt;EA^CS_EVENT_DATEJ_N("ER",4)&lt;/Q&gt;&lt;R&gt;1&lt;/R&gt;&lt;C&gt;1&lt;/C&gt;&lt;D xsi:type="xsd:long"&gt;46420&lt;/D&gt;&lt;/FQL&gt;&lt;FQL&gt;&lt;Q&gt;EA^CS_EVENT_TIME_N("ER",4)&lt;/Q&gt;&lt;R&gt;1&lt;/R&gt;&lt;C&gt;1&lt;/C&gt;&lt;D xsi:type="xsd:string"&gt;Unspecified&lt;/D&gt;&lt;/FQL&gt;&lt;FQL&gt;&lt;Q&gt;EA^CS_EVENT_DESC_N("ER",4)&lt;/Q&gt;&lt;R&gt;1&lt;/R&gt;&lt;C&gt;1&lt;/C&gt;&lt;D xsi:type="xsd:string"&gt;Q3 2027 Earnings Release (Projected)&lt;/D&gt;&lt;/FQL&gt;&lt;FQL&gt;&lt;Q&gt;PFE^CS_EVENT_DATEJ_N("ER",4)&lt;/Q&gt;&lt;R&gt;1&lt;/R&gt;&lt;C&gt;1&lt;/C&gt;&lt;D xsi:type="xsd:long"&gt;46511&lt;/D&gt;&lt;/FQL&gt;&lt;FQL&gt;&lt;Q&gt;PFE^CS_EVENT_TIME_N("ER",4)&lt;/Q&gt;&lt;R&gt;1&lt;/R&gt;&lt;C&gt;1&lt;/C&gt;&lt;D xsi:type="xsd:string"&gt;Unspecified&lt;/D&gt;&lt;/FQL&gt;&lt;FQL&gt;&lt;Q&gt;PFE^CS_EVENT_DESC_N("ER",4)&lt;/Q&gt;&lt;R&gt;1&lt;/R&gt;&lt;C&gt;1&lt;/C&gt;&lt;D xsi:type="xsd:string"&gt;Q1 2027 Earnings Release (Projected)&lt;/D&gt;&lt;/FQL&gt;&lt;FQL&gt;&lt;Q&gt;CMI^CS_EVENT_DATEJ_N("ER",4)&lt;/Q&gt;&lt;R&gt;1&lt;/R&gt;&lt;C&gt;1&lt;/C&gt;&lt;D xsi:type="xsd:long"&gt;46427&lt;/D&gt;&lt;/FQL&gt;&lt;FQL&gt;&lt;Q&gt;CMI^CS_EVENT_TIME_N("ER",4)&lt;/Q&gt;&lt;R&gt;1&lt;/R&gt;&lt;C&gt;1&lt;/C&gt;&lt;D xsi:type="xsd:string"&gt;Unspecified&lt;/D&gt;&lt;/FQL&gt;&lt;FQL&gt;&lt;Q&gt;CMI^CS_EVENT_DESC_N("ER",4)&lt;/Q&gt;&lt;R&gt;1&lt;/R&gt;&lt;C&gt;1&lt;/C&gt;&lt;D xsi:type="xsd:string"&gt;Q4 2026 Earnings Release (Projected)&lt;/D&gt;&lt;/FQL&gt;&lt;FQL&gt;&lt;Q&gt;ROK^CS_EVENT_DATEJ_N("ER",4)&lt;/Q&gt;&lt;R&gt;1&lt;/R&gt;&lt;C&gt;1&lt;/C&gt;&lt;D xsi:type="xsd:long"&gt;46415&lt;/D&gt;&lt;/FQL&gt;&lt;FQL&gt;&lt;Q&gt;ROK^CS_EVENT_TIME_N("ER",4)&lt;/Q&gt;&lt;R&gt;1&lt;/R&gt;&lt;C&gt;1&lt;/C&gt;&lt;D xsi:type="xsd:string"&gt;Unspecified&lt;/D&gt;&lt;/FQL&gt;&lt;FQL&gt;&lt;Q&gt;ROK^CS_EVENT_DESC_N("ER",4)&lt;/Q&gt;&lt;R&gt;1&lt;/R&gt;&lt;C&gt;1&lt;/C&gt;&lt;D xsi:type="xsd:string"&gt;Q1 2027 Earnings Release (Projected)&lt;/D&gt;&lt;/FQL&gt;&lt;FQL&gt;&lt;Q&gt;EOG^CS_EVENT_DATEJ_N("ER",4)&lt;/Q&gt;&lt;R&gt;1&lt;/R&gt;&lt;C&gt;1&lt;/C&gt;&lt;D xsi:type="xsd:long"&gt;46443&lt;/D&gt;&lt;/FQL&gt;&lt;FQL&gt;&lt;Q&gt;EOG^CS_EVENT_TIME_N("ER",4)&lt;/Q&gt;&lt;R&gt;1&lt;/R&gt;&lt;C&gt;1&lt;/C&gt;&lt;D xsi:type="xsd:string"&gt;Unspecified&lt;/D&gt;&lt;/FQL&gt;&lt;FQL&gt;&lt;Q&gt;EOG^CS_EVENT_DESC_N("ER",4)&lt;/Q&gt;&lt;R&gt;1&lt;/R&gt;&lt;C&gt;1&lt;/C&gt;&lt;D xsi:type="xsd:string"&gt;Q4 2026 Earnings Release (Projected)&lt;/D&gt;&lt;/FQL&gt;&lt;FQL&gt;&lt;Q&gt;ZBH^CS_EVENT_DATEJ_N("ER",4)&lt;/Q&gt;&lt;R&gt;1&lt;/R&gt;&lt;C&gt;1&lt;/C&gt;&lt;D xsi:type="xsd:long"&gt;46429&lt;/D&gt;&lt;/FQL&gt;&lt;FQL&gt;&lt;Q&gt;ZBH^CS_EVENT_TIME_N("ER",4)&lt;/Q&gt;&lt;R&gt;1&lt;/R&gt;&lt;C&gt;1&lt;/C&gt;&lt;D xsi:type="xsd:string"&gt;Unspecified&lt;/D&gt;&lt;/FQL&gt;&lt;FQL&gt;&lt;Q&gt;ZBH^CS_EVENT_DESC_N("ER",4)&lt;/Q&gt;&lt;R&gt;1&lt;/R&gt;&lt;C&gt;1&lt;/C&gt;&lt;D xsi:type="xsd:string"&gt;Q4 2026 Earnings Release (Projected)&lt;/D&gt;&lt;/FQL&gt;&lt;FQL&gt;&lt;Q&gt;LDOS^CS_EVENT_DATEJ_N("ER",4)&lt;/Q&gt;&lt;R&gt;1&lt;/R&gt;&lt;C&gt;1&lt;/C&gt;&lt;D xsi:type="xsd:long"&gt;46434&lt;/D&gt;&lt;/FQL&gt;&lt;FQL&gt;&lt;Q&gt;LDOS^CS_EVENT_TIME_N("ER",4)&lt;/Q&gt;&lt;R&gt;1&lt;/R&gt;&lt;C&gt;1&lt;/C&gt;&lt;D xsi:type="xsd:string"&gt;Unspecified&lt;/D&gt;&lt;/FQL&gt;&lt;FQL&gt;&lt;Q&gt;LDOS^CS_EVENT_DESC_N("ER",4)&lt;/Q&gt;&lt;R&gt;1&lt;/R&gt;&lt;C&gt;1&lt;/C&gt;&lt;D xsi:type="xsd:string"&gt;Q4 2026 Earnings Release (Projected)&lt;/D&gt;&lt;/FQL&gt;&lt;FQL&gt;&lt;Q&gt;KKR^CS_EVENT_DATEJ_N("ER",4)&lt;/Q&gt;&lt;R&gt;1&lt;/R&gt;&lt;C&gt;1&lt;/C&gt;&lt;D xsi:type="xsd:long"&gt;46427&lt;/D&gt;&lt;/FQL&gt;&lt;FQL&gt;&lt;Q&gt;KKR^CS_EVENT_TIME_N("ER",4)&lt;/Q&gt;&lt;R&gt;1&lt;/R&gt;&lt;C&gt;1&lt;/C&gt;&lt;D xsi:type="xsd:string"&gt;Unspecified&lt;/D&gt;&lt;/FQL&gt;&lt;FQL&gt;&lt;Q&gt;KKR^CS_EVENT_DESC_N("ER",4)&lt;/Q&gt;&lt;R&gt;1&lt;/R&gt;&lt;C&gt;1&lt;/C&gt;&lt;D xsi:type="xsd:string"&gt;Q4 2026 Earnings Release (Projected)&lt;/D&gt;&lt;/FQL&gt;&lt;FQL&gt;&lt;Q&gt;VRSK^CS_EVENT_DATEJ_N("ER",4)&lt;/Q&gt;&lt;R&gt;1&lt;/R&gt;&lt;C&gt;1&lt;/C&gt;&lt;D xsi:type="xsd:long"&gt;46441&lt;/D&gt;&lt;/FQL&gt;&lt;FQL&gt;&lt;Q&gt;VRSK^CS_EVENT_TIME_N("ER",4)&lt;/Q&gt;&lt;R&gt;1&lt;/R&gt;&lt;C&gt;1&lt;/C&gt;&lt;D xsi:type="xsd:string"&gt;Unspecified&lt;/D&gt;&lt;/FQL&gt;&lt;FQL&gt;&lt;Q&gt;VRSK^CS_EVENT_DESC_N("ER",4)&lt;/Q&gt;&lt;R&gt;1&lt;/R&gt;&lt;C&gt;1&lt;/C&gt;&lt;D xsi:type="xsd:string"&gt;Q4 2026 Earnings Release (Projected)&lt;/D&gt;&lt;/FQL&gt;&lt;FQL&gt;&lt;Q&gt;TAP^CS_EVENT_DATEJ_N("ER",4)&lt;/Q&gt;&lt;R&gt;1&lt;/R&gt;&lt;C&gt;1&lt;/C&gt;&lt;D xsi:type="xsd:long"&gt;46442&lt;/D&gt;&lt;/FQL&gt;&lt;FQL&gt;&lt;Q&gt;TAP^CS_EVENT_TIME_N("ER",4)&lt;/Q&gt;&lt;R&gt;1&lt;/R&gt;&lt;C&gt;1&lt;/C&gt;&lt;D xsi:type="xsd:string"&gt;Unspecified&lt;/D&gt;&lt;/FQL&gt;&lt;FQL&gt;&lt;Q&gt;TAP^CS_EVENT_DESC_N("ER",4)&lt;/Q&gt;&lt;R&gt;1&lt;/R&gt;&lt;C&gt;1&lt;/C&gt;&lt;D xsi:type="xsd:string"&gt;Q4 2026 Earnings Release (Projected)&lt;/D&gt;&lt;/FQL&gt;&lt;FQL&gt;&lt;Q&gt;SMCI^CS_EVENT_DATEJ_N("ER",4)&lt;/Q&gt;&lt;R&gt;1&lt;/R&gt;&lt;C&gt;1&lt;/C&gt;&lt;D xsi:type="xsd:long"&gt;46420&lt;/D&gt;&lt;/FQL&gt;&lt;FQL&gt;&lt;Q&gt;SMCI^CS_EVENT_TIME_N("ER",4)&lt;/Q&gt;&lt;R&gt;1&lt;/R&gt;&lt;C&gt;1&lt;/C&gt;&lt;D xsi:type="xsd:string"&gt;Unspecified&lt;/D&gt;&lt;/FQL&gt;&lt;FQL&gt;&lt;Q&gt;SMCI^CS_EVENT_DESC_N("ER",4)&lt;/Q&gt;&lt;R&gt;1&lt;/R&gt;&lt;C&gt;1&lt;/C&gt;&lt;D xsi:type="xsd:string"&gt;Q2 2027 Earnings Release (Projected)&lt;/D&gt;&lt;/FQL&gt;&lt;FQL&gt;&lt;Q&gt;BR^CS_EVENT_DATEJ_N("ER",4)&lt;/Q&gt;&lt;R&gt;1&lt;/R&gt;&lt;C&gt;1&lt;/C&gt;&lt;D xsi:type="xsd:long"&gt;46422&lt;/D&gt;&lt;/FQL&gt;&lt;FQL&gt;&lt;Q&gt;BR^CS_EVENT_TIME_N("ER",4)&lt;/Q&gt;&lt;R&gt;1&lt;/R&gt;&lt;C&gt;1&lt;/C&gt;&lt;D xsi:type="xsd:string"&gt;Unspecified&lt;/D&gt;&lt;/FQL&gt;&lt;FQL&gt;&lt;Q&gt;BR^CS_EVENT_DESC_N("ER",4)&lt;/Q&gt;&lt;R&gt;1&lt;/R&gt;&lt;C&gt;1&lt;/C&gt;&lt;D xsi:type="xsd:string"&gt;Q2 2027 Earnings Release (Projected)&lt;/D&gt;&lt;/FQL&gt;&lt;FQL&gt;&lt;Q&gt;MPC^CS_EVENT_DATEJ_N("ER",4)&lt;/Q&gt;&lt;R&gt;1&lt;/R&gt;&lt;C&gt;1&lt;/C&gt;&lt;D xsi:type="xsd:long"&gt;46511&lt;/D&gt;&lt;/FQL&gt;&lt;FQL&gt;&lt;Q&gt;MPC^CS_EVENT_TIME_N("ER",4)&lt;/Q&gt;&lt;R&gt;1&lt;/R&gt;&lt;C&gt;1&lt;/C&gt;&lt;D xsi:type="xsd:string"&gt;Unspecified&lt;/D&gt;&lt;/FQL&gt;&lt;FQL&gt;&lt;Q&gt;MPC^CS_EVENT_DESC_N("ER",4)&lt;/Q&gt;&lt;R&gt;1&lt;/R&gt;&lt;C&gt;1&lt;/C&gt;&lt;D xsi:type="xsd:string"&gt;Q1 2027 Earnings Release (Projected)&lt;/D&gt;&lt;/FQL&gt;&lt;FQL&gt;&lt;Q&gt;PYPL^CS_EVENT_DATEJ_N("ER",4)&lt;/Q&gt;&lt;R&gt;1&lt;/R&gt;&lt;C&gt;1&lt;/C&gt;&lt;D xsi:type="xsd:long"&gt;46427&lt;/D&gt;&lt;/FQL&gt;&lt;FQL&gt;&lt;Q&gt;PYPL^CS_EVENT_TIME_N("ER",4)&lt;/Q&gt;&lt;R&gt;1&lt;/R&gt;&lt;C&gt;1&lt;/C&gt;&lt;D xsi:type="xsd:string"&gt;Unspecified&lt;/D&gt;&lt;/FQL&gt;&lt;FQL&gt;&lt;Q&gt;PYPL^CS_EVENT_DESC_N("ER",4)&lt;/Q&gt;&lt;R&gt;1&lt;/R&gt;&lt;C&gt;1&lt;/C&gt;&lt;D xsi:type="xsd:string"&gt;Q4 2026 Earnings Release (Projected)&lt;/D&gt;&lt;/FQL&gt;&lt;FQL&gt;&lt;Q&gt;INVH^CS_EVENT_DATEJ_N("ER",4)&lt;/Q&gt;&lt;R&gt;1&lt;/R&gt;&lt;C&gt;1&lt;/C&gt;&lt;D xsi:type="xsd:long"&gt;46434&lt;/D&gt;&lt;/FQL&gt;&lt;FQL&gt;&lt;Q&gt;INVH^CS_EVENT_TIME_N("ER",4)&lt;/Q&gt;&lt;R&gt;1&lt;/R&gt;&lt;C&gt;1&lt;/C&gt;&lt;D xsi:type="xsd:string"&gt;Unspecified&lt;/D&gt;&lt;/FQL&gt;&lt;FQL&gt;&lt;Q&gt;INVH^CS_EVENT_DESC_N("ER",4)&lt;/Q&gt;&lt;R&gt;1&lt;/R&gt;&lt;C&gt;1&lt;/C&gt;&lt;D xsi:type="xsd:string"&gt;Q4 2026 Earnings Release (Projected)&lt;/D&gt;&lt;/FQL&gt;&lt;FQL&gt;&lt;Q&gt;APTV^CS_EVENT_DATEJ_N("ER",4)&lt;/Q&gt;&lt;R&gt;1&lt;/R&gt;&lt;C&gt;1&lt;/C&gt;&lt;D xsi:type="xsd:long"&gt;46428&lt;/D&gt;&lt;/FQL&gt;&lt;FQL&gt;&lt;Q&gt;APTV^CS_EVENT_TIME_N("ER",4)&lt;/Q&gt;&lt;R&gt;1&lt;/R&gt;&lt;C&gt;1&lt;/C&gt;&lt;D xsi:type="xsd:string"&gt;Unspecified&lt;/D&gt;&lt;/FQL&gt;&lt;FQL&gt;&lt;Q&gt;APTV^CS_EVENT_DESC_N("ER",4)&lt;/Q&gt;&lt;R&gt;1&lt;/R&gt;&lt;C&gt;1&lt;/C&gt;&lt;D xsi:type="xsd:string"&gt;Q4 2026 Earnings Release (Projected)&lt;/D&gt;&lt;/FQL&gt;&lt;FQL&gt;&lt;Q&gt;CTVA^CS_EVENT_DATEJ_N("ER",4)&lt;/Q&gt;&lt;R&gt;1&lt;/R&gt;&lt;C&gt;1&lt;/C&gt;&lt;D xsi:type="xsd:long"&gt;46512&lt;/D&gt;&lt;/FQL&gt;&lt;FQL&gt;&lt;Q&gt;CTVA^CS_EVENT_TIME_N("ER",4)&lt;/Q&gt;&lt;R&gt;1&lt;/R&gt;&lt;C&gt;1&lt;/C&gt;&lt;D xsi:type="xsd:string"&gt;Unspecified&lt;/D&gt;&lt;/FQL&gt;&lt;FQL&gt;&lt;Q&gt;CTVA^CS_EVENT_DESC_N("ER",4)&lt;/Q&gt;&lt;R&gt;1&lt;/R&gt;&lt;C&gt;1&lt;/C&gt;&lt;D xsi:type="xsd:string"&gt;Q1 2027 Earnings Release (Projected)&lt;/D&gt;&lt;/FQL&gt;&lt;FQL&gt;&lt;Q&gt;DD^CS_EVENT_DATEJ_N("ER",4)&lt;/Q&gt;&lt;R&gt;1&lt;/R&gt;&lt;C&gt;1&lt;/C&gt;&lt;D xsi:type="xsd:long"&gt;46427&lt;/D&gt;&lt;/FQL&gt;&lt;FQL&gt;&lt;Q&gt;DD^CS_EVENT_TIME_N("ER",4)&lt;/Q&gt;&lt;R&gt;1&lt;/R&gt;&lt;C&gt;1&lt;/C&gt;&lt;D xsi:type="xsd:string"&gt;Unspecified&lt;/D&gt;&lt;/FQL&gt;&lt;FQL&gt;&lt;Q&gt;DD^CS_EVENT_DESC_N("ER",4)&lt;/Q&gt;&lt;R&gt;1&lt;/R&gt;&lt;C&gt;1&lt;/C&gt;&lt;D xsi:type="xsd:string"&gt;Q4 2026 Earnings Release (Projected)&lt;/D&gt;&lt;/FQL&gt;&lt;FQL&gt;&lt;Q&gt;AMCR^CS_EVENT_DATEJ_N("ER",4)&lt;/Q&gt;&lt;R&gt;1&lt;/R&gt;&lt;C&gt;1&lt;/C&gt;&lt;D xsi:type="xsd:long"&gt;46427&lt;/D&gt;&lt;/FQL&gt;&lt;FQL&gt;&lt;Q&gt;AMCR^CS_EVENT_TIME_N("ER",4)&lt;/Q&gt;&lt;R&gt;1&lt;/R&gt;&lt;C&gt;1&lt;/C&gt;&lt;D xsi:type="xsd:string"&gt;Unspecified&lt;/D&gt;&lt;/FQL&gt;&lt;FQL&gt;&lt;Q&gt;AMCR^CS_EVENT_DESC_N("ER",4)&lt;/Q&gt;&lt;R&gt;1&lt;/R&gt;&lt;C&gt;1&lt;/C&gt;&lt;D xsi:type="xsd:string"&gt;Q2 2027 Earnings Release (Projected)&lt;/D&gt;&lt;/FQL&gt;&lt;FQL&gt;&lt;Q&gt;EXE^CS_EVENT_DATEJ_N("ER",4)&lt;/Q&gt;&lt;R&gt;1&lt;/R&gt;&lt;C&gt;1&lt;/C&gt;&lt;D xsi:type="xsd:long"&gt;46449&lt;/D&gt;&lt;/FQL&gt;&lt;FQL&gt;&lt;Q&gt;EXE^CS_EVENT_TIME_N("ER",4)&lt;/Q&gt;&lt;R&gt;1&lt;/R&gt;&lt;C&gt;1&lt;/C&gt;&lt;D xsi:type="xsd:string"&gt;Unspecified&lt;/D&gt;&lt;/FQL&gt;&lt;FQL&gt;&lt;Q&gt;EXE^CS_EVENT_DESC_N("ER",4)&lt;/Q&gt;&lt;R&gt;1&lt;/R&gt;&lt;C&gt;1&lt;/C&gt;&lt;D xsi:type="xsd:string"&gt;Q4 2026 Earnings Release (Projected)&lt;/D&gt;&lt;/FQL&gt;&lt;FQL&gt;&lt;Q&gt;MAR^CS_EVENT_DATEJ_N("ER",4)&lt;/Q&gt;&lt;R&gt;1&lt;/R&gt;&lt;C&gt;1&lt;/C&gt;&lt;D xsi:type="xsd:long"&gt;46434&lt;/D&gt;&lt;/FQL&gt;&lt;FQL&gt;&lt;Q&gt;MAR^CS_EVENT_TIME_N("ER",4)&lt;/Q&gt;&lt;R&gt;1&lt;/R&gt;&lt;C&gt;1&lt;/C&gt;&lt;D xsi:type="xsd:string"&gt;Unspecified&lt;/D&gt;&lt;/FQL&gt;&lt;FQL&gt;&lt;Q&gt;MAR^CS_EVENT_DESC_N("ER",4)&lt;/Q&gt;&lt;R&gt;1&lt;/R&gt;&lt;C&gt;1&lt;/C&gt;&lt;D xsi:type="xsd:string"&gt;Q4 2026 Earnings Release (Projected)&lt;/D&gt;&lt;/FQL&gt;&lt;FQL&gt;&lt;Q&gt;VMC^CS_EVENT_DATEJ_N("ER",4)&lt;/Q&gt;&lt;R&gt;1&lt;/R&gt;&lt;C&gt;1&lt;/C&gt;&lt;D xsi:type="xsd:long"&gt;46436&lt;/D&gt;&lt;/FQL&gt;&lt;FQL&gt;&lt;Q&gt;VMC^CS_EVENT_TIME_N("ER",4)&lt;/Q&gt;&lt;R&gt;1&lt;/R&gt;&lt;C&gt;1&lt;/C&gt;&lt;D xsi:type="xsd:string"&gt;Unspecified&lt;/D&gt;&lt;/FQL&gt;&lt;FQL&gt;&lt;Q&gt;VMC^CS_EVENT_DESC_N("ER",4)&lt;/Q&gt;&lt;R&gt;1&lt;/R&gt;&lt;C&gt;1&lt;/C&gt;&lt;D xsi:type="xsd:string"&gt;Q4 2026 Earnings Release (Projected)&lt;/D&gt;&lt;/FQL&gt;&lt;FQL&gt;&lt;Q&gt;TECH^CS_EVENT_DATEJ_N("ER",4)&lt;/Q&gt;&lt;R&gt;1&lt;/R&gt;&lt;C&gt;1&lt;/C&gt;&lt;D xsi:type="xsd:long"&gt;46420&lt;/D&gt;&lt;/FQL&gt;&lt;FQL&gt;&lt;Q&gt;TECH^CS_EVENT_TIME_N("ER",4)&lt;/Q&gt;&lt;R&gt;1&lt;/R&gt;&lt;C&gt;1&lt;/C&gt;&lt;D xsi:type="xsd:string"&gt;Unspecified&lt;/D&gt;&lt;/FQL&gt;&lt;FQL&gt;&lt;Q&gt;TECH^CS_EVENT_DESC_N("ER",4)&lt;/Q&gt;&lt;R&gt;1&lt;/R&gt;&lt;C&gt;1&lt;/C&gt;&lt;D xsi:type="xsd:string"&gt;Q2 2027 Earnings Release (Projected)&lt;/D&gt;&lt;/FQL&gt;&lt;FQL&gt;&lt;Q&gt;QCOM^CS_EVENT_DATEJ_N("ER",4)&lt;/Q&gt;&lt;R&gt;1&lt;/R&gt;&lt;C&gt;1&lt;/C&gt;&lt;D xsi:type="xsd:long"&gt;46421&lt;/D&gt;&lt;/FQL&gt;&lt;FQL&gt;&lt;Q&gt;QCOM^CS_EVENT_TIME_N("ER",4)&lt;/Q&gt;&lt;R&gt;1&lt;/R&gt;&lt;C&gt;1&lt;/C&gt;&lt;D xsi:type="xsd:string"&gt;Unspecified&lt;/D&gt;&lt;/FQL&gt;&lt;FQL&gt;&lt;Q&gt;QCOM^CS_EVENT_DESC_N("ER",4)&lt;/Q&gt;&lt;R&gt;1&lt;/R&gt;&lt;C&gt;1&lt;/C&gt;&lt;D xsi:type="xsd:string"&gt;Q1 2027 Earnings Release (Projected)&lt;/D&gt;&lt;/FQL&gt;&lt;FQL&gt;&lt;Q&gt;ES^CS_EVENT_DATEJ_N("ER",4)&lt;/Q&gt;&lt;R&gt;1&lt;/R&gt;&lt;C&gt;1&lt;/C&gt;&lt;D xsi:type="xsd:long"&gt;46435&lt;/D&gt;&lt;/FQL&gt;&lt;FQL&gt;&lt;Q&gt;ES^CS_EVENT_TIME_N("ER",4)&lt;/Q&gt;&lt;R&gt;1&lt;/R&gt;&lt;C&gt;1&lt;/C&gt;&lt;D xsi:type="xsd:string"&gt;Unspecified&lt;/D&gt;&lt;/FQL&gt;&lt;FQL&gt;&lt;Q&gt;ES^CS_EVENT_DESC_N("ER",4)&lt;/Q&gt;&lt;R&gt;1&lt;/R&gt;&lt;C&gt;1&lt;/C&gt;&lt;D xsi:type="xsd:string"&gt;Q4 2026 Earnings Release (Projected)&lt;/D&gt;&lt;/FQL&gt;&lt;FQL&gt;&lt;Q&gt;FICO^CS_EVENT_DATEJ_N("ER",4)&lt;/Q&gt;&lt;R&gt;1&lt;/R&gt;&lt;C&gt;1&lt;/C&gt;&lt;D xsi:type="xsd:long"&gt;46415&lt;/D&gt;&lt;/FQL&gt;&lt;FQL&gt;&lt;Q&gt;FICO^CS_EVENT_TIME_N("ER",4)&lt;/Q&gt;&lt;R&gt;1&lt;/R&gt;&lt;C&gt;1&lt;/C&gt;&lt;D xsi:type="xsd:string"&gt;Unspecified&lt;/D&gt;&lt;/FQL&gt;&lt;FQL&gt;&lt;Q&gt;FICO^CS_EVENT_DESC_N("ER",4)&lt;/Q&gt;&lt;R&gt;1&lt;/R&gt;&lt;C&gt;1&lt;/C&gt;&lt;D xsi:type="xsd:string"&gt;Q1 2027 Earnings Release (Projected)&lt;/D&gt;&lt;/FQL&gt;&lt;FQL&gt;&lt;Q&gt;BIIB^CS_EVENT_DATEJ_N("ER",4)&lt;/Q&gt;&lt;R&gt;1&lt;/R&gt;&lt;C&gt;1&lt;/C&gt;&lt;D xsi:type="xsd:long"&gt;46435&lt;/D&gt;&lt;/FQL&gt;&lt;FQL&gt;&lt;Q&gt;BIIB^CS_EVENT_TIME_N("ER",4)&lt;/Q&gt;&lt;R&gt;1&lt;/R&gt;&lt;C&gt;1&lt;/C&gt;&lt;D xsi:type="xsd:string"&gt;Unspecified&lt;/D&gt;&lt;/FQL&gt;&lt;FQL&gt;&lt;Q&gt;BIIB^CS_EVENT_DESC_N("ER",4)&lt;/Q&gt;&lt;R&gt;1&lt;/R&gt;&lt;C&gt;1&lt;/C&gt;&lt;D xsi:type="xsd:string"&gt;Q4 2026 Earnings Release (Projected)&lt;/D&gt;&lt;/FQL&gt;&lt;FQL&gt;&lt;Q&gt;O^CS_EVENT_DATEJ_N("ER",4)&lt;/Q&gt;&lt;R&gt;1&lt;/R&gt;&lt;C&gt;1&lt;/C&gt;&lt;D xsi:type="xsd:long"&gt;46441&lt;/D&gt;&lt;/FQL&gt;&lt;FQL&gt;&lt;Q&gt;O^CS_EVENT_TIME_N("ER",4)&lt;/Q&gt;&lt;R&gt;1&lt;/R&gt;&lt;C&gt;1&lt;/C&gt;&lt;D xsi:type="xsd:string"&gt;Unspecified&lt;/D&gt;&lt;/FQL&gt;&lt;FQL&gt;&lt;Q&gt;O^CS_EVENT_DESC_N("ER",4)&lt;/Q&gt;&lt;R&gt;1&lt;/R&gt;&lt;C&gt;1&lt;/C&gt;&lt;D xsi:type="xsd:string"&gt;Q4 2026 Earnings Release (Projected)&lt;/D&gt;&lt;/FQL&gt;&lt;FQL&gt;&lt;Q&gt;TRMB^CS_EVENT_DATEJ_N("ER",4)&lt;/Q&gt;&lt;R&gt;1&lt;/R&gt;&lt;C&gt;1&lt;/C&gt;&lt;D xsi:type="xsd:long"&gt;46428&lt;/D&gt;&lt;/FQL&gt;&lt;FQL&gt;&lt;Q&gt;TRMB^CS_EVENT_TIME_N("ER",4)&lt;/Q&gt;&lt;R&gt;1&lt;/R&gt;&lt;C&gt;1&lt;/C&gt;&lt;D xsi:type="xsd:string"&gt;Unspecified&lt;/D&gt;&lt;/FQL&gt;&lt;FQL&gt;&lt;Q&gt;TRMB^CS_EVENT_DESC_N("ER",4)&lt;/Q&gt;&lt;R&gt;1&lt;/R&gt;&lt;C&gt;1&lt;/C&gt;&lt;D xsi:type="xsd:string"&gt;Q4 2026 Earnings Release (Projected)&lt;/D&gt;&lt;/FQL&gt;&lt;FQL&gt;&lt;Q&gt;ALB^CS_EVENT_DATEJ_N("ER",4)&lt;/Q&gt;&lt;R&gt;1&lt;/R&gt;&lt;C&gt;1&lt;/C&gt;&lt;D xsi:type="xsd:long"&gt;46435&lt;/D&gt;&lt;/FQL&gt;&lt;FQL&gt;&lt;Q&gt;ALB^CS_EVENT_TIME_N("ER",4)&lt;/Q&gt;&lt;R&gt;1&lt;/R&gt;&lt;C&gt;1&lt;/C&gt;&lt;D xsi:type="xsd:string"&gt;Unspecified&lt;/D&gt;&lt;/FQL&gt;&lt;FQL&gt;&lt;Q&gt;ALB^CS_EVENT_DESC_N("ER",4)&lt;/Q&gt;&lt;R&gt;1&lt;/R&gt;&lt;C&gt;1&lt;/C&gt;&lt;D xsi:type="xsd:string"&gt;Q4 2026 Earnings Release (Projected)&lt;/D&gt;&lt;/FQL&gt;&lt;FQL&gt;&lt;Q&gt;YUM^CS_EVENT_DATEJ_N("ER",4)&lt;/Q&gt;&lt;R&gt;1&lt;/R&gt;&lt;C&gt;1&lt;/C&gt;&lt;D xsi:type="xsd:long"&gt;46428&lt;/D&gt;&lt;/FQL&gt;&lt;FQL&gt;&lt;Q&gt;YUM^CS_EVENT_TIME_N("ER",4)&lt;/Q&gt;&lt;R&gt;1&lt;/R&gt;&lt;C&gt;1&lt;/C&gt;&lt;D xsi:type="xsd:string"&gt;Unspecified&lt;/D&gt;&lt;/FQL&gt;&lt;FQL&gt;&lt;Q&gt;YUM^CS_EVENT_DESC_N("ER",4)&lt;/Q&gt;&lt;R&gt;1&lt;/R&gt;&lt;C&gt;1&lt;/C&gt;&lt;D xsi:type="xsd:string"&gt;Q4 2026 Earnings Release (Projected)&lt;/D&gt;&lt;/FQL&gt;&lt;FQL&gt;&lt;Q&gt;TT^CS_EVENT_DATEJ_N("ER",4)&lt;/Q&gt;&lt;R&gt;0&lt;/R&gt;&lt;C&gt;0&lt;/C&gt;&lt;/FQL&gt;&lt;FQL&gt;&lt;Q&gt;TT^CS_EVENT_TIME_N("ER",4)&lt;/Q&gt;&lt;R&gt;0&lt;/R&gt;&lt;C&gt;0&lt;/C&gt;&lt;/FQL&gt;&lt;FQL&gt;&lt;Q&gt;TT^CS_EVENT_DESC_N("ER",4)&lt;/Q&gt;&lt;R&gt;0&lt;/R&gt;&lt;C&gt;0&lt;/C&gt;&lt;/FQL&gt;&lt;FQL&gt;&lt;Q&gt;HST^CS_EVENT_DATEJ_N("ER",4)&lt;/Q&gt;&lt;R&gt;1&lt;/R&gt;&lt;C&gt;1&lt;/C&gt;&lt;D xsi:type="xsd:long"&gt;46442&lt;/D&gt;&lt;/FQL&gt;&lt;FQL&gt;&lt;Q&gt;HST^CS_EVENT_TIME_N("ER",4)&lt;/Q&gt;&lt;R&gt;1&lt;/R&gt;&lt;C&gt;1&lt;/C&gt;&lt;D xsi:type="xsd:string"&gt;Unspecified&lt;/D&gt;&lt;/FQL&gt;&lt;FQL&gt;&lt;Q&gt;HST^CS_EVENT_DESC_N("ER",4)&lt;/Q&gt;&lt;R&gt;1&lt;/R&gt;&lt;C&gt;1&lt;/C&gt;&lt;D xsi:type="xsd:string"&gt;Q4 2026 Earnings Release (Projected)&lt;/D&gt;&lt;/FQL&gt;&lt;FQL&gt;&lt;Q&gt;CTSH^CS_EVENT_DATEJ_N("ER",4)&lt;/Q&gt;&lt;R&gt;1&lt;/R&gt;&lt;C&gt;1&lt;/C&gt;&lt;D xsi:type="xsd:long"&gt;46428&lt;/D&gt;&lt;/FQL&gt;&lt;FQL&gt;&lt;Q&gt;CTSH^CS_EVENT_TIME_N("ER",4)&lt;/Q&gt;&lt;R&gt;1&lt;/R&gt;&lt;C&gt;1&lt;/C&gt;&lt;D xsi:type="xsd:string"&gt;Unspecified&lt;/D&gt;&lt;/FQL&gt;&lt;FQL&gt;&lt;Q&gt;CTSH^CS_EVENT_DESC_N("ER",4)&lt;/Q&gt;&lt;R&gt;1&lt;/R&gt;&lt;C&gt;1&lt;/C&gt;&lt;D xsi:type="xsd:string"&gt;Q4 2026 Earnings Release (Projected)&lt;/D&gt;&lt;/FQL&gt;&lt;FQL&gt;&lt;Q&gt;AEP^CS_EVENT_DATEJ_N("ER",4)&lt;/Q&gt;&lt;R&gt;1&lt;/R&gt;&lt;C&gt;1&lt;/C&gt;&lt;D xsi:type="xsd:long"&gt;46443&lt;/D&gt;&lt;/FQL&gt;&lt;FQL&gt;&lt;Q&gt;AEP^CS_EVENT_TIME_N("ER",4)&lt;/Q&gt;&lt;R&gt;1&lt;/R&gt;&lt;C&gt;1&lt;/C&gt;&lt;D xsi:type="xsd:string"&gt;Unspecified&lt;/D&gt;&lt;/FQL&gt;&lt;FQL&gt;&lt;Q&gt;AEP^CS_EVENT_DESC_N("ER",4)&lt;/Q&gt;&lt;R&gt;1&lt;/R&gt;&lt;C&gt;1&lt;/C&gt;&lt;D xsi:type="xsd:string"&gt;Q4 2026 Earnings Release (Projected)&lt;/D&gt;&lt;/FQL&gt;&lt;FQL&gt;&lt;Q&gt;SYK^CS_EVENT_DATEJ_N("ER",4)&lt;/Q&gt;&lt;R&gt;1&lt;/R&gt;&lt;C&gt;1&lt;/C&gt;&lt;D xsi:type="xsd:long"&gt;46420&lt;/D&gt;&lt;/FQL&gt;&lt;FQL&gt;&lt;Q&gt;SYK^CS_EVENT_TIME_N("ER",4)&lt;/Q&gt;&lt;R&gt;1&lt;/R&gt;&lt;C&gt;1&lt;/C&gt;&lt;D xsi:type="xsd:string"&gt;Unspecified&lt;/D&gt;&lt;/FQL&gt;&lt;FQL&gt;&lt;Q&gt;SYK^CS_EVENT_DESC_N("ER",4)&lt;/Q&gt;&lt;R&gt;1&lt;/R&gt;&lt;C&gt;1&lt;/C&gt;&lt;D xsi:type="xsd:string"&gt;Q4 2026 Earnings Release (Projected)&lt;/D&gt;&lt;/FQL&gt;&lt;FQL&gt;&lt;Q&gt;GL^CS_EVENT_DATEJ_N("ER",4)&lt;/Q&gt;&lt;R&gt;1&lt;/R&gt;&lt;C&gt;1&lt;/C&gt;&lt;D xsi:type="xsd:long"&gt;46428&lt;/D&gt;&lt;/FQL&gt;&lt;FQL&gt;&lt;Q&gt;GL^CS_EVENT_TIME_N("ER",4)&lt;/Q&gt;&lt;R&gt;1&lt;/R&gt;&lt;C&gt;1&lt;/C&gt;&lt;D xsi:type="xsd:string"&gt;Unspecified&lt;/D&gt;&lt;/FQL&gt;&lt;FQL&gt;&lt;Q&gt;GL^CS_EVENT_DESC_N("ER",4)&lt;/Q&gt;&lt;R&gt;1&lt;/R&gt;&lt;C&gt;1&lt;/C&gt;&lt;D xsi:type="xsd:string"&gt;Q4 2026 Earnings Release (Projected)&lt;/D&gt;&lt;/FQL&gt;&lt;FQL&gt;&lt;Q&gt;EBAY^CS_EVENT_DATEJ_N("ER",4)&lt;/Q&gt;&lt;R&gt;1&lt;/R&gt;&lt;C&gt;1&lt;/C&gt;&lt;D xsi:type="xsd:long"&gt;46442&lt;/D&gt;&lt;/FQL&gt;&lt;FQL&gt;&lt;Q&gt;EBAY^CS_EVENT_TIME_N("ER",4)&lt;/Q&gt;&lt;R&gt;1&lt;/R&gt;&lt;C&gt;1&lt;/C&gt;&lt;D xsi:type="xsd:string"&gt;Unspecified&lt;/D&gt;&lt;/FQL&gt;&lt;FQL&gt;&lt;Q&gt;EBAY^CS_EVENT_DESC_N("ER",4)&lt;/Q&gt;&lt;R&gt;1&lt;/R&gt;&lt;C&gt;1&lt;/C&gt;&lt;D xsi:type="xsd:string"&gt;Q4 2026 Earnings Release (Projected)&lt;/D&gt;&lt;/FQL&gt;&lt;FQL&gt;&lt;Q&gt;EMR^CS_EVENT_DATEJ_N("ER",4)&lt;/Q&gt;&lt;R&gt;1&lt;/R&gt;&lt;C&gt;1&lt;/C&gt;&lt;D xsi:type="xsd:long"&gt;46428&lt;/D&gt;&lt;/FQL&gt;&lt;FQL&gt;&lt;Q&gt;EMR^CS_EVENT_TIME_N("ER",4)&lt;/Q&gt;&lt;R&gt;1&lt;/R&gt;&lt;C&gt;1&lt;/C&gt;&lt;D xsi:type="xsd:string"&gt;Unspecified&lt;/D&gt;&lt;/FQL&gt;&lt;FQL&gt;&lt;Q&gt;EMR^CS_EVENT_DESC_N("ER",4)&lt;/Q&gt;&lt;R&gt;1&lt;/R&gt;&lt;C&gt;1&lt;/C&gt;&lt;D xsi:type="xsd:string"&gt;Q1 2027 Earnings Release (Projected)&lt;/D&gt;&lt;/FQL&gt;&lt;FQL&gt;&lt;Q&gt;COR^CS_EVENT_DATEJ_N("ER",4)&lt;/Q&gt;&lt;R&gt;1&lt;/R&gt;&lt;C&gt;1&lt;/C&gt;&lt;D xsi:type="xsd:long"&gt;46421&lt;/D&gt;&lt;/FQL&gt;&lt;FQL&gt;&lt;Q&gt;COR^CS_EVENT_TIME_N("ER",4)&lt;/Q&gt;&lt;R&gt;1&lt;/R&gt;&lt;C&gt;1&lt;/C&gt;&lt;D xsi:type="xsd:string"&gt;Unspecified&lt;/D&gt;&lt;/FQL&gt;&lt;FQL&gt;&lt;Q&gt;COR^CS_EVENT_DESC_N("ER",4)&lt;/Q&gt;&lt;R&gt;1&lt;/R&gt;&lt;C&gt;1&lt;/C&gt;&lt;D xsi:type="xsd:string"&gt;Q1 2027 Earnings Release (Projected)&lt;/D&gt;&lt;/FQL&gt;&lt;FQL&gt;&lt;Q&gt;SLB^CS_EVENT_DESC_N("ER",4)&lt;/Q&gt;&lt;R&gt;1&lt;/R&gt;&lt;C&gt;1&lt;/C&gt;&lt;D xsi:type="xsd:string"&gt;Q4 2026 Earnings Release (Projected)&lt;/D&gt;&lt;/FQL&gt;&lt;FQL&gt;&lt;Q&gt;HCA^CS_EVENT_DESC_N("ER",4)&lt;/Q&gt;&lt;R&gt;1&lt;/R&gt;&lt;C&gt;1&lt;/C&gt;&lt;D xsi:type="xsd:string"&gt;Q4 2026 Earnings Release (Projected)&lt;/D&gt;&lt;/FQL&gt;&lt;FQL&gt;&lt;Q&gt;CHTR^CS_EVENT_DESC_N("ER",4)&lt;/Q&gt;&lt;R&gt;1&lt;/R&gt;&lt;C&gt;1&lt;/C&gt;&lt;D xsi:type="xsd:string"&gt;Q4 2026 Earnings Release (Projected)&lt;/D&gt;&lt;/FQL&gt;&lt;FQL&gt;&lt;Q&gt;LYB^CS_EVENT_DESC_N("ER",4)&lt;/Q&gt;&lt;R&gt;1&lt;/R&gt;&lt;C&gt;1&lt;/C&gt;&lt;D xsi:type="xsd:string"&gt;Q4 2026 Earnings Release (Projected)&lt;/D&gt;&lt;/FQL&gt;&lt;FQL&gt;&lt;Q&gt;ARES^CS_EVENT_DESC_N("ER",4)&lt;/Q&gt;&lt;R&gt;0&lt;/R&gt;&lt;C&gt;0&lt;/C&gt;&lt;/FQL&gt;&lt;FQL&gt;&lt;Q&gt;UHS^CS_EVENT_DESC_N("ER",4)&lt;/Q&gt;&lt;R&gt;1&lt;/R&gt;&lt;C&gt;1&lt;/C&gt;&lt;D xsi:type="xsd:string"&gt;Q4 2026 Earnings Release (Projected)&lt;/D&gt;&lt;/FQL&gt;&lt;FQL&gt;&lt;Q&gt;ARE^CS_EVENT_DESC_N("ER",4)&lt;/Q&gt;&lt;R&gt;1&lt;/R&gt;&lt;C&gt;1&lt;/C&gt;&lt;D xsi:type="xsd:string"&gt;Q4 2026 Earnings Release (Projected)&lt;/D&gt;&lt;/FQL&gt;&lt;FQL&gt;&lt;Q&gt;VZ^CS_EVENT_DESC_N("ER",4)&lt;/Q&gt;&lt;R&gt;1&lt;/R&gt;&lt;C&gt;1&lt;/C&gt;&lt;D xsi:type="xsd:string"&gt;Q4 2026 Earnings Release (Projected)&lt;/D&gt;&lt;/FQL&gt;&lt;FQL&gt;&lt;Q&gt;BRO^CS_EVENT_DESC_N("ER",4)&lt;/Q&gt;&lt;R&gt;1&lt;/R&gt;&lt;C&gt;1&lt;/C&gt;&lt;D xsi:type="xsd:string"&gt;Q4 2026 Earnings Release (Projected)&lt;/D&gt;&lt;/FQL&gt;&lt;FQL&gt;&lt;Q&gt;CDNS^CS_EVENT_DESC_N("ER",4)&lt;/Q&gt;&lt;R&gt;1&lt;/R&gt;&lt;C&gt;1&lt;/C&gt;&lt;D xsi:type="xsd:string"&gt;Q4 2026 Earnings Release (Projected)&lt;/D&gt;&lt;/FQL&gt;&lt;FQL&gt;&lt;Q&gt;NUE^CS_EVENT_DESC_N("ER",4)&lt;/Q&gt;&lt;R&gt;1&lt;/R&gt;&lt;C&gt;1&lt;/C&gt;&lt;D xsi:type="xsd:string"&gt;Q4 2026 Earnings Release (Projected)&lt;/D&gt;&lt;/FQL&gt;&lt;FQL&gt;&lt;Q&gt;LII^CS_EVENT_DESC_N("ER",4)&lt;/Q&gt;&lt;R&gt;1&lt;/R&gt;&lt;C&gt;1&lt;/C&gt;&lt;D xsi:type="xsd:string"&gt;Q4 2026 Earnings Release (Projected)&lt;/D&gt;&lt;/FQL&gt;&lt;FQL&gt;&lt;Q&gt;DPZ^CS_EVENT_DESC_N("ER",4)&lt;/Q&gt;&lt;R&gt;1&lt;/R&gt;&lt;C&gt;1&lt;/C&gt;&lt;D xsi:type="xsd:string"&gt;Q4 2026 Earnings Release (Projected)&lt;/D&gt;&lt;/FQL&gt;&lt;FQL&gt;&lt;Q&gt;MSFT^CS_EVENT_DESC_N("ER",4)&lt;/Q&gt;&lt;R&gt;1&lt;/R&gt;&lt;C&gt;1&lt;/C&gt;&lt;D xsi:type="xsd:string"&gt;Q2 2027 Earnings Release (Projected)&lt;/D&gt;&lt;/FQL&gt;&lt;FQL&gt;&lt;Q&gt;CDW^CS_EVENT_TIME_N("ER",3)&lt;/Q&gt;&lt;R&gt;1&lt;/R&gt;&lt;C&gt;1&lt;/C&gt;&lt;D xsi:type="xsd:string"&gt;Unspecified&lt;/D&gt;&lt;/FQL&gt;&lt;FQL&gt;&lt;Q&gt;AWK^CS_EVENT_TIME_N("ER",3)&lt;/Q&gt;&lt;R&gt;1&lt;/R&gt;&lt;C&gt;1&lt;/C&gt;&lt;D xsi:type="xsd:string"&gt;Unspecified&lt;/D&gt;&lt;/FQL&gt;&lt;FQL&gt;&lt;Q&gt;LYB^CS_EVENT_DATEJ_N("ER",4)&lt;/Q&gt;&lt;R&gt;1&lt;/R&gt;&lt;C&gt;1&lt;/C&gt;&lt;D xsi:type="xsd:long"&gt;46416&lt;/D&gt;&lt;/FQL&gt;&lt;FQL&gt;&lt;Q&gt;LYB^CS_EVENT_TIME_N("ER",4)&lt;/Q&gt;&lt;R&gt;1&lt;/R&gt;&lt;C&gt;1&lt;/C&gt;&lt;D xsi:type="xsd:string"&gt;Unspecified&lt;/D&gt;&lt;/FQL&gt;&lt;FQL&gt;&lt;Q&gt;ARES^CS_EVENT_DATEJ_N("ER",4)&lt;/Q&gt;&lt;R&gt;0&lt;/R&gt;&lt;C&gt;0&lt;/C&gt;&lt;/FQL&gt;&lt;FQL&gt;&lt;Q&gt;ARES^CS_EVENT_TIME_N("ER",4)&lt;/Q&gt;&lt;R&gt;0&lt;/R&gt;&lt;C&gt;0&lt;/C&gt;&lt;/FQL&gt;&lt;FQL&gt;&lt;Q&gt;UHS^CS_EVENT_DATEJ_N("ER",4)&lt;/Q&gt;&lt;R&gt;1&lt;/R&gt;&lt;C&gt;1&lt;/C&gt;&lt;D xsi:type="xsd:long"&gt;46449&lt;/D&gt;&lt;/FQL&gt;&lt;FQL&gt;&lt;Q&gt;UHS^CS_EVENT_TIME_N("ER",4)&lt;/Q&gt;&lt;R&gt;1&lt;/R&gt;&lt;C&gt;1&lt;/C&gt;&lt;D xsi:type="xsd:string"&gt;Unspecified&lt;/D&gt;&lt;/FQL&gt;&lt;FQL&gt;&lt;Q&gt;ARE^CS_EVENT_DATEJ_N("ER",4)&lt;/Q&gt;&lt;R&gt;1&lt;/R&gt;&lt;C&gt;1&lt;/C&gt;&lt;D xsi:type="xsd:long"&gt;46419&lt;/D&gt;&lt;/FQL&gt;&lt;FQL&gt;&lt;Q&gt;ARE^CS_EVENT_TIME_N("ER",4)&lt;/Q&gt;&lt;R&gt;1&lt;/R&gt;&lt;C&gt;1&lt;/C&gt;&lt;D xsi:type="xsd:string"&gt;Unspecified&lt;/D&gt;&lt;/FQL&gt;&lt;FQL&gt;&lt;Q&gt;VZ^CS_EVENT_DATEJ_N("ER",4)&lt;/Q&gt;&lt;R&gt;1&lt;/R&gt;&lt;C&gt;1&lt;/C&gt;&lt;D xsi:type="xsd:long"&gt;46413&lt;/D&gt;&lt;/FQL&gt;&lt;FQL&gt;&lt;Q&gt;VZ^CS_EVENT_TIME_N("ER",4)&lt;/Q&gt;&lt;R&gt;1&lt;/R&gt;&lt;C&gt;1&lt;/C&gt;&lt;D xsi:type="xsd:string"&gt;Unspecified&lt;/D&gt;&lt;/FQL&gt;&lt;FQL&gt;&lt;Q&gt;BRO^CS_EVENT_DATEJ_N("ER",4)&lt;/Q&gt;&lt;R&gt;1&lt;/R&gt;&lt;C&gt;1&lt;/C&gt;&lt;D xsi:type="xsd:long"&gt;46412&lt;/D&gt;&lt;/FQL&gt;&lt;FQL&gt;&lt;Q&gt;BRO^CS_EVENT_TIME_N("ER",4)&lt;/Q&gt;&lt;R&gt;1&lt;/R&gt;&lt;C&gt;1&lt;/C&gt;&lt;D xsi:type="xsd:string"&gt;Unspecified&lt;/D&gt;&lt;/FQL&gt;&lt;FQL&gt;&lt;Q&gt;CDNS^CS_EVENT_DATEJ_N("ER",4)&lt;/Q&gt;&lt;R&gt;1&lt;/R&gt;&lt;C&gt;1&lt;/C&gt;&lt;D xsi:type="xsd:long"&gt;46441&lt;/D&gt;&lt;/FQL&gt;&lt;FQL&gt;&lt;Q&gt;CDNS^CS_EVENT_TIME_N("ER",4)&lt;/Q&gt;&lt;R&gt;1&lt;/R&gt;&lt;C&gt;1&lt;/C&gt;&lt;D xsi:type="xsd:string"&gt;Unspecified&lt;/D&gt;&lt;/FQL&gt;&lt;FQL&gt;&lt;Q&gt;NUE^CS_EVENT_DATEJ_N("ER",4)&lt;/Q&gt;&lt;R&gt;1&lt;/R&gt;&lt;C&gt;1&lt;/C&gt;&lt;D xsi:type="xsd:long"&gt;46419&lt;/D&gt;&lt;/FQL&gt;&lt;FQL&gt;&lt;Q&gt;NUE^CS_EVENT_TIME_N("ER",4)&lt;/Q&gt;&lt;R&gt;1&lt;/R&gt;&lt;C&gt;1&lt;/C&gt;&lt;D xsi:type="xsd:string"&gt;Unspecified&lt;/D&gt;&lt;/FQL&gt;&lt;FQL&gt;&lt;Q&gt;LII^CS_EVENT_DATEJ_N("ER",4)&lt;/Q&gt;&lt;R&gt;1&lt;/R&gt;&lt;C&gt;1&lt;/C&gt;&lt;D xsi:type="xsd:long"&gt;46420&lt;/D&gt;&lt;/FQL&gt;&lt;FQL&gt;&lt;Q&gt;LII^CS_EVENT_TIME_N("ER",4)&lt;/Q&gt;&lt;R&gt;1&lt;/R&gt;&lt;C&gt;1&lt;/C&gt;&lt;D xsi:type="xsd:string"&gt;Unspecified&lt;/D&gt;&lt;/FQL&gt;&lt;FQL&gt;&lt;Q&gt;DPZ^CS_EVENT_DATEJ_N("ER",4)&lt;/Q&gt;&lt;R&gt;1&lt;/R&gt;&lt;C&gt;1&lt;/C&gt;&lt;D xsi:type="xsd:long"&gt;46447&lt;/D&gt;&lt;/FQL&gt;&lt;FQL&gt;&lt;Q&gt;DPZ^CS_EVENT_TIME_N("ER",4)&lt;/Q&gt;&lt;R&gt;1&lt;/R&gt;&lt;C&gt;1&lt;/C&gt;&lt;D xsi:type="xsd:string"&gt;Unspecified&lt;/D&gt;&lt;/FQL&gt;&lt;FQL&gt;&lt;Q&gt;MSFT^CS_EVENT_DATEJ_N("ER",4)&lt;/Q&gt;&lt;R&gt;1&lt;/R&gt;&lt;C&gt;1&lt;/C&gt;&lt;D xsi:type="xsd:long"&gt;46413&lt;/D&gt;&lt;/FQL&gt;&lt;FQL&gt;&lt;Q&gt;MSFT^CS_EVENT_TIME_N("ER",4)&lt;/Q&gt;&lt;R&gt;1&lt;/R&gt;&lt;C&gt;1&lt;/C&gt;&lt;D xsi:type="xsd:string"&gt;Unspecified&lt;/D&gt;&lt;/FQL&gt;&lt;FQL&gt;&lt;Q&gt;XEL^CS_EVENT_DATEJ_N("ER",4)&lt;/Q&gt;&lt;R&gt;0&lt;/R&gt;&lt;C&gt;0&lt;/C&gt;&lt;/FQL&gt;&lt;FQL&gt;&lt;Q&gt;XEL^CS_EVENT_TIME_N("ER",4)&lt;/Q&gt;&lt;R&gt;0&lt;/R&gt;&lt;C&gt;0&lt;/C&gt;&lt;/FQL&gt;&lt;FQL&gt;&lt;Q&gt;XEL^CS_EVENT_DESC_N("ER",4)&lt;/Q&gt;&lt;R&gt;0&lt;/R&gt;&lt;C&gt;0&lt;/C&gt;&lt;/FQL&gt;&lt;FQL&gt;&lt;Q&gt;CMS^CS_EVENT_DATEJ_N("ER",4)&lt;/Q&gt;&lt;R&gt;1&lt;/R&gt;&lt;C&gt;1&lt;/C&gt;&lt;D xsi:type="xsd:long"&gt;46422&lt;/D&gt;&lt;/FQL&gt;&lt;FQL&gt;&lt;Q&gt;CMS^CS_EVENT_TIME_N("ER",4)&lt;/Q&gt;&lt;R&gt;1&lt;/R&gt;&lt;C&gt;1&lt;/C&gt;&lt;D xsi:type="xsd:string"&gt;Unspecified&lt;/D&gt;&lt;/FQL&gt;&lt;FQL&gt;&lt;Q&gt;CMS^CS_EVENT_DESC_N("ER",4)&lt;/Q&gt;&lt;R&gt;1&lt;/R&gt;&lt;C&gt;1&lt;/C&gt;&lt;D xsi:type="xsd:string"&gt;Q4 2026 Earnings Release (Projected)&lt;/D&gt;&lt;/FQL&gt;&lt;FQL&gt;&lt;Q&gt;MA^CS_EVENT_DATEJ_N("ER",4)&lt;/Q&gt;&lt;R&gt;1&lt;/R&gt;&lt;C&gt;1&lt;/C&gt;&lt;D xsi:type="xsd:long"&gt;46415&lt;/D&gt;&lt;/FQL&gt;&lt;FQL&gt;&lt;Q&gt;MA^CS_EVENT_TIME_N("ER",4)&lt;/Q&gt;&lt;R&gt;1&lt;/R&gt;&lt;C&gt;1&lt;/C&gt;&lt;D xsi:type="xsd:string"&gt;Unspecified&lt;/D&gt;&lt;/FQL&gt;&lt;FQL&gt;&lt;Q&gt;MA^CS_EVENT_DESC_N("ER",4)&lt;/Q&gt;&lt;R&gt;1&lt;/R&gt;&lt;C&gt;1&lt;/C&gt;&lt;D xsi:type="xsd:string"&gt;Q4 2026 Earnings Release (Projected)&lt;/D&gt;&lt;/FQL&gt;&lt;FQL&gt;&lt;Q&gt;DXCM^CS_EVENT_DATEJ_N("ER",4)&lt;/Q&gt;&lt;R&gt;1&lt;/R&gt;&lt;C&gt;1&lt;/C&gt;&lt;D xsi:type="xsd:long"&gt;46429&lt;/D&gt;&lt;/FQL&gt;&lt;FQL&gt;&lt;Q&gt;DXCM^CS_EVENT_TIME_N("ER",4)&lt;/Q&gt;&lt;R&gt;1&lt;/R&gt;&lt;C&gt;1&lt;/C&gt;&lt;D xsi:type="xsd:string"&gt;Unspecified&lt;/D&gt;&lt;/FQL&gt;&lt;FQL&gt;&lt;Q&gt;DXCM^CS_EVENT_DESC_N("ER",4)&lt;/Q&gt;&lt;R&gt;1&lt;/R&gt;&lt;C&gt;1&lt;/C&gt;&lt;D xsi:type="xsd:string"&gt;Q4 2026 Earnings Release (Projected)&lt;/D&gt;&lt;/FQL&gt;&lt;FQL&gt;&lt;Q&gt;ALLE^CS_EVENT_DATEJ_N("ER",4)&lt;/Q&gt;&lt;R&gt;1&lt;/R&gt;&lt;C&gt;1&lt;/C&gt;&lt;D xsi:type="xsd:long"&gt;46441&lt;/D&gt;&lt;/FQL&gt;&lt;FQL&gt;&lt;Q&gt;ALLE^CS_EVENT_TIME_N("ER",4)&lt;/Q&gt;&lt;R&gt;1&lt;/R&gt;&lt;C&gt;1&lt;/C&gt;&lt;D xsi:type="xsd:string"&gt;Unspecified&lt;/D&gt;&lt;/FQL&gt;&lt;FQL&gt;&lt;Q&gt;ALLE^CS_EVENT_DESC_N("ER",4)&lt;/Q&gt;&lt;R&gt;1&lt;/R&gt;&lt;C&gt;1&lt;/C&gt;&lt;D xsi:type="xsd:string"&gt;Q4 2026 Earnings Release (Projected)&lt;/D&gt;&lt;/FQL&gt;&lt;FQL&gt;&lt;Q&gt;DLR^CS_EVENT_DATEJ_N("ER",4)&lt;/Q&gt;&lt;R&gt;1&lt;/R&gt;&lt;C&gt;1&lt;/C&gt;&lt;D xsi:type="xsd:long"&gt;46506&lt;/D&gt;&lt;/FQL&gt;&lt;FQL&gt;&lt;Q&gt;DLR^CS_EVENT_TIME_N("ER",4)&lt;/Q&gt;&lt;R&gt;1&lt;/R&gt;&lt;C&gt;1&lt;/C&gt;&lt;D xsi:type="xsd:string"&gt;Unspecified&lt;/D&gt;&lt;/FQL&gt;&lt;FQL&gt;&lt;Q&gt;DLR^CS_EVENT_DESC_N("ER",4)&lt;/Q&gt;&lt;R&gt;1&lt;/R&gt;&lt;C&gt;1&lt;/C&gt;&lt;D xsi:type="xsd:string"&gt;Q1 2027 Earnings Release (Projected)&lt;/D&gt;&lt;/FQL&gt;&lt;FQL&gt;&lt;Q&gt;KDP^CS_EVENT_DATEJ_N("ER",4)&lt;/Q&gt;&lt;R&gt;1&lt;/R&gt;&lt;C&gt;1&lt;/C&gt;&lt;D xsi:type="xsd:long"&gt;46443&lt;/D&gt;&lt;/FQL&gt;&lt;FQL&gt;&lt;Q&gt;KDP^CS_EVENT_TIME_N("ER",4)&lt;/Q&gt;&lt;R&gt;1&lt;/R&gt;&lt;C&gt;1&lt;/C&gt;&lt;D xsi:type="xsd:string"&gt;Unspecified&lt;/D&gt;&lt;/FQL&gt;&lt;FQL&gt;&lt;Q&gt;KDP^CS_EVENT_DESC_N("ER",4)&lt;/Q&gt;&lt;R&gt;1&lt;/R&gt;&lt;C&gt;1&lt;/C&gt;&lt;D xsi:type="xsd:string"&gt;Q4 2026 Earnings Release (Projected)&lt;/D&gt;&lt;/FQL&gt;&lt;FQL&gt;&lt;Q&gt;BKR^CS_EVENT_DATEJ_N("ER",4)&lt;/Q&gt;&lt;R&gt;1&lt;/R&gt;&lt;C&gt;1&lt;/C&gt;&lt;D xsi:type="xsd:long"&gt;46414&lt;/D&gt;&lt;/FQL&gt;&lt;FQL&gt;&lt;Q&gt;BKR^CS_EVENT_TIME_N("ER",4)&lt;/Q&gt;&lt;R&gt;1&lt;/R&gt;&lt;C&gt;1&lt;/C&gt;&lt;D xsi:type="xsd:string"&gt;Unspecified&lt;/D&gt;&lt;/FQL&gt;&lt;FQL&gt;&lt;Q&gt;BKR^CS_EVENT_DESC_N("ER",4)&lt;/Q&gt;&lt;R&gt;1&lt;/R&gt;&lt;C&gt;1&lt;/C&gt;&lt;D xsi:type="xsd:string"&gt;Q4 2026 Earnings Release (Projected)&lt;/D&gt;&lt;/FQL&gt;&lt;FQL&gt;&lt;Q&gt;CMCSA^CS_EVENT_DATEJ_N("ER",4)&lt;/Q&gt;&lt;R&gt;1&lt;/R&gt;&lt;C&gt;1&lt;/C&gt;&lt;D xsi:type="xsd:long"&gt;46506&lt;/D&gt;&lt;/FQL&gt;&lt;FQL&gt;&lt;Q&gt;CMCSA^CS_EVENT_TIME_N("ER",4)&lt;/Q&gt;&lt;R&gt;1&lt;/R&gt;&lt;C&gt;1&lt;/C&gt;&lt;D xsi:type="xsd:string"&gt;Unspecified&lt;/D&gt;&lt;/FQL&gt;&lt;FQL&gt;&lt;Q&gt;CMCSA^CS_EVENT_DESC_N("ER",4)&lt;/Q&gt;&lt;R&gt;1&lt;/R&gt;&lt;C&gt;1&lt;/C&gt;&lt;D xsi:type="xsd:string"&gt;Q1 2027 Earnings Release (Projected)&lt;/D&gt;&lt;/FQL&gt;&lt;FQL&gt;&lt;Q&gt;CBRE^CS_EVENT_DATEJ_N("ER",4)&lt;/Q&gt;&lt;R&gt;1&lt;/R&gt;&lt;C&gt;1&lt;/C&gt;&lt;D xsi:type="xsd:long"&gt;46443&lt;/D&gt;&lt;/FQL&gt;&lt;FQL&gt;&lt;Q&gt;CBRE^CS_EVENT_TIME_N("ER",4)&lt;/Q&gt;&lt;R&gt;1&lt;/R&gt;&lt;C&gt;1&lt;/C&gt;&lt;D xsi:type="xsd:string"&gt;Unspecified&lt;/D&gt;&lt;/FQL&gt;&lt;FQL&gt;&lt;Q&gt;CBRE^CS_EVENT_DESC_N("ER",4)&lt;/Q&gt;&lt;R&gt;1&lt;/R&gt;&lt;C&gt;1&lt;/C&gt;&lt;D xsi:type="xsd:string"&gt;Q4 2026 Earnings Release (Projected)&lt;/D&gt;&lt;/FQL&gt;&lt;FQL&gt;&lt;Q&gt;DOC^CS_EVENT_DATEJ_N("ER",4)&lt;/Q&gt;&lt;R&gt;1&lt;/R&gt;&lt;C&gt;1&lt;/C&gt;&lt;D xsi:type="xsd:long"&gt;46426&lt;/D&gt;&lt;/FQL&gt;&lt;FQL&gt;&lt;Q&gt;DOC^CS_EVENT_TIME_N("ER",4)&lt;/Q&gt;&lt;R&gt;1&lt;/R&gt;&lt;C&gt;1&lt;/C&gt;&lt;D xsi:type="xsd:string"&gt;Unspecified&lt;/D&gt;&lt;/FQL&gt;&lt;FQL&gt;&lt;Q&gt;DOC^CS_EVENT_DESC_N("ER",4)&lt;/Q&gt;&lt;R&gt;1&lt;/R&gt;&lt;C&gt;1&lt;/C&gt;&lt;D xsi:type="xsd:string"&gt;Q4 2026 Earnings Release (Projected)&lt;/D&gt;&lt;/FQL&gt;&lt;FQL&gt;&lt;Q&gt;AMP^CS_EVENT_DATEJ_N("ER",4)&lt;/Q&gt;&lt;R&gt;1&lt;/R&gt;&lt;C&gt;1&lt;/C&gt;&lt;D xsi:type="xsd:long"&gt;46414&lt;/D&gt;&lt;/FQL&gt;&lt;FQL&gt;&lt;Q&gt;AMP^CS_EVENT_TIME_N("ER",4)&lt;/Q&gt;&lt;R&gt;1&lt;/R&gt;&lt;C&gt;1&lt;/C&gt;&lt;D xsi:type="xsd:string"&gt;Unspecified&lt;/D&gt;&lt;/FQL&gt;&lt;FQL&gt;&lt;Q&gt;AMP^CS_EVENT_DESC_N("ER",4)&lt;/Q&gt;&lt;R&gt;1&lt;/R&gt;&lt;C&gt;1&lt;/C&gt;&lt;D xsi:type="xsd:string"&gt;Q4 2026 Earnings Release (Projected)&lt;/D&gt;&lt;/FQL&gt;&lt;FQL&gt;&lt;Q&gt;FSLR^CS_EVENT_DATEJ_N("ER",4)&lt;/Q&gt;&lt;R&gt;1&lt;/R&gt;&lt;C&gt;1&lt;/C&gt;&lt;D xsi:type="xsd:long"&gt;46448&lt;/D&gt;&lt;/FQL&gt;&lt;FQL&gt;&lt;Q&gt;FSLR^CS_EVENT_TIME_N("ER",4)&lt;/Q&gt;&lt;R&gt;1&lt;/R&gt;&lt;C&gt;1&lt;/C&gt;&lt;D xsi:type="xsd:string"&gt;Unspecified&lt;/D&gt;&lt;/FQL&gt;&lt;FQL&gt;&lt;Q&gt;FSLR^CS_EVENT_DESC_N("ER",4)&lt;/Q&gt;&lt;R&gt;1&lt;/R&gt;&lt;C&gt;1&lt;/C&gt;&lt;D xsi:type="xsd:string"&gt;Q4 2026 Earnings Release (Projected)&lt;/D&gt;&lt;/FQL&gt;&lt;FQL&gt;&lt;Q&gt;FTV^CS_EVENT_DATEJ_N("ER",4)&lt;/Q&gt;&lt;R&gt;1&lt;/R&gt;&lt;C&gt;1&lt;/C&gt;&lt;D xsi:type="xsd:long"&gt;46422&lt;/D&gt;&lt;/FQL&gt;&lt;FQL&gt;&lt;Q&gt;FTV^CS_EVENT_TIME_N("ER",4)&lt;/Q&gt;&lt;R&gt;1&lt;/R&gt;&lt;C&gt;1&lt;/C&gt;&lt;D xsi:type="xsd:string"&gt;Unspecified&lt;/D&gt;&lt;/FQL&gt;&lt;FQL&gt;&lt;Q&gt;FTV^CS_EVENT_DESC_N("ER",4)&lt;/Q&gt;&lt;R&gt;1&lt;/R&gt;&lt;C&gt;1&lt;/C&gt;&lt;D xsi:type="xsd:string"&gt;Q4 2026 Earnings Release (Projected)&lt;/D&gt;&lt;/FQL&gt;&lt;FQL&gt;&lt;Q&gt;DOW^CS_EVENT_DATEJ_N("ER",4)&lt;/Q&gt;&lt;R&gt;1&lt;/R&gt;&lt;C&gt;1&lt;/C&gt;&lt;D xsi:type="xsd:long"&gt;46415&lt;/D&gt;&lt;/FQL&gt;&lt;FQL&gt;&lt;Q&gt;DOW^CS_EVENT_TIME_N("ER",4)&lt;/Q&gt;&lt;R&gt;1&lt;/R&gt;&lt;C&gt;1&lt;/C&gt;&lt;D xsi:type="xsd:string"&gt;6:00 AM&lt;/D&gt;&lt;/FQL&gt;&lt;FQL&gt;&lt;Q&gt;DOW^CS_EVENT_DESC_N("ER",4)&lt;/Q&gt;&lt;R&gt;1&lt;/R&gt;&lt;C&gt;1&lt;/C&gt;&lt;D xsi:type="xsd:string"&gt;Q4 2026 Earnings Release&lt;/D&gt;&lt;/FQL&gt;&lt;FQL&gt;&lt;Q&gt;PLD^CS_EVENT_DATEJ_N("ER",3)&lt;/Q&gt;&lt;R&gt;1&lt;/R&gt;&lt;C&gt;1&lt;/C&gt;&lt;D xsi:type="xsd:long"&gt;46316&lt;/D&gt;&lt;/FQL&gt;&lt;FQL&gt;&lt;Q&gt;ABT^CS_EVENT_DATEJ_N("ER",3)&lt;/Q&gt;&lt;R&gt;1&lt;/R&gt;&lt;C&gt;1&lt;/C&gt;&lt;D xsi:type="xsd:long"&gt;46316&lt;/D&gt;&lt;/FQL&gt;&lt;FQL&gt;&lt;Q&gt;ESS^CS_EVENT_DATEJ_N("ER",3)&lt;/Q&gt;&lt;R&gt;1&lt;/R&gt;&lt;C&gt;1&lt;/C&gt;&lt;D xsi:type="xsd:long"&gt;46323&lt;/D&gt;&lt;/FQL&gt;&lt;FQL&gt;&lt;Q&gt;CNC^CS_EVENT_DATEJ_N("ER",3)&lt;/Q&gt;&lt;R&gt;1&lt;/R&gt;&lt;C&gt;1&lt;/C&gt;&lt;D xsi:type="xsd:long"&gt;46322&lt;/D&gt;&lt;/FQL&gt;&lt;FQL&gt;&lt;Q&gt;WM^CS_EVENT_DATEJ_N("ER",3)&lt;/Q&gt;&lt;R&gt;1&lt;/R&gt;&lt;C&gt;1&lt;/C&gt;&lt;D xsi:type="xsd:long"&gt;46322&lt;/D&gt;&lt;/FQL&gt;&lt;FQL&gt;&lt;Q&gt;Q^CS_EVENT_DATEJ_N("ER",4)&lt;/Q&gt;&lt;R&gt;0&lt;/R&gt;&lt;C&gt;0&lt;/C&gt;&lt;/FQL&gt;&lt;FQL&gt;&lt;Q&gt;Q^CS_EVENT_TIME_N("ER",4)&lt;/Q&gt;&lt;R&gt;0&lt;/R&gt;&lt;C&gt;0&lt;/C&gt;&lt;/FQL&gt;&lt;FQL&gt;&lt;Q&gt;Q^CS_EVENT_DESC_N("ER",4)&lt;/Q&gt;&lt;R&gt;0&lt;/R&gt;&lt;C&gt;0&lt;/C&gt;&lt;/FQL&gt;&lt;FQL&gt;&lt;Q&gt;CAG^CS_EVENT_DATEJ_N("ER",4)&lt;/Q&gt;&lt;R&gt;1&lt;/R&gt;&lt;C&gt;1&lt;/C&gt;&lt;D xsi:type="xsd:long"&gt;46388&lt;/D&gt;&lt;/FQL&gt;&lt;FQL&gt;&lt;Q&gt;CAG^CS_EVENT_TIME_N("ER",4)&lt;/Q&gt;&lt;R&gt;1&lt;/R&gt;&lt;C&gt;1&lt;/C&gt;&lt;D xsi:type="xsd:string"&gt;Unspecified&lt;/D&gt;&lt;/FQL&gt;&lt;FQL&gt;&lt;Q&gt;CAG^CS_EVENT_DESC_N("ER",4)&lt;/Q&gt;&lt;R&gt;1&lt;/R&gt;&lt;C&gt;1&lt;/C&gt;&lt;D xsi:type="xsd:string"&gt;Q2 2027 Earnings Release (Projected)&lt;/D&gt;&lt;/FQL&gt;&lt;FQL&gt;&lt;Q&gt;STZ^CS_EVENT_DATEJ_N("ER",4)&lt;/Q&gt;&lt;R&gt;1&lt;/R&gt;&lt;C&gt;1&lt;/C&gt;&lt;D xsi:type="xsd:long"&gt;46394&lt;/D&gt;&lt;/FQL&gt;&lt;FQL&gt;&lt;Q&gt;STZ^CS_EVENT_TIME_N("ER",4)&lt;/Q&gt;&lt;R&gt;1&lt;/R&gt;&lt;C&gt;1&lt;/C&gt;&lt;D xsi:type="xsd:string"&gt;Unspecified&lt;/D&gt;&lt;/FQL&gt;&lt;FQL&gt;&lt;Q&gt;STZ^CS_EVENT_DESC_N("ER",4)&lt;/Q&gt;&lt;R&gt;1&lt;/R&gt;&lt;C&gt;1&lt;/C&gt;&lt;D xsi:type="xsd:string"&gt;Q3 2027 Earnings Release (Projected)&lt;/D&gt;&lt;/FQL&gt;&lt;FQL&gt;&lt;Q&gt;DAL^CS_EVENT_DATEJ_N("ER",4)&lt;/Q&gt;&lt;R&gt;1&lt;/R&gt;&lt;C&gt;1&lt;/C&gt;&lt;D xsi:type="xsd:long"&gt;46395&lt;/D&gt;&lt;/FQL&gt;&lt;FQL&gt;&lt;Q&gt;DAL^CS_EVENT_TIME_N("ER",4)&lt;/Q&gt;&lt;R&gt;1&lt;/R&gt;&lt;C&gt;1&lt;/C&gt;&lt;D xsi:type="xsd:string"&gt;Unspecified&lt;/D&gt;&lt;/FQL&gt;&lt;FQL&gt;&lt;Q&gt;DAL^CS_EVENT_DESC_N("ER",4)&lt;/Q&gt;&lt;R&gt;1&lt;/R&gt;&lt;C&gt;1&lt;/C&gt;&lt;D xsi:type="xsd:string"&gt;Q4 2026 Earnings Release (Projected)&lt;/D&gt;&lt;/FQL&gt;&lt;FQL&gt;&lt;Q&gt;PGR^CS_EVENT_DATEJ_N("ER",4)&lt;/Q&gt;&lt;R&gt;1&lt;/R&gt;&lt;C&gt;1&lt;/C&gt;&lt;D xsi:type="xsd:long"&gt;46414&lt;/D&gt;&lt;/FQL&gt;&lt;FQL&gt;&lt;Q&gt;PGR^CS_EVENT_TIME_N("ER",4)&lt;/Q&gt;&lt;R&gt;1&lt;/R&gt;&lt;C&gt;1&lt;/C&gt;&lt;D xsi:type="xsd:string"&gt;Unspecified&lt;/D&gt;&lt;/FQL&gt;&lt;FQL&gt;&lt;Q&gt;PGR^CS_EVENT_DESC_N("ER",4)&lt;/Q&gt;&lt;R&gt;1&lt;/R&gt;&lt;C&gt;1&lt;/C&gt;&lt;D xsi:type="xsd:string"&gt;Q4 2026 Earnings Release (Projected)&lt;/D&gt;&lt;/FQL&gt;&lt;FQL&gt;&lt;Q&gt;FAST^CS_EVENT_DATEJ_N("ER",4)&lt;/Q&gt;&lt;R&gt;1&lt;/R&gt;&lt;C&gt;1&lt;/C&gt;&lt;D xsi:type="xsd:long"&gt;46402&lt;/D&gt;&lt;/FQL&gt;&lt;FQL&gt;&lt;Q&gt;FAST^CS_EVENT_TIME_N("ER",4)&lt;/Q&gt;&lt;R&gt;1&lt;/R&gt;&lt;C&gt;1&lt;/C&gt;&lt;D xsi:type="xsd:string"&gt;Unspecified&lt;/D&gt;&lt;/FQL&gt;&lt;FQL&gt;&lt;Q&gt;FAST^CS_EVENT_DESC_N("ER",4)&lt;/Q&gt;&lt;R&gt;1&lt;/R&gt;&lt;C&gt;1&lt;/C&gt;&lt;D xsi:type="xsd:string"&gt;Q4 2026 Earnings Release (Projected)&lt;/D&gt;&lt;/FQL&gt;&lt;FQL&gt;&lt;Q&gt;GS^CS_EVENT_DATEJ_N("ER",4)&lt;/Q&gt;&lt;R&gt;1&lt;/R&gt;&lt;C&gt;1&lt;/C&gt;&lt;D xsi:type="xsd:long"&gt;46406&lt;/D&gt;&lt;/FQL&gt;&lt;FQL&gt;&lt;Q&gt;GS^CS_EVENT_TIME_N("ER",4)&lt;/Q&gt;&lt;R&gt;1&lt;/R&gt;&lt;C&gt;1&lt;/C&gt;&lt;D xsi:type="xsd:string"&gt;7:30 AM&lt;/D&gt;&lt;/FQL&gt;&lt;FQL&gt;&lt;Q&gt;GS^CS_EVENT_DESC_N("ER",4)&lt;/Q&gt;&lt;R&gt;1&lt;/R&gt;&lt;C&gt;1&lt;/C&gt;&lt;D xsi:type="xsd:string"&gt;Q4 2026 Earnings Release&lt;/D&gt;&lt;/FQL&gt;&lt;FQL&gt;&lt;Q&gt;JPM^CS_EVENT_DATEJ_N("ER",4)&lt;/Q&gt;&lt;R&gt;1&lt;/R&gt;&lt;C&gt;1&lt;/C&gt;&lt;D xsi:type="xsd:long"&gt;46401&lt;/D&gt;&lt;/FQL&gt;&lt;FQL&gt;&lt;Q&gt;JPM^CS_EVENT_TIME_N("ER",4)&lt;/Q&gt;&lt;R&gt;1&lt;/R&gt;&lt;C&gt;1&lt;/C&gt;&lt;D xsi:type="xsd:string"&gt;6:45 AM&lt;/D&gt;&lt;/FQL&gt;&lt;FQL&gt;&lt;Q&gt;JPM^CS_EVENT_DESC_N("ER",4)&lt;/Q&gt;&lt;R&gt;1&lt;/R&gt;&lt;C&gt;1&lt;/C&gt;&lt;D xsi:type="xsd:string"&gt;Q4 2026 Earnings Release&lt;/D&gt;&lt;/FQL&gt;&lt;FQL&gt;&lt;Q&gt;WFC^CS_EVENT_DATEJ_N("ER",4)&lt;/Q&gt;&lt;R&gt;1&lt;/R&gt;&lt;C&gt;1&lt;/C&gt;&lt;D xsi:type="xsd:long"&gt;46401&lt;/D&gt;&lt;/FQL&gt;&lt;FQL&gt;&lt;Q&gt;WFC^CS_EVENT_TIME_N("ER",4)&lt;/Q&gt;&lt;R&gt;1&lt;/R&gt;&lt;C&gt;1&lt;/C&gt;&lt;D xsi:type="xsd:string"&gt;7:00 AM&lt;/D&gt;&lt;/FQL&gt;&lt;FQL&gt;&lt;Q&gt;WFC^CS_EVENT_DESC_N("ER",4)&lt;/Q&gt;&lt;R&gt;1&lt;/R&gt;&lt;C&gt;1&lt;/C&gt;&lt;D xsi:type="xsd:string"&gt;Q4 2026 Earnings Release&lt;/D&gt;&lt;/FQL&gt;&lt;FQL&gt;&lt;Q&gt;JNJ^CS_EVENT_DATEJ_N("ER",4)&lt;/Q&gt;&lt;R&gt;1&lt;/R&gt;&lt;C&gt;1&lt;/C&gt;&lt;D xsi:type="xsd:long"&gt;46413&lt;/D&gt;&lt;/FQL&gt;&lt;FQL&gt;&lt;Q&gt;JNJ^CS_EVENT_TIME_N("ER",4)&lt;/Q&gt;&lt;R&gt;1&lt;/R&gt;&lt;C&gt;1&lt;/C&gt;&lt;D xsi:type="xsd:string"&gt;Unspecified&lt;/D&gt;&lt;/FQL&gt;&lt;FQL&gt;&lt;Q&gt;JNJ^CS_EVENT_DESC_N("ER",4)&lt;/Q&gt;&lt;R&gt;1&lt;/R&gt;&lt;C&gt;1&lt;/C&gt;&lt;D xsi:type="xsd:string"&gt;Q4 2026 Earnings Release (Projected)&lt;/D&gt;&lt;/FQL&gt;&lt;FQL&gt;&lt;Q&gt;BLK^CS_EVENT_DATEJ_N("ER",4)&lt;/Q&gt;&lt;R&gt;1&lt;/R&gt;&lt;C&gt;1&lt;/C&gt;&lt;D xsi:type="xsd:long"&gt;46408&lt;/D&gt;&lt;/FQL&gt;&lt;FQL&gt;&lt;Q&gt;BLK^CS_EVENT_TIME_N("ER",4)&lt;/Q&gt;&lt;R&gt;1&lt;/R&gt;&lt;C&gt;1&lt;/C&gt;&lt;D xsi:type="xsd:string"&gt;Unspecified&lt;/D&gt;&lt;/FQL&gt;&lt;FQL&gt;&lt;Q&gt;BLK^CS_EVENT_DESC_N("ER",4)&lt;/Q&gt;&lt;R&gt;1&lt;/R&gt;&lt;C&gt;1&lt;/C&gt;&lt;D xsi:type="xsd:string"&gt;Q4 2026 Earnings Release (Projected)&lt;/D&gt;&lt;/FQL&gt;&lt;FQL&gt;&lt;Q&gt;C^CS_EVENT_DATEJ_N("ER",4)&lt;/Q&gt;&lt;R&gt;1&lt;/R&gt;&lt;C&gt;1&lt;/C&gt;&lt;D xsi:type="xsd:long"&gt;46401&lt;/D&gt;&lt;/FQL&gt;&lt;FQL&gt;&lt;Q&gt;C^CS_EVENT_TIME_N("ER",4)&lt;/Q&gt;&lt;R&gt;1&lt;/R&gt;&lt;C&gt;1&lt;/C&gt;&lt;D xsi:type="xsd:string"&gt;8:00 AM&lt;/D&gt;&lt;/FQL&gt;&lt;FQL&gt;&lt;Q&gt;C^CS_EVENT_DESC_N("ER",4)&lt;/Q&gt;&lt;R&gt;1&lt;/R&gt;&lt;C&gt;1&lt;/C&gt;&lt;D xsi:type="xsd:string"&gt;Q4 2026 Earnings Release&lt;/D&gt;&lt;/FQL&gt;&lt;FQL&gt;&lt;Q&gt;BAC^CS_EVENT_DATEJ_N("ER",4)&lt;/Q&gt;&lt;R&gt;1&lt;/R&gt;&lt;C&gt;1&lt;/C&gt;&lt;D xsi:type="xsd:long"&gt;46402&lt;/D&gt;&lt;/FQL&gt;&lt;FQL&gt;&lt;Q&gt;BAC^CS_EVENT_TIME_N("ER",4)&lt;/Q&gt;&lt;R&gt;1&lt;/R&gt;&lt;C&gt;1&lt;/C&gt;&lt;D xsi:type="xsd:string"&gt;6:45 AM&lt;/D&gt;&lt;/FQL&gt;&lt;FQL&gt;&lt;Q&gt;BAC^CS_EVENT_DESC_N("ER",4)&lt;/Q&gt;&lt;R&gt;1&lt;/R&gt;&lt;C&gt;1&lt;/C&gt;&lt;D xsi:type="xsd:string"&gt;Q4 2026 Earnings Release&lt;/D&gt;&lt;/FQL&gt;&lt;FQL&gt;&lt;Q&gt;MS^CS_EVENT_DATEJ_N("ER",4)&lt;/Q&gt;&lt;R&gt;1&lt;/R&gt;&lt;C&gt;1&lt;/C&gt;&lt;D xsi:type="xsd:long"&gt;46401&lt;/D&gt;&lt;/FQL&gt;&lt;FQL&gt;&lt;Q&gt;MS^CS_EVENT_TIME_N("ER",4)&lt;/Q&gt;&lt;R&gt;1&lt;/R&gt;&lt;C&gt;1&lt;/C&gt;&lt;D xsi:type="xsd:string"&gt;7:30 AM&lt;/D&gt;&lt;/FQL&gt;&lt;FQL&gt;&lt;Q&gt;MS^CS_EVENT_DESC_N("ER",4)&lt;/Q&gt;&lt;R&gt;1&lt;/R&gt;&lt;C&gt;1&lt;/C&gt;&lt;D xsi:type="xsd:string"&gt;Q4 2026 Earnings Release&lt;/D&gt;&lt;/FQL&gt;&lt;FQL&gt;&lt;Q&gt;MTB^CS_EVENT_DATEJ_N("ER",4)&lt;/Q&gt;&lt;R&gt;1&lt;/R&gt;&lt;C&gt;1&lt;/C&gt;&lt;D xsi:type="xsd:long"&gt;46406&lt;/D&gt;&lt;/FQL&gt;&lt;FQL&gt;&lt;Q&gt;MTB^CS_EVENT_TIME_N("ER",4)&lt;/Q&gt;&lt;R&gt;1&lt;/R&gt;&lt;C&gt;1&lt;/C&gt;&lt;D xsi:type="xsd:string"&gt;Before Market&lt;/D&gt;&lt;/FQL&gt;&lt;FQL&gt;&lt;Q&gt;MTB^CS_EVENT_DESC_N("ER",4)&lt;/Q&gt;&lt;R&gt;1&lt;/R&gt;&lt;C&gt;1&lt;/C&gt;&lt;D xsi:type="xsd:string"&gt;Q4 2026 Earnings Release&lt;/D&gt;&lt;/FQL&gt;&lt;FQL&gt;&lt;Q&gt;PNC^CS_EVENT_DATEJ_N("ER",4)&lt;/Q&gt;&lt;R&gt;1&lt;/R&gt;&lt;C&gt;1&lt;/C&gt;&lt;D xsi:type="xsd:long"&gt;46402&lt;/D&gt;&lt;/FQL&gt;&lt;FQL&gt;&lt;Q&gt;PNC^CS_EVENT_TIME_N("ER",4)&lt;/Q&gt;&lt;R&gt;1&lt;/R&gt;&lt;C&gt;1&lt;/C&gt;&lt;D xsi:type="xsd:string"&gt;Before Market&lt;/D&gt;&lt;/FQL&gt;&lt;FQL&gt;&lt;Q&gt;PNC^CS_EVENT_DESC_N("ER",4)&lt;/Q&gt;&lt;R&gt;1&lt;/R&gt;&lt;C&gt;1&lt;/C&gt;&lt;D xsi:type="xsd:string"&gt;Q4 2026 Earnings Release&lt;/D&gt;&lt;/FQL&gt;&lt;FQL&gt;&lt;Q&gt;KEY^CS_EVENT_DATEJ_N("ER",4)&lt;/Q&gt;&lt;R&gt;1&lt;/R&gt;&lt;C&gt;1&lt;/C&gt;&lt;D xsi:type="xsd:long"&gt;46407&lt;/D&gt;&lt;/FQL&gt;&lt;FQL&gt;&lt;Q&gt;KEY^CS_EVENT_TIME_N("ER",4)&lt;/Q&gt;&lt;R&gt;1&lt;/R&gt;&lt;C&gt;1&lt;/C&gt;&lt;D xsi:type="xsd:string"&gt;6:30 AM&lt;/D&gt;&lt;/FQL&gt;&lt;FQL&gt;&lt;Q&gt;KEY^CS_EVENT_DESC_N("ER",4)&lt;/Q&gt;&lt;R&gt;1&lt;/R&gt;&lt;C&gt;1&lt;/C&gt;&lt;D xsi:type="xsd:string"&gt;Q4 2026 Earnings Release&lt;/D&gt;&lt;/FQL&gt;&lt;FQL&gt;&lt;Q&gt;FCX^CS_EVENT_DATEJ_N("ER",4)&lt;/Q&gt;&lt;R&gt;1&lt;/R&gt;&lt;C&gt;1&lt;/C&gt;&lt;D xsi:type="xsd:long"&gt;46414&lt;/D&gt;&lt;/FQL&gt;&lt;FQL&gt;&lt;Q&gt;FCX^CS_EVENT_TIME_N("ER",4)&lt;/Q&gt;&lt;R&gt;1&lt;/R&gt;&lt;C&gt;1&lt;/C&gt;&lt;D xsi:type="xsd:string"&gt;Unspecified&lt;/D&gt;&lt;/FQL&gt;&lt;FQL&gt;&lt;Q&gt;FCX^CS_EVENT_DESC_N("ER",4)&lt;/Q&gt;&lt;R&gt;1&lt;/R&gt;&lt;C&gt;1&lt;/C&gt;&lt;D xsi:type="xsd:string"&gt;Q4 2026 Earnin</t>
        </r>
      </text>
    </comment>
    <comment ref="A9" authorId="0" shapeId="0" xr:uid="{F003A3EA-2168-470F-9A91-D00200B1D8D9}">
      <text>
        <r>
          <rPr>
            <b/>
            <sz val="9"/>
            <color indexed="81"/>
            <rFont val="Tahoma"/>
            <family val="2"/>
          </rPr>
          <t>gs Release (Projected)&lt;/D&gt;&lt;/FQL&gt;&lt;FQL&gt;&lt;Q&gt;USB^CS_EVENT_DATEJ_N("ER",4)&lt;/Q&gt;&lt;R&gt;1&lt;/R&gt;&lt;C&gt;1&lt;/C&gt;&lt;D xsi:type="xsd:long"&gt;46406&lt;/D&gt;&lt;/FQL&gt;&lt;FQL&gt;&lt;Q&gt;USB^CS_EVENT_TIME_N("ER",4)&lt;/Q&gt;&lt;R&gt;1&lt;/R&gt;&lt;C&gt;1&lt;/C&gt;&lt;D xsi:type="xsd:string"&gt;6:45 AM&lt;/D&gt;&lt;/FQL&gt;&lt;FQL&gt;&lt;Q&gt;USB^CS_EVENT_DESC_N("ER",4)&lt;/Q&gt;&lt;R&gt;1&lt;/R&gt;&lt;C&gt;1&lt;/C&gt;&lt;D xsi:type="xsd:string"&gt;Q4 2026 Earnings Release&lt;/D&gt;&lt;/FQL&gt;&lt;FQL&gt;&lt;Q&gt;POOL^CS_EVENT_DATEJ_N("ER",4)&lt;/Q&gt;&lt;R&gt;1&lt;/R&gt;&lt;C&gt;1&lt;/C&gt;&lt;D xsi:type="xsd:long"&gt;46443&lt;/D&gt;&lt;/FQL&gt;&lt;FQL&gt;&lt;Q&gt;POOL^CS_EVENT_TIME_N("ER",4)&lt;/Q&gt;&lt;R&gt;1&lt;/R&gt;&lt;C&gt;1&lt;/C&gt;&lt;D xsi:type="xsd:string"&gt;Unspecified&lt;/D&gt;&lt;/FQL&gt;&lt;FQL&gt;&lt;Q&gt;POOL^CS_EVENT_DESC_N("ER",4)&lt;/Q&gt;&lt;R&gt;1&lt;/R&gt;&lt;C&gt;1&lt;/C&gt;&lt;D xsi:type="xsd:string"&gt;Q4 2026 Earnings Release (Projected)&lt;/D&gt;&lt;/FQL&gt;&lt;FQL&gt;&lt;Q&gt;SNA^CS_EVENT_DATEJ_N("ER",4)&lt;/Q&gt;&lt;R&gt;1&lt;/R&gt;&lt;C&gt;1&lt;/C&gt;&lt;D xsi:type="xsd:long"&gt;46422&lt;/D&gt;&lt;/FQL&gt;&lt;FQL&gt;&lt;Q&gt;SNA^CS_EVENT_TIME_N("ER",4)&lt;/Q&gt;&lt;R&gt;1&lt;/R&gt;&lt;C&gt;1&lt;/C&gt;&lt;D xsi:type="xsd:string"&gt;Unspecified&lt;/D&gt;&lt;/FQL&gt;&lt;FQL&gt;&lt;Q&gt;SNA^CS_EVENT_DESC_N("ER",4)&lt;/Q&gt;&lt;R&gt;1&lt;/R&gt;&lt;C&gt;1&lt;/C&gt;&lt;D xsi:type="xsd:string"&gt;Q4 2026 Earnings Release (Projected)&lt;/D&gt;&lt;/FQL&gt;&lt;FQL&gt;&lt;Q&gt;MRSH^CS_EVENT_DATEJ_N("ER",4)&lt;/Q&gt;&lt;R&gt;1&lt;/R&gt;&lt;C&gt;1&lt;/C&gt;&lt;D xsi:type="xsd:long"&gt;46415&lt;/D&gt;&lt;/FQL&gt;&lt;FQL&gt;&lt;Q&gt;MRSH^CS_EVENT_TIME_N("ER",4)&lt;/Q&gt;&lt;R&gt;1&lt;/R&gt;&lt;C&gt;1&lt;/C&gt;&lt;D xsi:type="xsd:string"&gt;Unspecified&lt;/D&gt;&lt;/FQL&gt;&lt;FQL&gt;&lt;Q&gt;MRSH^CS_EVENT_DESC_N("ER",4)&lt;/Q&gt;&lt;R&gt;1&lt;/R&gt;&lt;C&gt;1&lt;/C&gt;&lt;D xsi:type="xsd:string"&gt;Q4 2026 Earnings Release (Projected)&lt;/D&gt;&lt;/FQL&gt;&lt;FQL&gt;&lt;Q&gt;NFLX^CS_EVENT_DATEJ_N("ER",4)&lt;/Q&gt;&lt;R&gt;0&lt;/R&gt;&lt;C&gt;0&lt;/C&gt;&lt;/FQL&gt;&lt;FQL&gt;&lt;Q&gt;NFLX^CS_EVENT_TIME_N("ER",4)&lt;/Q&gt;&lt;R&gt;0&lt;/R&gt;&lt;C&gt;0&lt;/C&gt;&lt;/FQL&gt;&lt;FQL&gt;&lt;Q&gt;NFLX^CS_EVENT_DESC_N("ER",4)&lt;/Q&gt;&lt;R&gt;0&lt;/R&gt;&lt;C&gt;0&lt;/C&gt;&lt;/FQL&gt;&lt;FQL&gt;&lt;Q&gt;PLD^CS_EVENT_DATEJ_N("ER",4)&lt;/Q&gt;&lt;R&gt;1&lt;/R&gt;&lt;C&gt;1&lt;/C&gt;&lt;D xsi:type="xsd:long"&gt;46414&lt;/D&gt;&lt;/FQL&gt;&lt;FQL&gt;&lt;Q&gt;PLD^CS_EVENT_TIME_N("ER",4)&lt;/Q&gt;&lt;R&gt;1&lt;/R&gt;&lt;C&gt;1&lt;/C&gt;&lt;D xsi:type="xsd:string"&gt;Unspecified&lt;/D&gt;&lt;/FQL&gt;&lt;FQL&gt;&lt;Q&gt;PLD^CS_EVENT_DESC_N("ER",4)&lt;/Q&gt;&lt;R&gt;1&lt;/R&gt;&lt;C&gt;1&lt;/C&gt;&lt;D xsi:type="xsd:string"&gt;Q4 2026 Earnings Release (Projected)&lt;/D&gt;&lt;/FQL&gt;&lt;FQL&gt;&lt;Q&gt;ABT^CS_EVENT_DATEJ_N("ER",4)&lt;/Q&gt;&lt;R&gt;1&lt;/R&gt;&lt;C&gt;1&lt;/C&gt;&lt;D xsi:type="xsd:long"&gt;46414&lt;/D&gt;&lt;/FQL&gt;&lt;FQL&gt;&lt;Q&gt;ABT^CS_EVENT_TIME_N("ER",4)&lt;/Q&gt;&lt;R&gt;1&lt;/R&gt;&lt;C&gt;1&lt;/C&gt;&lt;D xsi:type="xsd:string"&gt;Unspecified&lt;/D&gt;&lt;/FQL&gt;&lt;FQL&gt;&lt;Q&gt;ABT^CS_EVENT_DESC_N("ER",4)&lt;/Q&gt;&lt;R&gt;1&lt;/R&gt;&lt;C&gt;1&lt;/C&gt;&lt;D xsi:type="xsd:string"&gt;Q4 2026 Earnings Release (Projected)&lt;/D&gt;&lt;/FQL&gt;&lt;FQL&gt;&lt;Q&gt;PPG^CS_EVENT_DATEJ_N("ER",4)&lt;/Q&gt;&lt;R&gt;1&lt;/R&gt;&lt;C&gt;1&lt;/C&gt;&lt;D xsi:type="xsd:long"&gt;46408&lt;/D&gt;&lt;/FQL&gt;&lt;FQL&gt;&lt;Q&gt;PPG^CS_EVENT_TIME_N("ER",4)&lt;/Q&gt;&lt;R&gt;1&lt;/R&gt;&lt;C&gt;1&lt;/C&gt;&lt;D xsi:type="xsd:string"&gt;Unspecified&lt;/D&gt;&lt;/FQL&gt;&lt;FQL&gt;&lt;Q&gt;PPG^CS_EVENT_DESC_N("ER",4)&lt;/Q&gt;&lt;R&gt;1&lt;/R&gt;&lt;C&gt;1&lt;/C&gt;&lt;D xsi:type="xsd:string"&gt;Q4 2026 Earnings Release (Projected)&lt;/D&gt;&lt;/FQL&gt;&lt;FQL&gt;&lt;Q&gt;BK^CS_EVENT_DATEJ_N("ER",4)&lt;/Q&gt;&lt;R&gt;1&lt;/R&gt;&lt;C&gt;1&lt;/C&gt;&lt;D xsi:type="xsd:long"&gt;46407&lt;/D&gt;&lt;/FQL&gt;&lt;FQL&gt;&lt;Q&gt;BK^CS_EVENT_TIME_N("ER",4)&lt;/Q&gt;&lt;R&gt;1&lt;/R&gt;&lt;C&gt;1&lt;/C&gt;&lt;D xsi:type="xsd:string"&gt;Unspecified&lt;/D&gt;&lt;/FQL&gt;&lt;FQL&gt;&lt;Q&gt;BK^CS_EVENT_DESC_N("ER",4)&lt;/Q&gt;&lt;R&gt;1&lt;/R&gt;&lt;C&gt;1&lt;/C&gt;&lt;D xsi:type="xsd:string"&gt;Q4 2026 Earnings Release (Projected)&lt;/D&gt;&lt;/FQL&gt;&lt;FQL&gt;&lt;Q&gt;TRV^CS_EVENT_DATEJ_N("ER",4)&lt;/Q&gt;&lt;R&gt;1&lt;/R&gt;&lt;C&gt;1&lt;/C&gt;&lt;D xsi:type="xsd:long"&gt;46498&lt;/D&gt;&lt;/FQL&gt;&lt;FQL&gt;&lt;Q&gt;TRV^CS_EVENT_TIME_N("ER",4)&lt;/Q&gt;&lt;R&gt;1&lt;/R&gt;&lt;C&gt;1&lt;/C&gt;&lt;D xsi:type="xsd:string"&gt;Unspecified&lt;/D&gt;&lt;/FQL&gt;&lt;FQL&gt;&lt;Q&gt;TRV^CS_EVENT_DESC_N("ER",4)&lt;/Q&gt;&lt;R&gt;1&lt;/R&gt;&lt;C&gt;1&lt;/C&gt;&lt;D xsi:type="xsd:string"&gt;Q1 2027 Earnings Release (Projected)&lt;/D&gt;&lt;/FQL&gt;&lt;FQL&gt;&lt;Q&gt;BX^CS_EVENT_DATEJ_N("ER",4)&lt;/Q&gt;&lt;R&gt;1&lt;/R&gt;&lt;C&gt;1&lt;/C&gt;&lt;D xsi:type="xsd:long"&gt;46415&lt;/D&gt;&lt;/FQL&gt;&lt;FQL&gt;&lt;Q&gt;BX^CS_EVENT_TIME_N("ER",4)&lt;/Q&gt;&lt;R&gt;1&lt;/R&gt;&lt;C&gt;1&lt;/C&gt;&lt;D xsi:type="xsd:string"&gt;Unspecified&lt;/D&gt;&lt;/FQL&gt;&lt;FQL&gt;&lt;Q&gt;BX^CS_EVENT_DESC_N("ER",4)&lt;/Q&gt;&lt;R&gt;1&lt;/R&gt;&lt;C&gt;1&lt;/C&gt;&lt;D xsi:type="xsd:string"&gt;Q4 2026 Earnings Release (Projected)&lt;/D&gt;&lt;/FQL&gt;&lt;FQL&gt;&lt;Q&gt;CFG^CS_EVENT_DATEJ_N("ER",4)&lt;/Q&gt;&lt;R&gt;1&lt;/R&gt;&lt;C&gt;1&lt;/C&gt;&lt;D xsi:type="xsd:long"&gt;46407&lt;/D&gt;&lt;/FQL&gt;&lt;FQL&gt;&lt;Q&gt;CFG^CS_EVENT_TIME_N("ER",4)&lt;/Q&gt;&lt;R&gt;1&lt;/R&gt;&lt;C&gt;1&lt;/C&gt;&lt;D xsi:type="xsd:string"&gt;6:20 AM&lt;/D&gt;&lt;/FQL&gt;&lt;FQL&gt;&lt;Q&gt;CFG^CS_EVENT_DESC_N("ER",4)&lt;/Q&gt;&lt;R&gt;1&lt;/R&gt;&lt;C&gt;1&lt;/C&gt;&lt;D xsi:type="xsd:string"&gt;Q4 2026 Earnings Release&lt;/D&gt;&lt;/FQL&gt;&lt;FQL&gt;&lt;Q&gt;FITB^CS_EVENT_DATEJ_N("ER",4)&lt;/Q&gt;&lt;R&gt;1&lt;/R&gt;&lt;C&gt;1&lt;/C&gt;&lt;D xsi:type="xsd:long"&gt;46406&lt;/D&gt;&lt;/FQL&gt;&lt;FQL&gt;&lt;Q&gt;FITB^CS_EVENT_TIME_N("ER",4)&lt;/Q&gt;&lt;R&gt;1&lt;/R&gt;&lt;C&gt;1&lt;/C&gt;&lt;D xsi:type="xsd:string"&gt;6:30 AM&lt;/D&gt;&lt;/FQL&gt;&lt;FQL&gt;&lt;Q&gt;FITB^CS_EVENT_DESC_N("ER",4)&lt;/Q&gt;&lt;R&gt;1&lt;/R&gt;&lt;C&gt;1&lt;/C&gt;&lt;D xsi:type="xsd:string"&gt;Q4 2026 Earnings Release&lt;/D&gt;&lt;/FQL&gt;&lt;FQL&gt;&lt;Q&gt;TFC^CS_EVENT_DATEJ_N("ER",4)&lt;/Q&gt;&lt;R&gt;1&lt;/R&gt;&lt;C&gt;1&lt;/C&gt;&lt;D xsi:type="xsd:long"&gt;46311&lt;/D&gt;&lt;/FQL&gt;&lt;FQL&gt;&lt;Q&gt;TFC^CS_EVENT_TIME_N("ER",4)&lt;/Q&gt;&lt;R&gt;1&lt;/R&gt;&lt;C&gt;1&lt;/C&gt;&lt;D xsi:type="xsd:string"&gt;Before Market&lt;/D&gt;&lt;/FQL&gt;&lt;FQL&gt;&lt;Q&gt;TFC^CS_EVENT_DESC_N("ER",4)&lt;/Q&gt;&lt;R&gt;1&lt;/R&gt;&lt;C&gt;1&lt;/C&gt;&lt;D xsi:type="xsd:string"&gt;Q3 2026 Earnings Release&lt;/D&gt;&lt;/FQL&gt;&lt;FQL&gt;&lt;Q&gt;STT^CS_EVENT_DATEJ_N("ER",4)&lt;/Q&gt;&lt;R&gt;1&lt;/R&gt;&lt;C&gt;1&lt;/C&gt;&lt;D xsi:type="xsd:long"&gt;46402&lt;/D&gt;&lt;/FQL&gt;&lt;FQL&gt;&lt;Q&gt;STT^CS_EVENT_TIME_N("ER",4)&lt;/Q&gt;&lt;R&gt;1&lt;/R&gt;&lt;C&gt;1&lt;/C&gt;&lt;D xsi:type="xsd:string"&gt;Unspecified&lt;/D&gt;&lt;/FQL&gt;&lt;FQL&gt;&lt;Q&gt;STT^CS_EVENT_DESC_N("ER",4)&lt;/Q&gt;&lt;R&gt;1&lt;/R&gt;&lt;C&gt;1&lt;/C&gt;&lt;D xsi:type="xsd:string"&gt;Q4 2026 Earnings Release (Projected)&lt;/D&gt;&lt;/FQL&gt;&lt;FQL&gt;&lt;Q&gt;RF^CS_EVENT_DATEJ_N("ER",4)&lt;/Q&gt;&lt;R&gt;1&lt;/R&gt;&lt;C&gt;1&lt;/C&gt;&lt;D xsi:type="xsd:long"&gt;46402&lt;/D&gt;&lt;/FQL&gt;&lt;FQL&gt;&lt;Q&gt;RF^CS_EVENT_TIME_N("ER",4)&lt;/Q&gt;&lt;R&gt;1&lt;/R&gt;&lt;C&gt;1&lt;/C&gt;&lt;D xsi:type="xsd:string"&gt;Unspecified&lt;/D&gt;&lt;/FQL&gt;&lt;FQL&gt;&lt;Q&gt;RF^CS_EVENT_DESC_N("ER",4)&lt;/Q&gt;&lt;R&gt;1&lt;/R&gt;&lt;C&gt;1&lt;/C&gt;&lt;D xsi:type="xsd:string"&gt;Q4 2026 Earnings Release (Projected)&lt;/D&gt;&lt;/FQL&gt;&lt;FQL&gt;&lt;Q&gt;STLD^CS_EVENT_DATEJ_N("ER",4)&lt;/Q&gt;&lt;R&gt;1&lt;/R&gt;&lt;C&gt;1&lt;/C&gt;&lt;D xsi:type="xsd:long"&gt;46414&lt;/D&gt;&lt;/FQL&gt;&lt;FQL&gt;&lt;Q&gt;STLD^CS_EVENT_TIME_N("ER",4)&lt;/Q&gt;&lt;R&gt;1&lt;/R&gt;&lt;C&gt;1&lt;/C&gt;&lt;D xsi:type="xsd:string"&gt;Unspecified&lt;/D&gt;&lt;/FQL&gt;&lt;FQL&gt;&lt;Q&gt;STLD^CS_EVENT_DESC_N("ER",4)&lt;/Q&gt;&lt;R&gt;1&lt;/R&gt;&lt;C&gt;1&lt;/C&gt;&lt;D xsi:type="xsd:string"&gt;Q4 2026 Earnings Release (Projected)&lt;/D&gt;&lt;/FQL&gt;&lt;FQL&gt;&lt;Q&gt;SCHW^CS_EVENT_DATEJ_N("ER",4)&lt;/Q&gt;&lt;R&gt;1&lt;/R&gt;&lt;C&gt;1&lt;/C&gt;&lt;D xsi:type="xsd:long"&gt;46406&lt;/D&gt;&lt;/FQL&gt;&lt;FQL&gt;&lt;Q&gt;SCHW^CS_EVENT_TIME_N("ER",4)&lt;/Q&gt;&lt;R&gt;1&lt;/R&gt;&lt;C&gt;1&lt;/C&gt;&lt;D xsi:type="xsd:string"&gt;Unspecified&lt;/D&gt;&lt;/FQL&gt;&lt;FQL&gt;&lt;Q&gt;SCHW^CS_EVENT_DESC_N("ER",4)&lt;/Q&gt;&lt;R&gt;1&lt;/R&gt;&lt;C&gt;1&lt;/C&gt;&lt;D xsi:type="xsd:string"&gt;Q4 2026 Earnings Release (Projected)&lt;/D&gt;&lt;/FQL&gt;&lt;FQL&gt;&lt;Q&gt;JBHT^CS_EVENT_DATEJ_N("ER",4)&lt;/Q&gt;&lt;R&gt;1&lt;/R&gt;&lt;C&gt;1&lt;/C&gt;&lt;D xsi:type="xsd:long"&gt;46408&lt;/D&gt;&lt;/FQL&gt;&lt;FQL&gt;&lt;Q&gt;JBHT^CS_EVENT_TIME_N("ER",4)&lt;/Q&gt;&lt;R&gt;1&lt;/R&gt;&lt;C&gt;1&lt;/C&gt;&lt;D xsi:type="xsd:string"&gt;Unspecified&lt;/D&gt;&lt;/FQL&gt;&lt;FQL&gt;&lt;Q&gt;JBHT^CS_EVENT_DESC_N("ER",4)&lt;/Q&gt;&lt;R&gt;1&lt;/R&gt;&lt;C&gt;1&lt;/C&gt;&lt;D xsi:type="xsd:string"&gt;Q4 2026 Earnings Release (Projected)&lt;/D&gt;&lt;/FQL&gt;&lt;FQL&gt;&lt;Q&gt;RTX^CS_EVENT_DATEJ_N("ER",4)&lt;/Q&gt;&lt;R&gt;1&lt;/R&gt;&lt;C&gt;1&lt;/C&gt;&lt;D xsi:type="xsd:long"&gt;46413&lt;/D&gt;&lt;/FQL&gt;&lt;FQL&gt;&lt;Q&gt;RTX^CS_EVENT_TIME_N("ER",4)&lt;/Q&gt;&lt;R&gt;1&lt;/R&gt;&lt;C&gt;1&lt;/C&gt;&lt;D xsi:type="xsd:string"&gt;Unspecified&lt;/D&gt;&lt;/FQL&gt;&lt;FQL&gt;&lt;Q&gt;RTX^CS_EVENT_DESC_N("ER",4)&lt;/Q&gt;&lt;R&gt;1&lt;/R&gt;&lt;C&gt;1&lt;/C&gt;&lt;D xsi:type="xsd:string"&gt;Q4 2026 Earnings Release (Projected)&lt;/D&gt;&lt;/FQL&gt;&lt;FQL&gt;&lt;Q&gt;LMT^CS_EVENT_DATEJ_N("ER",4)&lt;/Q&gt;&lt;R&gt;1&lt;/R&gt;&lt;C&gt;1&lt;/C&gt;&lt;D xsi:type="xsd:long"&gt;46413&lt;/D&gt;&lt;/FQL&gt;&lt;FQL&gt;&lt;Q&gt;LMT^CS_EVENT_TIME_N("ER",4)&lt;/Q&gt;&lt;R&gt;1&lt;/R&gt;&lt;C&gt;1&lt;/C&gt;&lt;D xsi:type="xsd:string"&gt;Unspecified&lt;/D&gt;&lt;/FQL&gt;&lt;FQL&gt;&lt;Q&gt;LMT^CS_EVENT_DESC_N("ER",4)&lt;/Q&gt;&lt;R&gt;1&lt;/R&gt;&lt;C&gt;1&lt;/C&gt;&lt;D xsi:type="xsd:string"&gt;Q4 2026 Earnings Release (Projected)&lt;/D&gt;&lt;/FQL&gt;&lt;FQL&gt;&lt;Q&gt;DHR^CS_EVENT_DATEJ_N("ER",4)&lt;/Q&gt;&lt;R&gt;1&lt;/R&gt;&lt;C&gt;1&lt;/C&gt;&lt;D xsi:type="xsd:long"&gt;46504&lt;/D&gt;&lt;/FQL&gt;&lt;FQL&gt;&lt;Q&gt;DHR^CS_EVENT_TIME_N("ER",4)&lt;/Q&gt;&lt;R&gt;1&lt;/R&gt;&lt;C&gt;1&lt;/C&gt;&lt;D xsi:type="xsd:string"&gt;Unspecified&lt;/D&gt;&lt;/FQL&gt;&lt;FQL&gt;&lt;Q&gt;DHR^CS_EVENT_DESC_N("ER",4)&lt;/Q&gt;&lt;R&gt;1&lt;/R&gt;&lt;C&gt;1&lt;/C&gt;&lt;D xsi:type="xsd:string"&gt;Q1 2027 Earnings Release (Projected)&lt;/D&gt;&lt;/FQL&gt;&lt;FQL&gt;&lt;Q&gt;UNH^CS_EVENT_DATEJ_N("ER",4)&lt;/Q&gt;&lt;R&gt;1&lt;/R&gt;&lt;C&gt;1&lt;/C&gt;&lt;D xsi:type="xsd:long"&gt;46407&lt;/D&gt;&lt;/FQL&gt;&lt;FQL&gt;&lt;Q&gt;UNH^CS_EVENT_TIME_N("ER",4)&lt;/Q&gt;&lt;R&gt;1&lt;/R&gt;&lt;C&gt;1&lt;/C&gt;&lt;D xsi:type="xsd:string"&gt;Unspecified&lt;/D&gt;&lt;/FQL&gt;&lt;FQL&gt;&lt;Q&gt;UNH^CS_EVENT_DESC_N("ER",4)&lt;/Q&gt;&lt;R&gt;1&lt;/R&gt;&lt;C&gt;1&lt;/C&gt;&lt;D xsi:type="xsd:string"&gt;Q4 2026 Earnings Release (Projected)&lt;/D&gt;&lt;/FQL&gt;&lt;FQL&gt;&lt;Q&gt;HAL^CS_EVENT_DATEJ_N("ER",4)&lt;/Q&gt;&lt;R&gt;1&lt;/R&gt;&lt;C&gt;1&lt;/C&gt;&lt;D xsi:type="xsd:long"&gt;46413&lt;/D&gt;&lt;/FQL&gt;&lt;FQL&gt;&lt;Q&gt;HAL^CS_EVENT_TIME_N("ER",4)&lt;/Q&gt;&lt;R&gt;1&lt;/R&gt;&lt;C&gt;1&lt;/C&gt;&lt;D xsi:type="xsd:string"&gt;Unspecified&lt;/D&gt;&lt;/FQL&gt;&lt;FQL&gt;&lt;Q&gt;HAL^CS_EVENT_DESC_N("ER",4)&lt;/Q&gt;&lt;R&gt;1&lt;/R&gt;&lt;C&gt;1&lt;/C&gt;&lt;D xsi:type="xsd:string"&gt;Q4 2026 Earnings Release (Projected)&lt;/D&gt;&lt;/FQL&gt;&lt;FQL&gt;&lt;Q&gt;WRB^CS_EVENT_DATEJ_N("ER",4)&lt;/Q&gt;&lt;R&gt;1&lt;/R&gt;&lt;C&gt;1&lt;/C&gt;&lt;D xsi:type="xsd:long"&gt;46415&lt;/D&gt;&lt;/FQL&gt;&lt;FQL&gt;&lt;Q&gt;WRB^CS_EVENT_TIME_N("ER",4)&lt;/Q&gt;&lt;R&gt;1&lt;/R&gt;&lt;C&gt;1&lt;/C&gt;&lt;D xsi:type="xsd:string"&gt;Unspecified&lt;/D&gt;&lt;/FQL&gt;&lt;FQL&gt;&lt;Q&gt;WRB^CS_EVENT_DESC_N("ER",4)&lt;/Q&gt;&lt;R&gt;1&lt;/R&gt;&lt;C&gt;1&lt;/C&gt;&lt;D xsi:type="xsd:string"&gt;Q4 2026 Earnings Release (Projected)&lt;/D&gt;&lt;/FQL&gt;&lt;FQL&gt;&lt;Q&gt;COF^CS_EVENT_DATEJ_N("ER",4)&lt;/Q&gt;&lt;R&gt;1&lt;/R&gt;&lt;C&gt;1&lt;/C&gt;&lt;D xsi:type="xsd:long"&gt;46413&lt;/D&gt;&lt;/FQL&gt;&lt;FQL&gt;&lt;Q&gt;COF^CS_EVENT_TIME_N("ER",4)&lt;/Q&gt;&lt;R&gt;1&lt;/R&gt;&lt;C&gt;1&lt;/C&gt;&lt;D xsi:type="xsd:string"&gt;Unspecified&lt;/D&gt;&lt;/FQL&gt;&lt;FQL&gt;&lt;Q&gt;COF^CS_EVENT_DESC_N("ER",4)&lt;/Q&gt;&lt;R&gt;1&lt;/R&gt;&lt;C&gt;1&lt;/C&gt;&lt;D xsi:type="xsd:string"&gt;Q4 2026 Earnings Release (Projected)&lt;/D&gt;&lt;/FQL&gt;&lt;FQL&gt;&lt;Q&gt;TSCO^CS_EVENT_DATEJ_N("ER",4)&lt;/Q&gt;&lt;R&gt;1&lt;/R&gt;&lt;C&gt;1&lt;/C&gt;&lt;D xsi:type="xsd:long"&gt;46422&lt;/D&gt;&lt;/FQL&gt;&lt;FQL&gt;&lt;Q&gt;TSCO^CS_EVENT_TIME_N("ER",4)&lt;/Q&gt;&lt;R&gt;1&lt;/R&gt;&lt;C&gt;1&lt;/C&gt;&lt;D xsi:type="xsd:string"&gt;Unspecified&lt;/D&gt;&lt;/FQL&gt;&lt;FQL&gt;&lt;Q&gt;TSCO^CS_EVENT_DESC_N("ER",4)&lt;/Q&gt;&lt;R&gt;1&lt;/R&gt;&lt;C&gt;1&lt;/C&gt;&lt;D xsi:type="xsd:string"&gt;Q4 2026 Earnings Release (Projected)&lt;/D&gt;&lt;/FQL&gt;&lt;FQL&gt;&lt;Q&gt;GE^CS_EVENT_DATEJ_N("ER",4)&lt;/Q&gt;&lt;R&gt;1&lt;/R&gt;&lt;C&gt;1&lt;/C&gt;&lt;D xsi:type="xsd:long"&gt;46413&lt;/D&gt;&lt;/FQL&gt;&lt;FQL&gt;&lt;Q&gt;GE^CS_EVENT_TIME_N("ER",4)&lt;/Q&gt;&lt;R&gt;1&lt;/R&gt;&lt;C&gt;1&lt;/C&gt;&lt;D xsi:type="xsd:string"&gt;Unspecified&lt;/D&gt;&lt;/FQL&gt;&lt;FQL&gt;&lt;Q&gt;GE^CS_EVENT_DESC_N("ER",4)&lt;/Q&gt;&lt;R&gt;1&lt;/R&gt;&lt;C&gt;1&lt;/C&gt;&lt;D xsi:type="xsd:string"&gt;Q4 2026 Earnings Release (Projected)&lt;/D&gt;&lt;/FQL&gt;&lt;FQL&gt;&lt;Q&gt;GPC^CS_EVENT_DATEJ_N("ER",4)&lt;/Q&gt;&lt;R&gt;1&lt;/R&gt;&lt;C&gt;1&lt;/C&gt;&lt;D xsi:type="xsd:long"&gt;46436&lt;/D&gt;&lt;/FQL&gt;&lt;FQL&gt;&lt;Q&gt;GPC^CS_EVENT_TIME_N("ER",4)&lt;/Q&gt;&lt;R&gt;1&lt;/R&gt;&lt;C&gt;1&lt;/C&gt;&lt;D xsi:type="xsd:string"&gt;Unspecified&lt;/D&gt;&lt;/FQL&gt;&lt;FQL&gt;&lt;Q&gt;GPC^CS_EVENT_DESC_N("ER",4)&lt;/Q&gt;&lt;R&gt;1&lt;/R&gt;&lt;C&gt;1&lt;/C&gt;&lt;D xsi:type="xsd:string"&gt;Q4 2026 Earnings Release (Projected)&lt;/D&gt;&lt;/FQL&gt;&lt;FQL&gt;&lt;Q&gt;NOC^CS_EVENT_DATEJ_N("ER",4)&lt;/Q&gt;&lt;R&gt;1&lt;/R&gt;&lt;C&gt;1&lt;/C&gt;&lt;D xsi:type="xsd:long"&gt;46415&lt;/D&gt;&lt;/FQL&gt;&lt;FQL&gt;&lt;Q&gt;NOC^CS_EVENT_TIME_N("ER",4)&lt;/Q&gt;&lt;R&gt;1&lt;/R&gt;&lt;C&gt;1&lt;/C&gt;&lt;D xsi:type="xsd:string"&gt;Unspecified&lt;/D&gt;&lt;/FQL&gt;&lt;FQL&gt;&lt;Q&gt;NOC^CS_EVENT_DESC_N("ER",4)&lt;/Q&gt;&lt;R&gt;1&lt;/R&gt;&lt;C&gt;1&lt;/C&gt;&lt;D xsi:type="xsd:string"&gt;Q4 2026 Earnings Release (Projected)&lt;/D&gt;&lt;/FQL&gt;&lt;FQL&gt;&lt;Q&gt;DGX^CS_EVENT_DATEJ_N("ER",4)&lt;/Q&gt;&lt;R&gt;1&lt;/R&gt;&lt;C&gt;1&lt;/C&gt;&lt;D xsi:type="xsd:long"&gt;46422&lt;/D&gt;&lt;/FQL&gt;&lt;FQL&gt;&lt;Q&gt;DGX^CS_EVENT_TIME_N("ER",4)&lt;/Q&gt;&lt;R&gt;1&lt;/R&gt;&lt;C&gt;1&lt;/C&gt;&lt;D xsi:type="xsd:string"&gt;Unspecified&lt;/D&gt;&lt;/FQL&gt;&lt;FQL&gt;&lt;Q&gt;DGX^CS_EVENT_DESC_N("ER",4)&lt;/Q&gt;&lt;R&gt;1&lt;/R&gt;&lt;C&gt;1&lt;/C&gt;&lt;D xsi:type="xsd:string"&gt;Q4 2026 Earnings Release (Projected)&lt;/D&gt;&lt;/FQL&gt;&lt;FQL&gt;&lt;Q&gt;DHI^CS_EVENT_DATEJ_N("ER",4)&lt;/Q&gt;&lt;R&gt;1&lt;/R&gt;&lt;C&gt;1&lt;/C&gt;&lt;D xsi:type="xsd:long"&gt;46413&lt;/D&gt;&lt;/FQL&gt;&lt;FQL&gt;&lt;Q&gt;DHI^CS_EVENT_TIME_N("ER",4)&lt;/Q&gt;&lt;R&gt;1&lt;/R&gt;&lt;C&gt;1&lt;/C&gt;&lt;D xsi:type="xsd:string"&gt;Unspecified&lt;/D&gt;&lt;/FQL&gt;&lt;FQL&gt;&lt;Q&gt;DHI^CS_EVENT_DESC_N("ER",4)&lt;/Q&gt;&lt;R&gt;1&lt;/R&gt;&lt;C&gt;1&lt;/C&gt;&lt;D xsi:type="xsd:string"&gt;Q1 2027 Earnings Release (Projected)&lt;/D&gt;&lt;/FQL&gt;&lt;FQL&gt;&lt;Q&gt;OMC^CS_EVENT_DATEJ_N("ER",4)&lt;/Q&gt;&lt;R&gt;1&lt;/R&gt;&lt;C&gt;1&lt;/C&gt;&lt;D xsi:type="xsd:long"&gt;46427&lt;/D&gt;&lt;/FQL&gt;&lt;FQL&gt;&lt;Q&gt;OMC^CS_EVENT_TIME_N("ER",4)&lt;/Q&gt;&lt;R&gt;1&lt;/R&gt;&lt;C&gt;1&lt;/C&gt;&lt;D xsi:type="xsd:string"&gt;Unspecified&lt;/D&gt;&lt;/FQL&gt;&lt;FQL&gt;&lt;Q&gt;OMC^CS_EVENT_DESC_N("ER",4)&lt;/Q&gt;&lt;R&gt;1&lt;/R&gt;&lt;C&gt;1&lt;/C&gt;&lt;D xsi:type="xsd:string"&gt;Q4 2026 Earnings Release (Projected)&lt;/D&gt;&lt;/FQL&gt;&lt;FQL&gt;&lt;Q&gt;ISRG^CS_EVENT_DATEJ_N("ER",4)&lt;/Q&gt;&lt;R&gt;1&lt;/R&gt;&lt;C&gt;1&lt;/C&gt;&lt;D xsi:type="xsd:long"&gt;46413&lt;/D&gt;&lt;/FQL&gt;&lt;FQL&gt;&lt;Q&gt;ISRG^CS_EVENT_TIME_N("ER",4)&lt;/Q&gt;&lt;R&gt;1&lt;/R&gt;&lt;C&gt;1&lt;/C&gt;&lt;D xsi:type="xsd:string"&gt;Unspecified&lt;/D&gt;&lt;/FQL&gt;&lt;FQL&gt;&lt;Q&gt;ISRG^CS_EVENT_DESC_N("ER",4)&lt;/Q&gt;&lt;R&gt;1&lt;/R&gt;&lt;C&gt;1&lt;/C&gt;&lt;D xsi:type="xsd:string"&gt;Q4 2026 Earnings Release (Projected)&lt;/D&gt;&lt;/FQL&gt;&lt;FQL&gt;&lt;Q&gt;NTRS^CS_EVENT_DATEJ_N("ER",4)&lt;/Q&gt;&lt;R&gt;1&lt;/R&gt;&lt;C&gt;1&lt;/C&gt;&lt;D xsi:type="xsd:long"&gt;46408&lt;/D&gt;&lt;/FQL&gt;&lt;FQL&gt;&lt;Q&gt;NTRS^CS_EVENT_TIME_N("ER",4)&lt;/Q&gt;&lt;R&gt;1&lt;/R&gt;&lt;C&gt;1&lt;/C&gt;&lt;D xsi:type="xsd:string"&gt;Unspecified&lt;/D&gt;&lt;/FQL&gt;&lt;FQL&gt;&lt;Q&gt;NTRS^CS_EVENT_DESC_N("ER",4)&lt;/Q&gt;&lt;R&gt;1&lt;/R&gt;&lt;C&gt;1&lt;/C&gt;&lt;D xsi:type="xsd:string"&gt;Q4 2026 Earnings Release (Projected)&lt;/D&gt;&lt;/FQL&gt;&lt;FQL&gt;&lt;Q&gt;UAL^CS_EVENT_DATEJ_N("ER",4)&lt;/Q&gt;&lt;R&gt;0&lt;/R&gt;&lt;C&gt;0&lt;/C&gt;&lt;/FQL&gt;&lt;FQL&gt;&lt;Q&gt;UAL^CS_EVENT_TIME_N("ER",4)&lt;/Q&gt;&lt;R&gt;0&lt;/R&gt;&lt;C&gt;0&lt;/C&gt;&lt;/FQL&gt;&lt;FQL&gt;&lt;Q&gt;UAL^CS_EVENT_DESC_N("ER",4)&lt;/Q&gt;&lt;R&gt;0&lt;/R&gt;&lt;C&gt;0&lt;/C&gt;&lt;/FQL&gt;&lt;FQL&gt;&lt;Q&gt;IBKR^CS_EVENT_DATEJ_N("ER",4)&lt;/Q&gt;&lt;R&gt;1&lt;/R&gt;&lt;C&gt;1&lt;/C&gt;&lt;D xsi:type="xsd:long"&gt;46406&lt;/D&gt;&lt;/FQL&gt;&lt;FQL&gt;&lt;Q&gt;IBKR^CS_EVENT_TIME_N("ER",4)&lt;/Q&gt;&lt;R&gt;1&lt;/R&gt;&lt;C&gt;1&lt;/C&gt;&lt;D xsi:type="xsd:string"&gt;Unspecified&lt;/D&gt;&lt;/FQL&gt;&lt;FQL&gt;&lt;Q&gt;IBKR^CS_EVENT_DESC_N("ER",4)&lt;/Q&gt;&lt;R&gt;1&lt;/R&gt;&lt;C&gt;1&lt;/C&gt;&lt;D xsi:type="xsd:string"&gt;Q4 2026 Earnings Release (Projected)&lt;/D&gt;&lt;/FQL&gt;&lt;FQL&gt;&lt;Q&gt;CB^CS_EVENT_DATEJ_N("ER",4)&lt;/Q&gt;&lt;R&gt;1&lt;/R&gt;&lt;C&gt;1&lt;/C&gt;&lt;D xsi:type="xsd:long"&gt;46504&lt;/D&gt;&lt;/FQL&gt;&lt;FQL&gt;&lt;Q&gt;CB^CS_EVENT_TIME_N("ER",4)&lt;/Q&gt;&lt;R&gt;1&lt;/R&gt;&lt;C&gt;1&lt;/C&gt;&lt;D xsi:type="xsd:string"&gt;Unspecified&lt;/D&gt;&lt;/FQL&gt;&lt;FQL&gt;&lt;Q&gt;CB^CS_EVENT_DESC_N("ER",4)&lt;/Q&gt;&lt;R&gt;1&lt;/R&gt;&lt;C&gt;1&lt;/C&gt;&lt;D xsi:type="xsd:string"&gt;Q1 2027 Earnings Release (Projected)&lt;/D&gt;&lt;/FQL&gt;&lt;FQL&gt;&lt;Q&gt;SYF^CS_EVENT_DATEJ_N("ER",4)&lt;/Q&gt;&lt;R&gt;1&lt;/R&gt;&lt;C&gt;1&lt;/C&gt;&lt;D xsi:type="xsd:long"&gt;46409&lt;/D&gt;&lt;/FQL&gt;&lt;FQL&gt;&lt;Q&gt;SYF^CS_EVENT_TIME_N("ER",4)&lt;/Q&gt;&lt;R&gt;1&lt;/R&gt;&lt;C&gt;1&lt;/C&gt;&lt;D xsi:type="xsd:string"&gt;Unspecified&lt;/D&gt;&lt;/FQL&gt;&lt;FQL&gt;&lt;Q&gt;SYF^CS_EVENT_DESC_N("ER",4)&lt;/Q&gt;&lt;R&gt;1&lt;/R&gt;&lt;C&gt;1&lt;/C&gt;&lt;D xsi:type="xsd:string"&gt;Q4 2026 Earnings Release (Projected)&lt;/D&gt;&lt;/FQL&gt;&lt;FQL&gt;&lt;Q&gt;BSX^CS_EVENT_DATEJ_N("ER",4)&lt;/Q&gt;&lt;R&gt;1&lt;/R&gt;&lt;C&gt;1&lt;/C&gt;&lt;D xsi:type="xsd:long"&gt;46421&lt;/D&gt;&lt;/FQL&gt;&lt;FQL&gt;&lt;Q&gt;BSX^CS_EVENT_TIME_N("ER",4)&lt;/Q&gt;&lt;R&gt;1&lt;/R&gt;&lt;C&gt;1&lt;/C&gt;&lt;D xsi:type="xsd:string"&gt;Unspecified&lt;/D&gt;&lt;/FQL&gt;&lt;FQL&gt;&lt;Q&gt;BSX^CS_EVENT_DESC_N("ER",4)&lt;/Q&gt;&lt;R&gt;1&lt;/R&gt;&lt;C&gt;1&lt;/C&gt;&lt;D xsi:type="xsd:string"&gt;Q4 2026 Earnings Release (Projected)&lt;/D&gt;&lt;/FQL&gt;&lt;FQL&gt;&lt;Q&gt;CCI^CS_EVENT_DATEJ_N("ER",4)&lt;/Q&gt;&lt;R&gt;1&lt;/R&gt;&lt;C&gt;1&lt;/C&gt;&lt;D xsi:type="xsd:long"&gt;46414&lt;/D&gt;&lt;/FQL&gt;&lt;FQL&gt;&lt;Q&gt;CCI^CS_EVENT_TIME_N("ER",4)&lt;/Q&gt;&lt;R&gt;1&lt;/R&gt;&lt;C&gt;1&lt;/C&gt;&lt;D xsi:type="xsd:string"&gt;Unspecified&lt;/D&gt;&lt;/FQL&gt;&lt;FQL&gt;&lt;Q&gt;CCI^CS_EVENT_DESC_N("ER",4)&lt;/Q&gt;&lt;R&gt;1&lt;/R&gt;&lt;C&gt;1&lt;/C&gt;&lt;D xsi:type="xsd:string"&gt;Q4 2026 Earnings Release (Projected)&lt;/D&gt;&lt;/FQL&gt;&lt;FQL&gt;&lt;Q&gt;EFX^CS_EVENT_DATEJ_N("ER",4)&lt;/Q&gt;&lt;R&gt;1&lt;/R&gt;&lt;C&gt;1&lt;/C&gt;&lt;D xsi:type="xsd:long"&gt;46428&lt;/D&gt;&lt;/FQL&gt;&lt;FQL&gt;&lt;Q&gt;EFX^CS_EVENT_TIME_N("ER",4)&lt;/Q&gt;&lt;R&gt;1&lt;/R&gt;&lt;C&gt;1&lt;/C&gt;&lt;D xsi:type="xsd:string"&gt;Unspecified&lt;/D&gt;&lt;/FQL&gt;&lt;FQL&gt;&lt;Q&gt;EFX^CS_EVENT_DESC_N("ER",4)&lt;/Q&gt;&lt;R&gt;1&lt;/R&gt;&lt;C&gt;1&lt;/C&gt;&lt;D xsi:type="xsd:string"&gt;Q4 2026 Earnings Release (Projected)&lt;/D&gt;&lt;/FQL&gt;&lt;FQL&gt;&lt;Q&gt;RJF^CS_EVENT_DATEJ_N("ER",4)&lt;/Q&gt;&lt;R&gt;1&lt;/R&gt;&lt;C&gt;1&lt;/C&gt;&lt;D xsi:type="xsd:long"&gt;46414&lt;/D&gt;&lt;/FQL&gt;&lt;FQL&gt;&lt;Q&gt;RJF^CS_EVENT_TIME_N("ER",4)&lt;/Q&gt;&lt;R&gt;1&lt;/R&gt;&lt;C&gt;1&lt;/C&gt;&lt;D xsi:type="xsd:string"&gt;Unspecified&lt;/D&gt;&lt;/FQL&gt;&lt;FQL&gt;&lt;Q&gt;RJF^CS_EVENT_DESC_N("ER",4)&lt;/Q&gt;&lt;R&gt;1&lt;/R&gt;&lt;C&gt;1&lt;/C&gt;&lt;D xsi:type="xsd:string"&gt;Q1 2027 Earnings Release (Projected)&lt;/D&gt;&lt;/FQL&gt;&lt;FQL&gt;&lt;Q&gt;IBM^CS_EVENT_DATEJ_N("ER",4)&lt;/Q&gt;&lt;R&gt;1&lt;/R&gt;&lt;C&gt;1&lt;/C&gt;&lt;D xsi:type="xsd:long"&gt;46414&lt;/D&gt;&lt;/FQL&gt;&lt;FQL&gt;&lt;Q&gt;IBM^CS_EVENT_TIME_N("ER",4)&lt;/Q&gt;&lt;R&gt;1&lt;/R&gt;&lt;C&gt;1&lt;/C&gt;&lt;D xsi:type="xsd:string"&gt;Unspecified&lt;/D&gt;&lt;/FQL&gt;&lt;FQL&gt;&lt;Q&gt;IBM^CS_EVENT_DESC_N("ER",4)&lt;/Q&gt;&lt;R&gt;1&lt;/R&gt;&lt;C&gt;1&lt;/C&gt;&lt;D xsi:type="xsd:string"&gt;Q4 2026 Earnings Release (Projected)&lt;/D&gt;&lt;/FQL&gt;&lt;FQL&gt;&lt;Q&gt;BA^CS_EVENT_DATEJ_N("ER",4)&lt;/Q&gt;&lt;R&gt;1&lt;/R&gt;&lt;C&gt;1&lt;/C&gt;&lt;D xsi:type="xsd:long"&gt;46414&lt;/D&gt;&lt;/FQL&gt;&lt;FQL&gt;&lt;Q&gt;BA^CS_EVENT_TIME_N("ER",4)&lt;/Q&gt;&lt;R&gt;1&lt;/R&gt;&lt;C&gt;1&lt;/C&gt;&lt;D xsi:type="xsd:string"&gt;Unspecified&lt;/D&gt;&lt;/FQL&gt;&lt;FQL&gt;&lt;Q&gt;BA^CS_EVENT_DESC_N("ER",4)&lt;/Q&gt;&lt;R&gt;1&lt;/R&gt;&lt;C&gt;1&lt;/C&gt;&lt;D xsi:type="xsd:string"&gt;Q4 2026 Earnings Release (Projected)&lt;/D&gt;&lt;/FQL&gt;&lt;FQL&gt;&lt;Q&gt;MAS^CS_EVENT_DATEJ_N("ER",4)&lt;/Q&gt;&lt;R&gt;1&lt;/R&gt;&lt;C&gt;1&lt;/C&gt;&lt;D xsi:type="xsd:long"&gt;46427&lt;/D&gt;&lt;/FQL&gt;&lt;FQL&gt;&lt;Q&gt;MAS^CS_EVENT_TIME_N("ER",4)&lt;/Q&gt;&lt;R&gt;1&lt;/R&gt;&lt;C&gt;1&lt;/C&gt;&lt;D xsi:type="xsd:string"&gt;Unspecified&lt;/D&gt;&lt;/FQL&gt;&lt;FQL&gt;&lt;Q&gt;MAS^CS_EVENT_DESC_N("ER",4)&lt;/Q&gt;&lt;R&gt;1&lt;/R&gt;&lt;C&gt;1&lt;/C&gt;&lt;D xsi:type="xsd:string"&gt;Q4 2026 Earnings Release (Projected)&lt;/D&gt;&lt;/FQL&gt;&lt;FQL&gt;&lt;Q&gt;WAB^CS_EVENT_DATEJ_N("ER",4)&lt;/Q&gt;&lt;R&gt;1&lt;/R&gt;&lt;C&gt;1&lt;/C&gt;&lt;D xsi:type="xsd:long"&gt;46435&lt;/D&gt;&lt;/FQL&gt;&lt;FQL&gt;&lt;Q&gt;WAB^CS_EVENT_TIME_N("ER",4)&lt;/Q&gt;&lt;R&gt;1&lt;/R&gt;&lt;C&gt;1&lt;/C&gt;&lt;D xsi:type="xsd:string"&gt;Unspecified&lt;/D&gt;&lt;/FQL&gt;&lt;FQL&gt;&lt;Q&gt;WAB^CS_EVENT_DESC_N("ER",4)&lt;/Q&gt;&lt;R&gt;1&lt;/R&gt;&lt;C&gt;1&lt;/C&gt;&lt;D xsi:type="xsd:string"&gt;Q4 2026 Earnings Release (Projected)&lt;/D&gt;&lt;/FQL&gt;&lt;FQL&gt;&lt;Q&gt;CSX^CS_EVENT_DATEJ_N("ER",4)&lt;/Q&gt;&lt;R&gt;1&lt;/R&gt;&lt;C&gt;1&lt;/C&gt;&lt;D xsi:type="xsd:long"&gt;46414&lt;/D&gt;&lt;/FQL&gt;&lt;FQL&gt;&lt;Q&gt;CSX^CS_EVENT_TIME_N("ER",4)&lt;/Q&gt;&lt;R&gt;1&lt;/R&gt;&lt;C&gt;1&lt;/C&gt;&lt;D xsi:type="xsd:string"&gt;Unspecified&lt;/D&gt;&lt;/FQL&gt;&lt;FQL&gt;&lt;Q&gt;CSX^CS_EVENT_DESC_N("ER",4)&lt;/Q&gt;&lt;R&gt;1&lt;/R&gt;&lt;C&gt;1&lt;/C&gt;&lt;D xsi:type="xsd:string"&gt;Q4 2026 Earnings Release (Projected)&lt;/D&gt;&lt;/FQL&gt;&lt;FQL&gt;&lt;Q&gt;LUV^CS_EVENT_DATEJ_N("ER",4)&lt;/Q&gt;&lt;R&gt;1&lt;/R&gt;&lt;C&gt;1&lt;/C&gt;&lt;D xsi:type="xsd:long"&gt;46415&lt;/D&gt;&lt;/FQL&gt;&lt;FQL&gt;&lt;Q&gt;LUV^CS_EVENT_TIME_N("ER",4)&lt;/Q&gt;&lt;R&gt;1&lt;/R&gt;&lt;C&gt;1&lt;/C&gt;&lt;D xsi:type="xsd:string"&gt;Unspecified&lt;/D&gt;&lt;/FQL&gt;&lt;FQL&gt;&lt;Q&gt;LUV^CS_EVENT_DESC_N("ER",4)&lt;/Q&gt;&lt;R&gt;1&lt;/R&gt;&lt;C&gt;1&lt;/C&gt;&lt;D xsi:type="xsd:string"&gt;Q4 2026 Earnings Release (Projected)&lt;/D&gt;&lt;/FQL&gt;&lt;FQL&gt;&lt;Q&gt;PKG^CS_EVENT_DATEJ_N("ER",4)&lt;/Q&gt;&lt;R&gt;1&lt;/R&gt;&lt;C&gt;1&lt;/C&gt;&lt;D xsi:type="xsd:long"&gt;46414&lt;/D&gt;&lt;/FQL&gt;&lt;FQL&gt;&lt;Q&gt;PKG^CS_EVENT_TIME_N("ER",4)&lt;/Q&gt;&lt;R&gt;1&lt;/R&gt;&lt;C&gt;1&lt;/C&gt;&lt;D xsi:type="xsd:string"&gt;Unspecified&lt;/D&gt;&lt;/FQL&gt;&lt;FQL&gt;&lt;Q&gt;PKG^CS_EVENT_DESC_N("ER",4)&lt;/Q&gt;&lt;R&gt;1&lt;/R&gt;&lt;C&gt;1&lt;/C&gt;&lt;D xsi:type="xsd:string"&gt;Q4 2026 Earnings Release (Projected)&lt;/D&gt;&lt;/FQL&gt;&lt;FQL&gt;&lt;Q&gt;KMI^CS_EVENT_DATEJ_N("ER",4)&lt;/Q&gt;&lt;R&gt;0&lt;/R&gt;&lt;C&gt;0&lt;/C&gt;&lt;/FQL&gt;&lt;FQL&gt;&lt;Q&gt;KMI^CS_EVENT_TIME_N("ER",4)&lt;/Q&gt;&lt;R&gt;0&lt;/R&gt;&lt;C&gt;0&lt;/C&gt;&lt;/FQL&gt;&lt;FQL&gt;&lt;Q&gt;KMI^CS_EVENT_DESC_N("ER",4)&lt;/Q&gt;&lt;R&gt;0&lt;/R&gt;&lt;C&gt;0&lt;/C&gt;&lt;/FQL&gt;&lt;FQL&gt;&lt;Q&gt;NDAQ^CS_EVENT_DATEJ_N("ER",4)&lt;/Q&gt;&lt;R&gt;1&lt;/R&gt;&lt;C&gt;1&lt;/C&gt;&lt;D xsi:type="xsd:long"&gt;46421&lt;/D&gt;&lt;/FQL&gt;&lt;FQL&gt;&lt;Q&gt;NDAQ^CS_EVENT_TIME_N("ER",4)&lt;/Q&gt;&lt;R&gt;1&lt;/R&gt;&lt;C&gt;1&lt;/C&gt;&lt;D xsi:type="xsd:string"&gt;Unspecified&lt;/D&gt;&lt;/FQL&gt;&lt;FQL&gt;&lt;Q&gt;NDAQ^CS_EVENT_DESC_N("ER",4)&lt;/Q&gt;&lt;R&gt;1&lt;/R&gt;&lt;C&gt;1&lt;/C&gt;&lt;D xsi:type="xsd:string"&gt;Q4 2026 Earnings Release (Projected)&lt;/D&gt;&lt;/FQL&gt;&lt;FQL&gt;&lt;Q&gt;ELV^CS_EVENT_DATEJ_N("ER",4)&lt;/Q&gt;&lt;R&gt;1&lt;/R&gt;&lt;C&gt;1&lt;/C&gt;&lt;D xsi:type="xsd:long"&gt;46414&lt;/D&gt;&lt;/FQL&gt;&lt;FQL&gt;&lt;Q&gt;ELV^CS_EVENT_TIME_N("ER",4)&lt;/Q&gt;&lt;R&gt;1&lt;/R&gt;&lt;C&gt;1&lt;/C&gt;&lt;D xsi:type="xsd:string"&gt;Unspecified&lt;/D&gt;&lt;/FQL&gt;&lt;FQL&gt;&lt;Q&gt;ELV^CS_EVENT_DESC_N("ER",4)&lt;/Q&gt;&lt;R&gt;1&lt;/R&gt;&lt;C&gt;1&lt;/C&gt;&lt;D xsi:type="xsd:string"&gt;Q4 2026 Earnings Release (Projected)&lt;/D&gt;&lt;/FQL&gt;&lt;FQL&gt;&lt;Q&gt;CME^CS_EVENT_DATEJ_N("ER",4)&lt;/Q&gt;&lt;R&gt;1&lt;/R&gt;&lt;C&gt;1&lt;/C&gt;&lt;D xsi:type="xsd:long"&gt;46428&lt;/D&gt;&lt;/FQL&gt;&lt;FQL&gt;&lt;Q&gt;CME^CS_EVENT_TIME_N("ER",4)&lt;/Q&gt;&lt;R&gt;1&lt;/R&gt;&lt;C&gt;1&lt;/C&gt;&lt;D xsi:type="xsd:string"&gt;Unspecified&lt;/D&gt;&lt;/FQL&gt;&lt;FQL&gt;&lt;Q&gt;CME^CS_EVENT_DESC_N("ER",4)&lt;/Q&gt;&lt;R&gt;1&lt;/R&gt;&lt;C&gt;1&lt;/C&gt;&lt;D xsi:type="xsd:string"&gt;Q4 2026 Earnings Release (Projected)&lt;/D&gt;&lt;/FQL&gt;&lt;FQL&gt;&lt;Q&gt;T^CS_EVENT_DATEJ_N("ER",4)&lt;/Q&gt;&lt;R&gt;1&lt;/R&gt;&lt;C&gt;1&lt;/C&gt;&lt;D xsi:type="xsd:long"&gt;46414&lt;/D&gt;&lt;/FQL&gt;&lt;FQL&gt;&lt;Q&gt;T^CS_EVENT_TIME_N("ER",4)&lt;/Q&gt;&lt;R&gt;1&lt;/R&gt;&lt;C&gt;1&lt;/C&gt;&lt;D xsi:type="xsd:string"&gt;Unspecified&lt;/D&gt;&lt;/FQL&gt;&lt;FQL&gt;&lt;Q&gt;T^CS_EVENT_DESC_N("ER",4)&lt;/Q&gt;&lt;R&gt;1&lt;/R&gt;&lt;C&gt;1&lt;/C&gt;&lt;D xsi:type="xsd:string"&gt;Q4 2026 Earnings Release (Projected)&lt;/D&gt;&lt;/FQL&gt;&lt;FQL&gt;&lt;Q&gt;VLTO^CS_EVENT_DATEJ_N("ER",3)&lt;/Q&gt;&lt;R&gt;1&lt;/R&gt;&lt;C&gt;1&lt;/C&gt;&lt;D xsi:type="xsd:long"&gt;46323&lt;/D&gt;&lt;/FQL&gt;&lt;FQL&gt;&lt;Q&gt;VLTO^CS_EVENT_TIME_N("ER",3)&lt;/Q&gt;&lt;R&gt;1&lt;/R&gt;&lt;C&gt;1&lt;/C&gt;&lt;D xsi:type="xsd:string"&gt;Unspecified&lt;/D&gt;&lt;/FQL&gt;&lt;FQL&gt;&lt;Q&gt;XYL^CS_EVENT_DATEJ_N("ER",3)&lt;/Q&gt;&lt;R&gt;1&lt;/R&gt;&lt;C&gt;1&lt;/C&gt;&lt;D xsi:type="xsd:long"&gt;46329&lt;/D&gt;&lt;/FQL&gt;&lt;FQL&gt;&lt;Q&gt;XYL^CS_EVENT_TIME_N("ER",3)&lt;/Q&gt;&lt;R&gt;1&lt;/R&gt;&lt;C&gt;1&lt;/C&gt;&lt;D xsi:type="xsd:string"&gt;Unspecified&lt;/D&gt;&lt;/FQL&gt;&lt;FQL&gt;&lt;Q&gt;ESS^CS_EVENT_TIME_N("ER",3)&lt;/Q&gt;&lt;R&gt;1&lt;/R&gt;&lt;C&gt;1&lt;/C&gt;&lt;D xsi:type="xsd:string"&gt;Unspecified&lt;/D&gt;&lt;/FQL&gt;&lt;FQL&gt;&lt;Q&gt;ESS^CS_EVENT_DESC_N("ER",3)&lt;/Q&gt;&lt;R&gt;1&lt;/R&gt;&lt;C&gt;1&lt;/C&gt;&lt;D xsi:type="xsd:string"&gt;Q3 2026 Earnings Release (Projected)&lt;/D&gt;&lt;/FQL&gt;&lt;FQL&gt;&lt;Q&gt;CDW^CS_EVENT_DESC_N("ER",3)&lt;/Q&gt;&lt;R&gt;1&lt;/R&gt;&lt;C&gt;1&lt;/C&gt;&lt;D xsi:type="xsd:string"&gt;Q3 2026 Earnings Release (Projected)&lt;/D&gt;&lt;/FQL&gt;&lt;FQL&gt;&lt;Q&gt;AWK^CS_EVENT_DESC_N("ER",3)&lt;/Q&gt;&lt;R&gt;1&lt;/R&gt;&lt;C&gt;1&lt;/C&gt;&lt;D xsi:type="xsd:string"&gt;Q3 2026 Earnings Release (Projected)&lt;/D&gt;&lt;/FQL&gt;&lt;FQL&gt;&lt;Q&gt;IR^CS_EVENT_DESC_N("ER",3)&lt;/Q&gt;&lt;R&gt;1&lt;/R&gt;&lt;C&gt;1&lt;/C&gt;&lt;D xsi:type="xsd:string"&gt;Q3 2026 Earnings Release (Projected)&lt;/D&gt;&lt;/FQL&gt;&lt;FQL&gt;&lt;Q&gt;FIS^CS_EVENT_DESC_N("ER",3)&lt;/Q&gt;&lt;R&gt;1&lt;/R&gt;&lt;C&gt;1&lt;/C&gt;&lt;D xsi:type="xsd:string"&gt;Q3 2026 Earnings Release (Projected)&lt;/D&gt;&lt;/FQL&gt;&lt;FQL&gt;&lt;Q&gt;NCLH^CS_EVENT_DESC_N("ER",3)&lt;/Q&gt;&lt;R&gt;1&lt;/R&gt;&lt;C&gt;1&lt;/C&gt;&lt;D xsi:type="xsd:string"&gt;Q4 2026 Earnings Release (Projected)&lt;/D&gt;&lt;/FQL&gt;&lt;FQL&gt;&lt;Q&gt;CF^CS_EVENT_DESC_N("ER",3)&lt;/Q&gt;&lt;R&gt;1&lt;/R&gt;&lt;C&gt;1&lt;/C&gt;&lt;D xsi:type="xsd:string"&gt;Q3 2026 Earnings Release&lt;/D&gt;&lt;/FQL&gt;&lt;FQL&gt;&lt;Q&gt;MOS^CS_EVENT_DESC_N("ER",3)&lt;/Q&gt;&lt;R&gt;1&lt;/R&gt;&lt;C&gt;1&lt;/C&gt;&lt;D xsi:type="xsd:string"&gt;Q3 2026 Earnings Release (Projected)&lt;/D&gt;&lt;/FQL&gt;&lt;FQL&gt;&lt;Q&gt;KHC^CS_EVENT_DESC_N("ER",3)&lt;/Q&gt;&lt;R&gt;1&lt;/R&gt;&lt;C&gt;1&lt;/C&gt;&lt;D xsi:type="xsd:string"&gt;Q3 2026 Earnings Release (Projected)&lt;/D&gt;&lt;/FQL&gt;&lt;FQL&gt;&lt;Q&gt;UBER^CS_EVENT_DESC_N("ER",3)&lt;/Q&gt;&lt;R&gt;1&lt;/R&gt;&lt;C&gt;1&lt;/C&gt;&lt;D xsi:type="xsd:string"&gt;Q3 2026 Earnings Release (Projected)&lt;/D&gt;&lt;/FQL&gt;&lt;FQL&gt;&lt;Q&gt;PSKY^CS_EVENT_DESC_N("ER",3)&lt;/Q&gt;&lt;R&gt;0&lt;/R&gt;&lt;C&gt;0&lt;/C&gt;&lt;/FQL&gt;&lt;FQL&gt;&lt;Q&gt;GEHC^CS_EVENT_DESC_N("ER",3)&lt;/Q&gt;&lt;R&gt;1&lt;/R&gt;&lt;C&gt;1&lt;/C&gt;&lt;D xsi:type="xsd:string"&gt;Q3 2026 Earnings Release (Projected)&lt;/D&gt;&lt;/FQL&gt;&lt;FQL&gt;&lt;Q&gt;HRL^CS_EVENT_TIME_N("ER",3)&lt;/Q&gt;&lt;R&gt;1&lt;/R&gt;&lt;C&gt;1&lt;/C&gt;&lt;D xsi:type="xsd:string"&gt;Unspecified&lt;/D&gt;&lt;/FQL&gt;&lt;FQL&gt;&lt;Q&gt;HRL^CS_EVENT_DESC_N("ER",3)&lt;/Q&gt;&lt;R&gt;1&lt;/R&gt;&lt;C&gt;1&lt;/C&gt;&lt;D xsi:type="xsd:string"&gt;Q4 2026 Earnings Release (Projected)&lt;/D&gt;&lt;/FQL&gt;&lt;FQL&gt;&lt;Q&gt;LULU^CS_EVENT_TIME_N("ER",3)&lt;/Q&gt;&lt;R&gt;1&lt;/R&gt;&lt;C&gt;1&lt;/C&gt;&lt;D xsi:type="xsd:string"&gt;Unspecified&lt;/D&gt;&lt;/FQL&gt;&lt;FQL&gt;&lt;Q&gt;LULU^CS_EVENT_DESC_N("ER",3)&lt;/Q&gt;&lt;R&gt;1&lt;/R&gt;&lt;C&gt;1&lt;/C&gt;&lt;D xsi:type="xsd:string"&gt;Q3 2026 Earnings Release (Projected)&lt;/D&gt;&lt;/FQL&gt;&lt;FQL&gt;&lt;Q&gt;NTAP^CS_EVENT_TIME_N("ER",3)&lt;/Q&gt;&lt;R&gt;1&lt;/R&gt;&lt;C&gt;1&lt;/C&gt;&lt;D xsi:type="xsd:string"&gt;Unspecified&lt;/D&gt;&lt;/FQL&gt;&lt;FQL&gt;&lt;Q&gt;NTAP^CS_EVENT_DESC_N("ER",3)&lt;/Q&gt;&lt;R&gt;1&lt;/R&gt;&lt;C&gt;1&lt;/C&gt;&lt;D xsi:type="xsd:string"&gt;Q2 2027 Earnings Release&lt;/D&gt;&lt;/FQL&gt;&lt;FQL&gt;&lt;Q&gt;DELL^CS_EVENT_TIME_N("ER",3)&lt;/Q&gt;&lt;R&gt;1&lt;/R&gt;&lt;C&gt;1&lt;/C&gt;&lt;D xsi:type="xsd:string"&gt;Unspecified&lt;/D&gt;&lt;/FQL&gt;&lt;FQL&gt;&lt;Q&gt;DELL^CS_EVENT_DESC_N("ER",3)&lt;/Q&gt;&lt;R&gt;1&lt;/R&gt;&lt;C&gt;1&lt;/C&gt;&lt;D xsi:type="xsd:string"&gt;Q3 2027 Earnings Release (Projected)&lt;/D&gt;&lt;/FQL&gt;&lt;FQL&gt;&lt;Q&gt;CRWD^CS_EVENT_TIME_N("ER",3)&lt;/Q&gt;&lt;R&gt;1&lt;/R&gt;&lt;C&gt;1&lt;/C&gt;&lt;D xsi:type="xsd:string"&gt;Unspecified&lt;/D&gt;&lt;/FQL&gt;&lt;FQL&gt;&lt;Q&gt;CRWD^CS_EVENT_DESC_N("ER",3)&lt;/Q&gt;&lt;R&gt;1&lt;/R&gt;&lt;C&gt;1&lt;/C&gt;&lt;D xsi:type="xsd:string"&gt;Q3 2027 Earnings Release (Projected)&lt;/D&gt;&lt;/FQL&gt;&lt;FQL&gt;&lt;Q&gt;COO^CS_EVENT_TIME_N("ER",3)&lt;/Q&gt;&lt;R&gt;1&lt;/R&gt;&lt;C&gt;1&lt;/C&gt;&lt;D xsi:type="xsd:string"&gt;Unspecified&lt;/D&gt;&lt;/FQL&gt;&lt;FQL&gt;&lt;Q&gt;COO^CS_EVENT_DESC_N("ER",3)&lt;/Q&gt;&lt;R&gt;1&lt;/R&gt;&lt;C&gt;1&lt;/C&gt;&lt;D xsi:type="xsd:string"&gt;Q1 2027 Earnings Release (Projected)&lt;/D&gt;&lt;/FQL&gt;&lt;FQL&gt;&lt;Q&gt;HPE^CS_EVENT_TIME_N("ER",3)&lt;/Q&gt;&lt;R&gt;1&lt;/R&gt;&lt;C&gt;1&lt;/C&gt;&lt;D xsi:type="xsd:string"&gt;Unspecified&lt;/D&gt;&lt;/FQL&gt;&lt;FQL&gt;&lt;Q&gt;HPE^CS_EVENT_DESC_N("ER",3)&lt;/Q&gt;&lt;R&gt;1&lt;/R&gt;&lt;C&gt;1&lt;/C&gt;&lt;D xsi:type="xsd:string"&gt;Q4 2026 Earnings Release (Projected)&lt;/D&gt;&lt;/FQL&gt;&lt;FQL&gt;&lt;Q&gt;CRM^CS_EVENT_TIME_N("ER",3)&lt;/Q&gt;&lt;R&gt;1&lt;/R&gt;&lt;C&gt;1&lt;/C&gt;&lt;D xsi:type="xsd:string"&gt;Unspecified&lt;/D&gt;&lt;/FQL&gt;&lt;FQL&gt;&lt;Q&gt;CRM^CS_EVENT_DESC_N("ER",3)&lt;/Q&gt;&lt;R&gt;1&lt;/R&gt;&lt;C&gt;1&lt;/C&gt;&lt;D xsi:type="xsd:string"&gt;Q3 2027 Earnings Release (Projected)&lt;/D&gt;&lt;/FQL&gt;&lt;FQL&gt;&lt;Q&gt;HPQ^CS_EVENT_TIME_N("ER",3)&lt;/Q&gt;&lt;R&gt;1&lt;/R&gt;&lt;C&gt;1&lt;/C&gt;&lt;D xsi:type="xsd:string"&gt;Unspecified&lt;/D&gt;&lt;/FQL&gt;&lt;FQL&gt;&lt;Q&gt;HPQ^CS_EVENT_DESC_N("ER",3)&lt;/Q&gt;&lt;R&gt;1&lt;/R&gt;&lt;C&gt;1&lt;/C&gt;&lt;D xsi:type="xsd:string"&gt;Q4 2026 Earnings Release (Projected)&lt;/D&gt;&lt;/FQL&gt;&lt;FQL&gt;&lt;Q&gt;SJM^CS_EVENT_TIME_N("ER",3)&lt;/Q&gt;&lt;R&gt;1&lt;/R&gt;&lt;C&gt;1&lt;/C&gt;&lt;D xsi:type="xsd:string"&gt;Unspecified&lt;/D&gt;&lt;/FQL&gt;&lt;FQL&gt;&lt;Q&gt;SJM^CS_EVENT_DESC_N("ER",3)&lt;/Q&gt;&lt;R&gt;1&lt;/R&gt;&lt;C&gt;1&lt;/C&gt;&lt;D xsi:type="xsd:string"&gt;Q2 2027 Earnings Release (Projected)&lt;/D&gt;&lt;/FQL&gt;&lt;FQL&gt;&lt;Q&gt;VLTO^CS_EVENT_DESC_N("ER",3)&lt;/Q&gt;&lt;R&gt;1&lt;/R&gt;&lt;C&gt;1&lt;/C&gt;&lt;D xsi:type="xsd:string"&gt;Q3 2026 Earnings Release (Projected)&lt;/D&gt;&lt;/FQL&gt;&lt;FQL&gt;&lt;Q&gt;XYL^CS_EVENT_DESC_N("ER",3)&lt;/Q&gt;&lt;R&gt;1&lt;/R&gt;&lt;C&gt;1&lt;/C&gt;&lt;D xsi:type="xsd:string"&gt;Q3 2026 Earnings Release (Projected)&lt;/D&gt;&lt;/FQL&gt;&lt;FQL&gt;&lt;Q&gt;MAA^CS_EVENT_DESC_N("ER",3)&lt;/Q&gt;&lt;R&gt;1&lt;/R&gt;&lt;C&gt;1&lt;/C&gt;&lt;D xsi:type="xsd:string"&gt;Q3 2026 Earnings Release (Projected)&lt;/D&gt;&lt;/FQL&gt;&lt;FQL&gt;&lt;Q&gt;XEL^CS_EVENT_TIME_N("ER",3)&lt;/Q&gt;&lt;R&gt;1&lt;/R&gt;&lt;C&gt;1&lt;/C&gt;&lt;D xsi:type="xsd:string"&gt;Unspecified&lt;/D&gt;&lt;/FQL&gt;&lt;FQL&gt;&lt;Q&gt;XEL^CS_EVENT_DESC_N("ER",3)&lt;/Q&gt;&lt;R&gt;1&lt;/R&gt;&lt;C&gt;1&lt;/C&gt;&lt;D xsi:type="xsd:string"&gt;Q3 2026 Earnings Release (Projected)&lt;/D&gt;&lt;/FQL&gt;&lt;FQL&gt;&lt;Q&gt;CMS^CS_EVENT_TIME_N("ER",3)&lt;/Q&gt;&lt;R&gt;1&lt;/R&gt;&lt;C&gt;1&lt;/C&gt;&lt;D xsi:type="xsd:string"&gt;Unspecified&lt;/D&gt;&lt;/FQL&gt;&lt;FQL&gt;&lt;Q&gt;CMS^CS_EVENT_DESC_N("ER",3)&lt;/Q&gt;&lt;R&gt;1&lt;/R&gt;&lt;C&gt;1&lt;/C&gt;&lt;D xsi:type="xsd:string"&gt;Q3 2026 Earnings Release (Projected)&lt;/D&gt;&lt;/FQL&gt;&lt;FQL&gt;&lt;Q&gt;MA^CS_EVENT_TIME_N("ER",3)&lt;/Q&gt;&lt;R&gt;1&lt;/R&gt;&lt;C&gt;1&lt;/C&gt;&lt;D xsi:type="xsd:string"&gt;Unspecified&lt;/D&gt;&lt;/FQL&gt;&lt;FQL&gt;&lt;Q&gt;MA^CS_EVENT_DESC_N("ER",3)&lt;/Q&gt;&lt;R&gt;1&lt;/R&gt;&lt;C&gt;1&lt;/C&gt;&lt;D xsi:type="xsd:string"&gt;Q3 2026 Earnings Release (Projected)&lt;/D&gt;&lt;/FQL&gt;&lt;FQL&gt;&lt;Q&gt;ABT^CS_EVENT_DESC_N("ER",3)&lt;/Q&gt;&lt;R&gt;1&lt;/R&gt;&lt;C&gt;1&lt;/C&gt;&lt;D xsi:type="xsd:string"&gt;Q3 2026 Earnings Release (Projected)&lt;/D&gt;&lt;/FQL&gt;&lt;FQL&gt;&lt;Q&gt;PPG^CS_EVENT_DESC_N("ER",3)&lt;/Q&gt;&lt;R&gt;1&lt;/R&gt;&lt;C&gt;1&lt;/C&gt;&lt;D xsi:type="xsd:string"&gt;Q3 2026 Earnings Release (Projected)&lt;/D&gt;&lt;/FQL&gt;&lt;FQL&gt;&lt;Q&gt;EXC^CS_EVENT_DATEJ_N("ER",3)&lt;/Q&gt;&lt;R&gt;1&lt;/R&gt;&lt;C&gt;1&lt;/C&gt;&lt;D xsi:type="xsd:long"&gt;46330&lt;/D&gt;&lt;/FQL&gt;&lt;FQL&gt;&lt;Q&gt;GNRC^CS_EVENT_DATEJ_N("ER",3)&lt;/Q&gt;&lt;R&gt;1&lt;/R&gt;&lt;C&gt;1&lt;/C&gt;&lt;D xsi:type="xsd:long"&gt;46330&lt;/D&gt;&lt;/FQL&gt;&lt;FQL&gt;&lt;Q&gt;CPAY^CS_EVENT_DATEJ_N("ER",3)&lt;/Q&gt;&lt;R&gt;1&lt;/R&gt;&lt;C&gt;1&lt;/C&gt;&lt;D xsi:type="xsd:long"&gt;46337&lt;/D&gt;&lt;/FQL&gt;&lt;FQL&gt;&lt;Q&gt;CDW^CS_EVENT_DATEJ_N("ER",3)&lt;/Q&gt;&lt;R&gt;1&lt;/R&gt;&lt;C&gt;1&lt;/C&gt;&lt;D xsi:type="xsd:long"&gt;46330&lt;/D&gt;&lt;/FQL&gt;&lt;FQL&gt;&lt;Q&gt;AWK^CS_EVENT_DATEJ_N("ER",3)&lt;/Q&gt;&lt;R&gt;1&lt;/R&gt;&lt;C&gt;1&lt;/C&gt;&lt;D xsi:type="xsd:long"&gt;46330&lt;/D&gt;&lt;/FQL&gt;&lt;FQL&gt;&lt;Q&gt;EXC^CS_EVENT_TIME_N("ER",3)&lt;/Q&gt;&lt;R&gt;1&lt;/R&gt;&lt;C&gt;1&lt;/C&gt;&lt;D xsi:type="xsd:string"&gt;Unspecified&lt;/D&gt;&lt;/FQL&gt;&lt;FQL&gt;&lt;Q&gt;EXC^CS_EVENT_DESC_N("ER",3)&lt;/Q&gt;&lt;R&gt;1&lt;/R&gt;&lt;C&gt;1&lt;/C&gt;&lt;D xsi:type="xsd:string"&gt;Q3 2026 Earnings Release (Projected)&lt;/D&gt;&lt;/FQL&gt;&lt;FQL&gt;&lt;Q&gt;GNRC^CS_EVENT_TIME_N("ER",3)&lt;/Q&gt;&lt;R&gt;1&lt;/R&gt;&lt;C&gt;1&lt;/C&gt;&lt;D xsi:type="xsd:string"&gt;Unspecified&lt;/D&gt;&lt;/FQL&gt;&lt;FQL&gt;&lt;Q&gt;GNRC^CS_EVENT_DESC_N("ER",3)&lt;/Q&gt;&lt;R&gt;1&lt;/R&gt;&lt;C&gt;1&lt;/C&gt;&lt;D xsi:type="xsd:string"&gt;Q3 2026 Earnings Release (Projected)&lt;/D&gt;&lt;/FQL&gt;&lt;FQL&gt;&lt;Q&gt;CPAY^CS_EVENT_TIME_N("ER",3)&lt;/Q&gt;&lt;R&gt;1&lt;/R&gt;&lt;C&gt;1&lt;/C&gt;&lt;D xsi:type="xsd:string"&gt;Unspecified&lt;/D&gt;&lt;/FQL&gt;&lt;FQL&gt;&lt;Q&gt;CPAY^CS_EVENT_DESC_N("ER",3)&lt;/Q&gt;&lt;R&gt;1&lt;/R&gt;&lt;C&gt;1&lt;/C&gt;&lt;D xsi:type="xsd:string"&gt;Q3 2026 Earnings Release (Projected)&lt;/D&gt;&lt;/FQL&gt;&lt;FQL&gt;&lt;Q&gt;ORCL^CS_EVENT_DATEJ_N("ER",3)&lt;/Q&gt;&lt;R&gt;1&lt;/R&gt;&lt;C&gt;1&lt;/C&gt;&lt;D xsi:type="xsd:long"&gt;46370&lt;/D&gt;&lt;/FQL&gt;&lt;FQL&gt;&lt;Q&gt;ORCL^CS_EVENT_TIME_N("ER",3)&lt;/Q&gt;&lt;R&gt;1&lt;/R&gt;&lt;C&gt;1&lt;/C&gt;&lt;D xsi:type="xsd:string"&gt;Unspecified&lt;/D&gt;&lt;/FQL&gt;&lt;FQL&gt;&lt;Q&gt;ACN^CS_EVENT_DATEJ_N("ER",3)&lt;/Q&gt;&lt;R&gt;1&lt;/R&gt;&lt;C&gt;1&lt;/C&gt;&lt;D xsi:type="xsd:long"&gt;46373&lt;/D&gt;&lt;/FQL&gt;&lt;FQL&gt;&lt;Q&gt;ACN^CS_EVENT_TIME_N("ER",3)&lt;/Q&gt;&lt;R&gt;1&lt;/R&gt;&lt;C&gt;1&lt;/C&gt;&lt;D xsi:type="xsd:string"&gt;Unspecified&lt;/D&gt;&lt;/FQL&gt;&lt;FQL&gt;&lt;Q&gt;JBL^CS_EVENT_DATEJ_N("ER",3)&lt;/Q&gt;&lt;R&gt;1&lt;/R&gt;&lt;C&gt;1&lt;/C&gt;&lt;D xsi:type="xsd:long"&gt;46366&lt;/D&gt;&lt;/FQL&gt;&lt;FQL&gt;&lt;Q&gt;JBL^CS_EVENT_TIME_N("ER",3)&lt;/Q&gt;&lt;R&gt;1&lt;/R&gt;&lt;C&gt;1&lt;/C&gt;&lt;D xsi:type="xsd:string"&gt;Unspecified&lt;/D&gt;&lt;/FQL&gt;&lt;FQL&gt;&lt;Q&gt;DRI^CS_EVENT_DATEJ_N("ER",3)&lt;/Q&gt;&lt;R&gt;1&lt;/R&gt;&lt;C&gt;1&lt;/C&gt;&lt;D xsi:type="xsd:long"&gt;46367&lt;/D&gt;&lt;/FQL&gt;&lt;FQL&gt;&lt;Q&gt;DRI^CS_EVENT_TIME_N("ER",3)&lt;/Q&gt;&lt;R&gt;1&lt;/R&gt;&lt;C&gt;1&lt;/C&gt;&lt;D xsi:type="xsd:string"&gt;Unspecified&lt;/D&gt;&lt;/FQL&gt;&lt;FQL&gt;&lt;Q&gt;FDS^CS_EVENT_DATEJ_N("ER",3)&lt;/Q&gt;&lt;R&gt;1&lt;/R&gt;&lt;C&gt;1&lt;/C&gt;&lt;D xsi:type="xsd:long"&gt;46373&lt;/D&gt;&lt;/FQL&gt;&lt;FQL&gt;&lt;Q&gt;FDS^CS_EVENT_TIME_N("ER",3)&lt;/Q&gt;&lt;R&gt;1&lt;/R&gt;&lt;C&gt;1&lt;/C&gt;&lt;D xsi:type="xsd:string"&gt;Unspecified&lt;/D&gt;&lt;/FQL&gt;&lt;FQL&gt;&lt;Q&gt;LEN^CS_EVENT_DATEJ_N("ER",3)&lt;/Q&gt;&lt;R&gt;1&lt;/R&gt;&lt;C&gt;1&lt;/C&gt;&lt;D xsi:type="xsd:long"&gt;46372&lt;/D&gt;&lt;/FQL&gt;&lt;FQL&gt;&lt;Q&gt;LEN^CS_EVENT_TIME_N("ER",3)&lt;/Q&gt;&lt;R&gt;1&lt;/R&gt;&lt;C&gt;1&lt;/C&gt;&lt;D xsi:type="xsd:string"&gt;Unspecified&lt;/D&gt;&lt;/FQL&gt;&lt;FQL&gt;&lt;Q&gt;FDX^CS_EVENT_DATEJ_N("ER",3)&lt;/Q&gt;&lt;R&gt;1&lt;/R&gt;&lt;C&gt;1&lt;/C&gt;&lt;D xsi:type="xsd:long"&gt;46378&lt;/D&gt;&lt;/FQL&gt;&lt;FQL&gt;&lt;Q&gt;FDX^CS_EVENT_TIME_N("ER",3)&lt;/Q&gt;&lt;R&gt;1&lt;/R&gt;&lt;C&gt;1&lt;/C&gt;&lt;D xsi:type="xsd:string"&gt;Unspecified&lt;/D&gt;&lt;/FQL&gt;&lt;FQL&gt;&lt;Q&gt;MKC^CS_EVENT_DATEJ_N("ER",3)&lt;/Q&gt;&lt;R&gt;1&lt;/R&gt;&lt;C&gt;1&lt;/C&gt;&lt;D xsi:type="xsd:long"&gt;46415&lt;/D&gt;&lt;/FQL&gt;&lt;FQL&gt;&lt;Q&gt;MKC^CS_EVENT_TIME_N("ER",3)&lt;/Q&gt;&lt;R&gt;1&lt;/R&gt;&lt;C&gt;1&lt;/C&gt;&lt;D xsi:type="xsd:string"&gt;Unspecified&lt;/D&gt;&lt;/FQL&gt;&lt;FQL&gt;&lt;Q&gt;NKE^CS_EVENT_DATEJ_N("ER",3)&lt;/Q&gt;&lt;R&gt;1&lt;/R&gt;&lt;C&gt;1&lt;/C&gt;&lt;D xsi:type="xsd:long"&gt;46373&lt;/D&gt;&lt;/FQL&gt;&lt;FQL&gt;&lt;Q&gt;NKE^CS_EVENT_TIME_N("ER",3)&lt;/Q&gt;&lt;R&gt;1&lt;/R&gt;&lt;C&gt;1&lt;/C&gt;&lt;D xsi:type="xsd:string"&gt;Unspecified&lt;/D&gt;&lt;/FQL&gt;&lt;FQL&gt;&lt;Q&gt;CCL^CS_EVENT_DATEJ_N("ER",3)&lt;/Q&gt;&lt;R&gt;1&lt;/R&gt;&lt;C&gt;1&lt;/C&gt;&lt;D xsi:type="xsd:long"&gt;46374&lt;/D&gt;&lt;/FQL&gt;&lt;FQL&gt;&lt;Q&gt;CCL^CS_EVENT_TIME_N("ER",3)&lt;/Q&gt;&lt;R&gt;1&lt;/R&gt;&lt;C&gt;1&lt;/C&gt;&lt;D xsi:type="xsd:string"&gt;Unspecified&lt;/D&gt;&lt;/FQL&gt;&lt;FQL&gt;&lt;Q&gt;GIS^CS_EVENT_DATEJ_N("ER",3)&lt;/Q&gt;&lt;R&gt;1&lt;/R&gt;&lt;C&gt;1&lt;/C&gt;&lt;D xsi:type="xsd:long"&gt;46379&lt;/D&gt;&lt;/FQL&gt;&lt;FQL&gt;&lt;Q&gt;GIS^CS_EVENT_TIME_N("ER",3)&lt;/Q&gt;&lt;R&gt;1&lt;/R&gt;&lt;C&gt;1&lt;/C&gt;&lt;D xsi:type="xsd:string"&gt;Unspecified&lt;/D&gt;&lt;/FQL&gt;&lt;FQL&gt;&lt;Q&gt;MU^CS_EVENT_DATEJ_N("ER",3)&lt;/Q&gt;&lt;R&gt;1&lt;/R&gt;&lt;C&gt;1&lt;/C&gt;&lt;D xsi:type="xsd:long"&gt;46379&lt;/D&gt;&lt;/FQL&gt;&lt;FQL&gt;&lt;Q&gt;MU^CS_EVENT_TIME_N("ER",3)&lt;/Q&gt;&lt;R&gt;1&lt;/R&gt;&lt;C&gt;1&lt;/C&gt;&lt;D xsi:type="xsd:string"&gt;Unspecified&lt;/D&gt;&lt;/FQL&gt;&lt;FQL&gt;&lt;Q&gt;PAYX^CS_EVENT_DATEJ_N("ER",3)&lt;/Q&gt;&lt;R&gt;1&lt;/R&gt;&lt;C&gt;1&lt;/C&gt;&lt;D xsi:type="xsd:long"&gt;46373&lt;/D&gt;&lt;/FQL&gt;&lt;FQL&gt;&lt;Q&gt;PAYX^CS_EVENT_TIME_N("ER",3)&lt;/Q&gt;&lt;R&gt;1&lt;/R&gt;&lt;C&gt;1&lt;/C&gt;&lt;D xsi:type="xsd:string"&gt;Unspecified&lt;/D&gt;&lt;/FQL&gt;&lt;FQL&gt;&lt;Q&gt;CTAS^CS_EVENT_DATEJ_N("ER",3)&lt;/Q&gt;&lt;R&gt;1&lt;/R&gt;&lt;C&gt;1&lt;/C&gt;&lt;D xsi:type="xsd:long"&gt;46373&lt;/D&gt;&lt;/FQL&gt;&lt;FQL&gt;&lt;Q&gt;CTAS^CS_EVENT_TIME_N("ER",3)&lt;/Q&gt;&lt;R&gt;1&lt;/R&gt;&lt;C&gt;1&lt;/C&gt;&lt;D xsi:type="xsd:string"&gt;Unspecified&lt;/D&gt;&lt;/FQL&gt;&lt;FQL&gt;&lt;Q&gt;AON^CS_EVENT_DATEJ_N("ER",3)&lt;/Q&gt;&lt;R&gt;1&lt;/R&gt;&lt;C&gt;1&lt;/C&gt;&lt;D xsi:type="xsd:long"&gt;46416&lt;/D&gt;&lt;/FQL&gt;&lt;FQL&gt;&lt;Q&gt;AON^CS_EVENT_TIME_N("ER",3)&lt;/Q&gt;&lt;R&gt;1&lt;/R&gt;&lt;C&gt;1&lt;/C&gt;&lt;D xsi:type="xsd:string"&gt;Unspecified&lt;/D&gt;&lt;/FQL&gt;&lt;FQL&gt;&lt;Q&gt;IQV^CS_EVENT_DATEJ_N("ER",3)&lt;/Q&gt;&lt;R&gt;1&lt;/R&gt;&lt;C&gt;1&lt;/C&gt;&lt;D xsi:type="xsd:long"&gt;46429&lt;/D&gt;&lt;/FQL&gt;&lt;FQL&gt;&lt;Q&gt;IQV^CS_EVENT_TIME_N("ER",3)&lt;/Q&gt;&lt;R&gt;1&lt;/R&gt;&lt;C&gt;1&lt;/C&gt;&lt;D xsi:type="xsd:string"&gt;Unspecified&lt;/D&gt;&lt;/FQL&gt;&lt;FQL&gt;&lt;Q&gt;IT^CS_EVENT_DATEJ_N("ER",3)&lt;/Q&gt;&lt;R&gt;1&lt;/R&gt;&lt;C&gt;1&lt;/C&gt;&lt;D xsi:type="xsd:long"&gt;46427&lt;/D&gt;&lt;/FQL&gt;&lt;FQL&gt;&lt;Q&gt;IT^CS_EVENT_TIME_N("ER",3)&lt;/Q&gt;&lt;R&gt;1&lt;/R&gt;&lt;C&gt;1&lt;/C&gt;&lt;D xsi:type="xsd:string"&gt;Unspecified&lt;/D&gt;&lt;/FQL&gt;&lt;FQL&gt;&lt;Q&gt;CIEN^CS_EVENT_DESC_N("ER",3)&lt;/Q&gt;&lt;R&gt;1&lt;/R&gt;&lt;C&gt;1&lt;/C&gt;&lt;D xsi:type="xsd:string"&gt;Q4 2026 Earnings Release (Projected)&lt;/D&gt;&lt;/FQL&gt;&lt;FQL&gt;&lt;Q&gt;AVGO^CS_EVENT_DESC_N("ER",3)&lt;/Q&gt;&lt;R&gt;1&lt;/R&gt;&lt;C&gt;1&lt;/C&gt;&lt;D xsi:type="xsd:string"&gt;Q4 2026 Earnings Release (Projected)&lt;/D&gt;&lt;/FQL&gt;&lt;FQL&gt;&lt;Q&gt;CPB^CS_EVENT_DESC_N("ER",3)&lt;/Q&gt;&lt;R&gt;1&lt;/R&gt;&lt;C&gt;1&lt;/C&gt;&lt;D xsi:type="xsd:string"&gt;Q1 2027 Earnings Release (Projected)&lt;/D&gt;&lt;/FQL&gt;&lt;FQL&gt;&lt;Q&gt;BF.B^CS_EVENT_DESC_N("ER",3)&lt;/Q&gt;&lt;R&gt;1&lt;/R&gt;&lt;C&gt;1&lt;/C&gt;&lt;D xsi:type="xsd:string"&gt;Q2 2027 Earnings Release (Projected)&lt;/D&gt;&lt;/FQL&gt;&lt;FQL&gt;&lt;Q&gt;ADBE^CS_EVENT_DESC_N("ER",3)&lt;/Q&gt;&lt;R&gt;1&lt;/R&gt;&lt;C&gt;1&lt;/C&gt;&lt;D xsi:type="xsd:string"&gt;Q4 2026 Earnings Release (Projected)&lt;/D&gt;&lt;/FQL&gt;&lt;FQL&gt;&lt;Q&gt;KR^CS_EVENT_DESC_N("ER",3)&lt;/Q&gt;&lt;R&gt;1&lt;/R&gt;&lt;C&gt;1&lt;/C&gt;&lt;D xsi:type="xsd:string"&gt;Q3 2026 Earnings Release (Projected)&lt;/D&gt;&lt;/FQL&gt;&lt;FQL&gt;&lt;Q&gt;ORCL^CS_EVENT_DESC_N("ER",3)&lt;/Q&gt;&lt;R&gt;1&lt;/R&gt;&lt;C&gt;1&lt;/C&gt;&lt;D xsi:type="xsd:string"&gt;Q2 2027 Earnings Release (Projected)&lt;/D&gt;&lt;/FQL&gt;&lt;FQL&gt;&lt;Q&gt;ACN^CS_EVENT_DESC_N("ER",3)&lt;/Q&gt;&lt;R&gt;1&lt;/R&gt;&lt;C&gt;1&lt;/C&gt;&lt;D xsi:type="xsd:string"&gt;Q1 2027 Earnings Release (Projected)&lt;/D&gt;&lt;/FQL&gt;&lt;FQL&gt;&lt;Q&gt;JBL^CS_EVENT_DESC_N("ER",3)&lt;/Q&gt;&lt;R&gt;1&lt;/R&gt;&lt;C&gt;1&lt;/C&gt;&lt;D xsi:type="xsd:string"&gt;Q1 2027 Earnings Release (Projected)&lt;/D&gt;&lt;/FQL&gt;&lt;FQL&gt;&lt;Q&gt;DRI^CS_EVENT_DESC_N("ER",3)&lt;/Q&gt;&lt;R&gt;1&lt;/R&gt;&lt;C&gt;1&lt;/C&gt;&lt;D xsi:type="xsd:string"&gt;Q2 2027 Earnings Release (Projected)&lt;/D&gt;&lt;/FQL&gt;&lt;FQL&gt;&lt;Q&gt;FDS^CS_EVENT_DESC_N("ER",3)&lt;/Q&gt;&lt;R&gt;1&lt;/R&gt;&lt;C&gt;1&lt;/C&gt;&lt;D xsi:type="xsd:string"&gt;Q1 2027 Earnings Release (Projected)&lt;/D&gt;&lt;/FQL&gt;&lt;FQL&gt;&lt;Q&gt;LEN^CS_EVENT_DESC_N("ER",3)&lt;/Q&gt;&lt;R&gt;1&lt;/R&gt;&lt;C&gt;1&lt;/C&gt;&lt;D xsi:type="xsd:string"&gt;Q4 2026 Earnings Release (Projected)&lt;/D&gt;&lt;/FQL&gt;&lt;FQL&gt;&lt;Q&gt;FDX^CS_EVENT_DESC_N("ER",3)&lt;/Q&gt;&lt;R&gt;1&lt;/R&gt;&lt;C&gt;1&lt;/C&gt;&lt;D xsi:type="xsd:string"&gt;Q2 2027 Earnings Release (Projected)&lt;/D&gt;&lt;/FQL&gt;&lt;FQL&gt;&lt;Q&gt;MKC^CS_EVENT_DESC_N("ER",3)&lt;/Q&gt;&lt;R&gt;1&lt;/R&gt;&lt;C&gt;1&lt;/C&gt;&lt;D xsi:type="xsd:string"&gt;Q4 2026 Earnings Release (Projected)&lt;/D&gt;&lt;/FQL&gt;&lt;FQL&gt;&lt;Q&gt;NKE^CS_EVENT_DESC_N("ER",3)&lt;/Q&gt;&lt;R&gt;1&lt;/R&gt;&lt;C&gt;1&lt;/C&gt;&lt;D xsi:type="xsd:string"&gt;Q2 2027 Earnings Release (Projected)&lt;/D&gt;&lt;/FQL&gt;&lt;FQL&gt;&lt;Q&gt;CCL^CS_EVENT_DESC_N("ER",3)&lt;/Q&gt;&lt;R&gt;1&lt;/R&gt;&lt;C&gt;1&lt;/C&gt;&lt;D xsi:type="xsd:string"&gt;Q4 2026 Earnings Release (Projected)&lt;/D&gt;&lt;/FQL&gt;&lt;FQL&gt;&lt;Q&gt;GIS^CS_EVENT_DESC_N("ER",3)&lt;/Q&gt;&lt;R&gt;1&lt;/R&gt;&lt;C&gt;1&lt;/C&gt;&lt;D xsi:type="xsd:string"&gt;Q2 2027 Earnings Release (Projected)&lt;/D&gt;&lt;/FQL&gt;&lt;FQL&gt;&lt;Q&gt;MU^CS_EVENT_DESC_N("ER",3)&lt;/Q&gt;&lt;R&gt;1&lt;/R&gt;&lt;C&gt;1&lt;/C&gt;&lt;D xsi:type="xsd:string"&gt;Q1 2027 Earnings Release (Projected)&lt;/D&gt;&lt;/FQL&gt;&lt;FQL&gt;&lt;Q&gt;PAYX^CS_EVENT_DESC_N("ER",3)&lt;/Q&gt;&lt;R&gt;1&lt;/R&gt;&lt;C&gt;1&lt;/C&gt;&lt;D xsi:type="xsd:string"&gt;Q2 2027 Earnings Release (Projected)&lt;/D&gt;&lt;/FQL&gt;&lt;FQL&gt;&lt;Q&gt;CTAS^CS_EVENT_DESC_N("ER",3)&lt;/Q&gt;&lt;R&gt;1&lt;/R&gt;&lt;C&gt;1&lt;/C&gt;&lt;D xsi:type="xsd:string"&gt;Q2 2027 Earnings Release (Projected)&lt;/D&gt;&lt;/FQL&gt;&lt;FQL&gt;&lt;Q&gt;AON^CS_EVENT_DESC_N("ER",3)&lt;/Q&gt;&lt;R&gt;1&lt;/R&gt;&lt;C&gt;1&lt;/C&gt;&lt;D xsi:type="xsd:string"&gt;Q4 2026 Earnings Release (Projected)&lt;/D&gt;&lt;/FQL&gt;&lt;FQL&gt;&lt;Q&gt;IQV^CS_EVENT_DESC_N("ER",3)&lt;/Q&gt;&lt;R&gt;1&lt;/R&gt;&lt;C&gt;1&lt;/C&gt;&lt;D xsi:type="xsd:string"&gt;Q4 2026 Earnings Release (Projected)&lt;/D&gt;&lt;/FQL&gt;&lt;FQL&gt;&lt;Q&gt;IT^CS_EVENT_DESC_N("ER",3)&lt;/Q&gt;&lt;R&gt;1&lt;/R&gt;&lt;C&gt;1&lt;/C&gt;&lt;D xsi:type="xsd:string"&gt;Q4 2026 Earnings Release (Projected)&lt;/D&gt;&lt;/FQL&gt;&lt;FQL&gt;&lt;Q&gt;HRL^CS_EVENT_DATEJ_N("ER",3)&lt;/Q&gt;&lt;R&gt;1&lt;/R&gt;&lt;C&gt;1&lt;/C&gt;&lt;D xsi:type="xsd:long"&gt;46358&lt;/D&gt;&lt;/FQL&gt;&lt;FQL&gt;&lt;Q&gt;LULU^CS_EVENT_DATEJ_N("ER",3)&lt;/Q&gt;&lt;R&gt;1&lt;/R&gt;&lt;C&gt;1&lt;/C&gt;&lt;D xsi:type="xsd:long"&gt;46359&lt;/D&gt;&lt;/FQL&gt;&lt;FQL&gt;&lt;Q&gt;NTAP^CS_EVENT_DATEJ_N("ER",3)&lt;/Q&gt;&lt;R&gt;1&lt;/R&gt;&lt;C&gt;1&lt;/C&gt;&lt;D xsi:type="xsd:long"&gt;46357&lt;/D&gt;&lt;/FQL&gt;&lt;FQL&gt;&lt;Q&gt;DELL^CS_EVENT_DATEJ_N("ER",3)&lt;/Q&gt;&lt;R&gt;1&lt;/R&gt;&lt;C&gt;1&lt;/C&gt;&lt;D xsi:type="xsd:long"&gt;46357&lt;/D&gt;&lt;/FQL&gt;&lt;FQL&gt;&lt;Q&gt;CRWD^CS_EVENT_DATEJ_N("ER",3)&lt;/Q&gt;&lt;R&gt;1&lt;/R&gt;&lt;C&gt;1&lt;/C&gt;&lt;D xsi:type="xsd:long"&gt;46357&lt;/D&gt;&lt;/FQL&gt;&lt;FQL&gt;&lt;Q&gt;COO^CS_EVENT_DATEJ_N("ER",3)&lt;/Q&gt;&lt;R&gt;1&lt;/R&gt;&lt;C&gt;1&lt;/C&gt;&lt;D xsi:type="xsd:long"&gt;46450&lt;/D&gt;&lt;/FQL&gt;&lt;FQL&gt;&lt;Q&gt;HPE^CS_EVENT_DATEJ_N("ER",3)&lt;/Q&gt;&lt;R&gt;1&lt;/R&gt;&lt;C&gt;1&lt;/C&gt;&lt;D xsi:type="xsd:long"&gt;46359&lt;/D&gt;&lt;/FQL&gt;&lt;FQL&gt;&lt;Q&gt;CRM^CS_EVENT_DATEJ_N("ER",3)&lt;/Q&gt;&lt;R&gt;1&lt;/R&gt;&lt;C&gt;1&lt;/C&gt;&lt;D xsi:type="xsd:long"&gt;46358&lt;/D&gt;&lt;/FQL&gt;&lt;FQL&gt;&lt;Q&gt;HPQ^CS_EVENT_DATEJ_N("ER",3)&lt;/Q&gt;&lt;R&gt;1&lt;/R&gt;&lt;C&gt;1&lt;/C&gt;&lt;D xsi:type="xsd:long"&gt;46357&lt;/D&gt;&lt;/FQL&gt;&lt;FQL&gt;&lt;Q&gt;SJM^CS_EVENT_DATEJ_N("ER",3)&lt;/Q&gt;&lt;R&gt;1&lt;/R&gt;&lt;C&gt;1&lt;/C&gt;&lt;D xsi:type="xsd:long"&gt;46350&lt;/D&gt;&lt;/FQL&gt;&lt;FQL&gt;&lt;Q&gt;CIEN^CS_EVENT_DATEJ_N("ER",3)&lt;/Q&gt;&lt;R&gt;1&lt;/R&gt;&lt;C&gt;1&lt;/C&gt;&lt;D xsi:type="xsd:long"&gt;46366&lt;/D&gt;&lt;/FQL&gt;&lt;FQL&gt;&lt;Q&gt;AVGO^CS_EVENT_DATEJ_N("ER",3)&lt;/Q&gt;&lt;R&gt;1&lt;/R&gt;&lt;C&gt;1&lt;/C&gt;&lt;D xsi:type="xsd:long"&gt;46366&lt;/D&gt;&lt;/FQL&gt;&lt;FQL&gt;&lt;Q&gt;CPB^CS_EVENT_DATEJ_N("ER",3)&lt;/Q&gt;&lt;R&gt;1&lt;/R&gt;&lt;C&gt;1&lt;/C&gt;&lt;D xsi:type="xsd:long"&gt;46365&lt;/D&gt;&lt;/FQL&gt;&lt;FQL&gt;&lt;Q&gt;BF.B^CS_EVENT_DATEJ_N("ER",3)&lt;/Q&gt;&lt;R&gt;1&lt;/R&gt;&lt;C&gt;1&lt;/C&gt;&lt;D xsi:type="xsd:long"&gt;46365&lt;/D&gt;&lt;/FQL&gt;&lt;FQL&gt;&lt;Q&gt;ADBE^CS_EVENT_DATEJ_N("ER",3)&lt;/Q&gt;&lt;R&gt;1&lt;/R&gt;&lt;C&gt;1&lt;/C&gt;&lt;D xsi:type="xsd:long"&gt;46366&lt;/D&gt;&lt;/FQL&gt;&lt;FQL&gt;&lt;Q&gt;KR^CS_EVENT_DATEJ_N("ER",3)&lt;/Q&gt;&lt;R&gt;1&lt;/R&gt;&lt;C&gt;1&lt;/C&gt;&lt;D xsi:type="xsd:long"&gt;46352&lt;/D&gt;&lt;/FQL&gt;&lt;FQL&gt;&lt;Q&gt;CIEN^CS_EVENT_TIME_N("ER",3)&lt;/Q&gt;&lt;R&gt;1&lt;/R&gt;&lt;C&gt;1&lt;/C&gt;&lt;D xsi:type="xsd:string"&gt;Unspecified&lt;/D&gt;&lt;/FQL&gt;&lt;FQL&gt;&lt;Q&gt;AVGO^CS_EVENT_TIME_N("ER",3)&lt;/Q&gt;&lt;R&gt;1&lt;/R&gt;&lt;C&gt;1&lt;/C&gt;&lt;D xsi:type="xsd:string"&gt;Unspecified&lt;/D&gt;&lt;/FQL&gt;&lt;FQL&gt;&lt;Q&gt;CPB^CS_EVENT_TIME_N("ER",3)&lt;/Q&gt;&lt;R&gt;1&lt;/R&gt;&lt;C&gt;1&lt;/C&gt;&lt;D xsi:type="xsd:string"&gt;Unspecified&lt;/D&gt;&lt;/FQL&gt;&lt;FQL&gt;&lt;Q&gt;BF.B^CS_EVENT_TIME_N("ER",3)&lt;/Q&gt;&lt;R&gt;1&lt;/R&gt;&lt;C&gt;1&lt;/C&gt;&lt;D xsi:type="xsd:string"&gt;Unspecified&lt;/D&gt;&lt;/FQL&gt;&lt;FQL&gt;&lt;Q&gt;ADBE^CS_EVENT_TIME_N("ER",3)&lt;/Q&gt;&lt;R&gt;1&lt;/R&gt;&lt;C&gt;1&lt;/C&gt;&lt;D xsi:type="xsd:string"&gt;Unspecified&lt;/D&gt;&lt;/FQL&gt;&lt;FQL&gt;&lt;Q&gt;KR^CS_EVENT_TIME_N("ER",3)&lt;/Q&gt;&lt;R&gt;1&lt;/R&gt;&lt;C&gt;1&lt;/C&gt;&lt;D xsi:type="xsd:string"&gt;Unspecified&lt;/D&gt;&lt;/FQL&gt;&lt;FQL&gt;&lt;Q&gt;EQIX^CS_EVENT_TIME_N("ER",3)&lt;/Q&gt;&lt;R&gt;1&lt;/R&gt;&lt;C&gt;1&lt;/C&gt;&lt;D xsi:type="xsd:string"&gt;Unspecified&lt;/D&gt;&lt;/FQL&gt;&lt;FQL&gt;&lt;Q&gt;EQIX^CS_EVENT_DESC_N("ER",3)&lt;/Q&gt;&lt;R&gt;1&lt;/R&gt;&lt;C&gt;1&lt;/C&gt;&lt;D xsi:type="xsd:string"&gt;Q3 2026 Earnings Release (Projected)&lt;/D&gt;&lt;/FQL&gt;&lt;FQL&gt;&lt;Q&gt;GRMN^CS_EVENT_TIME_N("ER",3)&lt;/Q&gt;&lt;R&gt;1&lt;/R&gt;&lt;C&gt;1&lt;/C&gt;&lt;D xsi:type="xsd:string"&gt;Unspecified&lt;/D&gt;&lt;/FQL&gt;&lt;FQL&gt;&lt;Q&gt;GRMN^CS_EVENT_DESC_N("ER",3)&lt;/Q&gt;&lt;R&gt;1&lt;/R&gt;&lt;C&gt;1&lt;/C&gt;&lt;D xsi:type="xsd:string"&gt;Q3 2026 Earnings Release (Projected)&lt;/D&gt;&lt;/FQL&gt;&lt;FQL&gt;&lt;Q&gt;MAA^CS_EVENT_DATEJ_N("ER",3)&lt;/Q&gt;&lt;R&gt;1&lt;/R&gt;&lt;C&gt;1&lt;/C&gt;&lt;D xsi:type="xsd:lon</t>
        </r>
      </text>
    </comment>
    <comment ref="A10" authorId="0" shapeId="0" xr:uid="{B9AC0950-9856-4992-83C4-AEB1C30DB86D}">
      <text>
        <r>
          <rPr>
            <b/>
            <sz val="9"/>
            <color indexed="81"/>
            <rFont val="Tahoma"/>
            <family val="2"/>
          </rPr>
          <t xml:space="preserve">g"&gt;46323&lt;/D&gt;&lt;/FQL&gt;&lt;FQL&gt;&lt;Q&gt;EQIX^CS_EVENT_DATEJ_N("ER",3)&lt;/Q&gt;&lt;R&gt;1&lt;/R&gt;&lt;C&gt;1&lt;/C&gt;&lt;D xsi:type="xsd:long"&gt;46330&lt;/D&gt;&lt;/FQL&gt;&lt;FQL&gt;&lt;Q&gt;GRMN^CS_EVENT_DATEJ_N("ER",3)&lt;/Q&gt;&lt;R&gt;1&lt;/R&gt;&lt;C&gt;1&lt;/C&gt;&lt;D xsi:type="xsd:long"&gt;46330&lt;/D&gt;&lt;/FQL&gt;&lt;FQL&gt;&lt;Q&gt;MAA^CS_EVENT_TIME_N("ER",3)&lt;/Q&gt;&lt;R&gt;1&lt;/R&gt;&lt;C&gt;1&lt;/C&gt;&lt;D xsi:type="xsd:string"&gt;Unspecified&lt;/D&gt;&lt;/FQL&gt;&lt;FQL&gt;&lt;Q&gt;DXCM^CS_EVENT_DESC_N("ER",3)&lt;/Q&gt;&lt;R&gt;1&lt;/R&gt;&lt;C&gt;1&lt;/C&gt;&lt;D xsi:type="xsd:string"&gt;Q3 2026 Earnings Release (Projected)&lt;/D&gt;&lt;/FQL&gt;&lt;FQL&gt;&lt;Q&gt;ALLE^CS_EVENT_DESC_N("ER",3)&lt;/Q&gt;&lt;R&gt;1&lt;/R&gt;&lt;C&gt;1&lt;/C&gt;&lt;D xsi:type="xsd:string"&gt;Q3 2026 Earnings Release (Projected)&lt;/D&gt;&lt;/FQL&gt;&lt;FQL&gt;&lt;Q&gt;DLR^CS_EVENT_DESC_N("ER",3)&lt;/Q&gt;&lt;R&gt;1&lt;/R&gt;&lt;C&gt;1&lt;/C&gt;&lt;D xsi:type="xsd:string"&gt;Q3 2026 Earnings Release (Projected)&lt;/D&gt;&lt;/FQL&gt;&lt;FQL&gt;&lt;Q&gt;KDP^CS_EVENT_DESC_N("ER",3)&lt;/Q&gt;&lt;R&gt;1&lt;/R&gt;&lt;C&gt;1&lt;/C&gt;&lt;D xsi:type="xsd:string"&gt;Q3 2026 Earnings Release (Projected)&lt;/D&gt;&lt;/FQL&gt;&lt;FQL&gt;&lt;Q&gt;BKR^CS_EVENT_DESC_N("ER",3)&lt;/Q&gt;&lt;R&gt;1&lt;/R&gt;&lt;C&gt;1&lt;/C&gt;&lt;D xsi:type="xsd:string"&gt;Q3 2026 Earnings Release (Projected)&lt;/D&gt;&lt;/FQL&gt;&lt;FQL&gt;&lt;Q&gt;CMCSA^CS_EVENT_DESC_N("ER",3)&lt;/Q&gt;&lt;R&gt;1&lt;/R&gt;&lt;C&gt;1&lt;/C&gt;&lt;D xsi:type="xsd:string"&gt;Q3 2026 Earnings Release (Projected)&lt;/D&gt;&lt;/FQL&gt;&lt;FQL&gt;&lt;Q&gt;CBRE^CS_EVENT_DESC_N("ER",3)&lt;/Q&gt;&lt;R&gt;1&lt;/R&gt;&lt;C&gt;1&lt;/C&gt;&lt;D xsi:type="xsd:string"&gt;Q3 2026 Earnings Release (Projected)&lt;/D&gt;&lt;/FQL&gt;&lt;FQL&gt;&lt;Q&gt;DOC^CS_EVENT_DESC_N("ER",3)&lt;/Q&gt;&lt;R&gt;1&lt;/R&gt;&lt;C&gt;1&lt;/C&gt;&lt;D xsi:type="xsd:string"&gt;Q3 2026 Earnings Release (Projected)&lt;/D&gt;&lt;/FQL&gt;&lt;FQL&gt;&lt;Q&gt;AMP^CS_EVENT_DESC_N("ER",3)&lt;/Q&gt;&lt;R&gt;1&lt;/R&gt;&lt;C&gt;1&lt;/C&gt;&lt;D xsi:type="xsd:string"&gt;Q3 2026 Earnings Release (Projected)&lt;/D&gt;&lt;/FQL&gt;&lt;FQL&gt;&lt;Q&gt;FSLR^CS_EVENT_DESC_N("ER",3)&lt;/Q&gt;&lt;R&gt;1&lt;/R&gt;&lt;C&gt;1&lt;/C&gt;&lt;D xsi:type="xsd:string"&gt;Q3 2026 Earnings Release (Projected)&lt;/D&gt;&lt;/FQL&gt;&lt;FQL&gt;&lt;Q&gt;FTV^CS_EVENT_DESC_N("ER",3)&lt;/Q&gt;&lt;R&gt;1&lt;/R&gt;&lt;C&gt;1&lt;/C&gt;&lt;D xsi:type="xsd:string"&gt;Q3 2026 Earnings Release (Projected)&lt;/D&gt;&lt;/FQL&gt;&lt;FQL&gt;&lt;Q&gt;DOW^CS_EVENT_DESC_N("ER",3)&lt;/Q&gt;&lt;R&gt;1&lt;/R&gt;&lt;C&gt;1&lt;/C&gt;&lt;D xsi:type="xsd:string"&gt;Q3 2026 Earnings Release&lt;/D&gt;&lt;/FQL&gt;&lt;FQL&gt;&lt;Q&gt;CARR^CS_EVENT_DESC_N("ER",3)&lt;/Q&gt;&lt;R&gt;1&lt;/R&gt;&lt;C&gt;1&lt;/C&gt;&lt;D xsi:type="xsd:string"&gt;Q3 2026 Earnings Release (Projected)&lt;/D&gt;&lt;/FQL&gt;&lt;FQL&gt;&lt;Q&gt;PLD^CS_EVENT_TIME_N("ER",3)&lt;/Q&gt;&lt;R&gt;1&lt;/R&gt;&lt;C&gt;1&lt;/C&gt;&lt;D xsi:type="xsd:string"&gt;Unspecified&lt;/D&gt;&lt;/FQL&gt;&lt;FQL&gt;&lt;Q&gt;PLD^CS_EVENT_DESC_N("ER",3)&lt;/Q&gt;&lt;R&gt;1&lt;/R&gt;&lt;C&gt;1&lt;/C&gt;&lt;D xsi:type="xsd:string"&gt;Q3 2026 Earnings Release (Projected)&lt;/D&gt;&lt;/FQL&gt;&lt;FQL&gt;&lt;Q&gt;KDP^CS_EVENT_DATEJ_N("ER",3)&lt;/Q&gt;&lt;R&gt;1&lt;/R&gt;&lt;C&gt;1&lt;/C&gt;&lt;D xsi:type="xsd:long"&gt;46317&lt;/D&gt;&lt;/FQL&gt;&lt;FQL&gt;&lt;Q&gt;KDP^CS_EVENT_TIME_N("ER",3)&lt;/Q&gt;&lt;R&gt;1&lt;/R&gt;&lt;C&gt;1&lt;/C&gt;&lt;D xsi:type="xsd:string"&gt;Unspecified&lt;/D&gt;&lt;/FQL&gt;&lt;FQL&gt;&lt;Q&gt;BKR^CS_EVENT_DATEJ_N("ER",3)&lt;/Q&gt;&lt;R&gt;1&lt;/R&gt;&lt;C&gt;1&lt;/C&gt;&lt;D xsi:type="xsd:long"&gt;46323&lt;/D&gt;&lt;/FQL&gt;&lt;FQL&gt;&lt;Q&gt;BKR^CS_EVENT_TIME_N("ER",3)&lt;/Q&gt;&lt;R&gt;1&lt;/R&gt;&lt;C&gt;1&lt;/C&gt;&lt;D xsi:type="xsd:string"&gt;Unspecified&lt;/D&gt;&lt;/FQL&gt;&lt;FQL&gt;&lt;Q&gt;CMCSA^CS_EVENT_DATEJ_N("ER",3)&lt;/Q&gt;&lt;R&gt;1&lt;/R&gt;&lt;C&gt;1&lt;/C&gt;&lt;D xsi:type="xsd:long"&gt;46324&lt;/D&gt;&lt;/FQL&gt;&lt;FQL&gt;&lt;Q&gt;CMCSA^CS_EVENT_TIME_N("ER",3)&lt;/Q&gt;&lt;R&gt;1&lt;/R&gt;&lt;C&gt;1&lt;/C&gt;&lt;D xsi:type="xsd:string"&gt;Unspecified&lt;/D&gt;&lt;/FQL&gt;&lt;FQL&gt;&lt;Q&gt;CBRE^CS_EVENT_DATEJ_N("ER",3)&lt;/Q&gt;&lt;R&gt;1&lt;/R&gt;&lt;C&gt;1&lt;/C&gt;&lt;D xsi:type="xsd:long"&gt;46317&lt;/D&gt;&lt;/FQL&gt;&lt;FQL&gt;&lt;Q&gt;CBRE^CS_EVENT_TIME_N("ER",3)&lt;/Q&gt;&lt;R&gt;1&lt;/R&gt;&lt;C&gt;1&lt;/C&gt;&lt;D xsi:type="xsd:string"&gt;Unspecified&lt;/D&gt;&lt;/FQL&gt;&lt;FQL&gt;&lt;Q&gt;DOC^CS_EVENT_DATEJ_N("ER",3)&lt;/Q&gt;&lt;R&gt;1&lt;/R&gt;&lt;C&gt;1&lt;/C&gt;&lt;D xsi:type="xsd:long"&gt;46317&lt;/D&gt;&lt;/FQL&gt;&lt;FQL&gt;&lt;Q&gt;DOC^CS_EVENT_TIME_N("ER",3)&lt;/Q&gt;&lt;R&gt;1&lt;/R&gt;&lt;C&gt;1&lt;/C&gt;&lt;D xsi:type="xsd:string"&gt;Unspecified&lt;/D&gt;&lt;/FQL&gt;&lt;FQL&gt;&lt;Q&gt;AMP^CS_EVENT_DATEJ_N("ER",3)&lt;/Q&gt;&lt;R&gt;1&lt;/R&gt;&lt;C&gt;1&lt;/C&gt;&lt;D xsi:type="xsd:long"&gt;46322&lt;/D&gt;&lt;/FQL&gt;&lt;FQL&gt;&lt;Q&gt;AMP^CS_EVENT_TIME_N("ER",3)&lt;/Q&gt;&lt;R&gt;1&lt;/R&gt;&lt;C&gt;1&lt;/C&gt;&lt;D xsi:type="xsd:string"&gt;Unspecified&lt;/D&gt;&lt;/FQL&gt;&lt;FQL&gt;&lt;Q&gt;FSLR^CS_EVENT_DATEJ_N("ER",3)&lt;/Q&gt;&lt;R&gt;1&lt;/R&gt;&lt;C&gt;1&lt;/C&gt;&lt;D xsi:type="xsd:long"&gt;46324&lt;/D&gt;&lt;/FQL&gt;&lt;FQL&gt;&lt;Q&gt;FSLR^CS_EVENT_TIME_N("ER",3)&lt;/Q&gt;&lt;R&gt;1&lt;/R&gt;&lt;C&gt;1&lt;/C&gt;&lt;D xsi:type="xsd:string"&gt;Unspecified&lt;/D&gt;&lt;/FQL&gt;&lt;FQL&gt;&lt;Q&gt;FTV^CS_EVENT_DATEJ_N("ER",3)&lt;/Q&gt;&lt;R&gt;1&lt;/R&gt;&lt;C&gt;1&lt;/C&gt;&lt;D xsi:type="xsd:long"&gt;46323&lt;/D&gt;&lt;/FQL&gt;&lt;FQL&gt;&lt;Q&gt;FTV^CS_EVENT_TIME_N("ER",3)&lt;/Q&gt;&lt;R&gt;1&lt;/R&gt;&lt;C&gt;1&lt;/C&gt;&lt;D xsi:type="xsd:string"&gt;Unspecified&lt;/D&gt;&lt;/FQL&gt;&lt;FQL&gt;&lt;Q&gt;DOW^CS_EVENT_DATEJ_N("ER",3)&lt;/Q&gt;&lt;R&gt;1&lt;/R&gt;&lt;C&gt;1&lt;/C&gt;&lt;D xsi:type="xsd:long"&gt;46317&lt;/D&gt;&lt;/FQL&gt;&lt;FQL&gt;&lt;Q&gt;DOW^CS_EVENT_TIME_N("ER",3)&lt;/Q&gt;&lt;R&gt;1&lt;/R&gt;&lt;C&gt;1&lt;/C&gt;&lt;D xsi:type="xsd:string"&gt;6:00 AM&lt;/D&gt;&lt;/FQL&gt;&lt;FQL&gt;&lt;Q&gt;CARR^CS_EVENT_DATEJ_N("ER",3)&lt;/Q&gt;&lt;R&gt;1&lt;/R&gt;&lt;C&gt;1&lt;/C&gt;&lt;D xsi:type="xsd:long"&gt;46317&lt;/D&gt;&lt;/FQL&gt;&lt;FQL&gt;&lt;Q&gt;CARR^CS_EVENT_TIME_N("ER",3)&lt;/Q&gt;&lt;R&gt;1&lt;/R&gt;&lt;C&gt;1&lt;/C&gt;&lt;D xsi:type="xsd:string"&gt;Unspecified&lt;/D&gt;&lt;/FQL&gt;&lt;FQL&gt;&lt;Q&gt;PPG^CS_EVENT_DATEJ_N("ER",3)&lt;/Q&gt;&lt;R&gt;1&lt;/R&gt;&lt;C&gt;1&lt;/C&gt;&lt;D xsi:type="xsd:long"&gt;46316&lt;/D&gt;&lt;/FQL&gt;&lt;FQL&gt;&lt;Q&gt;PPG^CS_EVENT_TIME_N("ER",3)&lt;/Q&gt;&lt;R&gt;1&lt;/R&gt;&lt;C&gt;1&lt;/C&gt;&lt;D xsi:type="xsd:string"&gt;Unspecified&lt;/D&gt;&lt;/FQL&gt;&lt;FQL&gt;&lt;Q&gt;CNC^CS_EVENT_DESC_N("ER",3)&lt;/Q&gt;&lt;R&gt;1&lt;/R&gt;&lt;C&gt;1&lt;/C&gt;&lt;D xsi:type="xsd:string"&gt;Q3 2026 Earnings Release&lt;/D&gt;&lt;/FQL&gt;&lt;FQL&gt;&lt;Q&gt;WM^CS_EVENT_DESC_N("ER",3)&lt;/Q&gt;&lt;R&gt;1&lt;/R&gt;&lt;C&gt;1&lt;/C&gt;&lt;D xsi:type="xsd:string"&gt;Q3 2026 Earnings Release (Projected)&lt;/D&gt;&lt;/FQL&gt;&lt;FQL&gt;&lt;Q&gt;EQR^CS_EVENT_DESC_N("ER",3)&lt;/Q&gt;&lt;R&gt;1&lt;/R&gt;&lt;C&gt;1&lt;/C&gt;&lt;D xsi:type="xsd:string"&gt;Q3 2026 Earnings Release (Projected)&lt;/D&gt;&lt;/FQL&gt;&lt;FQL&gt;&lt;Q&gt;ABT^CS_EVENT_TIME_N("ER",3)&lt;/Q&gt;&lt;R&gt;1&lt;/R&gt;&lt;C&gt;1&lt;/C&gt;&lt;D xsi:type="xsd:string"&gt;Unspecified&lt;/D&gt;&lt;/FQL&gt;&lt;FQL&gt;&lt;Q&gt;XEL^CS_EVENT_DATEJ_N("ER",3)&lt;/Q&gt;&lt;R&gt;1&lt;/R&gt;&lt;C&gt;1&lt;/C&gt;&lt;D xsi:type="xsd:long"&gt;46317&lt;/D&gt;&lt;/FQL&gt;&lt;FQL&gt;&lt;Q&gt;CMS^CS_EVENT_DATEJ_N("ER",3)&lt;/Q&gt;&lt;R&gt;1&lt;/R&gt;&lt;C&gt;1&lt;/C&gt;&lt;D xsi:type="xsd:long"&gt;46317&lt;/D&gt;&lt;/FQL&gt;&lt;FQL&gt;&lt;Q&gt;MA^CS_EVENT_DATEJ_N("ER",3)&lt;/Q&gt;&lt;R&gt;1&lt;/R&gt;&lt;C&gt;1&lt;/C&gt;&lt;D xsi:type="xsd:long"&gt;46317&lt;/D&gt;&lt;/FQL&gt;&lt;FQL&gt;&lt;Q&gt;DXCM^CS_EVENT_DATEJ_N("ER",3)&lt;/Q&gt;&lt;R&gt;1&lt;/R&gt;&lt;C&gt;1&lt;/C&gt;&lt;D xsi:type="xsd:long"&gt;46317&lt;/D&gt;&lt;/FQL&gt;&lt;FQL&gt;&lt;Q&gt;ALLE^CS_EVENT_DATEJ_N("ER",3)&lt;/Q&gt;&lt;R&gt;1&lt;/R&gt;&lt;C&gt;1&lt;/C&gt;&lt;D xsi:type="xsd:long"&gt;46317&lt;/D&gt;&lt;/FQL&gt;&lt;FQL&gt;&lt;Q&gt;DLR^CS_EVENT_DATEJ_N("ER",3)&lt;/Q&gt;&lt;R&gt;1&lt;/R&gt;&lt;C&gt;1&lt;/C&gt;&lt;D xsi:type="xsd:long"&gt;46317&lt;/D&gt;&lt;/FQL&gt;&lt;FQL&gt;&lt;Q&gt;DXCM^CS_EVENT_TIME_N("ER",3)&lt;/Q&gt;&lt;R&gt;1&lt;/R&gt;&lt;C&gt;1&lt;/C&gt;&lt;D xsi:type="xsd:string"&gt;Unspecified&lt;/D&gt;&lt;/FQL&gt;&lt;FQL&gt;&lt;Q&gt;ALLE^CS_EVENT_TIME_N("ER",3)&lt;/Q&gt;&lt;R&gt;1&lt;/R&gt;&lt;C&gt;1&lt;/C&gt;&lt;D xsi:type="xsd:string"&gt;Unspecified&lt;/D&gt;&lt;/FQL&gt;&lt;FQL&gt;&lt;Q&gt;DLR^CS_EVENT_TIME_N("ER",3)&lt;/Q&gt;&lt;R&gt;1&lt;/R&gt;&lt;C&gt;1&lt;/C&gt;&lt;D xsi:type="xsd:string"&gt;Unspecified&lt;/D&gt;&lt;/FQL&gt;&lt;FQL&gt;&lt;Q&gt;GEN^CS_EVENT_DATEJ_N("ER",3)&lt;/Q&gt;&lt;R&gt;1&lt;/R&gt;&lt;C&gt;1&lt;/C&gt;&lt;D xsi:type="xsd:long"&gt;46336&lt;/D&gt;&lt;/FQL&gt;&lt;FQL&gt;&lt;Q&gt;GEN^CS_EVENT_TIME_N("ER",3)&lt;/Q&gt;&lt;R&gt;1&lt;/R&gt;&lt;C&gt;1&lt;/C&gt;&lt;D xsi:type="xsd:string"&gt;Unspecified&lt;/D&gt;&lt;/FQL&gt;&lt;FQL&gt;&lt;Q&gt;GEN^CS_EVENT_DESC_N("ER",3)&lt;/Q&gt;&lt;R&gt;1&lt;/R&gt;&lt;C&gt;1&lt;/C&gt;&lt;D xsi:type="xsd:string"&gt;Q2 2027 Earnings Release (Projected)&lt;/D&gt;&lt;/FQL&gt;&lt;FQL&gt;&lt;Q&gt;TPR^CS_EVENT_DATEJ_N("ER",3)&lt;/Q&gt;&lt;R&gt;1&lt;/R&gt;&lt;C&gt;1&lt;/C&gt;&lt;D xsi:type="xsd:long"&gt;46331&lt;/D&gt;&lt;/FQL&gt;&lt;FQL&gt;&lt;Q&gt;TPR^CS_EVENT_TIME_N("ER",3)&lt;/Q&gt;&lt;R&gt;1&lt;/R&gt;&lt;C&gt;1&lt;/C&gt;&lt;D xsi:type="xsd:string"&gt;Unspecified&lt;/D&gt;&lt;/FQL&gt;&lt;FQL&gt;&lt;Q&gt;TPR^CS_EVENT_DESC_N("ER",3)&lt;/Q&gt;&lt;R&gt;1&lt;/R&gt;&lt;C&gt;1&lt;/C&gt;&lt;D xsi:type="xsd:string"&gt;Q1 2027 Earnings Release (Projected)&lt;/D&gt;&lt;/FQL&gt;&lt;FQL&gt;&lt;Q&gt;MCK^CS_EVENT_DATEJ_N("ER",3)&lt;/Q&gt;&lt;R&gt;1&lt;/R&gt;&lt;C&gt;1&lt;/C&gt;&lt;D xsi:type="xsd:long"&gt;46329&lt;/D&gt;&lt;/FQL&gt;&lt;FQL&gt;&lt;Q&gt;MCK^CS_EVENT_TIME_N("ER",3)&lt;/Q&gt;&lt;R&gt;1&lt;/R&gt;&lt;C&gt;1&lt;/C&gt;&lt;D xsi:type="xsd:string"&gt;Unspecified&lt;/D&gt;&lt;/FQL&gt;&lt;FQL&gt;&lt;Q&gt;MCK^CS_EVENT_DESC_N("ER",3)&lt;/Q&gt;&lt;R&gt;1&lt;/R&gt;&lt;C&gt;1&lt;/C&gt;&lt;D xsi:type="xsd:string"&gt;Q2 2027 Earnings Release (Projected)&lt;/D&gt;&lt;/FQL&gt;&lt;FQL&gt;&lt;Q&gt;AKAM^CS_EVENT_DATEJ_N("ER",3)&lt;/Q&gt;&lt;R&gt;1&lt;/R&gt;&lt;C&gt;1&lt;/C&gt;&lt;D xsi:type="xsd:long"&gt;46336&lt;/D&gt;&lt;/FQL&gt;&lt;FQL&gt;&lt;Q&gt;AKAM^CS_EVENT_TIME_N("ER",3)&lt;/Q&gt;&lt;R&gt;1&lt;/R&gt;&lt;C&gt;1&lt;/C&gt;&lt;D xsi:type="xsd:string"&gt;Unspecified&lt;/D&gt;&lt;/FQL&gt;&lt;FQL&gt;&lt;Q&gt;AKAM^CS_EVENT_DESC_N("ER",3)&lt;/Q&gt;&lt;R&gt;1&lt;/R&gt;&lt;C&gt;1&lt;/C&gt;&lt;D xsi:type="xsd:string"&gt;Q3 2026 Earnings Release (Projected)&lt;/D&gt;&lt;/FQL&gt;&lt;FQL&gt;&lt;Q&gt;GWW^CS_EVENT_DATEJ_N("ER",3)&lt;/Q&gt;&lt;R&gt;1&lt;/R&gt;&lt;C&gt;1&lt;/C&gt;&lt;D xsi:type="xsd:long"&gt;46330&lt;/D&gt;&lt;/FQL&gt;&lt;FQL&gt;&lt;Q&gt;GWW^CS_EVENT_TIME_N("ER",3)&lt;/Q&gt;&lt;R&gt;1&lt;/R&gt;&lt;C&gt;1&lt;/C&gt;&lt;D xsi:type="xsd:string"&gt;8:00 AM&lt;/D&gt;&lt;/FQL&gt;&lt;FQL&gt;&lt;Q&gt;GWW^CS_EVENT_DESC_N("ER",3)&lt;/Q&gt;&lt;R&gt;1&lt;/R&gt;&lt;C&gt;1&lt;/C&gt;&lt;D xsi:type="xsd:string"&gt;Q3 2026 Earnings Release&lt;/D&gt;&lt;/FQL&gt;&lt;FQL&gt;&lt;Q&gt;CRL^CS_EVENT_DATEJ_N("ER",3)&lt;/Q&gt;&lt;R&gt;1&lt;/R&gt;&lt;C&gt;1&lt;/C&gt;&lt;D xsi:type="xsd:long"&gt;46337&lt;/D&gt;&lt;/FQL&gt;&lt;FQL&gt;&lt;Q&gt;CRL^CS_EVENT_TIME_N("ER",3)&lt;/Q&gt;&lt;R&gt;1&lt;/R&gt;&lt;C&gt;1&lt;/C&gt;&lt;D xsi:type="xsd:string"&gt;Unspecified&lt;/D&gt;&lt;/FQL&gt;&lt;FQL&gt;&lt;Q&gt;CRL^CS_EVENT_DESC_N("ER",3)&lt;/Q&gt;&lt;R&gt;1&lt;/R&gt;&lt;C&gt;1&lt;/C&gt;&lt;D xsi:type="xsd:string"&gt;Q3 2026 Earnings Release (Projected)&lt;/D&gt;&lt;/FQL&gt;&lt;FQL&gt;&lt;Q&gt;SATS^CS_EVENT_DATEJ_N("ER",3)&lt;/Q&gt;&lt;R&gt;1&lt;/R&gt;&lt;C&gt;1&lt;/C&gt;&lt;D xsi:type="xsd:long"&gt;46337&lt;/D&gt;&lt;/FQL&gt;&lt;FQL&gt;&lt;Q&gt;SATS^CS_EVENT_TIME_N("ER",3)&lt;/Q&gt;&lt;R&gt;1&lt;/R&gt;&lt;C&gt;1&lt;/C&gt;&lt;D xsi:type="xsd:string"&gt;Unspecified&lt;/D&gt;&lt;/FQL&gt;&lt;FQL&gt;&lt;Q&gt;SATS^CS_EVENT_DESC_N("ER",3)&lt;/Q&gt;&lt;R&gt;1&lt;/R&gt;&lt;C&gt;1&lt;/C&gt;&lt;D xsi:type="xsd:string"&gt;Q3 2026 Earnings Release (Projected)&lt;/D&gt;&lt;/FQL&gt;&lt;FQL&gt;&lt;Q&gt;CEG^CS_EVENT_DATEJ_N("ER",3)&lt;/Q&gt;&lt;R&gt;1&lt;/R&gt;&lt;C&gt;1&lt;/C&gt;&lt;D xsi:type="xsd:long"&gt;46443&lt;/D&gt;&lt;/FQL&gt;&lt;FQL&gt;&lt;Q&gt;CEG^CS_EVENT_TIME_N("ER",3)&lt;/Q&gt;&lt;R&gt;1&lt;/R&gt;&lt;C&gt;1&lt;/C&gt;&lt;D xsi:type="xsd:string"&gt;Unspecified&lt;/D&gt;&lt;/FQL&gt;&lt;FQL&gt;&lt;Q&gt;CEG^CS_EVENT_DESC_N("ER",3)&lt;/Q&gt;&lt;R&gt;1&lt;/R&gt;&lt;C&gt;1&lt;/C&gt;&lt;D xsi:type="xsd:string"&gt;Q4 2026 Earnings Release (Projected)&lt;/D&gt;&lt;/FQL&gt;&lt;FQL&gt;&lt;Q&gt;NWS^CS_EVENT_DATEJ_N("ER",3)&lt;/Q&gt;&lt;R&gt;1&lt;/R&gt;&lt;C&gt;1&lt;/C&gt;&lt;D xsi:type="xsd:long"&gt;46331&lt;/D&gt;&lt;/FQL&gt;&lt;FQL&gt;&lt;Q&gt;NWS^CS_EVENT_TIME_N("ER",3)&lt;/Q&gt;&lt;R&gt;1&lt;/R&gt;&lt;C&gt;1&lt;/C&gt;&lt;D xsi:type="xsd:string"&gt;Unspecified&lt;/D&gt;&lt;/FQL&gt;&lt;FQL&gt;&lt;Q&gt;NWS^CS_EVENT_DESC_N("ER",3)&lt;/Q&gt;&lt;R&gt;1&lt;/R&gt;&lt;C&gt;1&lt;/C&gt;&lt;D xsi:type="xsd:string"&gt;Q1 2027 Earnings Release (Projected)&lt;/D&gt;&lt;/FQL&gt;&lt;FQL&gt;&lt;Q&gt;NWSA^CS_EVENT_DATEJ_N("ER",3)&lt;/Q&gt;&lt;R&gt;1&lt;/R&gt;&lt;C&gt;1&lt;/C&gt;&lt;D xsi:type="xsd:long"&gt;46331&lt;/D&gt;&lt;/FQL&gt;&lt;FQL&gt;&lt;Q&gt;NWSA^CS_EVENT_TIME_N("ER",3)&lt;/Q&gt;&lt;R&gt;1&lt;/R&gt;&lt;C&gt;1&lt;/C&gt;&lt;D xsi:type="xsd:string"&gt;Unspecified&lt;/D&gt;&lt;/FQL&gt;&lt;FQL&gt;&lt;Q&gt;NWSA^CS_EVENT_DESC_N("ER",3)&lt;/Q&gt;&lt;R&gt;1&lt;/R&gt;&lt;C&gt;1&lt;/C&gt;&lt;D xsi:type="xsd:string"&gt;Q1 2027 Earnings Release (Projected)&lt;/D&gt;&lt;/FQL&gt;&lt;FQL&gt;&lt;Q&gt;COIN^CS_EVENT_DATEJ_N("ER",3)&lt;/Q&gt;&lt;R&gt;1&lt;/R&gt;&lt;C&gt;1&lt;/C&gt;&lt;D xsi:type="xsd:long"&gt;46324&lt;/D&gt;&lt;/FQL&gt;&lt;FQL&gt;&lt;Q&gt;COIN^CS_EVENT_TIME_N("ER",3)&lt;/Q&gt;&lt;R&gt;1&lt;/R&gt;&lt;C&gt;1&lt;/C&gt;&lt;D xsi:type="xsd:string"&gt;Unspecified&lt;/D&gt;&lt;/FQL&gt;&lt;FQL&gt;&lt;Q&gt;COIN^CS_EVENT_DESC_N("ER",3)&lt;/Q&gt;&lt;R&gt;1&lt;/R&gt;&lt;C&gt;1&lt;/C&gt;&lt;D xsi:type="xsd:string"&gt;Q3 2026 Earnings Release (Projected)&lt;/D&gt;&lt;/FQL&gt;&lt;FQL&gt;&lt;Q&gt;TKO^CS_EVENT_DATEJ_N("ER",3)&lt;/Q&gt;&lt;R&gt;1&lt;/R&gt;&lt;C&gt;1&lt;/C&gt;&lt;D xsi:type="xsd:long"&gt;46337&lt;/D&gt;&lt;/FQL&gt;&lt;FQL&gt;&lt;Q&gt;TKO^CS_EVENT_TIME_N("ER",3)&lt;/Q&gt;&lt;R&gt;1&lt;/R&gt;&lt;C&gt;1&lt;/C&gt;&lt;D xsi:type="xsd:string"&gt;Unspecified&lt;/D&gt;&lt;/FQL&gt;&lt;FQL&gt;&lt;Q&gt;TKO^CS_EVENT_DESC_N("ER",3)&lt;/Q&gt;&lt;R&gt;1&lt;/R&gt;&lt;C&gt;1&lt;/C&gt;&lt;D xsi:type="xsd:string"&gt;Q3 2026 Earnings Release (Projected)&lt;/D&gt;&lt;/FQL&gt;&lt;FQL&gt;&lt;Q&gt;WBD^CS_EVENT_DATEJ_N("ER",3)&lt;/Q&gt;&lt;R&gt;1&lt;/R&gt;&lt;C&gt;1&lt;/C&gt;&lt;D xsi:type="xsd:long"&gt;46437&lt;/D&gt;&lt;/FQL&gt;&lt;FQL&gt;&lt;Q&gt;WBD^CS_EVENT_TIME_N("ER",3)&lt;/Q&gt;&lt;R&gt;1&lt;/R&gt;&lt;C&gt;1&lt;/C&gt;&lt;D xsi:type="xsd:string"&gt;Unspecified&lt;/D&gt;&lt;/FQL&gt;&lt;FQL&gt;&lt;Q&gt;WBD^CS_EVENT_DESC_N("ER",3)&lt;/Q&gt;&lt;R&gt;1&lt;/R&gt;&lt;C&gt;1&lt;/C&gt;&lt;D xsi:type="xsd:string"&gt;Q4 2026 Earnings Release (Projected)&lt;/D&gt;&lt;/FQL&gt;&lt;FQL&gt;&lt;Q&gt;SOLV^CS_EVENT_DATEJ_N("ER",3)&lt;/Q&gt;&lt;R&gt;1&lt;/R&gt;&lt;C&gt;1&lt;/C&gt;&lt;D xsi:type="xsd:long"&gt;46331&lt;/D&gt;&lt;/FQL&gt;&lt;FQL&gt;&lt;Q&gt;SOLV^CS_EVENT_TIME_N("ER",3)&lt;/Q&gt;&lt;R&gt;1&lt;/R&gt;&lt;C&gt;1&lt;/C&gt;&lt;D xsi:type="xsd:string"&gt;Unspecified&lt;/D&gt;&lt;/FQL&gt;&lt;FQL&gt;&lt;Q&gt;SOLV^CS_EVENT_DESC_N("ER",3)&lt;/Q&gt;&lt;R&gt;1&lt;/R&gt;&lt;C&gt;1&lt;/C&gt;&lt;D xsi:type="xsd:string"&gt;Q3 2026 Earnings Release (Projected)&lt;/D&gt;&lt;/FQL&gt;&lt;FQL&gt;&lt;Q&gt;TSN^CS_EVENT_DATEJ_N("ER",3)&lt;/Q&gt;&lt;R&gt;1&lt;/R&gt;&lt;C&gt;1&lt;/C&gt;&lt;D xsi:type="xsd:long"&gt;46342&lt;/D&gt;&lt;/FQL&gt;&lt;FQL&gt;&lt;Q&gt;TSN^CS_EVENT_TIME_N("ER",3)&lt;/Q&gt;&lt;R&gt;1&lt;/R&gt;&lt;C&gt;1&lt;/C&gt;&lt;D xsi:type="xsd:string"&gt;Unspecified&lt;/D&gt;&lt;/FQL&gt;&lt;FQL&gt;&lt;Q&gt;TSN^CS_EVENT_DESC_N("ER",3)&lt;/Q&gt;&lt;R&gt;1&lt;/R&gt;&lt;C&gt;1&lt;/C&gt;&lt;D xsi:type="xsd:string"&gt;Q4 2026 Earnings Release (Projected)&lt;/D&gt;&lt;/FQL&gt;&lt;FQL&gt;&lt;Q&gt;MCHP^CS_EVENT_DATEJ_N("ER",3)&lt;/Q&gt;&lt;R&gt;1&lt;/R&gt;&lt;C&gt;1&lt;/C&gt;&lt;D xsi:type="xsd:long"&gt;46324&lt;/D&gt;&lt;/FQL&gt;&lt;FQL&gt;&lt;Q&gt;MCHP^CS_EVENT_TIME_N("ER",3)&lt;/Q&gt;&lt;R&gt;1&lt;/R&gt;&lt;C&gt;1&lt;/C&gt;&lt;D xsi:type="xsd:string"&gt;Unspecified&lt;/D&gt;&lt;/FQL&gt;&lt;FQL&gt;&lt;Q&gt;MCHP^CS_EVENT_DESC_N("ER",3)&lt;/Q&gt;&lt;R&gt;1&lt;/R&gt;&lt;C&gt;1&lt;/C&gt;&lt;D xsi:type="xsd:string"&gt;Q2 2027 Earnings Release (Projected)&lt;/D&gt;&lt;/FQL&gt;&lt;FQL&gt;&lt;Q&gt;SPG^CS_EVENT_DATEJ_N("ER",3)&lt;/Q&gt;&lt;R&gt;1&lt;/R&gt;&lt;C&gt;1&lt;/C&gt;&lt;D xsi:type="xsd:long"&gt;46328&lt;/D&gt;&lt;/FQL&gt;&lt;FQL&gt;&lt;Q&gt;SPG^CS_EVENT_TIME_N("ER",3)&lt;/Q&gt;&lt;R&gt;1&lt;/R&gt;&lt;C&gt;1&lt;/C&gt;&lt;D xsi:type="xsd:string"&gt;Unspecified&lt;/D&gt;&lt;/FQL&gt;&lt;FQL&gt;&lt;Q&gt;SPG^CS_EVENT_DESC_N("ER",3)&lt;/Q&gt;&lt;R&gt;1&lt;/R&gt;&lt;C&gt;1&lt;/C&gt;&lt;D xsi:type="xsd:string"&gt;Q3 2026 Earnings Release (Projected)&lt;/D&gt;&lt;/FQL&gt;&lt;FQL&gt;&lt;Q&gt;IFF^CS_EVENT_DATEJ_N("ER",3)&lt;/Q&gt;&lt;R&gt;1&lt;/R&gt;&lt;C&gt;1&lt;/C&gt;&lt;D xsi:type="xsd:long"&gt;46335&lt;/D&gt;&lt;/FQL&gt;&lt;FQL&gt;&lt;Q&gt;IFF^CS_EVENT_TIME_N("ER",3)&lt;/Q&gt;&lt;R&gt;1&lt;/R&gt;&lt;C&gt;1&lt;/C&gt;&lt;D xsi:type="xsd:string"&gt;Unspecified&lt;/D&gt;&lt;/FQL&gt;&lt;FQL&gt;&lt;Q&gt;IFF^CS_EVENT_DESC_N("ER",3)&lt;/Q&gt;&lt;R&gt;1&lt;/R&gt;&lt;C&gt;1&lt;/C&gt;&lt;D xsi:type="xsd:string"&gt;Q3 2026 Earnings Release (Projected)&lt;/D&gt;&lt;/FQL&gt;&lt;FQL&gt;&lt;Q&gt;VTRS^CS_EVENT_DATEJ_N("ER",3)&lt;/Q&gt;&lt;R&gt;1&lt;/R&gt;&lt;C&gt;1&lt;/C&gt;&lt;D xsi:type="xsd:long"&gt;46335&lt;/D&gt;&lt;/FQL&gt;&lt;FQL&gt;&lt;Q&gt;VTRS^CS_EVENT_TIME_N("ER",3)&lt;/Q&gt;&lt;R&gt;1&lt;/R&gt;&lt;C&gt;1&lt;/C&gt;&lt;D xsi:type="xsd:string"&gt;Unspecified&lt;/D&gt;&lt;/FQL&gt;&lt;FQL&gt;&lt;Q&gt;VTRS^CS_EVENT_DESC_N("ER",3)&lt;/Q&gt;&lt;R&gt;1&lt;/R&gt;&lt;C&gt;1&lt;/C&gt;&lt;D xsi:type="xsd:string"&gt;Q3 2026 Earnings Release (Projected)&lt;/D&gt;&lt;/FQL&gt;&lt;FQL&gt;&lt;Q&gt;PLTR^CS_EVENT_DATEJ_N("ER",3)&lt;/Q&gt;&lt;R&gt;1&lt;/R&gt;&lt;C&gt;1&lt;/C&gt;&lt;D xsi:type="xsd:long"&gt;46335&lt;/D&gt;&lt;/FQL&gt;&lt;FQL&gt;&lt;Q&gt;PLTR^CS_EVENT_TIME_N("ER",3)&lt;/Q&gt;&lt;R&gt;1&lt;/R&gt;&lt;C&gt;1&lt;/C&gt;&lt;D xsi:type="xsd:string"&gt;Unspecified&lt;/D&gt;&lt;/FQL&gt;&lt;FQL&gt;&lt;Q&gt;PLTR^CS_EVENT_DESC_N("ER",3)&lt;/Q&gt;&lt;R&gt;1&lt;/R&gt;&lt;C&gt;1&lt;/C&gt;&lt;D xsi:type="xsd:string"&gt;Q3 2026 Earnings Release (Projected)&lt;/D&gt;&lt;/FQL&gt;&lt;FQL&gt;&lt;Q&gt;HSIC^CS_EVENT_DATEJ_N("ER",3)&lt;/Q&gt;&lt;R&gt;1&lt;/R&gt;&lt;C&gt;1&lt;/C&gt;&lt;D xsi:type="xsd:long"&gt;46329&lt;/D&gt;&lt;/FQL&gt;&lt;FQL&gt;&lt;Q&gt;HSIC^CS_EVENT_TIME_N("ER",3)&lt;/Q&gt;&lt;R&gt;1&lt;/R&gt;&lt;C&gt;1&lt;/C&gt;&lt;D xsi:type="xsd:string"&gt;Unspecified&lt;/D&gt;&lt;/FQL&gt;&lt;FQL&gt;&lt;Q&gt;HSIC^CS_EVENT_DESC_N("ER",3)&lt;/Q&gt;&lt;R&gt;1&lt;/R&gt;&lt;C&gt;1&lt;/C&gt;&lt;D xsi:type="xsd:string"&gt;Q3 2026 Earnings Release (Projected)&lt;/D&gt;&lt;/FQL&gt;&lt;FQL&gt;&lt;Q&gt;JKHY^CS_EVENT_DATEJ_N("ER",3)&lt;/Q&gt;&lt;R&gt;1&lt;/R&gt;&lt;C&gt;1&lt;/C&gt;&lt;D xsi:type="xsd:long"&gt;46336&lt;/D&gt;&lt;/FQL&gt;&lt;FQL&gt;&lt;Q&gt;JKHY^CS_EVENT_TIME_N("ER",3)&lt;/Q&gt;&lt;R&gt;1&lt;/R&gt;&lt;C&gt;1&lt;/C&gt;&lt;D xsi:type="xsd:string"&gt;Unspecified&lt;/D&gt;&lt;/FQL&gt;&lt;FQL&gt;&lt;Q&gt;JKHY^CS_EVENT_DESC_N("ER",3)&lt;/Q&gt;&lt;R&gt;1&lt;/R&gt;&lt;C&gt;1&lt;/C&gt;&lt;D xsi:type="xsd:string"&gt;Q1 2027 Earnings Release (Projected)&lt;/D&gt;&lt;/FQL&gt;&lt;FQL&gt;&lt;Q&gt;AXON^CS_EVENT_DATEJ_N("ER",3)&lt;/Q&gt;&lt;R&gt;1&lt;/R&gt;&lt;C&gt;1&lt;/C&gt;&lt;D xsi:type="xsd:long"&gt;46336&lt;/D&gt;&lt;/FQL&gt;&lt;FQL&gt;&lt;Q&gt;AXON^CS_EVENT_TIME_N("ER",3)&lt;/Q&gt;&lt;R&gt;1&lt;/R&gt;&lt;C&gt;1&lt;/C&gt;&lt;D xsi:type="xsd:string"&gt;Unspecified&lt;/D&gt;&lt;/FQL&gt;&lt;FQL&gt;&lt;Q&gt;AXON^CS_EVENT_DESC_N("ER",3)&lt;/Q&gt;&lt;R&gt;1&lt;/R&gt;&lt;C&gt;1&lt;/C&gt;&lt;D xsi:type="xsd:string"&gt;Q3 2026 Earnings Release (Projected)&lt;/D&gt;&lt;/FQL&gt;&lt;FQL&gt;&lt;Q&gt;WAT^CS_EVENT_DATEJ_N("ER",3)&lt;/Q&gt;&lt;R&gt;1&lt;/R&gt;&lt;C&gt;1&lt;/C&gt;&lt;D xsi:type="xsd:long"&gt;46329&lt;/D&gt;&lt;/FQL&gt;&lt;FQL&gt;&lt;Q&gt;WAT^CS_EVENT_TIME_N("ER",3)&lt;/Q&gt;&lt;R&gt;1&lt;/R&gt;&lt;C&gt;1&lt;/C&gt;&lt;D xsi:type="xsd:string"&gt;Unspecified&lt;/D&gt;&lt;/FQL&gt;&lt;FQL&gt;&lt;Q&gt;WAT^CS_EVENT_DESC_N("ER",3)&lt;/Q&gt;&lt;R&gt;1&lt;/R&gt;&lt;C&gt;1&lt;/C&gt;&lt;D xsi:type="xsd:string"&gt;Q3 2026 Earnings Release (Projected)&lt;/D&gt;&lt;/FQL&gt;&lt;FQL&gt;&lt;Q&gt;ZBRA^CS_EVENT_DATEJ_N("ER",3)&lt;/Q&gt;&lt;R&gt;1&lt;/R&gt;&lt;C&gt;1&lt;/C&gt;&lt;D xsi:type="xsd:long"&gt;46329&lt;/D&gt;&lt;/FQL&gt;&lt;FQL&gt;&lt;Q&gt;ZBRA^CS_EVENT_TIME_N("ER",3)&lt;/Q&gt;&lt;R&gt;1&lt;/R&gt;&lt;C&gt;1&lt;/C&gt;&lt;D xsi:type="xsd:string"&gt;6:30 AM&lt;/D&gt;&lt;/FQL&gt;&lt;FQL&gt;&lt;Q&gt;ZBRA^CS_EVENT_DESC_N("ER",3)&lt;/Q&gt;&lt;R&gt;1&lt;/R&gt;&lt;C&gt;1&lt;/C&gt;&lt;D xsi:type="xsd:string"&gt;Q3 2026 Earnings Release&lt;/D&gt;&lt;/FQL&gt;&lt;FQL&gt;&lt;Q&gt;EXPD^CS_EVENT_DATEJ_N("ER",3)&lt;/Q&gt;&lt;R&gt;1&lt;/R&gt;&lt;C&gt;1&lt;/C&gt;&lt;D xsi:type="xsd:long"&gt;46336&lt;/D&gt;&lt;/FQL&gt;&lt;FQL&gt;&lt;Q&gt;EXPD^CS_EVENT_TIME_N("ER",3)&lt;/Q&gt;&lt;R&gt;1&lt;/R&gt;&lt;C&gt;1&lt;/C&gt;&lt;D xsi:type="xsd:string"&gt;Unspecified&lt;/D&gt;&lt;/FQL&gt;&lt;FQL&gt;&lt;Q&gt;EXPD^CS_EVENT_DESC_N("ER",3)&lt;/Q&gt;&lt;R&gt;1&lt;/R&gt;&lt;C&gt;1&lt;/C&gt;&lt;D xsi:type="xsd:string"&gt;Q3 2026 Earnings Release (Projected)&lt;/D&gt;&lt;/FQL&gt;&lt;FQL&gt;&lt;Q&gt;OXY^CS_EVENT_DATEJ_N("ER",3)&lt;/Q&gt;&lt;R&gt;1&lt;/R&gt;&lt;C&gt;1&lt;/C&gt;&lt;D xsi:type="xsd:long"&gt;46336&lt;/D&gt;&lt;/FQL&gt;&lt;FQL&gt;&lt;Q&gt;OXY^CS_EVENT_TIME_N("ER",3)&lt;/Q&gt;&lt;R&gt;1&lt;/R&gt;&lt;C&gt;1&lt;/C&gt;&lt;D xsi:type="xsd:string"&gt;Unspecified&lt;/D&gt;&lt;/FQL&gt;&lt;FQL&gt;&lt;Q&gt;OXY^CS_EVENT_DESC_N("ER",3)&lt;/Q&gt;&lt;R&gt;1&lt;/R&gt;&lt;C&gt;1&lt;/C&gt;&lt;D xsi:type="xsd:string"&gt;Q3 2026 Earnings Release (Projected)&lt;/D&gt;&lt;/FQL&gt;&lt;FQL&gt;&lt;Q&gt;WYNN^CS_EVENT_DATEJ_N("ER",3)&lt;/Q&gt;&lt;R&gt;1&lt;/R&gt;&lt;C&gt;1&lt;/C&gt;&lt;D xsi:type="xsd:long"&gt;46331&lt;/D&gt;&lt;/FQL&gt;&lt;FQL&gt;&lt;Q&gt;WYNN^CS_EVENT_TIME_N("ER",3)&lt;/Q&gt;&lt;R&gt;1&lt;/R&gt;&lt;C&gt;1&lt;/C&gt;&lt;D xsi:type="xsd:string"&gt;Unspecified&lt;/D&gt;&lt;/FQL&gt;&lt;FQL&gt;&lt;Q&gt;WYNN^CS_EVENT_DESC_N("ER",3)&lt;/Q&gt;&lt;R&gt;1&lt;/R&gt;&lt;C&gt;1&lt;/C&gt;&lt;D xsi:type="xsd:string"&gt;Q3 2026 Earnings Release (Projected)&lt;/D&gt;&lt;/FQL&gt;&lt;FQL&gt;&lt;Q&gt;J^CS_EVENT_DATEJ_N("ER",3)&lt;/Q&gt;&lt;R&gt;1&lt;/R&gt;&lt;C&gt;1&lt;/C&gt;&lt;D xsi:type="xsd:long"&gt;46350&lt;/D&gt;&lt;/FQL&gt;&lt;FQL&gt;&lt;Q&gt;J^CS_EVENT_TIME_N("ER",3)&lt;/Q&gt;&lt;R&gt;1&lt;/R&gt;&lt;C&gt;1&lt;/C&gt;&lt;D xsi:type="xsd:string"&gt;Unspecified&lt;/D&gt;&lt;/FQL&gt;&lt;FQL&gt;&lt;Q&gt;J^CS_EVENT_DESC_N("ER",3)&lt;/Q&gt;&lt;R&gt;1&lt;/R&gt;&lt;C&gt;1&lt;/C&gt;&lt;D xsi:type="xsd:string"&gt;Q4 2026 Earnings Release (Projected)&lt;/D&gt;&lt;/FQL&gt;&lt;FQL&gt;&lt;Q&gt;TDG^CS_EVENT_DATEJ_N("ER",3)&lt;/Q&gt;&lt;R&gt;1&lt;/R&gt;&lt;C&gt;1&lt;/C&gt;&lt;D xsi:type="xsd:long"&gt;46344&lt;/D&gt;&lt;/FQL&gt;&lt;FQL&gt;&lt;Q&gt;TDG^CS_EVENT_TIME_N("ER",3)&lt;/Q&gt;&lt;R&gt;1&lt;/R&gt;&lt;C&gt;1&lt;/C&gt;&lt;D xsi:type="xsd:string"&gt;Unspecified&lt;/D&gt;&lt;/FQL&gt;&lt;FQL&gt;&lt;Q&gt;TDG^CS_EVENT_DESC_N("ER",3)&lt;/Q&gt;&lt;R&gt;1&lt;/R&gt;&lt;C&gt;1&lt;/C&gt;&lt;D xsi:type="xsd:string"&gt;Q4 2026 Earnings Release (Projected)&lt;/D&gt;&lt;/FQL&gt;&lt;FQL&gt;&lt;Q&gt;DUK^CS_EVENT_DATEJ_N("ER",3)&lt;/Q&gt;&lt;R&gt;1&lt;/R&gt;&lt;C&gt;1&lt;/C&gt;&lt;D xsi:type="xsd:long"&gt;46324&lt;/D&gt;&lt;/FQL&gt;&lt;FQL&gt;&lt;Q&gt;DUK^CS_EVENT_TIME_N("ER",3)&lt;/Q&gt;&lt;R&gt;1&lt;/R&gt;&lt;C&gt;1&lt;/C&gt;&lt;D xsi:type="xsd:string"&gt;Unspecified&lt;/D&gt;&lt;/FQL&gt;&lt;FQL&gt;&lt;Q&gt;DUK^CS_EVENT_DESC_N("ER",3)&lt;/Q&gt;&lt;R&gt;1&lt;/R&gt;&lt;C&gt;1&lt;/C&gt;&lt;D xsi:type="xsd:string"&gt;Q3 2026 Earnings Release (Projected)&lt;/D&gt;&lt;/FQL&gt;&lt;FQL&gt;&lt;Q&gt;LITE^CS_EVENT_DATEJ_N("ER",3)&lt;/Q&gt;&lt;R&gt;1&lt;/R&gt;&lt;C&gt;1&lt;/C&gt;&lt;D xsi:type="xsd:long"&gt;46336&lt;/D&gt;&lt;/FQL&gt;&lt;FQL&gt;&lt;Q&gt;LITE^CS_EVENT_TIME_N("ER",3)&lt;/Q&gt;&lt;R&gt;1&lt;/R&gt;&lt;C&gt;1&lt;/C&gt;&lt;D xsi:type="xsd:string"&gt;Unspecified&lt;/D&gt;&lt;/FQL&gt;&lt;FQL&gt;&lt;Q&gt;LITE^CS_EVENT_DESC_N("ER",3)&lt;/Q&gt;&lt;R&gt;1&lt;/R&gt;&lt;C&gt;1&lt;/C&gt;&lt;D xsi:type="xsd:string"&gt;Q1 2027 Earnings Release (Projected)&lt;/D&gt;&lt;/FQL&gt;&lt;FQL&gt;&lt;Q&gt;FOX^CS_EVENT_DATEJ_N("ER",3)&lt;/Q&gt;&lt;R&gt;1&lt;/R&gt;&lt;C&gt;1&lt;/C&gt;&lt;D xsi:type="xsd:long"&gt;46324&lt;/D&gt;&lt;/FQL&gt;&lt;FQL&gt;&lt;Q&gt;FOX^CS_EVENT_TIME_N("ER",3)&lt;/Q&gt;&lt;R&gt;1&lt;/R&gt;&lt;C&gt;1&lt;/C&gt;&lt;D xsi:type="xsd:string"&gt;Unspecified&lt;/D&gt;&lt;/FQL&gt;&lt;FQL&gt;&lt;Q&gt;FOX^CS_EVENT_DESC_N("ER",3)&lt;/Q&gt;&lt;R&gt;1&lt;/R&gt;&lt;C&gt;1&lt;/C&gt;&lt;D xsi:type="xsd:string"&gt;Q1 2027 Earnings Release (Projected)&lt;/D&gt;&lt;/FQL&gt;&lt;FQL&gt;&lt;Q&gt;FOXA^CS_EVENT_DATEJ_N("ER",3)&lt;/Q&gt;&lt;R&gt;1&lt;/R&gt;&lt;C&gt;1&lt;/C&gt;&lt;D xsi:type="xsd:long"&gt;46324&lt;/D&gt;&lt;/FQL&gt;&lt;FQL&gt;&lt;Q&gt;FOXA^CS_EVENT_TIME_N("ER",3)&lt;/Q&gt;&lt;R&gt;1&lt;/R&gt;&lt;C&gt;1&lt;/C&gt;&lt;D xsi:type="xsd:string"&gt;Unspecified&lt;/D&gt;&lt;/FQL&gt;&lt;FQL&gt;&lt;Q&gt;FOXA^CS_EVENT_DESC_N("ER",3)&lt;/Q&gt;&lt;R&gt;1&lt;/R&gt;&lt;C&gt;1&lt;/C&gt;&lt;D xsi:type="xsd:string"&gt;Q1 2027 Earnings Release (Projected)&lt;/D&gt;&lt;/FQL&gt;&lt;FQL&gt;&lt;Q&gt;COHR^CS_EVENT_DATEJ_N("ER",3)&lt;/Q&gt;&lt;R&gt;1&lt;/R&gt;&lt;C&gt;1&lt;/C&gt;&lt;D xsi:type="xsd:long"&gt;46337&lt;/D&gt;&lt;/FQL&gt;&lt;FQL&gt;&lt;Q&gt;COHR^CS_EVENT_TIME_N("ER",3)&lt;/Q&gt;&lt;R&gt;1&lt;/R&gt;&lt;C&gt;1&lt;/C&gt;&lt;D xsi:type="xsd:string"&gt;Unspecified&lt;/D&gt;&lt;/FQL&gt;&lt;FQL&gt;&lt;Q&gt;COHR^CS_EVENT_DESC_N("ER",3)&lt;/Q&gt;&lt;R&gt;1&lt;/R&gt;&lt;C&gt;1&lt;/C&gt;&lt;D xsi:type="xsd:string"&gt;Q1 2027 Earnings Release (Projected)&lt;/D&gt;&lt;/FQL&gt;&lt;FQL&gt;&lt;Q&gt;ATO^CS_EVENT_DATEJ_N("ER",3)&lt;/Q&gt;&lt;R&gt;1&lt;/R&gt;&lt;C&gt;1&lt;/C&gt;&lt;D xsi:type="xsd:long"&gt;46337&lt;/D&gt;&lt;/FQL&gt;&lt;FQL&gt;&lt;Q&gt;ATO^CS_EVENT_TIME_N("ER",3)&lt;/Q&gt;&lt;R&gt;1&lt;/R&gt;&lt;C&gt;1&lt;/C&gt;&lt;D xsi:type="xsd:string"&gt;Unspecified&lt;/D&gt;&lt;/FQL&gt;&lt;FQL&gt;&lt;Q&gt;ATO^CS_EVENT_DESC_N("ER",3)&lt;/Q&gt;&lt;R&gt;1&lt;/R&gt;&lt;C&gt;1&lt;/C&gt;&lt;D xsi:type="xsd:string"&gt;Q4 2026 Earnings Release (Projected)&lt;/D&gt;&lt;/FQL&gt;&lt;FQL&gt;&lt;Q&gt;NI^CS_EVENT_DATEJ_N("ER",3)&lt;/Q&gt;&lt;R&gt;1&lt;/R&gt;&lt;C&gt;1&lt;/C&gt;&lt;D xsi:type="xsd:long"&gt;46330&lt;/D&gt;&lt;/FQL&gt;&lt;FQL&gt;&lt;Q&gt;NI^CS_EVENT_TIME_N("ER",3)&lt;/Q&gt;&lt;R&gt;1&lt;/R&gt;&lt;C&gt;1&lt;/C&gt;&lt;D xsi:type="xsd:string"&gt;Unspecified&lt;/D&gt;&lt;/FQL&gt;&lt;FQL&gt;&lt;Q&gt;NI^CS_EVENT_DESC_N("ER",3)&lt;/Q&gt;&lt;R&gt;1&lt;/R&gt;&lt;C&gt;1&lt;/C&gt;&lt;D xsi:type="xsd:string"&gt;Q3 2026 Earnings Release (Projected)&lt;/D&gt;&lt;/FQL&gt;&lt;FQL&gt;&lt;Q&gt;DIS^CS_EVENT_DATEJ_N("ER",3)&lt;/Q&gt;&lt;R&gt;1&lt;/R&gt;&lt;C&gt;1&lt;/C&gt;&lt;D xsi:type="xsd:long"&gt;46338&lt;/D&gt;&lt;/FQL&gt;&lt;FQL&gt;&lt;Q&gt;DIS^CS_EVENT_TIME_N("ER",3)&lt;/Q&gt;&lt;R&gt;1&lt;/R&gt;&lt;C&gt;1&lt;/C&gt;&lt;D xsi:type="xsd:string"&gt;Unspecified&lt;/D&gt;&lt;/FQL&gt;&lt;FQL&gt;&lt;Q&gt;DIS^CS_EVENT_DESC_N("ER",3)&lt;/Q&gt;&lt;R&gt;1&lt;/R&gt;&lt;C&gt;1&lt;/C&gt;&lt;D xsi:type="xsd:string"&gt;Q4 2026 Earnings Release (Projected)&lt;/D&gt;&lt;/FQL&gt;&lt;FQL&gt;&lt;Q&gt;TTD^CS_EVENT_DATEJ_N("ER",3)&lt;/Q&gt;&lt;R&gt;1&lt;/R&gt;&lt;C&gt;1&lt;/C&gt;&lt;D xsi:type="xsd:long"&gt;46331&lt;/D&gt;&lt;/FQL&gt;&lt;FQL&gt;&lt;Q&gt;TTD^CS_EVENT_TIME_N("ER",3)&lt;/Q&gt;&lt;R&gt;1&lt;/R&gt;&lt;C&gt;1&lt;/C&gt;&lt;D xsi:type="xsd:string"&gt;Unspecified&lt;/D&gt;&lt;/FQL&gt;&lt;FQL&gt;&lt;Q&gt;TTD^CS_EVENT_DESC_N("ER",3)&lt;/Q&gt;&lt;R&gt;1&lt;/R&gt;&lt;C&gt;1&lt;/C&gt;&lt;D xsi:type="xsd:string"&gt;Q3 2026 Earnings Release (Projected)&lt;/D&gt;&lt;/FQL&gt;&lt;FQL&gt;&lt;Q&gt;VST^CS_EVENT_DATEJ_N("ER",3)&lt;/Q&gt;&lt;R&gt;1&lt;/R&gt;&lt;C&gt;1&lt;/C&gt;&lt;D xsi:type="xsd:long"&gt;46331&lt;/D&gt;&lt;/FQL&gt;&lt;FQL&gt;&lt;Q&gt;VST^CS_EVENT_TIME_N("ER",3)&lt;/Q&gt;&lt;R&gt;1&lt;/R&gt;&lt;C&gt;1&lt;/C&gt;&lt;D xsi:type="xsd:string"&gt;Unspecified&lt;/D&gt;&lt;/FQL&gt;&lt;FQL&gt;&lt;Q&gt;VST^CS_EVENT_DESC_N("ER",3)&lt;/Q&gt;&lt;R&gt;1&lt;/R&gt;&lt;C&gt;1&lt;/C&gt;&lt;D xsi:type="xsd:string"&gt;Q3 2026 Earnings Release (Projected)&lt;/D&gt;&lt;/FQL&gt;&lt;FQL&gt;&lt;Q&gt;CRH^CS_EVENT_DATEJ_N("ER",3)&lt;/Q&gt;&lt;R&gt;1&lt;/R&gt;&lt;C&gt;1&lt;/C&gt;&lt;D xsi:type="xsd:long"&gt;46331&lt;/D&gt;&lt;/FQL&gt;&lt;FQL&gt;&lt;Q&gt;CRH^CS_EVENT_TIME_N("ER",3)&lt;/Q&gt;&lt;R&gt;1&lt;/R&gt;&lt;C&gt;1&lt;/C&gt;&lt;D xsi:type="xsd:string"&gt;Unspecified&lt;/D&gt;&lt;/FQL&gt;&lt;FQL&gt;&lt;Q&gt;CRH^CS_EVENT_DESC_N("ER",3)&lt;/Q&gt;&lt;R&gt;1&lt;/R&gt;&lt;C&gt;1&lt;/C&gt;&lt;D xsi:type="xsd:string"&gt;Q3 2026 Earnings Release (Projected)&lt;/D&gt;&lt;/FQL&gt;&lt;FQL&gt;&lt;Q&gt;ABNB^CS_EVENT_DATEJ_N("ER",3)&lt;/Q&gt;&lt;R&gt;1&lt;/R&gt;&lt;C&gt;1&lt;/C&gt;&lt;D xsi:type="xsd:long"&gt;46330&lt;/D&gt;&lt;/FQL&gt;&lt;FQL&gt;&lt;Q&gt;ABNB^CS_EVENT_TIME_N("ER",3)&lt;/Q&gt;&lt;R&gt;1&lt;/R&gt;&lt;C&gt;1&lt;/C&gt;&lt;D xsi:type="xsd:string"&gt;Unspecified&lt;/D&gt;&lt;/FQL&gt;&lt;FQL&gt;&lt;Q&gt;ABNB^CS_EVENT_DESC_N("ER",3)&lt;/Q&gt;&lt;R&gt;1&lt;/R&gt;&lt;C&gt;1&lt;/C&gt;&lt;D xsi:type="xsd:string"&gt;Q3 2026 Earnings Release (Projected)&lt;/D&gt;&lt;/FQL&gt;&lt;FQL&gt;&lt;Q&gt;APP^CS_EVENT_DATEJ_N("ER",3)&lt;/Q&gt;&lt;R&gt;1&lt;/R&gt;&lt;C&gt;1&lt;/C&gt;&lt;D xsi:type="xsd:long"&gt;46337&lt;/D&gt;&lt;/FQL&gt;&lt;FQL&gt;&lt;Q&gt;APP^CS_EVENT_TIME_N("ER",3)&lt;/Q&gt;&lt;R&gt;1&lt;/R&gt;&lt;C&gt;1&lt;/C&gt;&lt;D xsi:type="xsd:string"&gt;Unspecified&lt;/D&gt;&lt;/FQL&gt;&lt;FQL&gt;&lt;Q&gt;APP^CS_EVENT_DESC_N("ER",3)&lt;/Q&gt;&lt;R&gt;1&lt;/R&gt;&lt;C&gt;1&lt;/C&gt;&lt;D xsi:type="xsd:string"&gt;Q3 2026 Earnings Release (Projected)&lt;/D&gt;&lt;/FQL&gt;&lt;FQL&gt;&lt;Q&gt;HOOD^CS_EVENT_DATEJ_N("ER",3)&lt;/Q&gt;&lt;R&gt;1&lt;/R&gt;&lt;C&gt;1&lt;/C&gt;&lt;D xsi:type="xsd:long"&gt;46330&lt;/D&gt;&lt;/FQL&gt;&lt;FQL&gt;&lt;Q&gt;HOOD^CS_EVENT_TIME_N("ER",3)&lt;/Q&gt;&lt;R&gt;1&lt;/R&gt;&lt;C&gt;1&lt;/C&gt;&lt;D xsi:type="xsd:string"&gt;Unspecified&lt;/D&gt;&lt;/FQL&gt;&lt;FQL&gt;&lt;Q&gt;HOOD^CS_EVENT_DESC_N("ER",3)&lt;/Q&gt;&lt;R&gt;1&lt;/R&gt;&lt;C&gt;1&lt;/C&gt;&lt;D xsi:type="xsd:string"&gt;Q3 2026 Earnings Release (Projected)&lt;/D&gt;&lt;/FQL&gt;&lt;FQL&gt;&lt;Q&gt;KVUE^CS_EVENT_DATEJ_N("ER",3)&lt;/Q&gt;&lt;R&gt;1&lt;/R&gt;&lt;C&gt;1&lt;/C&gt;&lt;D xsi:type="xsd:long"&gt;46337&lt;/D&gt;&lt;/FQL&gt;&lt;FQL&gt;&lt;Q&gt;KVUE^CS_EVENT_TIME_N("ER",3)&lt;/Q&gt;&lt;R&gt;1&lt;/R&gt;&lt;C&gt;1&lt;/C&gt;&lt;D xsi:type="xsd:string"&gt;Unspecified&lt;/D&gt;&lt;/FQL&gt;&lt;FQL&gt;&lt;Q&gt;KVUE^CS_EVENT_DESC_N("ER",3)&lt;/Q&gt;&lt;R&gt;1&lt;/R&gt;&lt;C&gt;1&lt;/C&gt;&lt;D xsi:type="xsd:string"&gt;Q3 2026 Earnings Release (Projected)&lt;/D&gt;&lt;/FQL&gt;&lt;FQL&gt;&lt;Q&gt;TTWO^CS_EVENT_DATEJ_N("ER",3)&lt;/Q&gt;&lt;R&gt;1&lt;/R&gt;&lt;C&gt;1&lt;/C&gt;&lt;D xsi:type="xsd:long"&gt;46337&lt;/D&gt;&lt;/FQL&gt;&lt;FQL&gt;&lt;Q&gt;TTWO^CS_EVENT_TIME_N("ER",3)&lt;/Q&gt;&lt;R&gt;1&lt;/R&gt;&lt;C&gt;1&lt;/C&gt;&lt;D xsi:type="xsd:string"&gt;Unspecified&lt;/D&gt;&lt;/FQL&gt;&lt;FQL&gt;&lt;Q&gt;TTWO^CS_EVENT_DESC_N("ER",3)&lt;/Q&gt;&lt;R&gt;1&lt;/R&gt;&lt;C&gt;1&lt;/C&gt;&lt;D xsi:type="xsd:string"&gt;Q2 2027 Earnings Release (Projected)&lt;/D&gt;&lt;/FQL&gt;&lt;FQL&gt;&lt;Q&gt;ROST^CS_EVENT_DATEJ_N("ER",3)&lt;/Q&gt;&lt;R&gt;1&lt;/R&gt;&lt;C&gt;1&lt;/C&gt;&lt;D xsi:type="xsd:long"&gt;46338&lt;/D&gt;&lt;/FQL&gt;&lt;FQL&gt;&lt;Q&gt;ROST^CS_EVENT_TIME_N("ER",3)&lt;/Q&gt;&lt;R&gt;1&lt;/R&gt;&lt;C&gt;1&lt;/C&gt;&lt;D xsi:type="xsd:string"&gt;Unspecified&lt;/D&gt;&lt;/FQL&gt;&lt;FQL&gt;&lt;Q&gt;ROST^CS_EVENT_DESC_N("ER",3)&lt;/Q&gt;&lt;R&gt;1&lt;/R&gt;&lt;C&gt;1&lt;/C&gt;&lt;D xsi:type="xsd:string"&gt;Q3 2026 Earnings Release (Projected)&lt;/D&gt;&lt;/FQL&gt;&lt;FQL&gt;&lt;Q&gt;WMT^CS_EVENT_DATEJ_N("ER",3)&lt;/Q&gt;&lt;R&gt;1&lt;/R&gt;&lt;C&gt;1&lt;/C&gt;&lt;D xsi:type="xsd:long"&gt;46350&lt;/D&gt;&lt;/FQL&gt;&lt;FQL&gt;&lt;Q&gt;WMT^CS_EVENT_TIME_N("ER",3)&lt;/Q&gt;&lt;R&gt;1&lt;/R&gt;&lt;C&gt;1&lt;/C&gt;&lt;D xsi:type="xsd:string"&gt;Unspecified&lt;/D&gt;&lt;/FQL&gt;&lt;FQL&gt;&lt;Q&gt;WMT^CS_EVENT_DESC_N("ER",3)&lt;/Q&gt;&lt;R&gt;1&lt;/R&gt;&lt;C&gt;1&lt;/C&gt;&lt;D xsi:type="xsd:string"&gt;Q3 2027 Earnings Release (Projected)&lt;/D&gt;&lt;/FQL&gt;&lt;FQL&gt;&lt;Q&gt;AMAT^CS_EVENT_DATEJ_N("ER",3)&lt;/Q&gt;&lt;R&gt;1&lt;/R&gt;&lt;C&gt;1&lt;/C&gt;&lt;D xsi:type="xsd:long"&gt;46338&lt;/D&gt;&lt;/FQL&gt;&lt;FQL&gt;&lt;Q&gt;AMAT^CS_EVENT_TIME_N("ER",3)&lt;/Q&gt;&lt;R&gt;1&lt;/R&gt;&lt;C&gt;1&lt;/C&gt;&lt;D xsi:type="xsd:string"&gt;4:01 PM&lt;/D&gt;&lt;/FQL&gt;&lt;FQL&gt;&lt;Q&gt;AMAT^CS_EVENT_DESC_N("ER",3)&lt;/Q&gt;&lt;R&gt;1&lt;/R&gt;&lt;C&gt;1&lt;/C&gt;&lt;D xsi:type="xsd:string"&gt;Q4 2026 Earnings Release&lt;/D&gt;&lt;/FQL&gt;&lt;FQL&gt;&lt;Q&gt;HD^CS_EVENT_DATEJ_N("ER",3)&lt;/Q&gt;&lt;R&gt;1&lt;/R&gt;&lt;C&gt;1&lt;/C&gt;&lt;D xsi:type="xsd:long"&gt;46343&lt;/D&gt;&lt;/FQL&gt;&lt;FQL&gt;&lt;Q&gt;HD^CS_EVENT_TIME_N("ER",3)&lt;/Q&gt;&lt;R&gt;1&lt;/R&gt;&lt;C&gt;1&lt;/C&gt;&lt;D xsi:type="xsd:string"&gt;Unspecified&lt;/D&gt;&lt;/FQL&gt;&lt;FQL&gt;&lt;Q&gt;HD^CS_EVENT_DESC_N("ER",3)&lt;/Q&gt;&lt;R&gt;1&lt;/R&gt;&lt;C&gt;1&lt;/C&gt;&lt;D xsi:type="xsd:string"&gt;Q3 2026 Earnings Release (Projected)&lt;/D&gt;&lt;/FQL&gt;&lt;FQL&gt;&lt;Q&gt;KEYS^CS_EVENT_DATEJ_N("ER",3)&lt;/Q&gt;&lt;R&gt;1&lt;/R&gt;&lt;C&gt;1&lt;/C&gt;&lt;D xsi:type="xsd:long"&gt;46349&lt;/D&gt;&lt;/FQL&gt;&lt;FQL&gt;&lt;Q&gt;KEYS^CS_EVENT_TIME_N("ER",3)&lt;/Q&gt;&lt;R&gt;1&lt;/R&gt;&lt;C&gt;1&lt;/C&gt;&lt;D xsi:type="xsd:string"&gt;Unspecified&lt;/D&gt;&lt;/FQL&gt;&lt;FQL&gt;&lt;Q&gt;KEYS^CS_EVENT_DESC_N("ER",3)&lt;/Q&gt;&lt;R&gt;1&lt;/R&gt;&lt;C&gt;1&lt;/C&gt;&lt;D xsi:type="xsd:string"&gt;Q4 2026 Earnings Release (Projected)&lt;/D&gt;&lt;/FQL&gt;&lt;FQL&gt;&lt;Q&gt;TJX^CS_EVENT_DATEJ_N("ER",3)&lt;/Q&gt;&lt;R&gt;1&lt;/R&gt;&lt;C&gt;1&lt;/C&gt;&lt;D xsi:type="xsd:long"&gt;46344&lt;/D&gt;&lt;/FQL&gt;&lt;FQL&gt;&lt;Q&gt;TJX^CS_EVENT_TIME_N("ER",3)&lt;/Q&gt;&lt;R&gt;1&lt;/R&gt;&lt;C&gt;1&lt;/C&gt;&lt;D xsi:type="xsd:string"&gt;Unspecified&lt;/D&gt;&lt;/FQL&gt;&lt;FQL&gt;&lt;Q&gt;TJX^CS_EVENT_DESC_N("ER",3)&lt;/Q&gt;&lt;R&gt;1&lt;/R&gt;&lt;C&gt;1&lt;/C&gt;&lt;D xsi:type="xsd:string"&gt;Q3 2027 Earnings Release&lt;/D&gt;&lt;/FQL&gt;&lt;FQL&gt;&lt;Q&gt;NVDA^CS_EVENT_DATEJ_N("ER",3)&lt;/Q&gt;&lt;R&gt;1&lt;/R&gt;&lt;C&gt;1&lt;/C&gt;&lt;D xsi:type="xsd:long"&gt;46351&lt;/D&gt;&lt;/FQL&gt;&lt;FQL&gt;&lt;Q&gt;NVDA^CS_EVENT_TIME_N("ER",3)&lt;/Q&gt;&lt;R&gt;1&lt;/R&gt;&lt;C&gt;1&lt;/C&gt;&lt;D xsi:type="xsd:string"&gt;Unspecified&lt;/D&gt;&lt;/FQL&gt;&lt;FQL&gt;&lt;Q&gt;NVDA^CS_EVENT_DESC_N("ER",3)&lt;/Q&gt;&lt;R&gt;1&lt;/R&gt;&lt;C&gt;1&lt;/C&gt;&lt;D xsi:type="xsd:string"&gt;Q3 2027 Earnings Release (Projected)&lt;/D&gt;&lt;/FQL&gt;&lt;FQL&gt;&lt;Q&gt;TGT^CS_EVENT_DATEJ_N("ER",3)&lt;/Q&gt;&lt;R&gt;1&lt;/R&gt;&lt;C&gt;1&lt;/C&gt;&lt;D xsi:type="xsd:long"&gt;46344&lt;/D&gt;&lt;/FQL&gt;&lt;FQL&gt;&lt;Q&gt;TGT^CS_EVENT_TIME_N("ER",3)&lt;/Q&gt;&lt;R&gt;1&lt;/R&gt;&lt;C&gt;1&lt;/C&gt;&lt;D xsi:type="xsd:string"&gt;Unspecified&lt;/D&gt;&lt;/FQL&gt;&lt;FQL&gt;&lt;Q&gt;TGT^CS_EVENT_DESC_N("ER",3)&lt;/Q&gt;&lt;R&gt;1&lt;/R&gt;&lt;C&gt;1&lt;/C&gt;&lt;D xsi:type="xsd:string"&gt;Q3 2026 Earnings Release (Projected)&lt;/D&gt;&lt;/FQL&gt;&lt;FQL&gt;&lt;Q&gt;MDT^CS_EVENT_DATEJ_N("ER",3)&lt;/Q&gt;&lt;R&gt;1&lt;/R&gt;&lt;C&gt;1&lt;/C&gt;&lt;D xsi:type="xsd:long"&gt;46350&lt;/D&gt;&lt;/FQL&gt;&lt;FQL&gt;&lt;Q&gt;MDT^CS_EVENT_TIME_N("ER",3)&lt;/Q&gt;&lt;R&gt;1&lt;/R&gt;&lt;C&gt;1&lt;/C&gt;&lt;D xsi:type="xsd:string"&gt;Unspecified&lt;/D&gt;&lt;/FQL&gt;&lt;FQL&gt;&lt;Q&gt;MDT^CS_EVENT_DESC_N("ER",3)&lt;/Q&gt;&lt;R&gt;1&lt;/R&gt;&lt;C&gt;1&lt;/C&gt;&lt;D xsi:type="xsd:string"&gt;Q2 2027 Earnings Release (Projected)&lt;/D&gt;&lt;/FQL&gt;&lt;FQL&gt;&lt;Q&gt;SNPS^CS_EVENT_DATEJ_N("ER",3)&lt;/Q&gt;&lt;R&gt;1&lt;/R&gt;&lt;C&gt;1&lt;/C&gt;&lt;D xsi:type="xsd:long"&gt;46435&lt;/D&gt;&lt;/FQL&gt;&lt;FQL&gt;&lt;Q&gt;SNPS^CS_EVENT_TIME_N("ER",3)&lt;/Q&gt;&lt;R&gt;1&lt;/R&gt;&lt;C&gt;1&lt;/C&gt;&lt;D xsi:type="xsd:string"&gt;Unspecified&lt;/D&gt;&lt;/FQL&gt;&lt;FQL&gt;&lt;Q&gt;SNPS^CS_EVENT_DESC_N("ER",3)&lt;/Q&gt;&lt;R&gt;1&lt;/R&gt;&lt;C&gt;1&lt;/C&gt;&lt;D xsi:type="xsd:string"&gt;Q1 2027 Earnings Release (Projected)&lt;/D&gt;&lt;/FQL&gt;&lt;FQL&gt;&lt;Q&gt;CSCO^CS_EVENT_DATEJ_N("ER",3)&lt;/Q&gt;&lt;R&gt;1&lt;/R&gt;&lt;C&gt;1&lt;/C&gt;&lt;D xsi:type="xsd:long"&gt;46435&lt;/D&gt;&lt;/FQL&gt;&lt;FQL&gt;&lt;Q&gt;CSCO^CS_EVENT_TIME_N("ER",3)&lt;/Q&gt;&lt;R&gt;1&lt;/R&gt;&lt;C&gt;1&lt;/C&gt;&lt;D xsi:type="xsd:string"&gt;Unspecified&lt;/D&gt;&lt;/FQL&gt;&lt;FQL&gt;&lt;Q&gt;CSCO^CS_EVENT_DESC_N("ER",3)&lt;/Q&gt;&lt;R&gt;1&lt;/R&gt;&lt;C&gt;1&lt;/C&gt;&lt;D xsi:type="xsd:string"&gt;Q2 2027 Earnings Release (Projected)&lt;/D&gt;&lt;/FQL&gt;&lt;FQL&gt;&lt;Q&gt;CPRT^CS_EVENT_DATEJ_N("ER",3)&lt;/Q&gt;&lt;R&gt;1&lt;/R&gt;&lt;C&gt;1&lt;/C&gt;&lt;D xsi:type="xsd:long"&gt;46344&lt;/D&gt;&lt;/FQL&gt;&lt;FQL&gt;&lt;Q&gt;CPRT^CS_EVENT_TIME_N("ER",3)&lt;/Q&gt;&lt;R&gt;1&lt;/R&gt;&lt;C&gt;1&lt;/C&gt;&lt;D xsi:type="xsd:string"&gt;Unspecified&lt;/D&gt;&lt;/FQL&gt;&lt;FQL&gt;&lt;Q&gt;CPRT^CS_EVENT_DESC_N("ER",3)&lt;/Q&gt;&lt;R&gt;1&lt;/R&gt;&lt;C&gt;1&lt;/C&gt;&lt;D xsi:type="xsd:string"&gt;Q1 2027 Earnings Release (Projected)&lt;/D&gt;&lt;/FQL&gt;&lt;FQL&gt;&lt;Q&gt;STE^CS_EVENT_DATEJ_N("ER",3)&lt;/Q&gt;&lt;R&gt;1&lt;/R&gt;&lt;C&gt;1&lt;/C&gt;&lt;D xsi:type="xsd:long"&gt;46428&lt;/D&gt;&lt;/FQL&gt;&lt;FQL&gt;&lt;Q&gt;STE^CS_EVENT_TIME_N("ER",3)&lt;/Q&gt;&lt;R&gt;1&lt;/R&gt;&lt;C&gt;1&lt;/C&gt;&lt;D xsi:type="xsd:string"&gt;Unspecified&lt;/D&gt;&lt;/FQL&gt;&lt;FQL&gt;&lt;Q&gt;STE^CS_EVENT_DESC_N("ER",3)&lt;/Q&gt;&lt;R&gt;1&lt;/R&gt;&lt;C&gt;1&lt;/C&gt;&lt;D xsi:type="xsd:string"&gt;Q3 2027 Earnings Release (Projected)&lt;/D&gt;&lt;/FQL&gt;&lt;FQL&gt;&lt;Q&gt;ADSK^CS_EVENT_DATEJ_N("ER",3)&lt;/Q&gt;&lt;R&gt;1&lt;/R&gt;&lt;C&gt;1&lt;/C&gt;&lt;D xsi:type="xsd:long"&gt;46350&lt;/D&gt;&lt;/FQL&gt;&lt;FQL&gt;&lt;Q&gt;ADSK^CS_EVENT_TIME_N("ER",3)&lt;/Q&gt;&lt;R&gt;1&lt;/R&gt;&lt;C&gt;1&lt;/C&gt;&lt;D xsi:type="xsd:string"&gt;Unspecified&lt;/D&gt;&lt;/FQL&gt;&lt;FQL&gt;&lt;Q&gt;ADSK^CS_EVENT_DESC_N("ER",3)&lt;/Q&gt;&lt;R&gt;1&lt;/R&gt;&lt;C&gt;1&lt;/C&gt;&lt;D xsi:type="xsd:string"&gt;Q3 2027 Earnings Release (Projected)&lt;/D&gt;&lt;/FQL&gt;&lt;FQL&gt;&lt;Q&gt;DLTR^CS_EVENT_DATEJ_N("ER",3)&lt;/Q&gt;&lt;R&gt;1&lt;/R&gt;&lt;C&gt;1&lt;/C&gt;&lt;D xsi:type="xsd:long"&gt;46350&lt;/D&gt;&lt;/FQL&gt;&lt;FQL&gt;&lt;Q&gt;DLTR^CS_EVENT_TIME_N("ER",3)&lt;/Q&gt;&lt;R&gt;1&lt;/R&gt;&lt;C&gt;1&lt;/C&gt;&lt;D xsi:type="xsd:string"&gt;Unspecified&lt;/D&gt;&lt;/FQL&gt;&lt;FQL&gt;&lt;Q&gt;DLTR^CS_EVENT_DESC_N("ER",3)&lt;/Q&gt;&lt;R&gt;1&lt;/R&gt;&lt;C&gt;1&lt;/C&gt;&lt;D xsi:type="xsd:string"&gt;Q3 2026 Earnings Release (Projected)&lt;/D&gt;&lt;/FQL&gt;&lt;FQL&gt;&lt;Q&gt;DECK^CS_EVENT_DATEJ_N("ER",3)&lt;/Q&gt;&lt;R&gt;1&lt;/R&gt;&lt;C&gt;1&lt;/C&gt;&lt;D xsi:type="xsd:long"&gt;46317&lt;/D&gt;&lt;/FQL&gt;&lt;FQL&gt;&lt;Q&gt;DECK^CS_EVENT_TIME_N("ER",3)&lt;/Q&gt;&lt;R&gt;1&lt;/R&gt;&lt;C&gt;1&lt;/C&gt;&lt;D xsi:type="xsd:string"&gt;Unspecified&lt;/D&gt;&lt;/FQL&gt;&lt;FQL&gt;&lt;Q&gt;DECK^CS_EVENT_DESC_N("ER",3)&lt;/Q&gt;&lt;R&gt;1&lt;/R&gt;&lt;C&gt;1&lt;/C&gt;&lt;D xsi:type="xsd:string"&gt;Q2 2027 Earnings Release (Projected)&lt;/D&gt;&lt;/FQL&gt;&lt;FQL&gt;&lt;Q&gt;DE^CS_EVENT_DATEJ_N("ER",3)&lt;/Q&gt;&lt;R&gt;1&lt;/R&gt;&lt;C&gt;1&lt;/C&gt;&lt;D xsi:type="xsd:long"&gt;46351&lt;/D&gt;&lt;/FQL&gt;&lt;FQL&gt;&lt;Q&gt;DE^CS_EVENT_TIME_N("ER",3)&lt;/Q&gt;&lt;R&gt;1&lt;/R&gt;&lt;C&gt;1&lt;/C&gt;&lt;D xsi:type="xsd:string"&gt;Unspecified&lt;/D&gt;&lt;/FQL&gt;&lt;FQL&gt;&lt;Q&gt;DE^CS_EVENT_DESC_N("ER",3)&lt;/Q&gt;&lt;R&gt;1&lt;/R&gt;&lt;C&gt;1&lt;/C&gt;&lt;D xsi:type="xsd:string"&gt;Q4 2026 Earnings Release&lt;/D&gt;&lt;/FQL&gt;&lt;FQL&gt;&lt;Q&gt;RL^CS_EVENT_DATEJ_N("ER",3)&lt;/Q&gt;&lt;R&gt;1&lt;/R&gt;&lt;C&gt;1&lt;/C&gt;&lt;D xsi:type="xsd:long"&gt;46331&lt;/D&gt;&lt;/FQL&gt;&lt;FQL&gt;&lt;Q&gt;RL^CS_EVENT_TIME_N("ER",3)&lt;/Q&gt;&lt;R&gt;1&lt;/R&gt;&lt;C&gt;1&lt;/C&gt;&lt;D xsi:type="xsd:string"&gt;Unspecified&lt;/D&gt;&lt;/FQL&gt;&lt;FQL&gt;&lt;Q&gt;RL^CS_EVENT_DESC_N("ER",3)&lt;/Q&gt;&lt;R&gt;1&lt;/R&gt;&lt;C&gt;1&lt;/C&gt;&lt;D xsi:type="xsd:string"&gt;Q2 2027 Earnings Release (Projected)&lt;/D&gt;&lt;/FQL&gt;&lt;FQL&gt;&lt;Q&gt;INTU^CS_EVENT_DATEJ_N("ER",3)&lt;/Q&gt;&lt;R&gt;1&lt;/R&gt;&lt;C&gt;1&lt;/C&gt;&lt;D xsi:type="xsd:long"&gt;46357&lt;/D&gt;&lt;/FQL&gt;&lt;FQL&gt;&lt;Q&gt;INTU^CS_EVENT_TIME_N("ER",3)&lt;/Q&gt;&lt;R&gt;1&lt;/R&gt;&lt;C&gt;1&lt;/C&gt;&lt;D xsi:type="xsd:string"&gt;Unspecified&lt;/D&gt;&lt;/FQL&gt;&lt;FQL&gt;&lt;Q&gt;INTU^CS_EVENT_DESC_N("ER",3)&lt;/Q&gt;&lt;R&gt;1&lt;/R&gt;&lt;C&gt;1&lt;/C&gt;&lt;D xsi:type="xsd:string"&gt;Q1 2027 Earnings Release (Projected)&lt;/D&gt;&lt;/FQL&gt;&lt;FQL&gt;&lt;Q&gt;ULTA^CS_EVENT_DATEJ_N("ER",3)&lt;/Q&gt;&lt;R&gt;1&lt;/R&gt;&lt;C&gt;1&lt;/C&gt;&lt;D xsi:type="xsd:long"&gt;46352&lt;/D&gt;&lt;/FQL&gt;&lt;FQL&gt;&lt;Q&gt;ULTA^CS_EVENT_TIME_N("ER",3)&lt;/Q&gt;&lt;R&gt;1&lt;/R&gt;&lt;C&gt;1&lt;/C&gt;&lt;D xsi:type="xsd:string"&gt;Unspecified&lt;/D&gt;&lt;/FQL&gt;&lt;FQL&gt;&lt;Q&gt;ULTA^CS_EVENT_DESC_N("ER",3)&lt;/Q&gt;&lt;R&gt;1&lt;/R&gt;&lt;C&gt;1&lt;/C&gt;&lt;D xsi:type="xsd:string"&gt;Q3 2026 Earnings Release (Projected)&lt;/D&gt;&lt;/FQL&gt;&lt;FQL&gt;&lt;Q&gt;DG^CS_EVENT_DATEJ_N("ER",3)&lt;/Q&gt;&lt;R&gt;1&lt;/R&gt;&lt;C&gt;1&lt;/C&gt;&lt;D xsi:type="xsd:long"&gt;46359&lt;/D&gt;&lt;/FQL&gt;&lt;FQL&gt;&lt;Q&gt;DG^CS_EVENT_TIME_N("ER",3)&lt;/Q&gt;&lt;R&gt;1&lt;/R&gt;&lt;C&gt;1&lt;/C&gt;&lt;D xsi:type="xsd:string"&gt;Unspecified&lt;/D&gt;&lt;/FQL&gt;&lt;FQL&gt;&lt;Q&gt;DG^CS_EVENT_DESC_N("ER",3)&lt;/Q&gt;&lt;R&gt;1&lt;/R&gt;&lt;C&gt;1&lt;/C&gt;&lt;D xsi:type="xsd:string"&gt;Q3 2026 Earnings Release (Projected)&lt;/D&gt;&lt;/FQL&gt;&lt;FQL&gt;&lt;Q&gt;WDAY^CS_EVENT_DATEJ_N("ER",3)&lt;/Q&gt;&lt;R&gt;1&lt;/R&gt;&lt;C&gt;1&lt;/C&gt;&lt;D xsi:type="xsd:long"&gt;46357&lt;/D&gt;&lt;/FQL&gt;&lt;FQL&gt;&lt;Q&gt;WDAY^CS_EVENT_TIME_N("ER",3)&lt;/Q&gt;&lt;R&gt;1&lt;/R&gt;&lt;C&gt;1&lt;/C&gt;&lt;D xsi:type="xsd:string"&gt;Unspecified&lt;/D&gt;&lt;/FQL&gt;&lt;FQL&gt;&lt;Q&gt;WDAY^CS_EVENT_DESC_N("ER",3)&lt;/Q&gt;&lt;R&gt;1&lt;/R&gt;&lt;C&gt;1&lt;/C&gt;&lt;D xsi:type="xsd:string"&gt;Q3 2027 Earnings Release (Projected)&lt;/D&gt;&lt;/FQL&gt;&lt;FQL&gt;&lt;Q&gt;NDSN^CS_EVENT_DATEJ_N("ER",3)&lt;/Q&gt;&lt;R&gt;1&lt;/R&gt;&lt;C&gt;1&lt;/C&gt;&lt;D xsi:type="xsd:long"&gt;46372&lt;/D&gt;&lt;/FQL&gt;&lt;FQL&gt;&lt;Q&gt;NDSN^CS_EVENT_TIME_N("ER",3)&lt;/Q&gt;&lt;R&gt;1&lt;/R&gt;&lt;C&gt;1&lt;/C&gt;&lt;D xsi:type="xsd:string"&gt;Unspecified&lt;/D&gt;&lt;/FQL&gt;&lt;FQL&gt;&lt;Q&gt;NDSN^CS_EVENT_DESC_N("ER",3)&lt;/Q&gt;&lt;R&gt;1&lt;/R&gt;&lt;C&gt;1&lt;/C&gt;&lt;D xsi:type="xsd:string"&gt;Q4 2026 Earnings Release (Projected)&lt;/D&gt;&lt;/FQL&gt;&lt;FQL&gt;&lt;Q&gt;AZO^CS_EVENT_DATEJ_N("ER",3)&lt;/Q&gt;&lt;R&gt;1&lt;/R&gt;&lt;C&gt;1&lt;/C&gt;&lt;D xsi:type="xsd:long"&gt;46364&lt;/D&gt;&lt;/FQL&gt;&lt;FQL&gt;&lt;Q&gt;AZO^CS_EVENT_TIME_N("ER",3)&lt;/Q&gt;&lt;R&gt;1&lt;/R&gt;&lt;C&gt;1&lt;/C&gt;&lt;D xsi:type="xsd:string"&gt;Unspecified&lt;/D&gt;&lt;/FQL&gt;&lt;FQL&gt;&lt;Q&gt;AZO^CS_EVENT_DESC_N("ER",3)&lt;/Q&gt;&lt;R&gt;1&lt;/R&gt;&lt;C&gt;1&lt;/C&gt;&lt;D xsi:type="xsd:string"&gt;Q1 2027 Earnings Release (Projected)&lt;/D&gt;&lt;/FQL&gt;&lt;FQL&gt;&lt;Q&gt;A^CS_EVENT_DATEJ_N("ER",3)&lt;/Q&gt;&lt;R&gt;1&lt;/R&gt;&lt;C&gt;1&lt;/C&gt;&lt;D xsi:type="xsd:long"&gt;46356&lt;/D&gt;&lt;/FQL&gt;&lt;FQL&gt;&lt;Q&gt;A^CS_EVENT_TIME_N("ER",3)&lt;/Q&gt;&lt;R&gt;1&lt;/R&gt;&lt;C&gt;1&lt;/C&gt;&lt;D xsi:type="xsd:string"&gt;Unspecified&lt;/D&gt;&lt;/FQL&gt;&lt;FQL&gt;&lt;Q&gt;A^CS_EVENT_DESC_N("ER",3)&lt;/Q&gt;&lt;R&gt;1&lt;/R&gt;&lt;C&gt;1&lt;/C&gt;&lt;D xsi:type="xsd:string"&gt;Q4 2026 Earnings Release (Projected)&lt;/D&gt;&lt;/FQL&gt;&lt;FQL&gt;&lt;Q&gt;PANW^CS_EVENT_DATEJ_N("ER",3)&lt;/Q&gt;&lt;R&gt;1&lt;/R&gt;&lt;C&gt;1&lt;/C&gt;&lt;D xsi:type="xsd:long"&gt;46338&lt;/D&gt;&lt;/FQL&gt;&lt;FQL&gt;&lt;Q&gt;PANW^CS_EVENT_TIME_N("ER",3)&lt;/Q&gt;&lt;R&gt;1&lt;/R&gt;&lt;C&gt;1&lt;/C&gt;&lt;D xsi:type="xsd:string"&gt;Unspecified&lt;/D&gt;&lt;/FQL&gt;&lt;FQL&gt;&lt;Q&gt;PANW^CS_EVENT_DESC_N("ER",3)&lt;/Q&gt;&lt;R&gt;1&lt;/R&gt;&lt;C&gt;1&lt;/C&gt;&lt;D xsi:type="xsd:string"&gt;Q1 2027 Earnings Release (Projected)&lt;/D&gt;&lt;/FQL&gt;&lt;FQL&gt;&lt;Q&gt;ADI^CS_EVENT_DATEJ_N("ER",3)&lt;/Q&gt;&lt;R&gt;1&lt;/R&gt;&lt;C&gt;1&lt;/C&gt;&lt;D xsi:type="xsd:long"&gt;46357&lt;/D&gt;&lt;/FQL&gt;&lt;FQL&gt;&lt;Q&gt;ADI^CS_EVENT_TIME_N("ER",3)&lt;/Q&gt;&lt;R&gt;1&lt;/R&gt;&lt;C&gt;1&lt;/C&gt;&lt;D xsi:type="xsd:string"&gt;Unspecified&lt;/D&gt;&lt;/FQL&gt;&lt;FQL&gt;&lt;Q&gt;ADI^CS_EVENT_DESC_N("ER",3)&lt;/Q&gt;&lt;R&gt;1&lt;/R&gt;&lt;C&gt;1&lt;/C&gt;&lt;D xsi:type="xsd:string"&gt;Q4 2026 Earnings Release (Projected)&lt;/D&gt;&lt;/FQL&gt;&lt;FQL&gt;&lt;Q&gt;WSM^CS_EVENT_DATEJ_N("ER",3)&lt;/Q&gt;&lt;R&gt;1&lt;/R&gt;&lt;C&gt;1&lt;/C&gt;&lt;D xsi:type="xsd:long"&gt;46338&lt;/D&gt;&lt;/FQL&gt;&lt;FQL&gt;&lt;Q&gt;WSM^CS_EVENT_TIME_N("ER",3)&lt;/Q&gt;&lt;R&gt;1&lt;/R&gt;&lt;C&gt;1&lt;/C&gt;&lt;D xsi:type="xsd:string"&gt;Unspecified&lt;/D&gt;&lt;/FQL&gt;&lt;FQL&gt;&lt;Q&gt;WSM^CS_EVENT_DESC_N("ER",3)&lt;/Q&gt;&lt;R&gt;1&lt;/R&gt;&lt;C&gt;1&lt;/C&gt;&lt;D xsi:type="xsd:string"&gt;Q3 2026 Earnings Release (Projected)&lt;/D&gt;&lt;/FQL&gt;&lt;FQL&gt;&lt;Q&gt;BBY^CS_EVENT_DATEJ_N("ER",3)&lt;/Q&gt;&lt;R&gt;1&lt;/R&gt;&lt;C&gt;1&lt;/C&gt;&lt;D xsi:type="xsd:long"&gt;46350&lt;/D&gt;&lt;/FQL&gt;&lt;FQL&gt;&lt;Q&gt;BBY^CS_EVENT_TIME_N("ER",3)&lt;/Q&gt;&lt;R&gt;1&lt;/R&gt;&lt;C&gt;1&lt;/C&gt;&lt;D xsi:type="xsd:string"&gt;Unspecified&lt;/D&gt;&lt;/FQL&gt;&lt;FQL&gt;&lt;Q&gt;BBY^CS_EVENT_DESC_N("ER",3)&lt;/Q&gt;&lt;R&gt;1&lt;/R&gt;&lt;C&gt;1&lt;/C&gt;&lt;D xsi:type="xsd:string"&gt;Q3 2027 Earnings Release (Projected)&lt;/D&gt;&lt;/FQL&gt;&lt;FQL&gt;&lt;Q&gt;LOW^CS_EVENT_DATEJ_N("ER",3)&lt;/Q&gt;&lt;R&gt;1&lt;/R&gt;&lt;C&gt;1&lt;/C&gt;&lt;D xsi:type="xsd:long"&gt;46351&lt;/D&gt;&lt;/FQL&gt;&lt;FQL&gt;&lt;Q&gt;LOW^CS_EVENT_TIME_N("ER",3)&lt;/Q&gt;&lt;R&gt;1&lt;/R&gt;&lt;C&gt;1&lt;/C&gt;&lt;D xsi:type="xsd:string"&gt;Unspecified&lt;/D&gt;&lt;/FQL&gt;&lt;FQL&gt;&lt;Q&gt;LOW^CS_EVENT_DESC_N("ER",3)&lt;/Q&gt;&lt;R&gt;1&lt;/R&gt;&lt;C&gt;1&lt;/C&gt;&lt;D xsi:type="xsd:string"&gt;Q3 2026 Earnings Release (Projected)&lt;/D&gt;&lt;/FQL&gt;&lt;FQL&gt;&lt;Q&gt;COST^CS_EVENT_DATEJ_N("ER",3)&lt;/Q&gt;&lt;R&gt;1&lt;/R&gt;&lt;C&gt;1&lt;/C&gt;&lt;D xsi:type="xsd:long"&gt;46366&lt;/D&gt;&lt;/FQL&gt;&lt;FQL&gt;&lt;Q&gt;COST^CS_EVENT_TIME_N("ER",3)&lt;/Q&gt;&lt;R&gt;1&lt;/R&gt;&lt;C&gt;1&lt;/C&gt;&lt;D xsi:type="xsd:string"&gt;Unspecified&lt;/D&gt;&lt;/FQL&gt;&lt;FQL&gt;&lt;Q&gt;COST^CS_EVENT_DESC_N("ER",3)&lt;/Q&gt;&lt;R&gt;1&lt;/R&gt;&lt;C&gt;1&lt;/C&gt;&lt;D xsi:type="xsd:string"&gt;Q1 2027 Earnings Release (Projected)&lt;/D&gt;&lt;/FQL&gt;&lt;FQL&gt;&lt;Q&gt;IR^CS_EVENT_DATEJ_N("ER",3)&lt;/Q&gt;&lt;R&gt;1&lt;/R&gt;&lt;C&gt;1&lt;/C&gt;&lt;D xsi:type="xsd:long"&gt;46330&lt;/D&gt;&lt;/FQL&gt;&lt;FQL&gt;&lt;Q&gt;IR^CS_EVENT_TIME_N("ER",3)&lt;/Q&gt;&lt;R&gt;1&lt;/R&gt;&lt;C&gt;1&lt;/C&gt;&lt;D xsi:type="xsd:string"&gt;Unspecified&lt;/D&gt;&lt;/FQL&gt;&lt;FQL&gt;&lt;Q&gt;FIS^CS_EVENT_DATEJ_N("ER",3)&lt;/Q&gt;&lt;R&gt;1&lt;/R&gt;&lt;C&gt;1&lt;/C&gt;&lt;D xsi:type="xsd:long"&gt;46336&lt;/D&gt;&lt;/FQL&gt;&lt;FQL&gt;&lt;Q&gt;FIS^CS_EVENT_TIME_N("ER",3)&lt;/Q&gt;&lt;R&gt;1&lt;/R&gt;&lt;C&gt;1&lt;/C&gt;&lt;D xsi:type="xsd:string"&gt;Unspecified&lt;/D&gt;&lt;/FQL&gt;&lt;FQL&gt;&lt;Q&gt;NCLH^CS_EVENT_DATEJ_N("ER",3)&lt;/Q&gt;&lt;R&gt;1&lt;/R&gt;&lt;C&gt;1&lt;/C&gt;&lt;D xsi:type="xsd:long"&gt;46448&lt;/D&gt;&lt;/FQL&gt;&lt;FQL&gt;&lt;Q&gt;NCLH^CS_EVENT_TIME_N("ER",3)&lt;/Q&gt;&lt;R&gt;1&lt;/R&gt;&lt;C&gt;1&lt;/C&gt;&lt;D xsi:type="xsd:string"&gt;Unspecified&lt;/D&gt;&lt;/FQL&gt;&lt;FQL&gt;&lt;Q&gt;CF^CS_EVENT_DATEJ_N("ER",3)&lt;/Q&gt;&lt;R&gt;1&lt;/R&gt;&lt;C&gt;1&lt;/C&gt;&lt;D xsi:type="xsd:long"&gt;46330&lt;/D&gt;&lt;/FQL&gt;&lt;FQL&gt;&lt;Q&gt;CF^CS_EVENT_TIME_N("ER",3)&lt;/Q&gt;&lt;R&gt;1&lt;/R&gt;&lt;C&gt;1&lt;/C&gt;&lt;D xsi:type="xsd:string"&gt;4:30 PM&lt;/D&gt;&lt;/FQL&gt;&lt;FQL&gt;&lt;Q&gt;MOS^CS_EVENT_DATEJ_N("ER",3)&lt;/Q&gt;&lt;R&gt;1&lt;/R&gt;&lt;C&gt;1&lt;/C&gt;&lt;D xsi:type="xsd:long"&gt;46336&lt;/D&gt;&lt;/FQL&gt;&lt;FQL&gt;&lt;Q&gt;MOS^CS_EVENT_TIME_N("ER",3)&lt;/Q&gt;&lt;R&gt;1&lt;/R&gt;&lt;C&gt;1&lt;/C&gt;&lt;D xsi:type="xsd:string"&gt;Unspecified&lt;/D&gt;&lt;/FQL&gt;&lt;FQL&gt;&lt;Q&gt;KHC^CS_EVENT_DATEJ_N("ER",3)&lt;/Q&gt;&lt;R&gt;1&lt;/R&gt;&lt;C&gt;1&lt;/C&gt;&lt;D xsi:type="xsd:long"&gt;46330&lt;/D&gt;&lt;/FQL&gt;&lt;FQL&gt;&lt;Q&gt;KHC^CS_EVENT_TIME_N("ER",3)&lt;/Q&gt;&lt;R&gt;1&lt;/R&gt;&lt;C&gt;1&lt;/C&gt;&lt;D xsi:type="xsd:string"&gt;Unspecified&lt;/D&gt;&lt;/FQL&gt;&lt;FQL&gt;&lt;Q&gt;UBER^CS_EVENT_DATEJ_N("ER",3)&lt;/Q&gt;&lt;R&gt;1&lt;/R&gt;&lt;C&gt;1&lt;/C&gt;&lt;D xsi:type="xsd:long"&gt;46324&lt;/D&gt;&lt;/FQL&gt;&lt;FQL&gt;&lt;Q&gt;UBER^CS_EVENT_TIME_N("ER",3)&lt;/Q&gt;&lt;R&gt;1&lt;/R&gt;&lt;C&gt;1&lt;/C&gt;&lt;D xsi:type="xsd:string"&gt;Unspecified&lt;/D&gt;&lt;/FQL&gt;&lt;FQL&gt;&lt;Q&gt;PSKY^CS_EVENT_DATEJ_N("ER",3)&lt;/Q&gt;&lt;R&gt;0&lt;/R&gt;&lt;C&gt;0&lt;/C&gt;&lt;/FQL&gt;&lt;FQL&gt;&lt;Q&gt;PSKY^CS_EVENT_TIME_N("ER",3)&lt;/Q&gt;&lt;R&gt;0&lt;/R&gt;&lt;C&gt;0&lt;/C&gt;&lt;/FQL&gt;&lt;FQL&gt;&lt;Q&gt;GEHC^CS_EVENT_DATEJ_N("ER",3)&lt;/Q&gt;&lt;R&gt;1&lt;/R&gt;&lt;C&gt;1&lt;/C&gt;&lt;D xsi:type="xsd:long"&gt;46330&lt;/D&gt;&lt;/FQL&gt;&lt;FQL&gt;&lt;Q&gt;GEHC^CS_EVENT_TIME_N("ER",3)&lt;/Q&gt;&lt;R&gt;1&lt;/R&gt;&lt;C&gt;1&lt;/C&gt;&lt;D xsi:type="xsd:string"&gt;Unspecified&lt;/D&gt;&lt;/FQL&gt;&lt;FQL&gt;&lt;Q&gt;CVX^CS_EVENT_DATEJ_N("ER",3)&lt;/Q&gt;&lt;R&gt;1&lt;/R&gt;&lt;C&gt;1&lt;/C&gt;&lt;D xsi:type="xsd:long"&gt;46318&lt;/D&gt;&lt;/FQL&gt;&lt;FQL&gt;&lt;Q&gt;CVX^CS_EVENT_TIME_N("ER",3)&lt;/Q&gt;&lt;R&gt;1&lt;/R&gt;&lt;C&gt;1&lt;/C&gt;&lt;D xsi:type="xsd:string"&gt;Unspecified&lt;/D&gt;&lt;/FQL&gt;&lt;FQL&gt;&lt;Q&gt;CVX^CS_EVENT_DESC_N("ER",3)&lt;/Q&gt;&lt;R&gt;1&lt;/R&gt;&lt;C&gt;1&lt;/C&gt;&lt;D xsi:type="xsd:string"&gt;Q3 2026 Earnings Release (Projected)&lt;/D&gt;&lt;/FQL&gt;&lt;FQL&gt;&lt;Q&gt;PG^CS_EVENT_DATEJ_N("ER",3)&lt;/Q&gt;&lt;R&gt;1&lt;/R&gt;&lt;C&gt;1&lt;/C&gt;&lt;D xsi:type="xsd:long"&gt;46316&lt;/D&gt;&lt;/FQL&gt;&lt;FQL&gt;&lt;Q&gt;PG^CS_EVENT_TIME_N("ER",3)&lt;/Q&gt;&lt;R&gt;1&lt;/R&gt;&lt;C&gt;1&lt;/C&gt;&lt;D xsi:type="xsd:string"&gt;Unspecified&lt;/D&gt;&lt;/FQL&gt;&lt;FQL&gt;&lt;Q&gt;PG^CS_EVENT_DESC_N("ER",3)&lt;/Q&gt;&lt;R&gt;1&lt;/R&gt;&lt;C&gt;1&lt;/C&gt;&lt;D xsi:type="xsd:string"&gt;Q1 2027 Earnings Release (Projected)&lt;/D&gt;&lt;/FQL&gt;&lt;FQL&gt;&lt;Q&gt;NSC^CS_EVENT_DATEJ_N("ER",3)&lt;/Q&gt;&lt;R&gt;1&lt;/R&gt;&lt;C&gt;1&lt;/C&gt;&lt;D </t>
        </r>
      </text>
    </comment>
    <comment ref="A11" authorId="0" shapeId="0" xr:uid="{4D4E10A9-35F9-472A-90B8-C02BF74CA890}">
      <text>
        <r>
          <rPr>
            <b/>
            <sz val="9"/>
            <color indexed="81"/>
            <rFont val="Tahoma"/>
            <family val="2"/>
          </rPr>
          <t>xsi:type="xsd:long"&gt;46323&lt;/D&gt;&lt;/FQL&gt;&lt;FQL&gt;&lt;Q&gt;NSC^CS_EVENT_TIME_N("ER",3)&lt;/Q&gt;&lt;R&gt;1&lt;/R&gt;&lt;C&gt;1&lt;/C&gt;&lt;D xsi:type="xsd:string"&gt;Unspecified&lt;/D&gt;&lt;/FQL&gt;&lt;FQL&gt;&lt;Q&gt;NSC^CS_EVENT_DESC_N("ER",3)&lt;/Q&gt;&lt;R&gt;1&lt;/R&gt;&lt;C&gt;1&lt;/C&gt;&lt;D xsi:type="xsd:string"&gt;Q3 2026 Earnings Release (Projected)&lt;/D&gt;&lt;/FQL&gt;&lt;FQL&gt;&lt;Q&gt;XOM^CS_EVENT_DATEJ_N("ER",3)&lt;/Q&gt;&lt;R&gt;1&lt;/R&gt;&lt;C&gt;1&lt;/C&gt;&lt;D xsi:type="xsd:long"&gt;46318&lt;/D&gt;&lt;/FQL&gt;&lt;FQL&gt;&lt;Q&gt;XOM^CS_EVENT_TIME_N("ER",3)&lt;/Q&gt;&lt;R&gt;1&lt;/R&gt;&lt;C&gt;1&lt;/C&gt;&lt;D xsi:type="xsd:string"&gt;Unspecified&lt;/D&gt;&lt;/FQL&gt;&lt;FQL&gt;&lt;Q&gt;XOM^CS_EVENT_DESC_N("ER",3)&lt;/Q&gt;&lt;R&gt;1&lt;/R&gt;&lt;C&gt;1&lt;/C&gt;&lt;D xsi:type="xsd:string"&gt;Q3 2026 Earnings Release (Projected)&lt;/D&gt;&lt;/FQL&gt;&lt;FQL&gt;&lt;Q&gt;SLB^CS_EVENT_DATEJ_N("ER",3)&lt;/Q&gt;&lt;R&gt;1&lt;/R&gt;&lt;C&gt;1&lt;/C&gt;&lt;D xsi:type="xsd:long"&gt;46311&lt;/D&gt;&lt;/FQL&gt;&lt;FQL&gt;&lt;Q&gt;SLB^CS_EVENT_TIME_N("ER",3)&lt;/Q&gt;&lt;R&gt;1&lt;/R&gt;&lt;C&gt;1&lt;/C&gt;&lt;D xsi:type="xsd:string"&gt;Unspecified&lt;/D&gt;&lt;/FQL&gt;&lt;FQL&gt;&lt;Q&gt;SLB^CS_EVENT_DESC_N("ER",3)&lt;/Q&gt;&lt;R&gt;1&lt;/R&gt;&lt;C&gt;1&lt;/C&gt;&lt;D xsi:type="xsd:string"&gt;Q3 2026 Earnings Release (Projected)&lt;/D&gt;&lt;/FQL&gt;&lt;FQL&gt;&lt;Q&gt;HCA^CS_EVENT_DATEJ_N("ER",3)&lt;/Q&gt;&lt;R&gt;1&lt;/R&gt;&lt;C&gt;1&lt;/C&gt;&lt;D xsi:type="xsd:long"&gt;46318&lt;/D&gt;&lt;/FQL&gt;&lt;FQL&gt;&lt;Q&gt;HCA^CS_EVENT_TIME_N("ER",3)&lt;/Q&gt;&lt;R&gt;1&lt;/R&gt;&lt;C&gt;1&lt;/C&gt;&lt;D xsi:type="xsd:string"&gt;Unspecified&lt;/D&gt;&lt;/FQL&gt;&lt;FQL&gt;&lt;Q&gt;HCA^CS_EVENT_DESC_N("ER",3)&lt;/Q&gt;&lt;R&gt;1&lt;/R&gt;&lt;C&gt;1&lt;/C&gt;&lt;D xsi:type="xsd:string"&gt;Q3 2026 Earnings Release (Projected)&lt;/D&gt;&lt;/FQL&gt;&lt;FQL&gt;&lt;Q&gt;CHTR^CS_EVENT_DATEJ_N("ER",3)&lt;/Q&gt;&lt;R&gt;1&lt;/R&gt;&lt;C&gt;1&lt;/C&gt;&lt;D xsi:type="xsd:long"&gt;46325&lt;/D&gt;&lt;/FQL&gt;&lt;FQL&gt;&lt;Q&gt;CHTR^CS_EVENT_TIME_N("ER",3)&lt;/Q&gt;&lt;R&gt;1&lt;/R&gt;&lt;C&gt;1&lt;/C&gt;&lt;D xsi:type="xsd:string"&gt;Unspecified&lt;/D&gt;&lt;/FQL&gt;&lt;FQL&gt;&lt;Q&gt;CHTR^CS_EVENT_DESC_N("ER",3)&lt;/Q&gt;&lt;R&gt;1&lt;/R&gt;&lt;C&gt;1&lt;/C&gt;&lt;D xsi:type="xsd:string"&gt;Q3 2026 Earnings Release (Projected)&lt;/D&gt;&lt;/FQL&gt;&lt;FQL&gt;&lt;Q&gt;LYB^CS_EVENT_DATEJ_N("ER",3)&lt;/Q&gt;&lt;R&gt;1&lt;/R&gt;&lt;C&gt;1&lt;/C&gt;&lt;D xsi:type="xsd:long"&gt;46318&lt;/D&gt;&lt;/FQL&gt;&lt;FQL&gt;&lt;Q&gt;LYB^CS_EVENT_TIME_N("ER",3)&lt;/Q&gt;&lt;R&gt;1&lt;/R&gt;&lt;C&gt;1&lt;/C&gt;&lt;D xsi:type="xsd:string"&gt;Unspecified&lt;/D&gt;&lt;/FQL&gt;&lt;FQL&gt;&lt;Q&gt;LYB^CS_EVENT_DESC_N("ER",3)&lt;/Q&gt;&lt;R&gt;1&lt;/R&gt;&lt;C&gt;1&lt;/C&gt;&lt;D xsi:type="xsd:string"&gt;Q3 2026 Earnings Release (Projected)&lt;/D&gt;&lt;/FQL&gt;&lt;FQL&gt;&lt;Q&gt;ARES^CS_EVENT_DATEJ_N("ER",3)&lt;/Q&gt;&lt;R&gt;1&lt;/R&gt;&lt;C&gt;1&lt;/C&gt;&lt;D xsi:type="xsd:long"&gt;46317&lt;/D&gt;&lt;/FQL&gt;&lt;FQL&gt;&lt;Q&gt;ARES^CS_EVENT_TIME_N("ER",3)&lt;/Q&gt;&lt;R&gt;1&lt;/R&gt;&lt;C&gt;1&lt;/C&gt;&lt;D xsi:type="xsd:string"&gt;Unspecified&lt;/D&gt;&lt;/FQL&gt;&lt;FQL&gt;&lt;Q&gt;ARES^CS_EVENT_DESC_N("ER",3)&lt;/Q&gt;&lt;R&gt;1&lt;/R&gt;&lt;C&gt;1&lt;/C&gt;&lt;D xsi:type="xsd:string"&gt;Q3 2026 Earnings Release (Projected)&lt;/D&gt;&lt;/FQL&gt;&lt;FQL&gt;&lt;Q&gt;UHS^CS_EVENT_DATEJ_N("ER",3)&lt;/Q&gt;&lt;R&gt;1&lt;/R&gt;&lt;C&gt;1&lt;/C&gt;&lt;D xsi:type="xsd:long"&gt;46323&lt;/D&gt;&lt;/FQL&gt;&lt;FQL&gt;&lt;Q&gt;UHS^CS_EVENT_TIME_N("ER",3)&lt;/Q&gt;&lt;R&gt;1&lt;/R&gt;&lt;C&gt;1&lt;/C&gt;&lt;D xsi:type="xsd:string"&gt;Unspecified&lt;/D&gt;&lt;/FQL&gt;&lt;FQL&gt;&lt;Q&gt;UHS^CS_EVENT_DESC_N("ER",3)&lt;/Q&gt;&lt;R&gt;1&lt;/R&gt;&lt;C&gt;1&lt;/C&gt;&lt;D xsi:type="xsd:string"&gt;Q3 2026 Earnings Release (Projected)&lt;/D&gt;&lt;/FQL&gt;&lt;FQL&gt;&lt;Q&gt;ARE^CS_EVENT_DATEJ_N("ER",3)&lt;/Q&gt;&lt;R&gt;1&lt;/R&gt;&lt;C&gt;1&lt;/C&gt;&lt;D xsi:type="xsd:long"&gt;46321&lt;/D&gt;&lt;/FQL&gt;&lt;FQL&gt;&lt;Q&gt;ARE^CS_EVENT_TIME_N("ER",3)&lt;/Q&gt;&lt;R&gt;1&lt;/R&gt;&lt;C&gt;1&lt;/C&gt;&lt;D xsi:type="xsd:string"&gt;Unspecified&lt;/D&gt;&lt;/FQL&gt;&lt;FQL&gt;&lt;Q&gt;ARE^CS_EVENT_DESC_N("ER",3)&lt;/Q&gt;&lt;R&gt;1&lt;/R&gt;&lt;C&gt;1&lt;/C&gt;&lt;D xsi:type="xsd:string"&gt;Q3 2026 Earnings Release (Projected)&lt;/D&gt;&lt;/FQL&gt;&lt;FQL&gt;&lt;Q&gt;VZ^CS_EVENT_DATEJ_N("ER",3)&lt;/Q&gt;&lt;R&gt;1&lt;/R&gt;&lt;C&gt;1&lt;/C&gt;&lt;D xsi:type="xsd:long"&gt;46315&lt;/D&gt;&lt;/FQL&gt;&lt;FQL&gt;&lt;Q&gt;VZ^CS_EVENT_TIME_N("ER",3)&lt;/Q&gt;&lt;R&gt;1&lt;/R&gt;&lt;C&gt;1&lt;/C&gt;&lt;D xsi:type="xsd:string"&gt;Before Market&lt;/D&gt;&lt;/FQL&gt;&lt;FQL&gt;&lt;Q&gt;VZ^CS_EVENT_DESC_N("ER",3)&lt;/Q&gt;&lt;R&gt;1&lt;/R&gt;&lt;C&gt;1&lt;/C&gt;&lt;D xsi:type="xsd:string"&gt;Q3 2026 Earnings Release&lt;/D&gt;&lt;/FQL&gt;&lt;FQL&gt;&lt;Q&gt;BRO^CS_EVENT_DATEJ_N("ER",3)&lt;/Q&gt;&lt;R&gt;1&lt;/R&gt;&lt;C&gt;1&lt;/C&gt;&lt;D xsi:type="xsd:long"&gt;46328&lt;/D&gt;&lt;/FQL&gt;&lt;FQL&gt;&lt;Q&gt;BRO^CS_EVENT_TIME_N("ER",3)&lt;/Q&gt;&lt;R&gt;1&lt;/R&gt;&lt;C&gt;1&lt;/C&gt;&lt;D xsi:type="xsd:string"&gt;Unspecified&lt;/D&gt;&lt;/FQL&gt;&lt;FQL&gt;&lt;Q&gt;BRO^CS_EVENT_DESC_N("ER",3)&lt;/Q&gt;&lt;R&gt;1&lt;/R&gt;&lt;C&gt;1&lt;/C&gt;&lt;D xsi:type="xsd:string"&gt;Q3 2026 Earnings Release (Projected)&lt;/D&gt;&lt;/FQL&gt;&lt;FQL&gt;&lt;Q&gt;CDNS^CS_EVENT_DATEJ_N("ER",3)&lt;/Q&gt;&lt;R&gt;1&lt;/R&gt;&lt;C&gt;1&lt;/C&gt;&lt;D xsi:type="xsd:long"&gt;46321&lt;/D&gt;&lt;/FQL&gt;&lt;FQL&gt;&lt;Q&gt;CDNS^CS_EVENT_TIME_N("ER",3)&lt;/Q&gt;&lt;R&gt;1&lt;/R&gt;&lt;C&gt;1&lt;/C&gt;&lt;D xsi:type="xsd:string"&gt;Unspecified&lt;/D&gt;&lt;/FQL&gt;&lt;FQL&gt;&lt;Q&gt;CDNS^CS_EVENT_DESC_N("ER",3)&lt;/Q&gt;&lt;R&gt;1&lt;/R&gt;&lt;C&gt;1&lt;/C&gt;&lt;D xsi:type="xsd:string"&gt;Q3 2026 Earnings Release (Projected)&lt;/D&gt;&lt;/FQL&gt;&lt;FQL&gt;&lt;Q&gt;NUE^CS_EVENT_DATEJ_N("ER",3)&lt;/Q&gt;&lt;R&gt;1&lt;/R&gt;&lt;C&gt;1&lt;/C&gt;&lt;D xsi:type="xsd:long"&gt;46321&lt;/D&gt;&lt;/FQL&gt;&lt;FQL&gt;&lt;Q&gt;NUE^CS_EVENT_TIME_N("ER",3)&lt;/Q&gt;&lt;R&gt;1&lt;/R&gt;&lt;C&gt;1&lt;/C&gt;&lt;D xsi:type="xsd:string"&gt;Unspecified&lt;/D&gt;&lt;/FQL&gt;&lt;FQL&gt;&lt;Q&gt;NUE^CS_EVENT_DESC_N("ER",3)&lt;/Q&gt;&lt;R&gt;1&lt;/R&gt;&lt;C&gt;1&lt;/C&gt;&lt;D xsi:type="xsd:string"&gt;Q3 2026 Earnings Release (Projected)&lt;/D&gt;&lt;/FQL&gt;&lt;FQL&gt;&lt;Q&gt;LII^CS_EVENT_DATEJ_N("ER",3)&lt;/Q&gt;&lt;R&gt;1&lt;/R&gt;&lt;C&gt;1&lt;/C&gt;&lt;D xsi:type="xsd:long"&gt;46317&lt;/D&gt;&lt;/FQL&gt;&lt;FQL&gt;&lt;Q&gt;LII^CS_EVENT_TIME_N("ER",3)&lt;/Q&gt;&lt;R&gt;1&lt;/R&gt;&lt;C&gt;1&lt;/C&gt;&lt;D xsi:type="xsd:string"&gt;Unspecified&lt;/D&gt;&lt;/FQL&gt;&lt;FQL&gt;&lt;Q&gt;LII^CS_EVENT_DESC_N("ER",3)&lt;/Q&gt;&lt;R&gt;1&lt;/R&gt;&lt;C&gt;1&lt;/C&gt;&lt;D xsi:type="xsd:string"&gt;Q3 2026 Earnings Release (Projected)&lt;/D&gt;&lt;/FQL&gt;&lt;FQL&gt;&lt;Q&gt;DPZ^CS_EVENT_DATEJ_N("ER",3)&lt;/Q&gt;&lt;R&gt;1&lt;/R&gt;&lt;C&gt;1&lt;/C&gt;&lt;D xsi:type="xsd:long"&gt;46303&lt;/D&gt;&lt;/FQL&gt;&lt;FQL&gt;&lt;Q&gt;DPZ^CS_EVENT_TIME_N("ER",3)&lt;/Q&gt;&lt;R&gt;1&lt;/R&gt;&lt;C&gt;1&lt;/C&gt;&lt;D xsi:type="xsd:string"&gt;Unspecified&lt;/D&gt;&lt;/FQL&gt;&lt;FQL&gt;&lt;Q&gt;DPZ^CS_EVENT_DESC_N("ER",3)&lt;/Q&gt;&lt;R&gt;1&lt;/R&gt;&lt;C&gt;1&lt;/C&gt;&lt;D xsi:type="xsd:string"&gt;Q3 2026 Earnings Release (Projected)&lt;/D&gt;&lt;/FQL&gt;&lt;FQL&gt;&lt;Q&gt;MSFT^CS_EVENT_DATEJ_N("ER",3)&lt;/Q&gt;&lt;R&gt;1&lt;/R&gt;&lt;C&gt;1&lt;/C&gt;&lt;D xsi:type="xsd:long"&gt;46322&lt;/D&gt;&lt;/FQL&gt;&lt;FQL&gt;&lt;Q&gt;MSFT^CS_EVENT_TIME_N("ER",3)&lt;/Q&gt;&lt;R&gt;1&lt;/R&gt;&lt;C&gt;1&lt;/C&gt;&lt;D xsi:type="xsd:string"&gt;Unspecified&lt;/D&gt;&lt;/FQL&gt;&lt;FQL&gt;&lt;Q&gt;MSFT^CS_EVENT_DESC_N("ER",3)&lt;/Q&gt;&lt;R&gt;1&lt;/R&gt;&lt;C&gt;1&lt;/C&gt;&lt;D xsi:type="xsd:string"&gt;Q1 2027 Earnings Release (Projected)&lt;/D&gt;&lt;/FQL&gt;&lt;FQL&gt;&lt;Q&gt;MCO^CS_EVENT_DATEJ_N("ER",3)&lt;/Q&gt;&lt;R&gt;1&lt;/R&gt;&lt;C&gt;1&lt;/C&gt;&lt;D xsi:type="xsd:long"&gt;46322&lt;/D&gt;&lt;/FQL&gt;&lt;FQL&gt;&lt;Q&gt;MCO^CS_EVENT_TIME_N("ER",3)&lt;/Q&gt;&lt;R&gt;1&lt;/R&gt;&lt;C&gt;1&lt;/C&gt;&lt;D xsi:type="xsd:string"&gt;Unspecified&lt;/D&gt;&lt;/FQL&gt;&lt;FQL&gt;&lt;Q&gt;MCO^CS_EVENT_DESC_N("ER",3)&lt;/Q&gt;&lt;R&gt;1&lt;/R&gt;&lt;C&gt;1&lt;/C&gt;&lt;D xsi:type="xsd:string"&gt;Q3 2026 Earnings Release (Projected)&lt;/D&gt;&lt;/FQL&gt;&lt;FQL&gt;&lt;Q&gt;KO^CS_EVENT_DATEJ_N("ER",3)&lt;/Q&gt;&lt;R&gt;1&lt;/R&gt;&lt;C&gt;1&lt;/C&gt;&lt;D xsi:type="xsd:long"&gt;46322&lt;/D&gt;&lt;/FQL&gt;&lt;FQL&gt;&lt;Q&gt;KO^CS_EVENT_TIME_N("ER",3)&lt;/Q&gt;&lt;R&gt;1&lt;/R&gt;&lt;C&gt;1&lt;/C&gt;&lt;D xsi:type="xsd:string"&gt;Unspecified&lt;/D&gt;&lt;/FQL&gt;&lt;FQL&gt;&lt;Q&gt;KO^CS_EVENT_DESC_N("ER",3)&lt;/Q&gt;&lt;R&gt;1&lt;/R&gt;&lt;C&gt;1&lt;/C&gt;&lt;D xsi:type="xsd:string"&gt;Q3 2026 Earnings Release (Projected)&lt;/D&gt;&lt;/FQL&gt;&lt;FQL&gt;&lt;Q&gt;FISV^CS_EVENT_DATEJ_N("ER",3)&lt;/Q&gt;&lt;R&gt;1&lt;/R&gt;&lt;C&gt;1&lt;/C&gt;&lt;D xsi:type="xsd:long"&gt;46322&lt;/D&gt;&lt;/FQL&gt;&lt;FQL&gt;&lt;Q&gt;FISV^CS_EVENT_TIME_N("ER",3)&lt;/Q&gt;&lt;R&gt;1&lt;/R&gt;&lt;C&gt;1&lt;/C&gt;&lt;D xsi:type="xsd:string"&gt;Unspecified&lt;/D&gt;&lt;/FQL&gt;&lt;FQL&gt;&lt;Q&gt;FISV^CS_EVENT_DESC_N("ER",3)&lt;/Q&gt;&lt;R&gt;1&lt;/R&gt;&lt;C&gt;1&lt;/C&gt;&lt;D xsi:type="xsd:string"&gt;Q3 2026 Earnings Release (Projected)&lt;/D&gt;&lt;/FQL&gt;&lt;FQL&gt;&lt;Q&gt;AMT^CS_EVENT_DATEJ_N("ER",3)&lt;/Q&gt;&lt;R&gt;1&lt;/R&gt;&lt;C&gt;1&lt;/C&gt;&lt;D xsi:type="xsd:long"&gt;46317&lt;/D&gt;&lt;/FQL&gt;&lt;FQL&gt;&lt;Q&gt;AMT^CS_EVENT_TIME_N("ER",3)&lt;/Q&gt;&lt;R&gt;1&lt;/R&gt;&lt;C&gt;1&lt;/C&gt;&lt;D xsi:type="xsd:string"&gt;Unspecified&lt;/D&gt;&lt;/FQL&gt;&lt;FQL&gt;&lt;Q&gt;AMT^CS_EVENT_DESC_N("ER",3)&lt;/Q&gt;&lt;R&gt;1&lt;/R&gt;&lt;C&gt;1&lt;/C&gt;&lt;D xsi:type="xsd:string"&gt;Q3 2026 Earnings Release (Projected)&lt;/D&gt;&lt;/FQL&gt;&lt;FQL&gt;&lt;Q&gt;NVR^CS_EVENT_DATEJ_N("ER",3)&lt;/Q&gt;&lt;R&gt;1&lt;/R&gt;&lt;C&gt;1&lt;/C&gt;&lt;D xsi:type="xsd:long"&gt;46322&lt;/D&gt;&lt;/FQL&gt;&lt;FQL&gt;&lt;Q&gt;NVR^CS_EVENT_TIME_N("ER",3)&lt;/Q&gt;&lt;R&gt;1&lt;/R&gt;&lt;C&gt;1&lt;/C&gt;&lt;D xsi:type="xsd:string"&gt;Unspecified&lt;/D&gt;&lt;/FQL&gt;&lt;FQL&gt;&lt;Q&gt;NVR^CS_EVENT_DESC_N("ER",3)&lt;/Q&gt;&lt;R&gt;1&lt;/R&gt;&lt;C&gt;1&lt;/C&gt;&lt;D xsi:type="xsd:string"&gt;Q3 2026 Earnings Release (Projected)&lt;/D&gt;&lt;/FQL&gt;&lt;FQL&gt;&lt;Q&gt;ROP^CS_EVENT_DATEJ_N("ER",3)&lt;/Q&gt;&lt;R&gt;1&lt;/R&gt;&lt;C&gt;1&lt;/C&gt;&lt;D xsi:type="xsd:long"&gt;46323&lt;/D&gt;&lt;/FQL&gt;&lt;FQL&gt;&lt;Q&gt;ROP^CS_EVENT_TIME_N("ER",3)&lt;/Q&gt;&lt;R&gt;1&lt;/R&gt;&lt;C&gt;1&lt;/C&gt;&lt;D xsi:type="xsd:string"&gt;Unspecified&lt;/D&gt;&lt;/FQL&gt;&lt;FQL&gt;&lt;Q&gt;ROP^CS_EVENT_DESC_N("ER",3)&lt;/Q&gt;&lt;R&gt;1&lt;/R&gt;&lt;C&gt;1&lt;/C&gt;&lt;D xsi:type="xsd:string"&gt;Q3 2026 Earnings Release (Projected)&lt;/D&gt;&lt;/FQL&gt;&lt;FQL&gt;&lt;Q&gt;TER^CS_EVENT_DATEJ_N("ER",3)&lt;/Q&gt;&lt;R&gt;1&lt;/R&gt;&lt;C&gt;1&lt;/C&gt;&lt;D xsi:type="xsd:long"&gt;46322&lt;/D&gt;&lt;/FQL&gt;&lt;FQL&gt;&lt;Q&gt;TER^CS_EVENT_TIME_N("ER",3)&lt;/Q&gt;&lt;R&gt;1&lt;/R&gt;&lt;C&gt;1&lt;/C&gt;&lt;D xsi:type="xsd:string"&gt;Unspecified&lt;/D&gt;&lt;/FQL&gt;&lt;FQL&gt;&lt;Q&gt;TER^CS_EVENT_DESC_N("ER",3)&lt;/Q&gt;&lt;R&gt;1&lt;/R&gt;&lt;C&gt;1&lt;/C&gt;&lt;D xsi:type="xsd:string"&gt;Q3 2026 Earnings Release (Projected)&lt;/D&gt;&lt;/FQL&gt;&lt;FQL&gt;&lt;Q&gt;MMM^CS_EVENT_DATEJ_N("ER",3)&lt;/Q&gt;&lt;R&gt;1&lt;/R&gt;&lt;C&gt;1&lt;/C&gt;&lt;D xsi:type="xsd:long"&gt;46322&lt;/D&gt;&lt;/FQL&gt;&lt;FQL&gt;&lt;Q&gt;MMM^CS_EVENT_TIME_N("ER",3)&lt;/Q&gt;&lt;R&gt;1&lt;/R&gt;&lt;C&gt;1&lt;/C&gt;&lt;D xsi:type="xsd:string"&gt;Unspecified&lt;/D&gt;&lt;/FQL&gt;&lt;FQL&gt;&lt;Q&gt;MMM^CS_EVENT_DESC_N("ER",3)&lt;/Q&gt;&lt;R&gt;1&lt;/R&gt;&lt;C&gt;1&lt;/C&gt;&lt;D xsi:type="xsd:string"&gt;Q3 2026 Earnings Release (Projected)&lt;/D&gt;&lt;/FQL&gt;&lt;FQL&gt;&lt;Q&gt;IEX^CS_EVENT_DATEJ_N("ER",3)&lt;/Q&gt;&lt;R&gt;1&lt;/R&gt;&lt;C&gt;1&lt;/C&gt;&lt;D xsi:type="xsd:long"&gt;46322&lt;/D&gt;&lt;/FQL&gt;&lt;FQL&gt;&lt;Q&gt;IEX^CS_EVENT_TIME_N("ER",3)&lt;/Q&gt;&lt;R&gt;1&lt;/R&gt;&lt;C&gt;1&lt;/C&gt;&lt;D xsi:type="xsd:string"&gt;Unspecified&lt;/D&gt;&lt;/FQL&gt;&lt;FQL&gt;&lt;Q&gt;IEX^CS_EVENT_DESC_N("ER",3)&lt;/Q&gt;&lt;R&gt;1&lt;/R&gt;&lt;C&gt;1&lt;/C&gt;&lt;D xsi:type="xsd:string"&gt;Q3 2026 Earnings Release (Projected)&lt;/D&gt;&lt;/FQL&gt;&lt;FQL&gt;&lt;Q&gt;CSGP^CS_EVENT_DATEJ_N("ER",3)&lt;/Q&gt;&lt;R&gt;1&lt;/R&gt;&lt;C&gt;1&lt;/C&gt;&lt;D xsi:type="xsd:long"&gt;46322&lt;/D&gt;&lt;/FQL&gt;&lt;FQL&gt;&lt;Q&gt;CSGP^CS_EVENT_TIME_N("ER",3)&lt;/Q&gt;&lt;R&gt;1&lt;/R&gt;&lt;C&gt;1&lt;/C&gt;&lt;D xsi:type="xsd:string"&gt;Unspecified&lt;/D&gt;&lt;/FQL&gt;&lt;FQL&gt;&lt;Q&gt;CSGP^CS_EVENT_DESC_N("ER",3)&lt;/Q&gt;&lt;R&gt;1&lt;/R&gt;&lt;C&gt;1&lt;/C&gt;&lt;D xsi:type="xsd:string"&gt;Q3 2026 Earnings Release (Projected)&lt;/D&gt;&lt;/FQL&gt;&lt;FQL&gt;&lt;Q&gt;TXN^CS_EVENT_DATEJ_N("ER",3)&lt;/Q&gt;&lt;R&gt;1&lt;/R&gt;&lt;C&gt;1&lt;/C&gt;&lt;D xsi:type="xsd:long"&gt;46322&lt;/D&gt;&lt;/FQL&gt;&lt;FQL&gt;&lt;Q&gt;TXN^CS_EVENT_TIME_N("ER",3)&lt;/Q&gt;&lt;R&gt;1&lt;/R&gt;&lt;C&gt;1&lt;/C&gt;&lt;D xsi:type="xsd:string"&gt;Unspecified&lt;/D&gt;&lt;/FQL&gt;&lt;FQL&gt;&lt;Q&gt;TXN^CS_EVENT_DESC_N("ER",3)&lt;/Q&gt;&lt;R&gt;1&lt;/R&gt;&lt;C&gt;1&lt;/C&gt;&lt;D xsi:type="xsd:string"&gt;Q3 2026 Earnings Release (Projected)&lt;/D&gt;&lt;/FQL&gt;&lt;FQL&gt;&lt;Q&gt;Q^CS_EVENT_DATEJ_N("ER",3)&lt;/Q&gt;&lt;R&gt;0&lt;/R&gt;&lt;C&gt;0&lt;/C&gt;&lt;/FQL&gt;&lt;FQL&gt;&lt;Q&gt;Q^CS_EVENT_TIME_N("ER",3)&lt;/Q&gt;&lt;R&gt;0&lt;/R&gt;&lt;C&gt;0&lt;/C&gt;&lt;/FQL&gt;&lt;FQL&gt;&lt;Q&gt;Q^CS_EVENT_DESC_N("ER",3)&lt;/Q&gt;&lt;R&gt;0&lt;/R&gt;&lt;C&gt;0&lt;/C&gt;&lt;/FQL&gt;&lt;FQL&gt;&lt;Q&gt;CAG^CS_EVENT_DATEJ_N("ER",3)&lt;/Q&gt;&lt;R&gt;1&lt;/R&gt;&lt;C&gt;1&lt;/C&gt;&lt;D xsi:type="xsd:long"&gt;46296&lt;/D&gt;&lt;/FQL&gt;&lt;FQL&gt;&lt;Q&gt;CAG^CS_EVENT_TIME_N("ER",3)&lt;/Q&gt;&lt;R&gt;1&lt;/R&gt;&lt;C&gt;1&lt;/C&gt;&lt;D xsi:type="xsd:string"&gt;Unspecified&lt;/D&gt;&lt;/FQL&gt;&lt;FQL&gt;&lt;Q&gt;CAG^CS_EVENT_DESC_N("ER",3)&lt;/Q&gt;&lt;R&gt;1&lt;/R&gt;&lt;C&gt;1&lt;/C&gt;&lt;D xsi:type="xsd:string"&gt;Q1 2027 Earnings Release (Projected)&lt;/D&gt;&lt;/FQL&gt;&lt;FQL&gt;&lt;Q&gt;STZ^CS_EVENT_DATEJ_N("ER",3)&lt;/Q&gt;&lt;R&gt;1&lt;/R&gt;&lt;C&gt;1&lt;/C&gt;&lt;D xsi:type="xsd:long"&gt;46296&lt;/D&gt;&lt;/FQL&gt;&lt;FQL&gt;&lt;Q&gt;STZ^CS_EVENT_TIME_N("ER",3)&lt;/Q&gt;&lt;R&gt;1&lt;/R&gt;&lt;C&gt;1&lt;/C&gt;&lt;D xsi:type="xsd:string"&gt;Unspecified&lt;/D&gt;&lt;/FQL&gt;&lt;FQL&gt;&lt;Q&gt;STZ^CS_EVENT_DESC_N("ER",3)&lt;/Q&gt;&lt;R&gt;1&lt;/R&gt;&lt;C&gt;1&lt;/C&gt;&lt;D xsi:type="xsd:string"&gt;Q2 2027 Earnings Release (Projected)&lt;/D&gt;&lt;/FQL&gt;&lt;FQL&gt;&lt;Q&gt;DAL^CS_EVENT_DATEJ_N("ER",3)&lt;/Q&gt;&lt;R&gt;1&lt;/R&gt;&lt;C&gt;1&lt;/C&gt;&lt;D xsi:type="xsd:long"&gt;46303&lt;/D&gt;&lt;/FQL&gt;&lt;FQL&gt;&lt;Q&gt;DAL^CS_EVENT_TIME_N("ER",3)&lt;/Q&gt;&lt;R&gt;1&lt;/R&gt;&lt;C&gt;1&lt;/C&gt;&lt;D xsi:type="xsd:string"&gt;Unspecified&lt;/D&gt;&lt;/FQL&gt;&lt;FQL&gt;&lt;Q&gt;DAL^CS_EVENT_DESC_N("ER",3)&lt;/Q&gt;&lt;R&gt;1&lt;/R&gt;&lt;C&gt;1&lt;/C&gt;&lt;D xsi:type="xsd:string"&gt;Q3 2026 Earnings Release (Projected)&lt;/D&gt;&lt;/FQL&gt;&lt;FQL&gt;&lt;Q&gt;PGR^CS_EVENT_DATEJ_N("ER",3)&lt;/Q&gt;&lt;R&gt;1&lt;/R&gt;&lt;C&gt;1&lt;/C&gt;&lt;D xsi:type="xsd:long"&gt;46303&lt;/D&gt;&lt;/FQL&gt;&lt;FQL&gt;&lt;Q&gt;PGR^CS_EVENT_TIME_N("ER",3)&lt;/Q&gt;&lt;R&gt;1&lt;/R&gt;&lt;C&gt;1&lt;/C&gt;&lt;D xsi:type="xsd:string"&gt;Unspecified&lt;/D&gt;&lt;/FQL&gt;&lt;FQL&gt;&lt;Q&gt;PGR^CS_EVENT_DESC_N("ER",3)&lt;/Q&gt;&lt;R&gt;1&lt;/R&gt;&lt;C&gt;1&lt;/C&gt;&lt;D xsi:type="xsd:string"&gt;Q3 2026 Earnings Release (Projected)&lt;/D&gt;&lt;/FQL&gt;&lt;FQL&gt;&lt;Q&gt;FAST^CS_EVENT_DATEJ_N("ER",3)&lt;/Q&gt;&lt;R&gt;1&lt;/R&gt;&lt;C&gt;1&lt;/C&gt;&lt;D xsi:type="xsd:long"&gt;46309&lt;/D&gt;&lt;/FQL&gt;&lt;FQL&gt;&lt;Q&gt;FAST^CS_EVENT_TIME_N("ER",3)&lt;/Q&gt;&lt;R&gt;1&lt;/R&gt;&lt;C&gt;1&lt;/C&gt;&lt;D xsi:type="xsd:string"&gt;7:00 AM&lt;/D&gt;&lt;/FQL&gt;&lt;FQL&gt;&lt;Q&gt;FAST^CS_EVENT_DESC_N("ER",3)&lt;/Q&gt;&lt;R&gt;1&lt;/R&gt;&lt;C&gt;1&lt;/C&gt;&lt;D xsi:type="xsd:string"&gt;Q3 2026 Earnings Release&lt;/D&gt;&lt;/FQL&gt;&lt;FQL&gt;&lt;Q&gt;GS^CS_EVENT_DATEJ_N("ER",3)&lt;/Q&gt;&lt;R&gt;1&lt;/R&gt;&lt;C&gt;1&lt;/C&gt;&lt;D xsi:type="xsd:long"&gt;46308&lt;/D&gt;&lt;/FQL&gt;&lt;FQL&gt;&lt;Q&gt;GS^CS_EVENT_TIME_N("ER",3)&lt;/Q&gt;&lt;R&gt;1&lt;/R&gt;&lt;C&gt;1&lt;/C&gt;&lt;D xsi:type="xsd:string"&gt;7:30 AM&lt;/D&gt;&lt;/FQL&gt;&lt;FQL&gt;&lt;Q&gt;GS^CS_EVENT_DESC_N("ER",3)&lt;/Q&gt;&lt;R&gt;1&lt;/R&gt;&lt;C&gt;1&lt;/C&gt;&lt;D xsi:type="xsd:string"&gt;Q3 2026 Earnings Release&lt;/D&gt;&lt;/FQL&gt;&lt;FQL&gt;&lt;Q&gt;JPM^CS_EVENT_DATEJ_N("ER",3)&lt;/Q&gt;&lt;R&gt;1&lt;/R&gt;&lt;C&gt;1&lt;/C&gt;&lt;D xsi:type="xsd:long"&gt;46308&lt;/D&gt;&lt;/FQL&gt;&lt;FQL&gt;&lt;Q&gt;JPM^CS_EVENT_TIME_N("ER",3)&lt;/Q&gt;&lt;R&gt;1&lt;/R&gt;&lt;C&gt;1&lt;/C&gt;&lt;D xsi:type="xsd:string"&gt;6:45 AM&lt;/D&gt;&lt;/FQL&gt;&lt;FQL&gt;&lt;Q&gt;JPM^CS_EVENT_DESC_N("ER",3)&lt;/Q&gt;&lt;R&gt;1&lt;/R&gt;&lt;C&gt;1&lt;/C&gt;&lt;D xsi:type="xsd:string"&gt;Q3 2026 Earnings Release&lt;/D&gt;&lt;/FQL&gt;&lt;FQL&gt;&lt;Q&gt;WFC^CS_EVENT_DATEJ_N("ER",3)&lt;/Q&gt;&lt;R&gt;1&lt;/R&gt;&lt;C&gt;1&lt;/C&gt;&lt;D xsi:type="xsd:long"&gt;46308&lt;/D&gt;&lt;/FQL&gt;&lt;FQL&gt;&lt;Q&gt;WFC^CS_EVENT_TIME_N("ER",3)&lt;/Q&gt;&lt;R&gt;1&lt;/R&gt;&lt;C&gt;1&lt;/C&gt;&lt;D xsi:type="xsd:string"&gt;7:00 AM&lt;/D&gt;&lt;/FQL&gt;&lt;FQL&gt;&lt;Q&gt;WFC^CS_EVENT_DESC_N("ER",3)&lt;/Q&gt;&lt;R&gt;1&lt;/R&gt;&lt;C&gt;1&lt;/C&gt;&lt;D xsi:type="xsd:string"&gt;Q3 2026 Earnings Release&lt;/D&gt;&lt;/FQL&gt;&lt;FQL&gt;&lt;Q&gt;JNJ^CS_EVENT_DATEJ_N("ER",3)&lt;/Q&gt;&lt;R&gt;1&lt;/R&gt;&lt;C&gt;1&lt;/C&gt;&lt;D xsi:type="xsd:long"&gt;46315&lt;/D&gt;&lt;/FQL&gt;&lt;FQL&gt;&lt;Q&gt;JNJ^CS_EVENT_TIME_N("ER",3)&lt;/Q&gt;&lt;R&gt;1&lt;/R&gt;&lt;C&gt;1&lt;/C&gt;&lt;D xsi:type="xsd:string"&gt;Unspecified&lt;/D&gt;&lt;/FQL&gt;&lt;FQL&gt;&lt;Q&gt;JNJ^CS_EVENT_DESC_N("ER",3)&lt;/Q&gt;&lt;R&gt;1&lt;/R&gt;&lt;C&gt;1&lt;/C&gt;&lt;D xsi:type="xsd:string"&gt;Q3 2026 Earnings Release (Projected)&lt;/D&gt;&lt;/FQL&gt;&lt;FQL&gt;&lt;Q&gt;BLK^CS_EVENT_DATEJ_N("ER",3)&lt;/Q&gt;&lt;R&gt;1&lt;/R&gt;&lt;C&gt;1&lt;/C&gt;&lt;D xsi:type="xsd:long"&gt;46304&lt;/D&gt;&lt;/FQL&gt;&lt;FQL&gt;&lt;Q&gt;BLK^CS_EVENT_TIME_N("ER",3)&lt;/Q&gt;&lt;R&gt;1&lt;/R&gt;&lt;C&gt;1&lt;/C&gt;&lt;D xsi:type="xsd:string"&gt;Unspecified&lt;/D&gt;&lt;/FQL&gt;&lt;FQL&gt;&lt;Q&gt;BLK^CS_EVENT_DESC_N("ER",3)&lt;/Q&gt;&lt;R&gt;1&lt;/R&gt;&lt;C&gt;1&lt;/C&gt;&lt;D xsi:type="xsd:string"&gt;Q3 2026 Earnings Release (Projected)&lt;/D&gt;&lt;/FQL&gt;&lt;FQL&gt;&lt;Q&gt;C^CS_EVENT_DATEJ_N("ER",3)&lt;/Q&gt;&lt;R&gt;1&lt;/R&gt;&lt;C&gt;1&lt;/C&gt;&lt;D xsi:type="xsd:long"&gt;46308&lt;/D&gt;&lt;/FQL&gt;&lt;FQL&gt;&lt;Q&gt;C^CS_EVENT_TIME_N("ER",3)&lt;/Q&gt;&lt;R&gt;1&lt;/R&gt;&lt;C&gt;1&lt;/C&gt;&lt;D xsi:type="xsd:string"&gt;8:00 AM&lt;/D&gt;&lt;/FQL&gt;&lt;FQL&gt;&lt;Q&gt;C^CS_EVENT_DESC_N("ER",3)&lt;/Q&gt;&lt;R&gt;1&lt;/R&gt;&lt;C&gt;1&lt;/C&gt;&lt;D xsi:type="xsd:string"&gt;Q3 2026 Earnings Release&lt;/D&gt;&lt;/FQL&gt;&lt;FQL&gt;&lt;Q&gt;BAC^CS_EVENT_DATEJ_N("ER",3)&lt;/Q&gt;&lt;R&gt;1&lt;/R&gt;&lt;C&gt;1&lt;/C&gt;&lt;D xsi:type="xsd:long"&gt;46309&lt;/D&gt;&lt;/FQL&gt;&lt;FQL&gt;&lt;Q&gt;BAC^CS_EVENT_TIME_N("ER",3)&lt;/Q&gt;&lt;R&gt;1&lt;/R&gt;&lt;C&gt;1&lt;/C&gt;&lt;D xsi:type="xsd:string"&gt;6:45 AM&lt;/D&gt;&lt;/FQL&gt;&lt;FQL&gt;&lt;Q&gt;BAC^CS_EVENT_DESC_N("ER",3)&lt;/Q&gt;&lt;R&gt;1&lt;/R&gt;&lt;C&gt;1&lt;/C&gt;&lt;D xsi:type="xsd:string"&gt;Q3 2026 Earnings Release&lt;/D&gt;&lt;/FQL&gt;&lt;FQL&gt;&lt;Q&gt;MS^CS_EVENT_DATEJ_N("ER",3)&lt;/Q&gt;&lt;R&gt;1&lt;/R&gt;&lt;C&gt;1&lt;/C&gt;&lt;D xsi:type="xsd:long"&gt;46309&lt;/D&gt;&lt;/FQL&gt;&lt;FQL&gt;&lt;Q&gt;MS^CS_EVENT_TIME_N("ER",3)&lt;/Q&gt;&lt;R&gt;1&lt;/R&gt;&lt;C&gt;1&lt;/C&gt;&lt;D xsi:type="xsd:string"&gt;7:30 AM&lt;/D&gt;&lt;/FQL&gt;&lt;FQL&gt;&lt;Q&gt;MS^CS_EVENT_DESC_N("ER",3)&lt;/Q&gt;&lt;R&gt;1&lt;/R&gt;&lt;C&gt;1&lt;/C&gt;&lt;D xsi:type="xsd:string"&gt;Q3 2026 Earnings Release&lt;/D&gt;&lt;/FQL&gt;&lt;FQL&gt;&lt;Q&gt;MTB^CS_EVENT_DATEJ_N("ER",3)&lt;/Q&gt;&lt;R&gt;1&lt;/R&gt;&lt;C&gt;1&lt;/C&gt;&lt;D xsi:type="xsd:long"&gt;46311&lt;/D&gt;&lt;/FQL&gt;&lt;FQL&gt;&lt;Q&gt;MTB^CS_EVENT_TIME_N("ER",3)&lt;/Q&gt;&lt;R&gt;1&lt;/R&gt;&lt;C&gt;1&lt;/C&gt;&lt;D xsi:type="xsd:string"&gt;Before Market&lt;/D&gt;&lt;/FQL&gt;&lt;FQL&gt;&lt;Q&gt;MTB^CS_EVENT_DESC_N("ER",3)&lt;/Q&gt;&lt;R&gt;1&lt;/R&gt;&lt;C&gt;1&lt;/C&gt;&lt;D xsi:type="xsd:string"&gt;Q3 2026 Earnings Release&lt;/D&gt;&lt;/FQL&gt;&lt;FQL&gt;&lt;Q&gt;PNC^CS_EVENT_DATEJ_N("ER",3)&lt;/Q&gt;&lt;R&gt;1&lt;/R&gt;&lt;C&gt;1&lt;/C&gt;&lt;D xsi:type="xsd:long"&gt;46310&lt;/D&gt;&lt;/FQL&gt;&lt;FQL&gt;&lt;Q&gt;PNC^CS_EVENT_TIME_N("ER",3)&lt;/Q&gt;&lt;R&gt;1&lt;/R&gt;&lt;C&gt;1&lt;/C&gt;&lt;D xsi:type="xsd:string"&gt;Before Market&lt;/D&gt;&lt;/FQL&gt;&lt;FQL&gt;&lt;Q&gt;PNC^CS_EVENT_DESC_N("ER",3)&lt;/Q&gt;&lt;R&gt;1&lt;/R&gt;&lt;C&gt;1&lt;/C&gt;&lt;D xsi:type="xsd:string"&gt;Q3 2026 Earnings Release&lt;/D&gt;&lt;/FQL&gt;&lt;FQL&gt;&lt;Q&gt;KEY^CS_EVENT_DATEJ_N("ER",3)&lt;/Q&gt;&lt;R&gt;1&lt;/R&gt;&lt;C&gt;1&lt;/C&gt;&lt;D xsi:type="xsd:long"&gt;46315&lt;/D&gt;&lt;/FQL&gt;&lt;FQL&gt;&lt;Q&gt;KEY^CS_EVENT_TIME_N("ER",3)&lt;/Q&gt;&lt;R&gt;1&lt;/R&gt;&lt;C&gt;1&lt;/C&gt;&lt;D xsi:type="xsd:string"&gt;6:30 AM&lt;/D&gt;&lt;/FQL&gt;&lt;FQL&gt;&lt;Q&gt;KEY^CS_EVENT_DESC_N("ER",3)&lt;/Q&gt;&lt;R&gt;1&lt;/R&gt;&lt;C&gt;1&lt;/C&gt;&lt;D xsi:type="xsd:string"&gt;Q3 2026 Earnings Release&lt;/D&gt;&lt;/FQL&gt;&lt;FQL&gt;&lt;Q&gt;FCX^CS_EVENT_DATEJ_N("ER",3)&lt;/Q&gt;&lt;R&gt;1&lt;/R&gt;&lt;C&gt;1&lt;/C&gt;&lt;D xsi:type="xsd:long"&gt;46310&lt;/D&gt;&lt;/FQL&gt;&lt;FQL&gt;&lt;Q&gt;FCX^CS_EVENT_TIME_N("ER",3)&lt;/Q&gt;&lt;R&gt;1&lt;/R&gt;&lt;C&gt;1&lt;/C&gt;&lt;D xsi:type="xsd:string"&gt;Unspecified&lt;/D&gt;&lt;/FQL&gt;&lt;FQL&gt;&lt;Q&gt;FCX^CS_EVENT_DESC_N("ER",3)&lt;/Q&gt;&lt;R&gt;1&lt;/R&gt;&lt;C&gt;1&lt;/C&gt;&lt;D xsi:type="xsd:string"&gt;Q3 2026 Earnings Release (Projected)&lt;/D&gt;&lt;/FQL&gt;&lt;FQL&gt;&lt;Q&gt;USB^CS_EVENT_DATEJ_N("ER",3)&lt;/Q&gt;&lt;R&gt;1&lt;/R&gt;&lt;C&gt;1&lt;/C&gt;&lt;D xsi:type="xsd:long"&gt;46310&lt;/D&gt;&lt;/FQL&gt;&lt;FQL&gt;&lt;Q&gt;USB^CS_EVENT_TIME_N("ER",3)&lt;/Q&gt;&lt;R&gt;1&lt;/R&gt;&lt;C&gt;1&lt;/C&gt;&lt;D xsi:type="xsd:string"&gt;6:45 AM&lt;/D&gt;&lt;/FQL&gt;&lt;FQL&gt;&lt;Q&gt;USB^CS_EVENT_DESC_N("ER",3)&lt;/Q&gt;&lt;R&gt;1&lt;/R&gt;&lt;C&gt;1&lt;/C&gt;&lt;D xsi:type="xsd:string"&gt;Q3 2026 Earnings Release&lt;/D&gt;&lt;/FQL&gt;&lt;FQL&gt;&lt;Q&gt;POOL^CS_EVENT_DATEJ_N("ER",3)&lt;/Q&gt;&lt;R&gt;1&lt;/R&gt;&lt;C&gt;1&lt;/C&gt;&lt;D xsi:type="xsd:long"&gt;46310&lt;/D&gt;&lt;/FQL&gt;&lt;FQL&gt;&lt;Q&gt;POOL^CS_EVENT_TIME_N("ER",3)&lt;/Q&gt;&lt;R&gt;1&lt;/R&gt;&lt;C&gt;1&lt;/C&gt;&lt;D xsi:type="xsd:string"&gt;Unspecified&lt;/D&gt;&lt;/FQL&gt;&lt;FQL&gt;&lt;Q&gt;POOL^CS_EVENT_DESC_N("ER",3)&lt;/Q&gt;&lt;R&gt;1&lt;/R&gt;&lt;C&gt;1&lt;/C&gt;&lt;D xsi:type="xsd:string"&gt;Q3 2026 Earnings Release (Projected)&lt;/D&gt;&lt;/FQL&gt;&lt;FQL&gt;&lt;Q&gt;SNA^CS_EVENT_DATEJ_N("ER",3)&lt;/Q&gt;&lt;R&gt;1&lt;/R&gt;&lt;C&gt;1&lt;/C&gt;&lt;D xsi:type="xsd:long"&gt;46310&lt;/D&gt;&lt;/FQL&gt;&lt;FQL&gt;&lt;Q&gt;SNA^CS_EVENT_TIME_N("ER",3)&lt;/Q&gt;&lt;R&gt;1&lt;/R&gt;&lt;C&gt;1&lt;/C&gt;&lt;D xsi:type="xsd:string"&gt;Unspecified&lt;/D&gt;&lt;/FQL&gt;&lt;FQL&gt;&lt;Q&gt;SNA^CS_EVENT_DESC_N("ER",3)&lt;/Q&gt;&lt;R&gt;1&lt;/R&gt;&lt;C&gt;1&lt;/C&gt;&lt;D xsi:type="xsd:string"&gt;Q3 2026 Earnings Release (Projected)&lt;/D&gt;&lt;/FQL&gt;&lt;FQL&gt;&lt;Q&gt;MRSH^CS_EVENT_DATEJ_N("ER",3)&lt;/Q&gt;&lt;R&gt;1&lt;/R&gt;&lt;C&gt;1&lt;/C&gt;&lt;D xsi:type="xsd:long"&gt;46310&lt;/D&gt;&lt;/FQL&gt;&lt;FQL&gt;&lt;Q&gt;MRSH^CS_EVENT_TIME_N("ER",3)&lt;/Q&gt;&lt;R&gt;1&lt;/R&gt;&lt;C&gt;1&lt;/C&gt;&lt;D xsi:type="xsd:string"&gt;Unspecified&lt;/D&gt;&lt;/FQL&gt;&lt;FQL&gt;&lt;Q&gt;MRSH^CS_EVENT_DESC_N("ER",3)&lt;/Q&gt;&lt;R&gt;1&lt;/R&gt;&lt;C&gt;1&lt;/C&gt;&lt;D xsi:type="xsd:string"&gt;Q3 2026 Earnings Release (Projected)&lt;/D&gt;&lt;/FQL&gt;&lt;FQL&gt;&lt;Q&gt;NFLX^CS_EVENT_DATEJ_N("ER",3)&lt;/Q&gt;&lt;R&gt;1&lt;/R&gt;&lt;C&gt;1&lt;/C&gt;&lt;D xsi:type="xsd:long"&gt;46315&lt;/D&gt;&lt;/FQL&gt;&lt;FQL&gt;&lt;Q&gt;NFLX^CS_EVENT_TIME_N("ER",3)&lt;/Q&gt;&lt;R&gt;1&lt;/R&gt;&lt;C&gt;1&lt;/C&gt;&lt;D xsi:type="xsd:string"&gt;Unspecified&lt;/D&gt;&lt;/FQL&gt;&lt;FQL&gt;&lt;Q&gt;NFLX^CS_EVENT_DESC_N("ER",3)&lt;/Q&gt;&lt;R&gt;1&lt;/R&gt;&lt;C&gt;1&lt;/C&gt;&lt;D xsi:type="xsd:string"&gt;Q3 2026 Earnings Release (Projected)&lt;/D&gt;&lt;/FQL&gt;&lt;FQL&gt;&lt;Q&gt;RCL^CS_EVENT_DATEJ_N("ER",2)&lt;/Q&gt;&lt;R&gt;1&lt;/R&gt;&lt;C&gt;1&lt;/C&gt;&lt;D xsi:type="xsd:long"&gt;46226&lt;/D&gt;&lt;/FQL&gt;&lt;FQL&gt;&lt;Q&gt;RCL^CS_EVENT_TIME_N("ER",2)&lt;/Q&gt;&lt;R&gt;1&lt;/R&gt;&lt;C&gt;1&lt;/C&gt;&lt;D xsi:type="xsd:string"&gt;Unspecified&lt;/D&gt;&lt;/FQL&gt;&lt;FQL&gt;&lt;Q&gt;EW^CS_EVENT_DATEJ_N("ER",3)&lt;/Q&gt;&lt;R&gt;1&lt;/R&gt;&lt;C&gt;1&lt;/C&gt;&lt;D xsi:type="xsd:long"&gt;46414&lt;/D&gt;&lt;/FQL&gt;&lt;FQL&gt;&lt;Q&gt;EW^CS_EVENT_TIME_N("ER",3)&lt;/Q&gt;&lt;R&gt;1&lt;/R&gt;&lt;C&gt;1&lt;/C&gt;&lt;D xsi:type="xsd:string"&gt;Unspecified&lt;/D&gt;&lt;/FQL&gt;&lt;FQL&gt;&lt;Q&gt;EW^CS_EVENT_DESC_N("ER",3)&lt;/Q&gt;&lt;R&gt;1&lt;/R&gt;&lt;C&gt;1&lt;/C&gt;&lt;D xsi:type="xsd:string"&gt;Q4 2026 Earnings Release (Projected)&lt;/D&gt;&lt;/FQL&gt;&lt;FQL&gt;&lt;Q&gt;MGM^CS_EVENT_DATEJ_N("ER",3)&lt;/Q&gt;&lt;R&gt;1&lt;/R&gt;&lt;C&gt;1&lt;/C&gt;&lt;D xsi:type="xsd:long"&gt;46330&lt;/D&gt;&lt;/FQL&gt;&lt;FQL&gt;&lt;Q&gt;MGM^CS_EVENT_TIME_N("ER",3)&lt;/Q&gt;&lt;R&gt;1&lt;/R&gt;&lt;C&gt;1&lt;/C&gt;&lt;D xsi:type="xsd:string"&gt;Unspecified&lt;/D&gt;&lt;/FQL&gt;&lt;FQL&gt;&lt;Q&gt;MGM^CS_EVENT_DESC_N("ER",3)&lt;/Q&gt;&lt;R&gt;1&lt;/R&gt;&lt;C&gt;1&lt;/C&gt;&lt;D xsi:type="xsd:string"&gt;Q3 2026 Earnings Release (Projected)&lt;/D&gt;&lt;/FQL&gt;&lt;FQL&gt;&lt;Q&gt;APH^CS_EVENT_DATEJ_N("ER",3)&lt;/Q&gt;&lt;R&gt;1&lt;/R&gt;&lt;C&gt;1&lt;/C&gt;&lt;D xsi:type="xsd:long"&gt;46323&lt;/D&gt;&lt;/FQL&gt;&lt;FQL&gt;&lt;Q&gt;APH^CS_EVENT_TIME_N("ER",3)&lt;/Q&gt;&lt;R&gt;1&lt;/R&gt;&lt;C&gt;1&lt;/C&gt;&lt;D xsi:type="xsd:string"&gt;Unspecified&lt;/D&gt;&lt;/FQL&gt;&lt;FQL&gt;&lt;Q&gt;APH^CS_EVENT_DESC_N("ER",3)&lt;/Q&gt;&lt;R&gt;1&lt;/R&gt;&lt;C&gt;1&lt;/C&gt;&lt;D xsi:type="xsd:string"&gt;Q3 2026 Earnings Release (Projected)&lt;/D&gt;&lt;/FQL&gt;&lt;FQL&gt;&lt;Q&gt;ALL^CS_EVENT_DATEJ_N("ER",3)&lt;/Q&gt;&lt;R&gt;1&lt;/R&gt;&lt;C&gt;1&lt;/C&gt;&lt;D xsi:type="xsd:long"&gt;46330&lt;/D&gt;&lt;/FQL&gt;&lt;FQL&gt;&lt;Q&gt;ALL^CS_EVENT_TIME_N("ER",3)&lt;/Q&gt;&lt;R&gt;1&lt;/R&gt;&lt;C&gt;1&lt;/C&gt;&lt;D xsi:type="xsd:string"&gt;After Market&lt;/D&gt;&lt;/FQL&gt;&lt;FQL&gt;&lt;Q&gt;ALL^CS_EVENT_DESC_N("ER",3)&lt;/Q&gt;&lt;R&gt;1&lt;/R&gt;&lt;C&gt;1&lt;/C&gt;&lt;D xsi:type="xsd:string"&gt;Q3 2026 Earnings Release&lt;/D&gt;&lt;/FQL&gt;&lt;FQL&gt;&lt;Q&gt;SWK^CS_EVENT_DATEJ_N("ER",3)&lt;/Q&gt;&lt;R&gt;1&lt;/R&gt;&lt;C&gt;1&lt;/C&gt;&lt;D xsi:type="xsd:long"&gt;46317&lt;/D&gt;&lt;/FQL&gt;&lt;FQL&gt;&lt;Q&gt;SWK^CS_EVENT_TIME_N("ER",3)&lt;/Q&gt;&lt;R&gt;1&lt;/R&gt;&lt;C&gt;1&lt;/C&gt;&lt;D xsi:type="xsd:string"&gt;Unspecified&lt;/D&gt;&lt;/FQL&gt;&lt;FQL&gt;&lt;Q&gt;SWK^CS_EVENT_DESC_N("ER",3)&lt;/Q&gt;&lt;R&gt;1&lt;/R&gt;&lt;C&gt;1&lt;/C&gt;&lt;D xsi:type="xsd:string"&gt;Q3 2026 Earnings Release (Projected)&lt;/D&gt;&lt;/FQL&gt;&lt;FQL&gt;&lt;Q&gt;REGN^CS_EVENT_DATEJ_N("ER",3)&lt;/Q&gt;&lt;R&gt;1&lt;/R&gt;&lt;C&gt;1&lt;/C&gt;&lt;D xsi:type="xsd:long"&gt;46324&lt;/D&gt;&lt;/FQL&gt;&lt;FQL&gt;&lt;Q&gt;REGN^CS_EVENT_TIME_N("ER",3)&lt;/Q&gt;&lt;R&gt;1&lt;/R&gt;&lt;C&gt;1&lt;/C&gt;&lt;D xsi:type="xsd:string"&gt;Unspecified&lt;/D&gt;&lt;/FQL&gt;&lt;FQL&gt;&lt;Q&gt;REGN^CS_EVENT_DESC_N("ER",3)&lt;/Q&gt;&lt;R&gt;1&lt;/R&gt;&lt;C&gt;1&lt;/C&gt;&lt;D xsi:type="xsd:string"&gt;Q3 2026 Earnings Release (Projected)&lt;/D&gt;&lt;/FQL&gt;&lt;FQL&gt;&lt;Q&gt;ODFL^CS_EVENT_DATEJ_N("ER",3)&lt;/Q&gt;&lt;R&gt;1&lt;/R&gt;&lt;C&gt;1&lt;/C&gt;&lt;D xsi:type="xsd:long"&gt;46323&lt;/D&gt;&lt;/FQL&gt;&lt;FQL&gt;&lt;Q&gt;ODFL^CS_EVENT_TIME_N("ER",3)&lt;/Q&gt;&lt;R&gt;1&lt;/R&gt;&lt;C&gt;1&lt;/C&gt;&lt;D xsi:type="xsd:string"&gt;Unspecified&lt;/D&gt;&lt;/FQL&gt;&lt;FQL&gt;&lt;Q&gt;ODFL^CS_EVENT_DESC_N("ER",3)&lt;/Q&gt;&lt;R&gt;1&lt;/R&gt;&lt;C&gt;1&lt;/C&gt;&lt;D xsi:type="xsd:string"&gt;Q3 2026 Earnings Release (Projected)&lt;/D&gt;&lt;/FQL&gt;&lt;FQL&gt;&lt;Q&gt;ALGN^CS_EVENT_DATEJ_N("ER",3)&lt;/Q&gt;&lt;R&gt;1&lt;/R&gt;&lt;C&gt;1&lt;/C&gt;&lt;D xsi:type="xsd:long"&gt;46323&lt;/D&gt;&lt;/FQL&gt;&lt;FQL&gt;&lt;Q&gt;ALGN^CS_EVENT_TIME_N("ER",3)&lt;/Q&gt;&lt;R&gt;1&lt;/R&gt;&lt;C&gt;1&lt;/C&gt;&lt;D xsi:type="xsd:string"&gt;Unspecified&lt;/D&gt;&lt;/FQL&gt;&lt;FQL&gt;&lt;Q&gt;ALGN^CS_EVENT_DESC_N("ER",3)&lt;/Q&gt;&lt;R&gt;1&lt;/R&gt;&lt;C&gt;1&lt;/C&gt;&lt;D xsi:type="xsd:string"&gt;Q3 2026 Earnings Release&lt;/D&gt;&lt;/FQL&gt;&lt;FQL&gt;&lt;Q&gt;GD^CS_EVENT_DATEJ_N("ER",3)&lt;/Q&gt;&lt;R&gt;1&lt;/R&gt;&lt;C&gt;1&lt;/C&gt;&lt;D xsi:type="xsd:long"&gt;46323&lt;/D&gt;&lt;/FQL&gt;&lt;FQL&gt;&lt;Q&gt;GD^CS_EVENT_TIME_N("ER",3)&lt;/Q&gt;&lt;R&gt;1&lt;/R&gt;&lt;C&gt;1&lt;/C&gt;&lt;D xsi:type="xsd:string"&gt;Unspecified&lt;/D&gt;&lt;/FQL&gt;&lt;FQL&gt;&lt;Q&gt;GD^CS_EVENT_DESC_N("ER",3)&lt;/Q&gt;&lt;R&gt;1&lt;/R&gt;&lt;C&gt;1&lt;/C&gt;&lt;D xsi:type="xsd:string"&gt;Q3 2026 Earnings Release (Projected)&lt;/D&gt;&lt;/FQL&gt;&lt;FQL&gt;&lt;Q&gt;ETR^CS_EVENT_DATEJ_N("ER",3)&lt;/Q&gt;&lt;R&gt;1&lt;/R&gt;&lt;C&gt;1&lt;/C&gt;&lt;D xsi:type="xsd:long"&gt;46330&lt;/D&gt;&lt;/FQL&gt;&lt;FQL&gt;&lt;Q&gt;ETR^CS_EVENT_TIME_N("ER",3)&lt;/Q&gt;&lt;R&gt;1&lt;/R&gt;&lt;C&gt;1&lt;/C&gt;&lt;D xsi:type="xsd:string"&gt;Unspecified&lt;/D&gt;&lt;/FQL&gt;&lt;FQL&gt;&lt;Q&gt;ETR^CS_EVENT_DESC_N("ER",3)&lt;/Q&gt;&lt;R&gt;1&lt;/R&gt;&lt;C&gt;1&lt;/C&gt;&lt;D xsi:type="xsd:string"&gt;Q3 2026 Earnings Release (Projected)&lt;/D&gt;&lt;/FQL&gt;&lt;FQL&gt;&lt;Q&gt;EG^CS_EVENT_DATEJ_N("ER",3)&lt;/Q&gt;&lt;R&gt;1&lt;/R&gt;&lt;C&gt;1&lt;/C&gt;&lt;D xsi:type="xsd:long"&gt;46323&lt;/D&gt;&lt;/FQL&gt;&lt;FQL&gt;&lt;Q&gt;EG^CS_EVENT_TIME_N("ER",3)&lt;/Q&gt;&lt;R&gt;1&lt;/R&gt;&lt;C&gt;1&lt;/C&gt;&lt;D xsi:type="xsd:string"&gt;Unspecified&lt;/D&gt;&lt;/FQL&gt;&lt;FQL&gt;&lt;Q&gt;EG^CS_EVENT_DESC_N("ER",3)&lt;/Q&gt;&lt;R&gt;1&lt;/R&gt;&lt;C&gt;1&lt;/C&gt;&lt;D xsi:type="xsd:string"&gt;Q3 2026 Earnings Release (Projected)&lt;/D&gt;&lt;/FQL&gt;&lt;FQL&gt;&lt;Q&gt;FIX^CS_EVENT_DATEJ_N("ER",3)&lt;/Q&gt;&lt;R&gt;1&lt;/R&gt;&lt;C&gt;1&lt;/C&gt;&lt;D xsi:type="xsd:long"&gt;46317&lt;/D&gt;&lt;/FQL&gt;&lt;FQL&gt;&lt;Q&gt;FIX^CS_EVENT_TIME_N("ER",3)&lt;/Q&gt;&lt;R&gt;1&lt;/R&gt;&lt;C&gt;1&lt;/C&gt;&lt;D xsi:type="xsd:string"&gt;Unspecified&lt;/D&gt;&lt;/FQL&gt;&lt;FQL&gt;&lt;Q&gt;FIX^CS_EVENT_DESC_N("ER",3)&lt;/Q&gt;&lt;R&gt;1&lt;/R&gt;&lt;C&gt;1&lt;/C&gt;&lt;D xsi:type="xsd:string"&gt;Q3 2026 Earnings Release (Projected)&lt;/D&gt;&lt;/FQL&gt;&lt;FQL&gt;&lt;Q&gt;ROL^CS_EVENT_DATEJ_N("ER",3)&lt;/Q&gt;&lt;R&gt;1&lt;/R&gt;&lt;C&gt;1&lt;/C&gt;&lt;D xsi:type="xsd:long"&gt;46323&lt;/D&gt;&lt;/FQL&gt;&lt;FQL&gt;&lt;Q&gt;ROL^CS_EVENT_TIME_N("ER",3)&lt;/Q&gt;&lt;R&gt;1&lt;/R&gt;&lt;C&gt;1&lt;/C&gt;&lt;D xsi:type="xsd:string"&gt;Unspecified&lt;/D&gt;&lt;/FQL&gt;&lt;FQL&gt;&lt;Q&gt;ROL^CS_EVENT_DESC_N("ER",3)&lt;/Q&gt;&lt;R&gt;1&lt;/R&gt;&lt;C&gt;1&lt;/C&gt;&lt;D xsi:type="xsd:string"&gt;Q3 2026 Earnings Release (Projected)&lt;/D&gt;&lt;/FQL&gt;&lt;FQL&gt;&lt;Q&gt;ADP^CS_EVENT_DATEJ_N("ER",3)&lt;/Q&gt;&lt;R&gt;1&lt;/R&gt;&lt;C&gt;1&lt;/C&gt;&lt;D xsi:type="xsd:long"&gt;46323&lt;/D&gt;&lt;/FQL&gt;&lt;FQL&gt;&lt;Q&gt;ADP^CS_EVENT_TIME_N("ER",3)&lt;/Q&gt;&lt;R&gt;1&lt;/R&gt;&lt;C&gt;1&lt;/C&gt;&lt;D xsi:type="xsd:string"&gt;Unspecified&lt;/D&gt;&lt;/FQL&gt;&lt;FQL&gt;&lt;Q&gt;ADP^CS_EVENT_DESC_N("ER",3)&lt;/Q&gt;&lt;R&gt;1&lt;/R&gt;&lt;C&gt;1&lt;/C&gt;&lt;D xsi:type="xsd:string"&gt;Q1 2027 Earnings Release (Projected)&lt;/D&gt;&lt;/FQL&gt;&lt;FQL&gt;&lt;Q&gt;TDY^CS_EVENT_DATEJ_N("ER",3)&lt;/Q&gt;&lt;R&gt;1&lt;/R&gt;&lt;C&gt;1&lt;/C&gt;&lt;D xsi:type="xsd:long"&gt;46323&lt;/D&gt;&lt;/FQL&gt;&lt;FQL&gt;&lt;Q&gt;TDY^CS_EVENT_TIME_N("ER",3)&lt;/Q&gt;&lt;R&gt;1&lt;/R&gt;&lt;C&gt;1&lt;/C&gt;&lt;D xsi:type="xsd:string"&gt;Unspecified&lt;/D&gt;&lt;/FQL&gt;&lt;FQL&gt;&lt;Q&gt;TDY^CS_EVENT_DESC_N("ER",3)&lt;/Q&gt;&lt;R&gt;1&lt;/R&gt;&lt;C&gt;1&lt;/C&gt;&lt;D xsi:type="xsd:string"&gt;Q3 2026 Earnings Release (Projected)&lt;/D&gt;&lt;/FQL&gt;&lt;FQL&gt;&lt;Q&gt;URI^CS_EVENT_DATEJ_N("ER",3)&lt;/Q&gt;&lt;R&gt;1&lt;/R&gt;&lt;C&gt;1&lt;/C&gt;&lt;D xsi:type="xsd:long"&gt;46323&lt;/D&gt;&lt;/FQL&gt;&lt;FQL&gt;&lt;Q&gt;URI^CS_EVENT_TIME_N("ER",3)&lt;/Q&gt;&lt;R&gt;1&lt;/R&gt;&lt;C&gt;1&lt;/C&gt;&lt;D xsi:type="xsd:string"&gt;Unspecified&lt;/D&gt;&lt;/FQL&gt;&lt;FQL&gt;&lt;Q&gt;URI^CS_EVENT_DESC_N("ER",3)&lt;/Q&gt;&lt;R&gt;1&lt;/R&gt;&lt;C&gt;1&lt;/C&gt;&lt;D xsi:type="xsd:string"&gt;Q3 2026 Earnings Release (Projected)&lt;/D&gt;&lt;/FQL&gt;&lt;FQL&gt;&lt;Q&gt;AMGN^CS_EVENT_DATEJ_N("ER",3)&lt;/Q&gt;&lt;R&gt;1&lt;/R&gt;&lt;C&gt;1&lt;/C&gt;&lt;D xsi:type="xsd:long"&gt;46329&lt;/D&gt;&lt;/FQL&gt;&lt;FQL&gt;&lt;Q&gt;AMGN^CS_EVENT_TIME_N("ER",3)&lt;/Q&gt;&lt;R&gt;1&lt;/R&gt;&lt;C&gt;1&lt;/C&gt;&lt;D xsi:type="xsd:string"&gt;Unspecified&lt;/D&gt;&lt;/FQL&gt;&lt;FQL&gt;&lt;Q&gt;AMGN^CS_EVENT_DESC_N("ER",3)&lt;/Q&gt;&lt;R&gt;1&lt;/R&gt;&lt;C&gt;1&lt;/C&gt;&lt;D xsi:type="xsd:string"&gt;Q3 2026 Earnings Release (Projected)&lt;/D&gt;&lt;/FQL&gt;&lt;FQL&gt;&lt;Q&gt;AVY^CS_EVENT_DATEJ_N("ER",3)&lt;/Q&gt;&lt;R&gt;1&lt;/R&gt;&lt;C&gt;1&lt;/C&gt;&lt;D xsi:type="xsd:long"&gt;46323&lt;/D&gt;&lt;/FQL&gt;&lt;FQL&gt;&lt;Q&gt;AVY^CS_EVENT_TIME_N("ER",3)&lt;/Q&gt;&lt;R&gt;1&lt;/R&gt;&lt;C&gt;1&lt;/C&gt;&lt;D xsi:type="xsd:string"&gt;Unspecified&lt;/D&gt;&lt;/FQL&gt;&lt;FQL&gt;&lt;Q&gt;AVY^CS_EVENT_DESC_N("ER",3)&lt;/Q&gt;&lt;R&gt;1&lt;/R&gt;&lt;C&gt;1&lt;/C&gt;&lt;D xsi:type="xsd:string"&gt;Q3 2026 Earnings Release (Projected)&lt;/D&gt;&lt;/FQL&gt;&lt;FQL&gt;&lt;Q&gt;EQT^CS_EVENT_DATEJ_N("ER",3)&lt;/Q&gt;&lt;R&gt;1&lt;/R&gt;&lt;C&gt;1&lt;/C&gt;&lt;D xsi:type="xsd:long"&gt;46323&lt;/D&gt;&lt;/FQL&gt;&lt;FQL&gt;&lt;Q&gt;EQT^CS_EVENT_TIME_N("ER",3)&lt;/Q&gt;&lt;R&gt;1&lt;/R&gt;&lt;C&gt;1&lt;/C&gt;&lt;D xsi:type="xsd:string"&gt;Unspecified&lt;/D&gt;&lt;/FQL&gt;&lt;FQL&gt;&lt;Q&gt;EQT^CS_EVENT_DESC_N("ER",3)&lt;/Q&gt;&lt;R&gt;1&lt;/R&gt;&lt;C&gt;1&lt;/C&gt;&lt;D xsi:type="xsd:string"&gt;Q3 2026 Earnings Release (Projected)&lt;/D&gt;&lt;/FQL&gt;&lt;FQL&gt;&lt;Q&gt;ORLY^CS_EVENT_DATEJ_N("ER",3)&lt;/Q&gt;&lt;R&gt;1&lt;/R&gt;&lt;C&gt;1&lt;/C&gt;&lt;D xsi:type="xsd:long"&gt;46323&lt;/D&gt;&lt;/FQL&gt;&lt;FQL&gt;&lt;Q&gt;ORLY^CS_EVENT_TIME_N("ER",3)&lt;/Q&gt;&lt;R&gt;1&lt;/R&gt;&lt;C&gt;1&lt;/C&gt;&lt;D xsi:type="xsd:string"&gt;Unspecified&lt;/D&gt;&lt;/FQL&gt;&lt;FQL&gt;&lt;Q&gt;ORLY^CS_EVENT_DESC_N("ER",3)&lt;/Q&gt;&lt;R&gt;1&lt;/R&gt;&lt;C&gt;1&lt;/C&gt;&lt;D xsi:type="xsd:string"&gt;Q3 2026 Earnings Release (Projected)&lt;/D&gt;&lt;/FQL&gt;&lt;FQL&gt;&lt;Q&gt;TMO^CS_EVENT_DATEJ_N("ER",3)&lt;/Q&gt;&lt;R&gt;1&lt;/R&gt;&lt;C&gt;1&lt;/C&gt;&lt;D xsi:type="xsd:long"&gt;46323&lt;/D&gt;&lt;/FQL&gt;&lt;FQL&gt;&lt;Q&gt;TMO^CS_EVENT_TIME_N("ER",3)&lt;/Q&gt;&lt;R&gt;1&lt;/R&gt;&lt;C&gt;1&lt;/C&gt;&lt;D xsi:type="xsd:string"&gt;Unspecified&lt;/D&gt;&lt;/FQL&gt;&lt;FQL&gt;&lt;Q&gt;TMO^CS_EVENT_DESC_N("ER",3)&lt;/Q&gt;&lt;R&gt;1&lt;/R&gt;&lt;C&gt;1&lt;/C&gt;&lt;D xsi:type="xsd:string"&gt;Q3 2026 Earnings Release (Projected)&lt;/D&gt;&lt;/FQL&gt;&lt;FQL&gt;&lt;Q&gt;AVB^CS_EVENT_DATEJ_N("ER",3)&lt;/Q&gt;&lt;R&gt;1&lt;/R&gt;&lt;C&gt;1&lt;/C&gt;&lt;D xsi:type="xsd:long"&gt;46323&lt;/D&gt;&lt;/FQL&gt;&lt;FQL&gt;&lt;Q&gt;AVB^CS_EVENT_TIME_N("ER",3)&lt;/Q&gt;&lt;R&gt;1&lt;/R&gt;&lt;C&gt;1&lt;/C&gt;&lt;D xsi:type="xsd:string"&gt;Unspecified&lt;/D&gt;&lt;/FQL&gt;&lt;FQL&gt;&lt;Q&gt;AVB^CS_EVENT_DESC_N("ER",3)&lt;/Q&gt;&lt;R&gt;1&lt;/R&gt;&lt;C&gt;1&lt;/C&gt;&lt;D xsi:type="xsd:string"&gt;Q3 2026 Earnings Release (Projected)&lt;/D&gt;&lt;/FQL&gt;&lt;FQL&gt;&lt;Q&gt;LRCX^CS_EVENT_DATEJ_N("ER",3)&lt;/Q&gt;&lt;R&gt;1&lt;/R&gt;&lt;C&gt;1&lt;/C&gt;&lt;D xsi:type="xsd:long"&gt;46316&lt;/D&gt;&lt;/FQL&gt;&lt;FQL&gt;&lt;Q&gt;LRCX^CS_EVENT_TIME_N("ER",3)&lt;/Q&gt;&lt;R&gt;1&lt;/R&gt;&lt;C&gt;1&lt;/C&gt;&lt;D xsi:type="xsd:string"&gt;Unspecified&lt;/D&gt;&lt;/FQL&gt;&lt;FQL&gt;&lt;Q&gt;LRCX^CS_EVENT_DESC_N("ER",3)&lt;/Q&gt;&lt;R&gt;1&lt;/R&gt;&lt;C&gt;1&lt;/C&gt;&lt;D xsi:type="xsd:string"&gt;Q1 2027 Earnings Release (Projected)&lt;/D&gt;&lt;/FQL&gt;&lt;FQL&gt;&lt;Q&gt;TYL^CS_EVENT_DATEJ_N("ER",3)&lt;/Q&gt;&lt;R&gt;1&lt;/R&gt;&lt;C&gt;1&lt;/C&gt;&lt;D xsi:type="xsd:long"&gt;46323&lt;/D&gt;&lt;/FQL&gt;&lt;FQL&gt;&lt;Q&gt;TYL^CS_EVENT_TIME_N("ER",3)&lt;/Q&gt;&lt;R&gt;1&lt;/R&gt;&lt;C&gt;1&lt;/C&gt;&lt;D xsi:type="xsd:string"&gt;Unspecified&lt;/D&gt;&lt;/FQL&gt;&lt;FQL&gt;&lt;Q&gt;TYL^CS_EVENT_DESC_N("ER",3)&lt;/Q&gt;&lt;R&gt;1&lt;/R&gt;&lt;C&gt;1&lt;/C&gt;&lt;D xsi:type="xsd:string"&gt;Q3 2026 Earnings Release (Projected)&lt;/D&gt;&lt;/FQL&gt;&lt;FQL&gt;&lt;Q&gt;REG^CS_EVENT_DATEJ_N("ER",3)&lt;/Q&gt;&lt;R&gt;1&lt;/R&gt;&lt;C&gt;1&lt;/C&gt;&lt;D xsi:type="xsd:long"&gt;46324&lt;/D&gt;&lt;/FQL&gt;&lt;FQL&gt;&lt;Q&gt;REG^CS_EVENT_TIME_N("ER",3)&lt;/Q&gt;&lt;R&gt;1&lt;/R&gt;&lt;C&gt;1&lt;/C&gt;&lt;D xsi:type="xsd:string"&gt;Unspecified&lt;/D&gt;&lt;/FQL&gt;&lt;FQL&gt;&lt;Q&gt;REG^CS_EVENT_DESC_N("ER",3)&lt;/Q&gt;&lt;R&gt;1&lt;/R&gt;&lt;C&gt;1&lt;/C&gt;&lt;D xsi:type="xsd:string"&gt;Q3 2026 Earnings Release (Projected)&lt;/D&gt;&lt;/FQL&gt;&lt;FQL&gt;&lt;Q&gt;BG^CS_EVENT_DATEJ_N("ER",3)&lt;/Q&gt;&lt;R&gt;1&lt;/R&gt;&lt;C&gt;1&lt;/C&gt;&lt;D xsi:type="xsd:long"&gt;46317&lt;/D&gt;&lt;/FQL&gt;&lt;FQL&gt;&lt;Q&gt;BG^CS_EVENT_TIME_N("ER",3)&lt;/Q&gt;&lt;R&gt;1&lt;/R&gt;&lt;C&gt;1&lt;/C&gt;&lt;D xsi:type="xsd:string"&gt;Unspecified&lt;/D&gt;&lt;/FQL&gt;&lt;FQL&gt;&lt;Q&gt;BG^CS_EVENT_DESC_N("ER",3)&lt;/Q&gt;&lt;R&gt;1&lt;/R&gt;&lt;C&gt;1&lt;/C&gt;&lt;D xsi:type="xsd:string"&gt;Q3 2026 Earnings Release (Projected)&lt;/D&gt;&lt;/FQL&gt;&lt;FQL&gt;&lt;Q&gt;F^CS_EVENT_DATEJ_N("ER",3)&lt;/Q&gt;&lt;R&gt;1&lt;/R&gt;&lt;C&gt;1&lt;/C&gt;&lt;D xsi:type="xsd:long"&gt;46323&lt;/D&gt;&lt;/FQL&gt;&lt;FQL&gt;&lt;Q&gt;F^CS_EVENT_TIME_N("ER",3)&lt;/Q&gt;&lt;R&gt;1&lt;/R&gt;&lt;C&gt;1&lt;/C&gt;&lt;D xsi:type="xsd:string"&gt;Unspecified&lt;/D&gt;&lt;/FQL&gt;&lt;FQL&gt;&lt;Q&gt;F^CS_EVENT_DESC_N("ER",3)&lt;/Q&gt;&lt;R&gt;1&lt;/R&gt;&lt;C&gt;1&lt;/C&gt;&lt;D xsi:type="xsd:string"&gt;Q3 2026 Earnings Release (Projected)&lt;/D&gt;&lt;/FQL&gt;&lt;FQL&gt;&lt;Q&gt;AFL^CS_EVENT_DATEJ_N("ER",3)&lt;/Q&gt;&lt;R&gt;1&lt;/R&gt;&lt;C&gt;1&lt;/C&gt;&lt;D xsi:type="xsd:long"&gt;46330&lt;/D&gt;&lt;/FQL&gt;&lt;FQL&gt;&lt;Q&gt;AFL^CS_EVENT_TIME_N("ER",3)&lt;/Q&gt;&lt;R&gt;1&lt;/R&gt;&lt;C&gt;1&lt;/C&gt;&lt;D xsi:type="xsd:string"&gt;4:05 PM&lt;/D&gt;&lt;/FQL&gt;&lt;FQL&gt;&lt;Q&gt;AFL^CS_EVENT_DESC_N("ER",3)&lt;/Q&gt;&lt;R&gt;1&lt;/R&gt;&lt;C&gt;1&lt;/C&gt;&lt;D xsi:type="xsd:string"&gt;Q3 2026 Earnings Release&lt;/D&gt;&lt;/FQL&gt;&lt;FQL&gt;&lt;Q&gt;HUM^CS_EVENT_DATEJ_N("ER",3)&lt;/Q&gt;&lt;R&gt;1&lt;/R&gt;&lt;C&gt;1&lt;/C&gt;&lt;D xsi:type="xsd:long"&gt;46332&lt;/D&gt;&lt;/FQL&gt;&lt;FQL&gt;&lt;Q&gt;HUM^CS_EVENT_TIME_N("ER",3)&lt;/Q&gt;&lt;R&gt;1&lt;/R&gt;&lt;C&gt;1&lt;/C&gt;&lt;D xsi:type="xsd:string"&gt;6:00 AM&lt;/D&gt;&lt;/FQL&gt;&lt;FQL&gt;&lt;Q&gt;HUM^CS_EVENT_DESC_N("ER",3)&lt;/Q&gt;&lt;R&gt;1&lt;/R&gt;&lt;C&gt;1&lt;/C&gt;&lt;D xsi:type="xsd:string"&gt;Q3 2026 Earnings Release&lt;/D&gt;&lt;/FQL&gt;&lt;FQL&gt;&lt;Q&gt;CMG^CS_EVENT_DATEJ_N("ER",3)&lt;/Q&gt;&lt;R&gt;1&lt;/R&gt;&lt;C&gt;1&lt;/C&gt;&lt;D xsi:type="xsd:long"&gt;46323&lt;/D&gt;&lt;/FQL&gt;&lt;FQL&gt;&lt;Q&gt;CMG^CS_EVENT_TIME_N("ER",3)&lt;/Q&gt;&lt;R&gt;1&lt;/R&gt;&lt;C&gt;1&lt;/C&gt;&lt;D xsi:type="xsd:string"&gt;Unspecified&lt;/D&gt;&lt;/FQL&gt;&lt;FQL&gt;&lt;Q&gt;CMG^CS_EVENT_DESC_N("ER",3)&lt;/Q&gt;&lt;R&gt;1&lt;/R&gt;&lt;C&gt;1&lt;/C&gt;&lt;D xsi:type="xsd:string"&gt;Q3 2026 Earnings Release (Projected)&lt;/D&gt;&lt;/FQL&gt;&lt;FQL&gt;&lt;Q&gt;ABBV^CS_EVENT_DATEJ_N("ER",3)&lt;/Q&gt;&lt;R&gt;1&lt;/R&gt;&lt;C&gt;1&lt;/C&gt;&lt;D xsi:type="xsd:long"&gt;46318&lt;/D&gt;&lt;/FQL&gt;&lt;FQL&gt;&lt;Q&gt;ABBV^CS_EVENT_TIME_N("ER",3)&lt;/Q&gt;&lt;R&gt;1&lt;/R&gt;&lt;C&gt;1&lt;/C&gt;&lt;D xsi:type="xsd:string"&gt;Unspecified&lt;/D&gt;&lt;/FQL&gt;&lt;FQL&gt;&lt;Q&gt;ABBV^CS_EVENT_DESC_N("ER",3)&lt;/Q&gt;&lt;R&gt;1&lt;/R&gt;&lt;C&gt;1&lt;/C&gt;&lt;D xsi:type="xsd:string"&gt;Q3 2026 Earnings Release (Projected)&lt;/D&gt;&lt;/FQL&gt;&lt;FQL&gt;&lt;Q&gt;STX^CS_EVENT_DATEJ_N("ER",3)&lt;/Q&gt;&lt;R&gt;1&lt;/R&gt;&lt;C&gt;1&lt;/C&gt;&lt;D xsi:type="xsd:long"&gt;46323&lt;/D&gt;&lt;/FQL&gt;&lt;FQL&gt;&lt;Q&gt;STX^CS_EVENT_TIME_N("ER",3)&lt;/Q&gt;&lt;R&gt;1&lt;/R&gt;&lt;C&gt;1&lt;/C&gt;&lt;D xsi:type="xsd:string"&gt;Unspecified&lt;/D&gt;&lt;/FQL&gt;&lt;FQL&gt;&lt;Q&gt;STX^CS_EVENT_DESC_N("ER",3)&lt;/Q&gt;&lt;R&gt;1&lt;/R&gt;&lt;C&gt;1&lt;/C&gt;&lt;D xsi:type="xsd:string"&gt;Q1 2027 Earnings Release (Projected)&lt;/D&gt;&lt;/FQL&gt;&lt;FQL&gt;&lt;Q&gt;PTC^CS_EVENT_DATEJ_N("ER",3)&lt;/Q&gt;&lt;R&gt;1&lt;/R&gt;&lt;C&gt;1&lt;/C&gt;&lt;D xsi:type="xsd:long"&gt;46330&lt;/D&gt;&lt;/FQL&gt;&lt;FQL&gt;&lt;Q&gt;PTC^CS_EVENT_TIME_N("ER",3)&lt;/Q&gt;&lt;R&gt;1&lt;/R&gt;&lt;C&gt;1&lt;/C&gt;&lt;D xsi:type="xsd:string"&gt;Unspecified&lt;/D&gt;&lt;/FQL&gt;&lt;FQL&gt;&lt;Q&gt;PTC^CS_EVENT_DESC_N("ER",3)&lt;/Q&gt;&lt;R&gt;1&lt;/R&gt;&lt;C&gt;1&lt;/C&gt;&lt;D xsi:type="xsd:string"&gt;Q4 2026 Earnings Release (Projected)&lt;/D&gt;&lt;/FQL&gt;&lt;FQL&gt;&lt;Q&gt;CHRW^CS_EVENT_DATEJ_N("ER",3)&lt;/Q&gt;&lt;R&gt;1&lt;/R&gt;&lt;C&gt;1&lt;/C&gt;&lt;D xsi:type="xsd:long"&gt;46330&lt;/D&gt;&lt;/FQL&gt;&lt;FQL&gt;&lt;Q&gt;CHRW^CS_EVENT_TIME_N("ER",3)&lt;/Q&gt;&lt;R&gt;1&lt;/R&gt;&lt;C&gt;1&lt;/C&gt;&lt;D xsi:type="xsd:string"&gt;Unspecified&lt;/D&gt;&lt;/FQL&gt;&lt;FQL&gt;&lt;Q&gt;CHRW^CS_EVENT_DESC_N("ER",3)&lt;/Q&gt;&lt;R&gt;1&lt;/R&gt;&lt;C&gt;1&lt;/C&gt;&lt;D xsi:type="xsd:string"&gt;Q3 2026 Earnings Release (Projected)&lt;/D&gt;&lt;/FQL&gt;&lt;FQL&gt;&lt;Q&gt;LVS^CS_EVENT_DATEJ_N("ER",3)&lt;/Q&gt;&lt;R&gt;1&lt;/R&gt;&lt;C&gt;1&lt;/C&gt;&lt;D xsi:type="xsd:long"&gt;46316&lt;/D&gt;&lt;/FQL&gt;&lt;FQL&gt;&lt;Q&gt;LVS^CS_EVENT_TIME_N("ER",3)&lt;/Q&gt;&lt;R&gt;1&lt;/R&gt;&lt;C&gt;1&lt;/C&gt;&lt;D xsi:type="xsd:string"&gt;Unspecified&lt;/D&gt;&lt;/FQL&gt;&lt;FQL&gt;&lt;Q&gt;LVS^CS_EVENT_DESC_N("ER",3)&lt;/Q&gt;&lt;R&gt;1&lt;/R&gt;&lt;C&gt;1&lt;/C&gt;&lt;D xsi:type="xsd:string"&gt;Q3 2026 Earnings Release (Projected)&lt;/D&gt;&lt;/FQL&gt;&lt;FQL&gt;&lt;Q&gt;TEL^CS_EVENT_DATEJ_N("ER",3)&lt;/Q&gt;&lt;R&gt;1&lt;/R&gt;&lt;C&gt;1&lt;/C&gt;&lt;D xsi:type="xsd:long"&gt;46330&lt;/D&gt;&lt;/FQL&gt;&lt;FQL&gt;&lt;Q&gt;TEL^CS_EVENT_TIME_N("ER",3)&lt;/Q&gt;&lt;R&gt;1&lt;/R&gt;&lt;C&gt;1&lt;/C&gt;&lt;D xsi:type="xsd:string"&gt;Unspecified&lt;/D&gt;&lt;/FQL&gt;&lt;FQL&gt;&lt;Q&gt;TEL^CS_EVENT_DESC_N("ER",3)&lt;/Q&gt;&lt;R&gt;1&lt;/R&gt;&lt;C&gt;1&lt;/C&gt;&lt;D xsi:type="xsd:string"&gt;Q4 2026 Earnings Release (Projected)&lt;/D&gt;&lt;/FQL&gt;&lt;FQL&gt;&lt;Q&gt;META^CS_EVENT_DATEJ_N("ER",3)&lt;/Q&gt;&lt;R&gt;1&lt;/R&gt;&lt;C&gt;1&lt;/C&gt;&lt;D xsi:type="xsd:long"&gt;46323&lt;/D&gt;&lt;/FQL&gt;&lt;FQL&gt;&lt;Q&gt;META^CS_EVENT_TIME_N("ER",3)&lt;/Q&gt;&lt;R&gt;1&lt;/R&gt;&lt;C&gt;1&lt;/C&gt;&lt;D xsi:type="xsd:string"&gt;Unspecified&lt;/D&gt;&lt;/FQL&gt;&lt;FQL&gt;&lt;Q&gt;META^CS_EVENT_DESC_N("ER",3)&lt;/Q&gt;&lt;R&gt;1&lt;/R&gt;&lt;C&gt;1&lt;/C&gt;&lt;D xsi:type="xsd:string"&gt;Q3 2026 Earnings Release (Projected)&lt;/D&gt;&lt;/FQL&gt;&lt;FQL&gt;&lt;Q&gt;PSX^CS_EVENT_DATEJ_N("ER",3)&lt;/Q&gt;&lt;R&gt;1&lt;/R&gt;&lt;C&gt;1&lt;/C&gt;&lt;D xsi:type="xsd:long"&gt;46329&lt;/D&gt;&lt;/FQL&gt;&lt;FQL&gt;&lt;Q&gt;PSX^CS_EVENT_TIME_N("ER",3)&lt;/Q&gt;&lt;R&gt;1&lt;/R&gt;&lt;C&gt;1&lt;/C&gt;&lt;D xsi:type="xsd:string"&gt;Unspecified&lt;/D&gt;&lt;/FQL&gt;&lt;FQL&gt;&lt;Q&gt;PSX^CS_EVENT_DESC_N("ER",3)&lt;/Q&gt;&lt;R&gt;1&lt;/R&gt;&lt;C&gt;1&lt;/C&gt;&lt;D xsi:type="xsd:string"&gt;Q3 2026 Earnings Release (Projected)&lt;/D&gt;&lt;/FQL&gt;&lt;FQL&gt;&lt;Q&gt;NOW^CS_EVENT_DATEJ_N("ER",3)&lt;/Q&gt;&lt;R&gt;1&lt;/R&gt;&lt;C&gt;1&lt;/C&gt;&lt;D xsi:type="xsd:long"&gt;46323&lt;/D&gt;&lt;/FQL&gt;&lt;FQL&gt;&lt;Q&gt;NOW^CS_EVENT_TIME_N("ER",3)&lt;/Q&gt;&lt;R&gt;1&lt;/R&gt;&lt;C&gt;1&lt;/C&gt;&lt;D xsi:type="xsd:string"&gt;Unspecified&lt;/D&gt;&lt;/FQL&gt;&lt;FQL&gt;&lt;Q&gt;NOW^CS_EVENT_DESC_N("ER",3)&lt;/Q&gt;&lt;R&gt;1&lt;/R&gt;&lt;C&gt;1&lt;/C&gt;&lt;D xsi:type="xsd:string"&gt;Q3 2026 Earnings Release (Projected)&lt;/D&gt;&lt;/FQL&gt;&lt;FQL&gt;&lt;Q&gt;VICI^CS_EVENT_DATEJ_N("ER",3)&lt;/Q&gt;&lt;R&gt;1&lt;/R&gt;&lt;C&gt;1&lt;/C&gt;&lt;D xsi:type="xsd:long"&gt;46323&lt;/D&gt;&lt;/FQL&gt;&lt;FQL&gt;&lt;Q&gt;VICI^CS_EVENT_TIME_N("ER",3)&lt;/Q&gt;&lt;R&gt;1&lt;/R&gt;&lt;C&gt;1&lt;/C&gt;&lt;D xsi:type="xsd:string"&gt;Unspecified&lt;/D&gt;&lt;/FQL&gt;&lt;FQL&gt;&lt;Q&gt;VICI^CS_EVENT_DESC_N("ER",3)&lt;/Q&gt;&lt;R&gt;1&lt;/R&gt;&lt;C&gt;1&lt;/C&gt;&lt;D xsi:type="xsd:string"&gt;Q3 2026 Earnings Release (Projected)&lt;/D&gt;&lt;/FQL&gt;&lt;FQL&gt;&lt;Q&gt;VRT^CS_EVENT_DATEJ_N("ER",3)&lt;/Q&gt;&lt;R&gt;1&lt;/R&gt;&lt;C&gt;1&lt;/C&gt;&lt;D xsi:type="xsd:long"&gt;46323&lt;/D&gt;&lt;/FQL&gt;&lt;FQL&gt;&lt;Q&gt;VRT^CS_EVENT_TIME_N("ER",3)&lt;/Q&gt;&lt;R&gt;1&lt;/R&gt;&lt;C&gt;1&lt;/C&gt;&lt;D xsi:type="xsd:string"&gt;Unspecified&lt;/D&gt;&lt;/FQL&gt;&lt;FQL&gt;&lt;Q&gt;VRT^CS_EVENT_DESC_N("ER",3)&lt;/Q&gt;&lt;R&gt;1&lt;/R&gt;&lt;C&gt;1&lt;/C&gt;&lt;D xsi:type="xsd:string"&gt;Q3 2026 Earnings Release (Projected)&lt;/D&gt;&lt;/FQL&gt;&lt;FQL&gt;&lt;Q&gt;OTIS^CS_EVENT_DATEJ_N("ER",3)&lt;/Q&gt;&lt;R&gt;1&lt;/R&gt;&lt;C&gt;1&lt;/C&gt;&lt;D xsi:type="xsd:long"&gt;46323&lt;/D&gt;&lt;/FQL&gt;&lt;FQL&gt;&lt;Q&gt;OTIS^CS_EVENT_TIME_N("ER",3)&lt;/Q&gt;&lt;R&gt;1&lt;/R&gt;&lt;C&gt;1&lt;/C&gt;&lt;D xsi:type="xsd:string"&gt;Unspecified&lt;/D&gt;&lt;/FQL&gt;&lt;FQL&gt;&lt;Q&gt;OTIS^CS_EVENT_DESC_N("ER",3)&lt;/Q&gt;&lt;R&gt;1&lt;/R&gt;&lt;C&gt;1&lt;/C&gt;&lt;D xsi:type="xsd:string"&gt;Q3 2026 Earnings Release (Projected)&lt;/D&gt;&lt;/FQL&gt;&lt;FQL&gt;&lt;Q&gt;AES^CS_EVENT_DATEJ_N("ER",3)&lt;/Q&gt;&lt;R&gt;1&lt;/R&gt;&lt;C&gt;1&lt;/C&gt;&lt;D xsi:type="xsd:long"&gt;46324&lt;/D&gt;&lt;/FQL&gt;&lt;FQL&gt;&lt;Q&gt;AES^CS_EVENT_TIME_N("ER",3)&lt;/Q&gt;&lt;R&gt;1&lt;/R&gt;&lt;C&gt;1&lt;/C&gt;&lt;D xsi:type="xsd:string"&gt;Unspecified&lt;/D&gt;&lt;/FQL&gt;&lt;FQL&gt;&lt;Q&gt;AES^CS_EVENT_DESC_N("ER",3)&lt;/Q&gt;&lt;R&gt;1&lt;/R&gt;&lt;C&gt;1&lt;/C&gt;&lt;D xsi:type="xsd:string"&gt;Q3 2026 Earnings Release (Projected)&lt;/D&gt;&lt;/FQL&gt;&lt;FQL&gt;&lt;Q&gt;ED^CS_EVENT_DATEJ_N("ER",3)&lt;/Q&gt;&lt;R&gt;1&lt;/R&gt;&lt;C&gt;1&lt;/C&gt;&lt;D xsi:type="xsd:long"&gt;46324&lt;/D&gt;&lt;/FQL&gt;&lt;FQL&gt;&lt;Q&gt;ED^CS_EVENT_TIME_N("ER",3)&lt;/Q&gt;&lt;R&gt;1&lt;/R&gt;&lt;C&gt;1&lt;/C&gt;&lt;D xsi:type="xsd:string"&gt;Unspecified&lt;/D&gt;&lt;/FQL&gt;&lt;FQL&gt;&lt;Q&gt;ED^CS_EVENT_DESC_N("ER",3)&lt;/Q&gt;&lt;R&gt;1&lt;/R&gt;&lt;C&gt;1&lt;/C&gt;&lt;D xsi:type="xsd:string"&gt;Q3 2026 Earnings Release (Projected)&lt;/D&gt;&lt;/FQL&gt;&lt;FQL&gt;&lt;Q&gt;SO^CS_EVENT_DATEJ_N("ER",3)&lt;/Q&gt;&lt;R&gt;1&lt;/R&gt;&lt;C&gt;1&lt;/C&gt;&lt;D xsi:type="xsd:long"&gt;46324&lt;/D&gt;&lt;/FQL&gt;&lt;FQL&gt;&lt;Q&gt;SO^CS_EVENT_TIME_N("ER",3)&lt;/Q&gt;&lt;R&gt;1&lt;/R&gt;&lt;C&gt;1&lt;/C&gt;&lt;D xsi:type="xsd:string"&gt;Unspecified&lt;/D&gt;&lt;/FQL&gt;&lt;FQL&gt;&lt;Q&gt;SO^CS_EVENT_DESC_N("ER",3)&lt;/Q&gt;&lt;R&gt;1&lt;/R&gt;&lt;C&gt;1&lt;/C&gt;&lt;D xsi:type="xsd:string"&gt;Q3 2026 Earnings Release (Projected)&lt;/D&gt;&lt;/FQL&gt;&lt;FQL&gt;&lt;Q&gt;IP^CS_EVENT_DATEJ_N("ER",3)&lt;/Q&gt;&lt;R&gt;1&lt;/R&gt;&lt;C&gt;1&lt;/C&gt;&lt;D xsi:type="xsd:long"&gt;46323&lt;/D&gt;&lt;/FQL&gt;&lt;FQL&gt;&lt;Q&gt;IP^CS_EVENT_TIME_N("ER",3)&lt;/Q&gt;&lt;R&gt;1&lt;/R&gt;&lt;C&gt;1&lt;/C&gt;&lt;D xsi:type="xsd:string"&gt;7:00 AM&lt;/D&gt;&lt;/FQL&gt;&lt;FQL&gt;&lt;Q&gt;IP^CS_EVENT_DESC_N("ER",3)&lt;/Q&gt;&lt;R&gt;1&lt;/R&gt;&lt;C&gt;1&lt;/C&gt;&lt;D xsi:type="xsd:string"&gt;Q3 2026 Earnings Release&lt;/D&gt;&lt;/FQL&gt;&lt;FQL&gt;&lt;Q&gt;BAX^CS_EVENT_DATEJ_N("ER",3)&lt;/Q&gt;&lt;R&gt;1&lt;/R&gt;&lt;C&gt;1&lt;/C&gt;&lt;D xsi:type="xsd:long"&gt;46324&lt;/D&gt;&lt;/FQL&gt;&lt;FQL&gt;&lt;Q&gt;BAX^CS_EVENT_TIME_N("ER",3)&lt;/Q&gt;&lt;R&gt;1&lt;/R&gt;&lt;C&gt;1&lt;/C&gt;&lt;D xsi:type="xsd:string"&gt;Unspecified&lt;/D&gt;&lt;/FQL&gt;&lt;FQL&gt;&lt;Q&gt;BAX^CS_EVENT_DESC_N("ER",3)&lt;/Q&gt;&lt;R&gt;1&lt;/R&gt;&lt;C&gt;1&lt;/C&gt;&lt;D xsi:type="xsd:string"&gt;Q3 2026 Earnings Release (Projected)&lt;/D&gt;&lt;/FQL&gt;&lt;FQL&gt;&lt;Q&gt;MNST^CS_EVENT_DATEJ_N("ER",3)&lt;/Q&gt;&lt;R&gt;1&lt;/R&gt;&lt;C&gt;1&lt;/C&gt;&lt;D xsi:type="xsd:long"&gt;46324&lt;/D&gt;&lt;/FQL&gt;&lt;FQL&gt;&lt;Q&gt;MNST^CS_EVENT_TIME_N("ER",3)&lt;/Q&gt;&lt;R&gt;1&lt;/R&gt;&lt;C&gt;1&lt;/C&gt;&lt;D xsi:type="xsd:string"&gt;Unspecified&lt;/D&gt;&lt;/FQL&gt;&lt;FQL&gt;&lt;Q&gt;MNST^CS_EVENT_DESC_N("ER",3)&lt;/Q&gt;&lt;R&gt;1&lt;/R&gt;&lt;C&gt;1&lt;/C&gt;&lt;D xsi:type="xsd:string"&gt;Q3 2026 Earnings Release (Projected)&lt;/D&gt;&lt;/FQL&gt;&lt;FQL&gt;&lt;Q&gt;CAH^CS_EVENT_DATEJ_N("ER",3)&lt;/Q&gt;&lt;R&gt;1&lt;/R&gt;&lt;C&gt;1&lt;/C&gt;&lt;D xsi:type="xsd:long"&gt;46325&lt;/D&gt;&lt;/FQL&gt;&lt;FQL&gt;&lt;Q&gt;CAH^CS_EVENT_TIME_N("ER",3)&lt;/Q&gt;&lt;R&gt;1&lt;/R&gt;&lt;C&gt;1&lt;/C&gt;&lt;D xsi:type="xsd:string"&gt;Unspecified&lt;/D&gt;&lt;/FQL&gt;&lt;FQL&gt;&lt;Q&gt;CAH^CS_EVENT_DESC_N("ER",3)&lt;/Q&gt;&lt;R&gt;1&lt;/R&gt;&lt;C&gt;1&lt;/C&gt;&lt;D xsi:type="xsd:string"&gt;Q1 2027 Earnings Release (Projected)&lt;/D&gt;&lt;/FQL&gt;&lt;FQL&gt;&lt;Q&gt;LHX^CS_EVENT_DATEJ_N("ER",3)&lt;/Q&gt;&lt;R&gt;1&lt;/R&gt;&lt;C&gt;1&lt;/C&gt;&lt;D xsi:type="xsd:long"&gt;46317&lt;/D&gt;&lt;/FQL&gt;&lt;FQL&gt;&lt;Q&gt;LHX^CS_EVENT_TIME_N("ER",3)&lt;/Q&gt;&lt;R&gt;1&lt;/R&gt;&lt;C&gt;1&lt;/C&gt;&lt;D xsi:type="xsd:string"&gt;Unspecified&lt;/D&gt;&lt;/FQL&gt;&lt;FQL&gt;&lt;Q&gt;LHX^CS_EVENT_DESC_N("ER",3)&lt;/Q&gt;&lt;R&gt;1&lt;/R&gt;&lt;C&gt;1&lt;/C&gt;&lt;D xsi:type="xsd:string"&gt;Q3 2026 Earnings Release (Projected)&lt;/D&gt;&lt;/FQL&gt;&lt;FQL&gt;&lt;Q&gt;AIG^CS_EVENT_DATEJ_N("ER",3)&lt;/Q&gt;&lt;R&gt;1&lt;/R&gt;&lt;C&gt;1&lt;/C&gt;&lt;D xsi:type="xsd:long"&gt;46330&lt;/D&gt;&lt;/FQL&gt;&lt;FQL&gt;&lt;Q&gt;AIG^CS_EVENT_TIME_N("ER",3)&lt;/Q&gt;&lt;R&gt;1&lt;/R&gt;&lt;C&gt;1&lt;/C&gt;&lt;D xsi:type="xsd:string"&gt;Unspecified&lt;/D&gt;&lt;/FQL&gt;&lt;FQL&gt;&lt;Q&gt;AIG^CS_EVENT_DESC_N("ER",3)&lt;/Q&gt;&lt;R&gt;1&lt;/R&gt;&lt;C&gt;1&lt;/C&gt;&lt;D xsi:type="xsd:string"&gt;Q3 2026 Earnings Release (Projected)&lt;/D&gt;&lt;/FQL&gt;&lt;FQL&gt;&lt;Q&gt;LLY^CS_EVENT_DATEJ_N("ER",3)&lt;/Q&gt;&lt;R&gt;1&lt;/R&gt;&lt;C&gt;1&lt;/C&gt;&lt;D xsi:type="xsd:long"&gt;46324&lt;/D&gt;&lt;/FQL&gt;&lt;FQL&gt;&lt;Q&gt;LLY^CS_EVENT_TIME_N("ER",3)&lt;/Q&gt;&lt;R&gt;1&lt;/R&gt;&lt;C&gt;1&lt;/C&gt;&lt;D xsi:type="xsd:string"&gt;6:45 AM&lt;/D&gt;&lt;/FQL&gt;&lt;FQL&gt;&lt;Q&gt;LLY^CS_EVENT_DESC_N("ER",3)&lt;/Q&gt;&lt;R&gt;1&lt;/R&gt;&lt;C&gt;1&lt;/C&gt;&lt;D xsi:type="xsd:string"&gt;Q3 2026 Earnings Release&lt;/D&gt;&lt;/FQL&gt;&lt;FQL&gt;&lt;Q&gt;LH^CS_EVENT_DATEJ_N("ER",3)&lt;/Q&gt;&lt;R&gt;1&lt;/R&gt;&lt;C&gt;1&lt;/C&gt;&lt;D xsi:type="xsd:long"&gt;46317&lt;/D&gt;&lt;/FQL&gt;&lt;FQL&gt;&lt;Q&gt;LH^CS_EVENT_TIME_N("ER",3)&lt;/Q&gt;&lt;R&gt;1&lt;/R&gt;&lt;C&gt;1&lt;/C&gt;&lt;D xsi:type="xsd:string"&gt;Unspecified&lt;/D&gt;&lt;/FQL&gt;&lt;FQL&gt;&lt;Q&gt;LH^CS_EVENT_DESC_N("ER",3)&lt;/Q&gt;&lt;R&gt;1&lt;/R&gt;&lt;C&gt;1&lt;/C&gt;&lt;D xsi:type="xsd:string"</t>
        </r>
      </text>
    </comment>
    <comment ref="A12" authorId="0" shapeId="0" xr:uid="{41646ADA-827A-4CF6-9E1F-AA460DE53746}">
      <text>
        <r>
          <rPr>
            <b/>
            <sz val="9"/>
            <color indexed="81"/>
            <rFont val="Tahoma"/>
            <family val="2"/>
          </rPr>
          <t>&gt;Q3 2026 Earnings Release (Projected)&lt;/D&gt;&lt;/FQL&gt;&lt;FQL&gt;&lt;Q&gt;BMY^CS_EVENT_DATEJ_N("ER",3)&lt;/Q&gt;&lt;R&gt;1&lt;/R&gt;&lt;C&gt;1&lt;/C&gt;&lt;D xsi:type="xsd:long"&gt;46324&lt;/D&gt;&lt;/FQL&gt;&lt;FQL&gt;&lt;Q&gt;BMY^CS_EVENT_TIME_N("ER",3)&lt;/Q&gt;&lt;R&gt;1&lt;/R&gt;&lt;C&gt;1&lt;/C&gt;&lt;D xsi:type="xsd:string"&gt;6:59 AM&lt;/D&gt;&lt;/FQL&gt;&lt;FQL&gt;&lt;Q&gt;BMY^CS_EVENT_DESC_N("ER",3)&lt;/Q&gt;&lt;R&gt;1&lt;/R&gt;&lt;C&gt;1&lt;/C&gt;&lt;D xsi:type="xsd:string"&gt;Q3 2026 Earnings Release&lt;/D&gt;&lt;/FQL&gt;&lt;FQL&gt;&lt;Q&gt;LNT^CS_EVENT_DATEJ_N("ER",3)&lt;/Q&gt;&lt;R&gt;1&lt;/R&gt;&lt;C&gt;1&lt;/C&gt;&lt;D xsi:type="xsd:long"&gt;46324&lt;/D&gt;&lt;/FQL&gt;&lt;FQL&gt;&lt;Q&gt;LNT^CS_EVENT_TIME_N("ER",3)&lt;/Q&gt;&lt;R&gt;1&lt;/R&gt;&lt;C&gt;1&lt;/C&gt;&lt;D xsi:type="xsd:string"&gt;Unspecified&lt;/D&gt;&lt;/FQL&gt;&lt;FQL&gt;&lt;Q&gt;LNT^CS_EVENT_DESC_N("ER",3)&lt;/Q&gt;&lt;R&gt;1&lt;/R&gt;&lt;C&gt;1&lt;/C&gt;&lt;D xsi:type="xsd:string"&gt;Q3 2026 Earnings Release (Projected)&lt;/D&gt;&lt;/FQL&gt;&lt;FQL&gt;&lt;Q&gt;APD^CS_EVENT_DATEJ_N("ER",3)&lt;/Q&gt;&lt;R&gt;1&lt;/R&gt;&lt;C&gt;1&lt;/C&gt;&lt;D xsi:type="xsd:long"&gt;46331&lt;/D&gt;&lt;/FQL&gt;&lt;FQL&gt;&lt;Q&gt;APD^CS_EVENT_TIME_N("ER",3)&lt;/Q&gt;&lt;R&gt;1&lt;/R&gt;&lt;C&gt;1&lt;/C&gt;&lt;D xsi:type="xsd:string"&gt;Unspecified&lt;/D&gt;&lt;/FQL&gt;&lt;FQL&gt;&lt;Q&gt;APD^CS_EVENT_DESC_N("ER",3)&lt;/Q&gt;&lt;R&gt;1&lt;/R&gt;&lt;C&gt;1&lt;/C&gt;&lt;D xsi:type="xsd:string"&gt;Q4 2026 Earnings Release (Projected)&lt;/D&gt;&lt;/FQL&gt;&lt;FQL&gt;&lt;Q&gt;SRE^CS_EVENT_DATEJ_N("ER",3)&lt;/Q&gt;&lt;R&gt;1&lt;/R&gt;&lt;C&gt;1&lt;/C&gt;&lt;D xsi:type="xsd:long"&gt;46325&lt;/D&gt;&lt;/FQL&gt;&lt;FQL&gt;&lt;Q&gt;SRE^CS_EVENT_TIME_N("ER",3)&lt;/Q&gt;&lt;R&gt;1&lt;/R&gt;&lt;C&gt;1&lt;/C&gt;&lt;D xsi:type="xsd:string"&gt;Unspecified&lt;/D&gt;&lt;/FQL&gt;&lt;FQL&gt;&lt;Q&gt;SRE^CS_EVENT_DESC_N("ER",3)&lt;/Q&gt;&lt;R&gt;1&lt;/R&gt;&lt;C&gt;1&lt;/C&gt;&lt;D xsi:type="xsd:string"&gt;Q3 2026 Earnings Release (Projected)&lt;/D&gt;&lt;/FQL&gt;&lt;FQL&gt;&lt;Q&gt;PPL^CS_EVENT_DATEJ_N("ER",3)&lt;/Q&gt;&lt;R&gt;1&lt;/R&gt;&lt;C&gt;1&lt;/C&gt;&lt;D xsi:type="xsd:long"&gt;46324&lt;/D&gt;&lt;/FQL&gt;&lt;FQL&gt;&lt;Q&gt;PPL^CS_EVENT_TIME_N("ER",3)&lt;/Q&gt;&lt;R&gt;1&lt;/R&gt;&lt;C&gt;1&lt;/C&gt;&lt;D xsi:type="xsd:string"&gt;Unspecified&lt;/D&gt;&lt;/FQL&gt;&lt;FQL&gt;&lt;Q&gt;PPL^CS_EVENT_DESC_N("ER",3)&lt;/Q&gt;&lt;R&gt;1&lt;/R&gt;&lt;C&gt;1&lt;/C&gt;&lt;D xsi:type="xsd:string"&gt;Q3 2026 Earnings Release (Projected)&lt;/D&gt;&lt;/FQL&gt;&lt;FQL&gt;&lt;Q&gt;TXT^CS_EVENT_DATEJ_N("ER",3)&lt;/Q&gt;&lt;R&gt;1&lt;/R&gt;&lt;C&gt;1&lt;/C&gt;&lt;D xsi:type="xsd:long"&gt;46317&lt;/D&gt;&lt;/FQL&gt;&lt;FQL&gt;&lt;Q&gt;TXT^CS_EVENT_TIME_N("ER",3)&lt;/Q&gt;&lt;R&gt;1&lt;/R&gt;&lt;C&gt;1&lt;/C&gt;&lt;D xsi:type="xsd:string"&gt;Unspecified&lt;/D&gt;&lt;/FQL&gt;&lt;FQL&gt;&lt;Q&gt;TXT^CS_EVENT_DESC_N("ER",3)&lt;/Q&gt;&lt;R&gt;1&lt;/R&gt;&lt;C&gt;1&lt;/C&gt;&lt;D xsi:type="xsd:string"&gt;Q3 2026 Earnings Release (Projected)&lt;/D&gt;&lt;/FQL&gt;&lt;FQL&gt;&lt;Q&gt;AEE^CS_EVENT_DATEJ_N("ER",3)&lt;/Q&gt;&lt;R&gt;1&lt;/R&gt;&lt;C&gt;1&lt;/C&gt;&lt;D xsi:type="xsd:long"&gt;46337&lt;/D&gt;&lt;/FQL&gt;&lt;FQL&gt;&lt;Q&gt;AEE^CS_EVENT_TIME_N("ER",3)&lt;/Q&gt;&lt;R&gt;1&lt;/R&gt;&lt;C&gt;1&lt;/C&gt;&lt;D xsi:type="xsd:string"&gt;Unspecified&lt;/D&gt;&lt;/FQL&gt;&lt;FQL&gt;&lt;Q&gt;AEE^CS_EVENT_DESC_N("ER",3)&lt;/Q&gt;&lt;R&gt;1&lt;/R&gt;&lt;C&gt;1&lt;/C&gt;&lt;D xsi:type="xsd:string"&gt;Q3 2026 Earnings Release (Projected)&lt;/D&gt;&lt;/FQL&gt;&lt;FQL&gt;&lt;Q&gt;TRGP^CS_EVENT_DATEJ_N("ER",3)&lt;/Q&gt;&lt;R&gt;1&lt;/R&gt;&lt;C&gt;1&lt;/C&gt;&lt;D xsi:type="xsd:long"&gt;46443&lt;/D&gt;&lt;/FQL&gt;&lt;FQL&gt;&lt;Q&gt;TRGP^CS_EVENT_TIME_N("ER",3)&lt;/Q&gt;&lt;R&gt;1&lt;/R&gt;&lt;C&gt;1&lt;/C&gt;&lt;D xsi:type="xsd:string"&gt;Unspecified&lt;/D&gt;&lt;/FQL&gt;&lt;FQL&gt;&lt;Q&gt;TRGP^CS_EVENT_DESC_N("ER",3)&lt;/Q&gt;&lt;R&gt;1&lt;/R&gt;&lt;C&gt;1&lt;/C&gt;&lt;D xsi:type="xsd:string"&gt;Q4 2026 Earnings Release (Projected)&lt;/D&gt;&lt;/FQL&gt;&lt;FQL&gt;&lt;Q&gt;MTD^CS_EVENT_DATEJ_N("ER",3)&lt;/Q&gt;&lt;R&gt;1&lt;/R&gt;&lt;C&gt;1&lt;/C&gt;&lt;D xsi:type="xsd:long"&gt;46331&lt;/D&gt;&lt;/FQL&gt;&lt;FQL&gt;&lt;Q&gt;MTD^CS_EVENT_TIME_N("ER",3)&lt;/Q&gt;&lt;R&gt;1&lt;/R&gt;&lt;C&gt;1&lt;/C&gt;&lt;D xsi:type="xsd:string"&gt;Unspecified&lt;/D&gt;&lt;/FQL&gt;&lt;FQL&gt;&lt;Q&gt;MTD^CS_EVENT_DESC_N("ER",3)&lt;/Q&gt;&lt;R&gt;1&lt;/R&gt;&lt;C&gt;1&lt;/C&gt;&lt;D xsi:type="xsd:string"&gt;Q3 2026 Earnings Release (Projected)&lt;/D&gt;&lt;/FQL&gt;&lt;FQL&gt;&lt;Q&gt;APO^CS_EVENT_DATEJ_N("ER",3)&lt;/Q&gt;&lt;R&gt;1&lt;/R&gt;&lt;C&gt;1&lt;/C&gt;&lt;D xsi:type="xsd:long"&gt;46330&lt;/D&gt;&lt;/FQL&gt;&lt;FQL&gt;&lt;Q&gt;APO^CS_EVENT_TIME_N("ER",3)&lt;/Q&gt;&lt;R&gt;1&lt;/R&gt;&lt;C&gt;1&lt;/C&gt;&lt;D xsi:type="xsd:string"&gt;Unspecified&lt;/D&gt;&lt;/FQL&gt;&lt;FQL&gt;&lt;Q&gt;APO^CS_EVENT_DESC_N("ER",3)&lt;/Q&gt;&lt;R&gt;1&lt;/R&gt;&lt;C&gt;1&lt;/C&gt;&lt;D xsi:type="xsd:string"&gt;Q3 2026 Earnings Release (Projected)&lt;/D&gt;&lt;/FQL&gt;&lt;FQL&gt;&lt;Q&gt;D^CS_EVENT_DATEJ_N("ER",3)&lt;/Q&gt;&lt;R&gt;1&lt;/R&gt;&lt;C&gt;1&lt;/C&gt;&lt;D xsi:type="xsd:long"&gt;46325&lt;/D&gt;&lt;/FQL&gt;&lt;FQL&gt;&lt;Q&gt;D^CS_EVENT_TIME_N("ER",3)&lt;/Q&gt;&lt;R&gt;1&lt;/R&gt;&lt;C&gt;1&lt;/C&gt;&lt;D xsi:type="xsd:string"&gt;Unspecified&lt;/D&gt;&lt;/FQL&gt;&lt;FQL&gt;&lt;Q&gt;D^CS_EVENT_DESC_N("ER",3)&lt;/Q&gt;&lt;R&gt;1&lt;/R&gt;&lt;C&gt;1&lt;/C&gt;&lt;D xsi:type="xsd:string"&gt;Q3 2026 Earnings Release (Projected)&lt;/D&gt;&lt;/FQL&gt;&lt;FQL&gt;&lt;Q&gt;VLO^CS_EVENT_DATEJ_N("ER",3)&lt;/Q&gt;&lt;R&gt;1&lt;/R&gt;&lt;C&gt;1&lt;/C&gt;&lt;D xsi:type="xsd:long"&gt;46317&lt;/D&gt;&lt;/FQL&gt;&lt;FQL&gt;&lt;Q&gt;VLO^CS_EVENT_TIME_N("ER",3)&lt;/Q&gt;&lt;R&gt;1&lt;/R&gt;&lt;C&gt;1&lt;/C&gt;&lt;D xsi:type="xsd:string"&gt;Unspecified&lt;/D&gt;&lt;/FQL&gt;&lt;FQL&gt;&lt;Q&gt;VLO^CS_EVENT_DESC_N("ER",3)&lt;/Q&gt;&lt;R&gt;1&lt;/R&gt;&lt;C&gt;1&lt;/C&gt;&lt;D xsi:type="xsd:string"&gt;Q3 2026 Earnings Release (Projected)&lt;/D&gt;&lt;/FQL&gt;&lt;FQL&gt;&lt;Q&gt;PH^CS_EVENT_DATEJ_N("ER",3)&lt;/Q&gt;&lt;R&gt;1&lt;/R&gt;&lt;C&gt;1&lt;/C&gt;&lt;D xsi:type="xsd:long"&gt;46324&lt;/D&gt;&lt;/FQL&gt;&lt;FQL&gt;&lt;Q&gt;PH^CS_EVENT_TIME_N("ER",3)&lt;/Q&gt;&lt;R&gt;1&lt;/R&gt;&lt;C&gt;1&lt;/C&gt;&lt;D xsi:type="xsd:string"&gt;Unspecified&lt;/D&gt;&lt;/FQL&gt;&lt;FQL&gt;&lt;Q&gt;PH^CS_EVENT_DESC_N("ER",3)&lt;/Q&gt;&lt;R&gt;1&lt;/R&gt;&lt;C&gt;1&lt;/C&gt;&lt;D xsi:type="xsd:string"&gt;Q1 2027 Earnings Release (Projected)&lt;/D&gt;&lt;/FQL&gt;&lt;FQL&gt;&lt;Q&gt;AAPL^CS_EVENT_DATEJ_N("ER",3)&lt;/Q&gt;&lt;R&gt;1&lt;/R&gt;&lt;C&gt;1&lt;/C&gt;&lt;D xsi:type="xsd:long"&gt;46324&lt;/D&gt;&lt;/FQL&gt;&lt;FQL&gt;&lt;Q&gt;AAPL^CS_EVENT_TIME_N("ER",3)&lt;/Q&gt;&lt;R&gt;1&lt;/R&gt;&lt;C&gt;1&lt;/C&gt;&lt;D xsi:type="xsd:string"&gt;Unspecified&lt;/D&gt;&lt;/FQL&gt;&lt;FQL&gt;&lt;Q&gt;AAPL^CS_EVENT_DESC_N("ER",3)&lt;/Q&gt;&lt;R&gt;1&lt;/R&gt;&lt;C&gt;1&lt;/C&gt;&lt;D xsi:type="xsd:string"&gt;Q4 2026 Earnings Release (Projected)&lt;/D&gt;&lt;/FQL&gt;&lt;FQL&gt;&lt;Q&gt;WY^CS_EVENT_DATEJ_N("ER",3)&lt;/Q&gt;&lt;R&gt;1&lt;/R&gt;&lt;C&gt;1&lt;/C&gt;&lt;D xsi:type="xsd:long"&gt;46317&lt;/D&gt;&lt;/FQL&gt;&lt;FQL&gt;&lt;Q&gt;WY^CS_EVENT_TIME_N("ER",3)&lt;/Q&gt;&lt;R&gt;1&lt;/R&gt;&lt;C&gt;1&lt;/C&gt;&lt;D xsi:type="xsd:string"&gt;Unspecified&lt;/D&gt;&lt;/FQL&gt;&lt;FQL&gt;&lt;Q&gt;WY^CS_EVENT_DESC_N("ER",3)&lt;/Q&gt;&lt;R&gt;1&lt;/R&gt;&lt;C&gt;1&lt;/C&gt;&lt;D xsi:type="xsd:string"&gt;Q3 2026 Earnings Release (Projected)&lt;/D&gt;&lt;/FQL&gt;&lt;FQL&gt;&lt;Q&gt;PWR^CS_EVENT_DATEJ_N("ER",3)&lt;/Q&gt;&lt;R&gt;1&lt;/R&gt;&lt;C&gt;1&lt;/C&gt;&lt;D xsi:type="xsd:long"&gt;46324&lt;/D&gt;&lt;/FQL&gt;&lt;FQL&gt;&lt;Q&gt;PWR^CS_EVENT_TIME_N("ER",3)&lt;/Q&gt;&lt;R&gt;1&lt;/R&gt;&lt;C&gt;1&lt;/C&gt;&lt;D xsi:type="xsd:string"&gt;Unspecified&lt;/D&gt;&lt;/FQL&gt;&lt;FQL&gt;&lt;Q&gt;PWR^CS_EVENT_DESC_N("ER",3)&lt;/Q&gt;&lt;R&gt;1&lt;/R&gt;&lt;C&gt;1&lt;/C&gt;&lt;D xsi:type="xsd:string"&gt;Q3 2026 Earnings Release (Projected)&lt;/D&gt;&lt;/FQL&gt;&lt;FQL&gt;&lt;Q&gt;CTRA^CS_EVENT_DATEJ_N("ER",3)&lt;/Q&gt;&lt;R&gt;1&lt;/R&gt;&lt;C&gt;1&lt;/C&gt;&lt;D xsi:type="xsd:long"&gt;46324&lt;/D&gt;&lt;/FQL&gt;&lt;FQL&gt;&lt;Q&gt;CTRA^CS_EVENT_TIME_N("ER",3)&lt;/Q&gt;&lt;R&gt;1&lt;/R&gt;&lt;C&gt;1&lt;/C&gt;&lt;D xsi:type="xsd:string"&gt;Unspecified&lt;/D&gt;&lt;/FQL&gt;&lt;FQL&gt;&lt;Q&gt;CTRA^CS_EVENT_DESC_N("ER",3)&lt;/Q&gt;&lt;R&gt;1&lt;/R&gt;&lt;C&gt;1&lt;/C&gt;&lt;D xsi:type="xsd:string"&gt;Q3 2026 Earnings Release (Projected)&lt;/D&gt;&lt;/FQL&gt;&lt;FQL&gt;&lt;Q&gt;RCL^CS_EVENT_DATEJ_N("ER",3)&lt;/Q&gt;&lt;R&gt;1&lt;/R&gt;&lt;C&gt;1&lt;/C&gt;&lt;D xsi:type="xsd:long"&gt;46329&lt;/D&gt;&lt;/FQL&gt;&lt;FQL&gt;&lt;Q&gt;RCL^CS_EVENT_TIME_N("ER",3)&lt;/Q&gt;&lt;R&gt;1&lt;/R&gt;&lt;C&gt;1&lt;/C&gt;&lt;D xsi:type="xsd:string"&gt;Unspecified&lt;/D&gt;&lt;/FQL&gt;&lt;FQL&gt;&lt;Q&gt;RCL^CS_EVENT_DESC_N("ER",3)&lt;/Q&gt;&lt;R&gt;1&lt;/R&gt;&lt;C&gt;1&lt;/C&gt;&lt;D xsi:type="xsd:string"&gt;Q3 2026 Earnings Release (Projected)&lt;/D&gt;&lt;/FQL&gt;&lt;FQL&gt;&lt;Q&gt;BDX^CS_EVENT_DATEJ_N("ER",3)&lt;/Q&gt;&lt;R&gt;1&lt;/R&gt;&lt;C&gt;1&lt;/C&gt;&lt;D xsi:type="xsd:long"&gt;46331&lt;/D&gt;&lt;/FQL&gt;&lt;FQL&gt;&lt;Q&gt;BDX^CS_EVENT_TIME_N("ER",3)&lt;/Q&gt;&lt;R&gt;1&lt;/R&gt;&lt;C&gt;1&lt;/C&gt;&lt;D xsi:type="xsd:string"&gt;Unspecified&lt;/D&gt;&lt;/FQL&gt;&lt;FQL&gt;&lt;Q&gt;BDX^CS_EVENT_DESC_N("ER",3)&lt;/Q&gt;&lt;R&gt;1&lt;/R&gt;&lt;C&gt;1&lt;/C&gt;&lt;D xsi:type="xsd:string"&gt;Q4 2026 Earnings Release (Projected)&lt;/D&gt;&lt;/FQL&gt;&lt;FQL&gt;&lt;Q&gt;BALL^CS_EVENT_DATEJ_N("ER",3)&lt;/Q&gt;&lt;R&gt;1&lt;/R&gt;&lt;C&gt;1&lt;/C&gt;&lt;D xsi:type="xsd:long"&gt;46324&lt;/D&gt;&lt;/FQL&gt;&lt;FQL&gt;&lt;Q&gt;BALL^CS_EVENT_TIME_N("ER",3)&lt;/Q&gt;&lt;R&gt;1&lt;/R&gt;&lt;C&gt;1&lt;/C&gt;&lt;D xsi:type="xsd:string"&gt;Unspecified&lt;/D&gt;&lt;/FQL&gt;&lt;FQL&gt;&lt;Q&gt;BALL^CS_EVENT_DESC_N("ER",3)&lt;/Q&gt;&lt;R&gt;1&lt;/R&gt;&lt;C&gt;1&lt;/C&gt;&lt;D xsi:type="xsd:string"&gt;Q3 2026 Earnings Release (Projected)&lt;/D&gt;&lt;/FQL&gt;&lt;FQL&gt;&lt;Q&gt;CI^CS_EVENT_DATEJ_N("ER",3)&lt;/Q&gt;&lt;R&gt;1&lt;/R&gt;&lt;C&gt;1&lt;/C&gt;&lt;D xsi:type="xsd:long"&gt;46324&lt;/D&gt;&lt;/FQL&gt;&lt;FQL&gt;&lt;Q&gt;CI^CS_EVENT_TIME_N("ER",3)&lt;/Q&gt;&lt;R&gt;1&lt;/R&gt;&lt;C&gt;1&lt;/C&gt;&lt;D xsi:type="xsd:string"&gt;Unspecified&lt;/D&gt;&lt;/FQL&gt;&lt;FQL&gt;&lt;Q&gt;CI^CS_EVENT_DESC_N("ER",3)&lt;/Q&gt;&lt;R&gt;1&lt;/R&gt;&lt;C&gt;1&lt;/C&gt;&lt;D xsi:type="xsd:string"&gt;Q3 2026 Earnings Release (Projected)&lt;/D&gt;&lt;/FQL&gt;&lt;FQL&gt;&lt;Q&gt;HOLX^CS_EVENT_DATEJ_N("ER",3)&lt;/Q&gt;&lt;R&gt;1&lt;/R&gt;&lt;C&gt;1&lt;/C&gt;&lt;D xsi:type="xsd:long"&gt;46335&lt;/D&gt;&lt;/FQL&gt;&lt;FQL&gt;&lt;Q&gt;HOLX^CS_EVENT_TIME_N("ER",3)&lt;/Q&gt;&lt;R&gt;1&lt;/R&gt;&lt;C&gt;1&lt;/C&gt;&lt;D xsi:type="xsd:string"&gt;Unspecified&lt;/D&gt;&lt;/FQL&gt;&lt;FQL&gt;&lt;Q&gt;HOLX^CS_EVENT_DESC_N("ER",3)&lt;/Q&gt;&lt;R&gt;1&lt;/R&gt;&lt;C&gt;1&lt;/C&gt;&lt;D xsi:type="xsd:string"&gt;Q4 2026 Earnings Release (Projected)&lt;/D&gt;&lt;/FQL&gt;&lt;FQL&gt;&lt;Q&gt;IRM^CS_EVENT_DATEJ_N("ER",3)&lt;/Q&gt;&lt;R&gt;1&lt;/R&gt;&lt;C&gt;1&lt;/C&gt;&lt;D xsi:type="xsd:long"&gt;46324&lt;/D&gt;&lt;/FQL&gt;&lt;FQL&gt;&lt;Q&gt;IRM^CS_EVENT_TIME_N("ER",3)&lt;/Q&gt;&lt;R&gt;1&lt;/R&gt;&lt;C&gt;1&lt;/C&gt;&lt;D xsi:type="xsd:string"&gt;Unspecified&lt;/D&gt;&lt;/FQL&gt;&lt;FQL&gt;&lt;Q&gt;IRM^CS_EVENT_DESC_N("ER",3)&lt;/Q&gt;&lt;R&gt;1&lt;/R&gt;&lt;C&gt;1&lt;/C&gt;&lt;D xsi:type="xsd:string"&gt;Q3 2026 Earnings Release (Projected)&lt;/D&gt;&lt;/FQL&gt;&lt;FQL&gt;&lt;Q&gt;COP^CS_EVENT_DATEJ_N("ER",3)&lt;/Q&gt;&lt;R&gt;1&lt;/R&gt;&lt;C&gt;1&lt;/C&gt;&lt;D xsi:type="xsd:long"&gt;46324&lt;/D&gt;&lt;/FQL&gt;&lt;FQL&gt;&lt;Q&gt;COP^CS_EVENT_TIME_N("ER",3)&lt;/Q&gt;&lt;R&gt;1&lt;/R&gt;&lt;C&gt;1&lt;/C&gt;&lt;D xsi:type="xsd:string"&gt;Unspecified&lt;/D&gt;&lt;/FQL&gt;&lt;FQL&gt;&lt;Q&gt;COP^CS_EVENT_DESC_N("ER",3)&lt;/Q&gt;&lt;R&gt;1&lt;/R&gt;&lt;C&gt;1&lt;/C&gt;&lt;D xsi:type="xsd:string"&gt;Q3 2026 Earnings Release (Projected)&lt;/D&gt;&lt;/FQL&gt;&lt;FQL&gt;&lt;Q&gt;DVA^CS_EVENT_DATEJ_N("ER",3)&lt;/Q&gt;&lt;R&gt;1&lt;/R&gt;&lt;C&gt;1&lt;/C&gt;&lt;D xsi:type="xsd:long"&gt;46318&lt;/D&gt;&lt;/FQL&gt;&lt;FQL&gt;&lt;Q&gt;DVA^CS_EVENT_TIME_N("ER",3)&lt;/Q&gt;&lt;R&gt;1&lt;/R&gt;&lt;C&gt;1&lt;/C&gt;&lt;D xsi:type="xsd:string"&gt;Unspecified&lt;/D&gt;&lt;/FQL&gt;&lt;FQL&gt;&lt;Q&gt;DVA^CS_EVENT_DESC_N("ER",3)&lt;/Q&gt;&lt;R&gt;1&lt;/R&gt;&lt;C&gt;1&lt;/C&gt;&lt;D xsi:type="xsd:string"&gt;Q3 2026 Earnings Release (Projected)&lt;/D&gt;&lt;/FQL&gt;&lt;FQL&gt;&lt;Q&gt;MPWR^CS_EVENT_DATEJ_N("ER",3)&lt;/Q&gt;&lt;R&gt;1&lt;/R&gt;&lt;C&gt;1&lt;/C&gt;&lt;D xsi:type="xsd:long"&gt;46330&lt;/D&gt;&lt;/FQL&gt;&lt;FQL&gt;&lt;Q&gt;MPWR^CS_EVENT_TIME_N("ER",3)&lt;/Q&gt;&lt;R&gt;1&lt;/R&gt;&lt;C&gt;1&lt;/C&gt;&lt;D xsi:type="xsd:string"&gt;Unspecified&lt;/D&gt;&lt;/FQL&gt;&lt;FQL&gt;&lt;Q&gt;MPWR^CS_EVENT_DESC_N("ER",3)&lt;/Q&gt;&lt;R&gt;1&lt;/R&gt;&lt;C&gt;1&lt;/C&gt;&lt;D xsi:type="xsd:string"&gt;Q3 2026 Earnings Release (Projected)&lt;/D&gt;&lt;/FQL&gt;&lt;FQL&gt;&lt;Q&gt;MO^CS_EVENT_DATEJ_N("ER",3)&lt;/Q&gt;&lt;R&gt;1&lt;/R&gt;&lt;C&gt;1&lt;/C&gt;&lt;D xsi:type="xsd:long"&gt;46324&lt;/D&gt;&lt;/FQL&gt;&lt;FQL&gt;&lt;Q&gt;MO^CS_EVENT_TIME_N("ER",3)&lt;/Q&gt;&lt;R&gt;1&lt;/R&gt;&lt;C&gt;1&lt;/C&gt;&lt;D xsi:type="xsd:string"&gt;7:00 AM&lt;/D&gt;&lt;/FQL&gt;&lt;FQL&gt;&lt;Q&gt;MO^CS_EVENT_DESC_N("ER",3)&lt;/Q&gt;&lt;R&gt;1&lt;/R&gt;&lt;C&gt;1&lt;/C&gt;&lt;D xsi:type="xsd:string"&gt;Q3 2026 Earnings Release&lt;/D&gt;&lt;/FQL&gt;&lt;FQL&gt;&lt;Q&gt;PNW^CS_EVENT_DATEJ_N("ER",3)&lt;/Q&gt;&lt;R&gt;1&lt;/R&gt;&lt;C&gt;1&lt;/C&gt;&lt;D xsi:type="xsd:long"&gt;46325&lt;/D&gt;&lt;/FQL&gt;&lt;FQL&gt;&lt;Q&gt;PNW^CS_EVENT_TIME_N("ER",3)&lt;/Q&gt;&lt;R&gt;1&lt;/R&gt;&lt;C&gt;1&lt;/C&gt;&lt;D xsi:type="xsd:string"&gt;Unspecified&lt;/D&gt;&lt;/FQL&gt;&lt;FQL&gt;&lt;Q&gt;PNW^CS_EVENT_DESC_N("ER",3)&lt;/Q&gt;&lt;R&gt;1&lt;/R&gt;&lt;C&gt;1&lt;/C&gt;&lt;D xsi:type="xsd:string"&gt;Q3 2026 Earnings Release (Projected)&lt;/D&gt;&lt;/FQL&gt;&lt;FQL&gt;&lt;Q&gt;NRG^CS_EVENT_DATEJ_N("ER",3)&lt;/Q&gt;&lt;R&gt;1&lt;/R&gt;&lt;C&gt;1&lt;/C&gt;&lt;D xsi:type="xsd:long"&gt;46331&lt;/D&gt;&lt;/FQL&gt;&lt;FQL&gt;&lt;Q&gt;NRG^CS_EVENT_TIME_N("ER",3)&lt;/Q&gt;&lt;R&gt;1&lt;/R&gt;&lt;C&gt;1&lt;/C&gt;&lt;D xsi:type="xsd:string"&gt;Unspecified&lt;/D&gt;&lt;/FQL&gt;&lt;FQL&gt;&lt;Q&gt;NRG^CS_EVENT_DESC_N("ER",3)&lt;/Q&gt;&lt;R&gt;1&lt;/R&gt;&lt;C&gt;1&lt;/C&gt;&lt;D xsi:type="xsd:string"&gt;Q3 2026 Earnings Release (Projected)&lt;/D&gt;&lt;/FQL&gt;&lt;FQL&gt;&lt;Q&gt;GDDY^CS_EVENT_DATEJ_N("ER",3)&lt;/Q&gt;&lt;R&gt;1&lt;/R&gt;&lt;C&gt;1&lt;/C&gt;&lt;D xsi:type="xsd:long"&gt;46324&lt;/D&gt;&lt;/FQL&gt;&lt;FQL&gt;&lt;Q&gt;GDDY^CS_EVENT_TIME_N("ER",3)&lt;/Q&gt;&lt;R&gt;1&lt;/R&gt;&lt;C&gt;1&lt;/C&gt;&lt;D xsi:type="xsd:string"&gt;Unspecified&lt;/D&gt;&lt;/FQL&gt;&lt;FQL&gt;&lt;Q&gt;GDDY^CS_EVENT_DESC_N("ER",3)&lt;/Q&gt;&lt;R&gt;1&lt;/R&gt;&lt;C&gt;1&lt;/C&gt;&lt;D xsi:type="xsd:string"&gt;Q3 2026 Earnings Release (Projected)&lt;/D&gt;&lt;/FQL&gt;&lt;FQL&gt;&lt;Q&gt;MRK^CS_EVENT_DATEJ_N("ER",3)&lt;/Q&gt;&lt;R&gt;1&lt;/R&gt;&lt;C&gt;1&lt;/C&gt;&lt;D xsi:type="xsd:long"&gt;46324&lt;/D&gt;&lt;/FQL&gt;&lt;FQL&gt;&lt;Q&gt;MRK^CS_EVENT_TIME_N("ER",3)&lt;/Q&gt;&lt;R&gt;1&lt;/R&gt;&lt;C&gt;1&lt;/C&gt;&lt;D xsi:type="xsd:string"&gt;6:30 AM&lt;/D&gt;&lt;/FQL&gt;&lt;FQL&gt;&lt;Q&gt;MRK^CS_EVENT_DESC_N("ER",3)&lt;/Q&gt;&lt;R&gt;1&lt;/R&gt;&lt;C&gt;1&lt;/C&gt;&lt;D xsi:type="xsd:string"&gt;Q3 2026 Earnings Release&lt;/D&gt;&lt;/FQL&gt;&lt;FQL&gt;&lt;Q&gt;LYV^CS_EVENT_DATEJ_N("ER",3)&lt;/Q&gt;&lt;R&gt;1&lt;/R&gt;&lt;C&gt;1&lt;/C&gt;&lt;D xsi:type="xsd:long"&gt;46324&lt;/D&gt;&lt;/FQL&gt;&lt;FQL&gt;&lt;Q&gt;LYV^CS_EVENT_TIME_N("ER",3)&lt;/Q&gt;&lt;R&gt;1&lt;/R&gt;&lt;C&gt;1&lt;/C&gt;&lt;D xsi:type="xsd:string"&gt;Unspecified&lt;/D&gt;&lt;/FQL&gt;&lt;FQL&gt;&lt;Q&gt;LYV^CS_EVENT_DESC_N("ER",3)&lt;/Q&gt;&lt;R&gt;1&lt;/R&gt;&lt;C&gt;1&lt;/C&gt;&lt;D xsi:type="xsd:string"&gt;Q3 2026 Earnings Release (Projected)&lt;/D&gt;&lt;/FQL&gt;&lt;FQL&gt;&lt;Q&gt;BLDR^CS_EVENT_DATEJ_N("ER",3)&lt;/Q&gt;&lt;R&gt;1&lt;/R&gt;&lt;C&gt;1&lt;/C&gt;&lt;D xsi:type="xsd:long"&gt;46324&lt;/D&gt;&lt;/FQL&gt;&lt;FQL&gt;&lt;Q&gt;BLDR^CS_EVENT_TIME_N("ER",3)&lt;/Q&gt;&lt;R&gt;1&lt;/R&gt;&lt;C&gt;1&lt;/C&gt;&lt;D xsi:type="xsd:string"&gt;Unspecified&lt;/D&gt;&lt;/FQL&gt;&lt;FQL&gt;&lt;Q&gt;BLDR^CS_EVENT_DESC_N("ER",3)&lt;/Q&gt;&lt;R&gt;1&lt;/R&gt;&lt;C&gt;1&lt;/C&gt;&lt;D xsi:type="xsd:string"&gt;Q3 2026 Earnings Release (Projected)&lt;/D&gt;&lt;/FQL&gt;&lt;FQL&gt;&lt;Q&gt;FTNT^CS_EVENT_DATEJ_N("ER",3)&lt;/Q&gt;&lt;R&gt;1&lt;/R&gt;&lt;C&gt;1&lt;/C&gt;&lt;D xsi:type="xsd:long"&gt;46324&lt;/D&gt;&lt;/FQL&gt;&lt;FQL&gt;&lt;Q&gt;FTNT^CS_EVENT_TIME_N("ER",3)&lt;/Q&gt;&lt;R&gt;1&lt;/R&gt;&lt;C&gt;1&lt;/C&gt;&lt;D xsi:type="xsd:string"&gt;Unspecified&lt;/D&gt;&lt;/FQL&gt;&lt;FQL&gt;&lt;Q&gt;FTNT^CS_EVENT_DESC_N("ER",3)&lt;/Q&gt;&lt;R&gt;1&lt;/R&gt;&lt;C&gt;1&lt;/C&gt;&lt;D xsi:type="xsd:string"&gt;Q3 2026 Earnings Release (Projected)&lt;/D&gt;&lt;/FQL&gt;&lt;FQL&gt;&lt;Q&gt;EPAM^CS_EVENT_DATEJ_N("ER",3)&lt;/Q&gt;&lt;R&gt;1&lt;/R&gt;&lt;C&gt;1&lt;/C&gt;&lt;D xsi:type="xsd:long"&gt;46324&lt;/D&gt;&lt;/FQL&gt;&lt;FQL&gt;&lt;Q&gt;EPAM^CS_EVENT_TIME_N("ER",3)&lt;/Q&gt;&lt;R&gt;1&lt;/R&gt;&lt;C&gt;1&lt;/C&gt;&lt;D xsi:type="xsd:string"&gt;Unspecified&lt;/D&gt;&lt;/FQL&gt;&lt;FQL&gt;&lt;Q&gt;EPAM^CS_EVENT_DESC_N("ER",3)&lt;/Q&gt;&lt;R&gt;1&lt;/R&gt;&lt;C&gt;1&lt;/C&gt;&lt;D xsi:type="xsd:string"&gt;Q3 2026 Earnings Release (Projected)&lt;/D&gt;&lt;/FQL&gt;&lt;FQL&gt;&lt;Q&gt;PODD^CS_EVENT_DATEJ_N("ER",3)&lt;/Q&gt;&lt;R&gt;1&lt;/R&gt;&lt;C&gt;1&lt;/C&gt;&lt;D xsi:type="xsd:long"&gt;46324&lt;/D&gt;&lt;/FQL&gt;&lt;FQL&gt;&lt;Q&gt;PODD^CS_EVENT_TIME_N("ER",3)&lt;/Q&gt;&lt;R&gt;1&lt;/R&gt;&lt;C&gt;1&lt;/C&gt;&lt;D xsi:type="xsd:string"&gt;Unspecified&lt;/D&gt;&lt;/FQL&gt;&lt;FQL&gt;&lt;Q&gt;PODD^CS_EVENT_DESC_N("ER",3)&lt;/Q&gt;&lt;R&gt;1&lt;/R&gt;&lt;C&gt;1&lt;/C&gt;&lt;D xsi:type="xsd:string"&gt;Q3 2026 Earnings Release (Projected)&lt;/D&gt;&lt;/FQL&gt;&lt;FQL&gt;&lt;Q&gt;ZTS^CS_EVENT_DATEJ_N("ER",3)&lt;/Q&gt;&lt;R&gt;1&lt;/R&gt;&lt;C&gt;1&lt;/C&gt;&lt;D xsi:type="xsd:long"&gt;46337&lt;/D&gt;&lt;/FQL&gt;&lt;FQL&gt;&lt;Q&gt;ZTS^CS_EVENT_TIME_N("ER",3)&lt;/Q&gt;&lt;R&gt;1&lt;/R&gt;&lt;C&gt;1&lt;/C&gt;&lt;D xsi:type="xsd:string"&gt;Unspecified&lt;/D&gt;&lt;/FQL&gt;&lt;FQL&gt;&lt;Q&gt;ZTS^CS_EVENT_DESC_N("ER",3)&lt;/Q&gt;&lt;R&gt;1&lt;/R&gt;&lt;C&gt;1&lt;/C&gt;&lt;D xsi:type="xsd:string"&gt;Q3 2026 Earnings Release (Projected)&lt;/D&gt;&lt;/FQL&gt;&lt;FQL&gt;&lt;Q&gt;ICE^CS_EVENT_DATEJ_N("ER",3)&lt;/Q&gt;&lt;R&gt;1&lt;/R&gt;&lt;C&gt;1&lt;/C&gt;&lt;D xsi:type="xsd:long"&gt;46324&lt;/D&gt;&lt;/FQL&gt;&lt;FQL&gt;&lt;Q&gt;ICE^CS_EVENT_TIME_N("ER",3)&lt;/Q&gt;&lt;R&gt;1&lt;/R&gt;&lt;C&gt;1&lt;/C&gt;&lt;D xsi:type="xsd:string"&gt;Unspecified&lt;/D&gt;&lt;/FQL&gt;&lt;FQL&gt;&lt;Q&gt;ICE^CS_EVENT_DESC_N("ER",3)&lt;/Q&gt;&lt;R&gt;1&lt;/R&gt;&lt;C&gt;1&lt;/C&gt;&lt;D xsi:type="xsd:string"&gt;Q3 2026 Earnings Release (Projected)&lt;/D&gt;&lt;/FQL&gt;&lt;FQL&gt;&lt;Q&gt;CVNA^CS_EVENT_DATEJ_N("ER",3)&lt;/Q&gt;&lt;R&gt;1&lt;/R&gt;&lt;C&gt;1&lt;/C&gt;&lt;D xsi:type="xsd:long"&gt;46324&lt;/D&gt;&lt;/FQL&gt;&lt;FQL&gt;&lt;Q&gt;CVNA^CS_EVENT_TIME_N("ER",3)&lt;/Q&gt;&lt;R&gt;1&lt;/R&gt;&lt;C&gt;1&lt;/C&gt;&lt;D xsi:type="xsd:string"&gt;Unspecified&lt;/D&gt;&lt;/FQL&gt;&lt;FQL&gt;&lt;Q&gt;CVNA^CS_EVENT_DESC_N("ER",3)&lt;/Q&gt;&lt;R&gt;1&lt;/R&gt;&lt;C&gt;1&lt;/C&gt;&lt;D xsi:type="xsd:string"&gt;Q3 2026 Earnings Release (Projected)&lt;/D&gt;&lt;/FQL&gt;&lt;FQL&gt;&lt;Q&gt;MSI^CS_EVENT_DATEJ_N("ER",3)&lt;/Q&gt;&lt;R&gt;1&lt;/R&gt;&lt;C&gt;1&lt;/C&gt;&lt;D xsi:type="xsd:long"&gt;46324&lt;/D&gt;&lt;/FQL&gt;&lt;FQL&gt;&lt;Q&gt;MSI^CS_EVENT_TIME_N("ER",3)&lt;/Q&gt;&lt;R&gt;1&lt;/R&gt;&lt;C&gt;1&lt;/C&gt;&lt;D xsi:type="xsd:string"&gt;Unspecified&lt;/D&gt;&lt;/FQL&gt;&lt;FQL&gt;&lt;Q&gt;MSI^CS_EVENT_DESC_N("ER",3)&lt;/Q&gt;&lt;R&gt;1&lt;/R&gt;&lt;C&gt;1&lt;/C&gt;&lt;D xsi:type="xsd:string"&gt;Q3 2026 Earnings Release (Projected)&lt;/D&gt;&lt;/FQL&gt;&lt;FQL&gt;&lt;Q&gt;HII^CS_EVENT_DATEJ_N("ER",3)&lt;/Q&gt;&lt;R&gt;1&lt;/R&gt;&lt;C&gt;1&lt;/C&gt;&lt;D xsi:type="xsd:long"&gt;46324&lt;/D&gt;&lt;/FQL&gt;&lt;FQL&gt;&lt;Q&gt;HII^CS_EVENT_TIME_N("ER",3)&lt;/Q&gt;&lt;R&gt;1&lt;/R&gt;&lt;C&gt;1&lt;/C&gt;&lt;D xsi:type="xsd:string"&gt;Unspecified&lt;/D&gt;&lt;/FQL&gt;&lt;FQL&gt;&lt;Q&gt;HII^CS_EVENT_DESC_N("ER",3)&lt;/Q&gt;&lt;R&gt;1&lt;/R&gt;&lt;C&gt;1&lt;/C&gt;&lt;D xsi:type="xsd:string"&gt;Q3 2026 Earnings Release (Projected)&lt;/D&gt;&lt;/FQL&gt;&lt;FQL&gt;&lt;Q&gt;EXPE^CS_EVENT_DATEJ_N("ER",3)&lt;/Q&gt;&lt;R&gt;1&lt;/R&gt;&lt;C&gt;1&lt;/C&gt;&lt;D xsi:type="xsd:long"&gt;46324&lt;/D&gt;&lt;/FQL&gt;&lt;FQL&gt;&lt;Q&gt;EXPE^CS_EVENT_TIME_N("ER",3)&lt;/Q&gt;&lt;R&gt;1&lt;/R&gt;&lt;C&gt;1&lt;/C&gt;&lt;D xsi:type="xsd:string"&gt;Unspecified&lt;/D&gt;&lt;/FQL&gt;&lt;FQL&gt;&lt;Q&gt;EXPE^CS_EVENT_DESC_N("ER",3)&lt;/Q&gt;&lt;R&gt;1&lt;/R&gt;&lt;C&gt;1&lt;/C&gt;&lt;D xsi:type="xsd:string"&gt;Q3 2026 Earnings Release (Projected)&lt;/D&gt;&lt;/FQL&gt;&lt;FQL&gt;&lt;Q&gt;XYZ^CS_EVENT_DATEJ_N("ER",3)&lt;/Q&gt;&lt;R&gt;1&lt;/R&gt;&lt;C&gt;1&lt;/C&gt;&lt;D xsi:type="xsd:long"&gt;46331&lt;/D&gt;&lt;/FQL&gt;&lt;FQL&gt;&lt;Q&gt;XYZ^CS_EVENT_TIME_N("ER",3)&lt;/Q&gt;&lt;R&gt;1&lt;/R&gt;&lt;C&gt;1&lt;/C&gt;&lt;D xsi:type="xsd:string"&gt;Unspecified&lt;/D&gt;&lt;/FQL&gt;&lt;FQL&gt;&lt;Q&gt;XYZ^CS_EVENT_DESC_N("ER",3)&lt;/Q&gt;&lt;R&gt;1&lt;/R&gt;&lt;C&gt;1&lt;/C&gt;&lt;D xsi:type="xsd:string"&gt;Q3 2026 Earnings Release (Projected)&lt;/D&gt;&lt;/FQL&gt;&lt;FQL&gt;&lt;Q&gt;HWM^CS_EVENT_DATEJ_N("ER",3)&lt;/Q&gt;&lt;R&gt;1&lt;/R&gt;&lt;C&gt;1&lt;/C&gt;&lt;D xsi:type="xsd:long"&gt;46324&lt;/D&gt;&lt;/FQL&gt;&lt;FQL&gt;&lt;Q&gt;HWM^CS_EVENT_TIME_N("ER",3)&lt;/Q&gt;&lt;R&gt;1&lt;/R&gt;&lt;C&gt;1&lt;/C&gt;&lt;D xsi:type="xsd:string"&gt;Unspecified&lt;/D&gt;&lt;/FQL&gt;&lt;FQL&gt;&lt;Q&gt;HWM^CS_EVENT_DESC_N("ER",3)&lt;/Q&gt;&lt;R&gt;1&lt;/R&gt;&lt;C&gt;1&lt;/C&gt;&lt;D xsi:type="xsd:string"&gt;Q3 2026 Earnings Release (Projected)&lt;/D&gt;&lt;/FQL&gt;&lt;FQL&gt;&lt;Q&gt;SW^CS_EVENT_DATEJ_N("ER",3)&lt;/Q&gt;&lt;R&gt;1&lt;/R&gt;&lt;C&gt;1&lt;/C&gt;&lt;D xsi:type="xsd:long"&gt;46330&lt;/D&gt;&lt;/FQL&gt;&lt;FQL&gt;&lt;Q&gt;SW^CS_EVENT_TIME_N("ER",3)&lt;/Q&gt;&lt;R&gt;1&lt;/R&gt;&lt;C&gt;1&lt;/C&gt;&lt;D xsi:type="xsd:string"&gt;Unspecified&lt;/D&gt;&lt;/FQL&gt;&lt;FQL&gt;&lt;Q&gt;SW^CS_EVENT_DESC_N("ER",3)&lt;/Q&gt;&lt;R&gt;1&lt;/R&gt;&lt;C&gt;1&lt;/C&gt;&lt;D xsi:type="xsd:string"&gt;Q3 2026 Earnings Release (Projected)&lt;/D&gt;&lt;/FQL&gt;&lt;FQL&gt;&lt;Q&gt;MRNA^CS_EVENT_DATEJ_N("ER",3)&lt;/Q&gt;&lt;R&gt;1&lt;/R&gt;&lt;C&gt;1&lt;/C&gt;&lt;D xsi:type="xsd:long"&gt;46324&lt;/D&gt;&lt;/FQL&gt;&lt;FQL&gt;&lt;Q&gt;MRNA^CS_EVENT_TIME_N("ER",3)&lt;/Q&gt;&lt;R&gt;1&lt;/R&gt;&lt;C&gt;1&lt;/C&gt;&lt;D xsi:type="xsd:string"&gt;Unspecified&lt;/D&gt;&lt;/FQL&gt;&lt;FQL&gt;&lt;Q&gt;MRNA^CS_EVENT_DESC_N("ER",3)&lt;/Q&gt;&lt;R&gt;1&lt;/R&gt;&lt;C&gt;1&lt;/C&gt;&lt;D xsi:type="xsd:string"&gt;Q3 2026 Earnings Release (Projected)&lt;/D&gt;&lt;/FQL&gt;&lt;FQL&gt;&lt;Q&gt;LIN^CS_EVENT_DATEJ_N("ER",3)&lt;/Q&gt;&lt;R&gt;1&lt;/R&gt;&lt;C&gt;1&lt;/C&gt;&lt;D xsi:type="xsd:long"&gt;46317&lt;/D&gt;&lt;/FQL&gt;&lt;FQL&gt;&lt;Q&gt;LIN^CS_EVENT_TIME_N("ER",3)&lt;/Q&gt;&lt;R&gt;1&lt;/R&gt;&lt;C&gt;1&lt;/C&gt;&lt;D xsi:type="xsd:string"&gt;Unspecified&lt;/D&gt;&lt;/FQL&gt;&lt;FQL&gt;&lt;Q&gt;LIN^CS_EVENT_DESC_N("ER",3)&lt;/Q&gt;&lt;R&gt;1&lt;/R&gt;&lt;C&gt;1&lt;/C&gt;&lt;D xsi:type="xsd:string"&gt;Q3 2026 Earnings Release (Projected)&lt;/D&gt;&lt;/FQL&gt;&lt;FQL&gt;&lt;Q&gt;DDOG^CS_EVENT_DATEJ_N("ER",3)&lt;/Q&gt;&lt;R&gt;1&lt;/R&gt;&lt;C&gt;1&lt;/C&gt;&lt;D xsi:type="xsd:long"&gt;46331&lt;/D&gt;&lt;/FQL&gt;&lt;FQL&gt;&lt;Q&gt;DDOG^CS_EVENT_TIME_N("ER",3)&lt;/Q&gt;&lt;R&gt;1&lt;/R&gt;&lt;C&gt;1&lt;/C&gt;&lt;D xsi:type="xsd:string"&gt;Unspecified&lt;/D&gt;&lt;/FQL&gt;&lt;FQL&gt;&lt;Q&gt;DDOG^CS_EVENT_DESC_N("ER",3)&lt;/Q&gt;&lt;R&gt;1&lt;/R&gt;&lt;C&gt;1&lt;/C&gt;&lt;D xsi:type="xsd:string"&gt;Q3 2026 Earnings Release (Projected)&lt;/D&gt;&lt;/FQL&gt;&lt;FQL&gt;&lt;Q&gt;DASH^CS_EVENT_DATEJ_N("ER",3)&lt;/Q&gt;&lt;R&gt;1&lt;/R&gt;&lt;C&gt;1&lt;/C&gt;&lt;D xsi:type="xsd:long"&gt;46330&lt;/D&gt;&lt;/FQL&gt;&lt;FQL&gt;&lt;Q&gt;DASH^CS_EVENT_TIME_N("ER",3)&lt;/Q&gt;&lt;R&gt;1&lt;/R&gt;&lt;C&gt;1&lt;/C&gt;&lt;D xsi:type="xsd:string"&gt;Unspecified&lt;/D&gt;&lt;/FQL&gt;&lt;FQL&gt;&lt;Q&gt;DASH^CS_EVENT_DESC_N("ER",3)&lt;/Q&gt;&lt;R&gt;1&lt;/R&gt;&lt;C&gt;1&lt;/C&gt;&lt;D xsi:type="xsd:string"&gt;Q3 2026 Earnings Release (Projected)&lt;/D&gt;&lt;/FQL&gt;&lt;FQL&gt;&lt;Q&gt;SNDK^CS_EVENT_DATEJ_N("ER",3)&lt;/Q&gt;&lt;R&gt;1&lt;/R&gt;&lt;C&gt;1&lt;/C&gt;&lt;D xsi:type="xsd:long"&gt;46331&lt;/D&gt;&lt;/FQL&gt;&lt;FQL&gt;&lt;Q&gt;SNDK^CS_EVENT_TIME_N("ER",3)&lt;/Q&gt;&lt;R&gt;1&lt;/R&gt;&lt;C&gt;1&lt;/C&gt;&lt;D xsi:type="xsd:string"&gt;Unspecified&lt;/D&gt;&lt;/FQL&gt;&lt;FQL&gt;&lt;Q&gt;SNDK^CS_EVENT_DESC_N("ER",3)&lt;/Q&gt;&lt;R&gt;1&lt;/R&gt;&lt;C&gt;1&lt;/C&gt;&lt;D xsi:type="xsd:string"&gt;Q1 2027 Earnings Release (Projected)&lt;/D&gt;&lt;/FQL&gt;&lt;FQL&gt;&lt;Q&gt;EVRG^CS_EVENT_DATEJ_N("ER",3)&lt;/Q&gt;&lt;R&gt;1&lt;/R&gt;&lt;C&gt;1&lt;/C&gt;&lt;D xsi:type="xsd:long"&gt;46331&lt;/D&gt;&lt;/FQL&gt;&lt;FQL&gt;&lt;Q&gt;EVRG^CS_EVENT_TIME_N("ER",3)&lt;/Q&gt;&lt;R&gt;1&lt;/R&gt;&lt;C&gt;1&lt;/C&gt;&lt;D xsi:type="xsd:string"&gt;Unspecified&lt;/D&gt;&lt;/FQL&gt;&lt;FQL&gt;&lt;Q&gt;EVRG^CS_EVENT_DESC_N("ER",3)&lt;/Q&gt;&lt;R&gt;1&lt;/R&gt;&lt;C&gt;1&lt;/C&gt;&lt;D xsi:type="xsd:string"&gt;Q3 2026 Earnings Release (Projected)&lt;/D&gt;&lt;/FQL&gt;&lt;FQL&gt;&lt;Q&gt;FRT^CS_EVENT_DATEJ_N("ER",3)&lt;/Q&gt;&lt;R&gt;1&lt;/R&gt;&lt;C&gt;1&lt;/C&gt;&lt;D xsi:type="xsd:long"&gt;46324&lt;/D&gt;&lt;/FQL&gt;&lt;FQL&gt;&lt;Q&gt;FRT^CS_EVENT_TIME_N("ER",3)&lt;/Q&gt;&lt;R&gt;1&lt;/R&gt;&lt;C&gt;1&lt;/C&gt;&lt;D xsi:type="xsd:string"&gt;Unspecified&lt;/D&gt;&lt;/FQL&gt;&lt;FQL&gt;&lt;Q&gt;FRT^CS_EVENT_DESC_N("ER",3)&lt;/Q&gt;&lt;R&gt;1&lt;/R&gt;&lt;C&gt;1&lt;/C&gt;&lt;D xsi:type="xsd:string"&gt;Q3 2026 Earnings Release (Projected)&lt;/D&gt;&lt;/FQL&gt;&lt;FQL&gt;&lt;Q&gt;CL^CS_EVENT_DATEJ_N("ER",3)&lt;/Q&gt;&lt;R&gt;1&lt;/R&gt;&lt;C&gt;1&lt;/C&gt;&lt;D xsi:type="xsd:long"&gt;46318&lt;/D&gt;&lt;/FQL&gt;&lt;FQL&gt;&lt;Q&gt;CL^CS_EVENT_TIME_N("ER",3)&lt;/Q&gt;&lt;R&gt;1&lt;/R&gt;&lt;C&gt;1&lt;/C&gt;&lt;D xsi:type="xsd:string"&gt;Unspecified&lt;/D&gt;&lt;/FQL&gt;&lt;FQL&gt;&lt;Q&gt;CL^CS_EVENT_DESC_N("ER",3)&lt;/Q&gt;&lt;R&gt;1&lt;/R&gt;&lt;C&gt;1&lt;/C&gt;&lt;D xsi:type="xsd:string"&gt;Q3 2026 Earnings Release (Projected)&lt;/D&gt;&lt;/FQL&gt;&lt;FQL&gt;&lt;Q&gt;EL^CS_EVENT_DATEJ_N("ER",3)&lt;/Q&gt;&lt;R&gt;1&lt;/R&gt;&lt;C&gt;1&lt;/C&gt;&lt;D xsi:type="xsd:long"&gt;46330&lt;/D&gt;&lt;/FQL&gt;&lt;FQL&gt;&lt;Q&gt;EL^CS_EVENT_TIME_N("ER",3)&lt;/Q&gt;&lt;R&gt;1&lt;/R&gt;&lt;C&gt;1&lt;/C&gt;&lt;D xsi:type="xsd:string"&gt;Unspecified&lt;/D&gt;&lt;/FQL&gt;&lt;FQL&gt;&lt;Q&gt;EL^CS_EVENT_DESC_N("ER",3)&lt;/Q&gt;&lt;R&gt;1&lt;/R&gt;&lt;C&gt;1&lt;/C&gt;&lt;D xsi:type="xsd:string"&gt;Q1 2027 Earnings Release (Projected)&lt;/D&gt;&lt;/FQL&gt;&lt;FQL&gt;&lt;Q&gt;CHD^CS_EVENT_DATEJ_N("ER",3)&lt;/Q&gt;&lt;R&gt;1&lt;/R&gt;&lt;C&gt;1&lt;/C&gt;&lt;D xsi:type="xsd:long"&gt;46325&lt;/D&gt;&lt;/FQL&gt;&lt;FQL&gt;&lt;Q&gt;CHD^CS_EVENT_TIME_N("ER",3)&lt;/Q&gt;&lt;R&gt;1&lt;/R&gt;&lt;C&gt;1&lt;/C&gt;&lt;D xsi:type="xsd:string"&gt;Unspecified&lt;/D&gt;&lt;/FQL&gt;&lt;FQL&gt;&lt;Q&gt;CHD^CS_EVENT_DESC_N("ER",3)&lt;/Q&gt;&lt;R&gt;1&lt;/R&gt;&lt;C&gt;1&lt;/C&gt;&lt;D xsi:type="xsd:string"&gt;Q3 2026 Earnings Release (Projected)&lt;/D&gt;&lt;/FQL&gt;&lt;FQL&gt;&lt;Q&gt;CBOE^CS_EVENT_DATEJ_N("ER",3)&lt;/Q&gt;&lt;R&gt;1&lt;/R&gt;&lt;C&gt;1&lt;/C&gt;&lt;D xsi:type="xsd:long"&gt;46325&lt;/D&gt;&lt;/FQL&gt;&lt;FQL&gt;&lt;Q&gt;CBOE^CS_EVENT_TIME_N("ER",3)&lt;/Q&gt;&lt;R&gt;1&lt;/R&gt;&lt;C&gt;1&lt;/C&gt;&lt;D xsi:type="xsd:string"&gt;Unspecified&lt;/D&gt;&lt;/FQL&gt;&lt;FQL&gt;&lt;Q&gt;CBOE^CS_EVENT_DESC_N("ER",3)&lt;/Q&gt;&lt;R&gt;1&lt;/R&gt;&lt;C&gt;1&lt;/C&gt;&lt;D xsi:type="xsd:string"&gt;Q3 2026 Earnings Release (Projected)&lt;/D&gt;&lt;/FQL&gt;&lt;FQL&gt;&lt;Q&gt;JCI^CS_EVENT_DATEJ_N("ER",3)&lt;/Q&gt;&lt;R&gt;1&lt;/R&gt;&lt;C&gt;1&lt;/C&gt;&lt;D xsi:type="xsd:long"&gt;46337&lt;/D&gt;&lt;/FQL&gt;&lt;FQL&gt;&lt;Q&gt;JCI^CS_EVENT_TIME_N("ER",3)&lt;/Q&gt;&lt;R&gt;1&lt;/R&gt;&lt;C&gt;1&lt;/C&gt;&lt;D xsi:type="xsd:string"&gt;Unspecified&lt;/D&gt;&lt;/FQL&gt;&lt;FQL&gt;&lt;Q&gt;JCI^CS_EVENT_DESC_N("ER",3)&lt;/Q&gt;&lt;R&gt;1&lt;/R&gt;&lt;C&gt;1&lt;/C&gt;&lt;D xsi:type="xsd:string"&gt;Q4 2026 Earnings Release (Projected)&lt;/D&gt;&lt;/FQL&gt;&lt;FQL&gt;&lt;Q&gt;WEC^CS_EVENT_DATEJ_N("ER",3)&lt;/Q&gt;&lt;R&gt;1&lt;/R&gt;&lt;C&gt;1&lt;/C&gt;&lt;D xsi:type="xsd:long"&gt;46329&lt;/D&gt;&lt;/FQL&gt;&lt;FQL&gt;&lt;Q&gt;WEC^CS_EVENT_TIME_N("ER",3)&lt;/Q&gt;&lt;R&gt;1&lt;/R&gt;&lt;C&gt;1&lt;/C&gt;&lt;D xsi:type="xsd:string"&gt;Unspecified&lt;/D&gt;&lt;/FQL&gt;&lt;FQL&gt;&lt;Q&gt;WEC^CS_EVENT_DESC_N("ER",3)&lt;/Q&gt;&lt;R&gt;1&lt;/R&gt;&lt;C&gt;1&lt;/C&gt;&lt;D xsi:type="xsd:string"&gt;Q3 2026 Earnings Release (Projected)&lt;/D&gt;&lt;/FQL&gt;&lt;FQL&gt;&lt;Q&gt;BEN^CS_EVENT_DATEJ_N("ER",3)&lt;/Q&gt;&lt;R&gt;1&lt;/R&gt;&lt;C&gt;1&lt;/C&gt;&lt;D xsi:type="xsd:long"&gt;46329&lt;/D&gt;&lt;/FQL&gt;&lt;FQL&gt;&lt;Q&gt;BEN^CS_EVENT_TIME_N("ER",3)&lt;/Q&gt;&lt;R&gt;1&lt;/R&gt;&lt;C&gt;1&lt;/C&gt;&lt;D xsi:type="xsd:string"&gt;Unspecified&lt;/D&gt;&lt;/FQL&gt;&lt;FQL&gt;&lt;Q&gt;BEN^CS_EVENT_DESC_N("ER",3)&lt;/Q&gt;&lt;R&gt;1&lt;/R&gt;&lt;C&gt;1&lt;/C&gt;&lt;D xsi:type="xsd:string"&gt;Q4 2026 Earnings Release (Projected)&lt;/D&gt;&lt;/FQL&gt;&lt;FQL&gt;&lt;Q&gt;WMB^CS_EVENT_DATEJ_N("ER",3)&lt;/Q&gt;&lt;R&gt;1&lt;/R&gt;&lt;C&gt;1&lt;/C&gt;&lt;D xsi:type="xsd:long"&gt;46335&lt;/D&gt;&lt;/FQL&gt;&lt;FQL&gt;&lt;Q&gt;WMB^CS_EVENT_TIME_N("ER",3)&lt;/Q&gt;&lt;R&gt;1&lt;/R&gt;&lt;C&gt;1&lt;/C&gt;&lt;D xsi:type="xsd:string"&gt;Unspecified&lt;/D&gt;&lt;/FQL&gt;&lt;FQL&gt;&lt;Q&gt;WMB^CS_EVENT_DESC_N("ER",3)&lt;/Q&gt;&lt;R&gt;1&lt;/R&gt;&lt;C&gt;1&lt;/C&gt;&lt;D xsi:type="xsd:string"&gt;Q3 2026 Earnings Release (Projected)&lt;/D&gt;&lt;/FQL&gt;&lt;FQL&gt;&lt;Q&gt;SBAC^CS_EVENT_DATEJ_N("ER",3)&lt;/Q&gt;&lt;R&gt;1&lt;/R&gt;&lt;C&gt;1&lt;/C&gt;&lt;D xsi:type="xsd:long"&gt;46328&lt;/D&gt;&lt;/FQL&gt;&lt;FQL&gt;&lt;Q&gt;SBAC^CS_EVENT_TIME_N("ER",3)&lt;/Q&gt;&lt;R&gt;1&lt;/R&gt;&lt;C&gt;1&lt;/C&gt;&lt;D xsi:type="xsd:string"&gt;Unspecified&lt;/D&gt;&lt;/FQL&gt;&lt;FQL&gt;&lt;Q&gt;SBAC^CS_EVENT_DESC_N("ER",3)&lt;/Q&gt;&lt;R&gt;1&lt;/R&gt;&lt;C&gt;1&lt;/C&gt;&lt;D xsi:type="xsd:string"&gt;Q3 2026 Earnings Release (Projected)&lt;/D&gt;&lt;/FQL&gt;&lt;FQL&gt;&lt;Q&gt;WELL^CS_EVENT_DATEJ_N("ER",3)&lt;/Q&gt;&lt;R&gt;1&lt;/R&gt;&lt;C&gt;1&lt;/C&gt;&lt;D xsi:type="xsd:long"&gt;46328&lt;/D&gt;&lt;/FQL&gt;&lt;FQL&gt;&lt;Q&gt;WELL^CS_EVENT_TIME_N("ER",3)&lt;/Q&gt;&lt;R&gt;1&lt;/R&gt;&lt;C&gt;1&lt;/C&gt;&lt;D xsi:type="xsd:string"&gt;Unspecified&lt;/D&gt;&lt;/FQL&gt;&lt;FQL&gt;&lt;Q&gt;WELL^CS_EVENT_DESC_N("ER",3)&lt;/Q&gt;&lt;R&gt;1&lt;/R&gt;&lt;C&gt;1&lt;/C&gt;&lt;D xsi:type="xsd:string"&gt;Q3 2026 Earnings Release (Projected)&lt;/D&gt;&lt;/FQL&gt;&lt;FQL&gt;&lt;Q&gt;L^CS_EVENT_DATEJ_N("ER",3)&lt;/Q&gt;&lt;R&gt;1&lt;/R&gt;&lt;C&gt;1&lt;/C&gt;&lt;D xsi:type="xsd:long"&gt;46328&lt;/D&gt;&lt;/FQL&gt;&lt;FQL&gt;&lt;Q&gt;L^CS_EVENT_TIME_N("ER",3)&lt;/Q&gt;&lt;R&gt;1&lt;/R&gt;&lt;C&gt;1&lt;/C&gt;&lt;D xsi:type="xsd:string"&gt;Unspecified&lt;/D&gt;&lt;/FQL&gt;&lt;FQL&gt;&lt;Q&gt;L^CS_EVENT_DESC_N("ER",3)&lt;/Q&gt;&lt;R&gt;1&lt;/R&gt;&lt;C&gt;1&lt;/C&gt;&lt;D xsi:type="xsd:string"&gt;Q3 2026 Earnings Release (Projected)&lt;/D&gt;&lt;/FQL&gt;&lt;FQL&gt;&lt;Q&gt;ON^CS_EVENT_DATEJ_N("ER",3)&lt;/Q&gt;&lt;R&gt;1&lt;/R&gt;&lt;C&gt;1&lt;/C&gt;&lt;D xsi:type="xsd:long"&gt;46426&lt;/D&gt;&lt;/FQL&gt;&lt;FQL&gt;&lt;Q&gt;ON^CS_EVENT_TIME_N("ER",3)&lt;/Q&gt;&lt;R&gt;1&lt;/R&gt;&lt;C&gt;1&lt;/C&gt;&lt;D xsi:type="xsd:string"&gt;Unspecified&lt;/D&gt;&lt;/FQL&gt;&lt;FQL&gt;&lt;Q&gt;ON^CS_EVENT_DESC_N("ER",3)&lt;/Q&gt;&lt;R&gt;1&lt;/R&gt;&lt;C&gt;1&lt;/C&gt;&lt;D xsi:type="xsd:string"&gt;Q4 2026 Earnings Release (Projected)&lt;/D&gt;&lt;/FQL&gt;&lt;FQL&gt;&lt;Q&gt;GPN^CS_EVENT_DATEJ_N("ER",3)&lt;/Q&gt;&lt;R&gt;1&lt;/R&gt;&lt;C&gt;1&lt;/C&gt;&lt;D xsi:type="xsd:long"&gt;46329&lt;/D&gt;&lt;/FQL&gt;&lt;FQL&gt;&lt;Q&gt;GPN^CS_EVENT_TIME_N("ER",3)&lt;/Q&gt;&lt;R&gt;1&lt;/R&gt;&lt;C&gt;1&lt;/C&gt;&lt;D xsi:type="xsd:string"&gt;Unspecified&lt;/D&gt;&lt;/FQL&gt;&lt;FQL&gt;&lt;Q&gt;GPN^CS_EVENT_DESC_N("ER",3)&lt;/Q&gt;&lt;R&gt;1&lt;/R&gt;&lt;C&gt;1&lt;/C&gt;&lt;D xsi:type="xsd:string"&gt;Q3 2026 Earnings Release (Projected)&lt;/D&gt;&lt;/FQL&gt;&lt;FQL&gt;&lt;Q&gt;FFIV^CS_EVENT_DATEJ_N("ER",3)&lt;/Q&gt;&lt;R&gt;1&lt;/R&gt;&lt;C&gt;1&lt;/C&gt;&lt;D xsi:type="xsd:long"&gt;46328&lt;/D&gt;&lt;/FQL&gt;&lt;FQL&gt;&lt;Q&gt;FFIV^CS_EVENT_TIME_N("ER",3)&lt;/Q&gt;&lt;R&gt;1&lt;/R&gt;&lt;C&gt;1&lt;/C&gt;&lt;D xsi:type="xsd:string"&gt;Unspecified&lt;/D&gt;&lt;/FQL&gt;&lt;FQL&gt;&lt;Q&gt;FFIV^CS_EVENT_DESC_N("ER",3)&lt;/Q&gt;&lt;R&gt;1&lt;/R&gt;&lt;C&gt;1&lt;/C&gt;&lt;D xsi:type="xsd:string"&gt;Q4 2026 Earnings Release (Projected)&lt;/D&gt;&lt;/FQL&gt;&lt;FQL&gt;&lt;Q&gt;RVTY^CS_EVENT_DATEJ_N("ER",3)&lt;/Q&gt;&lt;R&gt;1&lt;/R&gt;&lt;C&gt;1&lt;/C&gt;&lt;D xsi:type="xsd:long"&gt;46328&lt;/D&gt;&lt;/FQL&gt;&lt;FQL&gt;&lt;Q&gt;RVTY^CS_EVENT_TIME_N("ER",3)&lt;/Q&gt;&lt;R&gt;1&lt;/R&gt;&lt;C&gt;1&lt;/C&gt;&lt;D xsi:type="xsd:string"&gt;Unspecified&lt;/D&gt;&lt;/FQL&gt;&lt;FQL&gt;&lt;Q&gt;RVTY^CS_EVENT_DESC_N("ER",3)&lt;/Q&gt;&lt;R&gt;1&lt;/R&gt;&lt;C&gt;1&lt;/C&gt;&lt;D xsi:type="xsd:string"&gt;Q3 2026 Earnings Release (Projected)&lt;/D&gt;&lt;/FQL&gt;&lt;FQL&gt;&lt;Q&gt;BRK.B^CS_EVENT_DATEJ_N("ER",3)&lt;/Q&gt;&lt;R&gt;1&lt;/R&gt;&lt;C&gt;1&lt;/C&gt;&lt;D xsi:type="xsd:long"&gt;46328&lt;/D&gt;&lt;/FQL&gt;&lt;FQL&gt;&lt;Q&gt;BRK.B^CS_EVENT_TIME_N("ER",3)&lt;/Q&gt;&lt;R&gt;1&lt;/R&gt;&lt;C&gt;1&lt;/C&gt;&lt;D xsi:type="xsd:string"&gt;Unspecified&lt;/D&gt;&lt;/FQL&gt;&lt;FQL&gt;&lt;Q&gt;BRK.B^CS_EVENT_DESC_N("ER",3)&lt;/Q&gt;&lt;R&gt;1&lt;/R&gt;&lt;C&gt;1&lt;/C&gt;&lt;D xsi:type="xsd:string"&gt;Q3 2026 Earnings Release (Projected)&lt;/D&gt;&lt;/FQL&gt;&lt;FQL&gt;&lt;Q&gt;ANET^CS_EVENT_DATEJ_N("ER",3)&lt;/Q&gt;&lt;R&gt;1&lt;/R&gt;&lt;C&gt;1&lt;/C&gt;&lt;D xsi:type="xsd:long"&gt;46328&lt;/D&gt;&lt;/FQL&gt;&lt;FQL&gt;&lt;Q&gt;ANET^CS_EVENT_TIME_N("ER",3)&lt;/Q&gt;&lt;R&gt;1&lt;/R&gt;&lt;C&gt;1&lt;/C&gt;&lt;D xsi:type="xsd:string"&gt;Unspecified&lt;/D&gt;&lt;/FQL&gt;&lt;FQL&gt;&lt;Q&gt;ANET^CS_EVENT_DESC_N("ER",3)&lt;/Q&gt;&lt;R&gt;1&lt;/R&gt;&lt;C&gt;1&lt;/C&gt;&lt;D xsi:type="xsd:string"&gt;Q3 2026 Earnings Release (Projected)&lt;/D&gt;&lt;/FQL&gt;&lt;FQL&gt;&lt;Q&gt;FANG^CS_EVENT_DATEJ_N("ER",3)&lt;/Q&gt;&lt;R&gt;1&lt;/R&gt;&lt;C&gt;1&lt;/C&gt;&lt;D xsi:type="xsd:long"&gt;46335&lt;/D&gt;&lt;/FQL&gt;&lt;FQL&gt;&lt;Q&gt;FANG^CS_EVENT_TIME_N("ER",3)&lt;/Q&gt;&lt;R&gt;1&lt;/R&gt;&lt;C&gt;1&lt;/C&gt;&lt;D xsi:type="xsd:string"&gt;Unspecified&lt;/D&gt;&lt;/FQL&gt;&lt;FQL&gt;&lt;Q&gt;FANG^CS_EVENT_DESC_N("ER",3)&lt;/Q&gt;&lt;R&gt;1&lt;/R&gt;&lt;C&gt;1&lt;/C&gt;&lt;D xsi:type="xsd:string"&gt;Q3 2026 Earnings Release (Projected)&lt;/D&gt;&lt;/FQL&gt;&lt;FQL&gt;&lt;Q&gt;PRU^CS_EVENT_DATEJ_N("ER",3)&lt;/Q&gt;&lt;R&gt;1&lt;/R&gt;&lt;C&gt;1&lt;/C&gt;&lt;D xsi:type="xsd:long"&gt;46330&lt;/D&gt;&lt;/FQL&gt;&lt;FQL&gt;&lt;Q&gt;PRU^CS_EVENT_TIME_N("ER",3)&lt;/Q&gt;&lt;R&gt;1&lt;/R&gt;&lt;C&gt;1&lt;/C&gt;&lt;D xsi:type="xsd:string"&gt;Unspecified&lt;/D&gt;&lt;/FQL&gt;&lt;FQL&gt;&lt;Q&gt;PRU^CS_EVENT_DESC_N("ER",3)&lt;/Q&gt;&lt;R&gt;1&lt;/R&gt;&lt;C&gt;1&lt;/C&gt;&lt;D xsi:type="xsd:string"&gt;Q3 2026 Earnings Release (Projected)&lt;/D&gt;&lt;/FQL&gt;&lt;FQL&gt;&lt;Q&gt;AME^CS_EVENT_DATEJ_N("ER",3)&lt;/Q&gt;&lt;R&gt;1&lt;/R&gt;&lt;C&gt;1&lt;/C&gt;&lt;D xsi:type="xsd:long"&gt;46329&lt;/D&gt;&lt;/FQL&gt;&lt;FQL&gt;&lt;Q&gt;AME^CS_EVENT_TIME_N("ER",3)&lt;/Q&gt;&lt;R&gt;1&lt;/R&gt;&lt;C&gt;1&lt;/C&gt;&lt;D xsi:type="xsd:string"&gt;Unspecified&lt;/D&gt;&lt;/FQL&gt;&lt;FQL&gt;&lt;Q&gt;AME^CS_EVENT_DESC_N("ER",3)&lt;/Q&gt;&lt;R&gt;1&lt;/R&gt;&lt;C&gt;1&lt;/C&gt;&lt;D xsi:type="xsd:string"&gt;Q3 2026 Earnings Release (Projected)&lt;/D&gt;&lt;/FQL&gt;&lt;FQL&gt;&lt;Q&gt;MLM^CS_EVENT_DATEJ_N("ER",3)&lt;/Q&gt;&lt;R&gt;1&lt;/R&gt;&lt;C&gt;1&lt;/C&gt;&lt;D xsi:type="xsd:long"&gt;46330&lt;/D&gt;&lt;/FQL&gt;&lt;FQL&gt;&lt;Q&gt;MLM^CS_EVENT_TIME_N("ER",3)&lt;/Q&gt;&lt;R&gt;1&lt;/R&gt;&lt;C&gt;1&lt;/C&gt;&lt;D xsi:type="xsd:string"&gt;Unspecified&lt;/D&gt;&lt;/FQL&gt;&lt;FQL&gt;&lt;Q&gt;MLM^CS_EVENT_DESC_N("ER",3)&lt;/Q&gt;&lt;R&gt;1&lt;/R&gt;&lt;C&gt;1&lt;/C&gt;&lt;D xsi:type="xsd:string"&gt;Q3 2026 Earnings Release (Projected)&lt;/D&gt;&lt;/FQL&gt;&lt;FQL&gt;&lt;Q&gt;ITW^CS_EVENT_DATEJ_N("ER",3)&lt;/Q&gt;&lt;R&gt;1&lt;/R&gt;&lt;C&gt;1&lt;/C&gt;&lt;D xsi:type="xsd:long"&gt;46322&lt;/D&gt;&lt;/FQL&gt;&lt;FQL&gt;&lt;Q&gt;ITW^CS_EVENT_TIME_N("ER",3)&lt;/Q&gt;&lt;R&gt;1&lt;/R&gt;&lt;C&gt;1&lt;/C&gt;&lt;D xsi:type="xsd:string"&gt;Unspecified&lt;/D&gt;&lt;/FQL&gt;&lt;FQL&gt;&lt;Q&gt;ITW^CS_EVENT_DESC_N("ER",3)&lt;/Q&gt;&lt;R&gt;1&lt;/R&gt;&lt;C&gt;1&lt;/C&gt;&lt;D xsi:type="xsd:string"&gt;Q3 2026 Earnings Release (Projected)&lt;/D&gt;&lt;/FQL&gt;&lt;FQL&gt;&lt;Q&gt;SBUX^CS_EVENT_DATEJ_N("ER",3)&lt;/Q&gt;&lt;R&gt;1&lt;/R&gt;&lt;C&gt;1&lt;/C&gt;&lt;D xsi:type="xsd:long"&gt;46324&lt;/D&gt;&lt;/FQL&gt;&lt;FQL&gt;&lt;Q&gt;SBUX^CS_EVENT_TIME_N("ER",3)&lt;/Q&gt;&lt;R&gt;1&lt;/R&gt;&lt;C&gt;1&lt;/C&gt;&lt;D xsi:type="xsd:string"&gt;Unspecified&lt;/D&gt;&lt;/FQL&gt;&lt;FQL&gt;&lt;Q&gt;SBUX^CS_EVENT_DESC_N("ER",3)&lt;/Q&gt;&lt;R&gt;1&lt;/R&gt;&lt;C&gt;1&lt;/C&gt;&lt;D xsi:type="xsd:string"&gt;Q4 2026 Earnings Release (Projected)&lt;/D&gt;&lt;/FQL&gt;&lt;FQL&gt;&lt;Q&gt;GLW^CS_EVENT_DATEJ_N("ER",3)&lt;/Q&gt;&lt;R&gt;1&lt;/R&gt;&lt;C&gt;1&lt;/C&gt;&lt;D xsi:type="xsd:long"&gt;46329&lt;/D&gt;&lt;/FQL&gt;&lt;FQL&gt;&lt;Q&gt;GLW^CS_EVENT_TIME_N("ER",3)&lt;/Q&gt;&lt;R&gt;1&lt;/R&gt;&lt;C&gt;1&lt;/C&gt;&lt;D xsi:type="xsd:string"&gt;Unspecified&lt;/D&gt;&lt;/FQL&gt;&lt;FQL&gt;&lt;Q&gt;GLW^CS_EVENT_DESC_N("ER",3)&lt;/Q&gt;&lt;R&gt;1&lt;/R&gt;&lt;C&gt;1&lt;/C&gt;&lt;D xsi:type="xsd:string"&gt;Q3 2026 Earnings Release (Projected)&lt;/D&gt;&lt;/FQL&gt;&lt;FQL&gt;&lt;Q&gt;CLX^CS_EVENT_DATEJ_N("ER",3)&lt;/Q&gt;&lt;R&gt;1&lt;/R&gt;&lt;C&gt;1&lt;/C&gt;&lt;D xsi:type="xsd:long"&gt;46330&lt;/D&gt;&lt;/FQL&gt;&lt;FQL&gt;&lt;Q&gt;CLX^CS_EVENT_TIME_N("ER",3)&lt;/Q&gt;&lt;R&gt;1&lt;/R&gt;&lt;C&gt;1&lt;/C&gt;&lt;D xsi:type="xsd:string"&gt;Unspecified&lt;/D&gt;&lt;/FQL&gt;&lt;FQL&gt;&lt;Q&gt;CLX^CS_EVENT_DESC_N("ER",3)&lt;/Q&gt;&lt;R&gt;1&lt;/R&gt;&lt;C&gt;1&lt;/C&gt;&lt;D xsi:type="xsd:string"&gt;Q1 2027 Earnings Release (Projected)&lt;/D&gt;&lt;/FQL&gt;&lt;FQL&gt;&lt;Q&gt;DVN^CS_EVENT_DATEJ_N("ER",3)&lt;/Q&gt;&lt;R&gt;1&lt;/R&gt;&lt;C&gt;1&lt;/C&gt;&lt;D xsi:type="xsd:long"&gt;46336&lt;/D&gt;&lt;/FQL&gt;&lt;FQL&gt;&lt;Q&gt;DVN^CS_EVENT_TIME_N("ER",3)&lt;/Q&gt;&lt;R&gt;1&lt;/R&gt;&lt;C&gt;1&lt;/C&gt;&lt;D xsi:type="xsd:string"&gt;Unspecified&lt;/D&gt;&lt;/FQL&gt;&lt;FQL&gt;&lt;Q&gt;DVN^CS_EVENT_DESC_N("ER",3)&lt;/Q&gt;&lt;R&gt;1&lt;/R&gt;&lt;C&gt;1&lt;/C&gt;&lt;D xsi:type="xsd:string"&gt;Q3 2026 Earnings Release (Projected)&lt;/D&gt;&lt;/FQL&gt;&lt;FQL&gt;&lt;Q&gt;SWKS^CS_EVENT_DATEJ_N("ER",3)&lt;/Q&gt;&lt;R&gt;1&lt;/R&gt;&lt;C&gt;1&lt;/C&gt;&lt;D xsi:type="xsd:long"&gt;46324&lt;/D&gt;&lt;/FQL&gt;&lt;FQL&gt;&lt;Q&gt;SWKS^CS_EVENT_TIME_N("ER",3)&lt;/Q&gt;&lt;R&gt;1&lt;/R&gt;&lt;C&gt;1&lt;/C&gt;&lt;D xsi:type="xsd:string"&gt;Unspecified&lt;/D&gt;&lt;/FQL&gt;&lt;FQL&gt;&lt;Q&gt;SWKS^CS_EVENT_DESC_N("ER",3)&lt;/Q&gt;&lt;R&gt;1&lt;/R&gt;&lt;C&gt;1&lt;/C&gt;&lt;D xsi:type="xsd:string"&gt;Q4 2026 Earnings Release (Projected)&lt;/D&gt;&lt;/FQL&gt;&lt;FQL&gt;&lt;Q&gt;OKE^CS_EVENT_DATEJ_N("ER",3)&lt;/Q&gt;&lt;R&gt;1&lt;/R&gt;&lt;C&gt;1&lt;/C&gt;&lt;D xsi:type="xsd:long"&gt;46329&lt;/D&gt;&lt;/FQL&gt;&lt;FQL&gt;&lt;Q&gt;OKE^CS_EVENT_TIME_N("ER",3)&lt;/Q&gt;&lt;R&gt;1&lt;/R&gt;&lt;C&gt;1&lt;/C&gt;&lt;D xsi:type="xsd:string"&gt;Unspecified&lt;/D&gt;&lt;/FQL&gt;&lt;FQL&gt;&lt;Q&gt;OKE^CS_EVENT_DESC_N("ER",3)&lt;/Q&gt;&lt;R&gt;1&lt;/R&gt;&lt;C&gt;1&lt;/C&gt;&lt;D xsi:type="xsd:string"&gt;Q3 2026 Earnings Release (Projected)&lt;/D&gt;&lt;/FQL&gt;&lt;FQL&gt;&lt;Q&gt;BXP^CS_EVENT_DATEJ_N("ER",3)&lt;/Q&gt;&lt;R&gt;1&lt;/R&gt;&lt;C&gt;1&lt;/C&gt;&lt;D xsi:type="xsd:long"&gt;46329&lt;/D&gt;&lt;/FQL&gt;&lt;FQL&gt;&lt;Q&gt;BXP^CS_EVENT_TIME_N("ER",3)&lt;/Q&gt;&lt;R&gt;1&lt;/R&gt;&lt;C&gt;1&lt;/C&gt;&lt;D xsi:type="xsd:string"&gt;Unspecified&lt;/D&gt;&lt;/FQL&gt;&lt;FQL&gt;&lt;Q&gt;BXP^CS_EVENT_DESC_N("ER",3)&lt;/Q&gt;&lt;R&gt;1&lt;/R&gt;&lt;C&gt;1&lt;/C&gt;&lt;D xsi:type="xsd:string"&gt;Q3 2026 Earnings Release (Projected)&lt;/D&gt;&lt;/FQL&gt;&lt;FQL&gt;&lt;Q&gt;SYY^CS_EVENT_DATEJ_N("ER",3)&lt;/Q&gt;&lt;R&gt;1&lt;/R&gt;&lt;C&gt;1&lt;/C&gt;&lt;D xsi:type="xsd:long"&gt;46329&lt;/D&gt;&lt;/FQL&gt;&lt;FQL&gt;&lt;Q&gt;SYY^CS_EVENT_TIME_N("ER",3)&lt;/Q&gt;&lt;R&gt;1&lt;/R&gt;&lt;C&gt;1&lt;/C&gt;&lt;D xsi:type="xsd:string"&gt;Unspecified&lt;/D&gt;&lt;/FQL&gt;&lt;FQL&gt;&lt;Q&gt;SYY^CS_EVENT_DESC_N("ER",3)&lt;/Q&gt;&lt;R&gt;1&lt;/R&gt;&lt;C&gt;1&lt;/C&gt;&lt;D xsi:type="xsd:string"&gt;Q1 2027 Earnings Release (Projected)&lt;/D&gt;&lt;/FQL&gt;&lt;FQL&gt;&lt;Q&gt;ETN^CS_EVENT_DATEJ_N("ER",3)&lt;/Q&gt;&lt;R&gt;1&lt;/R&gt;&lt;C&gt;1&lt;/C&gt;&lt;D xsi:type="xsd:long"&gt;46329&lt;/D&gt;&lt;/FQL&gt;&lt;FQL&gt;&lt;Q&gt;ETN^CS_EVENT_TIME_N("ER",3)&lt;/Q&gt;&lt;R&gt;1&lt;/R&gt;&lt;C&gt;1&lt;/C&gt;&lt;D xsi:type="xsd:string"&gt;Unspecified&lt;/D&gt;&lt;/FQL&gt;&lt;FQL&gt;&lt;Q&gt;ETN^CS_EVENT_DESC_N("ER",3)&lt;/Q&gt;&lt;R&gt;1&lt;/R&gt;&lt;C&gt;1&lt;/C&gt;&lt;D xsi:type="xsd:string"&gt;Q3 2026 Earnings Release (Projected)&lt;/D&gt;&lt;/FQL&gt;&lt;FQL&gt;&lt;Q&gt;PEG^CS_EVENT_DATEJ_N("ER",3)&lt;/Q&gt;&lt;R&gt;1&lt;/R&gt;&lt;C&gt;1&lt;/C&gt;&lt;D xsi:type="xsd:long"&gt;46329&lt;/D&gt;&lt;/FQL&gt;&lt;FQL&gt;&lt;Q&gt;PEG^CS_EVENT_TIME_N("ER",3)&lt;/Q&gt;&lt;R&gt;1&lt;/R&gt;&lt;C&gt;1&lt;/C&gt;&lt;D xsi:type="xsd:string"&gt;Unspecified&lt;/D&gt;&lt;/FQL&gt;&lt;FQL&gt;&lt;Q&gt;PEG^CS_EVENT_DESC_N("ER",3)&lt;/Q&gt;&lt;R&gt;1&lt;/R&gt;&lt;C&gt;1&lt;/C&gt;&lt;D xsi:type="xsd:string"&gt;Q3 2026 Earnings Release (Projected)&lt;/D&gt;&lt;/FQL&gt;&lt;FQL&gt;&lt;Q&gt;AMD^CS_EVENT_DATEJ_N("ER",3)&lt;/Q&gt;&lt;R&gt;1&lt;/R&gt;&lt;C&gt;1&lt;/C&gt;&lt;D xsi:type="xsd:long"&gt;46329&lt;/D&gt;&lt;/FQL&gt;&lt;FQL&gt;&lt;Q&gt;AMD^CS_EVENT_TIME_N("ER",3)&lt;/Q&gt;&lt;R&gt;1&lt;/R&gt;&lt;C&gt;1&lt;/C&gt;&lt;D xsi:type="xsd:string"&gt;Unspecified&lt;/D&gt;&lt;/FQL&gt;&lt;FQL&gt;&lt;Q&gt;AMD^CS_EVENT_DESC_N("ER",3)&lt;/Q&gt;&lt;R&gt;1&lt;/R&gt;&lt;C&gt;1&lt;/C&gt;&lt;D xsi:type="xsd:string"&gt;Q3 2026 Earnings Release (Projected)&lt;/D&gt;&lt;/FQL&gt;&lt;FQL&gt;&lt;Q&gt;AIZ^CS_EVENT_DATEJ_N("ER",3)&lt;/Q&gt;&lt;R&gt;1&lt;/R&gt;&lt;C&gt;1&lt;/C&gt;&lt;D xsi:type="xsd:long"&gt;46329&lt;/D&gt;&lt;/FQL&gt;&lt;FQL&gt;&lt;Q&gt;AIZ^CS_EVENT_TIME_N("ER",3)&lt;/Q&gt;&lt;R&gt;1&lt;/R&gt;&lt;C&gt;1&lt;/C&gt;&lt;D xsi:type="xsd:string"&gt;Unspecified&lt;/D&gt;&lt;/FQL&gt;&lt;FQL&gt;&lt;Q&gt;AIZ^CS_EVENT_DESC_N("ER",3)&lt;/Q&gt;&lt;R&gt;1&lt;/R&gt;&lt;C&gt;1&lt;/C&gt;&lt;D xsi:type="xsd:string"&gt;Q3 2026 Earnings Release (Projected)&lt;/D&gt;&lt;/FQL&gt;&lt;FQL&gt;&lt;Q&gt;INCY^CS_EVENT_DATEJ_N("ER",3)&lt;/Q&gt;&lt;R&gt;1&lt;/R&gt;&lt;C&gt;1&lt;/C&gt;&lt;D xsi:type="xsd:long"&gt;46329&lt;/D&gt;&lt;/FQL&gt;&lt;FQL&gt;&lt;Q&gt;INCY^CS_EVENT_TIME_N("ER",3)&lt;/Q&gt;&lt;R&gt;1&lt;/R&gt;&lt;C&gt;1&lt;/C&gt;&lt;D xsi:type="xsd:string"&gt;Unspecified&lt;/D&gt;&lt;/FQL&gt;&lt;FQL&gt;&lt;Q&gt;INCY^CS_EVENT_DESC_N("ER",3)&lt;/Q&gt;&lt;R&gt;1&lt;/R&gt;&lt;C&gt;1&lt;/C&gt;&lt;D xsi:type="xsd:string"&gt;Q3 2026 Earnings Release (Projected)&lt;/D&gt;&lt;/FQL&gt;&lt;FQL&gt;&lt;Q&gt;PSA^CS_EVENT_DATEJ_N("ER",3)&lt;/Q&gt;&lt;R&gt;1&lt;/R&gt;&lt;C&gt;1&lt;/C&gt;&lt;D xsi:type="xsd:long"&gt;46328&lt;/D&gt;&lt;/FQL&gt;&lt;FQL&gt;&lt;Q&gt;PSA^CS_EVENT_TIME_N("ER",3)&lt;/Q&gt;&lt;R&gt;1&lt;/R&gt;&lt;C&gt;1&lt;/C&gt;&lt;D xsi:type="xsd:string"&gt;Unspecified&lt;/D&gt;&lt;/FQL&gt;&lt;FQL&gt;&lt;Q&gt;PSA^CS_EVENT_DESC_N("ER",3)&lt;/Q&gt;&lt;R&gt;1&lt;/R&gt;&lt;C&gt;1&lt;/C&gt;&lt;D xsi:type="xsd:string"&gt;Q3 2026 Earnings Release (Projected)&lt;/D&gt;&lt;/FQL&gt;&lt;FQL&gt;&lt;Q&gt;EA^CS_EVENT_DATEJ_N("ER",3)&lt;/Q&gt;&lt;R&gt;1&lt;/R&gt;&lt;C&gt;1&lt;/C&gt;&lt;D xsi:type="xsd:long"&gt;46329&lt;/D&gt;&lt;/FQL&gt;&lt;FQL&gt;&lt;Q&gt;EA^CS_EVENT_TIME_N("ER",3)&lt;/Q&gt;&lt;R&gt;1&lt;/R&gt;&lt;C&gt;1&lt;/C&gt;&lt;D xsi:type="xsd:string"&gt;Unspecified&lt;/D&gt;&lt;/FQL&gt;&lt;FQL&gt;&lt;Q&gt;EA^CS_EVENT_DESC_N("ER",3)&lt;/Q&gt;&lt;R&gt;1&lt;/R&gt;&lt;C&gt;1&lt;/C&gt;&lt;D xsi:type="xsd:string"&gt;Q2 2027 Earnings Release (Projected)&lt;/D&gt;&lt;/FQL&gt;&lt;FQL&gt;&lt;Q&gt;PFE^CS_EVENT_DATEJ_N("ER",3)&lt;/Q&gt;&lt;R&gt;1&lt;/R&gt;&lt;C&gt;1&lt;/C&gt;&lt;D xsi:type="xsd:long"&gt;46329&lt;/D&gt;&lt;/FQL&gt;&lt;FQL&gt;&lt;Q&gt;PFE^CS_EVENT_TIME_N("ER",3)&lt;/Q&gt;&lt;R&gt;1&lt;/R&gt;&lt;C&gt;1&lt;/C&gt;&lt;D xsi:type="xsd:string"&gt;Unspecified&lt;/D&gt;&lt;/FQL&gt;&lt;FQL&gt;&lt;Q&gt;PFE^CS_EVENT_DESC_N("ER",3)&lt;/Q&gt;&lt;R&gt;1&lt;/R&gt;&lt;C&gt;1&lt;/C&gt;&lt;D xsi:type="xsd:string"&gt;Q3 2026 Earnings Release (Projected)&lt;/D&gt;&lt;/FQL&gt;&lt;FQL&gt;&lt;Q&gt;CMI^CS_EVENT_DATEJ_N("ER",3)&lt;/Q&gt;&lt;R&gt;1&lt;/R&gt;&lt;C&gt;1&lt;/C&gt;&lt;D xsi:type="xsd:long"&gt;46324&lt;/D&gt;&lt;/FQL&gt;&lt;FQL&gt;&lt;Q&gt;CMI^CS_EVENT_TIME_N("ER",3)&lt;/Q&gt;&lt;R&gt;1&lt;/R&gt;&lt;C&gt;1&lt;/C&gt;&lt;D xsi:type="xsd:string"&gt;Unspecified&lt;/D&gt;&lt;/FQL&gt;&lt;FQL&gt;&lt;Q&gt;CMI^CS_EVENT_DESC_N("ER",3)&lt;/Q&gt;&lt;R&gt;1&lt;/R&gt;&lt;C&gt;1&lt;/C&gt;&lt;D xsi:type="xsd:string"&gt;Q3 2026 Earnings Release (Projected)&lt;/D&gt;&lt;/FQL&gt;&lt;FQL&gt;&lt;Q&gt;ROK^CS_EVENT_DATEJ_N("ER",3)&lt;/Q&gt;&lt;R&gt;1&lt;/R&gt;&lt;C&gt;1&lt;/C&gt;&lt;D xsi:type="xsd:long"&gt;46330&lt;/D&gt;&lt;/FQL&gt;&lt;FQL&gt;&lt;Q&gt;ROK^CS_EVENT_TIME_N("ER",3)&lt;/Q&gt;&lt;R&gt;1&lt;/R&gt;&lt;C&gt;1&lt;/C&gt;&lt;D xsi:type="xsd:string"&gt;Unspecified&lt;/D&gt;&lt;/FQL&gt;&lt;FQL&gt;&lt;Q&gt;ROK^CS_EVENT_DESC_N("ER",3)&lt;/Q&gt;&lt;R&gt;1&lt;/R&gt;&lt;C&gt;1&lt;/C&gt;&lt;D xsi:type="xsd:string"&gt;Q4 2026 Earnings Release (Projected)&lt;/D&gt;&lt;/FQL&gt;&lt;FQL&gt;&lt;Q&gt;EOG^CS_EVENT_DATEJ_N("ER",3)&lt;/Q&gt;&lt;R&gt;1&lt;/R&gt;&lt;C&gt;1&lt;/C&gt;&lt;D xsi:type="xsd:long"&gt;46324&lt;/D&gt;&lt;/FQL&gt;&lt;FQL&gt;&lt;Q&gt;EOG^CS_EVENT_TIME_N("ER",3)&lt;/Q&gt;&lt;R&gt;1&lt;/R&gt;&lt;C&gt;1&lt;/C&gt;&lt;D xsi:type="xsd:string"&gt;Unspecified&lt;/D&gt;&lt;/FQL&gt;&lt;FQL&gt;&lt;Q&gt;EOG^CS_EVENT_DESC_N("ER",3)&lt;/Q&gt;&lt;R&gt;1&lt;/R&gt;&lt;C&gt;1&lt;/C&gt;&lt;D xsi:type="xsd:string"&gt;Q3 2026 Earnings Release (Projected)&lt;/D&gt;&lt;/FQL&gt;&lt;FQL&gt;&lt;Q&gt;ZBH^CS_EVENT_DATEJ_N("ER",3)&lt;/Q&gt;&lt;R&gt;1&lt;/R&gt;&lt;C&gt;1&lt;/C&gt;&lt;D xsi:type="xsd:long"&gt;46330&lt;/D&gt;&lt;/FQL&gt;&lt;FQL&gt;&lt;Q&gt;ZBH^CS_EVENT_TIME_N("ER",3)&lt;/Q&gt;&lt;R&gt;1&lt;/R&gt;&lt;C&gt;1&lt;/C&gt;&lt;D xsi:type="xsd:string"&gt;Unspecified&lt;/D&gt;&lt;/FQL&gt;&lt;FQL&gt;&lt;Q&gt;ZBH^CS_EVENT_DESC_N("ER",3)&lt;/Q&gt;&lt;R&gt;1&lt;/R&gt;&lt;C&gt;1&lt;/C&gt;&lt;D xsi:type="xsd:string"&gt;Q3 2026 Earnings Release (Projected)&lt;/D&gt;&lt;/FQL&gt;&lt;FQL&gt;&lt;Q&gt;LDOS^CS_EVENT_DATEJ_N("ER",3)&lt;/Q&gt;&lt;R&gt;1&lt;/R&gt;&lt;C&gt;1&lt;/C&gt;&lt;D xsi:type="xsd:long"&gt;46329&lt;/D&gt;&lt;/FQL&gt;&lt;FQL&gt;&lt;Q&gt;LDOS^CS_EVENT_TIME_N("ER",3)&lt;/Q&gt;&lt;R&gt;1&lt;/R&gt;&lt;C&gt;1&lt;/C&gt;&lt;D xsi:type="xsd:string"&gt;Unspecified&lt;/D&gt;&lt;/FQL&gt;&lt;FQL&gt;&lt;Q&gt;LDOS^CS_EVENT_DESC_N("ER",3)&lt;/Q&gt;&lt;R&gt;1&lt;/R&gt;&lt;C&gt;1&lt;/C&gt;&lt;D xsi:type="xsd:string"&gt;Q3 2026 Earnings Release (Projected)&lt;/D&gt;&lt;/FQL&gt;&lt;FQL&gt;&lt;Q&gt;KKR^CS_EVENT_DATEJ_N("ER",3)&lt;/Q&gt;&lt;R&gt;1&lt;/R&gt;&lt;C&gt;1&lt;/C&gt;&lt;D xsi:type="xsd:long"&gt;46329&lt;/D&gt;&lt;/FQL&gt;&lt;FQL&gt;&lt;Q&gt;KKR^CS_EVENT_TIME_N("ER",3)&lt;/Q&gt;&lt;R&gt;1&lt;/R&gt;&lt;C&gt;1&lt;/C&gt;&lt;D xsi:type="xsd:string"&gt;Unspecified&lt;/D&gt;&lt;/FQL&gt;&lt;FQL&gt;&lt;Q&gt;KKR^CS_EVENT_DESC_N("ER",3)&lt;/Q&gt;&lt;R&gt;1&lt;/R&gt;&lt;C&gt;1&lt;/C&gt;&lt;D xsi:type="xsd:string"&gt;Q3 2026 Earnings Release (Projected)&lt;/D&gt;&lt;/FQL&gt;&lt;FQL&gt;&lt;Q&gt;VRSK^CS_EVENT_DATEJ_N("ER",3)&lt;/Q&gt;&lt;R&gt;1&lt;/R&gt;&lt;C&gt;1&lt;/C&gt;&lt;D xsi:type="xsd:long"&gt;46330&lt;/D&gt;&lt;/FQL&gt;&lt;FQL&gt;&lt;Q&gt;VRSK^CS_EVENT_TIME_N("ER",3)&lt;/Q&gt;&lt;R&gt;1&lt;/R&gt;&lt;C&gt;1&lt;/C&gt;&lt;D xsi:type="xsd:string"&gt;Unspecified&lt;/D&gt;&lt;/FQL&gt;&lt;FQL&gt;&lt;Q&gt;VRSK^CS_EVENT_DESC_N("ER",3)&lt;/Q&gt;&lt;R&gt;1&lt;/R&gt;&lt;C&gt;1&lt;/C&gt;&lt;D xsi:type="xsd:string"&gt;Q3 2026 Earnings Release (Projected)&lt;/D&gt;&lt;/FQL&gt;&lt;FQL&gt;&lt;Q&gt;TAP^CS_EVENT_DATEJ_N("ER",3)&lt;/Q&gt;&lt;R&gt;1&lt;/R&gt;&lt;C&gt;1&lt;/C&gt;&lt;D xsi:type="xsd:long"&gt;46330&lt;/D&gt;&lt;/FQL&gt;&lt;FQL&gt;&lt;Q&gt;TAP^CS_EVENT_TIME_N("ER",3)&lt;/Q&gt;&lt;R&gt;1&lt;/R&gt;&lt;C&gt;1&lt;/C&gt;&lt;D xsi:type="xsd:string"&gt;Unspecified&lt;/D&gt;&lt;/FQL&gt;&lt;FQL&gt;&lt;Q&gt;TAP^CS_EVENT_DESC_N("ER",3)&lt;/Q&gt;&lt;R&gt;1&lt;/R&gt;&lt;C&gt;1&lt;/C&gt;&lt;D xsi:type="xsd:string"&gt;Q3 2026 Earnings Release (Projected)&lt;/D&gt;&lt;/FQL&gt;&lt;FQL&gt;&lt;Q&gt;SMCI^CS_EVENT_DATEJ_N("ER",3)&lt;/Q&gt;&lt;R&gt;1&lt;/R&gt;&lt;C&gt;1&lt;/C&gt;&lt;D xsi:type="xsd:long"&gt;46329&lt;/D&gt;&lt;/FQL&gt;&lt;FQL&gt;&lt;Q&gt;SMCI^CS_EVENT_TIME_N("ER",3)&lt;/Q&gt;&lt;R&gt;1&lt;/R&gt;&lt;C&gt;1&lt;/C&gt;&lt;D xsi:type="xsd:string"&gt;Unspecified&lt;/D&gt;&lt;/FQL&gt;&lt;FQL&gt;&lt;Q&gt;SMCI^CS_EVENT_DESC_N("ER",3)&lt;/Q&gt;&lt;R&gt;1&lt;/R&gt;&lt;C&gt;1&lt;/C&gt;&lt;D xsi:type="xsd:string"&gt;Q1 2027 Earnings Release (Projected)&lt;/D&gt;&lt;/FQL&gt;&lt;FQL&gt;&lt;Q&gt;BR^CS_EVENT_DATEJ_N("ER",3)&lt;/Q&gt;&lt;R&gt;1&lt;/R&gt;&lt;C&gt;1&lt;/C&gt;&lt;D xsi:type="xsd:long"&gt;46330&lt;/D&gt;&lt;/FQL&gt;&lt;FQL&gt;&lt;Q&gt;BR^CS_EVENT_TIME_N("ER",3)&lt;/Q&gt;&lt;R&gt;1&lt;/R&gt;&lt;C&gt;1&lt;/C&gt;&lt;D xsi:type="xsd:string"&gt;Unspecified&lt;/D&gt;&lt;/FQL&gt;&lt;FQL&gt;&lt;Q&gt;BR^CS_EVENT_DESC_N("ER",3)&lt;/Q&gt;&lt;R&gt;1&lt;/R&gt;&lt;C&gt;1&lt;/C&gt;&lt;D xsi:type="xsd:string"&gt;Q1 2027 Earnings Release (Projected)&lt;/D&gt;&lt;/FQL&gt;&lt;FQL&gt;&lt;Q&gt;MPC^CS_EVENT_DATEJ_N("ER",3)&lt;/Q&gt;&lt;R&gt;1&lt;/R&gt;&lt;C&gt;1&lt;/C&gt;&lt;D xsi:type="xsd:long"&gt;46420&lt;/D&gt;&lt;/FQL&gt;&lt;FQL&gt;&lt;Q&gt;MPC^CS_EVENT_TIME_N("ER",3)&lt;/Q&gt;&lt;R&gt;1&lt;/R&gt;&lt;C&gt;1&lt;/C&gt;&lt;D xsi:type="xsd:string"&gt;Unspecified&lt;/D&gt;&lt;/FQL&gt;&lt;FQL&gt;&lt;Q&gt;MPC^CS_EVENT_DESC_N("ER",3)&lt;/Q&gt;&lt;R&gt;1&lt;/R&gt;&lt;C&gt;1&lt;/C&gt;&lt;D xsi:type="xsd:string"&gt;Q4 2026 Earnings Release (Projected)&lt;/D&gt;&lt;/FQL&gt;&lt;FQL&gt;&lt;Q&gt;PYPL^CS_EVENT_DATEJ_N("ER",3)&lt;/Q&gt;&lt;R&gt;1&lt;/R&gt;&lt;C&gt;1&lt;/C&gt;&lt;D xsi:type="xsd:long"&gt;46329&lt;/D&gt;&lt;/FQL&gt;&lt;FQL&gt;&lt;Q&gt;PYPL^CS_EVENT_TIME_N("ER",3)&lt;/Q&gt;&lt;R&gt;1&lt;/R&gt;&lt;C&gt;1&lt;/C&gt;&lt;D xsi:type="xsd:string"&gt;Unspecified&lt;/D&gt;&lt;/FQL&gt;&lt;FQL&gt;&lt;Q&gt;PYPL^CS_EVENT_DESC_N("ER",3)&lt;/Q&gt;&lt;R&gt;1&lt;/R&gt;&lt;C&gt;1&lt;/C&gt;&lt;D xsi:type="xsd:string"&gt;Q3 2026 Ear</t>
        </r>
      </text>
    </comment>
    <comment ref="A13" authorId="0" shapeId="0" xr:uid="{C093FC57-60DC-4AF7-A456-165848A5394D}">
      <text>
        <r>
          <rPr>
            <b/>
            <sz val="9"/>
            <color indexed="81"/>
            <rFont val="Tahoma"/>
            <family val="2"/>
          </rPr>
          <t>nings Release (Projected)&lt;/D&gt;&lt;/FQL&gt;&lt;FQL&gt;&lt;Q&gt;INVH^CS_EVENT_DATEJ_N("ER",3)&lt;/Q&gt;&lt;R&gt;1&lt;/R&gt;&lt;C&gt;1&lt;/C&gt;&lt;D xsi:type="xsd:long"&gt;46323&lt;/D&gt;&lt;/FQL&gt;&lt;FQL&gt;&lt;Q&gt;INVH^CS_EVENT_TIME_N("ER",3)&lt;/Q&gt;&lt;R&gt;1&lt;/R&gt;&lt;C&gt;1&lt;/C&gt;&lt;D xsi:type="xsd:string"&gt;Unspecified&lt;/D&gt;&lt;/FQL&gt;&lt;FQL&gt;&lt;Q&gt;INVH^CS_EVENT_DESC_N("ER",3)&lt;/Q&gt;&lt;R&gt;1&lt;/R&gt;&lt;C&gt;1&lt;/C&gt;&lt;D xsi:type="xsd:string"&gt;Q3 2026 Earnings Release (Projected)&lt;/D&gt;&lt;/FQL&gt;&lt;FQL&gt;&lt;Q&gt;APTV^CS_EVENT_DATEJ_N("ER",3)&lt;/Q&gt;&lt;R&gt;1&lt;/R&gt;&lt;C&gt;1&lt;/C&gt;&lt;D xsi:type="xsd:long"&gt;46324&lt;/D&gt;&lt;/FQL&gt;&lt;FQL&gt;&lt;Q&gt;APTV^CS_EVENT_TIME_N("ER",3)&lt;/Q&gt;&lt;R&gt;1&lt;/R&gt;&lt;C&gt;1&lt;/C&gt;&lt;D xsi:type="xsd:string"&gt;Unspecified&lt;/D&gt;&lt;/FQL&gt;&lt;FQL&gt;&lt;Q&gt;APTV^CS_EVENT_DESC_N("ER",3)&lt;/Q&gt;&lt;R&gt;1&lt;/R&gt;&lt;C&gt;1&lt;/C&gt;&lt;D xsi:type="xsd:string"&gt;Q3 2026 Earnings Release (Projected)&lt;/D&gt;&lt;/FQL&gt;&lt;FQL&gt;&lt;Q&gt;CTVA^CS_EVENT_DATEJ_N("ER",3)&lt;/Q&gt;&lt;R&gt;1&lt;/R&gt;&lt;C&gt;1&lt;/C&gt;&lt;D xsi:type="xsd:long"&gt;46337&lt;/D&gt;&lt;/FQL&gt;&lt;FQL&gt;&lt;Q&gt;CTVA^CS_EVENT_TIME_N("ER",3)&lt;/Q&gt;&lt;R&gt;1&lt;/R&gt;&lt;C&gt;1&lt;/C&gt;&lt;D xsi:type="xsd:string"&gt;Unspecified&lt;/D&gt;&lt;/FQL&gt;&lt;FQL&gt;&lt;Q&gt;CTVA^CS_EVENT_DESC_N("ER",3)&lt;/Q&gt;&lt;R&gt;1&lt;/R&gt;&lt;C&gt;1&lt;/C&gt;&lt;D xsi:type="xsd:string"&gt;Q3 2026 Earnings Release (Projected)&lt;/D&gt;&lt;/FQL&gt;&lt;FQL&gt;&lt;Q&gt;DD^CS_EVENT_DATEJ_N("ER",3)&lt;/Q&gt;&lt;R&gt;1&lt;/R&gt;&lt;C&gt;1&lt;/C&gt;&lt;D xsi:type="xsd:long"&gt;46336&lt;/D&gt;&lt;/FQL&gt;&lt;FQL&gt;&lt;Q&gt;DD^CS_EVENT_TIME_N("ER",3)&lt;/Q&gt;&lt;R&gt;1&lt;/R&gt;&lt;C&gt;1&lt;/C&gt;&lt;D xsi:type="xsd:string"&gt;Unspecified&lt;/D&gt;&lt;/FQL&gt;&lt;FQL&gt;&lt;Q&gt;DD^CS_EVENT_DESC_N("ER",3)&lt;/Q&gt;&lt;R&gt;1&lt;/R&gt;&lt;C&gt;1&lt;/C&gt;&lt;D xsi:type="xsd:string"&gt;Q3 2026 Earnings Release (Projected)&lt;/D&gt;&lt;/FQL&gt;&lt;FQL&gt;&lt;Q&gt;AMCR^CS_EVENT_DATEJ_N("ER",3)&lt;/Q&gt;&lt;R&gt;1&lt;/R&gt;&lt;C&gt;1&lt;/C&gt;&lt;D xsi:type="xsd:long"&gt;46329&lt;/D&gt;&lt;/FQL&gt;&lt;FQL&gt;&lt;Q&gt;AMCR^CS_EVENT_TIME_N("ER",3)&lt;/Q&gt;&lt;R&gt;1&lt;/R&gt;&lt;C&gt;1&lt;/C&gt;&lt;D xsi:type="xsd:string"&gt;Unspecified&lt;/D&gt;&lt;/FQL&gt;&lt;FQL&gt;&lt;Q&gt;AMCR^CS_EVENT_DESC_N("ER",3)&lt;/Q&gt;&lt;R&gt;1&lt;/R&gt;&lt;C&gt;1&lt;/C&gt;&lt;D xsi:type="xsd:string"&gt;Q1 2027 Earnings Release (Projected)&lt;/D&gt;&lt;/FQL&gt;&lt;FQL&gt;&lt;Q&gt;EXE^CS_EVENT_DATEJ_N("ER",3)&lt;/Q&gt;&lt;R&gt;1&lt;/R&gt;&lt;C&gt;1&lt;/C&gt;&lt;D xsi:type="xsd:long"&gt;46329&lt;/D&gt;&lt;/FQL&gt;&lt;FQL&gt;&lt;Q&gt;EXE^CS_EVENT_TIME_N("ER",3)&lt;/Q&gt;&lt;R&gt;1&lt;/R&gt;&lt;C&gt;1&lt;/C&gt;&lt;D xsi:type="xsd:string"&gt;Unspecified&lt;/D&gt;&lt;/FQL&gt;&lt;FQL&gt;&lt;Q&gt;EXE^CS_EVENT_DESC_N("ER",3)&lt;/Q&gt;&lt;R&gt;1&lt;/R&gt;&lt;C&gt;1&lt;/C&gt;&lt;D xsi:type="xsd:string"&gt;Q3 2026 Earnings Release (Projected)&lt;/D&gt;&lt;/FQL&gt;&lt;FQL&gt;&lt;Q&gt;MAR^CS_EVENT_DATEJ_N("ER",3)&lt;/Q&gt;&lt;R&gt;1&lt;/R&gt;&lt;C&gt;1&lt;/C&gt;&lt;D xsi:type="xsd:long"&gt;46324&lt;/D&gt;&lt;/FQL&gt;&lt;FQL&gt;&lt;Q&gt;MAR^CS_EVENT_TIME_N("ER",3)&lt;/Q&gt;&lt;R&gt;1&lt;/R&gt;&lt;C&gt;1&lt;/C&gt;&lt;D xsi:type="xsd:string"&gt;Unspecified&lt;/D&gt;&lt;/FQL&gt;&lt;FQL&gt;&lt;Q&gt;MAR^CS_EVENT_DESC_N("ER",3)&lt;/Q&gt;&lt;R&gt;1&lt;/R&gt;&lt;C&gt;1&lt;/C&gt;&lt;D xsi:type="xsd:string"&gt;Q3 2026 Earnings Release (Projected)&lt;/D&gt;&lt;/FQL&gt;&lt;FQL&gt;&lt;Q&gt;VMC^CS_EVENT_DATEJ_N("ER",3)&lt;/Q&gt;&lt;R&gt;1&lt;/R&gt;&lt;C&gt;1&lt;/C&gt;&lt;D xsi:type="xsd:long"&gt;46324&lt;/D&gt;&lt;/FQL&gt;&lt;FQL&gt;&lt;Q&gt;VMC^CS_EVENT_TIME_N("ER",3)&lt;/Q&gt;&lt;R&gt;1&lt;/R&gt;&lt;C&gt;1&lt;/C&gt;&lt;D xsi:type="xsd:string"&gt;Unspecified&lt;/D&gt;&lt;/FQL&gt;&lt;FQL&gt;&lt;Q&gt;VMC^CS_EVENT_DESC_N("ER",3)&lt;/Q&gt;&lt;R&gt;1&lt;/R&gt;&lt;C&gt;1&lt;/C&gt;&lt;D xsi:type="xsd:string"&gt;Q3 2026 Earnings Release (Projected)&lt;/D&gt;&lt;/FQL&gt;&lt;FQL&gt;&lt;Q&gt;TECH^CS_EVENT_DATEJ_N("ER",3)&lt;/Q&gt;&lt;R&gt;1&lt;/R&gt;&lt;C&gt;1&lt;/C&gt;&lt;D xsi:type="xsd:long"&gt;46329&lt;/D&gt;&lt;/FQL&gt;&lt;FQL&gt;&lt;Q&gt;TECH^CS_EVENT_TIME_N("ER",3)&lt;/Q&gt;&lt;R&gt;1&lt;/R&gt;&lt;C&gt;1&lt;/C&gt;&lt;D xsi:type="xsd:string"&gt;Unspecified&lt;/D&gt;&lt;/FQL&gt;&lt;FQL&gt;&lt;Q&gt;TECH^CS_EVENT_DESC_N("ER",3)&lt;/Q&gt;&lt;R&gt;1&lt;/R&gt;&lt;C&gt;1&lt;/C&gt;&lt;D xsi:type="xsd:string"&gt;Q1 2027 Earnings Release (Projected)&lt;/D&gt;&lt;/FQL&gt;&lt;FQL&gt;&lt;Q&gt;QCOM^CS_EVENT_DATEJ_N("ER",3)&lt;/Q&gt;&lt;R&gt;1&lt;/R&gt;&lt;C&gt;1&lt;/C&gt;&lt;D xsi:type="xsd:long"&gt;46337&lt;/D&gt;&lt;/FQL&gt;&lt;FQL&gt;&lt;Q&gt;QCOM^CS_EVENT_TIME_N("ER",3)&lt;/Q&gt;&lt;R&gt;1&lt;/R&gt;&lt;C&gt;1&lt;/C&gt;&lt;D xsi:type="xsd:string"&gt;Unspecified&lt;/D&gt;&lt;/FQL&gt;&lt;FQL&gt;&lt;Q&gt;QCOM^CS_EVENT_DESC_N("ER",3)&lt;/Q&gt;&lt;R&gt;1&lt;/R&gt;&lt;C&gt;1&lt;/C&gt;&lt;D xsi:type="xsd:string"&gt;Q4 2026 Earnings Release (Projected)&lt;/D&gt;&lt;/FQL&gt;&lt;FQL&gt;&lt;Q&gt;ES^CS_EVENT_DATEJ_N("ER",3)&lt;/Q&gt;&lt;R&gt;1&lt;/R&gt;&lt;C&gt;1&lt;/C&gt;&lt;D xsi:type="xsd:long"&gt;46335&lt;/D&gt;&lt;/FQL&gt;&lt;FQL&gt;&lt;Q&gt;ES^CS_EVENT_TIME_N("ER",3)&lt;/Q&gt;&lt;R&gt;1&lt;/R&gt;&lt;C&gt;1&lt;/C&gt;&lt;D xsi:type="xsd:string"&gt;Unspecified&lt;/D&gt;&lt;/FQL&gt;&lt;FQL&gt;&lt;Q&gt;ES^CS_EVENT_DESC_N("ER",3)&lt;/Q&gt;&lt;R&gt;1&lt;/R&gt;&lt;C&gt;1&lt;/C&gt;&lt;D xsi:type="xsd:string"&gt;Q3 2026 Earnings Release (Projected)&lt;/D&gt;&lt;/FQL&gt;&lt;FQL&gt;&lt;Q&gt;FICO^CS_EVENT_DATEJ_N("ER",3)&lt;/Q&gt;&lt;R&gt;1&lt;/R&gt;&lt;C&gt;1&lt;/C&gt;&lt;D xsi:type="xsd:long"&gt;46337&lt;/D&gt;&lt;/FQL&gt;&lt;FQL&gt;&lt;Q&gt;FICO^CS_EVENT_TIME_N("ER",3)&lt;/Q&gt;&lt;R&gt;1&lt;/R&gt;&lt;C&gt;1&lt;/C&gt;&lt;D xsi:type="xsd:string"&gt;Unspecified&lt;/D&gt;&lt;/FQL&gt;&lt;FQL&gt;&lt;Q&gt;FICO^CS_EVENT_DESC_N("ER",3)&lt;/Q&gt;&lt;R&gt;1&lt;/R&gt;&lt;C&gt;1&lt;/C&gt;&lt;D xsi:type="xsd:string"&gt;Q4 2026 Earnings Release (Projected)&lt;/D&gt;&lt;/FQL&gt;&lt;FQL&gt;&lt;Q&gt;BIIB^CS_EVENT_DATEJ_N("ER",3)&lt;/Q&gt;&lt;R&gt;1&lt;/R&gt;&lt;C&gt;1&lt;/C&gt;&lt;D xsi:type="xsd:long"&gt;46324&lt;/D&gt;&lt;/FQL&gt;&lt;FQL&gt;&lt;Q&gt;BIIB^CS_EVENT_TIME_N("ER",3)&lt;/Q&gt;&lt;R&gt;1&lt;/R&gt;&lt;C&gt;1&lt;/C&gt;&lt;D xsi:type="xsd:string"&gt;Unspecified&lt;/D&gt;&lt;/FQL&gt;&lt;FQL&gt;&lt;Q&gt;BIIB^CS_EVENT_DESC_N("ER",3)&lt;/Q&gt;&lt;R&gt;1&lt;/R&gt;&lt;C&gt;1&lt;/C&gt;&lt;D xsi:type="xsd:string"&gt;Q3 2026 Earnings Release (Projected)&lt;/D&gt;&lt;/FQL&gt;&lt;FQL&gt;&lt;Q&gt;O^CS_EVENT_DATEJ_N("ER",3)&lt;/Q&gt;&lt;R&gt;1&lt;/R&gt;&lt;C&gt;1&lt;/C&gt;&lt;D xsi:type="xsd:long"&gt;46335&lt;/D&gt;&lt;/FQL&gt;&lt;FQL&gt;&lt;Q&gt;O^CS_EVENT_TIME_N("ER",3)&lt;/Q&gt;&lt;R&gt;1&lt;/R&gt;&lt;C&gt;1&lt;/C&gt;&lt;D xsi:type="xsd:string"&gt;Unspecified&lt;/D&gt;&lt;/FQL&gt;&lt;FQL&gt;&lt;Q&gt;O^CS_EVENT_DESC_N("ER",3)&lt;/Q&gt;&lt;R&gt;1&lt;/R&gt;&lt;C&gt;1&lt;/C&gt;&lt;D xsi:type="xsd:string"&gt;Q3 2026 Earnings Release (Projected)&lt;/D&gt;&lt;/FQL&gt;&lt;FQL&gt;&lt;Q&gt;TRMB^CS_EVENT_DATEJ_N("ER",3)&lt;/Q&gt;&lt;R&gt;1&lt;/R&gt;&lt;C&gt;1&lt;/C&gt;&lt;D xsi:type="xsd:long"&gt;46330&lt;/D&gt;&lt;/FQL&gt;&lt;FQL&gt;&lt;Q&gt;TRMB^CS_EVENT_TIME_N("ER",3)&lt;/Q&gt;&lt;R&gt;1&lt;/R&gt;&lt;C&gt;1&lt;/C&gt;&lt;D xsi:type="xsd:string"&gt;Unspecified&lt;/D&gt;&lt;/FQL&gt;&lt;FQL&gt;&lt;Q&gt;TRMB^CS_EVENT_DESC_N("ER",3)&lt;/Q&gt;&lt;R&gt;1&lt;/R&gt;&lt;C&gt;1&lt;/C&gt;&lt;D xsi:type="xsd:string"&gt;Q3 2026 Earnings Release (Projected)&lt;/D&gt;&lt;/FQL&gt;&lt;FQL&gt;&lt;Q&gt;ALB^CS_EVENT_DATEJ_N("ER",3)&lt;/Q&gt;&lt;R&gt;1&lt;/R&gt;&lt;C&gt;1&lt;/C&gt;&lt;D xsi:type="xsd:long"&gt;46330&lt;/D&gt;&lt;/FQL&gt;&lt;FQL&gt;&lt;Q&gt;ALB^CS_EVENT_TIME_N("ER",3)&lt;/Q&gt;&lt;R&gt;1&lt;/R&gt;&lt;C&gt;1&lt;/C&gt;&lt;D xsi:type="xsd:string"&gt;Unspecified&lt;/D&gt;&lt;/FQL&gt;&lt;FQL&gt;&lt;Q&gt;ALB^CS_EVENT_DESC_N("ER",3)&lt;/Q&gt;&lt;R&gt;1&lt;/R&gt;&lt;C&gt;1&lt;/C&gt;&lt;D xsi:type="xsd:string"&gt;Q3 2026 Earnings Release (Projected)&lt;/D&gt;&lt;/FQL&gt;&lt;FQL&gt;&lt;Q&gt;YUM^CS_EVENT_DATEJ_N("ER",3)&lt;/Q&gt;&lt;R&gt;1&lt;/R&gt;&lt;C&gt;1&lt;/C&gt;&lt;D xsi:type="xsd:long"&gt;46330&lt;/D&gt;&lt;/FQL&gt;&lt;FQL&gt;&lt;Q&gt;YUM^CS_EVENT_TIME_N("ER",3)&lt;/Q&gt;&lt;R&gt;1&lt;/R&gt;&lt;C&gt;1&lt;/C&gt;&lt;D xsi:type="xsd:string"&gt;Unspecified&lt;/D&gt;&lt;/FQL&gt;&lt;FQL&gt;&lt;Q&gt;YUM^CS_EVENT_DESC_N("ER",3)&lt;/Q&gt;&lt;R&gt;1&lt;/R&gt;&lt;C&gt;1&lt;/C&gt;&lt;D xsi:type="xsd:string"&gt;Q3 2026 Earnings Release (Projected)&lt;/D&gt;&lt;/FQL&gt;&lt;FQL&gt;&lt;Q&gt;TT^CS_EVENT_DATEJ_N("ER",3)&lt;/Q&gt;&lt;R&gt;1&lt;/R&gt;&lt;C&gt;1&lt;/C&gt;&lt;D xsi:type="xsd:long"&gt;46330&lt;/D&gt;&lt;/FQL&gt;&lt;FQL&gt;&lt;Q&gt;TT^CS_EVENT_TIME_N("ER",3)&lt;/Q&gt;&lt;R&gt;1&lt;/R&gt;&lt;C&gt;1&lt;/C&gt;&lt;D xsi:type="xsd:string"&gt;Unspecified&lt;/D&gt;&lt;/FQL&gt;&lt;FQL&gt;&lt;Q&gt;TT^CS_EVENT_DESC_N("ER",3)&lt;/Q&gt;&lt;R&gt;1&lt;/R&gt;&lt;C&gt;1&lt;/C&gt;&lt;D xsi:type="xsd:string"&gt;Q3 2026 Earnings Release (Projected)&lt;/D&gt;&lt;/FQL&gt;&lt;FQL&gt;&lt;Q&gt;HST^CS_EVENT_DATEJ_N("ER",3)&lt;/Q&gt;&lt;R&gt;1&lt;/R&gt;&lt;C&gt;1&lt;/C&gt;&lt;D xsi:type="xsd:long"&gt;46330&lt;/D&gt;&lt;/FQL&gt;&lt;FQL&gt;&lt;Q&gt;HST^CS_EVENT_TIME_N("ER",3)&lt;/Q&gt;&lt;R&gt;1&lt;/R&gt;&lt;C&gt;1&lt;/C&gt;&lt;D xsi:type="xsd:string"&gt;Unspecified&lt;/D&gt;&lt;/FQL&gt;&lt;FQL&gt;&lt;Q&gt;HST^CS_EVENT_DESC_N("ER",3)&lt;/Q&gt;&lt;R&gt;1&lt;/R&gt;&lt;C&gt;1&lt;/C&gt;&lt;D xsi:type="xsd:string"&gt;Q3 2026 Earnings Release (Projected)&lt;/D&gt;&lt;/FQL&gt;&lt;FQL&gt;&lt;Q&gt;CTSH^CS_EVENT_DATEJ_N("ER",3)&lt;/Q&gt;&lt;R&gt;1&lt;/R&gt;&lt;C&gt;1&lt;/C&gt;&lt;D xsi:type="xsd:long"&gt;46330&lt;/D&gt;&lt;/FQL&gt;&lt;FQL&gt;&lt;Q&gt;CTSH^CS_EVENT_TIME_N("ER",3)&lt;/Q&gt;&lt;R&gt;1&lt;/R&gt;&lt;C&gt;1&lt;/C&gt;&lt;D xsi:type="xsd:string"&gt;Unspecified&lt;/D&gt;&lt;/FQL&gt;&lt;FQL&gt;&lt;Q&gt;CTSH^CS_EVENT_DESC_N("ER",3)&lt;/Q&gt;&lt;R&gt;1&lt;/R&gt;&lt;C&gt;1&lt;/C&gt;&lt;D xsi:type="xsd:string"&gt;Q3 2026 Earnings Release (Projected)&lt;/D&gt;&lt;/FQL&gt;&lt;FQL&gt;&lt;Q&gt;AEP^CS_EVENT_DATEJ_N("ER",3)&lt;/Q&gt;&lt;R&gt;1&lt;/R&gt;&lt;C&gt;1&lt;/C&gt;&lt;D xsi:type="xsd:long"&gt;46317&lt;/D&gt;&lt;/FQL&gt;&lt;FQL&gt;&lt;Q&gt;AEP^CS_EVENT_TIME_N("ER",3)&lt;/Q&gt;&lt;R&gt;1&lt;/R&gt;&lt;C&gt;1&lt;/C&gt;&lt;D xsi:type="xsd:string"&gt;Unspecified&lt;/D&gt;&lt;/FQL&gt;&lt;FQL&gt;&lt;Q&gt;AEP^CS_EVENT_DESC_N("ER",3)&lt;/Q&gt;&lt;R&gt;1&lt;/R&gt;&lt;C&gt;1&lt;/C&gt;&lt;D xsi:type="xsd:string"&gt;Q3 2026 Earnings Release (Projected)&lt;/D&gt;&lt;/FQL&gt;&lt;FQL&gt;&lt;Q&gt;SYK^CS_EVENT_DATEJ_N("ER",3)&lt;/Q&gt;&lt;R&gt;1&lt;/R&gt;&lt;C&gt;1&lt;/C&gt;&lt;D xsi:type="xsd:long"&gt;46324&lt;/D&gt;&lt;/FQL&gt;&lt;FQL&gt;&lt;Q&gt;SYK^CS_EVENT_TIME_N("ER",3)&lt;/Q&gt;&lt;R&gt;1&lt;/R&gt;&lt;C&gt;1&lt;/C&gt;&lt;D xsi:type="xsd:string"&gt;Unspecified&lt;/D&gt;&lt;/FQL&gt;&lt;FQL&gt;&lt;Q&gt;SYK^CS_EVENT_DESC_N("ER",3)&lt;/Q&gt;&lt;R&gt;1&lt;/R&gt;&lt;C&gt;1&lt;/C&gt;&lt;D xsi:type="xsd:string"&gt;Q3 2026 Earnings Release (Projected)&lt;/D&gt;&lt;/FQL&gt;&lt;FQL&gt;&lt;Q&gt;GL^CS_EVENT_DATEJ_N("ER",3)&lt;/Q&gt;&lt;R&gt;1&lt;/R&gt;&lt;C&gt;1&lt;/C&gt;&lt;D xsi:type="xsd:long"&gt;46323&lt;/D&gt;&lt;/FQL&gt;&lt;FQL&gt;&lt;Q&gt;GL^CS_EVENT_TIME_N("ER",3)&lt;/Q&gt;&lt;R&gt;1&lt;/R&gt;&lt;C&gt;1&lt;/C&gt;&lt;D xsi:type="xsd:string"&gt;Unspecified&lt;/D&gt;&lt;/FQL&gt;&lt;FQL&gt;&lt;Q&gt;GL^CS_EVENT_DESC_N("ER",3)&lt;/Q&gt;&lt;R&gt;1&lt;/R&gt;&lt;C&gt;1&lt;/C&gt;&lt;D xsi:type="xsd:string"&gt;Q3 2026 Earnings Release (Projected)&lt;/D&gt;&lt;/FQL&gt;&lt;FQL&gt;&lt;Q&gt;EBAY^CS_EVENT_DATEJ_N("ER",3)&lt;/Q&gt;&lt;R&gt;1&lt;/R&gt;&lt;C&gt;1&lt;/C&gt;&lt;D xsi:type="xsd:long"&gt;46330&lt;/D&gt;&lt;/FQL&gt;&lt;FQL&gt;&lt;Q&gt;EBAY^CS_EVENT_TIME_N("ER",3)&lt;/Q&gt;&lt;R&gt;1&lt;/R&gt;&lt;C&gt;1&lt;/C&gt;&lt;D xsi:type="xsd:string"&gt;Unspecified&lt;/D&gt;&lt;/FQL&gt;&lt;FQL&gt;&lt;Q&gt;EBAY^CS_EVENT_DESC_N("ER",3)&lt;/Q&gt;&lt;R&gt;1&lt;/R&gt;&lt;C&gt;1&lt;/C&gt;&lt;D xsi:type="xsd:string"&gt;Q3 2026 Earnings Release (Projected)&lt;/D&gt;&lt;/FQL&gt;&lt;FQL&gt;&lt;Q&gt;EMR^CS_EVENT_DATEJ_N("ER",3)&lt;/Q&gt;&lt;R&gt;1&lt;/R&gt;&lt;C&gt;1&lt;/C&gt;&lt;D xsi:type="xsd:long"&gt;46336&lt;/D&gt;&lt;/FQL&gt;&lt;FQL&gt;&lt;Q&gt;EMR^CS_EVENT_TIME_N("ER",3)&lt;/Q&gt;&lt;R&gt;1&lt;/R&gt;&lt;C&gt;1&lt;/C&gt;&lt;D xsi:type="xsd:string"&gt;Unspecified&lt;/D&gt;&lt;/FQL&gt;&lt;FQL&gt;&lt;Q&gt;EMR^CS_EVENT_DESC_N("ER",3)&lt;/Q&gt;&lt;R&gt;1&lt;/R&gt;&lt;C&gt;1&lt;/C&gt;&lt;D xsi:type="xsd:string"&gt;Q4 2026 Earnings Release (Projected)&lt;/D&gt;&lt;/FQL&gt;&lt;FQL&gt;&lt;Q&gt;COR^CS_EVENT_DATEJ_N("ER",3)&lt;/Q&gt;&lt;R&gt;1&lt;/R&gt;&lt;C&gt;1&lt;/C&gt;&lt;D xsi:type="xsd:long"&gt;46337&lt;/D&gt;&lt;/FQL&gt;&lt;FQL&gt;&lt;Q&gt;COR^CS_EVENT_TIME_N("ER",3)&lt;/Q&gt;&lt;R&gt;1&lt;/R&gt;&lt;C&gt;1&lt;/C&gt;&lt;D xsi:type="xsd:string"&gt;Unspecified&lt;/D&gt;&lt;/FQL&gt;&lt;FQL&gt;&lt;Q&gt;COR^CS_EVENT_DESC_N("ER",3)&lt;/Q&gt;&lt;R&gt;1&lt;/R&gt;&lt;C&gt;1&lt;/C&gt;&lt;D xsi:type="xsd:string"&gt;Q4 2026 Earnings Release (Projected)&lt;/D&gt;&lt;/FQL&gt;&lt;FQL&gt;&lt;Q&gt;VTR^CS_EVENT_DATEJ_N("ER",3)&lt;/Q&gt;&lt;R&gt;1&lt;/R&gt;&lt;C&gt;1&lt;/C&gt;&lt;D xsi:type="xsd:long"&gt;46324&lt;/D&gt;&lt;/FQL&gt;&lt;FQL&gt;&lt;Q&gt;VTR^CS_EVENT_TIME_N("ER",3)&lt;/Q&gt;&lt;R&gt;1&lt;/R&gt;&lt;C&gt;1&lt;/C&gt;&lt;D xsi:type="xsd:string"&gt;Unspecified&lt;/D&gt;&lt;/FQL&gt;&lt;FQL&gt;&lt;Q&gt;VTR^CS_EVENT_DESC_N("ER",3)&lt;/Q&gt;&lt;R&gt;1&lt;/R&gt;&lt;C&gt;1&lt;/C&gt;&lt;D xsi:type="xsd:string"&gt;Q3 2026 Earnings Release (Projected)&lt;/D&gt;&lt;/FQL&gt;&lt;FQL&gt;&lt;Q&gt;IDXX^CS_EVENT_DATEJ_N("ER",3)&lt;/Q&gt;&lt;R&gt;1&lt;/R&gt;&lt;C&gt;1&lt;/C&gt;&lt;D xsi:type="xsd:long"&gt;46329&lt;/D&gt;&lt;/FQL&gt;&lt;FQL&gt;&lt;Q&gt;IDXX^CS_EVENT_TIME_N("ER",3)&lt;/Q&gt;&lt;R&gt;1&lt;/R&gt;&lt;C&gt;1&lt;/C&gt;&lt;D xsi:type="xsd:string"&gt;Unspecified&lt;/D&gt;&lt;/FQL&gt;&lt;FQL&gt;&lt;Q&gt;IDXX^CS_EVENT_DESC_N("ER",3)&lt;/Q&gt;&lt;R&gt;1&lt;/R&gt;&lt;C&gt;1&lt;/C&gt;&lt;D xsi:type="xsd:string"&gt;Q3 2026 Earnings Release (Projected)&lt;/D&gt;&lt;/FQL&gt;&lt;FQL&gt;&lt;Q&gt;TPL^CS_EVENT_DATEJ_N("ER",3)&lt;/Q&gt;&lt;R&gt;1&lt;/R&gt;&lt;C&gt;1&lt;/C&gt;&lt;D xsi:type="xsd:long"&gt;46330&lt;/D&gt;&lt;/FQL&gt;&lt;FQL&gt;&lt;Q&gt;TPL^CS_EVENT_TIME_N("ER",3)&lt;/Q&gt;&lt;R&gt;1&lt;/R&gt;&lt;C&gt;1&lt;/C&gt;&lt;D xsi:type="xsd:string"&gt;Unspecified&lt;/D&gt;&lt;/FQL&gt;&lt;FQL&gt;&lt;Q&gt;TPL^CS_EVENT_DESC_N("ER",3)&lt;/Q&gt;&lt;R&gt;1&lt;/R&gt;&lt;C&gt;1&lt;/C&gt;&lt;D xsi:type="xsd:string"&gt;Q3 2026 Earnings Release (Projected)&lt;/D&gt;&lt;/FQL&gt;&lt;FQL&gt;&lt;Q&gt;APA^CS_EVENT_DATEJ_N("ER",3)&lt;/Q&gt;&lt;R&gt;1&lt;/R&gt;&lt;C&gt;1&lt;/C&gt;&lt;D xsi:type="xsd:long"&gt;46330&lt;/D&gt;&lt;/FQL&gt;&lt;FQL&gt;&lt;Q&gt;APA^CS_EVENT_TIME_N("ER",3)&lt;/Q&gt;&lt;R&gt;1&lt;/R&gt;&lt;C&gt;1&lt;/C&gt;&lt;D xsi:type="xsd:string"&gt;Unspecified&lt;/D&gt;&lt;/FQL&gt;&lt;FQL&gt;&lt;Q&gt;APA^CS_EVENT_DESC_N("ER",3)&lt;/Q&gt;&lt;R&gt;1&lt;/R&gt;&lt;C&gt;1&lt;/C&gt;&lt;D xsi:type="xsd:string"&gt;Q3 2026 Earnings Release (Projected)&lt;/D&gt;&lt;/FQL&gt;&lt;FQL&gt;&lt;Q&gt;RSG^CS_EVENT_DATEJ_N("ER",3)&lt;/Q&gt;&lt;R&gt;1&lt;/R&gt;&lt;C&gt;1&lt;/C&gt;&lt;D xsi:type="xsd:long"&gt;46317&lt;/D&gt;&lt;/FQL&gt;&lt;FQL&gt;&lt;Q&gt;RSG^CS_EVENT_TIME_N("ER",3)&lt;/Q&gt;&lt;R&gt;1&lt;/R&gt;&lt;C&gt;1&lt;/C&gt;&lt;D xsi:type="xsd:string"&gt;Unspecified&lt;/D&gt;&lt;/FQL&gt;&lt;FQL&gt;&lt;Q&gt;RSG^CS_EVENT_DESC_N("ER",3)&lt;/Q&gt;&lt;R&gt;1&lt;/R&gt;&lt;C&gt;1&lt;/C&gt;&lt;D xsi:type="xsd:string"&gt;Q3 2026 Earnings Release (Projected)&lt;/D&gt;&lt;/FQL&gt;&lt;FQL&gt;&lt;Q&gt;MET^CS_EVENT_DATEJ_N("ER",3)&lt;/Q&gt;&lt;R&gt;1&lt;/R&gt;&lt;C&gt;1&lt;/C&gt;&lt;D xsi:type="xsd:long"&gt;46330&lt;/D&gt;&lt;/FQL&gt;&lt;FQL&gt;&lt;Q&gt;MET^CS_EVENT_TIME_N("ER",3)&lt;/Q&gt;&lt;R&gt;1&lt;/R&gt;&lt;C&gt;1&lt;/C&gt;&lt;D xsi:type="xsd:string"&gt;Unspecified&lt;/D&gt;&lt;/FQL&gt;&lt;FQL&gt;&lt;Q&gt;MET^CS_EVENT_DESC_N("ER",3)&lt;/Q&gt;&lt;R&gt;1&lt;/R&gt;&lt;C&gt;1&lt;/C&gt;&lt;D xsi:type="xsd:string"&gt;Q3 2026 Earnings Release (Projected)&lt;/D&gt;&lt;/FQL&gt;&lt;FQL&gt;&lt;Q&gt;CVS^CS_EVENT_DATEJ_N("ER",3)&lt;/Q&gt;&lt;R&gt;1&lt;/R&gt;&lt;C&gt;1&lt;/C&gt;&lt;D xsi:type="xsd:long"&gt;46330&lt;/D&gt;&lt;/FQL&gt;&lt;FQL&gt;&lt;Q&gt;CVS^CS_EVENT_TIME_N("ER",3)&lt;/Q&gt;&lt;R&gt;1&lt;/R&gt;&lt;C&gt;1&lt;/C&gt;&lt;D xsi:type="xsd:string"&gt;Unspecified&lt;/D&gt;&lt;/FQL&gt;&lt;FQL&gt;&lt;Q&gt;CVS^CS_EVENT_DESC_N("ER",3)&lt;/Q&gt;&lt;R&gt;1&lt;/R&gt;&lt;C&gt;1&lt;/C&gt;&lt;D xsi:type="xsd:string"&gt;Q3 2026 Earnings Release (Projected)&lt;/D&gt;&lt;/FQL&gt;&lt;FQL&gt;&lt;Q&gt;VRTX^CS_EVENT_DATEJ_N("ER",3)&lt;/Q&gt;&lt;R&gt;1&lt;/R&gt;&lt;C&gt;1&lt;/C&gt;&lt;D xsi:type="xsd:long"&gt;46335&lt;/D&gt;&lt;/FQL&gt;&lt;FQL&gt;&lt;Q&gt;VRTX^CS_EVENT_TIME_N("ER",3)&lt;/Q&gt;&lt;R&gt;1&lt;/R&gt;&lt;C&gt;1&lt;/C&gt;&lt;D xsi:type="xsd:string"&gt;Unspecified&lt;/D&gt;&lt;/FQL&gt;&lt;FQL&gt;&lt;Q&gt;VRTX^CS_EVENT_DESC_N("ER",3)&lt;/Q&gt;&lt;R&gt;1&lt;/R&gt;&lt;C&gt;1&lt;/C&gt;&lt;D xsi:type="xsd:string"&gt;Q3 2026 Earnings Release (Projected)&lt;/D&gt;&lt;/FQL&gt;&lt;FQL&gt;&lt;Q&gt;TECH^CS_EVENT_DATEJ_N("ER",2)&lt;/Q&gt;&lt;R&gt;1&lt;/R&gt;&lt;C&gt;1&lt;/C&gt;&lt;D xsi:type="xsd:long"&gt;46245&lt;/D&gt;&lt;/FQL&gt;&lt;FQL&gt;&lt;Q&gt;TECH^CS_EVENT_TIME_N("ER",2)&lt;/Q&gt;&lt;R&gt;1&lt;/R&gt;&lt;C&gt;1&lt;/C&gt;&lt;D xsi:type="xsd:string"&gt;Unspecified&lt;/D&gt;&lt;/FQL&gt;&lt;FQL&gt;&lt;Q&gt;APO^CS_EVENT_DATEJ_N("ER",2)&lt;/Q&gt;&lt;R&gt;1&lt;/R&gt;&lt;C&gt;1&lt;/C&gt;&lt;D xsi:type="xsd:long"&gt;46233&lt;/D&gt;&lt;/FQL&gt;&lt;FQL&gt;&lt;Q&gt;APO^CS_EVENT_TIME_N("ER",2)&lt;/Q&gt;&lt;R&gt;1&lt;/R&gt;&lt;C&gt;1&lt;/C&gt;&lt;D xsi:type="xsd:string"&gt;Unspecified&lt;/D&gt;&lt;/FQL&gt;&lt;FQL&gt;&lt;Q&gt;PCAR^CS_EVENT_DATEJ_N("ER",3)&lt;/Q&gt;&lt;R&gt;1&lt;/R&gt;&lt;C&gt;1&lt;/C&gt;&lt;D xsi:type="xsd:long"&gt;46322&lt;/D&gt;&lt;/FQL&gt;&lt;FQL&gt;&lt;Q&gt;PCAR^CS_EVENT_TIME_N("ER",3)&lt;/Q&gt;&lt;R&gt;1&lt;/R&gt;&lt;C&gt;1&lt;/C&gt;&lt;D xsi:type="xsd:string"&gt;Unspecified&lt;/D&gt;&lt;/FQL&gt;&lt;FQL&gt;&lt;Q&gt;PCAR^CS_EVENT_DESC_N("ER",3)&lt;/Q&gt;&lt;R&gt;1&lt;/R&gt;&lt;C&gt;1&lt;/C&gt;&lt;D xsi:type="xsd:string"&gt;Q3 2026 Earnings Release (Projected)&lt;/D&gt;&lt;/FQL&gt;&lt;FQL&gt;&lt;Q&gt;SPGI^CS_EVENT_DATEJ_N("ER",3)&lt;/Q&gt;&lt;R&gt;1&lt;/R&gt;&lt;C&gt;1&lt;/C&gt;&lt;D xsi:type="xsd:long"&gt;46317&lt;/D&gt;&lt;/FQL&gt;&lt;FQL&gt;&lt;Q&gt;SPGI^CS_EVENT_TIME_N("ER",3)&lt;/Q&gt;&lt;R&gt;1&lt;/R&gt;&lt;C&gt;1&lt;/C&gt;&lt;D xsi:type="xsd:string"&gt;Unspecified&lt;/D&gt;&lt;/FQL&gt;&lt;FQL&gt;&lt;Q&gt;SPGI^CS_EVENT_DESC_N("ER",3)&lt;/Q&gt;&lt;R&gt;1&lt;/R&gt;&lt;C&gt;1&lt;/C&gt;&lt;D xsi:type="xsd:string"&gt;Q3 2026 Earnings Release (Projected)&lt;/D&gt;&lt;/FQL&gt;&lt;FQL&gt;&lt;Q&gt;SHW^CS_EVENT_DATEJ_N("ER",3)&lt;/Q&gt;&lt;R&gt;1&lt;/R&gt;&lt;C&gt;1&lt;/C&gt;&lt;D xsi:type="xsd:long"&gt;46322&lt;/D&gt;&lt;/FQL&gt;&lt;FQL&gt;&lt;Q&gt;SHW^CS_EVENT_TIME_N("ER",3)&lt;/Q&gt;&lt;R&gt;1&lt;/R&gt;&lt;C&gt;1&lt;/C&gt;&lt;D xsi:type="xsd:string"&gt;Unspecified&lt;/D&gt;&lt;/FQL&gt;&lt;FQL&gt;&lt;Q&gt;SHW^CS_EVENT_DESC_N("ER",3)&lt;/Q&gt;&lt;R&gt;1&lt;/R&gt;&lt;C&gt;1&lt;/C&gt;&lt;D xsi:type="xsd:string"&gt;Q3 2026 Earnings Release (Projected)&lt;/D&gt;&lt;/FQL&gt;&lt;FQL&gt;&lt;Q&gt;ECL^CS_EVENT_DATEJ_N("ER",3)&lt;/Q&gt;&lt;R&gt;1&lt;/R&gt;&lt;C&gt;1&lt;/C&gt;&lt;D xsi:type="xsd:long"&gt;46329&lt;/D&gt;&lt;/FQL&gt;&lt;FQL&gt;&lt;Q&gt;ECL^CS_EVENT_TIME_N("ER",3)&lt;/Q&gt;&lt;R&gt;1&lt;/R&gt;&lt;C&gt;1&lt;/C&gt;&lt;D xsi:type="xsd:string"&gt;Unspecified&lt;/D&gt;&lt;/FQL&gt;&lt;FQL&gt;&lt;Q&gt;ECL^CS_EVENT_DESC_N("ER",3)&lt;/Q&gt;&lt;R&gt;1&lt;/R&gt;&lt;C&gt;1&lt;/C&gt;&lt;D xsi:type="xsd:string"&gt;Q3 2026 Earnings Release (Projected)&lt;/D&gt;&lt;/FQL&gt;&lt;FQL&gt;&lt;Q&gt;EIX^CS_EVENT_DATEJ_N("ER",3)&lt;/Q&gt;&lt;R&gt;1&lt;/R&gt;&lt;C&gt;1&lt;/C&gt;&lt;D xsi:type="xsd:long"&gt;46329&lt;/D&gt;&lt;/FQL&gt;&lt;FQL&gt;&lt;Q&gt;EIX^CS_EVENT_TIME_N("ER",3)&lt;/Q&gt;&lt;R&gt;1&lt;/R&gt;&lt;C&gt;1&lt;/C&gt;&lt;D xsi:type="xsd:string"&gt;Unspecified&lt;/D&gt;&lt;/FQL&gt;&lt;FQL&gt;&lt;Q&gt;EIX^CS_EVENT_DESC_N("ER",3)&lt;/Q&gt;&lt;R&gt;1&lt;/R&gt;&lt;C&gt;1&lt;/C&gt;&lt;D xsi:type="xsd:string"&gt;Q3 2026 Earnings Release (Projected)&lt;/D&gt;&lt;/FQL&gt;&lt;FQL&gt;&lt;Q&gt;UPS^CS_EVENT_DATEJ_N("ER",3)&lt;/Q&gt;&lt;R&gt;1&lt;/R&gt;&lt;C&gt;1&lt;/C&gt;&lt;D xsi:type="xsd:long"&gt;46420&lt;/D&gt;&lt;/FQL&gt;&lt;FQL&gt;&lt;Q&gt;UPS^CS_EVENT_TIME_N("ER",3)&lt;/Q&gt;&lt;R&gt;1&lt;/R&gt;&lt;C&gt;1&lt;/C&gt;&lt;D xsi:type="xsd:string"&gt;Unspecified&lt;/D&gt;&lt;/FQL&gt;&lt;FQL&gt;&lt;Q&gt;UPS^CS_EVENT_DESC_N("ER",3)&lt;/Q&gt;&lt;R&gt;1&lt;/R&gt;&lt;C&gt;1&lt;/C&gt;&lt;D xsi:type="xsd:string"&gt;Q4 2026 Earnings Release (Projected)&lt;/D&gt;&lt;/FQL&gt;&lt;FQL&gt;&lt;Q&gt;ACGL^CS_EVENT_DATEJ_N("ER",3)&lt;/Q&gt;&lt;R&gt;1&lt;/R&gt;&lt;C&gt;1&lt;/C&gt;&lt;D xsi:type="xsd:long"&gt;46328&lt;/D&gt;&lt;/FQL&gt;&lt;FQL&gt;&lt;Q&gt;ACGL^CS_EVENT_TIME_N("ER",3)&lt;/Q&gt;&lt;R&gt;1&lt;/R&gt;&lt;C&gt;1&lt;/C&gt;&lt;D xsi:type="xsd:string"&gt;Unspecified&lt;/D&gt;&lt;/FQL&gt;&lt;FQL&gt;&lt;Q&gt;ACGL^CS_EVENT_DESC_N("ER",3)&lt;/Q&gt;&lt;R&gt;1&lt;/R&gt;&lt;C&gt;1&lt;/C&gt;&lt;D xsi:type="xsd:string"&gt;Q3 2026 Earnings Release (Projected)&lt;/D&gt;&lt;/FQL&gt;&lt;FQL&gt;&lt;Q&gt;KMB^CS_EVENT_DATEJ_N("ER",3)&lt;/Q&gt;&lt;R&gt;1&lt;/R&gt;&lt;C&gt;1&lt;/C&gt;&lt;D xsi:type="xsd:long"&gt;46322&lt;/D&gt;&lt;/FQL&gt;&lt;FQL&gt;&lt;Q&gt;KMB^CS_EVENT_TIME_N("ER",3)&lt;/Q&gt;&lt;R&gt;1&lt;/R&gt;&lt;C&gt;1&lt;/C&gt;&lt;D xsi:type="xsd:string"&gt;Unspecified&lt;/D&gt;&lt;/FQL&gt;&lt;FQL&gt;&lt;Q&gt;KMB^CS_EVENT_DESC_N("ER",3)&lt;/Q&gt;&lt;R&gt;1&lt;/R&gt;&lt;C&gt;1&lt;/C&gt;&lt;D xsi:type="xsd:string"&gt;Q3 2026 Earnings Release (Projected)&lt;/D&gt;&lt;/FQL&gt;&lt;FQL&gt;&lt;Q&gt;PEP^CS_EVENT_DATEJ_N("ER",3)&lt;/Q&gt;&lt;R&gt;1&lt;/R&gt;&lt;C&gt;1&lt;/C&gt;&lt;D xsi:type="xsd:long"&gt;46308&lt;/D&gt;&lt;/FQL&gt;&lt;FQL&gt;&lt;Q&gt;PEP^CS_EVENT_TIME_N("ER",3)&lt;/Q&gt;&lt;R&gt;1&lt;/R&gt;&lt;C&gt;1&lt;/C&gt;&lt;D xsi:type="xsd:string"&gt;Unspecified&lt;/D&gt;&lt;/FQL&gt;&lt;FQL&gt;&lt;Q&gt;PEP^CS_EVENT_DESC_N("ER",3)&lt;/Q&gt;&lt;R&gt;1&lt;/R&gt;&lt;C&gt;1&lt;/C&gt;&lt;D xsi:type="xsd:string"&gt;Q3 2026 Earnings Release (Projected)&lt;/D&gt;&lt;/FQL&gt;&lt;FQL&gt;&lt;Q&gt;HUBB^CS_EVENT_DATEJ_N("ER",3)&lt;/Q&gt;&lt;R&gt;1&lt;/R&gt;&lt;C&gt;1&lt;/C&gt;&lt;D xsi:type="xsd:long"&gt;46329&lt;/D&gt;&lt;/FQL&gt;&lt;FQL&gt;&lt;Q&gt;HUBB^CS_EVENT_TIME_N("ER",3)&lt;/Q&gt;&lt;R&gt;1&lt;/R&gt;&lt;C&gt;1&lt;/C&gt;&lt;D xsi:type="xsd:string"&gt;Unspecified&lt;/D&gt;&lt;/FQL&gt;&lt;FQL&gt;&lt;Q&gt;HUBB^CS_EVENT_DESC_N("ER",3)&lt;/Q&gt;&lt;R&gt;1&lt;/R&gt;&lt;C&gt;1&lt;/C&gt;&lt;D xsi:type="xsd:string"&gt;Q3 2026 Earnings Release (Projected)&lt;/D&gt;&lt;/FQL&gt;&lt;FQL&gt;&lt;Q&gt;ADM^CS_EVENT_DATEJ_N("ER",3)&lt;/Q&gt;&lt;R&gt;1&lt;/R&gt;&lt;C&gt;1&lt;/C&gt;&lt;D xsi:type="xsd:long"&gt;46322&lt;/D&gt;&lt;/FQL&gt;&lt;FQL&gt;&lt;Q&gt;ADM^CS_EVENT_TIME_N("ER",3)&lt;/Q&gt;&lt;R&gt;1&lt;/R&gt;&lt;C&gt;1&lt;/C&gt;&lt;D xsi:type="xsd:string"&gt;Unspecified&lt;/D&gt;&lt;/FQL&gt;&lt;FQL&gt;&lt;Q&gt;ADM^CS_EVENT_DESC_N("ER",3)&lt;/Q&gt;&lt;R&gt;1&lt;/R&gt;&lt;C&gt;1&lt;/C&gt;&lt;D xsi:type="xsd:string"&gt;Q3 2026 Earnings Release (Projected)&lt;/D&gt;&lt;/FQL&gt;&lt;FQL&gt;&lt;Q&gt;BKNG^CS_EVENT_DATEJ_N("ER",3)&lt;/Q&gt;&lt;R&gt;1&lt;/R&gt;&lt;C&gt;1&lt;/C&gt;&lt;D xsi:type="xsd:long"&gt;46330&lt;/D&gt;&lt;/FQL&gt;&lt;FQL&gt;&lt;Q&gt;BKNG^CS_EVENT_TIME_N("ER",3)&lt;/Q&gt;&lt;R&gt;1&lt;/R&gt;&lt;C&gt;1&lt;/C&gt;&lt;D xsi:type="xsd:string"&gt;Unspecified&lt;/D&gt;&lt;/FQL&gt;&lt;FQL&gt;&lt;Q&gt;BKNG^CS_EVENT_DESC_N("ER",3)&lt;/Q&gt;&lt;R&gt;1&lt;/R&gt;&lt;C&gt;1&lt;/C&gt;&lt;D xsi:type="xsd:string"&gt;Q3 2026 Earnings Release (Projected)&lt;/D&gt;&lt;/FQL&gt;&lt;FQL&gt;&lt;Q&gt;MSCI^CS_EVENT_DATEJ_N("ER",3)&lt;/Q&gt;&lt;R&gt;1&lt;/R&gt;&lt;C&gt;1&lt;/C&gt;&lt;D xsi:type="xsd:long"&gt;46329&lt;/D&gt;&lt;/FQL&gt;&lt;FQL&gt;&lt;Q&gt;MSCI^CS_EVENT_TIME_N("ER",3)&lt;/Q&gt;&lt;R&gt;1&lt;/R&gt;&lt;C&gt;1&lt;/C&gt;&lt;D xsi:type="xsd:string"&gt;Unspecified&lt;/D&gt;&lt;/FQL&gt;&lt;FQL&gt;&lt;Q&gt;MSCI^CS_EVENT_DESC_N("ER",3)&lt;/Q&gt;&lt;R&gt;1&lt;/R&gt;&lt;C&gt;1&lt;/C&gt;&lt;D xsi:type="xsd:string"&gt;Q3 2026 Earnings Release (Projected)&lt;/D&gt;&lt;/FQL&gt;&lt;FQL&gt;&lt;Q&gt;GOOGL^CS_EVENT_DATEJ_N("ER",3)&lt;/Q&gt;&lt;R&gt;1&lt;/R&gt;&lt;C&gt;1&lt;/C&gt;&lt;D xsi:type="xsd:long"&gt;46322&lt;/D&gt;&lt;/FQL&gt;&lt;FQL&gt;&lt;Q&gt;GOOGL^CS_EVENT_TIME_N("ER",3)&lt;/Q&gt;&lt;R&gt;1&lt;/R&gt;&lt;C&gt;1&lt;/C&gt;&lt;D xsi:type="xsd:string"&gt;Unspecified&lt;/D&gt;&lt;/FQL&gt;&lt;FQL&gt;&lt;Q&gt;GOOGL^CS_EVENT_DESC_N("ER",3)&lt;/Q&gt;&lt;R&gt;1&lt;/R&gt;&lt;C&gt;1&lt;/C&gt;&lt;D xsi:type="xsd:string"&gt;Q3 2026 Earnings Release (Projected)&lt;/D&gt;&lt;/FQL&gt;&lt;FQL&gt;&lt;Q&gt;GM^CS_EVENT_DATEJ_N("ER",3)&lt;/Q&gt;&lt;R&gt;1&lt;/R&gt;&lt;C&gt;1&lt;/C&gt;&lt;D xsi:type="xsd:long"&gt;46315&lt;/D&gt;&lt;/FQL&gt;&lt;FQL&gt;&lt;Q&gt;GM^CS_EVENT_TIME_N("ER",3)&lt;/Q&gt;&lt;R&gt;1&lt;/R&gt;&lt;C&gt;1&lt;/C&gt;&lt;D xsi:type="xsd:string"&gt;Unspecified&lt;/D&gt;&lt;/FQL&gt;&lt;FQL&gt;&lt;Q&gt;GM^CS_EVENT_DESC_N("ER",3)&lt;/Q&gt;&lt;R&gt;1&lt;/R&gt;&lt;C&gt;1&lt;/C&gt;&lt;D xsi:type="xsd:string"&gt;Q3 2026 Earnings Release&lt;/D&gt;&lt;/FQL&gt;&lt;FQL&gt;&lt;Q&gt;NEE^CS_EVENT_DATEJ_N("ER",3)&lt;/Q&gt;&lt;R&gt;1&lt;/R&gt;&lt;C&gt;1&lt;/C&gt;&lt;D xsi:type="xsd:long"&gt;46317&lt;/D&gt;&lt;/FQL&gt;&lt;FQL&gt;&lt;Q&gt;NEE^CS_EVENT_TIME_N("ER",3)&lt;/Q&gt;&lt;R&gt;1&lt;/R&gt;&lt;C&gt;1&lt;/C&gt;&lt;D xsi:type="xsd:string"&gt;Unspecified&lt;/D&gt;&lt;/FQL&gt;&lt;FQL&gt;&lt;Q&gt;NEE^CS_EVENT_DESC_N("ER",3)&lt;/Q&gt;&lt;R&gt;1&lt;/R&gt;&lt;C&gt;1&lt;/C&gt;&lt;D xsi:type="xsd:string"&gt;Q3 2026 Earnings Release (Projected)&lt;/D&gt;&lt;/FQL&gt;&lt;FQL&gt;&lt;Q&gt;NXPI^CS_EVENT_DATEJ_N("ER",3)&lt;/Q&gt;&lt;R&gt;1&lt;/R&gt;&lt;C&gt;1&lt;/C&gt;&lt;D xsi:type="xsd:long"&gt;46322&lt;/D&gt;&lt;/FQL&gt;&lt;FQL&gt;&lt;Q&gt;NXPI^CS_EVENT_TIME_N("ER",3)&lt;/Q&gt;&lt;R&gt;1&lt;/R&gt;&lt;C&gt;1&lt;/C&gt;&lt;D xsi:type="xsd:string"&gt;4:10 PM&lt;/D&gt;&lt;/FQL&gt;&lt;FQL&gt;&lt;Q&gt;NXPI^CS_EVENT_DESC_N("ER",3)&lt;/Q&gt;&lt;R&gt;1&lt;/R&gt;&lt;C&gt;1&lt;/C&gt;&lt;D xsi:type="xsd:string"&gt;Q3 2026 Earnings Release&lt;/D&gt;&lt;/FQL&gt;&lt;FQL&gt;&lt;Q&gt;MDLZ^CS_EVENT_DATEJ_N("ER",3)&lt;/Q&gt;&lt;R&gt;1&lt;/R&gt;&lt;C&gt;1&lt;/C&gt;&lt;D xsi:type="xsd:long"&gt;46329&lt;/D&gt;&lt;/FQL&gt;&lt;FQL&gt;&lt;Q&gt;MDLZ^CS_EVENT_TIME_N("ER",3)&lt;/Q&gt;&lt;R&gt;1&lt;/R&gt;&lt;C&gt;1&lt;/C&gt;&lt;D xsi:type="xsd:string"&gt;Unspecified&lt;/D&gt;&lt;/FQL&gt;&lt;FQL&gt;&lt;Q&gt;MDLZ^CS_EVENT_DESC_N("ER",3)&lt;/Q&gt;&lt;R&gt;1&lt;/R&gt;&lt;C&gt;1&lt;/C&gt;&lt;D xsi:type="xsd:string"&gt;Q3 2026 Earnings Release (Projected)&lt;/D&gt;&lt;/FQL&gt;&lt;FQL&gt;&lt;Q&gt;TSLA^CS_EVENT_DATEJ_N("ER",3)&lt;/Q&gt;&lt;R&gt;1&lt;/R&gt;&lt;C&gt;1&lt;/C&gt;&lt;D xsi:type="xsd:long"&gt;46323&lt;/D&gt;&lt;/FQL&gt;&lt;FQL&gt;&lt;Q&gt;TSLA^CS_EVENT_TIME_N("ER",3)&lt;/Q&gt;&lt;R&gt;1&lt;/R&gt;&lt;C&gt;1&lt;/C&gt;&lt;D xsi:type="xsd:string"&gt;Unspecified&lt;/D&gt;&lt;/FQL&gt;&lt;FQL&gt;&lt;Q&gt;TSLA^CS_EVENT_DESC_N("ER",3)&lt;/Q&gt;&lt;R&gt;1&lt;/R&gt;&lt;C&gt;1&lt;/C&gt;&lt;D xsi:type="xsd:string"&gt;Q3 2026 Earnings Release (Projected)&lt;/D&gt;&lt;/FQL&gt;&lt;FQL&gt;&lt;Q&gt;GOOG^CS_EVENT_DATEJ_N("ER",3)&lt;/Q&gt;&lt;R&gt;1&lt;/R&gt;&lt;C&gt;1&lt;/C&gt;&lt;D xsi:type="xsd:long"&gt;46322&lt;/D&gt;&lt;/FQL&gt;&lt;FQL&gt;&lt;Q&gt;GOOG^CS_EVENT_TIME_N("ER",3)&lt;/Q&gt;&lt;R&gt;1&lt;/R&gt;&lt;C&gt;1&lt;/C&gt;&lt;D xsi:type="xsd:string"&gt;Unspecified&lt;/D&gt;&lt;/FQL&gt;&lt;FQL&gt;&lt;Q&gt;GOOG^CS_EVENT_DESC_N("ER",3)&lt;/Q&gt;&lt;R&gt;1&lt;/R&gt;&lt;C&gt;1&lt;/C&gt;&lt;D xsi:type="xsd:string"&gt;Q3 2026 Earnings Release (Projected)&lt;/D&gt;&lt;/FQL&gt;&lt;FQL&gt;&lt;Q&gt;HLT^CS_EVENT_DATEJ_N("ER",3)&lt;/Q&gt;&lt;R&gt;1&lt;/R&gt;&lt;C&gt;1&lt;/C&gt;&lt;D xsi:type="xsd:long"&gt;46323&lt;/D&gt;&lt;/FQL&gt;&lt;FQL&gt;&lt;Q&gt;HLT^CS_EVENT_TIME_N("ER",3)&lt;/Q&gt;&lt;R&gt;1&lt;/R&gt;&lt;C&gt;1&lt;/C&gt;&lt;D xsi:type="xsd:string"&gt;Unspecified&lt;/D&gt;&lt;/FQL&gt;&lt;FQL&gt;&lt;Q&gt;HLT^CS_EVENT_DESC_N("ER",3)&lt;/Q&gt;&lt;R&gt;1&lt;/R&gt;&lt;C&gt;1&lt;/C&gt;&lt;D xsi:type="xsd:string"&gt;Q3 2026 Earnings Release (Projected)&lt;/D&gt;&lt;/FQL&gt;&lt;FQL&gt;&lt;Q&gt;IVZ^CS_EVENT_DATEJ_N("ER",3)&lt;/Q&gt;&lt;R&gt;1&lt;/R&gt;&lt;C&gt;1&lt;/C&gt;&lt;D xsi:type="xsd:long"&gt;46322&lt;/D&gt;&lt;/FQL&gt;&lt;FQL&gt;&lt;Q&gt;IVZ^CS_EVENT_TIME_N("ER",3)&lt;/Q&gt;&lt;R&gt;1&lt;/R&gt;&lt;C&gt;1&lt;/C&gt;&lt;D xsi:type="xsd:string"&gt;Unspecified&lt;/D&gt;&lt;/FQL&gt;&lt;FQL&gt;&lt;Q&gt;IVZ^CS_EVENT_DESC_N("ER",3)&lt;/Q&gt;&lt;R&gt;1&lt;/R&gt;&lt;C&gt;1&lt;/C&gt;&lt;D xsi:type="xsd:string"&gt;Q3 2026 Earnings Release (Projected)&lt;/D&gt;&lt;/FQL&gt;&lt;FQL&gt;&lt;Q&gt;EXR^CS_EVENT_DATEJ_N("ER",3)&lt;/Q&gt;&lt;R&gt;1&lt;/R&gt;&lt;C&gt;1&lt;/C&gt;&lt;D xsi:type="xsd:long"&gt;46329&lt;/D&gt;&lt;/FQL&gt;&lt;FQL&gt;&lt;Q&gt;EXR^CS_EVENT_TIME_N("ER",3)&lt;/Q&gt;&lt;R&gt;1&lt;/R&gt;&lt;C&gt;1&lt;/C&gt;&lt;D xsi:type="xsd:string"&gt;Unspecified&lt;/D&gt;&lt;/FQL&gt;&lt;FQL&gt;&lt;Q&gt;EXR^CS_EVENT_DESC_N("ER",3)&lt;/Q&gt;&lt;R&gt;1&lt;/R&gt;&lt;C&gt;1&lt;/C&gt;&lt;D xsi:type="xsd:string"&gt;Q3 2026 Earnings Release (Projected)&lt;/D&gt;&lt;/FQL&gt;&lt;FQL&gt;&lt;Q&gt;TMUS^CS_EVENT_DATEJ_N("ER",3)&lt;/Q&gt;&lt;R&gt;1&lt;/R&gt;&lt;C&gt;1&lt;/C&gt;&lt;D xsi:type="xsd:long"&gt;46317&lt;/D&gt;&lt;/FQL&gt;&lt;FQL&gt;&lt;Q&gt;TMUS^CS_EVENT_TIME_N("ER",3)&lt;/Q&gt;&lt;R&gt;1&lt;/R&gt;&lt;C&gt;1&lt;/C&gt;&lt;D xsi:type="xsd:string"&gt;Unspecified&lt;/D&gt;&lt;/FQL&gt;&lt;FQL&gt;&lt;Q&gt;TMUS^CS_EVENT_DESC_N("ER",3)&lt;/Q&gt;&lt;R&gt;1&lt;/R&gt;&lt;C&gt;1&lt;/C&gt;&lt;D xsi:type="xsd:string"&gt;Q3 2026 Earnings Release (Projected)&lt;/D&gt;&lt;/FQL&gt;&lt;FQL&gt;&lt;Q&gt;UDR^CS_EVENT_DATEJ_N("ER",3)&lt;/Q&gt;&lt;R&gt;1&lt;/R&gt;&lt;C&gt;1&lt;/C&gt;&lt;D xsi:type="xsd:long"&gt;46323&lt;/D&gt;&lt;/FQL&gt;&lt;FQL&gt;&lt;Q&gt;UDR^CS_EVENT_TIME_N("ER",3)&lt;/Q&gt;&lt;R&gt;1&lt;/R&gt;&lt;C&gt;1&lt;/C&gt;&lt;D xsi:type="xsd:string"&gt;Unspecified&lt;/D&gt;&lt;/FQL&gt;&lt;FQL&gt;&lt;Q&gt;UDR^CS_EVENT_DESC_N("ER",3)&lt;/Q&gt;&lt;R&gt;1&lt;/R&gt;&lt;C&gt;1&lt;/C&gt;&lt;D xsi:type="xsd:string"&gt;Q3 2026 Earnings Release (Projected)&lt;/D&gt;&lt;/FQL&gt;&lt;FQL&gt;&lt;Q&gt;V^CS_EVENT_DATEJ_N("ER",3)&lt;/Q&gt;&lt;R&gt;1&lt;/R&gt;&lt;C&gt;1&lt;/C&gt;&lt;D xsi:type="xsd:long"&gt;46329&lt;/D&gt;&lt;/FQL&gt;&lt;FQL&gt;&lt;Q&gt;V^CS_EVENT_TIME_N("ER",3)&lt;/Q&gt;&lt;R&gt;1&lt;/R&gt;&lt;C&gt;1&lt;/C&gt;&lt;D xsi:type="xsd:string"&gt;Unspecified&lt;/D&gt;&lt;/FQL&gt;&lt;FQL&gt;&lt;Q&gt;V^CS_EVENT_DESC_N("ER",3)&lt;/Q&gt;&lt;R&gt;1&lt;/R&gt;&lt;C&gt;1&lt;/C&gt;&lt;D xsi:type="xsd:string"&gt;Q4 2026 Earnings Release (Projected)&lt;/D&gt;&lt;/FQL&gt;&lt;FQL&gt;&lt;Q&gt;PNR^CS_EVENT_DATEJ_N("ER",3)&lt;/Q&gt;&lt;R&gt;1&lt;/R&gt;&lt;C&gt;1&lt;/C&gt;&lt;D xsi:type="xsd:long"&gt;46322&lt;/D&gt;&lt;/FQL&gt;&lt;FQL&gt;&lt;Q&gt;PNR^CS_EVENT_TIME_N("ER",3)&lt;/Q&gt;&lt;R&gt;1&lt;/R&gt;&lt;C&gt;1&lt;/C&gt;&lt;D xsi:type="xsd:string"&gt;Unspecified&lt;/D&gt;&lt;/FQL&gt;&lt;FQL&gt;&lt;Q&gt;PNR^CS_EVENT_DESC_N("ER",3)&lt;/Q&gt;&lt;R&gt;1&lt;/R&gt;&lt;C&gt;1&lt;/C&gt;&lt;D xsi:type="xsd:string"&gt;Q3 2026 Earnings Release (Projected)&lt;/D&gt;&lt;/FQL&gt;&lt;FQL&gt;&lt;Q&gt;CNC^CS_EVENT_TIME_N("ER",3)&lt;/Q&gt;&lt;R&gt;1&lt;/R&gt;&lt;C&gt;1&lt;/C&gt;&lt;D xsi:type="xsd:string"&gt;6:00 AM&lt;/D&gt;&lt;/FQL&gt;&lt;FQL&gt;&lt;Q&gt;WM^CS_EVENT_TIME_N("ER",3)&lt;/Q&gt;&lt;R&gt;1&lt;/R&gt;&lt;C&gt;1&lt;/C&gt;&lt;D xsi:type="xsd:string"&gt;Unspecified&lt;/D&gt;&lt;/FQL&gt;&lt;FQL&gt;&lt;Q&gt;CI^CS_EVENT_TIME_N("ER",2)&lt;/Q&gt;&lt;R&gt;1&lt;/R&gt;&lt;C&gt;1&lt;/C&gt;&lt;D xsi:type="xsd:string"&gt;Before Market&lt;/D&gt;&lt;/FQL&gt;&lt;FQL&gt;&lt;Q&gt;CI^CS_EVENT_DESC_N("ER",2)&lt;/Q&gt;&lt;R&gt;1&lt;/R&gt;&lt;C&gt;1&lt;/C&gt;&lt;D xsi:type="xsd:string"&gt;Q2 2026 Earnings Release&lt;/D&gt;&lt;/FQL&gt;&lt;FQL&gt;&lt;Q&gt;ADBE^CS_EVENT_DESC_N("ER",2)&lt;/Q&gt;&lt;R&gt;1&lt;/R&gt;&lt;C&gt;1&lt;/C&gt;&lt;D xsi:type="xsd:string"&gt;Q3 2026 Earnings Release (Projected)&lt;/D&gt;&lt;/FQL&gt;&lt;FQL&gt;&lt;Q&gt;KR^CS_EVENT_DESC_N("ER",2)&lt;/Q&gt;&lt;R&gt;1&lt;/R&gt;&lt;C&gt;1&lt;/C&gt;&lt;D xsi:type="xsd:string"&gt;Q2 2026 Earnings Release (Projected)&lt;/D&gt;&lt;/FQL&gt;&lt;FQL&gt;&lt;Q&gt;BK^CS_EVENT_DATEJ_N("ER",3)&lt;/Q&gt;&lt;R&gt;1&lt;/R&gt;&lt;C&gt;1&lt;/C&gt;&lt;D xsi:type="xsd:long"&gt;46310&lt;/D&gt;&lt;/FQL&gt;&lt;FQL&gt;&lt;Q&gt;BK^CS_EVENT_TIME_N("ER",3)&lt;/Q&gt;&lt;R&gt;1&lt;/R&gt;&lt;C&gt;1&lt;/C&gt;&lt;D xsi:type="xsd:string"&gt;6:30 AM&lt;/D&gt;&lt;/FQL&gt;&lt;FQL&gt;&lt;Q&gt;BK^CS_EVENT_DESC_N("ER",3)&lt;/Q&gt;&lt;R&gt;1&lt;/R&gt;&lt;C&gt;1&lt;/C&gt;&lt;D xsi:type="xsd:string"&gt;Q3 2026 Earnings Release&lt;/D&gt;&lt;/FQL&gt;&lt;FQL&gt;&lt;Q&gt;TRV^CS_EVENT_DATEJ_N("ER",3)&lt;/Q&gt;&lt;R&gt;1&lt;/R&gt;&lt;C&gt;1&lt;/C&gt;&lt;D xsi:type="xsd:long"&gt;46316&lt;/D&gt;&lt;/FQL&gt;&lt;FQL&gt;&lt;Q&gt;TRV^CS_EVENT_TIME_N("ER",3)&lt;/Q&gt;&lt;R&gt;1&lt;/R&gt;&lt;C&gt;1&lt;/C&gt;&lt;D xsi:type="xsd:string"&gt;Unspecified&lt;/D&gt;&lt;/FQL&gt;&lt;FQL&gt;&lt;Q&gt;TRV^CS_EVENT_DESC_N("ER",3)&lt;/Q&gt;&lt;R&gt;1&lt;/R&gt;&lt;C&gt;1&lt;/C&gt;&lt;D xsi:type="xsd:string"&gt;Q3 2026 Earnings Release (Projected)&lt;/D&gt;&lt;/FQL&gt;&lt;FQL&gt;&lt;Q&gt;BX^CS_EVENT_DATEJ_N("ER",3)&lt;/Q&gt;&lt;R&gt;1&lt;/R&gt;&lt;C&gt;1&lt;/C&gt;&lt;D xsi:type="xsd:long"&gt;46310&lt;/D&gt;&lt;/FQL&gt;&lt;FQL&gt;&lt;Q&gt;BX^CS_EVENT_TIME_N("ER",3)&lt;/Q&gt;&lt;R&gt;1&lt;/R&gt;&lt;C&gt;1&lt;/C&gt;&lt;D xsi:type="xsd:string"&gt;Unspecified&lt;/D&gt;&lt;/FQL&gt;&lt;FQL&gt;&lt;Q&gt;BX^CS_EVENT_DESC_N("ER",3)&lt;/Q&gt;&lt;R&gt;1&lt;/R&gt;&lt;C&gt;1&lt;/C&gt;&lt;D xsi:type="xsd:string"&gt;Q3 2026 Earnings Release (Projected)&lt;/D&gt;&lt;/FQL&gt;&lt;FQL&gt;&lt;Q&gt;CFG^CS_EVENT_DATEJ_N("ER",3)&lt;/Q&gt;&lt;R&gt;1&lt;/R&gt;&lt;C&gt;1&lt;/C&gt;&lt;D xsi:type="xsd:long"&gt;46311&lt;/D&gt;&lt;/FQL&gt;&lt;FQL&gt;&lt;Q&gt;CFG^CS_EVENT_TIME_N("ER",3)&lt;/Q&gt;&lt;R&gt;1&lt;/R&gt;&lt;C&gt;1&lt;/C&gt;&lt;D xsi:type="xsd:string"&gt;6:20 AM&lt;/D&gt;&lt;/FQL&gt;&lt;FQL&gt;&lt;Q&gt;CFG^CS_EVENT_DESC_N("ER",3)&lt;/Q&gt;&lt;R&gt;1&lt;/R&gt;&lt;C&gt;1&lt;/C&gt;&lt;D xsi:type="xsd:string"&gt;Q3 2026 Earnings Release&lt;/D&gt;&lt;/FQL&gt;&lt;FQL&gt;&lt;Q&gt;FITB^CS_EVENT_DATEJ_N("ER",3)&lt;/Q&gt;&lt;R&gt;1&lt;/R&gt;&lt;C&gt;1&lt;/C&gt;&lt;D xsi:type="xsd:long"&gt;46314&lt;/D&gt;&lt;/FQL&gt;&lt;FQL&gt;&lt;Q&gt;FITB^CS_EVENT_TIME_N("ER",3)&lt;/Q&gt;&lt;R&gt;1&lt;/R&gt;&lt;C&gt;1&lt;/C&gt;&lt;D xsi:type="xsd:string"&gt;6:30 AM&lt;/D&gt;&lt;/FQL&gt;&lt;FQL&gt;&lt;Q&gt;FITB^CS_EVENT_DESC_N("ER",3)&lt;/Q&gt;&lt;R&gt;1&lt;/R&gt;&lt;C&gt;1&lt;/C&gt;&lt;D xsi:type="xsd:string"&gt;Q3 2026 Earnings Release&lt;/D&gt;&lt;/FQL&gt;&lt;FQL&gt;&lt;Q&gt;TFC^CS_EVENT_DATEJ_N("ER",3)&lt;/Q&gt;&lt;R&gt;1&lt;/R&gt;&lt;C&gt;1&lt;/C&gt;&lt;D xsi:type="xsd:long"&gt;46220&lt;/D&gt;&lt;/FQL&gt;&lt;FQL&gt;&lt;Q&gt;TFC^CS_EVENT_TIME_N("ER",3)&lt;/Q&gt;&lt;R&gt;1&lt;/R&gt;&lt;C&gt;1&lt;/C&gt;&lt;D xsi:type="xsd:string"&gt;Before Market&lt;/D&gt;&lt;/FQL&gt;&lt;FQL&gt;&lt;Q&gt;TFC^CS_EVENT_DESC_N("ER",3)&lt;/Q&gt;&lt;R&gt;1&lt;/R&gt;&lt;C&gt;1&lt;/C&gt;&lt;D xsi:type="xsd:string"&gt;Q2 2026 Earnings Release&lt;/D&gt;&lt;/FQL&gt;&lt;FQL&gt;&lt;Q&gt;STT^CS_EVENT_DATEJ_N("ER",3)&lt;/Q&gt;&lt;R&gt;1&lt;/R&gt;&lt;C&gt;1&lt;/C&gt;&lt;D xsi:type="xsd:long"&gt;46315&lt;/D&gt;&lt;/FQL&gt;&lt;FQL&gt;&lt;Q&gt;STT^CS_EVENT_TIME_N("ER",3)&lt;/Q&gt;&lt;R&gt;1&lt;/R&gt;&lt;C&gt;1&lt;/C&gt;&lt;D xsi:type="xsd:string"&gt;Unspecified&lt;/D&gt;&lt;/FQL&gt;&lt;FQL&gt;&lt;Q&gt;STT^CS_EVENT_DESC_N("ER",3)&lt;/Q&gt;&lt;R&gt;1&lt;/R&gt;&lt;C&gt;1&lt;/C&gt;&lt;D xsi:type="xsd:string"&gt;Q3 2026 Earnings Release (Projected)&lt;/D&gt;&lt;/FQL&gt;&lt;FQL&gt;&lt;Q&gt;RF^CS_EVENT_DATEJ_N("ER",3)&lt;/Q&gt;&lt;R&gt;1&lt;/R&gt;&lt;C&gt;1&lt;/C&gt;&lt;D xsi:type="xsd:long"&gt;46311&lt;/D&gt;&lt;/FQL&gt;&lt;FQL&gt;&lt;Q&gt;RF^CS_EVENT_TIME_N("ER",3)&lt;/Q&gt;&lt;R&gt;1&lt;/R&gt;&lt;C&gt;1&lt;/C&gt;&lt;D xsi:type="xsd:string"&gt;6:00 AM&lt;/D&gt;&lt;/FQL&gt;&lt;FQL&gt;&lt;Q&gt;RF^CS_EVENT_DESC_N("ER",3)&lt;/Q&gt;&lt;R&gt;1&lt;/R&gt;&lt;C&gt;1&lt;/C&gt;&lt;D xsi:type="xsd:string"&gt;Q3 2026 Earnings Release&lt;/D&gt;&lt;/FQL&gt;&lt;FQL&gt;&lt;Q&gt;STLD^CS_EVENT_DATEJ_N("ER",3)&lt;/Q&gt;&lt;R&gt;1&lt;/R&gt;&lt;C&gt;1&lt;/C&gt;&lt;D xsi:type="xsd:long"&gt;46316&lt;/D&gt;&lt;/FQL&gt;&lt;FQL&gt;&lt;Q&gt;STLD^CS_EVENT_TIME_N("ER",3)&lt;/Q&gt;&lt;R&gt;1&lt;/R&gt;&lt;C&gt;1&lt;/C&gt;&lt;D xsi:type="xsd:string"&gt;Unspecified&lt;/D&gt;&lt;/FQL&gt;&lt;FQL&gt;&lt;Q&gt;STLD^CS_EVENT_DESC_N("ER",3)&lt;/Q&gt;&lt;R&gt;1&lt;/R&gt;&lt;C&gt;1&lt;/C&gt;&lt;D xsi:type="xsd:string"&gt;Q3 2026 Earnings Release (Projected)&lt;/D&gt;&lt;/FQL&gt;&lt;FQL&gt;&lt;Q&gt;SCHW^CS_EVENT_DATEJ_N("ER",3)&lt;/Q&gt;&lt;R&gt;1&lt;/R&gt;&lt;C&gt;1&lt;/C&gt;&lt;D xsi:type="xsd:long"&gt;46310&lt;/D&gt;&lt;/FQL&gt;&lt;FQL&gt;&lt;Q&gt;SCHW^CS_EVENT_TIME_N("ER",3)&lt;/Q&gt;&lt;R&gt;1&lt;/R&gt;&lt;C&gt;1&lt;/C&gt;&lt;D xsi:type="xsd:string"&gt;Unspecified&lt;/D&gt;&lt;/FQL&gt;&lt;FQL&gt;&lt;Q&gt;SCHW^CS_EVENT_DESC_N("ER",3)&lt;/Q&gt;&lt;R&gt;1&lt;/R&gt;&lt;C&gt;1&lt;/C&gt;&lt;D xsi:type="xsd:string"&gt;Q3 2026 Earnings Release (Projected)&lt;/D&gt;&lt;/FQL&gt;&lt;FQL&gt;&lt;Q&gt;JBHT^CS_EVENT_DATEJ_N("ER",3)&lt;/Q&gt;&lt;R&gt;1&lt;/R&gt;&lt;C&gt;1&lt;/C&gt;&lt;D xsi:type="xsd:long"&gt;46315&lt;/D&gt;&lt;/FQL&gt;&lt;FQL&gt;&lt;Q&gt;JBHT^CS_EVENT_TIME_N("ER",3)&lt;/Q&gt;&lt;R&gt;1&lt;/R&gt;&lt;C&gt;1&lt;/C&gt;&lt;D xsi:type="xsd:string"&gt;Unspecified&lt;/D&gt;&lt;/FQL&gt;&lt;FQL&gt;&lt;Q&gt;JBHT^CS_EVENT_DESC_N("ER",3)&lt;/Q&gt;&lt;R&gt;1&lt;/R&gt;&lt;C&gt;1&lt;/C&gt;&lt;D xsi:type="xsd:string"&gt;Q3 2026 Earnings Release (Projected)&lt;/D&gt;&lt;/FQL&gt;&lt;FQL&gt;&lt;Q&gt;RTX^CS_EVENT_DATEJ_N("ER",3)&lt;/Q&gt;&lt;R&gt;1&lt;/R&gt;&lt;C&gt;1&lt;/C&gt;&lt;D xsi:type="xsd:long"&gt;46322&lt;/D&gt;&lt;/FQL&gt;&lt;FQL&gt;&lt;Q&gt;RTX^CS_EVENT_TIME_N("ER",3)&lt;/Q&gt;&lt;R&gt;1&lt;/R&gt;&lt;C&gt;1&lt;/C&gt;&lt;D xsi:type="xsd:string"&gt;Unspecified&lt;/D&gt;&lt;/FQL&gt;&lt;FQL&gt;&lt;Q&gt;RTX^CS_EVENT_DESC_N("ER",3)&lt;/Q&gt;&lt;R&gt;1&lt;/R&gt;&lt;C&gt;1&lt;/C&gt;&lt;D xsi:type="xsd:string"&gt;Q3 2026 Earnings Release (Projected)&lt;/D&gt;&lt;/FQL&gt;&lt;FQL&gt;&lt;Q&gt;LMT^CS_EVENT_DATEJ_N("ER",3)&lt;/Q&gt;&lt;R&gt;1&lt;/R&gt;&lt;C&gt;1&lt;/C&gt;&lt;D xsi:type="xsd:long"&gt;46322&lt;/D&gt;&lt;/FQL&gt;&lt;FQL&gt;&lt;Q&gt;LMT^CS_EVENT_TIME_N("ER",3)&lt;/Q&gt;&lt;R&gt;1&lt;/R&gt;&lt;C&gt;1&lt;/C&gt;&lt;D xsi:type="xsd:string"&gt;Unspecified&lt;/D&gt;&lt;/FQL&gt;&lt;FQL&gt;&lt;Q&gt;LMT^CS_EVENT_DESC_N("ER",3)&lt;/Q&gt;&lt;R&gt;1&lt;/R&gt;&lt;C&gt;1&lt;/C&gt;&lt;D xsi:type="xsd:string"&gt;Q3 2026 Earnings Release (Projected)&lt;/D&gt;&lt;/FQL&gt;&lt;FQL&gt;&lt;Q&gt;DHR^CS_EVENT_DATEJ_N("ER",3)&lt;/Q&gt;&lt;R&gt;1&lt;/R&gt;&lt;C&gt;1&lt;/C&gt;&lt;D xsi:type="xsd:long"&gt;46322&lt;/D&gt;&lt;/FQL&gt;&lt;FQL&gt;&lt;Q&gt;DHR^CS_EVENT_TIME_N("ER",3)&lt;/Q&gt;&lt;R&gt;1&lt;/R&gt;&lt;C&gt;1&lt;/C&gt;&lt;D xsi:type="xsd:string"&gt;Unspecified&lt;/D&gt;&lt;/FQL&gt;&lt;FQL&gt;&lt;Q&gt;DHR^CS_EVENT_DESC_N("ER",3)&lt;/Q&gt;&lt;R&gt;1&lt;/R&gt;&lt;C&gt;1&lt;/C&gt;&lt;D xsi:type="xsd:string"&gt;Q3 2026 Earnings Release (Projected)&lt;/D&gt;&lt;/FQL&gt;&lt;FQL&gt;&lt;Q&gt;UNH^CS_EVENT_DATEJ_N("ER",3)&lt;/Q&gt;&lt;R&gt;1&lt;/R&gt;&lt;C&gt;1&lt;/C&gt;&lt;D xsi:type="xsd:long"&gt;46304&lt;/D&gt;&lt;/FQL&gt;&lt;FQL&gt;&lt;Q&gt;UNH^CS_EVENT_TIME_N("ER",3)&lt;/Q&gt;&lt;R&gt;1&lt;/R&gt;&lt;C&gt;1&lt;/C&gt;&lt;D xsi:type="xsd:string"&gt;Unspecified&lt;/D&gt;&lt;/FQL&gt;&lt;FQL&gt;&lt;Q&gt;UNH^CS_EVENT_DESC_N("ER",3)&lt;/Q&gt;&lt;R&gt;1&lt;/R&gt;&lt;C&gt;1&lt;/C&gt;&lt;D xsi:type="xsd:string"&gt;Q3 2026 Earnings Release (Projected)&lt;/D&gt;&lt;/FQL&gt;&lt;FQL&gt;&lt;Q&gt;HAL^CS_EVENT_DATEJ_N("ER",3)&lt;/Q&gt;&lt;R&gt;1&lt;/R&gt;&lt;C&gt;1&lt;/C&gt;&lt;D xsi:type="xsd:long"&gt;46322&lt;/D&gt;&lt;/FQL&gt;&lt;FQL&gt;&lt;Q&gt;HAL^CS_EVENT_TIME_N("ER",3)&lt;/Q&gt;&lt;R&gt;1&lt;/R&gt;&lt;C&gt;1&lt;/C&gt;&lt;D xsi:type="xsd:string"&gt;Unspecified&lt;/D&gt;&lt;/FQL&gt;&lt;FQL&gt;&lt;Q&gt;HAL^CS_EVENT_DESC_N("ER",3)&lt;/Q&gt;&lt;R&gt;1&lt;/R&gt;&lt;C&gt;1&lt;/C&gt;&lt;D xsi:type="xsd:string"&gt;Q3 2026 Earnings Release (Projected)&lt;/D&gt;&lt;/FQL&gt;&lt;FQL&gt;&lt;Q&gt;WRB^CS_EVENT_DATEJ_N("ER",3)&lt;/Q&gt;&lt;R&gt;1&lt;/R&gt;&lt;C&gt;1&lt;/C&gt;&lt;D xsi:type="xsd:long"&gt;46321&lt;/D&gt;&lt;/FQL&gt;&lt;FQL&gt;&lt;Q&gt;WRB^CS_EVENT_TIME_N("ER",3)&lt;/Q&gt;&lt;R&gt;1&lt;/R&gt;&lt;C&gt;1&lt;/C&gt;&lt;D xsi:type="xsd:string"&gt;Unspecified&lt;/D&gt;&lt;/FQL&gt;&lt;FQL&gt;&lt;Q&gt;WRB^CS_EVENT_DESC_N("ER",3)&lt;/Q&gt;&lt;R&gt;1&lt;/R&gt;&lt;C&gt;1&lt;/C&gt;&lt;D xsi:type="xsd:string"&gt;Q3 2026 Earnings Release (Projected)&lt;/D&gt;&lt;/FQL&gt;&lt;FQL&gt;&lt;Q&gt;COF^CS_EVENT_DATEJ_N("ER",3)&lt;/Q&gt;&lt;R&gt;1&lt;/R&gt;&lt;C&gt;1&lt;/C&gt;&lt;D xsi:type="xsd:long"&gt;46317&lt;/D&gt;&lt;/FQL&gt;&lt;FQL&gt;&lt;Q&gt;COF^CS_EVENT_TIME_N("ER",3)&lt;/Q&gt;&lt;R&gt;1&lt;/R&gt;&lt;C&gt;1&lt;/C&gt;&lt;D xsi:type="xsd:string"&gt;Unspecified&lt;/D&gt;&lt;/FQL&gt;&lt;FQL&gt;&lt;Q&gt;COF^CS_EVENT_DESC_N("ER",3)&lt;/Q&gt;&lt;R&gt;1&lt;/R&gt;&lt;C&gt;1&lt;/C&gt;&lt;D xsi:type="xsd:string"&gt;Q3 2026 Earnings Release (Projected)&lt;/D&gt;&lt;/FQL&gt;&lt;FQL&gt;&lt;Q&gt;TSCO^CS_EVENT_DATEJ_N("ER",3)&lt;/Q&gt;&lt;R&gt;1&lt;/R&gt;&lt;C&gt;1&lt;/C&gt;&lt;D xsi:type="xsd:long"&gt;46317&lt;/D&gt;&lt;/FQL&gt;&lt;FQL&gt;&lt;Q&gt;TSCO^CS_EVENT_TIME_N("ER",3)&lt;/Q&gt;&lt;R&gt;1&lt;/R&gt;&lt;C&gt;1&lt;/C&gt;&lt;D xsi:type="xsd:string"&gt;Unspecified&lt;/D&gt;&lt;/FQL&gt;&lt;FQL&gt;&lt;Q&gt;TSCO^CS_EVENT_DESC_N("ER",3)&lt;/Q&gt;&lt;R&gt;1&lt;/R&gt;&lt;C&gt;1&lt;/C&gt;&lt;D xsi:type="xsd:string"&gt;Q3 2026 Earnings Release (Projected)&lt;/D&gt;&lt;/FQL&gt;&lt;FQL&gt;&lt;Q&gt;GE^CS_EVENT_DATEJ_N("ER",3)&lt;/Q&gt;&lt;R&gt;1&lt;/R&gt;&lt;C&gt;1&lt;/C&gt;&lt;D xsi:type="xsd:long"&gt;46322&lt;/D&gt;&lt;/FQL&gt;&lt;FQL&gt;&lt;Q&gt;GE^CS_EVENT_TIME_N("ER",3)&lt;/Q&gt;&lt;R&gt;1&lt;/R&gt;&lt;C&gt;1&lt;/C&gt;&lt;D xsi:type="xsd:string"&gt;Unspecified&lt;/D&gt;&lt;/FQL&gt;&lt;FQL&gt;&lt;Q&gt;GE^CS_EVENT_DESC_N("ER",3)&lt;/Q&gt;&lt;R&gt;1&lt;/R&gt;&lt;C&gt;1&lt;/C&gt;&lt;D xsi:type="xsd:string"&gt;Q3 2026 Earnings Release (Projected)&lt;/D&gt;&lt;/FQL&gt;&lt;FQL&gt;&lt;Q&gt;GPC^CS_EVENT_DATEJ_N("ER",3)&lt;/Q&gt;&lt;R&gt;1&lt;/R&gt;&lt;C&gt;1&lt;/C&gt;&lt;D xsi:type="xsd:long"&gt;46310&lt;/D&gt;&lt;/FQL&gt;&lt;FQL&gt;&lt;Q&gt;GPC^CS_EVENT_TIME_N("ER",3)&lt;/Q&gt;&lt;R&gt;1&lt;/R&gt;&lt;C&gt;1&lt;/C&gt;&lt;D xsi:type="xsd:string"&gt;Unspecified&lt;/D&gt;&lt;/FQL&gt;&lt;FQL&gt;&lt;Q&gt;GPC^CS_EVENT_DESC_N("ER",3)&lt;/Q&gt;&lt;R&gt;1&lt;/R&gt;&lt;C&gt;1&lt;/C&gt;&lt;D xsi:type="xsd:string"&gt;Q3 2026 Earnings Release (Projected)&lt;/D&gt;&lt;/FQL&gt;&lt;FQL&gt;&lt;Q&gt;NOC^CS_EVENT_DATEJ_N("ER",3)&lt;/Q&gt;&lt;R&gt;1&lt;/R&gt;&lt;C&gt;1&lt;/C&gt;&lt;D xsi:type="xsd:long"&gt;46317&lt;/D&gt;&lt;/FQL&gt;&lt;FQL&gt;&lt;Q&gt;NOC^CS_EVENT_TIME_N("ER",3)&lt;/Q&gt;&lt;R&gt;1&lt;/R&gt;&lt;C&gt;1&lt;/C&gt;&lt;D xsi:type="xsd:string"&gt;Unspecified&lt;/D&gt;&lt;/FQL&gt;&lt;FQL&gt;&lt;Q&gt;NOC^CS_EVENT_DESC_N("ER",3)&lt;/Q&gt;&lt;R&gt;1&lt;/R&gt;&lt;C&gt;1&lt;/C&gt;&lt;D xsi:type="xsd:string"&gt;Q3 2026 Earnings Release (Projected)&lt;/D&gt;&lt;/FQL&gt;&lt;FQL&gt;&lt;Q&gt;DGX^CS_EVENT_DATEJ_N("ER",3)&lt;/Q&gt;&lt;R&gt;1&lt;/R&gt;&lt;C&gt;1&lt;/C&gt;&lt;D xsi:type="xsd:long"&gt;46322&lt;/D&gt;&lt;/FQL&gt;&lt;FQL&gt;&lt;Q&gt;DGX^CS_EVENT_TIME_N("ER",3)&lt;/Q&gt;&lt;R&gt;1&lt;/R&gt;&lt;C&gt;1&lt;/C&gt;&lt;D xsi:type="xsd:string"&gt;Unspecified&lt;/D&gt;&lt;/FQL&gt;&lt;FQL&gt;&lt;Q&gt;DGX^CS_EVENT_DESC_N("ER",3)&lt;/Q&gt;&lt;R&gt;1&lt;/R&gt;&lt;C&gt;1&lt;/C&gt;&lt;D xsi:type="xsd:string"&gt;Q3 2026 Earnings Release (Projected)&lt;/D&gt;&lt;/FQL&gt;&lt;FQL&gt;&lt;Q&gt;DHI^CS_EVENT_DATEJ_N("ER",3)&lt;/Q&gt;&lt;R&gt;1&lt;/R&gt;&lt;C&gt;1&lt;/C&gt;&lt;D xsi:type="xsd:long"&gt;46324&lt;/D&gt;&lt;/FQL&gt;&lt;FQL&gt;&lt;Q&gt;DHI^CS_EVENT_TIME_N("ER",3)&lt;/Q&gt;&lt;R&gt;1&lt;/R&gt;&lt;C&gt;1&lt;/C&gt;&lt;D xsi:type="xsd:string"&gt;Before Market&lt;/D&gt;&lt;/FQL&gt;&lt;FQL&gt;&lt;Q&gt;DHI^CS_EVENT_DESC_N("ER",3)&lt;/Q&gt;&lt;R&gt;1&lt;/R&gt;&lt;C&gt;1&lt;/C&gt;&lt;D xsi:type="xsd:string"&gt;Q4 2026 Earnings Release&lt;/D&gt;&lt;/FQL&gt;&lt;FQL&gt;&lt;Q&gt;OMC^CS_EVENT_DATEJ_N("ER",3)&lt;/Q&gt;&lt;R&gt;1&lt;/R&gt;&lt;C&gt;1&lt;/C&gt;&lt;D xsi:type="xsd:long"&gt;46315&lt;/D&gt;&lt;/FQL&gt;&lt;FQL&gt;&lt;Q&gt;OMC^CS_EVENT_TIME_N("ER",3)&lt;/Q&gt;&lt;R&gt;1&lt;/R&gt;&lt;C&gt;1&lt;/C&gt;&lt;D xsi:type="xsd:string"&gt;Unspecified&lt;/D&gt;&lt;/FQL&gt;&lt;FQL&gt;&lt;Q&gt;OMC^CS_EVENT_DESC_N("ER",3)&lt;/Q&gt;&lt;R&gt;1&lt;/R&gt;&lt;C&gt;1&lt;/C&gt;&lt;D xsi:type="xsd:string"&gt;Q3 2026 Earnings Release (Projected)&lt;/D&gt;&lt;/FQL&gt;&lt;FQL&gt;&lt;Q&gt;ISRG^CS_EVENT_DATEJ_N("ER",3)&lt;/Q&gt;&lt;R&gt;1&lt;/R&gt;&lt;C&gt;1&lt;/C&gt;&lt;D xsi:type="xsd:long"&gt;46315&lt;/D&gt;&lt;/FQL&gt;&lt;FQL&gt;&lt;Q&gt;ISRG^CS_EVENT_TIME_N("ER",3)&lt;/Q&gt;&lt;R&gt;1&lt;/R&gt;&lt;C&gt;1&lt;/C&gt;&lt;D xsi:type="xsd:string"&gt;Unspecified&lt;/D&gt;&lt;/FQL&gt;&lt;FQL&gt;&lt;Q&gt;ISRG^CS_EVENT_DESC_N("ER",3)&lt;/Q&gt;&lt;R&gt;1&lt;/R&gt;&lt;C&gt;1&lt;/C&gt;&lt;D xsi:type="xsd:string"&gt;Q3 2026 Earnings Release (Projected)&lt;/D&gt;&lt;/FQL&gt;&lt;FQL&gt;&lt;Q&gt;NTRS^CS_EVENT_DATEJ_N("ER",3)&lt;/Q&gt;&lt;R&gt;1&lt;/R&gt;&lt;C&gt;1&lt;/C&gt;&lt;D xsi:type="xsd:long"&gt;46316&lt;/D&gt;&lt;/FQL&gt;&lt;FQL&gt;&lt;Q&gt;NTRS^CS_EVENT_TIME_N("ER",3)&lt;/Q&gt;&lt;R&gt;1&lt;/R&gt;&lt;C&gt;1&lt;/C&gt;&lt;D xsi:type="xsd:string"&gt;Before Market&lt;/D&gt;&lt;/FQL&gt;&lt;FQL&gt;&lt;Q&gt;NTRS^CS_EVENT_DESC_N("ER",3)&lt;/Q&gt;&lt;R&gt;1&lt;/R&gt;&lt;C&gt;1&lt;/C&gt;&lt;D xsi:type="xsd:string"&gt;Q3 2026 Earnings Release&lt;/D&gt;&lt;/FQL&gt;&lt;FQL&gt;&lt;Q&gt;UAL^CS_EVENT_DATEJ_N("ER",3)&lt;/Q&gt;&lt;R&gt;1&lt;/R&gt;&lt;C&gt;1&lt;/C&gt;&lt;D xsi:type="xsd:long"&gt;46315&lt;/D&gt;&lt;/FQL&gt;&lt;FQL&gt;&lt;Q&gt;UAL^CS_EVENT_TIME_N("ER",3)&lt;/Q&gt;&lt;R&gt;1&lt;/R&gt;&lt;C&gt;1&lt;/C&gt;&lt;D xsi:type="xsd:string"&gt;Unspecified&lt;/D&gt;&lt;/FQL&gt;&lt;FQL&gt;&lt;Q&gt;UAL^CS_EVENT_DESC_N("ER",3)&lt;/Q&gt;&lt;R&gt;1&lt;/R&gt;&lt;C&gt;1&lt;/C&gt;&lt;D xsi:type="xsd:string"&gt;Q3 2026 Earnings Release (Projected)&lt;/D&gt;&lt;/FQL&gt;&lt;FQL&gt;&lt;Q&gt;IBKR^CS_EVENT_DATEJ_N("ER",3)&lt;/Q&gt;&lt;R&gt;1&lt;/R&gt;&lt;C&gt;1&lt;/C&gt;&lt;D xsi:type="xsd:long"&gt;46315&lt;/D&gt;&lt;/FQL&gt;&lt;FQL&gt;&lt;Q&gt;IBKR^CS_EVENT_TIME_N("ER",3)&lt;/Q&gt;&lt;R&gt;1&lt;/R&gt;&lt;C&gt;1&lt;/C&gt;&lt;D xsi:type="xsd:string"&gt;Unspecified&lt;/D&gt;&lt;/FQL&gt;&lt;FQL&gt;&lt;Q&gt;IBKR^CS_EVENT_DESC_N("ER",3)&lt;/Q&gt;&lt;R&gt;1&lt;/R&gt;&lt;C&gt;1&lt;/C&gt;&lt;D xsi:type="xsd:string"&gt;Q3 2026 Earnings Release (Projected)&lt;/D&gt;&lt;/FQL&gt;&lt;FQL&gt;&lt;Q&gt;CB^CS_EVENT_DATEJ_N("ER",3)&lt;/Q&gt;&lt;R&gt;1&lt;/R&gt;&lt;C&gt;1&lt;/C&gt;&lt;D xsi:type="xsd:long"&gt;46322&lt;/D&gt;&lt;/FQL&gt;&lt;FQL&gt;&lt;Q&gt;CB^CS_EVENT_TIME_N("ER",3)&lt;/Q&gt;&lt;R&gt;1&lt;/R&gt;&lt;C&gt;1&lt;/C&gt;&lt;D xsi:type="xsd:string"&gt;Unspecified&lt;/D&gt;&lt;/FQL&gt;&lt;FQL&gt;&lt;Q&gt;CB^CS_EVENT_DESC_N("ER",3)&lt;/Q&gt;&lt;R&gt;1&lt;/R&gt;&lt;C&gt;1&lt;/C&gt;&lt;D xsi:type="xsd:string"&gt;Q3 2026 Earnings Release (Projected)&lt;/D&gt;&lt;/FQL&gt;&lt;FQL&gt;&lt;Q&gt;SYF^CS_EVENT_DATEJ_N("ER",3)&lt;/Q&gt;&lt;R&gt;1&lt;/R&gt;&lt;C&gt;1&lt;/C&gt;&lt;D xsi:type="xsd:long"&gt;46316&lt;/D&gt;&lt;/FQL&gt;&lt;FQL&gt;&lt;Q&gt;SYF^CS_EVENT_TIME_N("ER",3)&lt;/Q&gt;&lt;R&gt;1&lt;/R&gt;&lt;C&gt;1&lt;/C&gt;&lt;D xsi:type="xsd:string"&gt;Unspecified&lt;/D&gt;&lt;/FQL&gt;&lt;FQL&gt;&lt;Q&gt;SYF^CS_EVENT_DESC_N("ER",3)&lt;/Q&gt;&lt;R&gt;1&lt;/R&gt;&lt;C&gt;1&lt;/C&gt;&lt;D xsi:type="xsd:string"&gt;Q3 2026 Earnings Release (Projected)&lt;/D&gt;&lt;/FQL&gt;&lt;FQL&gt;&lt;Q&gt;BSX^CS_EVENT_DATEJ_N("ER",3)&lt;/Q&gt;&lt;R&gt;1&lt;/R&gt;&lt;C&gt;1&lt;/C&gt;&lt;D xsi:type="xsd:long"&gt;46323&lt;/D&gt;&lt;/FQL&gt;&lt;FQL&gt;&lt;Q&gt;BSX^CS_EVENT_TIME_N("ER",3)&lt;/Q&gt;&lt;R&gt;1&lt;/R&gt;&lt;C&gt;1&lt;/C&gt;&lt;D xsi:type="xsd:string"&gt;Unspecified&lt;/D&gt;&lt;/FQL&gt;&lt;FQL&gt;&lt;Q&gt;BSX^CS_EVENT_DESC_N("ER",3)&lt;/Q&gt;&lt;R&gt;1&lt;/R&gt;&lt;C&gt;1&lt;/C&gt;&lt;D xsi:type="xsd:string"&gt;Q3 2026 Earnings Release (Projected)&lt;/D&gt;&lt;/FQL&gt;&lt;FQL&gt;&lt;Q&gt;CCI^CS_EVENT_DATEJ_N("ER",3)&lt;/Q&gt;&lt;R&gt;1&lt;/R&gt;&lt;C&gt;1&lt;/C&gt;&lt;D xsi:type="xsd:long"&gt;46316&lt;/D&gt;&lt;/FQL&gt;&lt;FQL&gt;&lt;Q&gt;CCI^CS_EVENT_TIME_N("ER",3)&lt;/Q&gt;&lt;R&gt;1&lt;/R&gt;&lt;C&gt;1&lt;/C&gt;&lt;D xsi:type="xsd:string"&gt;Unspecified&lt;/D&gt;&lt;/FQL&gt;&lt;FQL&gt;&lt;Q&gt;CCI^CS_EVENT_DESC_N("ER",3)&lt;/Q&gt;&lt;R&gt;1&lt;/R&gt;&lt;C&gt;1&lt;/C&gt;&lt;D xsi:type="xsd:string"&gt;Q3 2026 Earnings Release (Projected)&lt;/D&gt;&lt;/FQL&gt;&lt;FQL&gt;&lt;Q&gt;EFX^CS_EVENT_DATEJ_N("ER",3)&lt;/Q&gt;&lt;R&gt;1&lt;/R&gt;&lt;C&gt;1&lt;/C&gt;&lt;D xsi:type="xsd:long"&gt;46316&lt;/D&gt;&lt;/FQL&gt;&lt;FQL&gt;&lt;Q&gt;EFX^CS_EVENT_TIME_N("ER",3)&lt;/Q&gt;&lt;R&gt;1&lt;/R&gt;&lt;C&gt;1&lt;/C&gt;&lt;D xsi:type="xsd:string"&gt;Unspecified&lt;/D&gt;&lt;/FQL&gt;&lt;FQL&gt;&lt;Q&gt;EFX^CS_EVENT_DESC_N("ER",3)&lt;/Q&gt;&lt;R&gt;1&lt;/R&gt;&lt;C&gt;1&lt;/C&gt;&lt;D xsi:type="xsd:string"&gt;Q3 2026 Earnings Release (Projected)&lt;/D&gt;&lt;/FQL&gt;&lt;FQL&gt;&lt;Q&gt;RJF^CS_EVENT_DATEJ_N("ER",3)&lt;/Q&gt;&lt;R&gt;1&lt;/R&gt;&lt;C&gt;1&lt;/C&gt;&lt;D xsi:type="xsd:long"&gt;46323&lt;/D&gt;&lt;/FQL&gt;&lt;FQL&gt;&lt;Q&gt;RJF^CS_EVENT_TIME_N("ER",3)&lt;/Q&gt;&lt;R&gt;1&lt;/R&gt;&lt;C&gt;1&lt;/C&gt;&lt;D xsi:type="xsd:string"&gt;4:15 PM&lt;/D&gt;&lt;/FQL&gt;&lt;FQL&gt;&lt;Q&gt;RJF^CS_EVENT_DESC_N("ER",3)&lt;/Q&gt;&lt;R&gt;1&lt;/R&gt;&lt;C&gt;1&lt;/C&gt;&lt;D xsi:type="xsd:string"&gt;Q4 2026 Earnings Release&lt;/D&gt;&lt;/FQL&gt;&lt;FQL&gt;&lt;Q&gt;IBM^CS_EVENT_DATEJ_N("ER",3)&lt;/Q&gt;&lt;R&gt;1&lt;/R&gt;&lt;C&gt;1&lt;/C&gt;&lt;D xsi:type="xsd:long"&gt;46316&lt;/D&gt;&lt;/FQL&gt;&lt;FQL&gt;&lt;Q&gt;IBM^CS_EVENT_TIME_N("ER",3)&lt;/Q&gt;&lt;R&gt;1&lt;/R&gt;&lt;C&gt;1&lt;/C&gt;&lt;D xsi:type="xsd:string"&gt;4:08 PM&lt;/D&gt;&lt;/FQL&gt;&lt;FQL&gt;&lt;Q&gt;IBM^CS_EVENT_DESC_N("ER",3)&lt;/Q&gt;&lt;R&gt;1&lt;/R&gt;&lt;C&gt;1&lt;/C&gt;&lt;D xsi:type="xsd:string"&gt;Q3 2026 Earnings Release&lt;/D&gt;&lt;/FQL&gt;&lt;FQL&gt;&lt;Q&gt;BA^CS_EVENT_DATEJ_N("ER",3)&lt;/Q&gt;&lt;R&gt;1&lt;/R&gt;&lt;C&gt;1&lt;/C&gt;&lt;D xsi:type="xsd:long"&gt;46323&lt;/D&gt;&lt;/FQL&gt;&lt;FQL&gt;&lt;Q&gt;BA^CS_EVENT_TIME_N("ER",3)&lt;/Q&gt;&lt;R&gt;1&lt;/R&gt;&lt;C&gt;1&lt;/C&gt;&lt;D xsi:type="xsd:string"&gt;Unspecified&lt;/D&gt;&lt;/FQL&gt;&lt;FQL&gt;&lt;Q&gt;BA^CS_EVENT_DESC_N("ER",3)&lt;/Q&gt;&lt;R&gt;1&lt;/R&gt;&lt;C&gt;1&lt;/C&gt;&lt;D xsi:type="xsd:string"&gt;Q3 2026 Earnings Release (Projected)&lt;/D&gt;&lt;/FQL&gt;&lt;FQL&gt;&lt;Q&gt;MAS^CS_EVENT_DATEJ_N("ER",3)&lt;/Q&gt;&lt;R&gt;1&lt;/R&gt;&lt;C&gt;1&lt;/C&gt;&lt;D xsi:type="xsd:long"&gt;46323&lt;/D&gt;&lt;/FQL&gt;&lt;FQL&gt;&lt;Q&gt;MAS^CS_EVENT_TIME_N("ER",3)&lt;/Q&gt;&lt;R&gt;1&lt;/R&gt;&lt;C&gt;1&lt;/C&gt;&lt;D xsi:type="xsd:string"&gt;Unspecified&lt;/D&gt;&lt;/FQL&gt;&lt;FQL&gt;&lt;Q&gt;MAS^CS_EVENT_DESC_N("ER",3)&lt;/Q&gt;&lt;R&gt;1&lt;/R&gt;&lt;C&gt;1&lt;/C&gt;&lt;D xsi:type="xsd:string"&gt;Q3 2026 Earnings Release (Projected)&lt;/D</t>
        </r>
      </text>
    </comment>
    <comment ref="A14" authorId="0" shapeId="0" xr:uid="{C1E9271E-7049-4A35-A263-8C7D59F7F3C3}">
      <text>
        <r>
          <rPr>
            <b/>
            <sz val="9"/>
            <color indexed="81"/>
            <rFont val="Tahoma"/>
            <family val="2"/>
          </rPr>
          <t>&gt;&lt;/FQL&gt;&lt;FQL&gt;&lt;Q&gt;WAB^CS_EVENT_DATEJ_N("ER",3)&lt;/Q&gt;&lt;R&gt;1&lt;/R&gt;&lt;C&gt;1&lt;/C&gt;&lt;D xsi:type="xsd:long"&gt;46323&lt;/D&gt;&lt;/FQL&gt;&lt;FQL&gt;&lt;Q&gt;WAB^CS_EVENT_TIME_N("ER",3)&lt;/Q&gt;&lt;R&gt;1&lt;/R&gt;&lt;C&gt;1&lt;/C&gt;&lt;D xsi:type="xsd:string"&gt;Unspecified&lt;/D&gt;&lt;/FQL&gt;&lt;FQL&gt;&lt;Q&gt;WAB^CS_EVENT_DESC_N("ER",3)&lt;/Q&gt;&lt;R&gt;1&lt;/R&gt;&lt;C&gt;1&lt;/C&gt;&lt;D xsi:type="xsd:string"&gt;Q3 2026 Earnings Release (Projected)&lt;/D&gt;&lt;/FQL&gt;&lt;FQL&gt;&lt;Q&gt;CSX^CS_EVENT_DATEJ_N("ER",3)&lt;/Q&gt;&lt;R&gt;1&lt;/R&gt;&lt;C&gt;1&lt;/C&gt;&lt;D xsi:type="xsd:long"&gt;46310&lt;/D&gt;&lt;/FQL&gt;&lt;FQL&gt;&lt;Q&gt;CSX^CS_EVENT_TIME_N("ER",3)&lt;/Q&gt;&lt;R&gt;1&lt;/R&gt;&lt;C&gt;1&lt;/C&gt;&lt;D xsi:type="xsd:string"&gt;Unspecified&lt;/D&gt;&lt;/FQL&gt;&lt;FQL&gt;&lt;Q&gt;CSX^CS_EVENT_DESC_N("ER",3)&lt;/Q&gt;&lt;R&gt;1&lt;/R&gt;&lt;C&gt;1&lt;/C&gt;&lt;D xsi:type="xsd:string"&gt;Q3 2026 Earnings Release (Projected)&lt;/D&gt;&lt;/FQL&gt;&lt;FQL&gt;&lt;Q&gt;LUV^CS_EVENT_DATEJ_N("ER",3)&lt;/Q&gt;&lt;R&gt;1&lt;/R&gt;&lt;C&gt;1&lt;/C&gt;&lt;D xsi:type="xsd:long"&gt;46316&lt;/D&gt;&lt;/FQL&gt;&lt;FQL&gt;&lt;Q&gt;LUV^CS_EVENT_TIME_N("ER",3)&lt;/Q&gt;&lt;R&gt;1&lt;/R&gt;&lt;C&gt;1&lt;/C&gt;&lt;D xsi:type="xsd:string"&gt;Unspecified&lt;/D&gt;&lt;/FQL&gt;&lt;FQL&gt;&lt;Q&gt;LUV^CS_EVENT_DESC_N("ER",3)&lt;/Q&gt;&lt;R&gt;1&lt;/R&gt;&lt;C&gt;1&lt;/C&gt;&lt;D xsi:type="xsd:string"&gt;Q3 2026 Earnings Release&lt;/D&gt;&lt;/FQL&gt;&lt;FQL&gt;&lt;Q&gt;PKG^CS_EVENT_DATEJ_N("ER",3)&lt;/Q&gt;&lt;R&gt;1&lt;/R&gt;&lt;C&gt;1&lt;/C&gt;&lt;D xsi:type="xsd:long"&gt;46321&lt;/D&gt;&lt;/FQL&gt;&lt;FQL&gt;&lt;Q&gt;PKG^CS_EVENT_TIME_N("ER",3)&lt;/Q&gt;&lt;R&gt;1&lt;/R&gt;&lt;C&gt;1&lt;/C&gt;&lt;D xsi:type="xsd:string"&gt;Unspecified&lt;/D&gt;&lt;/FQL&gt;&lt;FQL&gt;&lt;Q&gt;PKG^CS_EVENT_DESC_N("ER",3)&lt;/Q&gt;&lt;R&gt;1&lt;/R&gt;&lt;C&gt;1&lt;/C&gt;&lt;D xsi:type="xsd:string"&gt;Q3 2026 Earnings Release (Projected)&lt;/D&gt;&lt;/FQL&gt;&lt;FQL&gt;&lt;Q&gt;KMI^CS_EVENT_DATEJ_N("ER",3)&lt;/Q&gt;&lt;R&gt;1&lt;/R&gt;&lt;C&gt;1&lt;/C&gt;&lt;D xsi:type="xsd:long"&gt;46407&lt;/D&gt;&lt;/FQL&gt;&lt;FQL&gt;&lt;Q&gt;KMI^CS_EVENT_TIME_N("ER",3)&lt;/Q&gt;&lt;R&gt;1&lt;/R&gt;&lt;C&gt;1&lt;/C&gt;&lt;D xsi:type="xsd:string"&gt;Unspecified&lt;/D&gt;&lt;/FQL&gt;&lt;FQL&gt;&lt;Q&gt;KMI^CS_EVENT_DESC_N("ER",3)&lt;/Q&gt;&lt;R&gt;1&lt;/R&gt;&lt;C&gt;1&lt;/C&gt;&lt;D xsi:type="xsd:string"&gt;Q4 2026 Earnings Release (Projected)&lt;/D&gt;&lt;/FQL&gt;&lt;FQL&gt;&lt;Q&gt;NDAQ^CS_EVENT_DATEJ_N("ER",3)&lt;/Q&gt;&lt;R&gt;1&lt;/R&gt;&lt;C&gt;1&lt;/C&gt;&lt;D xsi:type="xsd:long"&gt;46316&lt;/D&gt;&lt;/FQL&gt;&lt;FQL&gt;&lt;Q&gt;NDAQ^CS_EVENT_TIME_N("ER",3)&lt;/Q&gt;&lt;R&gt;1&lt;/R&gt;&lt;C&gt;1&lt;/C&gt;&lt;D xsi:type="xsd:string"&gt;Unspecified&lt;/D&gt;&lt;/FQL&gt;&lt;FQL&gt;&lt;Q&gt;NDAQ^CS_EVENT_DESC_N("ER",3)&lt;/Q&gt;&lt;R&gt;1&lt;/R&gt;&lt;C&gt;1&lt;/C&gt;&lt;D xsi:type="xsd:string"&gt;Q3 2026 Earnings Release (Projected)&lt;/D&gt;&lt;/FQL&gt;&lt;FQL&gt;&lt;Q&gt;ELV^CS_EVENT_DATEJ_N("ER",3)&lt;/Q&gt;&lt;R&gt;1&lt;/R&gt;&lt;C&gt;1&lt;/C&gt;&lt;D xsi:type="xsd:long"&gt;46316&lt;/D&gt;&lt;/FQL&gt;&lt;FQL&gt;&lt;Q&gt;ELV^CS_EVENT_TIME_N("ER",3)&lt;/Q&gt;&lt;R&gt;1&lt;/R&gt;&lt;C&gt;1&lt;/C&gt;&lt;D xsi:type="xsd:string"&gt;Unspecified&lt;/D&gt;&lt;/FQL&gt;&lt;FQL&gt;&lt;Q&gt;ELV^CS_EVENT_DESC_N("ER",3)&lt;/Q&gt;&lt;R&gt;1&lt;/R&gt;&lt;C&gt;1&lt;/C&gt;&lt;D xsi:type="xsd:string"&gt;Q3 2026 Earnings Release (Projected)&lt;/D&gt;&lt;/FQL&gt;&lt;FQL&gt;&lt;Q&gt;CME^CS_EVENT_DATEJ_N("ER",3)&lt;/Q&gt;&lt;R&gt;1&lt;/R&gt;&lt;C&gt;1&lt;/C&gt;&lt;D xsi:type="xsd:long"&gt;46323&lt;/D&gt;&lt;/FQL&gt;&lt;FQL&gt;&lt;Q&gt;CME^CS_EVENT_TIME_N("ER",3)&lt;/Q&gt;&lt;R&gt;1&lt;/R&gt;&lt;C&gt;1&lt;/C&gt;&lt;D xsi:type="xsd:string"&gt;Unspecified&lt;/D&gt;&lt;/FQL&gt;&lt;FQL&gt;&lt;Q&gt;CME^CS_EVENT_DESC_N("ER",3)&lt;/Q&gt;&lt;R&gt;1&lt;/R&gt;&lt;C&gt;1&lt;/C&gt;&lt;D xsi:type="xsd:string"&gt;Q3 2026 Earnings Release (Projected)&lt;/D&gt;&lt;/FQL&gt;&lt;FQL&gt;&lt;Q&gt;T^CS_EVENT_DATEJ_N("ER",3)&lt;/Q&gt;&lt;R&gt;1&lt;/R&gt;&lt;C&gt;1&lt;/C&gt;&lt;D xsi:type="xsd:long"&gt;46323&lt;/D&gt;&lt;/FQL&gt;&lt;FQL&gt;&lt;Q&gt;T^CS_EVENT_TIME_N("ER",3)&lt;/Q&gt;&lt;R&gt;1&lt;/R&gt;&lt;C&gt;1&lt;/C&gt;&lt;D xsi:type="xsd:string"&gt;Unspecified&lt;/D&gt;&lt;/FQL&gt;&lt;FQL&gt;&lt;Q&gt;T^CS_EVENT_DESC_N("ER",3)&lt;/Q&gt;&lt;R&gt;1&lt;/R&gt;&lt;C&gt;1&lt;/C&gt;&lt;D xsi:type="xsd:string"&gt;Q3 2026 Earnings Release (Projected)&lt;/D&gt;&lt;/FQL&gt;&lt;FQL&gt;&lt;Q&gt;PM^CS_EVENT_DATEJ_N("ER",3)&lt;/Q&gt;&lt;R&gt;1&lt;/R&gt;&lt;C&gt;1&lt;/C&gt;&lt;D xsi:type="xsd:long"&gt;46315&lt;/D&gt;&lt;/FQL&gt;&lt;FQL&gt;&lt;Q&gt;PM^CS_EVENT_TIME_N("ER",3)&lt;/Q&gt;&lt;R&gt;1&lt;/R&gt;&lt;C&gt;1&lt;/C&gt;&lt;D xsi:type="xsd:string"&gt;Before Market&lt;/D&gt;&lt;/FQL&gt;&lt;FQL&gt;&lt;Q&gt;PM^CS_EVENT_DESC_N("ER",3)&lt;/Q&gt;&lt;R&gt;1&lt;/R&gt;&lt;C&gt;1&lt;/C&gt;&lt;D xsi:type="xsd:string"&gt;Q3 2026 Earnings Release&lt;/D&gt;&lt;/FQL&gt;&lt;FQL&gt;&lt;Q&gt;GEV^CS_EVENT_DATEJ_N("ER",3)&lt;/Q&gt;&lt;R&gt;1&lt;/R&gt;&lt;C&gt;1&lt;/C&gt;&lt;D xsi:type="xsd:long"&gt;46323&lt;/D&gt;&lt;/FQL&gt;&lt;FQL&gt;&lt;Q&gt;GEV^CS_EVENT_TIME_N("ER",3)&lt;/Q&gt;&lt;R&gt;1&lt;/R&gt;&lt;C&gt;1&lt;/C&gt;&lt;D xsi:type="xsd:string"&gt;Unspecified&lt;/D&gt;&lt;/FQL&gt;&lt;FQL&gt;&lt;Q&gt;GEV^CS_EVENT_DESC_N("ER",3)&lt;/Q&gt;&lt;R&gt;1&lt;/R&gt;&lt;C&gt;1&lt;/C&gt;&lt;D xsi:type="xsd:string"&gt;Q3 2026 Earnings Release (Projected)&lt;/D&gt;&lt;/FQL&gt;&lt;FQL&gt;&lt;Q&gt;PHM^CS_EVENT_DATEJ_N("ER",3)&lt;/Q&gt;&lt;R&gt;1&lt;/R&gt;&lt;C&gt;1&lt;/C&gt;&lt;D xsi:type="xsd:long"&gt;46322&lt;/D&gt;&lt;/FQL&gt;&lt;FQL&gt;&lt;Q&gt;PHM^CS_EVENT_TIME_N("ER",3)&lt;/Q&gt;&lt;R&gt;1&lt;/R&gt;&lt;C&gt;1&lt;/C&gt;&lt;D xsi:type="xsd:string"&gt;Unspecified&lt;/D&gt;&lt;/FQL&gt;&lt;FQL&gt;&lt;Q&gt;PHM^CS_EVENT_DESC_N("ER",3)&lt;/Q&gt;&lt;R&gt;1&lt;/R&gt;&lt;C&gt;1&lt;/C&gt;&lt;D xsi:type="xsd:string"&gt;Q3 2026 Earnings Release (Projected)&lt;/D&gt;&lt;/FQL&gt;&lt;FQL&gt;&lt;Q&gt;CPT^CS_EVENT_DATEJ_N("ER",3)&lt;/Q&gt;&lt;R&gt;1&lt;/R&gt;&lt;C&gt;1&lt;/C&gt;&lt;D xsi:type="xsd:long"&gt;46317&lt;/D&gt;&lt;/FQL&gt;&lt;FQL&gt;&lt;Q&gt;CPT^CS_EVENT_TIME_N("ER",3)&lt;/Q&gt;&lt;R&gt;1&lt;/R&gt;&lt;C&gt;1&lt;/C&gt;&lt;D xsi:type="xsd:string"&gt;Unspecified&lt;/D&gt;&lt;/FQL&gt;&lt;FQL&gt;&lt;Q&gt;CPT^CS_EVENT_DESC_N("ER",3)&lt;/Q&gt;&lt;R&gt;1&lt;/R&gt;&lt;C&gt;1&lt;/C&gt;&lt;D xsi:type="xsd:string"&gt;Q3 2026 Earnings Release (Projected)&lt;/D&gt;&lt;/FQL&gt;&lt;FQL&gt;&lt;Q&gt;WST^CS_EVENT_DATEJ_N("ER",3)&lt;/Q&gt;&lt;R&gt;1&lt;/R&gt;&lt;C&gt;1&lt;/C&gt;&lt;D xsi:type="xsd:long"&gt;46317&lt;/D&gt;&lt;/FQL&gt;&lt;FQL&gt;&lt;Q&gt;WST^CS_EVENT_TIME_N("ER",3)&lt;/Q&gt;&lt;R&gt;1&lt;/R&gt;&lt;C&gt;1&lt;/C&gt;&lt;D xsi:type="xsd:string"&gt;Unspecified&lt;/D&gt;&lt;/FQL&gt;&lt;FQL&gt;&lt;Q&gt;WST^CS_EVENT_DESC_N("ER",3)&lt;/Q&gt;&lt;R&gt;1&lt;/R&gt;&lt;C&gt;1&lt;/C&gt;&lt;D xsi:type="xsd:string"&gt;Q3 2026 Earnings Release (Projected)&lt;/D&gt;&lt;/FQL&gt;&lt;FQL&gt;&lt;Q&gt;RMD^CS_EVENT_DATEJ_N("ER",3)&lt;/Q&gt;&lt;R&gt;1&lt;/R&gt;&lt;C&gt;1&lt;/C&gt;&lt;D xsi:type="xsd:long"&gt;46317&lt;/D&gt;&lt;/FQL&gt;&lt;FQL&gt;&lt;Q&gt;RMD^CS_EVENT_TIME_N("ER",3)&lt;/Q&gt;&lt;R&gt;1&lt;/R&gt;&lt;C&gt;1&lt;/C&gt;&lt;D xsi:type="xsd:string"&gt;Unspecified&lt;/D&gt;&lt;/FQL&gt;&lt;FQL&gt;&lt;Q&gt;RMD^CS_EVENT_DESC_N("ER",3)&lt;/Q&gt;&lt;R&gt;1&lt;/R&gt;&lt;C&gt;1&lt;/C&gt;&lt;D xsi:type="xsd:string"&gt;Q1 2027 Earnings Release (Projected)&lt;/D&gt;&lt;/FQL&gt;&lt;FQL&gt;&lt;Q&gt;HON^CS_EVENT_DATEJ_N("ER",3)&lt;/Q&gt;&lt;R&gt;1&lt;/R&gt;&lt;C&gt;1&lt;/C&gt;&lt;D xsi:type="xsd:long"&gt;46317&lt;/D&gt;&lt;/FQL&gt;&lt;FQL&gt;&lt;Q&gt;HON^CS_EVENT_TIME_N("ER",3)&lt;/Q&gt;&lt;R&gt;1&lt;/R&gt;&lt;C&gt;1&lt;/C&gt;&lt;D xsi:type="xsd:string"&gt;Unspecified&lt;/D&gt;&lt;/FQL&gt;&lt;FQL&gt;&lt;Q&gt;HON^CS_EVENT_DESC_N("ER",3)&lt;/Q&gt;&lt;R&gt;1&lt;/R&gt;&lt;C&gt;1&lt;/C&gt;&lt;D xsi:type="xsd:string"&gt;Q3 2026 Earnings Release (Projected)&lt;/D&gt;&lt;/FQL&gt;&lt;FQL&gt;&lt;Q&gt;PCG^CS_EVENT_DATEJ_N("ER",3)&lt;/Q&gt;&lt;R&gt;1&lt;/R&gt;&lt;C&gt;1&lt;/C&gt;&lt;D xsi:type="xsd:long"&gt;46317&lt;/D&gt;&lt;/FQL&gt;&lt;FQL&gt;&lt;Q&gt;PCG^CS_EVENT_TIME_N("ER",3)&lt;/Q&gt;&lt;R&gt;1&lt;/R&gt;&lt;C&gt;1&lt;/C&gt;&lt;D xsi:type="xsd:string"&gt;Unspecified&lt;/D&gt;&lt;/FQL&gt;&lt;FQL&gt;&lt;Q&gt;PCG^CS_EVENT_DESC_N("ER",3)&lt;/Q&gt;&lt;R&gt;1&lt;/R&gt;&lt;C&gt;1&lt;/C&gt;&lt;D xsi:type="xsd:string"&gt;Q3 2026 Earnings Release (Projected)&lt;/D&gt;&lt;/FQL&gt;&lt;FQL&gt;&lt;Q&gt;AOS^CS_EVENT_DATEJ_N("ER",3)&lt;/Q&gt;&lt;R&gt;1&lt;/R&gt;&lt;C&gt;1&lt;/C&gt;&lt;D xsi:type="xsd:long"&gt;46317&lt;/D&gt;&lt;/FQL&gt;&lt;FQL&gt;&lt;Q&gt;AOS^CS_EVENT_TIME_N("ER",3)&lt;/Q&gt;&lt;R&gt;1&lt;/R&gt;&lt;C&gt;1&lt;/C&gt;&lt;D xsi:type="xsd:string"&gt;Unspecified&lt;/D&gt;&lt;/FQL&gt;&lt;FQL&gt;&lt;Q&gt;AOS^CS_EVENT_DESC_N("ER",3)&lt;/Q&gt;&lt;R&gt;1&lt;/R&gt;&lt;C&gt;1&lt;/C&gt;&lt;D xsi:type="xsd:string"&gt;Q3 2026 Earnings Release (Projected)&lt;/D&gt;&lt;/FQL&gt;&lt;FQL&gt;&lt;Q&gt;NEM^CS_EVENT_DATEJ_N("ER",3)&lt;/Q&gt;&lt;R&gt;1&lt;/R&gt;&lt;C&gt;1&lt;/C&gt;&lt;D xsi:type="xsd:long"&gt;46317&lt;/D&gt;&lt;/FQL&gt;&lt;FQL&gt;&lt;Q&gt;NEM^CS_EVENT_TIME_N("ER",3)&lt;/Q&gt;&lt;R&gt;1&lt;/R&gt;&lt;C&gt;1&lt;/C&gt;&lt;D xsi:type="xsd:string"&gt;Unspecified&lt;/D&gt;&lt;/FQL&gt;&lt;FQL&gt;&lt;Q&gt;NEM^CS_EVENT_DESC_N("ER",3)&lt;/Q&gt;&lt;R&gt;1&lt;/R&gt;&lt;C&gt;1&lt;/C&gt;&lt;D xsi:type="xsd:string"&gt;Q3 2026 Earnings Release (Projected)&lt;/D&gt;&lt;/FQL&gt;&lt;FQL&gt;&lt;Q&gt;KIM^CS_EVENT_DATEJ_N("ER",3)&lt;/Q&gt;&lt;R&gt;1&lt;/R&gt;&lt;C&gt;1&lt;/C&gt;&lt;D xsi:type="xsd:long"&gt;46324&lt;/D&gt;&lt;/FQL&gt;&lt;FQL&gt;&lt;Q&gt;KIM^CS_EVENT_TIME_N("ER",3)&lt;/Q&gt;&lt;R&gt;1&lt;/R&gt;&lt;C&gt;1&lt;/C&gt;&lt;D xsi:type="xsd:string"&gt;Unspecified&lt;/D&gt;&lt;/FQL&gt;&lt;FQL&gt;&lt;Q&gt;KIM^CS_EVENT_DESC_N("ER",3)&lt;/Q&gt;&lt;R&gt;1&lt;/R&gt;&lt;C&gt;1&lt;/C&gt;&lt;D xsi:type="xsd:string"&gt;Q3 2026 Earnings Release (Projected)&lt;/D&gt;&lt;/FQL&gt;&lt;FQL&gt;&lt;Q&gt;HSY^CS_EVENT_DATEJ_N("ER",3)&lt;/Q&gt;&lt;R&gt;1&lt;/R&gt;&lt;C&gt;1&lt;/C&gt;&lt;D xsi:type="xsd:long"&gt;46317&lt;/D&gt;&lt;/FQL&gt;&lt;FQL&gt;&lt;Q&gt;HSY^CS_EVENT_TIME_N("ER",3)&lt;/Q&gt;&lt;R&gt;1&lt;/R&gt;&lt;C&gt;1&lt;/C&gt;&lt;D xsi:type="xsd:string"&gt;Unspecified&lt;/D&gt;&lt;/FQL&gt;&lt;FQL&gt;&lt;Q&gt;HSY^CS_EVENT_DESC_N("ER",3)&lt;/Q&gt;&lt;R&gt;1&lt;/R&gt;&lt;C&gt;1&lt;/C&gt;&lt;D xsi:type="xsd:string"&gt;Q3 2026 Earnings Release (Projected)&lt;/D&gt;&lt;/FQL&gt;&lt;FQL&gt;&lt;Q&gt;VRSN^CS_EVENT_DATEJ_N("ER",3)&lt;/Q&gt;&lt;R&gt;1&lt;/R&gt;&lt;C&gt;1&lt;/C&gt;&lt;D xsi:type="xsd:long"&gt;46317&lt;/D&gt;&lt;/FQL&gt;&lt;FQL&gt;&lt;Q&gt;VRSN^CS_EVENT_TIME_N("ER",3)&lt;/Q&gt;&lt;R&gt;1&lt;/R&gt;&lt;C&gt;1&lt;/C&gt;&lt;D xsi:type="xsd:string"&gt;Unspecified&lt;/D&gt;&lt;/FQL&gt;&lt;FQL&gt;&lt;Q&gt;VRSN^CS_EVENT_DESC_N("ER",3)&lt;/Q&gt;&lt;R&gt;1&lt;/R&gt;&lt;C&gt;1&lt;/C&gt;&lt;D xsi:type="xsd:string"&gt;Q3 2026 Earnings Release (Projected)&lt;/D&gt;&lt;/FQL&gt;&lt;FQL&gt;&lt;Q&gt;CINF^CS_EVENT_DATEJ_N("ER",3)&lt;/Q&gt;&lt;R&gt;1&lt;/R&gt;&lt;C&gt;1&lt;/C&gt;&lt;D xsi:type="xsd:long"&gt;46317&lt;/D&gt;&lt;/FQL&gt;&lt;FQL&gt;&lt;Q&gt;CINF^CS_EVENT_TIME_N("ER",3)&lt;/Q&gt;&lt;R&gt;1&lt;/R&gt;&lt;C&gt;1&lt;/C&gt;&lt;D xsi:type="xsd:string"&gt;Unspecified&lt;/D&gt;&lt;/FQL&gt;&lt;FQL&gt;&lt;Q&gt;CINF^CS_EVENT_DESC_N("ER",3)&lt;/Q&gt;&lt;R&gt;1&lt;/R&gt;&lt;C&gt;1&lt;/C&gt;&lt;D xsi:type="xsd:string"&gt;Q3 2026 Earnings Release (Projected)&lt;/D&gt;&lt;/FQL&gt;&lt;FQL&gt;&lt;Q&gt;AJG^CS_EVENT_DATEJ_N("ER",3)&lt;/Q&gt;&lt;R&gt;1&lt;/R&gt;&lt;C&gt;1&lt;/C&gt;&lt;D xsi:type="xsd:long"&gt;46317&lt;/D&gt;&lt;/FQL&gt;&lt;FQL&gt;&lt;Q&gt;AJG^CS_EVENT_TIME_N("ER",3)&lt;/Q&gt;&lt;R&gt;1&lt;/R&gt;&lt;C&gt;1&lt;/C&gt;&lt;D xsi:type="xsd:string"&gt;Unspecified&lt;/D&gt;&lt;/FQL&gt;&lt;FQL&gt;&lt;Q&gt;AJG^CS_EVENT_DESC_N("ER",3)&lt;/Q&gt;&lt;R&gt;1&lt;/R&gt;&lt;C&gt;1&lt;/C&gt;&lt;D xsi:type="xsd:string"&gt;Q3 2026 Earnings Release (Projected)&lt;/D&gt;&lt;/FQL&gt;&lt;FQL&gt;&lt;Q&gt;WTW^CS_EVENT_DATEJ_N("ER",3)&lt;/Q&gt;&lt;R&gt;1&lt;/R&gt;&lt;C&gt;1&lt;/C&gt;&lt;D xsi:type="xsd:long"&gt;46317&lt;/D&gt;&lt;/FQL&gt;&lt;FQL&gt;&lt;Q&gt;WTW^CS_EVENT_TIME_N("ER",3)&lt;/Q&gt;&lt;R&gt;1&lt;/R&gt;&lt;C&gt;1&lt;/C&gt;&lt;D xsi:type="xsd:string"&gt;Unspecified&lt;/D&gt;&lt;/FQL&gt;&lt;FQL&gt;&lt;Q&gt;WTW^CS_EVENT_DESC_N("ER",3)&lt;/Q&gt;&lt;R&gt;1&lt;/R&gt;&lt;C&gt;1&lt;/C&gt;&lt;D xsi:type="xsd:string"&gt;Q3 2026 Earnings Release (Projected)&lt;/D&gt;&lt;/FQL&gt;&lt;FQL&gt;&lt;Q&gt;GILD^CS_EVENT_DATEJ_N("ER",3)&lt;/Q&gt;&lt;R&gt;1&lt;/R&gt;&lt;C&gt;1&lt;/C&gt;&lt;D xsi:type="xsd:long"&gt;46422&lt;/D&gt;&lt;/FQL&gt;&lt;FQL&gt;&lt;Q&gt;GILD^CS_EVENT_TIME_N("ER",3)&lt;/Q&gt;&lt;R&gt;1&lt;/R&gt;&lt;C&gt;1&lt;/C&gt;&lt;D xsi:type="xsd:string"&gt;Unspecified&lt;/D&gt;&lt;/FQL&gt;&lt;FQL&gt;&lt;Q&gt;GILD^CS_EVENT_DESC_N("ER",3)&lt;/Q&gt;&lt;R&gt;1&lt;/R&gt;&lt;C&gt;1&lt;/C&gt;&lt;D xsi:type="xsd:string"&gt;Q4 2026 Earnings Release (Projected)&lt;/D&gt;&lt;/FQL&gt;&lt;FQL&gt;&lt;Q&gt;ERIE^CS_EVENT_DATEJ_N("ER",3)&lt;/Q&gt;&lt;R&gt;1&lt;/R&gt;&lt;C&gt;1&lt;/C&gt;&lt;D xsi:type="xsd:long"&gt;46317&lt;/D&gt;&lt;/FQL&gt;&lt;FQL&gt;&lt;Q&gt;ERIE^CS_EVENT_TIME_N("ER",3)&lt;/Q&gt;&lt;R&gt;1&lt;/R&gt;&lt;C&gt;1&lt;/C&gt;&lt;D xsi:type="xsd:string"&gt;Unspecified&lt;/D&gt;&lt;/FQL&gt;&lt;FQL&gt;&lt;Q&gt;ERIE^CS_EVENT_DESC_N("ER",3)&lt;/Q&gt;&lt;R&gt;1&lt;/R&gt;&lt;C&gt;1&lt;/C&gt;&lt;D xsi:type="xsd:string"&gt;Q3 2026 Earnings Release (Projected)&lt;/D&gt;&lt;/FQL&gt;&lt;FQL&gt;&lt;Q&gt;DOV^CS_EVENT_DATEJ_N("ER",3)&lt;/Q&gt;&lt;R&gt;1&lt;/R&gt;&lt;C&gt;1&lt;/C&gt;&lt;D xsi:type="xsd:long"&gt;46317&lt;/D&gt;&lt;/FQL&gt;&lt;FQL&gt;&lt;Q&gt;DOV^CS_EVENT_TIME_N("ER",3)&lt;/Q&gt;&lt;R&gt;1&lt;/R&gt;&lt;C&gt;1&lt;/C&gt;&lt;D xsi:type="xsd:string"&gt;Unspecified&lt;/D&gt;&lt;/FQL&gt;&lt;FQL&gt;&lt;Q&gt;DOV^CS_EVENT_DESC_N("ER",3)&lt;/Q&gt;&lt;R&gt;1&lt;/R&gt;&lt;C&gt;1&lt;/C&gt;&lt;D xsi:type="xsd:string"&gt;Q3 2026 Earnings Release (Projected)&lt;/D&gt;&lt;/FQL&gt;&lt;FQL&gt;&lt;Q&gt;DTE^CS_EVENT_DATEJ_N("ER",3)&lt;/Q&gt;&lt;R&gt;1&lt;/R&gt;&lt;C&gt;1&lt;/C&gt;&lt;D xsi:type="xsd:long"&gt;46317&lt;/D&gt;&lt;/FQL&gt;&lt;FQL&gt;&lt;Q&gt;DTE^CS_EVENT_TIME_N("ER",3)&lt;/Q&gt;&lt;R&gt;1&lt;/R&gt;&lt;C&gt;1&lt;/C&gt;&lt;D xsi:type="xsd:string"&gt;Unspecified&lt;/D&gt;&lt;/FQL&gt;&lt;FQL&gt;&lt;Q&gt;DTE^CS_EVENT_DESC_N("ER",3)&lt;/Q&gt;&lt;R&gt;1&lt;/R&gt;&lt;C&gt;1&lt;/C&gt;&lt;D xsi:type="xsd:string"&gt;Q3 2026 Earnings Release (Projected)&lt;/D&gt;&lt;/FQL&gt;&lt;FQL&gt;&lt;Q&gt;HAS^CS_EVENT_DATEJ_N("ER",3)&lt;/Q&gt;&lt;R&gt;1&lt;/R&gt;&lt;C&gt;1&lt;/C&gt;&lt;D xsi:type="xsd:long"&gt;46317&lt;/D&gt;&lt;/FQL&gt;&lt;FQL&gt;&lt;Q&gt;HAS^CS_EVENT_TIME_N("ER",3)&lt;/Q&gt;&lt;R&gt;1&lt;/R&gt;&lt;C&gt;1&lt;/C&gt;&lt;D xsi:type="xsd:string"&gt;Unspecified&lt;/D&gt;&lt;/FQL&gt;&lt;FQL&gt;&lt;Q&gt;HAS^CS_EVENT_DESC_N("ER",3)&lt;/Q&gt;&lt;R&gt;1&lt;/R&gt;&lt;C&gt;1&lt;/C&gt;&lt;D xsi:type="xsd:string"&gt;Q3 2026 Earnings Release (Projected)&lt;/D&gt;&lt;/FQL&gt;&lt;FQL&gt;&lt;Q&gt;AMZN^CS_EVENT_DATEJ_N("ER",3)&lt;/Q&gt;&lt;R&gt;1&lt;/R&gt;&lt;C&gt;1&lt;/C&gt;&lt;D xsi:type="xsd:long"&gt;46317&lt;/D&gt;&lt;/FQL&gt;&lt;FQL&gt;&lt;Q&gt;AMZN^CS_EVENT_TIME_N("ER",3)&lt;/Q&gt;&lt;R&gt;1&lt;/R&gt;&lt;C&gt;1&lt;/C&gt;&lt;D xsi:type="xsd:string"&gt;Unspecified&lt;/D&gt;&lt;/FQL&gt;&lt;FQL&gt;&lt;Q&gt;AMZN^CS_EVENT_DESC_N("ER",3)&lt;/Q&gt;&lt;R&gt;1&lt;/R&gt;&lt;C&gt;1&lt;/C&gt;&lt;D xsi:type="xsd:string"&gt;Q3 2026 Earnings Release (Projected)&lt;/D&gt;&lt;/FQL&gt;&lt;FQL&gt;&lt;Q&gt;HIG^CS_EVENT_DATEJ_N("ER",3)&lt;/Q&gt;&lt;R&gt;1&lt;/R&gt;&lt;C&gt;1&lt;/C&gt;&lt;D xsi:type="xsd:long"&gt;46317&lt;/D&gt;&lt;/FQL&gt;&lt;FQL&gt;&lt;Q&gt;HIG^CS_EVENT_TIME_N("ER",3)&lt;/Q&gt;&lt;R&gt;1&lt;/R&gt;&lt;C&gt;1&lt;/C&gt;&lt;D xsi:type="xsd:string"&gt;Unspecified&lt;/D&gt;&lt;/FQL&gt;&lt;FQL&gt;&lt;Q&gt;HIG^CS_EVENT_DESC_N("ER",3)&lt;/Q&gt;&lt;R&gt;1&lt;/R&gt;&lt;C&gt;1&lt;/C&gt;&lt;D xsi:type="xsd:string"&gt;Q3 2026 Earnings Release (Projected)&lt;/D&gt;&lt;/FQL&gt;&lt;FQL&gt;&lt;Q&gt;HBAN^CS_EVENT_DATEJ_N("ER",3)&lt;/Q&gt;&lt;R&gt;1&lt;/R&gt;&lt;C&gt;1&lt;/C&gt;&lt;D xsi:type="xsd:long"&gt;46317&lt;/D&gt;&lt;/FQL&gt;&lt;FQL&gt;&lt;Q&gt;HBAN^CS_EVENT_TIME_N("ER",3)&lt;/Q&gt;&lt;R&gt;1&lt;/R&gt;&lt;C&gt;1&lt;/C&gt;&lt;D xsi:type="xsd:string"&gt;Before Market&lt;/D&gt;&lt;/FQL&gt;&lt;FQL&gt;&lt;Q&gt;HBAN^CS_EVENT_DESC_N("ER",3)&lt;/Q&gt;&lt;R&gt;1&lt;/R&gt;&lt;C&gt;1&lt;/C&gt;&lt;D xsi:type="xsd:string"&gt;Q3 2026 Earnings Release&lt;/D&gt;&lt;/FQL&gt;&lt;FQL&gt;&lt;Q&gt;EME^CS_EVENT_DATEJ_N("ER",3)&lt;/Q&gt;&lt;R&gt;1&lt;/R&gt;&lt;C&gt;1&lt;/C&gt;&lt;D xsi:type="xsd:long"&gt;46317&lt;/D&gt;&lt;/FQL&gt;&lt;FQL&gt;&lt;Q&gt;EME^CS_EVENT_TIME_N("ER",3)&lt;/Q&gt;&lt;R&gt;1&lt;/R&gt;&lt;C&gt;1&lt;/C&gt;&lt;D xsi:type="xsd:string"&gt;Unspecified&lt;/D&gt;&lt;/FQL&gt;&lt;FQL&gt;&lt;Q&gt;EME^CS_EVENT_DESC_N("ER",3)&lt;/Q&gt;&lt;R&gt;1&lt;/R&gt;&lt;C&gt;1&lt;/C&gt;&lt;D xsi:type="xsd:string"&gt;Q3 2026 Earnings Release (Projected)&lt;/D&gt;&lt;/FQL&gt;&lt;FQL&gt;&lt;Q&gt;KLAC^CS_EVENT_DATEJ_N("ER",3)&lt;/Q&gt;&lt;R&gt;1&lt;/R&gt;&lt;C&gt;1&lt;/C&gt;&lt;D xsi:type="xsd:long"&gt;46323&lt;/D&gt;&lt;/FQL&gt;&lt;FQL&gt;&lt;Q&gt;KLAC^CS_EVENT_TIME_N("ER",3)&lt;/Q&gt;&lt;R&gt;1&lt;/R&gt;&lt;C&gt;1&lt;/C&gt;&lt;D xsi:type="xsd:string"&gt;Unspecified&lt;/D&gt;&lt;/FQL&gt;&lt;FQL&gt;&lt;Q&gt;KLAC^CS_EVENT_DESC_N("ER",3)&lt;/Q&gt;&lt;R&gt;1&lt;/R&gt;&lt;C&gt;1&lt;/C&gt;&lt;D xsi:type="xsd:string"&gt;Q1 2027 Earnings Release (Projected)&lt;/D&gt;&lt;/FQL&gt;&lt;FQL&gt;&lt;Q&gt;TROW^CS_EVENT_DATEJ_N("ER",3)&lt;/Q&gt;&lt;R&gt;1&lt;/R&gt;&lt;C&gt;1&lt;/C&gt;&lt;D xsi:type="xsd:long"&gt;46317&lt;/D&gt;&lt;/FQL&gt;&lt;FQL&gt;&lt;Q&gt;TROW^CS_EVENT_TIME_N("ER",3)&lt;/Q&gt;&lt;R&gt;1&lt;/R&gt;&lt;C&gt;1&lt;/C&gt;&lt;D xsi:type="xsd:string"&gt;Unspecified&lt;/D&gt;&lt;/FQL&gt;&lt;FQL&gt;&lt;Q&gt;TROW^CS_EVENT_DESC_N("ER",3)&lt;/Q&gt;&lt;R&gt;1&lt;/R&gt;&lt;C&gt;1&lt;/C&gt;&lt;D xsi:type="xsd:string"&gt;Q3 2026 Earnings Release (Projected)&lt;/D&gt;&lt;/FQL&gt;&lt;FQL&gt;&lt;Q&gt;AXP^CS_EVENT_DATEJ_N("ER",3)&lt;/Q&gt;&lt;R&gt;1&lt;/R&gt;&lt;C&gt;1&lt;/C&gt;&lt;D xsi:type="xsd:long"&gt;46318&lt;/D&gt;&lt;/FQL&gt;&lt;FQL&gt;&lt;Q&gt;AXP^CS_EVENT_TIME_N("ER",3)&lt;/Q&gt;&lt;R&gt;1&lt;/R&gt;&lt;C&gt;1&lt;/C&gt;&lt;D xsi:type="xsd:string"&gt;7:00 AM&lt;/D&gt;&lt;/FQL&gt;&lt;FQL&gt;&lt;Q&gt;AXP^CS_EVENT_DESC_N("ER",3)&lt;/Q&gt;&lt;R&gt;1&lt;/R&gt;&lt;C&gt;1&lt;/C&gt;&lt;D xsi:type="xsd:string"&gt;Q3 2026 Earnings Release&lt;/D&gt;&lt;/FQL&gt;&lt;FQL&gt;&lt;Q&gt;CNP^CS_EVENT_DATEJ_N("ER",3)&lt;/Q&gt;&lt;R&gt;1&lt;/R&gt;&lt;C&gt;1&lt;/C&gt;&lt;D xsi:type="xsd:long"&gt;46330&lt;/D&gt;&lt;/FQL&gt;&lt;FQL&gt;&lt;Q&gt;CNP^CS_EVENT_TIME_N("ER",3)&lt;/Q&gt;&lt;R&gt;1&lt;/R&gt;&lt;C&gt;1&lt;/C&gt;&lt;D xsi:type="xsd:string"&gt;Unspecified&lt;/D&gt;&lt;/FQL&gt;&lt;FQL&gt;&lt;Q&gt;CNP^CS_EVENT_DESC_N("ER",3)&lt;/Q&gt;&lt;R&gt;1&lt;/R&gt;&lt;C&gt;1&lt;/C&gt;&lt;D xsi:type="xsd:string"&gt;Q3 2026 Earnings Release (Projected)&lt;/D&gt;&lt;/FQL&gt;&lt;FQL&gt;&lt;Q&gt;WDC^CS_EVENT_DATEJ_N("ER",3)&lt;/Q&gt;&lt;R&gt;1&lt;/R&gt;&lt;C&gt;1&lt;/C&gt;&lt;D xsi:type="xsd:long"&gt;46317&lt;/D&gt;&lt;/FQL&gt;&lt;FQL&gt;&lt;Q&gt;WDC^CS_EVENT_TIME_N("ER",3)&lt;/Q&gt;&lt;R&gt;1&lt;/R&gt;&lt;C&gt;1&lt;/C&gt;&lt;D xsi:type="xsd:string"&gt;Unspecified&lt;/D&gt;&lt;/FQL&gt;&lt;FQL&gt;&lt;Q&gt;WDC^CS_EVENT_DESC_N("ER",3)&lt;/Q&gt;&lt;R&gt;1&lt;/R&gt;&lt;C&gt;1&lt;/C&gt;&lt;D xsi:type="xsd:string"&gt;Q1 2027 Earnings Release (Projected)&lt;/D&gt;&lt;/FQL&gt;&lt;FQL&gt;&lt;Q&gt;PFG^CS_EVENT_DATEJ_N("ER",3)&lt;/Q&gt;&lt;R&gt;1&lt;/R&gt;&lt;C&gt;1&lt;/C&gt;&lt;D xsi:type="xsd:long"&gt;46317&lt;/D&gt;&lt;/FQL&gt;&lt;FQL&gt;&lt;Q&gt;PFG^CS_EVENT_TIME_N("ER",3)&lt;/Q&gt;&lt;R&gt;1&lt;/R&gt;&lt;C&gt;1&lt;/C&gt;&lt;D xsi:type="xsd:string"&gt;Unspecified&lt;/D&gt;&lt;/FQL&gt;&lt;FQL&gt;&lt;Q&gt;PFG^CS_EVENT_DESC_N("ER",3)&lt;/Q&gt;&lt;R&gt;1&lt;/R&gt;&lt;C&gt;1&lt;/C&gt;&lt;D xsi:type="xsd:string"&gt;Q3 2026 Earnings Release (Projected)&lt;/D&gt;&lt;/FQL&gt;&lt;FQL&gt;&lt;Q&gt;INTC^CS_EVENT_DATEJ_N("ER",3)&lt;/Q&gt;&lt;R&gt;1&lt;/R&gt;&lt;C&gt;1&lt;/C&gt;&lt;D xsi:type="xsd:long"&gt;46317&lt;/D&gt;&lt;/FQL&gt;&lt;FQL&gt;&lt;Q&gt;INTC^CS_EVENT_TIME_N("ER",3)&lt;/Q&gt;&lt;R&gt;1&lt;/R&gt;&lt;C&gt;1&lt;/C&gt;&lt;D xsi:type="xsd:string"&gt;Unspecified&lt;/D&gt;&lt;/FQL&gt;&lt;FQL&gt;&lt;Q&gt;INTC^CS_EVENT_DESC_N("ER",3)&lt;/Q&gt;&lt;R&gt;1&lt;/R&gt;&lt;C&gt;1&lt;/C&gt;&lt;D xsi:type="xsd:string"&gt;Q3 2026 Earnings Release (Projected)&lt;/D&gt;&lt;/FQL&gt;&lt;FQL&gt;&lt;Q&gt;FE^CS_EVENT_DATEJ_N("ER",3)&lt;/Q&gt;&lt;R&gt;1&lt;/R&gt;&lt;C&gt;1&lt;/C&gt;&lt;D xsi:type="xsd:long"&gt;46317&lt;/D&gt;&lt;/FQL&gt;&lt;FQL&gt;&lt;Q&gt;FE^CS_EVENT_TIME_N("ER",3)&lt;/Q&gt;&lt;R&gt;1&lt;/R&gt;&lt;C&gt;1&lt;/C&gt;&lt;D xsi:type="xsd:string"&gt;Unspecified&lt;/D&gt;&lt;/FQL&gt;&lt;FQL&gt;&lt;Q&gt;FE^CS_EVENT_DESC_N("ER",3)&lt;/Q&gt;&lt;R&gt;1&lt;/R&gt;&lt;C&gt;1&lt;/C&gt;&lt;D xsi:type="xsd:string"&gt;Q3 2026 Earnings Release (Projected)&lt;/D&gt;&lt;/FQL&gt;&lt;FQL&gt;&lt;Q&gt;CAT^CS_EVENT_DATEJ_N("ER",3)&lt;/Q&gt;&lt;R&gt;1&lt;/R&gt;&lt;C&gt;1&lt;/C&gt;&lt;D xsi:type="xsd:long"&gt;46330&lt;/D&gt;&lt;/FQL&gt;&lt;FQL&gt;&lt;Q&gt;CAT^CS_EVENT_TIME_N("ER",3)&lt;/Q&gt;&lt;R&gt;1&lt;/R&gt;&lt;C&gt;1&lt;/C&gt;&lt;D xsi:type="xsd:string"&gt;Unspecified&lt;/D&gt;&lt;/FQL&gt;&lt;FQL&gt;&lt;Q&gt;CAT^CS_EVENT_DESC_N("ER",3)&lt;/Q&gt;&lt;R&gt;1&lt;/R&gt;&lt;C&gt;1&lt;/C&gt;&lt;D xsi:type="xsd:string"&gt;Q3 2026 Earnings Release (Projected)&lt;/D&gt;&lt;/FQL&gt;&lt;FQL&gt;&lt;Q&gt;MCD^CS_EVENT_DATEJ_N("ER",3)&lt;/Q&gt;&lt;R&gt;1&lt;/R&gt;&lt;C&gt;1&lt;/C&gt;&lt;D xsi:type="xsd:long"&gt;46317&lt;/D&gt;&lt;/FQL&gt;&lt;FQL&gt;&lt;Q&gt;MCD^CS_EVENT_TIME_N("ER",3)&lt;/Q&gt;&lt;R&gt;1&lt;/R&gt;&lt;C&gt;1&lt;/C&gt;&lt;D xsi:type="xsd:string"&gt;Unspecified&lt;/D&gt;&lt;/FQL&gt;&lt;FQL&gt;&lt;Q&gt;MCD^CS_EVENT_DESC_N("ER",3)&lt;/Q&gt;&lt;R&gt;1&lt;/R&gt;&lt;C&gt;1&lt;/C&gt;&lt;D xsi:type="xsd:string"&gt;Q3 2026 Earnings Release (Projected)&lt;/D&gt;&lt;/FQL&gt;&lt;FQL&gt;&lt;Q&gt;UNP^CS_EVENT_DATEJ_N("ER",3)&lt;/Q&gt;&lt;R&gt;1&lt;/R&gt;&lt;C&gt;1&lt;/C&gt;&lt;D xsi:type="xsd:long"&gt;46317&lt;/D&gt;&lt;/FQL&gt;&lt;FQL&gt;&lt;Q&gt;UNP^CS_EVENT_TIME_N("ER",3)&lt;/Q&gt;&lt;R&gt;1&lt;/R&gt;&lt;C&gt;1&lt;/C&gt;&lt;D xsi:type="xsd:string"&gt;Unspecified&lt;/D&gt;&lt;/FQL&gt;&lt;FQL&gt;&lt;Q&gt;UNP^CS_EVENT_DESC_N("ER",3)&lt;/Q&gt;&lt;R&gt;1&lt;/R&gt;&lt;C&gt;1&lt;/C&gt;&lt;D xsi:type="xsd:string"&gt;Q3 2026 Earnings Release (Projected)&lt;/D&gt;&lt;/FQL&gt;&lt;FQL&gt;&lt;Q&gt;KR^CS_EVENT_DATEJ_N("ER",2)&lt;/Q&gt;&lt;R&gt;1&lt;/R&gt;&lt;C&gt;1&lt;/C&gt;&lt;D xsi:type="xsd:long"&gt;46269&lt;/D&gt;&lt;/FQL&gt;&lt;FQL&gt;&lt;Q&gt;KR^CS_EVENT_TIME_N("ER",2)&lt;/Q&gt;&lt;R&gt;1&lt;/R&gt;&lt;C&gt;1&lt;/C&gt;&lt;D xsi:type="xsd:string"&gt;Unspecified&lt;/D&gt;&lt;/FQL&gt;&lt;FQL&gt;&lt;Q&gt;VLO^CS_EVENT_TIME_N("ER",2)&lt;/Q&gt;&lt;R&gt;1&lt;/R&gt;&lt;C&gt;1&lt;/C&gt;&lt;D xsi:type="xsd:string"&gt;Unspecified&lt;/D&gt;&lt;/FQL&gt;&lt;FQL&gt;&lt;Q&gt;VLO^CS_EVENT_DESC_N("ER",2)&lt;/Q&gt;&lt;R&gt;1&lt;/R&gt;&lt;C&gt;1&lt;/C&gt;&lt;D xsi:type="xsd:string"&gt;Q2 2026 Earnings Release (Projected)&lt;/D&gt;&lt;/FQL&gt;&lt;FQL&gt;&lt;Q&gt;PH^CS_EVENT_TIME_N("ER",2)&lt;/Q&gt;&lt;R&gt;1&lt;/R&gt;&lt;C&gt;1&lt;/C&gt;&lt;D xsi:type="xsd:string"&gt;Unspecified&lt;/D&gt;&lt;/FQL&gt;&lt;FQL&gt;&lt;Q&gt;PH^CS_EVENT_DESC_N("ER",2)&lt;/Q&gt;&lt;R&gt;1&lt;/R&gt;&lt;C&gt;1&lt;/C&gt;&lt;D xsi:type="xsd:string"&gt;Q4 2026 Earnings Release (Projected)&lt;/D&gt;&lt;/FQL&gt;&lt;FQL&gt;&lt;Q&gt;ES^CS_EVENT_TIME_N("ER",2)&lt;/Q&gt;&lt;R&gt;1&lt;/R&gt;&lt;C&gt;1&lt;/C&gt;&lt;D xsi:type="xsd:string"&gt;Unspecified&lt;/D&gt;&lt;/FQL&gt;&lt;FQL&gt;&lt;Q&gt;ES^CS_EVENT_DESC_N("ER",2)&lt;/Q&gt;&lt;R&gt;1&lt;/R&gt;&lt;C&gt;1&lt;/C&gt;&lt;D xsi:type="xsd:string"&gt;Q2 2026 Earnings Release (Projected)&lt;/D&gt;&lt;/FQL&gt;&lt;FQL&gt;&lt;Q&gt;FICO^CS_EVENT_TIME_N("ER",2)&lt;/Q&gt;&lt;R&gt;1&lt;/R&gt;&lt;C&gt;1&lt;/C&gt;&lt;D xsi:type="xsd:string"&gt;Unspecified&lt;/D&gt;&lt;/FQL&gt;&lt;FQL&gt;&lt;Q&gt;FICO^CS_EVENT_DESC_N("ER",2)&lt;/Q&gt;&lt;R&gt;1&lt;/R&gt;&lt;C&gt;1&lt;/C&gt;&lt;D xsi:type="xsd:string"&gt;Q3 2026 Earnings Release (Projected)&lt;/D&gt;&lt;/FQL&gt;&lt;FQL&gt;&lt;Q&gt;AVGO^CS_EVENT_DATEJ_N("ER",2)&lt;/Q&gt;&lt;R&gt;1&lt;/R&gt;&lt;C&gt;1&lt;/C&gt;&lt;D xsi:type="xsd:long"&gt;46268&lt;/D&gt;&lt;/FQL&gt;&lt;FQL&gt;&lt;Q&gt;CPB^CS_EVENT_DATEJ_N("ER",2)&lt;/Q&gt;&lt;R&gt;1&lt;/R&gt;&lt;C&gt;1&lt;/C&gt;&lt;D xsi:type="xsd:long"&gt;46261&lt;/D&gt;&lt;/FQL&gt;&lt;FQL&gt;&lt;Q&gt;BF.B^CS_EVENT_DATEJ_N("ER",2)&lt;/Q&gt;&lt;R&gt;1&lt;/R&gt;&lt;C&gt;1&lt;/C&gt;&lt;D xsi:type="xsd:long"&gt;46267&lt;/D&gt;&lt;/FQL&gt;&lt;FQL&gt;&lt;Q&gt;ADBE^CS_EVENT_DATEJ_N("ER",2)&lt;/Q&gt;&lt;R&gt;1&lt;/R&gt;&lt;C&gt;1&lt;/C&gt;&lt;D xsi:type="xsd:long"&gt;46275&lt;/D&gt;&lt;/FQL&gt;&lt;FQL&gt;&lt;Q&gt;VRSK^CS_EVENT_DATEJ_N("ER",2)&lt;/Q&gt;&lt;R&gt;1&lt;/R&gt;&lt;C&gt;1&lt;/C&gt;&lt;D xsi:type="xsd:long"&gt;46239&lt;/D&gt;&lt;/FQL&gt;&lt;FQL&gt;&lt;Q&gt;VRSK^CS_EVENT_TIME_N("ER",2)&lt;/Q&gt;&lt;R&gt;1&lt;/R&gt;&lt;C&gt;1&lt;/C&gt;&lt;D xsi:type="xsd:string"&gt;Unspecified&lt;/D&gt;&lt;/FQL&gt;&lt;FQL&gt;&lt;Q&gt;TAP^CS_EVENT_DATEJ_N("ER",2)&lt;/Q&gt;&lt;R&gt;1&lt;/R&gt;&lt;C&gt;1&lt;/C&gt;&lt;D xsi:type="xsd:long"&gt;46238&lt;/D&gt;&lt;/FQL&gt;&lt;FQL&gt;&lt;Q&gt;TAP^CS_EVENT_TIME_N("ER",2)&lt;/Q&gt;&lt;R&gt;1&lt;/R&gt;&lt;C&gt;1&lt;/C&gt;&lt;D xsi:type="xsd:string"&gt;Unspecified&lt;/D&gt;&lt;/FQL&gt;&lt;FQL&gt;&lt;Q&gt;BIIB^CS_EVENT_DESC_N("ER",2)&lt;/Q&gt;&lt;R&gt;1&lt;/R&gt;&lt;C&gt;1&lt;/C&gt;&lt;D xsi:type="xsd:string"&gt;Q2 2026 Earnings Release (Projected)&lt;/D&gt;&lt;/FQL&gt;&lt;FQL&gt;&lt;Q&gt;O^CS_EVENT_DESC_N("ER",2)&lt;/Q&gt;&lt;R&gt;1&lt;/R&gt;&lt;C&gt;1&lt;/C&gt;&lt;D xsi:type="xsd:string"&gt;Q2 2026 Earnings Release (Projected)&lt;/D&gt;&lt;/FQL&gt;&lt;FQL&gt;&lt;Q&gt;TRMB^CS_EVENT_DESC_N("ER",2)&lt;/Q&gt;&lt;R&gt;1&lt;/R&gt;&lt;C&gt;1&lt;/C&gt;&lt;D xsi:type="xsd:string"&gt;Q2 2026 Earnings Release (Projected)&lt;/D&gt;&lt;/FQL&gt;&lt;FQL&gt;&lt;Q&gt;ALB^CS_EVENT_DESC_N("ER",2)&lt;/Q&gt;&lt;R&gt;1&lt;/R&gt;&lt;C&gt;1&lt;/C&gt;&lt;D xsi:type="xsd:string"&gt;Q2 2026 Earnings Release (Projected)&lt;/D&gt;&lt;/FQL&gt;&lt;FQL&gt;&lt;Q&gt;YUM^CS_EVENT_DESC_N("ER",2)&lt;/Q&gt;&lt;R&gt;1&lt;/R&gt;&lt;C&gt;1&lt;/C&gt;&lt;D xsi:type="xsd:string"&gt;Q2 2026 Earnings Release (Projected)&lt;/D&gt;&lt;/FQL&gt;&lt;FQL&gt;&lt;Q&gt;TT^CS_EVENT_DESC_N("ER",2)&lt;/Q&gt;&lt;R&gt;1&lt;/R&gt;&lt;C&gt;1&lt;/C&gt;&lt;D xsi:type="xsd:string"&gt;Q2 2026 Earnings Release (Projected)&lt;/D&gt;&lt;/FQL&gt;&lt;FQL&gt;&lt;Q&gt;QCOM^CS_EVENT_DATEJ_N("ER",2)&lt;/Q&gt;&lt;R&gt;1&lt;/R&gt;&lt;C&gt;1&lt;/C&gt;&lt;D xsi:type="xsd:long"&gt;46239&lt;/D&gt;&lt;/FQL&gt;&lt;FQL&gt;&lt;Q&gt;ES^CS_EVENT_DATEJ_N("ER",2)&lt;/Q&gt;&lt;R&gt;1&lt;/R&gt;&lt;C&gt;1&lt;/C&gt;&lt;D xsi:type="xsd:long"&gt;46239&lt;/D&gt;&lt;/FQL&gt;&lt;FQL&gt;&lt;Q&gt;FICO^CS_EVENT_DATEJ_N("ER",2)&lt;/Q&gt;&lt;R&gt;1&lt;/R&gt;&lt;C&gt;1&lt;/C&gt;&lt;D xsi:type="xsd:long"&gt;46239&lt;/D&gt;&lt;/FQL&gt;&lt;FQL&gt;&lt;Q&gt;BIIB^CS_EVENT_DATEJ_N("ER",2)&lt;/Q&gt;&lt;R&gt;1&lt;/R&gt;&lt;C&gt;1&lt;/C&gt;&lt;D xsi:type="xsd:long"&gt;46219&lt;/D&gt;&lt;/FQL&gt;&lt;FQL&gt;&lt;Q&gt;RCL^CS_EVENT_DESC_N("ER",2)&lt;/Q&gt;&lt;R&gt;1&lt;/R&gt;&lt;C&gt;1&lt;/C&gt;&lt;D xsi:type="xsd:string"&gt;Q2 2026 Earnings Release (Projected)&lt;/D&gt;&lt;/FQL&gt;&lt;FQL&gt;&lt;Q&gt;BDX^CS_EVENT_DESC_N("ER",2)&lt;/Q&gt;&lt;R&gt;1&lt;/R&gt;&lt;C&gt;1&lt;/C&gt;&lt;D xsi:type="xsd:string"&gt;Q3 2026 Earnings Release (Projected)&lt;/D&gt;&lt;/FQL&gt;&lt;FQL&gt;&lt;Q&gt;BALL^CS_EVENT_DESC_N("ER",2)&lt;/Q&gt;&lt;R&gt;1&lt;/R&gt;&lt;C&gt;1&lt;/C&gt;&lt;D xsi:type="xsd:string"&gt;Q2 2026 Earnings Release (Projected)&lt;/D&gt;&lt;/FQL&gt;&lt;FQL&gt;&lt;Q&gt;APO^CS_EVENT_DESC_N("ER",2)&lt;/Q&gt;&lt;R&gt;1&lt;/R&gt;&lt;C&gt;1&lt;/C&gt;&lt;D xsi:type="xsd:string"&gt;Q2 2026 Earnings Release (Projected)&lt;/D&gt;&lt;/FQL&gt;&lt;FQL&gt;&lt;Q&gt;D^CS_EVENT_DESC_N("ER",2)&lt;/Q&gt;&lt;R&gt;1&lt;/R&gt;&lt;C&gt;1&lt;/C&gt;&lt;D xsi:type="xsd:string"&gt;Q2 2026 Earnings Release (Projected)&lt;/D&gt;&lt;/FQL&gt;&lt;FQL&gt;&lt;Q&gt;TECH^CS_EVENT_DESC_N("ER",2)&lt;/Q&gt;&lt;R&gt;1&lt;/R&gt;&lt;C&gt;1&lt;/C&gt;&lt;D xsi:type="xsd:string"&gt;Q4 2026 Earnings Release (Projected)&lt;/D&gt;&lt;/FQL&gt;&lt;FQL&gt;&lt;Q&gt;QCOM^CS_EVENT_DESC_N("ER",2)&lt;/Q&gt;&lt;R&gt;1&lt;/R&gt;&lt;C&gt;1&lt;/C&gt;&lt;D xsi:type="xsd:string"&gt;Q3 2026 Earnings Release (Projected)&lt;/D&gt;&lt;/FQL&gt;&lt;FQL&gt;&lt;Q&gt;QCOM^CS_EVENT_TIME_N("ER",2)&lt;/Q&gt;&lt;R&gt;1&lt;/R&gt;&lt;C&gt;1&lt;/C&gt;&lt;D xsi:type="xsd:string"&gt;Unspecified&lt;/D&gt;&lt;/FQL&gt;&lt;FQL&gt;&lt;Q&gt;BDX^CS_EVENT_TIME_N("ER",2)&lt;/Q&gt;&lt;R&gt;1&lt;/R&gt;&lt;C&gt;1&lt;/C&gt;&lt;D xsi:type="xsd:string"&gt;Unspecified&lt;/D&gt;&lt;/FQL&gt;&lt;FQL&gt;&lt;Q&gt;BALL^CS_EVENT_TIME_N("ER",2)&lt;/Q&gt;&lt;R&gt;1&lt;/R&gt;&lt;C&gt;1&lt;/C&gt;&lt;D xsi:type="xsd:string"&gt;Unspecified&lt;/D&gt;&lt;/FQL&gt;&lt;FQL&gt;&lt;Q&gt;ADBE^CS_EVENT_TIME_N("ER",2)&lt;/Q&gt;&lt;R&gt;1&lt;/R&gt;&lt;C&gt;1&lt;/C&gt;&lt;D xsi:type="xsd:string"&gt;Unspecified&lt;/D&gt;&lt;/FQL&gt;&lt;FQL&gt;&lt;Q&gt;PEG^CS_EVENT_TIME_N("ER",2)&lt;/Q&gt;&lt;R&gt;1&lt;/R&gt;&lt;C&gt;1&lt;/C&gt;&lt;D xsi:type="xsd:string"&gt;Unspecified&lt;/D&gt;&lt;/FQL&gt;&lt;FQL&gt;&lt;Q&gt;PEG^CS_EVENT_DESC_N("ER",2)&lt;/Q&gt;&lt;R&gt;1&lt;/R&gt;&lt;C&gt;1&lt;/C&gt;&lt;D xsi:type="xsd:string"&gt;Q2 2026 Earnings Release (Projected)&lt;/D&gt;&lt;/FQL&gt;&lt;FQL&gt;&lt;Q&gt;AMD^CS_EVENT_TIME_N("ER",2)&lt;/Q&gt;&lt;R&gt;1&lt;/R&gt;&lt;C&gt;1&lt;/C&gt;&lt;D xsi:type="xsd:string"&gt;Unspecified&lt;/D&gt;&lt;/FQL&gt;&lt;FQL&gt;&lt;Q&gt;AMD^CS_EVENT_DESC_N("ER",2)&lt;/Q&gt;&lt;R&gt;1&lt;/R&gt;&lt;C&gt;1&lt;/C&gt;&lt;D xsi:type="xsd:string"&gt;Q2 2026 Earnings Release (Projected)&lt;/D&gt;&lt;/FQL&gt;&lt;FQL&gt;&lt;Q&gt;AIZ^CS_EVENT_TIME_N("ER",2)&lt;/Q&gt;&lt;R&gt;1&lt;/R&gt;&lt;C&gt;1&lt;/C&gt;&lt;D xsi:type="xsd:string"&gt;Unspecified&lt;/D&gt;&lt;/FQL&gt;&lt;FQL&gt;&lt;Q&gt;AIZ^CS_EVENT_DESC_N("ER",2)&lt;/Q&gt;&lt;R&gt;1&lt;/R&gt;&lt;C&gt;1&lt;/C&gt;&lt;D xsi:type="xsd:string"&gt;Q2 2026 Earnings Release (Projected)&lt;/D&gt;&lt;/FQL&gt;&lt;FQL&gt;&lt;Q&gt;INCY^CS_EVENT_TIME_N("ER",2)&lt;/Q&gt;&lt;R&gt;1&lt;/R&gt;&lt;C&gt;1&lt;/C&gt;&lt;D xsi:type="xsd:string"&gt;Unspecified&lt;/D&gt;&lt;/FQL&gt;&lt;FQL&gt;&lt;Q&gt;INCY^CS_EVENT_DESC_N("ER",2)&lt;/Q&gt;&lt;R&gt;1&lt;/R&gt;&lt;C&gt;1&lt;/C&gt;&lt;D xsi:type="xsd:string"&gt;Q2 2026 Earnings Release (Projected)&lt;/D&gt;&lt;/FQL&gt;&lt;FQL&gt;&lt;Q&gt;PSA^CS_EVENT_TIME_N("ER",2)&lt;/Q&gt;&lt;R&gt;1&lt;/R&gt;&lt;C&gt;1&lt;/C&gt;&lt;D xsi:type="xsd:string"&gt;Unspecified&lt;/D&gt;&lt;/FQL&gt;&lt;FQL&gt;&lt;Q&gt;PSA^CS_EVENT_DESC_N("ER",2)&lt;/Q&gt;&lt;R&gt;1&lt;/R&gt;&lt;C&gt;1&lt;/C&gt;&lt;D xsi:type="xsd:string"&gt;Q2 2026 Earnings Release (Projected)&lt;/D&gt;&lt;/FQL&gt;&lt;FQL&gt;&lt;Q&gt;EA^CS_EVENT_TIME_N("ER",2)&lt;/Q&gt;&lt;R&gt;1&lt;/R&gt;&lt;C&gt;1&lt;/C&gt;&lt;D xsi:type="xsd:string"&gt;Unspecified&lt;/D&gt;&lt;/FQL&gt;&lt;FQL&gt;&lt;Q&gt;EA^CS_EVENT_DESC_N("ER",2)&lt;/Q&gt;&lt;R&gt;1&lt;/R&gt;&lt;C&gt;1&lt;/C&gt;&lt;D xsi:type="xsd:string"&gt;Q1 2027 Earnings Release (Projected)&lt;/D&gt;&lt;/FQL&gt;&lt;FQL&gt;&lt;Q&gt;PFE^CS_EVENT_TIME_N("ER",2)&lt;/Q&gt;&lt;R&gt;1&lt;/R&gt;&lt;C&gt;1&lt;/C&gt;&lt;D xsi:type="xsd:string"&gt;Unspecified&lt;/D&gt;&lt;/FQL&gt;&lt;FQL&gt;&lt;Q&gt;PFE^CS_EVENT_DESC_N("ER",2)&lt;/Q&gt;&lt;R&gt;1&lt;/R&gt;&lt;C&gt;1&lt;/C&gt;&lt;D xsi:type="xsd:string"&gt;Q2 2026 Earnings Release (Projected)&lt;/D&gt;&lt;/FQL&gt;&lt;FQL&gt;&lt;Q&gt;CMI^CS_EVENT_TIME_N("ER",2)&lt;/Q&gt;&lt;R&gt;1&lt;/R&gt;&lt;C&gt;1&lt;/C&gt;&lt;D xsi:type="xsd:string"&gt;Unspecified&lt;/D&gt;&lt;/FQL&gt;&lt;FQL&gt;&lt;Q&gt;CMI^CS_EVENT_DESC_N("ER",2)&lt;/Q&gt;&lt;R&gt;1&lt;/R&gt;&lt;C&gt;1&lt;/C&gt;&lt;D xsi:type="xsd:string"&gt;Q2 2026 Earnings Release (Projected)&lt;/D&gt;&lt;/FQL&gt;&lt;FQL&gt;&lt;Q&gt;ROK^CS_EVENT_TIME_N("ER",2)&lt;/Q&gt;&lt;R&gt;1&lt;/R&gt;&lt;C&gt;1&lt;/C&gt;&lt;D xsi:type="xsd:string"&gt;Unspecified&lt;/D&gt;&lt;/FQL&gt;&lt;FQL&gt;&lt;Q&gt;ROK^CS_EVENT_DESC_N("ER",2)&lt;/Q&gt;&lt;R&gt;1&lt;/R&gt;&lt;C&gt;1&lt;/C&gt;&lt;D xsi:type="xsd:string"&gt;Q3 2026 Earnings Release (Projected)&lt;/D&gt;&lt;/FQL&gt;&lt;FQL&gt;&lt;Q&gt;EOG^CS_EVENT_TIME_N("ER",2)&lt;/Q&gt;&lt;R&gt;1&lt;/R&gt;&lt;C&gt;1&lt;/C&gt;&lt;D xsi:type="xsd:string"&gt;Unspecified&lt;/D&gt;&lt;/FQL&gt;&lt;FQL&gt;&lt;Q&gt;EOG^CS_EVENT_DESC_N("ER",2)&lt;/Q&gt;&lt;R&gt;1&lt;/R&gt;&lt;C&gt;1&lt;/C&gt;&lt;D xsi:type="xsd:string"&gt;Q2 2026 Earnings Release (Projected)&lt;/D&gt;&lt;/FQL&gt;&lt;FQL&gt;&lt;Q&gt;ORCL^CS_EVENT_DATEJ_N("ER",2)&lt;/Q&gt;&lt;R&gt;1&lt;/R&gt;&lt;C&gt;1&lt;/C&gt;&lt;D xsi:type="xsd:long"&gt;46279&lt;/D&gt;&lt;/FQL&gt;&lt;FQL&gt;&lt;Q&gt;ORCL^CS_EVENT_TIME_N("ER",2)&lt;/Q&gt;&lt;R&gt;1&lt;/R&gt;&lt;C&gt;1&lt;/C&gt;&lt;D xsi:type="xsd:string"&gt;Unspecified&lt;/D&gt;&lt;/FQL&gt;&lt;FQL&gt;&lt;Q&gt;ORCL^CS_EVENT_DESC_N("ER",2)&lt;/Q&gt;&lt;R&gt;1&lt;/R&gt;&lt;C&gt;1&lt;/C&gt;&lt;D xsi:type="xsd:string"&gt;Q1 2027 Earnings Release (Projected)&lt;/D&gt;&lt;/FQL&gt;&lt;FQL&gt;&lt;Q&gt;ACN^CS_EVENT_DATEJ_N("ER",2)&lt;/Q&gt;&lt;R&gt;1&lt;/R&gt;&lt;C&gt;1&lt;/C&gt;&lt;D xsi:type="xsd:long"&gt;46289&lt;/D&gt;&lt;/FQL&gt;&lt;FQL&gt;&lt;Q&gt;ACN^CS_EVENT_TIME_N("ER",2)&lt;/Q&gt;&lt;R&gt;1&lt;/R&gt;&lt;C&gt;1&lt;/C&gt;&lt;D xsi:type="xsd:string"&gt;Unspecified&lt;/D&gt;&lt;/FQL&gt;&lt;FQL&gt;&lt;Q&gt;ACN^CS_EVENT_DESC_N("ER",2)&lt;/Q&gt;&lt;R&gt;1&lt;/R&gt;&lt;C&gt;1&lt;/C&gt;&lt;D xsi:type="xsd:string"&gt;Q4 2026 Earnings Release (Projected)&lt;/D&gt;&lt;/FQL&gt;&lt;FQL&gt;&lt;Q&gt;JBL^CS_EVENT_DATEJ_N("ER",2)&lt;/Q&gt;&lt;R&gt;1&lt;/R&gt;&lt;C&gt;1&lt;/C&gt;&lt;D xsi:type="xsd:long"&gt;46289&lt;/D&gt;&lt;/FQL&gt;&lt;FQL&gt;&lt;Q&gt;JBL^CS_EVENT_TIME_N("ER",2)&lt;/Q&gt;&lt;R&gt;1&lt;/R&gt;&lt;C&gt;1&lt;/C&gt;&lt;D xsi:type="xsd:string"&gt;Unspecified&lt;/D&gt;&lt;/FQL&gt;&lt;FQL&gt;&lt;Q&gt;JBL^CS_EVENT_DESC_N("ER",2)&lt;/Q&gt;&lt;R&gt;1&lt;/R&gt;&lt;C&gt;1&lt;/C&gt;&lt;D xsi:type="xsd:string"&gt;Q4 2026 Earnings Release (Projected)&lt;/D&gt;&lt;/FQL&gt;&lt;FQL&gt;&lt;Q&gt;DRI^CS_EVENT_DATEJ_N("ER",2)&lt;/Q&gt;&lt;R&gt;1&lt;/R&gt;&lt;C&gt;1&lt;/C&gt;&lt;D xsi:type="xsd:long"&gt;46282&lt;/D&gt;&lt;/FQL&gt;&lt;FQL&gt;&lt;Q&gt;DRI^CS_EVENT_TIME_N("ER",2)&lt;/Q&gt;&lt;R&gt;1&lt;/R&gt;&lt;C&gt;1&lt;/C&gt;&lt;D xsi:type="xsd:string"&gt;Unspecified&lt;/D&gt;&lt;/FQL&gt;&lt;FQL&gt;&lt;Q&gt;DRI^CS_EVENT_DESC_N("ER",2)&lt;/Q&gt;&lt;R&gt;1&lt;/R&gt;&lt;C&gt;1&lt;/C&gt;&lt;D xsi:type="xsd:string"&gt;Q1 2027 Earnings Release (Projected)&lt;/D&gt;&lt;/FQL&gt;&lt;FQL&gt;&lt;Q&gt;FDS^CS_EVENT_DATEJ_N("ER",2)&lt;/Q&gt;&lt;R&gt;1&lt;/R&gt;&lt;C&gt;1&lt;/C&gt;&lt;D xsi:type="xsd:long"&gt;46282&lt;/D&gt;&lt;/FQL&gt;&lt;FQL&gt;&lt;Q&gt;FDS^CS_EVENT_TIME_N("ER",2)&lt;/Q&gt;&lt;R&gt;1&lt;/R&gt;&lt;C&gt;1&lt;/C&gt;&lt;D xsi:type="xsd:string"&gt;Unspecified&lt;/D&gt;&lt;/FQL&gt;&lt;FQL&gt;&lt;Q&gt;FDS^CS_EVENT_DESC_N("ER",2)&lt;/Q&gt;&lt;R&gt;1&lt;/R&gt;&lt;C&gt;1&lt;/C&gt;&lt;D xsi:type="xsd:string"&gt;Q4 2026 Earnings Release (Projected)&lt;/D&gt;&lt;/FQL&gt;&lt;FQL&gt;&lt;Q&gt;LEN^CS_EVENT_DATEJ_N("ER",2)&lt;/Q&gt;&lt;R&gt;1&lt;/R&gt;&lt;C&gt;1&lt;/C&gt;&lt;D xsi:type="xsd:long"&gt;46282&lt;/D&gt;&lt;/FQL&gt;&lt;FQL&gt;&lt;Q&gt;LEN^CS_EVENT_TIME_N("ER",2)&lt;/Q&gt;&lt;R&gt;1&lt;/R&gt;&lt;C&gt;1&lt;/C&gt;&lt;D xsi:type="xsd:string"&gt;Unspecified&lt;/D&gt;&lt;/FQL&gt;&lt;FQL&gt;&lt;Q&gt;LEN^CS_EVENT_DESC_N("ER",2)&lt;/Q&gt;&lt;R&gt;1&lt;/R&gt;&lt;C&gt;1&lt;/C&gt;&lt;D xsi:type="xsd:string"&gt;Q3 2026 Earnings Release (Projected)&lt;/D&gt;&lt;/FQL&gt;&lt;FQL&gt;&lt;Q&gt;FDX^CS_EVENT_DATEJ_N("ER",2)&lt;/Q&gt;&lt;R&gt;1&lt;/R&gt;&lt;C&gt;1&lt;/C&gt;&lt;D xsi:type="xsd:long"&gt;46282&lt;/D&gt;&lt;/FQL&gt;&lt;FQL&gt;&lt;Q&gt;FDX^CS_EVENT_TIME_N("ER",2)&lt;/Q&gt;&lt;R&gt;1&lt;/R&gt;&lt;C&gt;1&lt;/C&gt;&lt;D xsi:type="xsd:string"&gt;Unspecified&lt;/D&gt;&lt;/FQL&gt;&lt;FQL&gt;&lt;Q&gt;FDX^CS_EVENT_DESC_N("ER",2)&lt;/Q&gt;&lt;R&gt;1&lt;/R&gt;&lt;C&gt;1&lt;/C&gt;&lt;D xsi:type="xsd:string"&gt;Q1 2027 Earnings Release (Projected)&lt;/D&gt;&lt;/FQL&gt;&lt;FQL&gt;&lt;Q&gt;MKC^CS_EVENT_DATEJ_N("ER",2)&lt;/Q&gt;&lt;R&gt;1&lt;/R&gt;&lt;C&gt;1&lt;/C&gt;&lt;D xsi:type="xsd:long"&gt;46301&lt;/D&gt;&lt;/FQL&gt;&lt;FQL&gt;&lt;Q&gt;MKC^CS_EVENT_TIME_N("ER",2)&lt;/Q&gt;&lt;R&gt;1&lt;/R&gt;&lt;C&gt;1&lt;/C&gt;&lt;D xsi:type="xsd:string"&gt;Unspecified&lt;/D&gt;&lt;/FQL&gt;&lt;FQL&gt;&lt;Q&gt;MKC^CS_EVENT_DESC_N("ER",2)&lt;/Q&gt;&lt;R&gt;1&lt;/R&gt;&lt;C&gt;1&lt;/C&gt;&lt;D xsi:type="xsd:string"&gt;Q3 2026 Earnings Release (Projected)&lt;/D&gt;&lt;/FQL&gt;&lt;FQL&gt;&lt;Q&gt;NKE^CS_EVENT_DATEJ_N("ER",2)&lt;/Q&gt;&lt;R&gt;1&lt;/R&gt;&lt;C&gt;1&lt;/C&gt;&lt;D xsi:type="xsd:long"&gt;46289&lt;/D&gt;&lt;/FQL&gt;&lt;FQL&gt;&lt;Q&gt;NKE^CS_EVENT_TIME_N("ER",2)&lt;/Q&gt;&lt;R&gt;1&lt;/R&gt;&lt;C&gt;1&lt;/C&gt;&lt;D xsi:type="xsd:string"&gt;Unspecified&lt;/D&gt;&lt;/FQL&gt;&lt;FQL&gt;&lt;Q&gt;NKE^CS_EVENT_DESC_N("ER",2)&lt;/Q&gt;&lt;R&gt;1&lt;/R&gt;&lt;C&gt;1&lt;/C&gt;&lt;D xsi:type="xsd:string"&gt;Q1 2027 Earnings Release (Projected)&lt;/D&gt;&lt;/FQL&gt;&lt;FQL&gt;&lt;Q&gt;CCL^CS_EVENT_DATEJ_N("ER",2)&lt;/Q&gt;&lt;R&gt;1&lt;/R&gt;&lt;C&gt;1&lt;/C&gt;&lt;D xsi:type="xsd:long"&gt;46282&lt;/D&gt;&lt;/FQL&gt;&lt;FQL&gt;&lt;Q&gt;CCL^CS_EVENT_TIME_N("ER",2)&lt;/Q&gt;&lt;R&gt;1&lt;/R&gt;&lt;C&gt;1&lt;/C&gt;&lt;D xsi:type="xsd:string"&gt;Unspecified&lt;/D&gt;&lt;/FQL&gt;&lt;FQL&gt;&lt;Q&gt;CCL^CS_EVENT_DESC_N("ER",2)&lt;/Q&gt;&lt;R&gt;1&lt;/R&gt;&lt;C&gt;1&lt;/C&gt;&lt;D xsi:type="xsd:string"&gt;Q3 2026 Earnings Release (Projected)&lt;/D&gt;&lt;/FQL&gt;&lt;FQL&gt;&lt;Q&gt;GIS^CS_EVENT_DATEJ_N("ER",2)&lt;/Q&gt;&lt;R&gt;1&lt;/R&gt;&lt;C&gt;1&lt;/C&gt;&lt;D xsi:type="xsd:long"&gt;46288&lt;/D&gt;&lt;/FQL&gt;&lt;FQL&gt;&lt;Q&gt;GIS^CS_EVENT_TIME_N("ER",2)&lt;/Q&gt;&lt;R&gt;1&lt;/R&gt;&lt;C&gt;1&lt;/C&gt;&lt;D xsi:type="xsd:string"&gt;Unspecified&lt;/D&gt;&lt;/FQL&gt;&lt;FQL&gt;&lt;Q&gt;GIS^CS_EVENT_DESC_N("ER",2)&lt;/Q&gt;&lt;R&gt;1&lt;/R&gt;&lt;C&gt;1&lt;/C&gt;&lt;D xsi:type="xsd:string"&gt;Q1 2027 Earnings Release (Projected)&lt;/D&gt;&lt;/FQL&gt;&lt;FQL&gt;&lt;Q&gt;MU^CS_EVENT_DATEJ_N("ER",2)&lt;/Q&gt;&lt;R&gt;1&lt;/R&gt;&lt;C&gt;1&lt;/C&gt;&lt;D xsi:type="xsd:long"&gt;46294&lt;/D&gt;&lt;/FQL&gt;&lt;FQL&gt;&lt;Q&gt;MU^CS_EVENT_TIME_N("ER",2)&lt;/Q&gt;&lt;R&gt;1&lt;/R&gt;&lt;C&gt;1&lt;/C&gt;&lt;D xsi:type="xsd:string"&gt;Unspecified&lt;/D&gt;&lt;/FQL&gt;&lt;FQL&gt;&lt;Q&gt;MU^CS_EVENT_DESC_N("ER",2)&lt;/Q&gt;&lt;R&gt;1&lt;/R&gt;&lt;C&gt;1&lt;/C&gt;&lt;D xsi:type="xsd:string"&gt;Q4 2026 Earnings Release (Projected)&lt;/D&gt;&lt;/FQL&gt;&lt;FQL&gt;&lt;Q&gt;PAYX^CS_EVENT_DATEJ_N("ER",2)&lt;/Q&gt;&lt;R&gt;1&lt;/R&gt;&lt;C&gt;1&lt;/C&gt;&lt;D xsi:type="xsd:long"&gt;46295&lt;/D&gt;&lt;/FQL&gt;&lt;FQL&gt;&lt;Q&gt;PAYX^CS_EVENT_TIME_N("ER",2)&lt;/Q&gt;&lt;R&gt;1&lt;/R&gt;&lt;C&gt;1&lt;/C&gt;&lt;D xsi:type="xsd:string"&gt;Unspecified&lt;/D&gt;&lt;/FQL&gt;&lt;FQL&gt;&lt;Q&gt;PAYX^CS_EVENT_DESC_N("ER",2)&lt;/Q&gt;&lt;R&gt;1&lt;/R&gt;&lt;C&gt;1&lt;/C&gt;&lt;D xsi:type="xsd:string"&gt;Q1 2027 Earnings Release (Projected)&lt;/D&gt;&lt;/FQL&gt;&lt;FQL&gt;&lt;Q&gt;CTAS^CS_EVENT_DATEJ_N("ER",2)&lt;/Q&gt;&lt;R&gt;1&lt;/R&gt;&lt;C&gt;1&lt;/C&gt;&lt;D xsi:type="xsd:long"&gt;46295&lt;/D&gt;&lt;/FQL&gt;&lt;FQL&gt;&lt;Q&gt;CTAS^CS_EVENT_TIME_N("ER",2)&lt;/Q&gt;&lt;R&gt;1&lt;/R&gt;&lt;C&gt;1&lt;/C&gt;&lt;D xsi:type="xsd:string"&gt;Unspecified&lt;/D&gt;&lt;/FQL&gt;&lt;FQL&gt;&lt;Q&gt;CTAS^CS_EVENT_DESC_N("ER",2)&lt;/Q&gt;&lt;R&gt;1&lt;/R&gt;&lt;C&gt;1&lt;/C&gt;&lt;D xsi:type="xsd:string"&gt;Q1 2027 Earnings Release (Projected)&lt;/D&gt;&lt;/FQL&gt;&lt;FQL&gt;&lt;Q&gt;AON^CS_EVENT_DATEJ_N("ER",2)&lt;/Q&gt;&lt;R&gt;1&lt;/R&gt;&lt;C&gt;1&lt;/C&gt;&lt;D xsi:type="xsd:long"&gt;46318&lt;/D&gt;&lt;/FQL&gt;&lt;FQL&gt;&lt;Q&gt;AON^CS_EVENT_TIME_N("ER",2)&lt;/Q&gt;&lt;R&gt;1&lt;/R&gt;&lt;C&gt;1&lt;/C&gt;&lt;D xsi:type="xsd:string"&gt;Unspecified&lt;/D&gt;&lt;/FQL&gt;&lt;FQL&gt;&lt;Q&gt;AON^CS_EVENT_DESC_N("ER",2)&lt;/Q&gt;&lt;R&gt;1&lt;/R&gt;&lt;C&gt;1&lt;/C&gt;&lt;D xsi:type="xsd:string"&gt;Q3 2026 Earnings Release (Projected)&lt;/D&gt;&lt;/FQL&gt;&lt;FQL&gt;&lt;Q&gt;IQV^CS_EVENT_DATEJ_N("ER",2)&lt;/Q&gt;&lt;R&gt;1&lt;/R&gt;&lt;C&gt;1&lt;/C&gt;&lt;D xsi:type="xsd:long"&gt;46330&lt;/D&gt;&lt;/FQL&gt;&lt;FQL&gt;&lt;Q&gt;IQV^CS_EVENT_TIME_N("ER",2)&lt;/Q&gt;&lt;R&gt;1&lt;/R&gt;&lt;C&gt;1&lt;/C&gt;&lt;D xsi:type="xsd:string"&gt;Unspecified&lt;/D&gt;&lt;/FQL&gt;&lt;FQL&gt;&lt;Q&gt;IQV^CS_EVENT_DESC_N("ER",2)&lt;/Q&gt;&lt;R&gt;1&lt;/R&gt;&lt;C&gt;1&lt;/C&gt;&lt;D xsi:type="xsd:string"&gt;Q3 2026 Earnings Release (Projected)&lt;/D&gt;&lt;/FQL&gt;&lt;FQL&gt;&lt;Q&gt;IT^CS_EVENT_DATEJ_N("ER",2)&lt;/Q&gt;&lt;R&gt;1&lt;/R&gt;&lt;C&gt;1&lt;/C&gt;&lt;D xsi:type="xsd:long"&gt;46329&lt;/D&gt;&lt;/FQL&gt;&lt;FQL&gt;&lt;Q&gt;IT^CS_EVENT_TIME_N("ER",2)&lt;/Q&gt;&lt;R&gt;1&lt;/R&gt;&lt;C&gt;1&lt;/C&gt;&lt;D xsi:type="xsd:string"&gt;Unspecified&lt;/D&gt;&lt;/FQL&gt;&lt;FQL&gt;&lt;Q&gt;IT^CS_EVENT_DESC_N("ER",2)&lt;/Q&gt;&lt;R&gt;1&lt;/R&gt;&lt;C&gt;1&lt;/C&gt;&lt;D xsi:type="xsd:string"&gt;Q3 2026 Earnings Release (Projected)&lt;/D&gt;&lt;/FQL&gt;&lt;FQL&gt;&lt;Q&gt;PEG^CS_EVENT_DATEJ_N("ER",2)&lt;/Q&gt;&lt;R&gt;1&lt;/R&gt;&lt;C&gt;1&lt;/C&gt;&lt;D xsi:type="xsd:long"&gt;46238&lt;/D&gt;&lt;/FQL&gt;&lt;FQL&gt;&lt;Q&gt;AMD^CS_EVENT_DATEJ_N("ER",2)&lt;/Q&gt;&lt;R&gt;1&lt;/R&gt;&lt;C&gt;1&lt;/C&gt;&lt;D xsi:type="xsd:long"&gt;46238&lt;/D&gt;&lt;/FQL&gt;&lt;FQL&gt;&lt;Q&gt;AIZ^CS_EVENT_DATEJ_N("ER",2)&lt;/Q&gt;&lt;R&gt;1&lt;/R&gt;&lt;C&gt;1&lt;/C&gt;&lt;D xsi:type="xsd:long"&gt;46238&lt;/D&gt;&lt;/FQL&gt;&lt;FQL&gt;&lt;Q&gt;INCY^CS_EVENT_DATEJ_N("ER",2)&lt;/Q&gt;&lt;R&gt;1&lt;/R&gt;&lt;C&gt;1&lt;/C&gt;&lt;D xsi:type="xsd:long"&gt;46238&lt;/D&gt;&lt;/FQL&gt;&lt;FQL&gt;&lt;Q&gt;PSA^CS_EVENT_DATEJ_N("ER",2)&lt;/Q&gt;&lt;R&gt;1&lt;/R&gt;&lt;C&gt;1&lt;/C&gt;&lt;D xsi:type="xsd:long"&gt;46238&lt;/D&gt;&lt;/FQL&gt;&lt;FQL&gt;&lt;Q&gt;EA^CS_EVENT_DATEJ_N("ER",2)&lt;/Q&gt;&lt;R&gt;1&lt;/R&gt;&lt;C&gt;1&lt;/C&gt;&lt;D xsi:type="xsd:long"&gt;46238&lt;/D&gt;&lt;/FQL&gt;&lt;FQL&gt;&lt;Q&gt;PFE^CS_EVENT_DATEJ_N("ER",2)&lt;/Q&gt;&lt;R&gt;1&lt;/R&gt;&lt;C&gt;1&lt;/C&gt;&lt;D xsi:type="xsd:long"&gt;46238&lt;/D&gt;&lt;/FQL&gt;&lt;FQL&gt;&lt;Q&gt;CMI^CS_EVENT_DATEJ_N("ER",2)&lt;/Q&gt;&lt;R&gt;1&lt;/R&gt;&lt;C&gt;1&lt;/C&gt;&lt;D xsi:type="xsd:long"&gt;46238&lt;/D&gt;&lt;/FQL&gt;&lt;FQL&gt;&lt;Q&gt;ROK^CS_EVENT_DATEJ_N("ER",2)&lt;/Q&gt;&lt;R&gt;1&lt;/R&gt;&lt;C&gt;1&lt;/C&gt;&lt;D xsi:type="xsd:long"&gt;46238&lt;/D&gt;&lt;/FQL&gt;&lt;FQL&gt;&lt;Q&gt;EOG^CS_EVENT_DATEJ_N("ER",2)&lt;/Q&gt;&lt;R&gt;1&lt;/R&gt;&lt;C&gt;1&lt;/C&gt;&lt;D xsi:type="xsd:long"&gt;46233&lt;/D&gt;&lt;/FQL&gt;&lt;FQL&gt;&lt;Q&gt;ZBH^CS_EVENT_DATEJ_N("ER",2)&lt;/Q&gt;&lt;R&gt;1&lt;/R&gt;&lt;C&gt;1&lt;/C&gt;&lt;D xsi:type="xsd:long"&gt;46238&lt;/D&gt;&lt;/FQL&gt;&lt;FQL&gt;&lt;Q&gt;LDOS^CS_EVENT_DATEJ_N("ER",2)&lt;/Q&gt;&lt;R&gt;1&lt;/R&gt;&lt;C&gt;1&lt;/C&gt;&lt;D xsi:type="xsd:long"&gt;46238&lt;/D&gt;&lt;/FQL&gt;&lt;FQL&gt;&lt;Q&gt;KKR^CS_EVENT_DATEJ_N("ER",2)&lt;/Q&gt;&lt;R&gt;1&lt;/R&gt;&lt;C&gt;1&lt;/C&gt;&lt;D xsi:type="xsd:long"&gt;46238&lt;/D&gt;&lt;/FQL&gt;&lt;FQL&gt;&lt;Q&gt;D^CS_EVENT_TIME_N("ER",2)&lt;/Q&gt;&lt;R&gt;1&lt;/R&gt;&lt;C&gt;1&lt;/C&gt;&lt;D xsi:type="xsd:string"&gt;Unspecified&lt;/D&gt;&lt;/FQL&gt;&lt;FQL&gt;&lt;Q&gt;BIIB^CS_EVENT_TIME_N("ER",2)&lt;/Q&gt;&lt;R&gt;1&lt;/R&gt;&lt;C&gt;1&lt;/C&gt;&lt;D xsi:type="xsd:string"&gt;Unspecified&lt;/D&gt;&lt;/FQL&gt;&lt;FQL&gt;&lt;Q&gt;AVGO^CS_EVENT_TIME_N("ER",2)&lt;/Q&gt;&lt;R&gt;1&lt;/R&gt;&lt;C&gt;1&lt;/C&gt;&lt;D xsi:type="xsd:string"&gt;Unspecified&lt;/D&gt;&lt;/FQL&gt;&lt;FQL&gt;&lt;Q&gt;AVGO^CS_EVENT_DESC_N("ER",2)&lt;/Q&gt;&lt;R&gt;1&lt;/R&gt;&lt;C&gt;1&lt;/C&gt;&lt;D xsi:type="xsd:string"&gt;Q3 2026 Earnings Release (Projected)&lt;/D&gt;&lt;/FQL&gt;&lt;FQL&gt;&lt;Q&gt;CPB^CS_EVENT_TIME_N("ER",2)&lt;/Q&gt;&lt;R&gt;1&lt;/R&gt;&lt;C&gt;1&lt;/C&gt;&lt;D xsi:type="xsd:string"&gt;Unspecified&lt;/D&gt;&lt;/FQL&gt;&lt;FQL&gt;&lt;Q&gt;CPB^CS_EVENT_DESC_N("ER",2)&lt;/Q&gt;&lt;R&gt;1&lt;/R&gt;&lt;C&gt;1&lt;/C&gt;&lt;D xsi:type="xsd:string"&gt;Q4 2026 Earnings Release (Projected)&lt;/D&gt;&lt;/FQL&gt;&lt;FQL&gt;&lt;Q&gt;BF.B^CS_EVENT_TIME_N("ER",2)&lt;/Q&gt;&lt;R&gt;1&lt;/R&gt;&lt;C&gt;1&lt;/C&gt;&lt;D xsi:type="xsd:string"&gt;Unspecified&lt;/D&gt;&lt;/FQL&gt;&lt;FQL&gt;&lt;Q&gt;BF.B^CS_EVENT_DESC_N("ER",2)&lt;/Q&gt;&lt;R&gt;1&lt;/R&gt;&lt;C&gt;1&lt;/C&gt;&lt;D xsi:type="xsd:string"&gt;Q1 2027 Earnings Release (Projected)&lt;/D&gt;&lt;/FQL&gt;&lt;FQL&gt;&lt;Q&gt;SMCI^CS_EVENT_DATEJ_N("ER",2)&lt;/Q&gt;&lt;R&gt;1&lt;/R&gt;&lt;C&gt;1&lt;/C&gt;&lt;D xsi:type="xsd:long"&gt;46245&lt;/D&gt;&lt;/FQL&gt;&lt;FQL&gt;&lt;Q&gt;SMCI^CS_EVENT_TIME_N("ER",2)&lt;/Q&gt;&lt;R&gt;1&lt;/R&gt;&lt;C&gt;1&lt;/C&gt;&lt;D xsi:type="xsd:string"&gt;Unspecified&lt;/D&gt;&lt;/FQL&gt;&lt;FQL&gt;&lt;Q&gt;SMCI^CS_EVENT_DESC_N("ER",2)&lt;/Q&gt;&lt;R&gt;1&lt;/R&gt;&lt;C&gt;1&lt;/C&gt;&lt;D xsi:type="xsd:string"&gt;Q4 2026 Earnings Release (Projected)&lt;/D&gt;&lt;/FQL&gt;&lt;FQL&gt;&lt;Q&gt;BR^CS_EVENT_DATEJ_N("ER",2)&lt;/Q&gt;&lt;R&gt;1&lt;/R&gt;&lt;C&gt;1&lt;/C&gt;&lt;D xsi:type="xsd:long"&gt;46245&lt;/D&gt;&lt;/FQL&gt;&lt;FQL&gt;&lt;Q&gt;BR^CS_EVENT_TIME_N("ER",2)&lt;/Q&gt;&lt;R&gt;1&lt;/R&gt;&lt;C&gt;1&lt;/C&gt;&lt;D xsi:type="xsd:string"&gt;Unspecified&lt;/D&gt;&lt;/FQL&gt;&lt;FQL&gt;&lt;Q&gt;BR^CS_EVENT_DESC_N("ER",2)&lt;/Q&gt;&lt;R&gt;1&lt;/R&gt;&lt;C&gt;1&lt;/C&gt;&lt;D xsi:type="xsd:string"&gt;Q4 2026 Earnings Release (Projected)&lt;/D&gt;&lt;/FQL&gt;&lt;FQL&gt;&lt;Q&gt;MPC^CS_EVENT_DATEJ_N("ER",2)&lt;/Q&gt;&lt;R&gt;1&lt;/R&gt;&lt;C&gt;1&lt;/C&gt;&lt;D xsi:type="xsd:long"&gt;46329&lt;/D&gt;&lt;/FQL&gt;&lt;FQL&gt;&lt;Q&gt;MPC^CS_EVENT_TIME_N("ER",2)&lt;/Q&gt;&lt;R&gt;1&lt;/R&gt;&lt;C&gt;1&lt;/C&gt;&lt;D xsi:type="xsd:string"&gt;Unspecified&lt;/D&gt;&lt;/FQL&gt;&lt;FQL&gt;&lt;Q&gt;MPC^CS_EVENT_DESC_N("ER",2)&lt;/Q&gt;&lt;R&gt;1&lt;/R&gt;&lt;C&gt;1&lt;/C&gt;&lt;D xsi:type="xsd:string"&gt;Q3 2026 Earnings Release (Projected)&lt;/D&gt;&lt;/FQL&gt;&lt;FQL&gt;&lt;Q&gt;PYPL^CS_EVENT_DATEJ_N("ER",2)&lt;/Q&gt;&lt;R&gt;1&lt;/R&gt;&lt;C&gt;1&lt;/C&gt;&lt;D xsi:type="xsd:long"&gt;46238&lt;/D&gt;&lt;/FQL&gt;&lt;FQL&gt;&lt;Q&gt;PYPL^CS_EVENT_TIME_N("ER",2)&lt;/Q&gt;&lt;R&gt;1&lt;/R&gt;&lt;C&gt;1&lt;/C&gt;&lt;D xsi:type="xsd:string"&gt;Unspecified&lt;/D&gt;&lt;/FQL&gt;&lt;FQL&gt;&lt;Q&gt;PYPL^CS_EVENT_DESC_N("ER",2)&lt;/Q&gt;&lt;R&gt;1&lt;/R&gt;&lt;C&gt;1&lt;/C&gt;&lt;D xsi:type="xsd:string"&gt;Q2 2026 Earnings Release (Projected)&lt;/D&gt;&lt;/FQL&gt;&lt;FQL&gt;&lt;Q&gt;INVH^CS_EVENT_DATEJ_N("ER",2)&lt;/Q&gt;&lt;R&gt;1&lt;/R&gt;&lt;C&gt;1&lt;/C&gt;&lt;D xsi:type="xsd:long"&gt;46232&lt;/D&gt;&lt;/FQL&gt;&lt;FQL&gt;&lt;Q&gt;INVH^CS_EVENT_TIME_N("ER",2)&lt;/Q&gt;&lt;R&gt;1&lt;/R&gt;&lt;C&gt;1&lt;/C&gt;&lt;D xsi:type="xsd:string"&gt;Unspecified&lt;/D&gt;&lt;/FQL&gt;&lt;FQL&gt;&lt;Q&gt;INVH^CS_EVENT_DESC_N("ER",2)&lt;/Q&gt;&lt;R&gt;1&lt;/R&gt;&lt;C&gt;1&lt;/C&gt;&lt;D xsi:type="xsd:string"&gt;Q2 2026 Earnings Release (Projected)&lt;/D&gt;&lt;/FQL&gt;&lt;FQL&gt;&lt;Q&gt;APTV^CS_EVENT_DATEJ_N("ER",2)&lt;/Q&gt;&lt;R&gt;1&lt;/R&gt;&lt;C&gt;1&lt;/C&gt;&lt;D xsi:type="xsd:long"&gt;46233&lt;/D&gt;&lt;/FQL&gt;&lt;FQL&gt;&lt;Q&gt;APTV^CS_EVENT_TIME_N("ER",2)&lt;/Q&gt;&lt;R&gt;1&lt;/R&gt;&lt;C&gt;1&lt;/C&gt;&lt;D xsi:type="xsd:string"&gt;Unspecified&lt;/D&gt;&lt;/FQL&gt;&lt;FQL&gt;&lt;Q&gt;APTV^CS_EVENT_DESC_N("ER",2)&lt;/Q&gt;&lt;R&gt;1&lt;/R&gt;&lt;C&gt;1&lt;/C&gt;&lt;D xsi:type="xsd:string"&gt;Q2 2026 Earnings Release (Projected)&lt;/D&gt;&lt;/FQL&gt;&lt;FQL&gt;&lt;Q&gt;CTVA^CS_EVENT_DATEJ_N("ER",2)&lt;/Q&gt;&lt;R&gt;1&lt;/R&gt;&lt;C&gt;1&lt;/C&gt;&lt;D xsi:type="xsd:long"&gt;46233&lt;/D&gt;&lt;/FQL&gt;&lt;FQL&gt;&lt;Q&gt;CTVA^CS_EVENT_TIME_N("ER",2)&lt;/Q&gt;&lt;R&gt;1&lt;/R&gt;&lt;C&gt;1&lt;/C&gt;&lt;D xsi:type="xsd:string"&gt;Unspecified&lt;/D&gt;&lt;/FQL&gt;&lt;FQL&gt;&lt;Q&gt;CTVA^CS_EVENT_DESC_N("ER",2)&lt;/Q&gt;&lt;R&gt;1&lt;/R&gt;&lt;C&gt;1&lt;/C&gt;&lt;D xsi:type="xsd:string"&gt;Q2 2026 Earnings Release (Projected)&lt;/D&gt;&lt;/FQL&gt;&lt;FQL&gt;&lt;Q&gt;DD^CS_EVENT_DATEJ_N("ER",2)&lt;/Q&gt;&lt;R&gt;1&lt;/R&gt;&lt;C&gt;1&lt;/C&gt;&lt;D xsi:type="xsd:long"&gt;46238&lt;/D&gt;&lt;/FQL&gt;&lt;FQL&gt;&lt;Q&gt;DD^CS_EVENT_TIME_N("ER",2)&lt;/Q&gt;&lt;R&gt;1&lt;/R&gt;&lt;C&gt;1&lt;/C&gt;&lt;D xsi:type="xsd:string"&gt;Unspecified&lt;/D&gt;&lt;/FQL&gt;&lt;FQL&gt;&lt;Q&gt;DD^CS_EVENT_DESC_N("ER",2)&lt;/Q&gt;&lt;R&gt;1&lt;/R&gt;&lt;C&gt;1&lt;/C&gt;&lt;D xsi:type="xsd:string"&gt;Q2 2026 Earnings Release (Projected)&lt;/D&gt;&lt;/FQL&gt;&lt;FQL&gt;&lt;Q&gt;AMCR^CS_EVENT_DATEJ_N("ER",2)&lt;/Q&gt;&lt;R&gt;1&lt;/R&gt;&lt;C&gt;1&lt;/C&gt;&lt;D xsi:type="xsd:long"&gt;46253&lt;/D&gt;&lt;/FQL&gt;&lt;FQL&gt;&lt;Q&gt;AMCR^CS_EVENT_TIME_N("ER",2)&lt;/Q&gt;&lt;R&gt;1&lt;/R&gt;&lt;C&gt;1&lt;/C&gt;&lt;D xsi:type="xsd:string"&gt;Unspecified&lt;/D&gt;&lt;/FQL&gt;&lt;FQL&gt;&lt;Q&gt;AMCR^CS_EVENT_DESC_N("ER",2)&lt;/Q&gt;&lt;R&gt;1&lt;/R&gt;&lt;C&gt;1&lt;/C&gt;&lt;D xsi:type="xsd:string"&gt;Q4 2026 Earnings Release (Projected)&lt;/D&gt;&lt;/FQL&gt;&lt;FQL&gt;&lt;Q&gt;EXE^CS_EVENT_DATEJ_N("ER",2)&lt;/Q&gt;&lt;R&gt;1&lt;/R&gt;&lt;C&gt;1&lt;/C&gt;&lt;D xsi:type="xsd:long"&gt;46238&lt;/D&gt;&lt;/FQL&gt;&lt;FQL&gt;&lt;Q&gt;EXE^CS_EVENT_TIME_N("ER",2)&lt;/Q&gt;&lt;R&gt;1&lt;/R&gt;&lt;C&gt;1&lt;/C&gt;&lt;D xsi:type="xsd:string"&gt;Unspecified&lt;/D&gt;&lt;/FQL&gt;&lt;FQL&gt;&lt;Q&gt;EXE^CS_EVENT_DESC_N("ER",2)&lt;/Q&gt;&lt;R&gt;1&lt;/R&gt;&lt;C&gt;1&lt;/C&gt;&lt;D xsi:type="xsd:string"&gt;Q2 2026 Earnings Release (Projected)&lt;/D&gt;&lt;/FQL&gt;&lt;FQL&gt;&lt;Q&gt;MAR^CS_EVENT_DATEJ_N("ER",2)&lt;/Q&gt;&lt;R&gt;1&lt;/R&gt;&lt;C&gt;1&lt;/C&gt;&lt;D xsi:type="xsd:long"&gt;46238&lt;/D&gt;&lt;/FQL&gt;&lt;FQL&gt;&lt;Q&gt;MAR^CS_EVENT_TIME_N("ER",2)&lt;/Q&gt;&lt;R&gt;1&lt;/R&gt;&lt;C&gt;1&lt;/C&gt;&lt;D xsi:type="xsd:string"&gt;Unspecified&lt;/D&gt;&lt;/FQL&gt;&lt;FQL&gt;&lt;Q&gt;MAR^CS_EVENT_DESC_N("ER",2)&lt;/Q&gt;&lt;R&gt;1&lt;/R&gt;&lt;C&gt;1&lt;/C&gt;&lt;D xsi:type="xsd:string"&gt;Q2 2026 Earnings Release (Projected)&lt;/D&gt;&lt;/FQL&gt;&lt;FQL&gt;&lt;Q&gt;VMC^CS_EVENT_DATEJ_N("ER",2)&lt;/Q&gt;&lt;R&gt;1&lt;/R&gt;&lt;C&gt;1&lt;/C&gt;&lt;D xsi:type="xsd:long"&gt;46233&lt;/D&gt;&lt;/FQL&gt;&lt;FQL&gt;&lt;Q&gt;VMC^CS_EVENT_TIME_N("ER",2)&lt;/Q&gt;&lt;R&gt;1&lt;/R&gt;&lt;C&gt;1&lt;/C&gt;&lt;D xsi:type="xsd:string"&gt;Unspecified&lt;/D&gt;&lt;/FQL&gt;&lt;FQL&gt;&lt;Q&gt;VMC^CS_EVENT_DESC_N("ER",2)&lt;/Q&gt;&lt;R&gt;1&lt;/R&gt;&lt;C&gt;1&lt;/C&gt;&lt;D xsi:type="xsd:string"&gt;Q2 2026 Earnings Release (Projected)&lt;/D&gt;&lt;/FQL&gt;&lt;FQL&gt;&lt;Q&gt;BDX^CS_EVENT_DATEJ_N("ER",2)&lt;/Q&gt;&lt;R&gt;1&lt;/R&gt;&lt;C&gt;1&lt;/C&gt;&lt;D xsi:type="xsd:long"&gt;46233&lt;/D&gt;&lt;/FQL&gt;&lt;FQL&gt;&lt;Q&gt;BALL^CS_EVENT_DATEJ_N("ER",2)&lt;/Q&gt;&lt;R&gt;1&lt;/R&gt;&lt;C&gt;1&lt;/C&gt;&lt;D xsi:type="xsd:long"&gt;46233&lt;/D&gt;&lt;/FQL&gt;&lt;FQL&gt;&lt;Q&gt;CI^CS_EVENT_DATEJ_N("ER",2)&lt;/Q&gt;&lt;R&gt;1&lt;/R&gt;&lt;C&gt;1&lt;/C&gt;&lt;D xsi:type="xsd:long"&gt;46233&lt;/D&gt;&lt;/FQL&gt;&lt;FQL&gt;&lt;Q&gt;ZBH^CS_EVENT_DESC_N("ER",2)&lt;/Q&gt;&lt;R&gt;1&lt;/R&gt;&lt;C&gt;1&lt;/C&gt;&lt;D xsi:type</t>
        </r>
      </text>
    </comment>
    <comment ref="A15" authorId="0" shapeId="0" xr:uid="{89EA51C7-5E78-4DE6-ABD8-13698DFFBEDF}">
      <text>
        <r>
          <rPr>
            <b/>
            <sz val="9"/>
            <color indexed="81"/>
            <rFont val="Tahoma"/>
            <family val="2"/>
          </rPr>
          <t>="xsd:string"&gt;Q2 2026 Earnings Release (Projected)&lt;/D&gt;&lt;/FQL&gt;&lt;FQL&gt;&lt;Q&gt;LDOS^CS_EVENT_DESC_N("ER",2)&lt;/Q&gt;&lt;R&gt;1&lt;/R&gt;&lt;C&gt;1&lt;/C&gt;&lt;D xsi:type="xsd:string"&gt;Q2 2026 Earnings Release (Projected)&lt;/D&gt;&lt;/FQL&gt;&lt;FQL&gt;&lt;Q&gt;KKR^CS_EVENT_DESC_N("ER",2)&lt;/Q&gt;&lt;R&gt;1&lt;/R&gt;&lt;C&gt;1&lt;/C&gt;&lt;D xsi:type="xsd:string"&gt;Q2 2026 Earnings Release (Projected)&lt;/D&gt;&lt;/FQL&gt;&lt;FQL&gt;&lt;Q&gt;VRSK^CS_EVENT_DESC_N("ER",2)&lt;/Q&gt;&lt;R&gt;1&lt;/R&gt;&lt;C&gt;1&lt;/C&gt;&lt;D xsi:type="xsd:string"&gt;Q2 2026 Earnings Release (Projected)&lt;/D&gt;&lt;/FQL&gt;&lt;FQL&gt;&lt;Q&gt;TAP^CS_EVENT_DESC_N("ER",2)&lt;/Q&gt;&lt;R&gt;1&lt;/R&gt;&lt;C&gt;1&lt;/C&gt;&lt;D xsi:type="xsd:string"&gt;Q2 2026 Earnings Release (Projected)&lt;/D&gt;&lt;/FQL&gt;&lt;FQL&gt;&lt;Q&gt;ZBH^CS_EVENT_TIME_N("ER",2)&lt;/Q&gt;&lt;R&gt;1&lt;/R&gt;&lt;C&gt;1&lt;/C&gt;&lt;D xsi:type="xsd:string"&gt;Unspecified&lt;/D&gt;&lt;/FQL&gt;&lt;FQL&gt;&lt;Q&gt;LDOS^CS_EVENT_TIME_N("ER",2)&lt;/Q&gt;&lt;R&gt;1&lt;/R&gt;&lt;C&gt;1&lt;/C&gt;&lt;D xsi:type="xsd:string"&gt;Unspecified&lt;/D&gt;&lt;/FQL&gt;&lt;FQL&gt;&lt;Q&gt;KKR^CS_EVENT_TIME_N("ER",2)&lt;/Q&gt;&lt;R&gt;1&lt;/R&gt;&lt;C&gt;1&lt;/C&gt;&lt;D xsi:type="xsd:string"&gt;Unspecified&lt;/D&gt;&lt;/FQL&gt;&lt;FQL&gt;&lt;Q&gt;D^CS_EVENT_DATEJ_N("ER",2)&lt;/Q&gt;&lt;R&gt;1&lt;/R&gt;&lt;C&gt;1&lt;/C&gt;&lt;D xsi:type="xsd:long"&gt;46234&lt;/D&gt;&lt;/FQL&gt;&lt;FQL&gt;&lt;Q&gt;VLO^CS_EVENT_DATEJ_N("ER",2)&lt;/Q&gt;&lt;R&gt;1&lt;/R&gt;&lt;C&gt;1&lt;/C&gt;&lt;D xsi:type="xsd:long"&gt;46226&lt;/D&gt;&lt;/FQL&gt;&lt;FQL&gt;&lt;Q&gt;PH^CS_EVENT_DATEJ_N("ER",2)&lt;/Q&gt;&lt;R&gt;1&lt;/R&gt;&lt;C&gt;1&lt;/C&gt;&lt;D xsi:type="xsd:long"&gt;46240&lt;/D&gt;&lt;/FQL&gt;&lt;FQL&gt;&lt;Q&gt;O^CS_EVENT_DATEJ_N("ER",2)&lt;/Q&gt;&lt;R&gt;1&lt;/R&gt;&lt;C&gt;1&lt;/C&gt;&lt;D xsi:type="xsd:long"&gt;46239&lt;/D&gt;&lt;/FQL&gt;&lt;FQL&gt;&lt;Q&gt;O^CS_EVENT_TIME_N("ER",2)&lt;/Q&gt;&lt;R&gt;1&lt;/R&gt;&lt;C&gt;1&lt;/C&gt;&lt;D xsi:type="xsd:string"&gt;Unspecified&lt;/D&gt;&lt;/FQL&gt;&lt;FQL&gt;&lt;Q&gt;TRMB^CS_EVENT_DATEJ_N("ER",2)&lt;/Q&gt;&lt;R&gt;1&lt;/R&gt;&lt;C&gt;1&lt;/C&gt;&lt;D xsi:type="xsd:long"&gt;46233&lt;/D&gt;&lt;/FQL&gt;&lt;FQL&gt;&lt;Q&gt;TRMB^CS_EVENT_TIME_N("ER",2)&lt;/Q&gt;&lt;R&gt;1&lt;/R&gt;&lt;C&gt;1&lt;/C&gt;&lt;D xsi:type="xsd:string"&gt;Unspecified&lt;/D&gt;&lt;/FQL&gt;&lt;FQL&gt;&lt;Q&gt;ALB^CS_EVENT_DATEJ_N("ER",2)&lt;/Q&gt;&lt;R&gt;1&lt;/R&gt;&lt;C&gt;1&lt;/C&gt;&lt;D xsi:type="xsd:long"&gt;46239&lt;/D&gt;&lt;/FQL&gt;&lt;FQL&gt;&lt;Q&gt;ALB^CS_EVENT_TIME_N("ER",2)&lt;/Q&gt;&lt;R&gt;1&lt;/R&gt;&lt;C&gt;1&lt;/C&gt;&lt;D xsi:type="xsd:string"&gt;Unspecified&lt;/D&gt;&lt;/FQL&gt;&lt;FQL&gt;&lt;Q&gt;YUM^CS_EVENT_DATEJ_N("ER",2)&lt;/Q&gt;&lt;R&gt;1&lt;/R&gt;&lt;C&gt;1&lt;/C&gt;&lt;D xsi:type="xsd:long"&gt;46239&lt;/D&gt;&lt;/FQL&gt;&lt;FQL&gt;&lt;Q&gt;YUM^CS_EVENT_TIME_N("ER",2)&lt;/Q&gt;&lt;R&gt;1&lt;/R&gt;&lt;C&gt;1&lt;/C&gt;&lt;D xsi:type="xsd:string"&gt;Unspecified&lt;/D&gt;&lt;/FQL&gt;&lt;FQL&gt;&lt;Q&gt;TT^CS_EVENT_DATEJ_N("ER",2)&lt;/Q&gt;&lt;R&gt;1&lt;/R&gt;&lt;C&gt;1&lt;/C&gt;&lt;D xsi:type="xsd:long"&gt;46239&lt;/D&gt;&lt;/FQL&gt;&lt;FQL&gt;&lt;Q&gt;TT^CS_EVENT_TIME_N("ER",2)&lt;/Q&gt;&lt;R&gt;1&lt;/R&gt;&lt;C&gt;1&lt;/C&gt;&lt;D xsi:type="xsd:string"&gt;Unspecified&lt;/D&gt;&lt;/FQL&gt;&lt;FQL&gt;&lt;Q&gt;OMC^CS_EVENT_DATEJ_N("E",1)&lt;/Q&gt;&lt;R&gt;0&lt;/R&gt;&lt;C&gt;0&lt;/C&gt;&lt;/FQL&gt;&lt;FQL&gt;&lt;Q&gt;OMC^CS_EVENT_TIME_N("E",1)&lt;/Q&gt;&lt;R&gt;0&lt;/R&gt;&lt;C&gt;0&lt;/C&gt;&lt;/FQL&gt;&lt;FQL&gt;&lt;Q&gt;CFG^CS_EVENT_DATEJ_N("E",1)&lt;/Q&gt;&lt;R&gt;1&lt;/R&gt;&lt;C&gt;1&lt;/C&gt;&lt;D xsi:type="xsd:long"&gt;46128&lt;/D&gt;&lt;/FQL&gt;&lt;FQL&gt;&lt;Q&gt;CFG^CS_EVENT_TIME_N("E",1)&lt;/Q&gt;&lt;R&gt;1&lt;/R&gt;&lt;C&gt;1&lt;/C&gt;&lt;D xsi:type="xsd:string"&gt;9:00 AM&lt;/D&gt;&lt;/FQL&gt;&lt;FQL&gt;&lt;Q&gt;UAL^CS_EVENT_TIME_N("E",1)&lt;/Q&gt;&lt;R&gt;0&lt;/R&gt;&lt;C&gt;0&lt;/C&gt;&lt;/FQL&gt;&lt;FQL&gt;&lt;Q&gt;UAL^CS_EVENT_DESC_N("E",1)&lt;/Q&gt;&lt;R&gt;0&lt;/R&gt;&lt;C&gt;0&lt;/C&gt;&lt;/FQL&gt;&lt;FQL&gt;&lt;Q&gt;HST^CS_EVENT_DATEJ_N("ER",2)&lt;/Q&gt;&lt;R&gt;1&lt;/R&gt;&lt;C&gt;1&lt;/C&gt;&lt;D xsi:type="xsd:long"&gt;46239&lt;/D&gt;&lt;/FQL&gt;&lt;FQL&gt;&lt;Q&gt;HST^CS_EVENT_TIME_N("ER",2)&lt;/Q&gt;&lt;R&gt;1&lt;/R&gt;&lt;C&gt;1&lt;/C&gt;&lt;D xsi:type="xsd:string"&gt;Unspecified&lt;/D&gt;&lt;/FQL&gt;&lt;FQL&gt;&lt;Q&gt;HST^CS_EVENT_DESC_N("ER",2)&lt;/Q&gt;&lt;R&gt;1&lt;/R&gt;&lt;C&gt;1&lt;/C&gt;&lt;D xsi:type="xsd:string"&gt;Q2 2026 Earnings Release (Projected)&lt;/D&gt;&lt;/FQL&gt;&lt;FQL&gt;&lt;Q&gt;CTSH^CS_EVENT_DATEJ_N("ER",2)&lt;/Q&gt;&lt;R&gt;1&lt;/R&gt;&lt;C&gt;1&lt;/C&gt;&lt;D xsi:type="xsd:long"&gt;46239&lt;/D&gt;&lt;/FQL&gt;&lt;FQL&gt;&lt;Q&gt;CTSH^CS_EVENT_TIME_N("ER",2)&lt;/Q&gt;&lt;R&gt;1&lt;/R&gt;&lt;C&gt;1&lt;/C&gt;&lt;D xsi:type="xsd:string"&gt;Unspecified&lt;/D&gt;&lt;/FQL&gt;&lt;FQL&gt;&lt;Q&gt;CTSH^CS_EVENT_DESC_N("ER",2)&lt;/Q&gt;&lt;R&gt;1&lt;/R&gt;&lt;C&gt;1&lt;/C&gt;&lt;D xsi:type="xsd:string"&gt;Q2 2026 Earnings Release (Projected)&lt;/D&gt;&lt;/FQL&gt;&lt;FQL&gt;&lt;Q&gt;AEP^CS_EVENT_DATEJ_N("ER",2)&lt;/Q&gt;&lt;R&gt;1&lt;/R&gt;&lt;C&gt;1&lt;/C&gt;&lt;D xsi:type="xsd:long"&gt;46226&lt;/D&gt;&lt;/FQL&gt;&lt;FQL&gt;&lt;Q&gt;AEP^CS_EVENT_TIME_N("ER",2)&lt;/Q&gt;&lt;R&gt;1&lt;/R&gt;&lt;C&gt;1&lt;/C&gt;&lt;D xsi:type="xsd:string"&gt;Unspecified&lt;/D&gt;&lt;/FQL&gt;&lt;FQL&gt;&lt;Q&gt;AEP^CS_EVENT_DESC_N("ER",2)&lt;/Q&gt;&lt;R&gt;1&lt;/R&gt;&lt;C&gt;1&lt;/C&gt;&lt;D xsi:type="xsd:string"&gt;Q2 2026 Earnings Release (Projected)&lt;/D&gt;&lt;/FQL&gt;&lt;FQL&gt;&lt;Q&gt;SYK^CS_EVENT_DATEJ_N("ER",2)&lt;/Q&gt;&lt;R&gt;1&lt;/R&gt;&lt;C&gt;1&lt;/C&gt;&lt;D xsi:type="xsd:long"&gt;46233&lt;/D&gt;&lt;/FQL&gt;&lt;FQL&gt;&lt;Q&gt;SYK^CS_EVENT_TIME_N("ER",2)&lt;/Q&gt;&lt;R&gt;1&lt;/R&gt;&lt;C&gt;1&lt;/C&gt;&lt;D xsi:type="xsd:string"&gt;Unspecified&lt;/D&gt;&lt;/FQL&gt;&lt;FQL&gt;&lt;Q&gt;SYK^CS_EVENT_DESC_N("ER",2)&lt;/Q&gt;&lt;R&gt;1&lt;/R&gt;&lt;C&gt;1&lt;/C&gt;&lt;D xsi:type="xsd:string"&gt;Q2 2026 Earnings Release (Projected)&lt;/D&gt;&lt;/FQL&gt;&lt;FQL&gt;&lt;Q&gt;GL^CS_EVENT_DATEJ_N("ER",2)&lt;/Q&gt;&lt;R&gt;1&lt;/R&gt;&lt;C&gt;1&lt;/C&gt;&lt;D xsi:type="xsd:long"&gt;46232&lt;/D&gt;&lt;/FQL&gt;&lt;FQL&gt;&lt;Q&gt;GL^CS_EVENT_TIME_N("ER",2)&lt;/Q&gt;&lt;R&gt;1&lt;/R&gt;&lt;C&gt;1&lt;/C&gt;&lt;D xsi:type="xsd:string"&gt;Unspecified&lt;/D&gt;&lt;/FQL&gt;&lt;FQL&gt;&lt;Q&gt;GL^CS_EVENT_DESC_N("ER",2)&lt;/Q&gt;&lt;R&gt;1&lt;/R&gt;&lt;C&gt;1&lt;/C&gt;&lt;D xsi:type="xsd:string"&gt;Q2 2026 Earnings Release (Projected)&lt;/D&gt;&lt;/FQL&gt;&lt;FQL&gt;&lt;Q&gt;EBAY^CS_EVENT_DATEJ_N("ER",2)&lt;/Q&gt;&lt;R&gt;1&lt;/R&gt;&lt;C&gt;1&lt;/C&gt;&lt;D xsi:type="xsd:long"&gt;46239&lt;/D&gt;&lt;/FQL&gt;&lt;FQL&gt;&lt;Q&gt;EBAY^CS_EVENT_TIME_N("ER",2)&lt;/Q&gt;&lt;R&gt;1&lt;/R&gt;&lt;C&gt;1&lt;/C&gt;&lt;D xsi:type="xsd:string"&gt;Unspecified&lt;/D&gt;&lt;/FQL&gt;&lt;FQL&gt;&lt;Q&gt;EBAY^CS_EVENT_DESC_N("ER",2)&lt;/Q&gt;&lt;R&gt;1&lt;/R&gt;&lt;C&gt;1&lt;/C&gt;&lt;D xsi:type="xsd:string"&gt;Q2 2026 Earnings Release (Projected)&lt;/D&gt;&lt;/FQL&gt;&lt;FQL&gt;&lt;Q&gt;EMR^CS_EVENT_DATEJ_N("ER",2)&lt;/Q&gt;&lt;R&gt;1&lt;/R&gt;&lt;C&gt;1&lt;/C&gt;&lt;D xsi:type="xsd:long"&gt;46245&lt;/D&gt;&lt;/FQL&gt;&lt;FQL&gt;&lt;Q&gt;EMR^CS_EVENT_TIME_N("ER",2)&lt;/Q&gt;&lt;R&gt;1&lt;/R&gt;&lt;C&gt;1&lt;/C&gt;&lt;D xsi:type="xsd:string"&gt;Unspecified&lt;/D&gt;&lt;/FQL&gt;&lt;FQL&gt;&lt;Q&gt;EMR^CS_EVENT_DESC_N("ER",2)&lt;/Q&gt;&lt;R&gt;1&lt;/R&gt;&lt;C&gt;1&lt;/C&gt;&lt;D xsi:type="xsd:string"&gt;Q3 2026 Earnings Release (Projected)&lt;/D&gt;&lt;/FQL&gt;&lt;FQL&gt;&lt;Q&gt;COR^CS_EVENT_DATEJ_N("ER",2)&lt;/Q&gt;&lt;R&gt;1&lt;/R&gt;&lt;C&gt;1&lt;/C&gt;&lt;D xsi:type="xsd:long"&gt;46239&lt;/D&gt;&lt;/FQL&gt;&lt;FQL&gt;&lt;Q&gt;COR^CS_EVENT_TIME_N("ER",2)&lt;/Q&gt;&lt;R&gt;1&lt;/R&gt;&lt;C&gt;1&lt;/C&gt;&lt;D xsi:type="xsd:string"&gt;Unspecified&lt;/D&gt;&lt;/FQL&gt;&lt;FQL&gt;&lt;Q&gt;COR^CS_EVENT_DESC_N("ER",2)&lt;/Q&gt;&lt;R&gt;1&lt;/R&gt;&lt;C&gt;1&lt;/C&gt;&lt;D xsi:type="xsd:string"&gt;Q3 2026 Earnings Release (Projected)&lt;/D&gt;&lt;/FQL&gt;&lt;FQL&gt;&lt;Q&gt;VTR^CS_EVENT_DATEJ_N("ER",2)&lt;/Q&gt;&lt;R&gt;1&lt;/R&gt;&lt;C&gt;1&lt;/C&gt;&lt;D xsi:type="xsd:long"&gt;46233&lt;/D&gt;&lt;/FQL&gt;&lt;FQL&gt;&lt;Q&gt;VTR^CS_EVENT_TIME_N("ER",2)&lt;/Q&gt;&lt;R&gt;1&lt;/R&gt;&lt;C&gt;1&lt;/C&gt;&lt;D xsi:type="xsd:string"&gt;Unspecified&lt;/D&gt;&lt;/FQL&gt;&lt;FQL&gt;&lt;Q&gt;VTR^CS_EVENT_DESC_N("ER",2)&lt;/Q&gt;&lt;R&gt;1&lt;/R&gt;&lt;C&gt;1&lt;/C&gt;&lt;D xsi:type="xsd:string"&gt;Q2 2026 Earnings Release (Projected)&lt;/D&gt;&lt;/FQL&gt;&lt;FQL&gt;&lt;Q&gt;IDXX^CS_EVENT_DATEJ_N("ER",2)&lt;/Q&gt;&lt;R&gt;1&lt;/R&gt;&lt;C&gt;1&lt;/C&gt;&lt;D xsi:type="xsd:long"&gt;46238&lt;/D&gt;&lt;/FQL&gt;&lt;FQL&gt;&lt;Q&gt;IDXX^CS_EVENT_TIME_N("ER",2)&lt;/Q&gt;&lt;R&gt;1&lt;/R&gt;&lt;C&gt;1&lt;/C&gt;&lt;D xsi:type="xsd:string"&gt;Unspecified&lt;/D&gt;&lt;/FQL&gt;&lt;FQL&gt;&lt;Q&gt;IDXX^CS_EVENT_DESC_N("ER",2)&lt;/Q&gt;&lt;R&gt;1&lt;/R&gt;&lt;C&gt;1&lt;/C&gt;&lt;D xsi:type="xsd:string"&gt;Q2 2026 Earnings Release (Projected)&lt;/D&gt;&lt;/FQL&gt;&lt;FQL&gt;&lt;Q&gt;TPL^CS_EVENT_DATEJ_N("ER",2)&lt;/Q&gt;&lt;R&gt;1&lt;/R&gt;&lt;C&gt;1&lt;/C&gt;&lt;D xsi:type="xsd:long"&gt;46239&lt;/D&gt;&lt;/FQL&gt;&lt;FQL&gt;&lt;Q&gt;TPL^CS_EVENT_TIME_N("ER",2)&lt;/Q&gt;&lt;R&gt;1&lt;/R&gt;&lt;C&gt;1&lt;/C&gt;&lt;D xsi:type="xsd:string"&gt;Unspecified&lt;/D&gt;&lt;/FQL&gt;&lt;FQL&gt;&lt;Q&gt;TPL^CS_EVENT_DESC_N("ER",2)&lt;/Q&gt;&lt;R&gt;1&lt;/R&gt;&lt;C&gt;1&lt;/C&gt;&lt;D xsi:type="xsd:string"&gt;Q2 2026 Earnings Release (Projected)&lt;/D&gt;&lt;/FQL&gt;&lt;FQL&gt;&lt;Q&gt;APA^CS_EVENT_DATEJ_N("ER",2)&lt;/Q&gt;&lt;R&gt;1&lt;/R&gt;&lt;C&gt;1&lt;/C&gt;&lt;D xsi:type="xsd:long"&gt;46239&lt;/D&gt;&lt;/FQL&gt;&lt;FQL&gt;&lt;Q&gt;APA^CS_EVENT_TIME_N("ER",2)&lt;/Q&gt;&lt;R&gt;1&lt;/R&gt;&lt;C&gt;1&lt;/C&gt;&lt;D xsi:type="xsd:string"&gt;Unspecified&lt;/D&gt;&lt;/FQL&gt;&lt;FQL&gt;&lt;Q&gt;APA^CS_EVENT_DESC_N("ER",2)&lt;/Q&gt;&lt;R&gt;1&lt;/R&gt;&lt;C&gt;1&lt;/C&gt;&lt;D xsi:type="xsd:string"&gt;Q2 2026 Earnings Release (Projected)&lt;/D&gt;&lt;/FQL&gt;&lt;FQL&gt;&lt;Q&gt;RSG^CS_EVENT_DATEJ_N("ER",2)&lt;/Q&gt;&lt;R&gt;1&lt;/R&gt;&lt;C&gt;1&lt;/C&gt;&lt;D xsi:type="xsd:long"&gt;46239&lt;/D&gt;&lt;/FQL&gt;&lt;FQL&gt;&lt;Q&gt;RSG^CS_EVENT_TIME_N("ER",2)&lt;/Q&gt;&lt;R&gt;1&lt;/R&gt;&lt;C&gt;1&lt;/C&gt;&lt;D xsi:type="xsd:string"&gt;Unspecified&lt;/D&gt;&lt;/FQL&gt;&lt;FQL&gt;&lt;Q&gt;RSG^CS_EVENT_DESC_N("ER",2)&lt;/Q&gt;&lt;R&gt;1&lt;/R&gt;&lt;C&gt;1&lt;/C&gt;&lt;D xsi:type="xsd:string"&gt;Q2 2026 Earnings Release (Projected)&lt;/D&gt;&lt;/FQL&gt;&lt;FQL&gt;&lt;Q&gt;MET^CS_EVENT_DATEJ_N("ER",2)&lt;/Q&gt;&lt;R&gt;1&lt;/R&gt;&lt;C&gt;1&lt;/C&gt;&lt;D xsi:type="xsd:long"&gt;46239&lt;/D&gt;&lt;/FQL&gt;&lt;FQL&gt;&lt;Q&gt;MET^CS_EVENT_TIME_N("ER",2)&lt;/Q&gt;&lt;R&gt;1&lt;/R&gt;&lt;C&gt;1&lt;/C&gt;&lt;D xsi:type="xsd:string"&gt;Unspecified&lt;/D&gt;&lt;/FQL&gt;&lt;FQL&gt;&lt;Q&gt;MET^CS_EVENT_DESC_N("ER",2)&lt;/Q&gt;&lt;R&gt;1&lt;/R&gt;&lt;C&gt;1&lt;/C&gt;&lt;D xsi:type="xsd:string"&gt;Q2 2026 Earnings Release (Projected)&lt;/D&gt;&lt;/FQL&gt;&lt;FQL&gt;&lt;Q&gt;CVS^CS_EVENT_DATEJ_N("ER",2)&lt;/Q&gt;&lt;R&gt;1&lt;/R&gt;&lt;C&gt;1&lt;/C&gt;&lt;D xsi:type="xsd:long"&gt;46239&lt;/D&gt;&lt;/FQL&gt;&lt;FQL&gt;&lt;Q&gt;CVS^CS_EVENT_TIME_N("ER",2)&lt;/Q&gt;&lt;R&gt;1&lt;/R&gt;&lt;C&gt;1&lt;/C&gt;&lt;D xsi:type="xsd:string"&gt;Unspecified&lt;/D&gt;&lt;/FQL&gt;&lt;FQL&gt;&lt;Q&gt;CVS^CS_EVENT_DESC_N("ER",2)&lt;/Q&gt;&lt;R&gt;1&lt;/R&gt;&lt;C&gt;1&lt;/C&gt;&lt;D xsi:type="xsd:string"&gt;Q2 2026 Earnings Release (Projected)&lt;/D&gt;&lt;/FQL&gt;&lt;FQL&gt;&lt;Q&gt;VRTX^CS_EVENT_DATEJ_N("ER",2)&lt;/Q&gt;&lt;R&gt;1&lt;/R&gt;&lt;C&gt;1&lt;/C&gt;&lt;D xsi:type="xsd:long"&gt;46233&lt;/D&gt;&lt;/FQL&gt;&lt;FQL&gt;&lt;Q&gt;VRTX^CS_EVENT_TIME_N("ER",2)&lt;/Q&gt;&lt;R&gt;1&lt;/R&gt;&lt;C&gt;1&lt;/C&gt;&lt;D xsi:type="xsd:string"&gt;Unspecified&lt;/D&gt;&lt;/FQL&gt;&lt;FQL&gt;&lt;Q&gt;VRTX^CS_EVENT_DESC_N("ER",2)&lt;/Q&gt;&lt;R&gt;1&lt;/R&gt;&lt;C&gt;1&lt;/C&gt;&lt;D xsi:type="xsd:string"&gt;Q2 2026 Earnings Release (Projected)&lt;/D&gt;&lt;/FQL&gt;&lt;FQL&gt;&lt;Q&gt;EXC^CS_EVENT_DATEJ_N("ER",2)&lt;/Q&gt;&lt;R&gt;1&lt;/R&gt;&lt;C&gt;1&lt;/C&gt;&lt;D xsi:type="xsd:long"&gt;46239&lt;/D&gt;&lt;/FQL&gt;&lt;FQL&gt;&lt;Q&gt;EXC^CS_EVENT_TIME_N("ER",2)&lt;/Q&gt;&lt;R&gt;1&lt;/R&gt;&lt;C&gt;1&lt;/C&gt;&lt;D xsi:type="xsd:string"&gt;Unspecified&lt;/D&gt;&lt;/FQL&gt;&lt;FQL&gt;&lt;Q&gt;EXC^CS_EVENT_DESC_N("ER",2)&lt;/Q&gt;&lt;R&gt;1&lt;/R&gt;&lt;C&gt;1&lt;/C&gt;&lt;D xsi:type="xsd:string"&gt;Q2 2026 Earnings Release (Projected)&lt;/D&gt;&lt;/FQL&gt;&lt;FQL&gt;&lt;Q&gt;GNRC^CS_EVENT_DATEJ_N("ER",2)&lt;/Q&gt;&lt;R&gt;1&lt;/R&gt;&lt;C&gt;1&lt;/C&gt;&lt;D xsi:type="xsd:long"&gt;46239&lt;/D&gt;&lt;/FQL&gt;&lt;FQL&gt;&lt;Q&gt;GNRC^CS_EVENT_TIME_N("ER",2)&lt;/Q&gt;&lt;R&gt;1&lt;/R&gt;&lt;C&gt;1&lt;/C&gt;&lt;D xsi:type="xsd:string"&gt;Unspecified&lt;/D&gt;&lt;/FQL&gt;&lt;FQL&gt;&lt;Q&gt;GNRC^CS_EVENT_DESC_N("ER",2)&lt;/Q&gt;&lt;R&gt;1&lt;/R&gt;&lt;C&gt;1&lt;/C&gt;&lt;D xsi:type="xsd:string"&gt;Q2 2026 Earnings Release (Projected)&lt;/D&gt;&lt;/FQL&gt;&lt;FQL&gt;&lt;Q&gt;CPAY^CS_EVENT_DATEJ_N("ER",2)&lt;/Q&gt;&lt;R&gt;1&lt;/R&gt;&lt;C&gt;1&lt;/C&gt;&lt;D xsi:type="xsd:long"&gt;46246&lt;/D&gt;&lt;/FQL&gt;&lt;FQL&gt;&lt;Q&gt;CPAY^CS_EVENT_TIME_N("ER",2)&lt;/Q&gt;&lt;R&gt;1&lt;/R&gt;&lt;C&gt;1&lt;/C&gt;&lt;D xsi:type="xsd:string"&gt;Unspecified&lt;/D&gt;&lt;/FQL&gt;&lt;FQL&gt;&lt;Q&gt;CPAY^CS_EVENT_DESC_N("ER",2)&lt;/Q&gt;&lt;R&gt;1&lt;/R&gt;&lt;C&gt;1&lt;/C&gt;&lt;D xsi:type="xsd:string"&gt;Q2 2026 Earnings Release (Projected)&lt;/D&gt;&lt;/FQL&gt;&lt;FQL&gt;&lt;Q&gt;CDW^CS_EVENT_DATEJ_N("ER",2)&lt;/Q&gt;&lt;R&gt;1&lt;/R&gt;&lt;C&gt;1&lt;/C&gt;&lt;D xsi:type="xsd:long"&gt;46239&lt;/D&gt;&lt;/FQL&gt;&lt;FQL&gt;&lt;Q&gt;CDW^CS_EVENT_TIME_N("ER",2)&lt;/Q&gt;&lt;R&gt;1&lt;/R&gt;&lt;C&gt;1&lt;/C&gt;&lt;D xsi:type="xsd:string"&gt;Unspecified&lt;/D&gt;&lt;/FQL&gt;&lt;FQL&gt;&lt;Q&gt;CDW^CS_EVENT_DESC_N("ER",2)&lt;/Q&gt;&lt;R&gt;1&lt;/R&gt;&lt;C&gt;1&lt;/C&gt;&lt;D xsi:type="xsd:string"&gt;Q2 2026 Earnings Release (Projected)&lt;/D&gt;&lt;/FQL&gt;&lt;FQL&gt;&lt;Q&gt;AWK^CS_EVENT_DATEJ_N("ER",2)&lt;/Q&gt;&lt;R&gt;1&lt;/R&gt;&lt;C&gt;1&lt;/C&gt;&lt;D xsi:type="xsd:long"&gt;46239&lt;/D&gt;&lt;/FQL&gt;&lt;FQL&gt;&lt;Q&gt;AWK^CS_EVENT_TIME_N("ER",2)&lt;/Q&gt;&lt;R&gt;1&lt;/R&gt;&lt;C&gt;1&lt;/C&gt;&lt;D xsi:type="xsd:string"&gt;Unspecified&lt;/D&gt;&lt;/FQL&gt;&lt;FQL&gt;&lt;Q&gt;AWK^CS_EVENT_DESC_N("ER",2)&lt;/Q&gt;&lt;R&gt;1&lt;/R&gt;&lt;C&gt;1&lt;/C&gt;&lt;D xsi:type="xsd:string"&gt;Q2 2026 Earnings Release (Projected)&lt;/D&gt;&lt;/FQL&gt;&lt;FQL&gt;&lt;Q&gt;IR^CS_EVENT_DATEJ_N("ER",2)&lt;/Q&gt;&lt;R&gt;1&lt;/R&gt;&lt;C&gt;1&lt;/C&gt;&lt;D xsi:type="xsd:long"&gt;46239&lt;/D&gt;&lt;/FQL&gt;&lt;FQL&gt;&lt;Q&gt;IR^CS_EVENT_TIME_N("ER",2)&lt;/Q&gt;&lt;R&gt;1&lt;/R&gt;&lt;C&gt;1&lt;/C&gt;&lt;D xsi:type="xsd:string"&gt;Unspecified&lt;/D&gt;&lt;/FQL&gt;&lt;FQL&gt;&lt;Q&gt;IR^CS_EVENT_DESC_N("ER",2)&lt;/Q&gt;&lt;R&gt;1&lt;/R&gt;&lt;C&gt;1&lt;/C&gt;&lt;D xsi:type="xsd:string"&gt;Q2 2026 Earnings Release (Projected)&lt;/D&gt;&lt;/FQL&gt;&lt;FQL&gt;&lt;Q&gt;FIS^CS_EVENT_DATEJ_N("ER",2)&lt;/Q&gt;&lt;R&gt;1&lt;/R&gt;&lt;C&gt;1&lt;/C&gt;&lt;D xsi:type="xsd:long"&gt;46239&lt;/D&gt;&lt;/FQL&gt;&lt;FQL&gt;&lt;Q&gt;FIS^CS_EVENT_TIME_N("ER",2)&lt;/Q&gt;&lt;R&gt;1&lt;/R&gt;&lt;C&gt;1&lt;/C&gt;&lt;D xsi:type="xsd:string"&gt;Unspecified&lt;/D&gt;&lt;/FQL&gt;&lt;FQL&gt;&lt;Q&gt;FIS^CS_EVENT_DESC_N("ER",2)&lt;/Q&gt;&lt;R&gt;1&lt;/R&gt;&lt;C&gt;1&lt;/C&gt;&lt;D xsi:type="xsd:string"&gt;Q2 2026 Earnings Release (Projected)&lt;/D&gt;&lt;/FQL&gt;&lt;FQL&gt;&lt;Q&gt;NCLH^CS_EVENT_DATEJ_N("ER",2)&lt;/Q&gt;&lt;R&gt;1&lt;/R&gt;&lt;C&gt;1&lt;/C&gt;&lt;D xsi:type="xsd:long"&gt;46330&lt;/D&gt;&lt;/FQL&gt;&lt;FQL&gt;&lt;Q&gt;NCLH^CS_EVENT_TIME_N("ER",2)&lt;/Q&gt;&lt;R&gt;1&lt;/R&gt;&lt;C&gt;1&lt;/C&gt;&lt;D xsi:type="xsd:string"&gt;Unspecified&lt;/D&gt;&lt;/FQL&gt;&lt;FQL&gt;&lt;Q&gt;NCLH^CS_EVENT_DESC_N("ER",2)&lt;/Q&gt;&lt;R&gt;1&lt;/R&gt;&lt;C&gt;1&lt;/C&gt;&lt;D xsi:type="xsd:string"&gt;Q3 2026 Earnings Release (Projected)&lt;/D&gt;&lt;/FQL&gt;&lt;FQL&gt;&lt;Q&gt;CF^CS_EVENT_DATEJ_N("ER",2)&lt;/Q&gt;&lt;R&gt;1&lt;/R&gt;&lt;C&gt;1&lt;/C&gt;&lt;D xsi:type="xsd:long"&gt;46239&lt;/D&gt;&lt;/FQL&gt;&lt;FQL&gt;&lt;Q&gt;CF^CS_EVENT_TIME_N("ER",2)&lt;/Q&gt;&lt;R&gt;1&lt;/R&gt;&lt;C&gt;1&lt;/C&gt;&lt;D xsi:type="xsd:string"&gt;4:30 PM&lt;/D&gt;&lt;/FQL&gt;&lt;FQL&gt;&lt;Q&gt;CF^CS_EVENT_DESC_N("ER",2)&lt;/Q&gt;&lt;R&gt;1&lt;/R&gt;&lt;C&gt;1&lt;/C&gt;&lt;D xsi:type="xsd:string"&gt;Q2 2026 Earnings Release&lt;/D&gt;&lt;/FQL&gt;&lt;FQL&gt;&lt;Q&gt;MOS^CS_EVENT_DATEJ_N("ER",2)&lt;/Q&gt;&lt;R&gt;1&lt;/R&gt;&lt;C&gt;1&lt;/C&gt;&lt;D xsi:type="xsd:long"&gt;46237&lt;/D&gt;&lt;/FQL&gt;&lt;FQL&gt;&lt;Q&gt;MOS^CS_EVENT_TIME_N("ER",2)&lt;/Q&gt;&lt;R&gt;1&lt;/R&gt;&lt;C&gt;1&lt;/C&gt;&lt;D xsi:type="xsd:string"&gt;Unspecified&lt;/D&gt;&lt;/FQL&gt;&lt;FQL&gt;&lt;Q&gt;MOS^CS_EVENT_DESC_N("ER",2)&lt;/Q&gt;&lt;R&gt;1&lt;/R&gt;&lt;C&gt;1&lt;/C&gt;&lt;D xsi:type="xsd:string"&gt;Q2 2026 Earnings Release (Projected)&lt;/D&gt;&lt;/FQL&gt;&lt;FQL&gt;&lt;Q&gt;KHC^CS_EVENT_DATEJ_N("ER",2)&lt;/Q&gt;&lt;R&gt;1&lt;/R&gt;&lt;C&gt;1&lt;/C&gt;&lt;D xsi:type="xsd:long"&gt;46239&lt;/D&gt;&lt;/FQL&gt;&lt;FQL&gt;&lt;Q&gt;KHC^CS_EVENT_TIME_N("ER",2)&lt;/Q&gt;&lt;R&gt;1&lt;/R&gt;&lt;C&gt;1&lt;/C&gt;&lt;D xsi:type="xsd:string"&gt;Unspecified&lt;/D&gt;&lt;/FQL&gt;&lt;FQL&gt;&lt;Q&gt;KHC^CS_EVENT_DESC_N("ER",2)&lt;/Q&gt;&lt;R&gt;1&lt;/R&gt;&lt;C&gt;1&lt;/C&gt;&lt;D xsi:type="xsd:string"&gt;Q2 2026 Earnings Release (Projected)&lt;/D&gt;&lt;/FQL&gt;&lt;FQL&gt;&lt;Q&gt;UBER^CS_EVENT_DATEJ_N("ER",2)&lt;/Q&gt;&lt;R&gt;1&lt;/R&gt;&lt;C&gt;1&lt;/C&gt;&lt;D xsi:type="xsd:long"&gt;46238&lt;/D&gt;&lt;/FQL&gt;&lt;FQL&gt;&lt;Q&gt;UBER^CS_EVENT_TIME_N("ER",2)&lt;/Q&gt;&lt;R&gt;1&lt;/R&gt;&lt;C&gt;1&lt;/C&gt;&lt;D xsi:type="xsd:string"&gt;Unspecified&lt;/D&gt;&lt;/FQL&gt;&lt;FQL&gt;&lt;Q&gt;UBER^CS_EVENT_DESC_N("ER",2)&lt;/Q&gt;&lt;R&gt;1&lt;/R&gt;&lt;C&gt;1&lt;/C&gt;&lt;D xsi:type="xsd:string"&gt;Q2 2026 Earnings Release (Projected)&lt;/D&gt;&lt;/FQL&gt;&lt;FQL&gt;&lt;Q&gt;PSKY^CS_EVENT_DATEJ_N("ER",2)&lt;/Q&gt;&lt;R&gt;1&lt;/R&gt;&lt;C&gt;1&lt;/C&gt;&lt;D xsi:type="xsd:long"&gt;46233&lt;/D&gt;&lt;/FQL&gt;&lt;FQL&gt;&lt;Q&gt;PSKY^CS_EVENT_TIME_N("ER",2)&lt;/Q&gt;&lt;R&gt;1&lt;/R&gt;&lt;C&gt;1&lt;/C&gt;&lt;D xsi:type="xsd:string"&gt;Unspecified&lt;/D&gt;&lt;/FQL&gt;&lt;FQL&gt;&lt;Q&gt;PSKY^CS_EVENT_DESC_N("ER",2)&lt;/Q&gt;&lt;R&gt;1&lt;/R&gt;&lt;C&gt;1&lt;/C&gt;&lt;D xsi:type="xsd:string"&gt;Q2 2026 Earnings Release (Projected)&lt;/D&gt;&lt;/FQL&gt;&lt;FQL&gt;&lt;Q&gt;GEHC^CS_EVENT_DATEJ_N("ER",2)&lt;/Q&gt;&lt;R&gt;1&lt;/R&gt;&lt;C&gt;1&lt;/C&gt;&lt;D xsi:type="xsd:long"&gt;46239&lt;/D&gt;&lt;/FQL&gt;&lt;FQL&gt;&lt;Q&gt;GEHC^CS_EVENT_TIME_N("ER",2)&lt;/Q&gt;&lt;R&gt;1&lt;/R&gt;&lt;C&gt;1&lt;/C&gt;&lt;D xsi:type="xsd:string"&gt;Unspecified&lt;/D&gt;&lt;/FQL&gt;&lt;FQL&gt;&lt;Q&gt;GEHC^CS_EVENT_DESC_N("ER",2)&lt;/Q&gt;&lt;R&gt;1&lt;/R&gt;&lt;C&gt;1&lt;/C&gt;&lt;D xsi:type="xsd:string"&gt;Q2 2026 Earnings Release (Projected)&lt;/D&gt;&lt;/FQL&gt;&lt;FQL&gt;&lt;Q&gt;GEN^CS_EVENT_DATEJ_N("ER",2)&lt;/Q&gt;&lt;R&gt;1&lt;/R&gt;&lt;C&gt;1&lt;/C&gt;&lt;D xsi:type="xsd:long"&gt;46233&lt;/D&gt;&lt;/FQL&gt;&lt;FQL&gt;&lt;Q&gt;GEN^CS_EVENT_TIME_N("ER",2)&lt;/Q&gt;&lt;R&gt;1&lt;/R&gt;&lt;C&gt;1&lt;/C&gt;&lt;D xsi:type="xsd:string"&gt;Unspecified&lt;/D&gt;&lt;/FQL&gt;&lt;FQL&gt;&lt;Q&gt;GEN^CS_EVENT_DESC_N("ER",2)&lt;/Q&gt;&lt;R&gt;1&lt;/R&gt;&lt;C&gt;1&lt;/C&gt;&lt;D xsi:type="xsd:string"&gt;Q1 2027 Earnings Release (Projected)&lt;/D&gt;&lt;/FQL&gt;&lt;FQL&gt;&lt;Q&gt;TPR^CS_EVENT_DATEJ_N("ER",2)&lt;/Q&gt;&lt;R&gt;1&lt;/R&gt;&lt;C&gt;1&lt;/C&gt;&lt;D xsi:type="xsd:long"&gt;46247&lt;/D&gt;&lt;/FQL&gt;&lt;FQL&gt;&lt;Q&gt;TPR^CS_EVENT_TIME_N("ER",2)&lt;/Q&gt;&lt;R&gt;1&lt;/R&gt;&lt;C&gt;1&lt;/C&gt;&lt;D xsi:type="xsd:string"&gt;Unspecified&lt;/D&gt;&lt;/FQL&gt;&lt;FQL&gt;&lt;Q&gt;TPR^CS_EVENT_DESC_N("ER",2)&lt;/Q&gt;&lt;R&gt;1&lt;/R&gt;&lt;C&gt;1&lt;/C&gt;&lt;D xsi:type="xsd:string"&gt;Q4 2026 Earnings Release (Projected)&lt;/D&gt;&lt;/FQL&gt;&lt;FQL&gt;&lt;Q&gt;MCK^CS_EVENT_DATEJ_N("ER",2)&lt;/Q&gt;&lt;R&gt;1&lt;/R&gt;&lt;C&gt;1&lt;/C&gt;&lt;D xsi:type="xsd:long"&gt;46239&lt;/D&gt;&lt;/FQL&gt;&lt;FQL&gt;&lt;Q&gt;MCK^CS_EVENT_TIME_N("ER",2)&lt;/Q&gt;&lt;R&gt;1&lt;/R&gt;&lt;C&gt;1&lt;/C&gt;&lt;D xsi:type="xsd:string"&gt;Unspecified&lt;/D&gt;&lt;/FQL&gt;&lt;FQL&gt;&lt;Q&gt;MCK^CS_EVENT_DESC_N("ER",2)&lt;/Q&gt;&lt;R&gt;1&lt;/R&gt;&lt;C&gt;1&lt;/C&gt;&lt;D xsi:type="xsd:string"&gt;Q1 2027 Earnings Release (Projected)&lt;/D&gt;&lt;/FQL&gt;&lt;FQL&gt;&lt;Q&gt;AKAM^CS_EVENT_DATEJ_N("ER",2)&lt;/Q&gt;&lt;R&gt;1&lt;/R&gt;&lt;C&gt;1&lt;/C&gt;&lt;D xsi:type="xsd:long"&gt;46245&lt;/D&gt;&lt;/FQL&gt;&lt;FQL&gt;&lt;Q&gt;AKAM^CS_EVENT_TIME_N("ER",2)&lt;/Q&gt;&lt;R&gt;1&lt;/R&gt;&lt;C&gt;1&lt;/C&gt;&lt;D xsi:type="xsd:string"&gt;Unspecified&lt;/D&gt;&lt;/FQL&gt;&lt;FQL&gt;&lt;Q&gt;AKAM^CS_EVENT_DESC_N("ER",2)&lt;/Q&gt;&lt;R&gt;1&lt;/R&gt;&lt;C&gt;1&lt;/C&gt;&lt;D xsi:type="xsd:string"&gt;Q2 2026 Earnings Release (Projected)&lt;/D&gt;&lt;/FQL&gt;&lt;FQL&gt;&lt;Q&gt;GWW^CS_EVENT_DATEJ_N("ER",2)&lt;/Q&gt;&lt;R&gt;1&lt;/R&gt;&lt;C&gt;1&lt;/C&gt;&lt;D xsi:type="xsd:long"&gt;46238&lt;/D&gt;&lt;/FQL&gt;&lt;FQL&gt;&lt;Q&gt;GWW^CS_EVENT_TIME_N("ER",2)&lt;/Q&gt;&lt;R&gt;1&lt;/R&gt;&lt;C&gt;1&lt;/C&gt;&lt;D xsi:type="xsd:string"&gt;8:00 AM&lt;/D&gt;&lt;/FQL&gt;&lt;FQL&gt;&lt;Q&gt;GWW^CS_EVENT_DESC_N("ER",2)&lt;/Q&gt;&lt;R&gt;1&lt;/R&gt;&lt;C&gt;1&lt;/C&gt;&lt;D xsi:type="xsd:string"&gt;Q2 2026 Earnings Release&lt;/D&gt;&lt;/FQL&gt;&lt;FQL&gt;&lt;Q&gt;CRL^CS_EVENT_DATEJ_N("ER",2)&lt;/Q&gt;&lt;R&gt;1&lt;/R&gt;&lt;C&gt;1&lt;/C&gt;&lt;D xsi:type="xsd:long"&gt;46246&lt;/D&gt;&lt;/FQL&gt;&lt;FQL&gt;&lt;Q&gt;CRL^CS_EVENT_TIME_N("ER",2)&lt;/Q&gt;&lt;R&gt;1&lt;/R&gt;&lt;C&gt;1&lt;/C&gt;&lt;D xsi:type="xsd:string"&gt;Unspecified&lt;/D&gt;&lt;/FQL&gt;&lt;FQL&gt;&lt;Q&gt;CRL^CS_EVENT_DESC_N("ER",2)&lt;/Q&gt;&lt;R&gt;1&lt;/R&gt;&lt;C&gt;1&lt;/C&gt;&lt;D xsi:type="xsd:string"&gt;Q2 2026 Earnings Release (Projected)&lt;/D&gt;&lt;/FQL&gt;&lt;FQL&gt;&lt;Q&gt;SATS^CS_EVENT_DATEJ_N("ER",2)&lt;/Q&gt;&lt;R&gt;1&lt;/R&gt;&lt;C&gt;1&lt;/C&gt;&lt;D xsi:type="xsd:long"&gt;46233&lt;/D&gt;&lt;/FQL&gt;&lt;FQL&gt;&lt;Q&gt;SATS^CS_EVENT_TIME_N("ER",2)&lt;/Q&gt;&lt;R&gt;1&lt;/R&gt;&lt;C&gt;1&lt;/C&gt;&lt;D xsi:type="xsd:string"&gt;Unspecified&lt;/D&gt;&lt;/FQL&gt;&lt;FQL&gt;&lt;Q&gt;SATS^CS_EVENT_DESC_N("ER",2)&lt;/Q&gt;&lt;R&gt;1&lt;/R&gt;&lt;C&gt;1&lt;/C&gt;&lt;D xsi:type="xsd:string"&gt;Q2 2026 Earnings Release (Projected)&lt;/D&gt;&lt;/FQL&gt;&lt;FQL&gt;&lt;Q&gt;CEG^CS_EVENT_DATEJ_N("ER",2)&lt;/Q&gt;&lt;R&gt;1&lt;/R&gt;&lt;C&gt;1&lt;/C&gt;&lt;D xsi:type="xsd:long"&gt;46233&lt;/D&gt;&lt;/FQL&gt;&lt;FQL&gt;&lt;Q&gt;CEG^CS_EVENT_TIME_N("ER",2)&lt;/Q&gt;&lt;R&gt;1&lt;/R&gt;&lt;C&gt;1&lt;/C&gt;&lt;D xsi:type="xsd:string"&gt;Unspecified&lt;/D&gt;&lt;/FQL&gt;&lt;FQL&gt;&lt;Q&gt;CEG^CS_EVENT_DESC_N("ER",2)&lt;/Q&gt;&lt;R&gt;1&lt;/R&gt;&lt;C&gt;1&lt;/C&gt;&lt;D xsi:type="xsd:string"&gt;Q2 2026 Earnings Release (Projected)&lt;/D&gt;&lt;/FQL&gt;&lt;FQL&gt;&lt;Q&gt;NWS^CS_EVENT_DATEJ_N("ER",2)&lt;/Q&gt;&lt;R&gt;1&lt;/R&gt;&lt;C&gt;1&lt;/C&gt;&lt;D xsi:type="xsd:long"&gt;46240&lt;/D&gt;&lt;/FQL&gt;&lt;FQL&gt;&lt;Q&gt;NWS^CS_EVENT_TIME_N("ER",2)&lt;/Q&gt;&lt;R&gt;1&lt;/R&gt;&lt;C&gt;1&lt;/C&gt;&lt;D xsi:type="xsd:string"&gt;Unspecified&lt;/D&gt;&lt;/FQL&gt;&lt;FQL&gt;&lt;Q&gt;NWS^CS_EVENT_DESC_N("ER",2)&lt;/Q&gt;&lt;R&gt;1&lt;/R&gt;&lt;C&gt;1&lt;/C&gt;&lt;D xsi:type="xsd:string"&gt;Q4 2026 Earnings Release (Projected)&lt;/D&gt;&lt;/FQL&gt;&lt;FQL&gt;&lt;Q&gt;NWSA^CS_EVENT_DATEJ_N("ER",2)&lt;/Q&gt;&lt;R&gt;1&lt;/R&gt;&lt;C&gt;1&lt;/C&gt;&lt;D xsi:type="xsd:long"&gt;46240&lt;/D&gt;&lt;/FQL&gt;&lt;FQL&gt;&lt;Q&gt;NWSA^CS_EVENT_TIME_N("ER",2)&lt;/Q&gt;&lt;R&gt;1&lt;/R&gt;&lt;C&gt;1&lt;/C&gt;&lt;D xsi:type="xsd:string"&gt;Unspecified&lt;/D&gt;&lt;/FQL&gt;&lt;FQL&gt;&lt;Q&gt;NWSA^CS_EVENT_DESC_N("ER",2)&lt;/Q&gt;&lt;R&gt;1&lt;/R&gt;&lt;C&gt;1&lt;/C&gt;&lt;D xsi:type="xsd:string"&gt;Q4 2026 Earnings Release (Projected)&lt;/D&gt;&lt;/FQL&gt;&lt;FQL&gt;&lt;Q&gt;COIN^CS_EVENT_DATEJ_N("ER",2)&lt;/Q&gt;&lt;R&gt;1&lt;/R&gt;&lt;C&gt;1&lt;/C&gt;&lt;D xsi:type="xsd:long"&gt;46233&lt;/D&gt;&lt;/FQL&gt;&lt;FQL&gt;&lt;Q&gt;COIN^CS_EVENT_TIME_N("ER",2)&lt;/Q&gt;&lt;R&gt;1&lt;/R&gt;&lt;C&gt;1&lt;/C&gt;&lt;D xsi:type="xsd:string"&gt;Unspecified&lt;/D&gt;&lt;/FQL&gt;&lt;FQL&gt;&lt;Q&gt;COIN^CS_EVENT_DESC_N("ER",2)&lt;/Q&gt;&lt;R&gt;1&lt;/R&gt;&lt;C&gt;1&lt;/C&gt;&lt;D xsi:type="xsd:string"&gt;Q2 2026 Earnings Release (Projected)&lt;/D&gt;&lt;/FQL&gt;&lt;FQL&gt;&lt;Q&gt;TKO^CS_EVENT_DATEJ_N("ER",2)&lt;/Q&gt;&lt;R&gt;1&lt;/R&gt;&lt;C&gt;1&lt;/C&gt;&lt;D xsi:type="xsd:long"&gt;46240&lt;/D&gt;&lt;/FQL&gt;&lt;FQL&gt;&lt;Q&gt;TKO^CS_EVENT_TIME_N("ER",2)&lt;/Q&gt;&lt;R&gt;1&lt;/R&gt;&lt;C&gt;1&lt;/C&gt;&lt;D xsi:type="xsd:string"&gt;Unspecified&lt;/D&gt;&lt;/FQL&gt;&lt;FQL&gt;&lt;Q&gt;TKO^CS_EVENT_DESC_N("ER",2)&lt;/Q&gt;&lt;R&gt;1&lt;/R&gt;&lt;C&gt;1&lt;/C&gt;&lt;D xsi:type="xsd:string"&gt;Q2 2026 Earnings Release (Projected)&lt;/D&gt;&lt;/FQL&gt;&lt;FQL&gt;&lt;Q&gt;WBD^CS_EVENT_DATEJ_N("ER",2)&lt;/Q&gt;&lt;R&gt;1&lt;/R&gt;&lt;C&gt;1&lt;/C&gt;&lt;D xsi:type="xsd:long"&gt;46233&lt;/D&gt;&lt;/FQL&gt;&lt;FQL&gt;&lt;Q&gt;WBD^CS_EVENT_TIME_N("ER",2)&lt;/Q&gt;&lt;R&gt;1&lt;/R&gt;&lt;C&gt;1&lt;/C&gt;&lt;D xsi:type="xsd:string"&gt;Unspecified&lt;/D&gt;&lt;/FQL&gt;&lt;FQL&gt;&lt;Q&gt;WBD^CS_EVENT_DESC_N("ER",2)&lt;/Q&gt;&lt;R&gt;1&lt;/R&gt;&lt;C&gt;1&lt;/C&gt;&lt;D xsi:type="xsd:string"&gt;Q2 2026 Earnings Release (Projected)&lt;/D&gt;&lt;/FQL&gt;&lt;FQL&gt;&lt;Q&gt;SOLV^CS_EVENT_DATEJ_N("ER",2)&lt;/Q&gt;&lt;R&gt;1&lt;/R&gt;&lt;C&gt;1&lt;/C&gt;&lt;D xsi:type="xsd:long"&gt;46240&lt;/D&gt;&lt;/FQL&gt;&lt;FQL&gt;&lt;Q&gt;SOLV^CS_EVENT_TIME_N("ER",2)&lt;/Q&gt;&lt;R&gt;1&lt;/R&gt;&lt;C&gt;1&lt;/C&gt;&lt;D xsi:type="xsd:string"&gt;Unspecified&lt;/D&gt;&lt;/FQL&gt;&lt;FQL&gt;&lt;Q&gt;SOLV^CS_EVENT_DESC_N("ER",2)&lt;/Q&gt;&lt;R&gt;1&lt;/R&gt;&lt;C&gt;1&lt;/C&gt;&lt;D xsi:type="xsd:string"&gt;Q2 2026 Earnings Release (Projected)&lt;/D&gt;&lt;/FQL&gt;&lt;FQL&gt;&lt;Q&gt;TSN^CS_EVENT_DATEJ_N("ER",2)&lt;/Q&gt;&lt;R&gt;1&lt;/R&gt;&lt;C&gt;1&lt;/C&gt;&lt;D xsi:type="xsd:long"&gt;46244&lt;/D&gt;&lt;/FQL&gt;&lt;FQL&gt;&lt;Q&gt;TSN^CS_EVENT_TIME_N("ER",2)&lt;/Q&gt;&lt;R&gt;1&lt;/R&gt;&lt;C&gt;1&lt;/C&gt;&lt;D xsi:type="xsd:string"&gt;Unspecified&lt;/D&gt;&lt;/FQL&gt;&lt;FQL&gt;&lt;Q&gt;TSN^CS_EVENT_DESC_N("ER",2)&lt;/Q&gt;&lt;R&gt;1&lt;/R&gt;&lt;C&gt;1&lt;/C&gt;&lt;D xsi:type="xsd:string"&gt;Q3 2026 Earnings Release (Projected)&lt;/D&gt;&lt;/FQL&gt;&lt;FQL&gt;&lt;Q&gt;MCHP^CS_EVENT_DATEJ_N("ER",2)&lt;/Q&gt;&lt;R&gt;1&lt;/R&gt;&lt;C&gt;1&lt;/C&gt;&lt;D xsi:type="xsd:long"&gt;46238&lt;/D&gt;&lt;/FQL&gt;&lt;FQL&gt;&lt;Q&gt;MCHP^CS_EVENT_TIME_N("ER",2)&lt;/Q&gt;&lt;R&gt;1&lt;/R&gt;&lt;C&gt;1&lt;/C&gt;&lt;D xsi:type="xsd:string"&gt;Unspecified&lt;/D&gt;&lt;/FQL&gt;&lt;FQL&gt;&lt;Q&gt;MCHP^CS_EVENT_DESC_N("ER",2)&lt;/Q&gt;&lt;R&gt;1&lt;/R&gt;&lt;C&gt;1&lt;/C&gt;&lt;D xsi:type="xsd:string"&gt;Q1 2027 Earnings Release (Projected)&lt;/D&gt;&lt;/FQL&gt;&lt;FQL&gt;&lt;Q&gt;SPG^CS_EVENT_DATEJ_N("ER",2)&lt;/Q&gt;&lt;R&gt;1&lt;/R&gt;&lt;C&gt;1&lt;/C&gt;&lt;D xsi:type="xsd:long"&gt;46237&lt;/D&gt;&lt;/FQL&gt;&lt;FQL&gt;&lt;Q&gt;SPG^CS_EVENT_TIME_N("ER",2)&lt;/Q&gt;&lt;R&gt;1&lt;/R&gt;&lt;C&gt;1&lt;/C&gt;&lt;D xsi:type="xsd:string"&gt;Unspecified&lt;/D&gt;&lt;/FQL&gt;&lt;FQL&gt;&lt;Q&gt;SPG^CS_EVENT_DESC_N("ER",2)&lt;/Q&gt;&lt;R&gt;1&lt;/R&gt;&lt;C&gt;1&lt;/C&gt;&lt;D xsi:type="xsd:string"&gt;Q2 2026 Earnings Release (Projected)&lt;/D&gt;&lt;/FQL&gt;&lt;FQL&gt;&lt;Q&gt;IFF^CS_EVENT_DATEJ_N("ER",2)&lt;/Q&gt;&lt;R&gt;1&lt;/R&gt;&lt;C&gt;1&lt;/C&gt;&lt;D xsi:type="xsd:long"&gt;46244&lt;/D&gt;&lt;/FQL&gt;&lt;FQL&gt;&lt;Q&gt;IFF^CS_EVENT_TIME_N("ER",2)&lt;/Q&gt;&lt;R&gt;1&lt;/R&gt;&lt;C&gt;1&lt;/C&gt;&lt;D xsi:type="xsd:string"&gt;Unspecified&lt;/D&gt;&lt;/FQL&gt;&lt;FQL&gt;&lt;Q&gt;IFF^CS_EVENT_DESC_N("ER",2)&lt;/Q&gt;&lt;R&gt;1&lt;/R&gt;&lt;C&gt;1&lt;/C&gt;&lt;D xsi:type="xsd:string"&gt;Q2 2026 Earnings Release (Projected)&lt;/D&gt;&lt;/FQL&gt;&lt;FQL&gt;&lt;Q&gt;VTRS^CS_EVENT_DATEJ_N("ER",2)&lt;/Q&gt;&lt;R&gt;1&lt;/R&gt;&lt;C&gt;1&lt;/C&gt;&lt;D xsi:type="xsd:long"&gt;46244&lt;/D&gt;&lt;/FQL&gt;&lt;FQL&gt;&lt;Q&gt;VTRS^CS_EVENT_TIME_N("ER",2)&lt;/Q&gt;&lt;R&gt;1&lt;/R&gt;&lt;C&gt;1&lt;/C&gt;&lt;D xsi:type="xsd:string"&gt;Unspecified&lt;/D&gt;&lt;/FQL&gt;&lt;FQL&gt;&lt;Q&gt;VTRS^CS_EVENT_DESC_N("ER",2)&lt;/Q&gt;&lt;R&gt;1&lt;/R&gt;&lt;C&gt;1&lt;/C&gt;&lt;D xsi:type="xsd:string"&gt;Q2 2026 Earnings Release (Projected)&lt;/D&gt;&lt;/FQL&gt;&lt;FQL&gt;&lt;Q&gt;PLTR^CS_EVENT_DATEJ_N("ER",2)&lt;/Q&gt;&lt;R&gt;1&lt;/R&gt;&lt;C&gt;1&lt;/C&gt;&lt;D xsi:type="xsd:long"&gt;46244&lt;/D&gt;&lt;/FQL&gt;&lt;FQL&gt;&lt;Q&gt;PLTR^CS_EVENT_TIME_N("ER",2)&lt;/Q&gt;&lt;R&gt;1&lt;/R&gt;&lt;C&gt;1&lt;/C&gt;&lt;D xsi:type="xsd:string"&gt;Unspecified&lt;/D&gt;&lt;/FQL&gt;&lt;FQL&gt;&lt;Q&gt;PLTR^CS_EVENT_DESC_N("ER",2)&lt;/Q&gt;&lt;R&gt;1&lt;/R&gt;&lt;C&gt;1&lt;/C&gt;&lt;D xsi:type="xsd:string"&gt;Q2 2026 Earnings Release (Projected)&lt;/D&gt;&lt;/FQL&gt;&lt;FQL&gt;&lt;Q&gt;HSIC^CS_EVENT_DATEJ_N("ER",2)&lt;/Q&gt;&lt;R&gt;1&lt;/R&gt;&lt;C&gt;1&lt;/C&gt;&lt;D xsi:type="xsd:long"&gt;46245&lt;/D&gt;&lt;/FQL&gt;&lt;FQL&gt;&lt;Q&gt;HSIC^CS_EVENT_TIME_N("ER",2)&lt;/Q&gt;&lt;R&gt;1&lt;/R&gt;&lt;C&gt;1&lt;/C&gt;&lt;D xsi:type="xsd:string"&gt;Unspecified&lt;/D&gt;&lt;/FQL&gt;&lt;FQL&gt;&lt;Q&gt;HSIC^CS_EVENT_DESC_N("ER",2)&lt;/Q&gt;&lt;R&gt;1&lt;/R&gt;&lt;C&gt;1&lt;/C&gt;&lt;D xsi:type="xsd:string"&gt;Q2 2026 Earnings Release (Projected)&lt;/D&gt;&lt;/FQL&gt;&lt;FQL&gt;&lt;Q&gt;JKHY^CS_EVENT_DATEJ_N("ER",2)&lt;/Q&gt;&lt;R&gt;1&lt;/R&gt;&lt;C&gt;1&lt;/C&gt;&lt;D xsi:type="xsd:long"&gt;46259&lt;/D&gt;&lt;/FQL&gt;&lt;FQL&gt;&lt;Q&gt;JKHY^CS_EVENT_TIME_N("ER",2)&lt;/Q&gt;&lt;R&gt;1&lt;/R&gt;&lt;C&gt;1&lt;/C&gt;&lt;D xsi:type="xsd:string"&gt;Unspecified&lt;/D&gt;&lt;/FQL&gt;&lt;FQL&gt;&lt;Q&gt;JKHY^CS_EVENT_DESC_N("ER",2)&lt;/Q&gt;&lt;R&gt;1&lt;/R&gt;&lt;C&gt;1&lt;/C&gt;&lt;D xsi:type="xsd:string"&gt;Q4 2026 Earnings Release (Projected)&lt;/D&gt;&lt;/FQL&gt;&lt;FQL&gt;&lt;Q&gt;AXON^CS_EVENT_DATEJ_N("ER",2)&lt;/Q&gt;&lt;R&gt;1&lt;/R&gt;&lt;C&gt;1&lt;/C&gt;&lt;D xsi:type="xsd:long"&gt;46245&lt;/D&gt;&lt;/FQL&gt;&lt;FQL&gt;&lt;Q&gt;AXON^CS_EVENT_TIME_N("ER",2)&lt;/Q&gt;&lt;R&gt;1&lt;/R&gt;&lt;C&gt;1&lt;/C&gt;&lt;D xsi:type="xsd:string"&gt;Unspecified&lt;/D&gt;&lt;/FQL&gt;&lt;FQL&gt;&lt;Q&gt;AXON^CS_EVENT_DESC_N("ER",2)&lt;/Q&gt;&lt;R&gt;1&lt;/R&gt;&lt;C&gt;1&lt;/C&gt;&lt;D xsi:type="xsd:string"&gt;Q2 2026 Earnings Release (Projected)&lt;/D&gt;&lt;/FQL&gt;&lt;FQL&gt;&lt;Q&gt;WAT^CS_EVENT_DATEJ_N("ER",2)&lt;/Q&gt;&lt;R&gt;1&lt;/R&gt;&lt;C&gt;1&lt;/C&gt;&lt;D xsi:type="xsd:long"&gt;46238&lt;/D&gt;&lt;/FQL&gt;&lt;FQL&gt;&lt;Q&gt;WAT^CS_EVENT_TIME_N("ER",2)&lt;/Q&gt;&lt;R&gt;1&lt;/R&gt;&lt;C&gt;1&lt;/C&gt;&lt;D xsi:type="xsd:string"&gt;Unspecified&lt;/D&gt;&lt;/FQL&gt;&lt;FQL&gt;&lt;Q&gt;WAT^CS_EVENT_DESC_N("ER",2)&lt;/Q&gt;&lt;R&gt;1&lt;/R&gt;&lt;C&gt;1&lt;/C&gt;&lt;D xsi:type="xsd:string"&gt;Q2 2026 Earnings Release (Projected)&lt;/D&gt;&lt;/FQL&gt;&lt;FQL&gt;&lt;Q&gt;ZBRA^CS_EVENT_DATEJ_N("ER",2)&lt;/Q&gt;&lt;R&gt;1&lt;/R&gt;&lt;C&gt;1&lt;/C&gt;&lt;D xsi:type="xsd:long"&gt;46238&lt;/D&gt;&lt;/FQL&gt;&lt;FQL&gt;&lt;Q&gt;ZBRA^CS_EVENT_TIME_N("ER",2)&lt;/Q&gt;&lt;R&gt;1&lt;/R&gt;&lt;C&gt;1&lt;/C&gt;&lt;D xsi:type="xsd:string"&gt;6:30 AM&lt;/D&gt;&lt;/FQL&gt;&lt;FQL&gt;&lt;Q&gt;ZBRA^CS_EVENT_DESC_N("ER",2)&lt;/Q&gt;&lt;R&gt;1&lt;/R&gt;&lt;C&gt;1&lt;/C&gt;&lt;D xsi:type="xsd:string"&gt;Q2 2026 Earnings Release&lt;/D&gt;&lt;/FQL&gt;&lt;FQL&gt;&lt;Q&gt;EXPD^CS_EVENT_DATEJ_N("ER",2)&lt;/Q&gt;&lt;R&gt;1&lt;/R&gt;&lt;C&gt;1&lt;/C&gt;&lt;D xsi:type="xsd:long"&gt;46245&lt;/D&gt;&lt;/FQL&gt;&lt;FQL&gt;&lt;Q&gt;EXPD^CS_EVENT_TIME_N("ER",2)&lt;/Q&gt;&lt;R&gt;1&lt;/R&gt;&lt;C&gt;1&lt;/C&gt;&lt;D xsi:type="xsd:string"&gt;Unspecified&lt;/D&gt;&lt;/FQL&gt;&lt;FQL&gt;&lt;Q&gt;EXPD^CS_EVENT_DESC_N("ER",2)&lt;/Q&gt;&lt;R&gt;1&lt;/R&gt;&lt;C&gt;1&lt;/C&gt;&lt;D xsi:type="xsd:string"&gt;Q2 2026 Earnings Release (Projected)&lt;/D&gt;&lt;/FQL&gt;&lt;FQL&gt;&lt;Q&gt;OXY^CS_EVENT_DATEJ_N("ER",2)&lt;/Q&gt;&lt;R&gt;1&lt;/R&gt;&lt;C&gt;1&lt;/C&gt;&lt;D xsi:type="xsd:long"&gt;46238&lt;/D&gt;&lt;/FQL&gt;&lt;FQL&gt;&lt;Q&gt;OXY^CS_EVENT_TIME_N("ER",2)&lt;/Q&gt;&lt;R&gt;1&lt;/R&gt;&lt;C&gt;1&lt;/C&gt;&lt;D xsi:type="xsd:string"&gt;Unspecified&lt;/D&gt;&lt;/FQL&gt;&lt;FQL&gt;&lt;Q&gt;OXY^CS_EVENT_DESC_N("ER",2)&lt;/Q&gt;&lt;R&gt;1&lt;/R&gt;&lt;C&gt;1&lt;/C&gt;&lt;D xsi:type="xsd:string"&gt;Q2 2026 Earnings Release (Projected)&lt;/D&gt;&lt;/FQL&gt;&lt;FQL&gt;&lt;Q&gt;WYNN^CS_EVENT_DATEJ_N("ER",2)&lt;/Q&gt;&lt;R&gt;1&lt;/R&gt;&lt;C&gt;1&lt;/C&gt;&lt;D xsi:type="xsd:long"&gt;46245&lt;/D&gt;&lt;/FQL&gt;&lt;FQL&gt;&lt;Q&gt;WYNN^CS_EVENT_TIME_N("ER",2)&lt;/Q&gt;&lt;R&gt;1&lt;/R&gt;&lt;C&gt;1&lt;/C&gt;&lt;D xsi:type="xsd:string"&gt;Unspecified&lt;/D&gt;&lt;/FQL&gt;&lt;FQL&gt;&lt;Q&gt;WYNN^CS_EVENT_DESC_N("ER",2)&lt;/Q&gt;&lt;R&gt;1&lt;/R&gt;&lt;C&gt;1&lt;/C&gt;&lt;D xsi:type="xsd:string"&gt;Q2 2026 Earnings Release (Projected)&lt;/D&gt;&lt;/FQL&gt;&lt;FQL&gt;&lt;Q&gt;J^CS_EVENT_DATEJ_N("ER",2)&lt;/Q&gt;&lt;R&gt;1&lt;/R&gt;&lt;C&gt;1&lt;/C&gt;&lt;D xsi:type="xsd:long"&gt;46245&lt;/D&gt;&lt;/FQL&gt;&lt;FQL&gt;&lt;Q&gt;J^CS_EVENT_TIME_N("ER",2)&lt;/Q&gt;&lt;R&gt;1&lt;/R&gt;&lt;C&gt;1&lt;/C&gt;&lt;D xsi:type="xsd:string"&gt;Unspecified&lt;/D&gt;&lt;/FQL&gt;&lt;FQL&gt;&lt;Q&gt;J^CS_EVENT_DESC_N("ER",2)&lt;/Q&gt;&lt;R&gt;1&lt;/R&gt;&lt;C&gt;1&lt;/C&gt;&lt;D xsi:type="xsd:string"&gt;Q3 2026 Earnings Release (Projected)&lt;/D&gt;&lt;/FQL&gt;&lt;FQL&gt;&lt;Q&gt;TDG^CS_EVENT_DATEJ_N("ER",2)&lt;/Q&gt;&lt;R&gt;1&lt;/R&gt;&lt;C&gt;1&lt;/C&gt;&lt;D xsi:type="xsd:long"&gt;46245&lt;/D&gt;&lt;/FQL&gt;&lt;FQL&gt;&lt;Q&gt;TDG^CS_EVENT_TIME_N("ER",2)&lt;/Q&gt;&lt;R&gt;1&lt;/R&gt;&lt;C&gt;1&lt;/C&gt;&lt;D xsi:type="xsd:string"&gt;Unspecified&lt;/D&gt;&lt;/FQL&gt;&lt;FQL&gt;&lt;Q&gt;TDG^CS_EVENT_DESC_N("ER",2)&lt;/Q&gt;&lt;R&gt;1&lt;/R&gt;&lt;C&gt;1&lt;/C&gt;&lt;D xsi:type="xsd:string"&gt;Q3 2026 Earnings Release (Projected)&lt;/D&gt;&lt;/FQL&gt;&lt;FQL&gt;&lt;Q&gt;DUK^CS_EVENT_DATEJ_N("ER",2)&lt;/Q&gt;&lt;R&gt;1&lt;/R&gt;&lt;C&gt;1&lt;/C&gt;&lt;D xsi:type="xsd:long"&gt;46245&lt;/D&gt;&lt;/FQL&gt;&lt;FQL&gt;&lt;Q&gt;DUK^CS_EVENT_TIME_N("ER",2)&lt;/Q&gt;&lt;R&gt;1&lt;/R&gt;&lt;C&gt;1&lt;/C&gt;&lt;D xsi:type="xsd:string"&gt;Unspecified&lt;/D&gt;&lt;/FQL&gt;&lt;FQL&gt;&lt;Q&gt;DUK^CS_EVENT_DESC_N("ER",2)&lt;/Q&gt;&lt;R&gt;1&lt;/R&gt;&lt;C&gt;1&lt;/C&gt;&lt;D xsi:type="xsd:string"&gt;Q2 2026 Earnings Release (Projected)&lt;/D&gt;&lt;/FQL&gt;&lt;FQL&gt;&lt;Q&gt;LITE^CS_EVENT_DATEJ_N("ER",2)&lt;/Q&gt;&lt;R&gt;1&lt;/R&gt;&lt;C&gt;1&lt;/C&gt;&lt;D xsi:type="xsd:long"&gt;46252&lt;/D&gt;&lt;/FQL&gt;&lt;FQL&gt;&lt;Q&gt;LITE^CS_EVENT_TIME_N("ER",2)&lt;/Q&gt;&lt;R&gt;1&lt;/R&gt;&lt;C&gt;1&lt;/C&gt;&lt;D xsi:type="xsd:string"&gt;Unspecified&lt;/D&gt;&lt;/FQL&gt;&lt;FQL&gt;&lt;Q&gt;LITE^CS_EVENT_DESC_N("ER",2)&lt;/Q&gt;&lt;R&gt;1&lt;/R&gt;&lt;C&gt;1&lt;/C&gt;&lt;D xsi:type="xsd:string"&gt;Q4 2026 Earnings Release (Projected)&lt;/D&gt;&lt;/FQL&gt;&lt;FQL&gt;&lt;Q&gt;FOX^CS_EVENT_DATEJ_N("ER",2)&lt;/Q&gt;&lt;R&gt;1&lt;/R&gt;&lt;C&gt;1&lt;/C&gt;&lt;D xsi:type="xsd:long"&gt;46245&lt;/D&gt;&lt;/FQL&gt;&lt;FQL&gt;&lt;Q&gt;FOX^CS_EVENT_TIME_N("ER",2)&lt;/Q&gt;&lt;R&gt;1&lt;/R&gt;&lt;C&gt;1&lt;/C&gt;&lt;D xsi:type="xsd:string"&gt;Unspecified&lt;/D&gt;&lt;/FQL&gt;&lt;FQL&gt;&lt;Q&gt;FOX^CS_EVENT_DESC_N("ER",2)&lt;/Q&gt;&lt;R&gt;1&lt;/R&gt;&lt;C&gt;1&lt;/C&gt;&lt;D xsi:type="xsd:string"&gt;Q4 2026 Earnings Release (Projected)&lt;/D&gt;&lt;/FQL&gt;&lt;FQL&gt;&lt;Q&gt;FOXA^CS_EVENT_DATEJ_N("ER",2)&lt;/Q&gt;&lt;R&gt;1&lt;/R&gt;&lt;C&gt;1&lt;/C&gt;&lt;D xsi:type="xsd:long"&gt;46245&lt;/D&gt;&lt;/FQL&gt;&lt;FQL&gt;&lt;Q&gt;FOXA^CS_EVENT_TIME_N("ER",2)&lt;/Q&gt;&lt;R&gt;1&lt;/R&gt;&lt;C&gt;1&lt;/C&gt;&lt;D xsi:type="xsd:string"&gt;Unspecified&lt;/D&gt;&lt;/FQL&gt;&lt;FQL&gt;&lt;Q&gt;FOXA^CS_EVENT_DESC_N("ER",2)&lt;/Q&gt;&lt;R&gt;1&lt;/R&gt;&lt;C&gt;1&lt;/C&gt;&lt;D xsi:type="xsd:string"&gt;Q4 2026 Earnings Release (Projected)&lt;/D&gt;&lt;/FQL&gt;&lt;FQL&gt;&lt;Q&gt;COHR^CS_EVENT_DATEJ_N("ER",2)&lt;/Q&gt;&lt;R&gt;1&lt;/R&gt;&lt;C&gt;1&lt;/C&gt;&lt;D xsi:type="xsd:long"&gt;46247&lt;/D&gt;&lt;/FQL&gt;&lt;FQL&gt;&lt;Q&gt;COHR^CS_EVENT_TIME_N("ER",2)&lt;/Q&gt;&lt;R&gt;1&lt;/R&gt;&lt;C&gt;1&lt;/C&gt;&lt;D xsi:type="xsd:string"&gt;Unspecified&lt;/D&gt;&lt;/FQL&gt;&lt;FQL&gt;&lt;Q&gt;COHR^CS_EVENT_DESC_N("ER",2)&lt;/Q&gt;&lt;R&gt;1&lt;/R&gt;&lt;C&gt;1&lt;/C&gt;&lt;D xsi:type="xsd:string"&gt;Q4 2026 Earnings Release (Projected)&lt;/D&gt;&lt;/FQL&gt;&lt;FQL&gt;&lt;Q&gt;ATO^CS_EVENT_DATEJ_N("ER",2)&lt;/Q&gt;&lt;R&gt;1&lt;/R&gt;&lt;C&gt;1&lt;/C&gt;&lt;D xsi:type="xsd:long"&gt;46246&lt;/D&gt;&lt;/FQL&gt;&lt;FQL&gt;&lt;Q&gt;ATO^CS_EVENT_TIME_N("ER",2)&lt;/Q&gt;&lt;R&gt;1&lt;/R&gt;&lt;C&gt;1&lt;/C&gt;&lt;D xsi:type="xsd:string"&gt;Unspecified&lt;/D&gt;&lt;/FQL&gt;&lt;FQL&gt;&lt;Q&gt;ATO^CS_EVENT_DESC_N("ER",2)&lt;/Q&gt;&lt;R&gt;1&lt;/R&gt;&lt;C&gt;1&lt;/C&gt;&lt;D xsi:type="xsd:string"&gt;Q3 2026 Earnings Release (Projected)&lt;/D&gt;&lt;/FQL&gt;&lt;FQL&gt;&lt;Q&gt;NI^CS_EVENT_DATEJ_N("ER",2)&lt;/Q&gt;&lt;R&gt;1&lt;/R&gt;&lt;C&gt;1&lt;/C&gt;&lt;D xsi:type="xsd:long"&gt;46239&lt;/D&gt;&lt;/FQL&gt;&lt;FQL&gt;&lt;Q&gt;NI^CS_EVENT_TIME_N("ER",2)&lt;/Q&gt;&lt;R&gt;1&lt;/R&gt;&lt;C&gt;1&lt;/C&gt;&lt;D xsi:type="xsd:string"&gt;Unspecified&lt;/D&gt;&lt;/FQL&gt;&lt;FQL&gt;&lt;Q&gt;NI^CS_EVENT_DESC_N("ER",2)&lt;/Q&gt;&lt;R&gt;1&lt;/R&gt;&lt;C&gt;1&lt;/C&gt;&lt;D xsi:type="xsd:string"&gt;Q2 2026 Earnings Release (Projected)&lt;/D&gt;&lt;/FQL&gt;&lt;FQL&gt;&lt;Q&gt;DIS^CS_EVENT_DATEJ_N("ER",2)&lt;/Q&gt;&lt;R&gt;1&lt;/R&gt;&lt;C&gt;1&lt;/C&gt;&lt;D xsi:type="xsd:long"&gt;46246&lt;/D&gt;&lt;/FQL&gt;&lt;FQL&gt;&lt;Q&gt;DIS^CS_EVENT_TIME_N("ER",2)&lt;/Q&gt;&lt;R&gt;1&lt;/R&gt;&lt;C&gt;1&lt;/C&gt;&lt;D xsi:type="xsd:string"&gt;Unspecified&lt;/D&gt;&lt;/FQL&gt;&lt;FQL&gt;&lt;Q&gt;DIS^CS_EVENT_DESC_N("ER",2)&lt;/Q&gt;&lt;R&gt;1&lt;/R&gt;&lt;C&gt;1&lt;/C&gt;&lt;D xsi:type="xsd:string"&gt;Q3 2026 Earnings Release (Projected)&lt;/D&gt;&lt;/FQL&gt;&lt;FQL&gt;&lt;Q&gt;TTD^CS_EVENT_DATEJ_N("ER",2)&lt;/Q&gt;&lt;R&gt;1&lt;/R&gt;&lt;C&gt;1&lt;/C&gt;&lt;D xsi:type="xsd:long"&gt;46240&lt;/D&gt;&lt;/FQL&gt;&lt;FQL&gt;&lt;Q&gt;TTD^CS_EVENT_TIME_N("ER",2)&lt;/Q&gt;&lt;R&gt;1&lt;/R&gt;&lt;C&gt;1&lt;/C&gt;&lt;D xsi:type="xsd:string"&gt;Unspecified&lt;/D&gt;&lt;/FQL&gt;&lt;FQL&gt;&lt;Q&gt;TTD^CS_EVENT_DESC_N("ER",2)&lt;/Q&gt;&lt;R&gt;1&lt;/R&gt;&lt;C&gt;1&lt;/C&gt;&lt;D xsi:type="xsd:string"&gt;Q2 2026 Earnings Release (Projected)&lt;/D&gt;&lt;/FQL&gt;&lt;FQL&gt;&lt;Q&gt;VST^CS_EVENT_DATEJ_N("ER",2)&lt;/Q&gt;&lt;R&gt;1&lt;/R&gt;&lt;C&gt;1&lt;/C&gt;&lt;D xsi:type="xsd:long"&gt;46240&lt;/D&gt;&lt;/FQL&gt;&lt;FQL&gt;&lt;Q&gt;VST^CS_EVENT_TIME_N("ER",2)&lt;/Q&gt;&lt;R&gt;1&lt;/R&gt;&lt;C&gt;1&lt;/C&gt;&lt;D xsi:type="xsd:string"&gt;Unspecified&lt;/D&gt;&lt;/FQL&gt;&lt;FQL&gt;&lt;Q&gt;VST^CS_EVENT_DESC_N("ER",2)&lt;/Q&gt;&lt;R&gt;1&lt;/R&gt;&lt;C&gt;1&lt;/C&gt;&lt;D xsi:type="xsd:string"&gt;Q2 2026 Earnings Release (Projected)&lt;/D&gt;&lt;/FQL&gt;&lt;FQL&gt;&lt;Q&gt;CRH^CS_EVENT_DATEJ_N("ER",2)&lt;/Q&gt;&lt;R&gt;1&lt;/R&gt;&lt;C&gt;1&lt;/C&gt;&lt;D xsi:type="xsd:long"&gt;46254&lt;/D&gt;&lt;/FQL&gt;&lt;FQL&gt;&lt;Q&gt;CRH^CS_EVENT_TIME_N("ER",2)&lt;/Q&gt;&lt;R&gt;1&lt;/R&gt;&lt;C&gt;1&lt;/C&gt;&lt;D xsi:type="xsd:string"&gt;Unspecified&lt;/D&gt;&lt;/FQL&gt;&lt;FQL&gt;&lt;Q&gt;CRH^CS_EVENT_DESC_N("ER",2)&lt;/Q&gt;&lt;R&gt;1&lt;/R&gt;&lt;C&gt;1&lt;/C&gt;&lt;D xsi:type="xsd:string"&gt;Q2 2026 Earnings Release (Projected)&lt;/D&gt;&lt;/FQL&gt;&lt;FQL&gt;&lt;Q&gt;ABNB^CS_EVENT_DATEJ_N("ER",2)&lt;/Q&gt;&lt;R&gt;1&lt;/R&gt;&lt;C&gt;1&lt;/C&gt;&lt;D xsi:type="xsd:long"&gt;46246&lt;/D&gt;&lt;/FQL&gt;&lt;FQL&gt;&lt;Q&gt;ABNB^CS_EVENT_TIME_N("ER",2)&lt;/Q&gt;&lt;R&gt;1&lt;/R&gt;&lt;C&gt;1&lt;/C&gt;&lt;D xsi:type="xsd:string"&gt;Unspecified&lt;/D&gt;&lt;/FQL&gt;&lt;FQL&gt;&lt;Q&gt;ABNB^CS_EVENT_DESC_N("ER",2)&lt;/Q&gt;&lt;R&gt;1&lt;/R&gt;&lt;C&gt;1&lt;/C&gt;&lt;D xsi:type="xsd:string"&gt;Q2 2026 Earnings Release (Projected)&lt;/D&gt;&lt;/FQL&gt;&lt;FQL&gt;&lt;Q&gt;APP^CS_EVENT_DATEJ_N("ER",2)&lt;/Q&gt;&lt;R&gt;1&lt;/R&gt;&lt;C&gt;1&lt;/C&gt;&lt;D xsi:type="xsd:long"&gt;46246&lt;/D&gt;&lt;/FQL&gt;&lt;FQL&gt;&lt;Q&gt;APP^CS_EVENT_TIME_N("ER",2)&lt;/Q&gt;&lt;R&gt;1&lt;/R&gt;&lt;C&gt;1&lt;/C&gt;&lt;D xsi:type="xsd:string"&gt;Unspecified&lt;/D&gt;&lt;/FQL&gt;&lt;FQL&gt;&lt;Q&gt;APP^CS_EVENT_DESC_N("ER",2)&lt;/Q&gt;&lt;R&gt;1&lt;/R&gt;&lt;C&gt;1&lt;/C&gt;&lt;D xsi:type="xsd:string"&gt;Q2 2026 Earnings Release (Projected)&lt;/D&gt;&lt;/FQL&gt;&lt;FQL&gt;&lt;Q&gt;HOOD^CS_EVENT_DATEJ_N("ER",2)&lt;/Q&gt;&lt;R&gt;1&lt;/R&gt;&lt;C&gt;1&lt;/C&gt;&lt;D xsi:type="xsd:long"&gt;46239&lt;/D&gt;&lt;/FQL&gt;&lt;FQL&gt;&lt;Q&gt;HOOD^CS_EVENT_TIME_N("ER",2)&lt;/Q&gt;&lt;R&gt;1&lt;/R&gt;&lt;C&gt;1&lt;/C&gt;&lt;D xsi:type="xsd:string"&gt;Unspecified&lt;/D&gt;&lt;/FQL&gt;&lt;FQL&gt;&lt;Q&gt;HOOD^CS_EVENT_DESC_N("ER",2)&lt;/Q&gt;&lt;R&gt;1&lt;/R&gt;&lt;C&gt;1&lt;/C&gt;&lt;D xsi:type="xsd:string"&gt;Q2 2026 Earnings Release (Projected)&lt;/D&gt;&lt;/FQL&gt;&lt;FQL&gt;&lt;Q&gt;KVUE^CS_EVENT_DATEJ_N("ER",2)&lt;/Q&gt;&lt;R&gt;1&lt;/R&gt;&lt;C&gt;1&lt;/C&gt;&lt;D xsi:type="xsd:long"&gt;46246&lt;/D&gt;&lt;/FQL&gt;&lt;FQL&gt;&lt;Q&gt;KVUE^CS_EVENT_TIME_N("ER",2)&lt;/Q&gt;&lt;R&gt;1&lt;/R&gt;&lt;C&gt;1&lt;/C&gt;&lt;D xsi:type="xsd:string"&gt;Unspecified&lt;/D&gt;&lt;/FQL&gt;&lt;FQL&gt;&lt;Q&gt;KVUE^CS_EVENT_DESC_N("ER",2)&lt;/Q&gt;&lt;R&gt;1&lt;/R&gt;&lt;C&gt;1&lt;/C&gt;&lt;D xsi:type="xsd:string"&gt;Q2 2026 Earnings Release (Projected)&lt;/D&gt;&lt;/FQL&gt;&lt;FQL&gt;&lt;Q&gt;TTWO^CS_EVENT_DATEJ_N("ER",2)&lt;/Q&gt;&lt;R&gt;1&lt;/R&gt;&lt;C&gt;1&lt;/C&gt;&lt;D xsi:type="xsd:long"&gt;46240&lt;/D&gt;&lt;/FQL&gt;&lt;FQL&gt;&lt;Q&gt;TTWO^CS_EVENT_TIME_N("ER",2)&lt;/Q&gt;&lt;R&gt;1&lt;/R&gt;&lt;C&gt;1&lt;/C&gt;&lt;D xsi:type="xsd:string"&gt;Unspecified&lt;/D&gt;&lt;/FQL&gt;&lt;FQL&gt;&lt;Q&gt;TTWO^CS_EVENT_DESC_N("ER",2)&lt;/Q&gt;&lt;R&gt;1&lt;/R&gt;&lt;C&gt;1&lt;/C&gt;&lt;D xsi:type="xsd:string"&gt;Q1 2027 Earnings Release (Projected)&lt;/D&gt;&lt;/FQL&gt;&lt;FQL&gt;&lt;Q&gt;ROST^CS_EVENT_DATEJ_N("ER",2)&lt;/Q&gt;&lt;R&gt;1&lt;/R&gt;&lt;C&gt;1&lt;/C&gt;&lt;D xsi:type="xsd:long"&gt;46247&lt;/D&gt;&lt;/FQL&gt;&lt;FQL&gt;&lt;Q&gt;ROST^CS_EVENT_TIME_N("ER",2)&lt;/Q&gt;&lt;R&gt;1&lt;/R&gt;&lt;C&gt;1&lt;/C&gt;&lt;D xsi:type="xsd:string"&gt;Unspecified&lt;/D&gt;&lt;/FQL&gt;&lt;FQL&gt;&lt;Q&gt;ROST^CS_EVENT_DESC_N("ER",2)&lt;/Q&gt;&lt;R&gt;1&lt;/R&gt;&lt;C&gt;1&lt;/C&gt;&lt;D xsi:type="xsd:string"&gt;Q2 2026 Earnings Release (Projected)&lt;/D&gt;&lt;/FQL&gt;&lt;FQL&gt;&lt;Q&gt;WMT^CS_EVENT_DATEJ_N("ER",2)&lt;/Q&gt;&lt;R&gt;1&lt;/R&gt;&lt;C&gt;1&lt;/C&gt;&lt;D xsi:type="xsd:long"&gt;46252&lt;/D&gt;&lt;/FQL&gt;&lt;FQL&gt;&lt;Q&gt;WMT^CS_EVENT_TIME_N("ER",2)&lt;/Q&gt;&lt;R&gt;1&lt;/R&gt;&lt;C&gt;1&lt;/C&gt;&lt;D xsi:type="xsd:string"&gt;Unspecified&lt;/D&gt;&lt;/FQL&gt;&lt;FQL&gt;&lt;Q&gt;WMT^CS_EVENT_DESC_N("ER",2)&lt;/Q&gt;&lt;R&gt;1&lt;/R&gt;&lt;C&gt;1&lt;/C&gt;&lt;D xsi:type="xsd:string"&gt;Q2 2027 Earnings Release (Projected)&lt;/D&gt;&lt;/FQL&gt;&lt;FQL&gt;&lt;Q&gt;AMAT^CS_EVENT_DATEJ_N("ER",2)&lt;/Q&gt;&lt;R&gt;1&lt;/R&gt;&lt;C&gt;1&lt;/C&gt;&lt;D xsi:type="xsd:long"&gt;46247&lt;/D&gt;&lt;/FQL&gt;&lt;FQL&gt;&lt;Q&gt;AMAT^CS_EVENT_TIME_N("ER",2)&lt;/Q&gt;&lt;R&gt;1&lt;/R&gt;&lt;C&gt;1&lt;/C&gt;&lt;D xsi:type="xsd:string"&gt;4:01 PM&lt;/D&gt;&lt;/FQL&gt;&lt;FQL&gt;&lt;Q&gt;AMAT^CS_EVENT_DESC_N("ER",2)&lt;/Q&gt;&lt;R&gt;1&lt;/R&gt;&lt;C&gt;1&lt;/C&gt;&lt;D xsi:type="xsd:string"&gt;Q3 2026 Earnings Release&lt;/D&gt;&lt;/FQL&gt;&lt;FQL&gt;&lt;Q&gt;HD^CS_EVENT_DATEJ_N("ER",2)&lt;/Q&gt;&lt;R&gt;1&lt;/R&gt;&lt;C&gt;1&lt;/C&gt;&lt;D xsi:type="xsd:long"&gt;46252&lt;/D&gt;&lt;/FQL&gt;&lt;FQL&gt;&lt;Q&gt;HD^CS_EVENT_TIME_N("ER",2)&lt;/Q&gt;&lt;R&gt;1&lt;/R&gt;&lt;C&gt;1&lt;/C&gt;&lt;D xsi:type="xsd:string"&gt;Unspecified&lt;/D&gt;&lt;/FQL&gt;&lt;FQL&gt;&lt;Q&gt;HD^CS_EVENT_DESC_N("ER",2)&lt;/Q&gt;&lt;R&gt;1&lt;/R&gt;&lt;C&gt;1&lt;/C&gt;&lt;D xsi:type="xsd:string"&gt;Q2 2026 Earnings Release (Projected)&lt;/D&gt;&lt;/FQL&gt;&lt;FQL&gt;&lt;Q&gt;KEYS^CS_EVENT_DATEJ_N("ER",2)&lt;/Q&gt;&lt;R&gt;1&lt;/R&gt;&lt;C&gt;1&lt;/C&gt;&lt;D xsi:type="xsd:long"&gt;46253&lt;/D&gt;&lt;/FQL&gt;&lt;FQL&gt;&lt;Q&gt;KEYS^CS_EVENT_TIME_N("ER",2)&lt;/Q&gt;&lt;R&gt;1&lt;/R&gt;&lt;C&gt;1&lt;/C&gt;&lt;D xsi:type="xsd:string"&gt;Unspecified&lt;/D&gt;&lt;/FQL&gt;&lt;FQL&gt;&lt;Q&gt;KEYS^CS_EVENT_DESC_N("ER",2)&lt;/Q&gt;&lt;R&gt;1&lt;/R&gt;&lt;C&gt;1&lt;/C&gt;&lt;D xsi:type="xsd:string"&gt;Q3 2026 Earnings Release (Projected)&lt;/D&gt;&lt;/FQL&gt;&lt;FQL&gt;&lt;Q&gt;TJX^CS_EVENT_DATEJ_N("ER",2)&lt;/Q&gt;&lt;R&gt;1&lt;/R&gt;&lt;C&gt;1&lt;/C&gt;&lt;D xsi:type="xsd:long"&gt;46253&lt;/D&gt;&lt;/FQL&gt;&lt;FQL&gt;&lt;Q&gt;TJX^CS_EVENT_TIME_N("ER",2)&lt;/Q&gt;&lt;R&gt;1&lt;/R&gt;&lt;C&gt;1&lt;/C&gt;&lt;D xsi:type="xsd:string"&gt;Unspecified&lt;/D&gt;&lt;/FQL&gt;&lt;FQL&gt;&lt;Q&gt;TJX^CS_EVENT_DESC_N("ER",2)&lt;/Q&gt;&lt;R&gt;1&lt;/R&gt;&lt;C&gt;1&lt;/C&gt;&lt;D xsi:type="xsd:string"&gt;Q2 2027 Earnings Release&lt;/D&gt;&lt;/FQL&gt;&lt;FQL&gt;&lt;Q&gt;NVDA^CS_EVENT_DATEJ_N("ER",2)&lt;/Q&gt;&lt;R&gt;1&lt;/R&gt;&lt;C&gt;1&lt;/C&gt;&lt;D xsi:type="xsd:long"&gt;46260&lt;/D&gt;&lt;/FQL&gt;&lt;FQL&gt;&lt;Q&gt;NVDA^CS_EVENT_TIME_N("ER",2)&lt;/Q&gt;&lt;R&gt;1&lt;/R&gt;&lt;C&gt;1&lt;/C&gt;&lt;D xsi:type="xsd:string"&gt;Unspecified&lt;/D&gt;&lt;/FQL&gt;&lt;FQL&gt;&lt;Q&gt;NVDA^CS_EVENT_DESC_N("ER",2)&lt;/Q&gt;&lt;R&gt;1&lt;/R&gt;&lt;C&gt;1&lt;/C&gt;&lt;D xsi:type="xsd:string"&gt;Q2 2027 Earnings Release (Projected)&lt;/D&gt;&lt;/FQL&gt;&lt;FQL&gt;&lt;Q&gt;TGT^CS_EVENT_DATEJ_N("ER",2)&lt;/Q&gt;&lt;R&gt;1&lt;/R&gt;&lt;C&gt;1&lt;/C&gt;&lt;D xsi:type="xsd:long"&gt;46253&lt;/D&gt;&lt;/FQL&gt;&lt;FQL&gt;&lt;Q&gt;TGT^CS_EVENT_TIME_N("ER",2)&lt;/Q&gt;&lt;R&gt;1&lt;/R&gt;&lt;C&gt;1&lt;/C&gt;&lt;D xsi:type="xsd:string"&gt;Unspecified&lt;/D&gt;&lt;/FQL&gt;&lt;FQL&gt;&lt;Q&gt;TGT^CS_EVENT_DESC_N("ER",2)&lt;/Q&gt;&lt;R&gt;1&lt;/R&gt;&lt;C&gt;1&lt;/C&gt;&lt;D xsi:type="xsd:string"&gt;Q2 2026 Earnings Release (Projected)&lt;/D&gt;&lt;/FQL&gt;&lt;FQL&gt;&lt;Q&gt;MDT^CS_EVENT_DATEJ_N("ER",2)&lt;/Q&gt;&lt;R&gt;1&lt;/R&gt;&lt;C&gt;1&lt;/C&gt;&lt;D xsi:type="xsd:long"&gt;46259&lt;/D&gt;&lt;/FQL&gt;&lt;FQL&gt;&lt;Q&gt;MDT^CS_EVENT_TIME_N("ER",2)&lt;/Q&gt;&lt;R&gt;1&lt;/R&gt;&lt;C&gt;1&lt;/C&gt;&lt;D xsi:type="xsd:string"&gt;Unspecified&lt;/D&gt;&lt;/FQL&gt;&lt;FQL&gt;&lt;Q&gt;MDT^CS_EVENT_DESC_N("ER",2)&lt;/Q&gt;&lt;R&gt;1&lt;/R&gt;&lt;C&gt;1&lt;/C&gt;&lt;D xsi:type="xsd:string"&gt;Q1 2027 Earnings Release (Projected)&lt;/D&gt;&lt;/FQL&gt;&lt;FQL&gt;&lt;Q&gt;SNPS^CS_EVENT_DATEJ_N("ER",2)&lt;/Q&gt;&lt;R&gt;1&lt;/R&gt;&lt;C&gt;1&lt;/C&gt;&lt;D xsi:type="xsd:long"&gt;46358&lt;/D&gt;&lt;/FQL&gt;&lt;FQL&gt;&lt;Q&gt;SNPS^CS_EVENT_TIME_N("ER",2)&lt;/Q&gt;&lt;R&gt;1&lt;/R&gt;&lt;C&gt;1&lt;/C&gt;&lt;D xsi:type="xsd:string"&gt;Unspecified&lt;/D&gt;&lt;/FQL&gt;&lt;FQL&gt;&lt;Q&gt;SNPS^CS_EVENT_DESC_N("ER",2)&lt;/Q&gt;&lt;R&gt;1&lt;/R&gt;&lt;C&gt;1&lt;/C&gt;&lt;D xsi:type="xsd:string"&gt;Q4 2026 Earnings Release (Projected)&lt;/D&gt;&lt;/FQL&gt;&lt;FQL&gt;&lt;Q&gt;CSCO^CS_EVENT_DATEJ_N("ER",2)&lt;/Q&gt;&lt;R&gt;1&lt;/R&gt;&lt;C&gt;1&lt;/C&gt;&lt;D xsi:type="xsd:long"&gt;46253&lt;/D&gt;&lt;/FQL&gt;&lt;FQL&gt;&lt;Q&gt;CSCO^CS_EVENT_TIME_N("ER",2)&lt;/Q&gt;&lt;R&gt;1&lt;/R&gt;&lt;C&gt;1&lt;/C&gt;&lt;D xsi:type="xsd:string"&gt;Unspecified&lt;/D&gt;&lt;/FQL&gt;&lt;FQL&gt;&lt;Q&gt;CSCO^CS_EVENT_DESC_N("ER",2)&lt;/Q&gt;&lt;R&gt;1&lt;/R&gt;&lt;C&gt;1&lt;/C&gt;&lt;D xsi:type="xsd:string"&gt;Q4 2026 Earnings Release (Projected)&lt;/D&gt;&lt;/FQL&gt;&lt;FQL&gt;&lt;Q&gt;CPRT^CS_EVENT_DATEJ_N("ER",2)&lt;/Q&gt;&lt;R&gt;1&lt;/R&gt;&lt;C&gt;1&lt;/C&gt;&lt;D xsi:type="xsd:long"&gt;46274&lt;/D&gt;&lt;/FQL&gt;&lt;FQL&gt;&lt;Q&gt;CPRT^CS_EVENT_TIME_N("ER",2)&lt;/Q&gt;&lt;R&gt;1&lt;/R&gt;&lt;C&gt;1&lt;/C&gt;&lt;D xsi:type="xsd:string"&gt;Unspecified&lt;/D&gt;&lt;/FQL&gt;&lt;FQL&gt;&lt;Q&gt;CPRT^CS_EVENT_DESC_N("ER",2)&lt;/Q&gt;&lt;R&gt;1&lt;/R&gt;&lt;C&gt;1&lt;/C&gt;&lt;D xsi:type="xsd:string"&gt;Q4 2026 Earnings Release (Projected)&lt;/D&gt;&lt;/FQL&gt;&lt;FQL&gt;&lt;Q&gt;STE^CS_EVENT_DATEJ_N("ER",2)&lt;/Q&gt;&lt;R&gt;1&lt;/R&gt;&lt;C&gt;1&lt;/C&gt;&lt;D xsi:type="xsd:long"&gt;46244&lt;/D&gt;&lt;/FQL&gt;&lt;FQL&gt;&lt;Q&gt;STE^CS_EVENT_TIME_N("ER",2)&lt;/Q&gt;&lt;R&gt;1&lt;/R&gt;&lt;C&gt;1&lt;/C&gt;&lt;D xsi:type="xsd:string"&gt;Unspecified&lt;/D&gt;&lt;/FQL&gt;&lt;FQL&gt;&lt;Q&gt;STE^CS_EVENT_DESC_N("ER",2)&lt;/Q&gt;&lt;R&gt;1&lt;/R&gt;&lt;C&gt;1&lt;/C&gt;&lt;D xsi:type="xsd:string"&gt;Q1 2027 Earnings Release (Projected)&lt;/D&gt;&lt;/FQL&gt;&lt;FQL&gt;&lt;Q&gt;ADSK^CS_EVENT_DATEJ_N("ER",2)&lt;/Q&gt;&lt;R&gt;1&lt;/R&gt;&lt;C&gt;1&lt;/C&gt;&lt;D xsi:type="xsd:long"&gt;46260&lt;/D&gt;&lt;/FQL&gt;&lt;FQL&gt;&lt;Q&gt;ADSK^CS_EVENT_TIME_N("ER",2)&lt;/Q&gt;&lt;R&gt;1&lt;/R&gt;&lt;C&gt;1&lt;/C&gt;&lt;D xsi:type="xsd:string"&gt;Unspecified&lt;/D&gt;&lt;/FQL&gt;&lt;FQL&gt;&lt;Q&gt;ADSK^CS_EVENT_DESC_N("ER",2)&lt;/Q&gt;&lt;R&gt;1&lt;/R&gt;&lt;C&gt;1&lt;/C&gt;&lt;D xsi:type="xsd:string"&gt;Q2 2027 Earnings Release (Projected)&lt;/D&gt;&lt;/FQL&gt;&lt;FQL&gt;&lt;Q&gt;DLTR^CS_EVENT_DATEJ_N("ER",2)&lt;/Q&gt;&lt;R&gt;1&lt;/R&gt;&lt;C&gt;1&lt;/C&gt;&lt;D xsi:type="xsd:long"&gt;46254&lt;/D&gt;&lt;/FQL&gt;&lt;FQL&gt;&lt;Q&gt;DLTR^CS_EVENT_TIME_N("ER",2)&lt;/Q&gt;&lt;R&gt;1&lt;/R&gt;&lt;C&gt;1&lt;/C&gt;&lt;D xsi:type="xsd:string"&gt;Unspecified&lt;/D&gt;&lt;/FQL&gt;&lt;FQL&gt;&lt;Q&gt;DLTR^CS_EVENT_DESC_N("ER",2)&lt;/Q&gt;&lt;R&gt;1&lt;/R&gt;&lt;C&gt;1&lt;/C&gt;&lt;D xsi:type="xsd:string"&gt;Q2 2026 Earnings Release (Projected)&lt;/D&gt;&lt;/FQL&gt;&lt;FQL&gt;&lt;Q&gt;DECK^CS_EVENT_DATEJ_N("ER",2)&lt;/Q&gt;&lt;R&gt;1&lt;/R&gt;&lt;C&gt;1&lt;/C&gt;&lt;D xsi:type="xsd:long"&gt;46226&lt;/D&gt;&lt;/FQL&gt;&lt;FQL&gt;&lt;Q&gt;DECK^CS_EVENT_TIME_N("ER",2)&lt;/Q&gt;&lt;R&gt;1&lt;/R&gt;&lt;C&gt;1&lt;/C&gt;&lt;D xsi:type="xsd:string"&gt;Unspecified&lt;/D&gt;&lt;/FQL&gt;&lt;FQL&gt;&lt;Q&gt;DECK^CS_EVENT_DESC_N("ER",2)&lt;/Q&gt;&lt;R&gt;1&lt;/R&gt;&lt;C&gt;1&lt;/C&gt;&lt;D xsi:type="xsd:string"&gt;Q1 2027 Earnings Release (Projected)&lt;/D&gt;&lt;/FQL&gt;&lt;FQL&gt;&lt;Q&gt;DE^CS_EVENT_DATEJ_N("ER",2)&lt;/Q&gt;&lt;R&gt;1&lt;/R&gt;&lt;C&gt;1&lt;/C&gt;&lt;D xsi:type="xsd:long"&gt;46254&lt;/D&gt;&lt;/FQL&gt;&lt;FQL&gt;&lt;Q&gt;DE^CS_EVENT_TIME_N("ER",2)&lt;/Q&gt;&lt;R&gt;1&lt;/R&gt;&lt;C&gt;1&lt;/C&gt;&lt;D xsi:type="xsd:string"&gt;Unspecified&lt;/D&gt;&lt;/FQL&gt;&lt;FQL&gt;&lt;Q&gt;DE^CS_EVENT_DESC_N("ER",2)&lt;/Q&gt;&lt;R&gt;1&lt;/R&gt;&lt;C&gt;1&lt;/C&gt;&lt;D xsi:type="xsd:string"&gt;Q3 2026 Earnings Release&lt;/D&gt;&lt;/FQL&gt;&lt;FQL&gt;&lt;Q&gt;RL^CS_EVENT_DATEJ_N("ER",2)&lt;/Q&gt;&lt;R&gt;1&lt;/R&gt;&lt;C&gt;1&lt;/C&gt;&lt;D xsi:type="xsd:long"&gt;46240&lt;/D&gt;&lt;/FQL&gt;&lt;FQL&gt;&lt;Q&gt;RL^CS_EVENT_TIME_N("ER",2)&lt;/Q&gt;&lt;R&gt;1&lt;/R&gt;&lt;C&gt;1&lt;/C&gt;&lt;D xsi:type="xsd:string"&gt;Unspecified&lt;/D&gt;&lt;/FQL&gt;&lt;FQL&gt;&lt;Q&gt;RL^CS_EVENT_DESC_N("ER",2)&lt;/Q&gt;&lt;R&gt;1&lt;/R&gt;&lt;C&gt;1&lt;/C&gt;&lt;D xsi:type="xsd:string"&gt;Q1 2027 Earnings Release (Projected)&lt;/D&gt;&lt;/FQL&gt;&lt;FQL&gt;&lt;Q&gt;INTU^CS_EVENT_DATEJ_N("ER"</t>
        </r>
      </text>
    </comment>
    <comment ref="A16" authorId="0" shapeId="0" xr:uid="{8CAE5B34-9D64-48B5-9E05-B0150BBBF8D9}">
      <text>
        <r>
          <rPr>
            <b/>
            <sz val="9"/>
            <color indexed="81"/>
            <rFont val="Tahoma"/>
            <family val="2"/>
          </rPr>
          <t>,2)&lt;/Q&gt;&lt;R&gt;1&lt;/R&gt;&lt;C&gt;1&lt;/C&gt;&lt;D xsi:type="xsd:long"&gt;46254&lt;/D&gt;&lt;/FQL&gt;&lt;FQL&gt;&lt;Q&gt;INTU^CS_EVENT_TIME_N("ER",2)&lt;/Q&gt;&lt;R&gt;1&lt;/R&gt;&lt;C&gt;1&lt;/C&gt;&lt;D xsi:type="xsd:string"&gt;Unspecified&lt;/D&gt;&lt;/FQL&gt;&lt;FQL&gt;&lt;Q&gt;INTU^CS_EVENT_DESC_N("ER",2)&lt;/Q&gt;&lt;R&gt;1&lt;/R&gt;&lt;C&gt;1&lt;/C&gt;&lt;D xsi:type="xsd:string"&gt;Q4 2026 Earnings Release (Projected)&lt;/D&gt;&lt;/FQL&gt;&lt;FQL&gt;&lt;Q&gt;ULTA^CS_EVENT_DATEJ_N("ER",2)&lt;/Q&gt;&lt;R&gt;1&lt;/R&gt;&lt;C&gt;1&lt;/C&gt;&lt;D xsi:type="xsd:long"&gt;46254&lt;/D&gt;&lt;/FQL&gt;&lt;FQL&gt;&lt;Q&gt;ULTA^CS_EVENT_TIME_N("ER",2)&lt;/Q&gt;&lt;R&gt;1&lt;/R&gt;&lt;C&gt;1&lt;/C&gt;&lt;D xsi:type="xsd:string"&gt;Unspecified&lt;/D&gt;&lt;/FQL&gt;&lt;FQL&gt;&lt;Q&gt;ULTA^CS_EVENT_DESC_N("ER",2)&lt;/Q&gt;&lt;R&gt;1&lt;/R&gt;&lt;C&gt;1&lt;/C&gt;&lt;D xsi:type="xsd:string"&gt;Q2 2026 Earnings Release (Projected)&lt;/D&gt;&lt;/FQL&gt;&lt;FQL&gt;&lt;Q&gt;DG^CS_EVENT_DATEJ_N("ER",2)&lt;/Q&gt;&lt;R&gt;1&lt;/R&gt;&lt;C&gt;1&lt;/C&gt;&lt;D xsi:type="xsd:long"&gt;46261&lt;/D&gt;&lt;/FQL&gt;&lt;FQL&gt;&lt;Q&gt;DG^CS_EVENT_TIME_N("ER",2)&lt;/Q&gt;&lt;R&gt;1&lt;/R&gt;&lt;C&gt;1&lt;/C&gt;&lt;D xsi:type="xsd:string"&gt;Unspecified&lt;/D&gt;&lt;/FQL&gt;&lt;FQL&gt;&lt;Q&gt;DG^CS_EVENT_DESC_N("ER",2)&lt;/Q&gt;&lt;R&gt;1&lt;/R&gt;&lt;C&gt;1&lt;/C&gt;&lt;D xsi:type="xsd:string"&gt;Q2 2026 Earnings Release (Projected)&lt;/D&gt;&lt;/FQL&gt;&lt;FQL&gt;&lt;Q&gt;WDAY^CS_EVENT_DATEJ_N("ER",2)&lt;/Q&gt;&lt;R&gt;1&lt;/R&gt;&lt;C&gt;1&lt;/C&gt;&lt;D xsi:type="xsd:long"&gt;46254&lt;/D&gt;&lt;/FQL&gt;&lt;FQL&gt;&lt;Q&gt;WDAY^CS_EVENT_TIME_N("ER",2)&lt;/Q&gt;&lt;R&gt;1&lt;/R&gt;&lt;C&gt;1&lt;/C&gt;&lt;D xsi:type="xsd:string"&gt;Unspecified&lt;/D&gt;&lt;/FQL&gt;&lt;FQL&gt;&lt;Q&gt;WDAY^CS_EVENT_DESC_N("ER",2)&lt;/Q&gt;&lt;R&gt;1&lt;/R&gt;&lt;C&gt;1&lt;/C&gt;&lt;D xsi:type="xsd:string"&gt;Q2 2027 Earnings Release (Projected)&lt;/D&gt;&lt;/FQL&gt;&lt;FQL&gt;&lt;Q&gt;NDSN^CS_EVENT_DATEJ_N("ER",2)&lt;/Q&gt;&lt;R&gt;1&lt;/R&gt;&lt;C&gt;1&lt;/C&gt;&lt;D xsi:type="xsd:long"&gt;46258&lt;/D&gt;&lt;/FQL&gt;&lt;FQL&gt;&lt;Q&gt;NDSN^CS_EVENT_TIME_N("ER",2)&lt;/Q&gt;&lt;R&gt;1&lt;/R&gt;&lt;C&gt;1&lt;/C&gt;&lt;D xsi:type="xsd:string"&gt;Unspecified&lt;/D&gt;&lt;/FQL&gt;&lt;FQL&gt;&lt;Q&gt;NDSN^CS_EVENT_DESC_N("ER",2)&lt;/Q&gt;&lt;R&gt;1&lt;/R&gt;&lt;C&gt;1&lt;/C&gt;&lt;D xsi:type="xsd:string"&gt;Q3 2026 Earnings Release (Projected)&lt;/D&gt;&lt;/FQL&gt;&lt;FQL&gt;&lt;Q&gt;AZO^CS_EVENT_DATEJ_N("ER",2)&lt;/Q&gt;&lt;R&gt;1&lt;/R&gt;&lt;C&gt;1&lt;/C&gt;&lt;D xsi:type="xsd:long"&gt;46294&lt;/D&gt;&lt;/FQL&gt;&lt;FQL&gt;&lt;Q&gt;AZO^CS_EVENT_TIME_N("ER",2)&lt;/Q&gt;&lt;R&gt;1&lt;/R&gt;&lt;C&gt;1&lt;/C&gt;&lt;D xsi:type="xsd:string"&gt;Unspecified&lt;/D&gt;&lt;/FQL&gt;&lt;FQL&gt;&lt;Q&gt;AZO^CS_EVENT_DESC_N("ER",2)&lt;/Q&gt;&lt;R&gt;1&lt;/R&gt;&lt;C&gt;1&lt;/C&gt;&lt;D xsi:type="xsd:string"&gt;Q4 2026 Earnings Release (Projected)&lt;/D&gt;&lt;/FQL&gt;&lt;FQL&gt;&lt;Q&gt;A^CS_EVENT_DATEJ_N("ER",2)&lt;/Q&gt;&lt;R&gt;1&lt;/R&gt;&lt;C&gt;1&lt;/C&gt;&lt;D xsi:type="xsd:long"&gt;46252&lt;/D&gt;&lt;/FQL&gt;&lt;FQL&gt;&lt;Q&gt;A^CS_EVENT_TIME_N("ER",2)&lt;/Q&gt;&lt;R&gt;1&lt;/R&gt;&lt;C&gt;1&lt;/C&gt;&lt;D xsi:type="xsd:string"&gt;Unspecified&lt;/D&gt;&lt;/FQL&gt;&lt;FQL&gt;&lt;Q&gt;A^CS_EVENT_DESC_N("ER",2)&lt;/Q&gt;&lt;R&gt;1&lt;/R&gt;&lt;C&gt;1&lt;/C&gt;&lt;D xsi:type="xsd:string"&gt;Q3 2026 Earnings Release (Projected)&lt;/D&gt;&lt;/FQL&gt;&lt;FQL&gt;&lt;Q&gt;PANW^CS_EVENT_DATEJ_N("ER",2)&lt;/Q&gt;&lt;R&gt;1&lt;/R&gt;&lt;C&gt;1&lt;/C&gt;&lt;D xsi:type="xsd:long"&gt;46258&lt;/D&gt;&lt;/FQL&gt;&lt;FQL&gt;&lt;Q&gt;PANW^CS_EVENT_TIME_N("ER",2)&lt;/Q&gt;&lt;R&gt;1&lt;/R&gt;&lt;C&gt;1&lt;/C&gt;&lt;D xsi:type="xsd:string"&gt;Unspecified&lt;/D&gt;&lt;/FQL&gt;&lt;FQL&gt;&lt;Q&gt;PANW^CS_EVENT_DESC_N("ER",2)&lt;/Q&gt;&lt;R&gt;1&lt;/R&gt;&lt;C&gt;1&lt;/C&gt;&lt;D xsi:type="xsd:string"&gt;Q4 2026 Earnings Release (Projected)&lt;/D&gt;&lt;/FQL&gt;&lt;FQL&gt;&lt;Q&gt;ADI^CS_EVENT_DATEJ_N("ER",2)&lt;/Q&gt;&lt;R&gt;1&lt;/R&gt;&lt;C&gt;1&lt;/C&gt;&lt;D xsi:type="xsd:long"&gt;46260&lt;/D&gt;&lt;/FQL&gt;&lt;FQL&gt;&lt;Q&gt;ADI^CS_EVENT_TIME_N("ER",2)&lt;/Q&gt;&lt;R&gt;1&lt;/R&gt;&lt;C&gt;1&lt;/C&gt;&lt;D xsi:type="xsd:string"&gt;Unspecified&lt;/D&gt;&lt;/FQL&gt;&lt;FQL&gt;&lt;Q&gt;ADI^CS_EVENT_DESC_N("ER",2)&lt;/Q&gt;&lt;R&gt;1&lt;/R&gt;&lt;C&gt;1&lt;/C&gt;&lt;D xsi:type="xsd:string"&gt;Q3 2026 Earnings Release (Projected)&lt;/D&gt;&lt;/FQL&gt;&lt;FQL&gt;&lt;Q&gt;WSM^CS_EVENT_DATEJ_N("ER",2)&lt;/Q&gt;&lt;R&gt;1&lt;/R&gt;&lt;C&gt;1&lt;/C&gt;&lt;D xsi:type="xsd:long"&gt;46260&lt;/D&gt;&lt;/FQL&gt;&lt;FQL&gt;&lt;Q&gt;WSM^CS_EVENT_TIME_N("ER",2)&lt;/Q&gt;&lt;R&gt;1&lt;/R&gt;&lt;C&gt;1&lt;/C&gt;&lt;D xsi:type="xsd:string"&gt;Unspecified&lt;/D&gt;&lt;/FQL&gt;&lt;FQL&gt;&lt;Q&gt;WSM^CS_EVENT_DESC_N("ER",2)&lt;/Q&gt;&lt;R&gt;1&lt;/R&gt;&lt;C&gt;1&lt;/C&gt;&lt;D xsi:type="xsd:string"&gt;Q2 2026 Earnings Release (Projected)&lt;/D&gt;&lt;/FQL&gt;&lt;FQL&gt;&lt;Q&gt;BBY^CS_EVENT_DATEJ_N("ER",2)&lt;/Q&gt;&lt;R&gt;1&lt;/R&gt;&lt;C&gt;1&lt;/C&gt;&lt;D xsi:type="xsd:long"&gt;46266&lt;/D&gt;&lt;/FQL&gt;&lt;FQL&gt;&lt;Q&gt;BBY^CS_EVENT_TIME_N("ER",2)&lt;/Q&gt;&lt;R&gt;1&lt;/R&gt;&lt;C&gt;1&lt;/C&gt;&lt;D xsi:type="xsd:string"&gt;Unspecified&lt;/D&gt;&lt;/FQL&gt;&lt;FQL&gt;&lt;Q&gt;BBY^CS_EVENT_DESC_N("ER",2)&lt;/Q&gt;&lt;R&gt;1&lt;/R&gt;&lt;C&gt;1&lt;/C&gt;&lt;D xsi:type="xsd:string"&gt;Q2 2027 Earnings Release (Projected)&lt;/D&gt;&lt;/FQL&gt;&lt;FQL&gt;&lt;Q&gt;LOW^CS_EVENT_DATEJ_N("ER",2)&lt;/Q&gt;&lt;R&gt;1&lt;/R&gt;&lt;C&gt;1&lt;/C&gt;&lt;D xsi:type="xsd:long"&gt;46260&lt;/D&gt;&lt;/FQL&gt;&lt;FQL&gt;&lt;Q&gt;LOW^CS_EVENT_TIME_N("ER",2)&lt;/Q&gt;&lt;R&gt;1&lt;/R&gt;&lt;C&gt;1&lt;/C&gt;&lt;D xsi:type="xsd:string"&gt;Unspecified&lt;/D&gt;&lt;/FQL&gt;&lt;FQL&gt;&lt;Q&gt;LOW^CS_EVENT_DESC_N("ER",2)&lt;/Q&gt;&lt;R&gt;1&lt;/R&gt;&lt;C&gt;1&lt;/C&gt;&lt;D xsi:type="xsd:string"&gt;Q2 2026 Earnings Release (Projected)&lt;/D&gt;&lt;/FQL&gt;&lt;FQL&gt;&lt;Q&gt;COST^CS_EVENT_DATEJ_N("ER",2)&lt;/Q&gt;&lt;R&gt;1&lt;/R&gt;&lt;C&gt;1&lt;/C&gt;&lt;D xsi:type="xsd:long"&gt;46289&lt;/D&gt;&lt;/FQL&gt;&lt;FQL&gt;&lt;Q&gt;COST^CS_EVENT_TIME_N("ER",2)&lt;/Q&gt;&lt;R&gt;1&lt;/R&gt;&lt;C&gt;1&lt;/C&gt;&lt;D xsi:type="xsd:string"&gt;Unspecified&lt;/D&gt;&lt;/FQL&gt;&lt;FQL&gt;&lt;Q&gt;COST^CS_EVENT_DESC_N("ER",2)&lt;/Q&gt;&lt;R&gt;1&lt;/R&gt;&lt;C&gt;1&lt;/C&gt;&lt;D xsi:type="xsd:string"&gt;Q4 2026 Earnings Release (Projected)&lt;/D&gt;&lt;/FQL&gt;&lt;FQL&gt;&lt;Q&gt;HRL^CS_EVENT_DATEJ_N("ER",2)&lt;/Q&gt;&lt;R&gt;1&lt;/R&gt;&lt;C&gt;1&lt;/C&gt;&lt;D xsi:type="xsd:long"&gt;46261&lt;/D&gt;&lt;/FQL&gt;&lt;FQL&gt;&lt;Q&gt;HRL^CS_EVENT_TIME_N("ER",2)&lt;/Q&gt;&lt;R&gt;1&lt;/R&gt;&lt;C&gt;1&lt;/C&gt;&lt;D xsi:type="xsd:string"&gt;Unspecified&lt;/D&gt;&lt;/FQL&gt;&lt;FQL&gt;&lt;Q&gt;HRL^CS_EVENT_DESC_N("ER",2)&lt;/Q&gt;&lt;R&gt;1&lt;/R&gt;&lt;C&gt;1&lt;/C&gt;&lt;D xsi:type="xsd:string"&gt;Q3 2026 Earnings Release (Projected)&lt;/D&gt;&lt;/FQL&gt;&lt;FQL&gt;&lt;Q&gt;LULU^CS_EVENT_DATEJ_N("ER",2)&lt;/Q&gt;&lt;R&gt;1&lt;/R&gt;&lt;C&gt;1&lt;/C&gt;&lt;D xsi:type="xsd:long"&gt;46261&lt;/D&gt;&lt;/FQL&gt;&lt;FQL&gt;&lt;Q&gt;LULU^CS_EVENT_TIME_N("ER",2)&lt;/Q&gt;&lt;R&gt;1&lt;/R&gt;&lt;C&gt;1&lt;/C&gt;&lt;D xsi:type="xsd:string"&gt;Unspecified&lt;/D&gt;&lt;/FQL&gt;&lt;FQL&gt;&lt;Q&gt;LULU^CS_EVENT_DESC_N("ER",2)&lt;/Q&gt;&lt;R&gt;1&lt;/R&gt;&lt;C&gt;1&lt;/C&gt;&lt;D xsi:type="xsd:string"&gt;Q2 2026 Earnings Release (Projected)&lt;/D&gt;&lt;/FQL&gt;&lt;FQL&gt;&lt;Q&gt;NTAP^CS_EVENT_DATEJ_N("ER",2)&lt;/Q&gt;&lt;R&gt;1&lt;/R&gt;&lt;C&gt;1&lt;/C&gt;&lt;D xsi:type="xsd:long"&gt;46267&lt;/D&gt;&lt;/FQL&gt;&lt;FQL&gt;&lt;Q&gt;NTAP^CS_EVENT_TIME_N("ER",2)&lt;/Q&gt;&lt;R&gt;1&lt;/R&gt;&lt;C&gt;1&lt;/C&gt;&lt;D xsi:type="xsd:string"&gt;4:01 PM&lt;/D&gt;&lt;/FQL&gt;&lt;FQL&gt;&lt;Q&gt;NTAP^CS_EVENT_DESC_N("ER",2)&lt;/Q&gt;&lt;R&gt;1&lt;/R&gt;&lt;C&gt;1&lt;/C&gt;&lt;D xsi:type="xsd:string"&gt;Q1 2027 Earnings Release&lt;/D&gt;&lt;/FQL&gt;&lt;FQL&gt;&lt;Q&gt;DELL^CS_EVENT_DATEJ_N("ER",2)&lt;/Q&gt;&lt;R&gt;1&lt;/R&gt;&lt;C&gt;1&lt;/C&gt;&lt;D xsi:type="xsd:long"&gt;46268&lt;/D&gt;&lt;/FQL&gt;&lt;FQL&gt;&lt;Q&gt;DELL^CS_EVENT_TIME_N("ER",2)&lt;/Q&gt;&lt;R&gt;1&lt;/R&gt;&lt;C&gt;1&lt;/C&gt;&lt;D xsi:type="xsd:string"&gt;4:05 PM&lt;/D&gt;&lt;/FQL&gt;&lt;FQL&gt;&lt;Q&gt;DELL^CS_EVENT_DESC_N("ER",2)&lt;/Q&gt;&lt;R&gt;1&lt;/R&gt;&lt;C&gt;1&lt;/C&gt;&lt;D xsi:type="xsd:string"&gt;Q2 2027 Earnings Release&lt;/D&gt;&lt;/FQL&gt;&lt;FQL&gt;&lt;Q&gt;CRWD^CS_EVENT_DATEJ_N("ER",2)&lt;/Q&gt;&lt;R&gt;1&lt;/R&gt;&lt;C&gt;1&lt;/C&gt;&lt;D xsi:type="xsd:long"&gt;46267&lt;/D&gt;&lt;/FQL&gt;&lt;FQL&gt;&lt;Q&gt;CRWD^CS_EVENT_TIME_N("ER",2)&lt;/Q&gt;&lt;R&gt;1&lt;/R&gt;&lt;C&gt;1&lt;/C&gt;&lt;D xsi:type="xsd:string"&gt;Unspecified&lt;/D&gt;&lt;/FQL&gt;&lt;FQL&gt;&lt;Q&gt;CRWD^CS_EVENT_DESC_N("ER",2)&lt;/Q&gt;&lt;R&gt;1&lt;/R&gt;&lt;C&gt;1&lt;/C&gt;&lt;D xsi:type="xsd:string"&gt;Q2 2027 Earnings Release (Projected)&lt;/D&gt;&lt;/FQL&gt;&lt;FQL&gt;&lt;Q&gt;COO^CS_EVENT_DATEJ_N("ER",2)&lt;/Q&gt;&lt;R&gt;1&lt;/R&gt;&lt;C&gt;1&lt;/C&gt;&lt;D xsi:type="xsd:long"&gt;46267&lt;/D&gt;&lt;/FQL&gt;&lt;FQL&gt;&lt;Q&gt;COO^CS_EVENT_TIME_N("ER",2)&lt;/Q&gt;&lt;R&gt;1&lt;/R&gt;&lt;C&gt;1&lt;/C&gt;&lt;D xsi:type="xsd:string"&gt;Unspecified&lt;/D&gt;&lt;/FQL&gt;&lt;FQL&gt;&lt;Q&gt;COO^CS_EVENT_DESC_N("ER",2)&lt;/Q&gt;&lt;R&gt;1&lt;/R&gt;&lt;C&gt;1&lt;/C&gt;&lt;D xsi:type="xsd:string"&gt;Q3 2026 Earnings Release (Projected)&lt;/D&gt;&lt;/FQL&gt;&lt;FQL&gt;&lt;Q&gt;HPE^CS_EVENT_DATEJ_N("ER",2)&lt;/Q&gt;&lt;R&gt;1&lt;/R&gt;&lt;C&gt;1&lt;/C&gt;&lt;D xsi:type="xsd:long"&gt;46266&lt;/D&gt;&lt;/FQL&gt;&lt;FQL&gt;&lt;Q&gt;HPE^CS_EVENT_TIME_N("ER",2)&lt;/Q&gt;&lt;R&gt;1&lt;/R&gt;&lt;C&gt;1&lt;/C&gt;&lt;D xsi:type="xsd:string"&gt;Unspecified&lt;/D&gt;&lt;/FQL&gt;&lt;FQL&gt;&lt;Q&gt;HPE^CS_EVENT_DESC_N("ER",2)&lt;/Q&gt;&lt;R&gt;1&lt;/R&gt;&lt;C&gt;1&lt;/C&gt;&lt;D xsi:type="xsd:string"&gt;Q3 2026 Earnings Release (Projected)&lt;/D&gt;&lt;/FQL&gt;&lt;FQL&gt;&lt;Q&gt;CRM^CS_EVENT_DATEJ_N("ER",2)&lt;/Q&gt;&lt;R&gt;1&lt;/R&gt;&lt;C&gt;1&lt;/C&gt;&lt;D xsi:type="xsd:long"&gt;46260&lt;/D&gt;&lt;/FQL&gt;&lt;FQL&gt;&lt;Q&gt;CRM^CS_EVENT_TIME_N("ER",2)&lt;/Q&gt;&lt;R&gt;1&lt;/R&gt;&lt;C&gt;1&lt;/C&gt;&lt;D xsi:type="xsd:string"&gt;Unspecified&lt;/D&gt;&lt;/FQL&gt;&lt;FQL&gt;&lt;Q&gt;CRM^CS_EVENT_DESC_N("ER",2)&lt;/Q&gt;&lt;R&gt;1&lt;/R&gt;&lt;C&gt;1&lt;/C&gt;&lt;D xsi:type="xsd:string"&gt;Q2 2027 Earnings Release (Projected)&lt;/D&gt;&lt;/FQL&gt;&lt;FQL&gt;&lt;Q&gt;HPQ^CS_EVENT_DATEJ_N("ER",2)&lt;/Q&gt;&lt;R&gt;1&lt;/R&gt;&lt;C&gt;1&lt;/C&gt;&lt;D xsi:type="xsd:long"&gt;46266&lt;/D&gt;&lt;/FQL&gt;&lt;FQL&gt;&lt;Q&gt;HPQ^CS_EVENT_TIME_N("ER",2)&lt;/Q&gt;&lt;R&gt;1&lt;/R&gt;&lt;C&gt;1&lt;/C&gt;&lt;D xsi:type="xsd:string"&gt;Unspecified&lt;/D&gt;&lt;/FQL&gt;&lt;FQL&gt;&lt;Q&gt;HPQ^CS_EVENT_DESC_N("ER",2)&lt;/Q&gt;&lt;R&gt;1&lt;/R&gt;&lt;C&gt;1&lt;/C&gt;&lt;D xsi:type="xsd:string"&gt;Q3 2026 Earnings Release (Projected)&lt;/D&gt;&lt;/FQL&gt;&lt;FQL&gt;&lt;Q&gt;SJM^CS_EVENT_DATEJ_N("ER",2)&lt;/Q&gt;&lt;R&gt;1&lt;/R&gt;&lt;C&gt;1&lt;/C&gt;&lt;D xsi:type="xsd:long"&gt;46267&lt;/D&gt;&lt;/FQL&gt;&lt;FQL&gt;&lt;Q&gt;SJM^CS_EVENT_TIME_N("ER",2)&lt;/Q&gt;&lt;R&gt;1&lt;/R&gt;&lt;C&gt;1&lt;/C&gt;&lt;D xsi:type="xsd:string"&gt;Unspecified&lt;/D&gt;&lt;/FQL&gt;&lt;FQL&gt;&lt;Q&gt;SJM^CS_EVENT_DESC_N("ER",2)&lt;/Q&gt;&lt;R&gt;1&lt;/R&gt;&lt;C&gt;1&lt;/C&gt;&lt;D xsi:type="xsd:string"&gt;Q1 2027 Earnings Release (Projected)&lt;/D&gt;&lt;/FQL&gt;&lt;FQL&gt;&lt;Q&gt;CIEN^CS_EVENT_DATEJ_N("ER",2)&lt;/Q&gt;&lt;R&gt;1&lt;/R&gt;&lt;C&gt;1&lt;/C&gt;&lt;D xsi:type="xsd:long"&gt;46268&lt;/D&gt;&lt;/FQL&gt;&lt;FQL&gt;&lt;Q&gt;CIEN^CS_EVENT_TIME_N("ER",2)&lt;/Q&gt;&lt;R&gt;1&lt;/R&gt;&lt;C&gt;1&lt;/C&gt;&lt;D xsi:type="xsd:string"&gt;Unspecified&lt;/D&gt;&lt;/FQL&gt;&lt;FQL&gt;&lt;Q&gt;CIEN^CS_EVENT_DESC_N("ER",2)&lt;/Q&gt;&lt;R&gt;1&lt;/R&gt;&lt;C&gt;1&lt;/C&gt;&lt;D xsi:type="xsd:string"&gt;Q3 2026 Earnings Release (Projected)&lt;/D&gt;&lt;/FQL&gt;&lt;FQL&gt;&lt;Q&gt;PANW^CS_EVENT_TIME_N("E",1)&lt;/Q&gt;&lt;R&gt;0&lt;/R&gt;&lt;C&gt;0&lt;/C&gt;&lt;/FQL&gt;&lt;FQL&gt;&lt;Q&gt;ADI^CS_EVENT_TIME_N("E",1)&lt;/Q&gt;&lt;R&gt;0&lt;/R&gt;&lt;C&gt;0&lt;/C&gt;&lt;/FQL&gt;&lt;FQL&gt;&lt;Q&gt;GNRC^CS_EVENT_DATEJ_N("E",1)&lt;/Q&gt;&lt;R&gt;0&lt;/R&gt;&lt;C&gt;0&lt;/C&gt;&lt;/FQL&gt;&lt;FQL&gt;&lt;Q&gt;CPAY^CS_EVENT_DATEJ_N("E",1)&lt;/Q&gt;&lt;R&gt;0&lt;/R&gt;&lt;C&gt;0&lt;/C&gt;&lt;/FQL&gt;&lt;FQL&gt;&lt;Q&gt;CDW^CS_EVENT_DATEJ_N("E",1)&lt;/Q&gt;&lt;R&gt;0&lt;/R&gt;&lt;C&gt;0&lt;/C&gt;&lt;/FQL&gt;&lt;FQL&gt;&lt;Q&gt;CFG^CS_EVENT_DESC_N("E",1)&lt;/Q&gt;&lt;R&gt;1&lt;/R&gt;&lt;C&gt;1&lt;/C&gt;&lt;D xsi:type="xsd:string"&gt;Q1 2026 Earnings Call&lt;/D&gt;&lt;/FQL&gt;&lt;FQL&gt;&lt;Q&gt;FITB^CS_EVENT_DESC_N("E",1)&lt;/Q&gt;&lt;R&gt;1&lt;/R&gt;&lt;C&gt;1&lt;/C&gt;&lt;D xsi:type="xsd:string"&gt;Q1 2026 Earnings Call&lt;/D&gt;&lt;/FQL&gt;&lt;FQL&gt;&lt;Q&gt;A^CS_EVENT_TIME_N("E",1)&lt;/Q&gt;&lt;R&gt;0&lt;/R&gt;&lt;C&gt;0&lt;/C&gt;&lt;/FQL&gt;&lt;FQL&gt;&lt;Q&gt;A^CS_EVENT_DESC_N("E",1)&lt;/Q&gt;&lt;R&gt;0&lt;/R&gt;&lt;C&gt;0&lt;/C&gt;&lt;/FQL&gt;&lt;FQL&gt;&lt;Q&gt;CPAY^CS_EVENT_TIME_N("E",1)&lt;/Q&gt;&lt;R&gt;0&lt;/R&gt;&lt;C&gt;0&lt;/C&gt;&lt;/FQL&gt;&lt;FQL&gt;&lt;Q&gt;CPAY^CS_EVENT_DESC_N("E",1)&lt;/Q&gt;&lt;R&gt;0&lt;/R&gt;&lt;C&gt;0&lt;/C&gt;&lt;/FQL&gt;&lt;FQL&gt;&lt;Q&gt;CDW^CS_EVENT_TIME_N("E",1)&lt;/Q&gt;&lt;R&gt;0&lt;/R&gt;&lt;C&gt;0&lt;/C&gt;&lt;/FQL&gt;&lt;FQL&gt;&lt;Q&gt;CDW^CS_EVENT_DESC_N("E",1)&lt;/Q&gt;&lt;R&gt;0&lt;/R&gt;&lt;C&gt;0&lt;/C&gt;&lt;/FQL&gt;&lt;FQL&gt;&lt;Q&gt;HOLX^CS_EVENT_DATEJ_N("ER",2)&lt;/Q&gt;&lt;R&gt;1&lt;/R&gt;&lt;C&gt;1&lt;/C&gt;&lt;D xsi:type="xsd:long"&gt;46237&lt;/D&gt;&lt;/FQL&gt;&lt;FQL&gt;&lt;Q&gt;HOLX^CS_EVENT_TIME_N("ER",2)&lt;/Q&gt;&lt;R&gt;1&lt;/R&gt;&lt;C&gt;1&lt;/C&gt;&lt;D xsi:type="xsd:string"&gt;Unspecified&lt;/D&gt;&lt;/FQL&gt;&lt;FQL&gt;&lt;Q&gt;HOLX^CS_EVENT_DESC_N("ER",2)&lt;/Q&gt;&lt;R&gt;1&lt;/R&gt;&lt;C&gt;1&lt;/C&gt;&lt;D xsi:type="xsd:string"&gt;Q3 2026 Earnings Release (Projected)&lt;/D&gt;&lt;/FQL&gt;&lt;FQL&gt;&lt;Q&gt;IRM^CS_EVENT_DATEJ_N("ER",2)&lt;/Q&gt;&lt;R&gt;1&lt;/R&gt;&lt;C&gt;1&lt;/C&gt;&lt;D xsi:type="xsd:long"&gt;46233&lt;/D&gt;&lt;/FQL&gt;&lt;FQL&gt;&lt;Q&gt;IRM^CS_EVENT_TIME_N("ER",2)&lt;/Q&gt;&lt;R&gt;1&lt;/R&gt;&lt;C&gt;1&lt;/C&gt;&lt;D xsi:type="xsd:string"&gt;Unspecified&lt;/D&gt;&lt;/FQL&gt;&lt;FQL&gt;&lt;Q&gt;IRM^CS_EVENT_DESC_N("ER",2)&lt;/Q&gt;&lt;R&gt;1&lt;/R&gt;&lt;C&gt;1&lt;/C&gt;&lt;D xsi:type="xsd:string"&gt;Q2 2026 Earnings Release (Projected)&lt;/D&gt;&lt;/FQL&gt;&lt;FQL&gt;&lt;Q&gt;COP^CS_EVENT_DATEJ_N("ER",2)&lt;/Q&gt;&lt;R&gt;1&lt;/R&gt;&lt;C&gt;1&lt;/C&gt;&lt;D xsi:type="xsd:long"&gt;46233&lt;/D&gt;&lt;/FQL&gt;&lt;FQL&gt;&lt;Q&gt;COP^CS_EVENT_TIME_N("ER",2)&lt;/Q&gt;&lt;R&gt;1&lt;/R&gt;&lt;C&gt;1&lt;/C&gt;&lt;D xsi:type="xsd:string"&gt;Unspecified&lt;/D&gt;&lt;/FQL&gt;&lt;FQL&gt;&lt;Q&gt;COP^CS_EVENT_DESC_N("ER",2)&lt;/Q&gt;&lt;R&gt;1&lt;/R&gt;&lt;C&gt;1&lt;/C&gt;&lt;D xsi:type="xsd:string"&gt;Q2 2026 Earnings Release (Projected)&lt;/D&gt;&lt;/FQL&gt;&lt;FQL&gt;&lt;Q&gt;DVA^CS_EVENT_DATEJ_N("ER",2)&lt;/Q&gt;&lt;R&gt;1&lt;/R&gt;&lt;C&gt;1&lt;/C&gt;&lt;D xsi:type="xsd:long"&gt;46239&lt;/D&gt;&lt;/FQL&gt;&lt;FQL&gt;&lt;Q&gt;DVA^CS_EVENT_TIME_N("ER",2)&lt;/Q&gt;&lt;R&gt;1&lt;/R&gt;&lt;C&gt;1&lt;/C&gt;&lt;D xsi:type="xsd:string"&gt;Unspecified&lt;/D&gt;&lt;/FQL&gt;&lt;FQL&gt;&lt;Q&gt;DVA^CS_EVENT_DESC_N("ER",2)&lt;/Q&gt;&lt;R&gt;1&lt;/R&gt;&lt;C&gt;1&lt;/C&gt;&lt;D xsi:type="xsd:string"&gt;Q2 2026 Earnings Release (Projected)&lt;/D&gt;&lt;/FQL&gt;&lt;FQL&gt;&lt;Q&gt;MPWR^CS_EVENT_DATEJ_N("ER",2)&lt;/Q&gt;&lt;R&gt;1&lt;/R&gt;&lt;C&gt;1&lt;/C&gt;&lt;D xsi:type="xsd:long"&gt;46237&lt;/D&gt;&lt;/FQL&gt;&lt;FQL&gt;&lt;Q&gt;MPWR^CS_EVENT_TIME_N("ER",2)&lt;/Q&gt;&lt;R&gt;1&lt;/R&gt;&lt;C&gt;1&lt;/C&gt;&lt;D xsi:type="xsd:string"&gt;Unspecified&lt;/D&gt;&lt;/FQL&gt;&lt;FQL&gt;&lt;Q&gt;MPWR^CS_EVENT_DESC_N("ER",2)&lt;/Q&gt;&lt;R&gt;1&lt;/R&gt;&lt;C&gt;1&lt;/C&gt;&lt;D xsi:type="xsd:string"&gt;Q2 2026 Earnings Release (Projected)&lt;/D&gt;&lt;/FQL&gt;&lt;FQL&gt;&lt;Q&gt;MO^CS_EVENT_DATEJ_N("ER",2)&lt;/Q&gt;&lt;R&gt;1&lt;/R&gt;&lt;C&gt;1&lt;/C&gt;&lt;D xsi:type="xsd:long"&gt;46233&lt;/D&gt;&lt;/FQL&gt;&lt;FQL&gt;&lt;Q&gt;MO^CS_EVENT_TIME_N("ER",2)&lt;/Q&gt;&lt;R&gt;1&lt;/R&gt;&lt;C&gt;1&lt;/C&gt;&lt;D xsi:type="xsd:string"&gt;7:00 AM&lt;/D&gt;&lt;/FQL&gt;&lt;FQL&gt;&lt;Q&gt;MO^CS_EVENT_DESC_N("ER",2)&lt;/Q&gt;&lt;R&gt;1&lt;/R&gt;&lt;C&gt;1&lt;/C&gt;&lt;D xsi:type="xsd:string"&gt;Q2 2026 Earnings Release&lt;/D&gt;&lt;/FQL&gt;&lt;FQL&gt;&lt;Q&gt;PNW^CS_EVENT_DATEJ_N("ER",2)&lt;/Q&gt;&lt;R&gt;1&lt;/R&gt;&lt;C&gt;1&lt;/C&gt;&lt;D xsi:type="xsd:long"&gt;46233&lt;/D&gt;&lt;/FQL&gt;&lt;FQL&gt;&lt;Q&gt;PNW^CS_EVENT_TIME_N("ER",2)&lt;/Q&gt;&lt;R&gt;1&lt;/R&gt;&lt;C&gt;1&lt;/C&gt;&lt;D xsi:type="xsd:string"&gt;Unspecified&lt;/D&gt;&lt;/FQL&gt;&lt;FQL&gt;&lt;Q&gt;PNW^CS_EVENT_DESC_N("ER",2)&lt;/Q&gt;&lt;R&gt;1&lt;/R&gt;&lt;C&gt;1&lt;/C&gt;&lt;D xsi:type="xsd:string"&gt;Q2 2026 Earnings Release (Projected)&lt;/D&gt;&lt;/FQL&gt;&lt;FQL&gt;&lt;Q&gt;NRG^CS_EVENT_DATEJ_N("ER",2)&lt;/Q&gt;&lt;R&gt;1&lt;/R&gt;&lt;C&gt;1&lt;/C&gt;&lt;D xsi:type="xsd:long"&gt;46246&lt;/D&gt;&lt;/FQL&gt;&lt;FQL&gt;&lt;Q&gt;NRG^CS_EVENT_TIME_N("ER",2)&lt;/Q&gt;&lt;R&gt;1&lt;/R&gt;&lt;C&gt;1&lt;/C&gt;&lt;D xsi:type="xsd:string"&gt;Unspecified&lt;/D&gt;&lt;/FQL&gt;&lt;FQL&gt;&lt;Q&gt;NRG^CS_EVENT_DESC_N("ER",2)&lt;/Q&gt;&lt;R&gt;1&lt;/R&gt;&lt;C&gt;1&lt;/C&gt;&lt;D xsi:type="xsd:string"&gt;Q2 2026 Earnings Release (Projected)&lt;/D&gt;&lt;/FQL&gt;&lt;FQL&gt;&lt;Q&gt;GDDY^CS_EVENT_DATEJ_N("ER",2)&lt;/Q&gt;&lt;R&gt;1&lt;/R&gt;&lt;C&gt;1&lt;/C&gt;&lt;D xsi:type="xsd:long"&gt;46239&lt;/D&gt;&lt;/FQL&gt;&lt;FQL&gt;&lt;Q&gt;GDDY^CS_EVENT_TIME_N("ER",2)&lt;/Q&gt;&lt;R&gt;1&lt;/R&gt;&lt;C&gt;1&lt;/C&gt;&lt;D xsi:type="xsd:string"&gt;Unspecified&lt;/D&gt;&lt;/FQL&gt;&lt;FQL&gt;&lt;Q&gt;GDDY^CS_EVENT_DESC_N("ER",2)&lt;/Q&gt;&lt;R&gt;1&lt;/R&gt;&lt;C&gt;1&lt;/C&gt;&lt;D xsi:type="xsd:string"&gt;Q2 2026 Earnings Release (Projected)&lt;/D&gt;&lt;/FQL&gt;&lt;FQL&gt;&lt;Q&gt;MRK^CS_EVENT_DATEJ_N("ER",2)&lt;/Q&gt;&lt;R&gt;1&lt;/R&gt;&lt;C&gt;1&lt;/C&gt;&lt;D xsi:type="xsd:long"&gt;46238&lt;/D&gt;&lt;/FQL&gt;&lt;FQL&gt;&lt;Q&gt;MRK^CS_EVENT_TIME_N("ER",2)&lt;/Q&gt;&lt;R&gt;1&lt;/R&gt;&lt;C&gt;1&lt;/C&gt;&lt;D xsi:type="xsd:string"&gt;6:30 AM&lt;/D&gt;&lt;/FQL&gt;&lt;FQL&gt;&lt;Q&gt;MRK^CS_EVENT_DESC_N("ER",2)&lt;/Q&gt;&lt;R&gt;1&lt;/R&gt;&lt;C&gt;1&lt;/C&gt;&lt;D xsi:type="xsd:string"&gt;Q2 2026 Earnings Release&lt;/D&gt;&lt;/FQL&gt;&lt;FQL&gt;&lt;Q&gt;LYV^CS_EVENT_DATEJ_N("ER",2)&lt;/Q&gt;&lt;R&gt;1&lt;/R&gt;&lt;C&gt;1&lt;/C&gt;&lt;D xsi:type="xsd:long"&gt;46238&lt;/D&gt;&lt;/FQL&gt;&lt;FQL&gt;&lt;Q&gt;LYV^CS_EVENT_TIME_N("ER",2)&lt;/Q&gt;&lt;R&gt;1&lt;/R&gt;&lt;C&gt;1&lt;/C&gt;&lt;D xsi:type="xsd:string"&gt;Unspecified&lt;/D&gt;&lt;/FQL&gt;&lt;FQL&gt;&lt;Q&gt;LYV^CS_EVENT_DESC_N("ER",2)&lt;/Q&gt;&lt;R&gt;1&lt;/R&gt;&lt;C&gt;1&lt;/C&gt;&lt;D xsi:type="xsd:string"&gt;Q2 2026 Earnings Release (Projected)&lt;/D&gt;&lt;/FQL&gt;&lt;FQL&gt;&lt;Q&gt;BLDR^CS_EVENT_DATEJ_N("ER",2)&lt;/Q&gt;&lt;R&gt;1&lt;/R&gt;&lt;C&gt;1&lt;/C&gt;&lt;D xsi:type="xsd:long"&gt;46233&lt;/D&gt;&lt;/FQL&gt;&lt;FQL&gt;&lt;Q&gt;BLDR^CS_EVENT_TIME_N("ER",2)&lt;/Q&gt;&lt;R&gt;1&lt;/R&gt;&lt;C&gt;1&lt;/C&gt;&lt;D xsi:type="xsd:string"&gt;Unspecified&lt;/D&gt;&lt;/FQL&gt;&lt;FQL&gt;&lt;Q&gt;BLDR^CS_EVENT_DESC_N("ER",2)&lt;/Q&gt;&lt;R&gt;1&lt;/R&gt;&lt;C&gt;1&lt;/C&gt;&lt;D xsi:type="xsd:string"&gt;Q2 2026 Earnings Release (Projected)&lt;/D&gt;&lt;/FQL&gt;&lt;FQL&gt;&lt;Q&gt;FTNT^CS_EVENT_DATEJ_N("ER",2)&lt;/Q&gt;&lt;R&gt;1&lt;/R&gt;&lt;C&gt;1&lt;/C&gt;&lt;D xsi:type="xsd:long"&gt;46233&lt;/D&gt;&lt;/FQL&gt;&lt;FQL&gt;&lt;Q&gt;FTNT^CS_EVENT_TIME_N("ER",2)&lt;/Q&gt;&lt;R&gt;1&lt;/R&gt;&lt;C&gt;1&lt;/C&gt;&lt;D xsi:type="xsd:string"&gt;Unspecified&lt;/D&gt;&lt;/FQL&gt;&lt;FQL&gt;&lt;Q&gt;FTNT^CS_EVENT_DESC_N("ER",2)&lt;/Q&gt;&lt;R&gt;1&lt;/R&gt;&lt;C&gt;1&lt;/C&gt;&lt;D xsi:type="xsd:string"&gt;Q2 2026 Earnings Release (Projected)&lt;/D&gt;&lt;/FQL&gt;&lt;FQL&gt;&lt;Q&gt;EPAM^CS_EVENT_DATEJ_N("ER",2)&lt;/Q&gt;&lt;R&gt;1&lt;/R&gt;&lt;C&gt;1&lt;/C&gt;&lt;D xsi:type="xsd:long"&gt;46233&lt;/D&gt;&lt;/FQL&gt;&lt;FQL&gt;&lt;Q&gt;EPAM^CS_EVENT_TIME_N("ER",2)&lt;/Q&gt;&lt;R&gt;1&lt;/R&gt;&lt;C&gt;1&lt;/C&gt;&lt;D xsi:type="xsd:string"&gt;Unspecified&lt;/D&gt;&lt;/FQL&gt;&lt;FQL&gt;&lt;Q&gt;EPAM^CS_EVENT_DESC_N("ER",2)&lt;/Q&gt;&lt;R&gt;1&lt;/R&gt;&lt;C&gt;1&lt;/C&gt;&lt;D xsi:type="xsd:string"&gt;Q2 2026 Earnings Release (Projected)&lt;/D&gt;&lt;/FQL&gt;&lt;FQL&gt;&lt;Q&gt;PODD^CS_EVENT_DATEJ_N("ER",2)&lt;/Q&gt;&lt;R&gt;1&lt;/R&gt;&lt;C&gt;1&lt;/C&gt;&lt;D xsi:type="xsd:long"&gt;46240&lt;/D&gt;&lt;/FQL&gt;&lt;FQL&gt;&lt;Q&gt;PODD^CS_EVENT_TIME_N("ER",2)&lt;/Q&gt;&lt;R&gt;1&lt;/R&gt;&lt;C&gt;1&lt;/C&gt;&lt;D xsi:type="xsd:string"&gt;Unspecified&lt;/D&gt;&lt;/FQL&gt;&lt;FQL&gt;&lt;Q&gt;PODD^CS_EVENT_DESC_N("ER",2)&lt;/Q&gt;&lt;R&gt;1&lt;/R&gt;&lt;C&gt;1&lt;/C&gt;&lt;D xsi:type="xsd:string"&gt;Q2 2026 Earnings Release (Projected)&lt;/D&gt;&lt;/FQL&gt;&lt;FQL&gt;&lt;Q&gt;ZTS^CS_EVENT_DATEJ_N("ER",2)&lt;/Q&gt;&lt;R&gt;1&lt;/R&gt;&lt;C&gt;1&lt;/C&gt;&lt;D xsi:type="xsd:long"&gt;46245&lt;/D&gt;&lt;/FQL&gt;&lt;FQL&gt;&lt;Q&gt;ZTS^CS_EVENT_TIME_N("ER",2)&lt;/Q&gt;&lt;R&gt;1&lt;/R&gt;&lt;C&gt;1&lt;/C&gt;&lt;D xsi:type="xsd:string"&gt;Unspecified&lt;/D&gt;&lt;/FQL&gt;&lt;FQL&gt;&lt;Q&gt;ZTS^CS_EVENT_DESC_N("ER",2)&lt;/Q&gt;&lt;R&gt;1&lt;/R&gt;&lt;C&gt;1&lt;/C&gt;&lt;D xsi:type="xsd:string"&gt;Q2 2026 Earnings Release (Projected)&lt;/D&gt;&lt;/FQL&gt;&lt;FQL&gt;&lt;Q&gt;ICE^CS_EVENT_DATEJ_N("ER",2)&lt;/Q&gt;&lt;R&gt;1&lt;/R&gt;&lt;C&gt;1&lt;/C&gt;&lt;D xsi:type="xsd:long"&gt;46233&lt;/D&gt;&lt;/FQL&gt;&lt;FQL&gt;&lt;Q&gt;ICE^CS_EVENT_TIME_N("ER",2)&lt;/Q&gt;&lt;R&gt;1&lt;/R&gt;&lt;C&gt;1&lt;/C&gt;&lt;D xsi:type="xsd:string"&gt;Unspecified&lt;/D&gt;&lt;/FQL&gt;&lt;FQL&gt;&lt;Q&gt;ICE^CS_EVENT_DESC_N("ER",2)&lt;/Q&gt;&lt;R&gt;1&lt;/R&gt;&lt;C&gt;1&lt;/C&gt;&lt;D xsi:type="xsd:string"&gt;Q2 2026 Earnings Release (Projected)&lt;/D&gt;&lt;/FQL&gt;&lt;FQL&gt;&lt;Q&gt;CVNA^CS_EVENT_DATEJ_N("ER",2)&lt;/Q&gt;&lt;R&gt;1&lt;/R&gt;&lt;C&gt;1&lt;/C&gt;&lt;D xsi:type="xsd:long"&gt;46233&lt;/D&gt;&lt;/FQL&gt;&lt;FQL&gt;&lt;Q&gt;CVNA^CS_EVENT_TIME_N("ER",2)&lt;/Q&gt;&lt;R&gt;1&lt;/R&gt;&lt;C&gt;1&lt;/C&gt;&lt;D xsi:type="xsd:string"&gt;Unspecified&lt;/D&gt;&lt;/FQL&gt;&lt;FQL&gt;&lt;Q&gt;CVNA^CS_EVENT_DESC_N("ER",2)&lt;/Q&gt;&lt;R&gt;1&lt;/R&gt;&lt;C&gt;1&lt;/C&gt;&lt;D xsi:type="xsd:string"&gt;Q2 2026 Earnings Release (Projected)&lt;/D&gt;&lt;/FQL&gt;&lt;FQL&gt;&lt;Q&gt;MSI^CS_EVENT_DATEJ_N("ER",2)&lt;/Q&gt;&lt;R&gt;1&lt;/R&gt;&lt;C&gt;1&lt;/C&gt;&lt;D xsi:type="xsd:long"&gt;46233&lt;/D&gt;&lt;/FQL&gt;&lt;FQL&gt;&lt;Q&gt;MSI^CS_EVENT_TIME_N("ER",2)&lt;/Q&gt;&lt;R&gt;1&lt;/R&gt;&lt;C&gt;1&lt;/C&gt;&lt;D xsi:type="xsd:string"&gt;Unspecified&lt;/D&gt;&lt;/FQL&gt;&lt;FQL&gt;&lt;Q&gt;MSI^CS_EVENT_DESC_N("ER",2)&lt;/Q&gt;&lt;R&gt;1&lt;/R&gt;&lt;C&gt;1&lt;/C&gt;&lt;D xsi:type="xsd:string"&gt;Q2 2026 Earnings Release (Projected)&lt;/D&gt;&lt;/FQL&gt;&lt;FQL&gt;&lt;Q&gt;HII^CS_EVENT_DATEJ_N("ER",2)&lt;/Q&gt;&lt;R&gt;1&lt;/R&gt;&lt;C&gt;1&lt;/C&gt;&lt;D xsi:type="xsd:long"&gt;46233&lt;/D&gt;&lt;/FQL&gt;&lt;FQL&gt;&lt;Q&gt;HII^CS_EVENT_TIME_N("ER",2)&lt;/Q&gt;&lt;R&gt;1&lt;/R&gt;&lt;C&gt;1&lt;/C&gt;&lt;D xsi:type="xsd:string"&gt;Unspecified&lt;/D&gt;&lt;/FQL&gt;&lt;FQL&gt;&lt;Q&gt;HII^CS_EVENT_DESC_N("ER",2)&lt;/Q&gt;&lt;R&gt;1&lt;/R&gt;&lt;C&gt;1&lt;/C&gt;&lt;D xsi:type="xsd:string"&gt;Q2 2026 Earnings Release (Projected)&lt;/D&gt;&lt;/FQL&gt;&lt;FQL&gt;&lt;Q&gt;EXPE^CS_EVENT_DATEJ_N("ER",2)&lt;/Q&gt;&lt;R&gt;1&lt;/R&gt;&lt;C&gt;1&lt;/C&gt;&lt;D xsi:type="xsd:long"&gt;46233&lt;/D&gt;&lt;/FQL&gt;&lt;FQL&gt;&lt;Q&gt;EXPE^CS_EVENT_TIME_N("ER",2)&lt;/Q&gt;&lt;R&gt;1&lt;/R&gt;&lt;C&gt;1&lt;/C&gt;&lt;D xsi:type="xsd:string"&gt;Unspecified&lt;/D&gt;&lt;/FQL&gt;&lt;FQL&gt;&lt;Q&gt;EXPE^CS_EVENT_DESC_N("ER",2)&lt;/Q&gt;&lt;R&gt;1&lt;/R&gt;&lt;C&gt;1&lt;/C&gt;&lt;D xsi:type="xsd:string"&gt;Q2 2026 Earnings Release (Projected)&lt;/D&gt;&lt;/FQL&gt;&lt;FQL&gt;&lt;Q&gt;XYZ^CS_EVENT_DATEJ_N("ER",2)&lt;/Q&gt;&lt;R&gt;1&lt;/R&gt;&lt;C&gt;1&lt;/C&gt;&lt;D xsi:type="xsd:long"&gt;46233&lt;/D&gt;&lt;/FQL&gt;&lt;FQL&gt;&lt;Q&gt;XYZ^CS_EVENT_TIME_N("ER",2)&lt;/Q&gt;&lt;R&gt;1&lt;/R&gt;&lt;C&gt;1&lt;/C&gt;&lt;D xsi:type="xsd:string"&gt;Unspecified&lt;/D&gt;&lt;/FQL&gt;&lt;FQL&gt;&lt;Q&gt;XYZ^CS_EVENT_DESC_N("ER",2)&lt;/Q&gt;&lt;R&gt;1&lt;/R&gt;&lt;C&gt;1&lt;/C&gt;&lt;D xsi:type="xsd:string"&gt;Q2 2026 Earnings Release (Projected)&lt;/D&gt;&lt;/FQL&gt;&lt;FQL&gt;&lt;Q&gt;HWM^CS_EVENT_DATEJ_N("ER",2)&lt;/Q&gt;&lt;R&gt;1&lt;/R&gt;&lt;C&gt;1&lt;/C&gt;&lt;D xsi:type="xsd:long"&gt;46233&lt;/D&gt;&lt;/FQL&gt;&lt;FQL&gt;&lt;Q&gt;HWM^CS_EVENT_TIME_N("ER",2)&lt;/Q&gt;&lt;R&gt;1&lt;/R&gt;&lt;C&gt;1&lt;/C&gt;&lt;D xsi:type="xsd:string"&gt;Unspecified&lt;/D&gt;&lt;/FQL&gt;&lt;FQL&gt;&lt;Q&gt;HWM^CS_EVENT_DESC_N("ER",2)&lt;/Q&gt;&lt;R&gt;1&lt;/R&gt;&lt;C&gt;1&lt;/C&gt;&lt;D xsi:type="xsd:string"&gt;Q2 2026 Earnings Release (Projected)&lt;/D&gt;&lt;/FQL&gt;&lt;FQL&gt;&lt;Q&gt;SW^CS_EVENT_DATEJ_N("ER",2)&lt;/Q&gt;&lt;R&gt;1&lt;/R&gt;&lt;C&gt;1&lt;/C&gt;&lt;D xsi:type="xsd:long"&gt;46239&lt;/D&gt;&lt;/FQL&gt;&lt;FQL&gt;&lt;Q&gt;SW^CS_EVENT_TIME_N("ER",2)&lt;/Q&gt;&lt;R&gt;1&lt;/R&gt;&lt;C&gt;1&lt;/C&gt;&lt;D xsi:type="xsd:string"&gt;Unspecified&lt;/D&gt;&lt;/FQL&gt;&lt;FQL&gt;&lt;Q&gt;SW^CS_EVENT_DESC_N("ER",2)&lt;/Q&gt;&lt;R&gt;1&lt;/R&gt;&lt;C&gt;1&lt;/C&gt;&lt;D xsi:type="xsd:string"&gt;Q2 2026 Earnings Release (Projected)&lt;/D&gt;&lt;/FQL&gt;&lt;FQL&gt;&lt;Q&gt;MRNA^CS_EVENT_DATEJ_N("ER",2)&lt;/Q&gt;&lt;R&gt;1&lt;/R&gt;&lt;C&gt;1&lt;/C&gt;&lt;D xsi:type="xsd:long"&gt;46233&lt;/D&gt;&lt;/FQL&gt;&lt;FQL&gt;&lt;Q&gt;MRNA^CS_EVENT_TIME_N("ER",2)&lt;/Q&gt;&lt;R&gt;1&lt;/R&gt;&lt;C&gt;1&lt;/C&gt;&lt;D xsi:type="xsd:string"&gt;Unspecified&lt;/D&gt;&lt;/FQL&gt;&lt;FQL&gt;&lt;Q&gt;MRNA^CS_EVENT_DESC_N("ER",2)&lt;/Q&gt;&lt;R&gt;1&lt;/R&gt;&lt;C&gt;1&lt;/C&gt;&lt;D xsi:type="xsd:string"&gt;Q2 2026 Earnings Release (Projected)&lt;/D&gt;&lt;/FQL&gt;&lt;FQL&gt;&lt;Q&gt;LIN^CS_EVENT_DATEJ_N("ER",2)&lt;/Q&gt;&lt;R&gt;1&lt;/R&gt;&lt;C&gt;1&lt;/C&gt;&lt;D xsi:type="xsd:long"&gt;46226&lt;/D&gt;&lt;/FQL&gt;&lt;FQL&gt;&lt;Q&gt;LIN^CS_EVENT_TIME_N("ER",2)&lt;/Q&gt;&lt;R&gt;1&lt;/R&gt;&lt;C&gt;1&lt;/C&gt;&lt;D xsi:type="xsd:string"&gt;Unspecified&lt;/D&gt;&lt;/FQL&gt;&lt;FQL&gt;&lt;Q&gt;LIN^CS_EVENT_DESC_N("ER",2)&lt;/Q&gt;&lt;R&gt;1&lt;/R&gt;&lt;C&gt;1&lt;/C&gt;&lt;D xsi:type="xsd:string"&gt;Q2 2026 Earnings Release (Projected)&lt;/D&gt;&lt;/FQL&gt;&lt;FQL&gt;&lt;Q&gt;DDOG^CS_EVENT_DATEJ_N("ER",2)&lt;/Q&gt;&lt;R&gt;1&lt;/R&gt;&lt;C&gt;1&lt;/C&gt;&lt;D xsi:type="xsd:long"&gt;46240&lt;/D&gt;&lt;/FQL&gt;&lt;FQL&gt;&lt;Q&gt;DDOG^CS_EVENT_TIME_N("ER",2)&lt;/Q&gt;&lt;R&gt;1&lt;/R&gt;&lt;C&gt;1&lt;/C&gt;&lt;D xsi:type="xsd:string"&gt;Unspecified&lt;/D&gt;&lt;/FQL&gt;&lt;FQL&gt;&lt;Q&gt;DDOG^CS_EVENT_DESC_N("ER",2)&lt;/Q&gt;&lt;R&gt;1&lt;/R&gt;&lt;C&gt;1&lt;/C&gt;&lt;D xsi:type="xsd:string"&gt;Q2 2026 Earnings Release (Projected)&lt;/D&gt;&lt;/FQL&gt;&lt;FQL&gt;&lt;Q&gt;DASH^CS_EVENT_DATEJ_N("ER",2)&lt;/Q&gt;&lt;R&gt;1&lt;/R&gt;&lt;C&gt;1&lt;/C&gt;&lt;D xsi:type="xsd:long"&gt;46233&lt;/D&gt;&lt;/FQL&gt;&lt;FQL&gt;&lt;Q&gt;DASH^CS_EVENT_TIME_N("ER",2)&lt;/Q&gt;&lt;R&gt;1&lt;/R&gt;&lt;C&gt;1&lt;/C&gt;&lt;D xsi:type="xsd:string"&gt;Unspecified&lt;/D&gt;&lt;/FQL&gt;&lt;FQL&gt;&lt;Q&gt;DASH^CS_EVENT_DESC_N("ER",2)&lt;/Q&gt;&lt;R&gt;1&lt;/R&gt;&lt;C&gt;1&lt;/C&gt;&lt;D xsi:type="xsd:string"&gt;Q2 2026 Earnings Release (Projected)&lt;/D&gt;&lt;/FQL&gt;&lt;FQL&gt;&lt;Q&gt;SNDK^CS_EVENT_DATEJ_N("ER",2)&lt;/Q&gt;&lt;R&gt;1&lt;/R&gt;&lt;C&gt;1&lt;/C&gt;&lt;D xsi:type="xsd:long"&gt;46247&lt;/D&gt;&lt;/FQL&gt;&lt;FQL&gt;&lt;Q&gt;SNDK^CS_EVENT_TIME_N("ER",2)&lt;/Q&gt;&lt;R&gt;1&lt;/R&gt;&lt;C&gt;1&lt;/C&gt;&lt;D xsi:type="xsd:string"&gt;Unspecified&lt;/D&gt;&lt;/FQL&gt;&lt;FQL&gt;&lt;Q&gt;SNDK^CS_EVENT_DESC_N("ER",2)&lt;/Q&gt;&lt;R&gt;1&lt;/R&gt;&lt;C&gt;1&lt;/C&gt;&lt;D xsi:type="xsd:string"&gt;Q4 2026 Earnings Release (Projected)&lt;/D&gt;&lt;/FQL&gt;&lt;FQL&gt;&lt;Q&gt;EVRG^CS_EVENT_DATEJ_N("ER",2)&lt;/Q&gt;&lt;R&gt;1&lt;/R&gt;&lt;C&gt;1&lt;/C&gt;&lt;D xsi:type="xsd:long"&gt;46233&lt;/D&gt;&lt;/FQL&gt;&lt;FQL&gt;&lt;Q&gt;EVRG^CS_EVENT_TIME_N("ER",2)&lt;/Q&gt;&lt;R&gt;1&lt;/R&gt;&lt;C&gt;1&lt;/C&gt;&lt;D xsi:type="xsd:string"&gt;Unspecified&lt;/D&gt;&lt;/FQL&gt;&lt;FQL&gt;&lt;Q&gt;EVRG^CS_EVENT_DESC_N("ER",2)&lt;/Q&gt;&lt;R&gt;1&lt;/R&gt;&lt;C&gt;1&lt;/C&gt;&lt;D xsi:type="xsd:string"&gt;Q2 2026 Earnings Release (Projected)&lt;/D&gt;&lt;/FQL&gt;&lt;FQL&gt;&lt;Q&gt;FRT^CS_EVENT_DATEJ_N("ER",2)&lt;/Q&gt;&lt;R&gt;1&lt;/R&gt;&lt;C&gt;1&lt;/C&gt;&lt;D xsi:type="xsd:long"&gt;46239&lt;/D&gt;&lt;/FQL&gt;&lt;FQL&gt;&lt;Q&gt;FRT^CS_EVENT_TIME_N("ER",2)&lt;/Q&gt;&lt;R&gt;1&lt;/R&gt;&lt;C&gt;1&lt;/C&gt;&lt;D xsi:type="xsd:string"&gt;Unspecified&lt;/D&gt;&lt;/FQL&gt;&lt;FQL&gt;&lt;Q&gt;FRT^CS_EVENT_DESC_N("ER",2)&lt;/Q&gt;&lt;R&gt;1&lt;/R&gt;&lt;C&gt;1&lt;/C&gt;&lt;D xsi:type="xsd:string"&gt;Q2 2026 Earnings Release (Projected)&lt;/D&gt;&lt;/FQL&gt;&lt;FQL&gt;&lt;Q&gt;CL^CS_EVENT_DATEJ_N("ER",2)&lt;/Q&gt;&lt;R&gt;1&lt;/R&gt;&lt;C&gt;1&lt;/C&gt;&lt;D xsi:type="xsd:long"&gt;46227&lt;/D&gt;&lt;/FQL&gt;&lt;FQL&gt;&lt;Q&gt;CL^CS_EVENT_TIME_N("ER",2)&lt;/Q&gt;&lt;R&gt;1&lt;/R&gt;&lt;C&gt;1&lt;/C&gt;&lt;D xsi:type="xsd:string"&gt;Unspecified&lt;/D&gt;&lt;/FQL&gt;&lt;FQL&gt;&lt;Q&gt;CL^CS_EVENT_DESC_N("ER",2)&lt;/Q&gt;&lt;R&gt;1&lt;/R&gt;&lt;C&gt;1&lt;/C&gt;&lt;D xsi:type="xsd:string"&gt;Q2 2026 Earnings Release (Projected)&lt;/D&gt;&lt;/FQL&gt;&lt;FQL&gt;&lt;Q&gt;EL^CS_EVENT_DATEJ_N("ER",2)&lt;/Q&gt;&lt;R&gt;1&lt;/R&gt;&lt;C&gt;1&lt;/C&gt;&lt;D xsi:type="xsd:long"&gt;46258&lt;/D&gt;&lt;/FQL&gt;&lt;FQL&gt;&lt;Q&gt;EL^CS_EVENT_TIME_N("ER",2)&lt;/Q&gt;&lt;R&gt;1&lt;/R&gt;&lt;C&gt;1&lt;/C&gt;&lt;D xsi:type="xsd:string"&gt;Unspecified&lt;/D&gt;&lt;/FQL&gt;&lt;FQL&gt;&lt;Q&gt;EL^CS_EVENT_DESC_N("ER",2)&lt;/Q&gt;&lt;R&gt;1&lt;/R&gt;&lt;C&gt;1&lt;/C&gt;&lt;D xsi:type="xsd:string"&gt;Q4 2026 Earnings Release (Projected)&lt;/D&gt;&lt;/FQL&gt;&lt;FQL&gt;&lt;Q&gt;CHD^CS_EVENT_DATEJ_N("ER",2)&lt;/Q&gt;&lt;R&gt;1&lt;/R&gt;&lt;C&gt;1&lt;/C&gt;&lt;D xsi:type="xsd:long"&gt;46227&lt;/D&gt;&lt;/FQL&gt;&lt;FQL&gt;&lt;Q&gt;CHD^CS_EVENT_TIME_N("ER",2)&lt;/Q&gt;&lt;R&gt;1&lt;/R&gt;&lt;C&gt;1&lt;/C&gt;&lt;D xsi:type="xsd:string"&gt;Unspecified&lt;/D&gt;&lt;/FQL&gt;&lt;FQL&gt;&lt;Q&gt;CHD^CS_EVENT_DESC_N("ER",2)&lt;/Q&gt;&lt;R&gt;1&lt;/R&gt;&lt;C&gt;1&lt;/C&gt;&lt;D xsi:type="xsd:string"&gt;Q2 2026 Earnings Release (Projected)&lt;/D&gt;&lt;/FQL&gt;&lt;FQL&gt;&lt;Q&gt;CBOE^CS_EVENT_DATEJ_N("ER",2)&lt;/Q&gt;&lt;R&gt;1&lt;/R&gt;&lt;C&gt;1&lt;/C&gt;&lt;D xsi:type="xsd:long"&gt;46234&lt;/D&gt;&lt;/FQL&gt;&lt;FQL&gt;&lt;Q&gt;CBOE^CS_EVENT_TIME_N("ER",2)&lt;/Q&gt;&lt;R&gt;1&lt;/R&gt;&lt;C&gt;1&lt;/C&gt;&lt;D xsi:type="xsd:string"&gt;Unspecified&lt;/D&gt;&lt;/FQL&gt;&lt;FQL&gt;&lt;Q&gt;CBOE^CS_EVENT_DESC_N("ER",2)&lt;/Q&gt;&lt;R&gt;1&lt;/R&gt;&lt;C&gt;1&lt;/C&gt;&lt;D xsi:type="xsd:string"&gt;Q2 2026 Earnings Release (Projected)&lt;/D&gt;&lt;/FQL&gt;&lt;FQL&gt;&lt;Q&gt;JCI^CS_EVENT_DATEJ_N("ER",2)&lt;/Q&gt;&lt;R&gt;1&lt;/R&gt;&lt;C&gt;1&lt;/C&gt;&lt;D xsi:type="xsd:long"&gt;46239&lt;/D&gt;&lt;/FQL&gt;&lt;FQL&gt;&lt;Q&gt;JCI^CS_EVENT_TIME_N("ER",2)&lt;/Q&gt;&lt;R&gt;1&lt;/R&gt;&lt;C&gt;1&lt;/C&gt;&lt;D xsi:type="xsd:string"&gt;Unspecified&lt;/D&gt;&lt;/FQL&gt;&lt;FQL&gt;&lt;Q&gt;JCI^CS_EVENT_DESC_N("ER",2)&lt;/Q&gt;&lt;R&gt;1&lt;/R&gt;&lt;C&gt;1&lt;/C&gt;&lt;D xsi:type="xsd:string"&gt;Q3 2026 Earnings Release (Projected)&lt;/D&gt;&lt;/FQL&gt;&lt;FQL&gt;&lt;Q&gt;WEC^CS_EVENT_DATEJ_N("ER",2)&lt;/Q&gt;&lt;R&gt;1&lt;/R&gt;&lt;C&gt;1&lt;/C&gt;&lt;D xsi:type="xsd:long"&gt;46238&lt;/D&gt;&lt;/FQL&gt;&lt;FQL&gt;&lt;Q&gt;WEC^CS_EVENT_TIME_N("ER",2)&lt;/Q&gt;&lt;R&gt;1&lt;/R&gt;&lt;C&gt;1&lt;/C&gt;&lt;D xsi:type="xsd:string"&gt;Unspecified&lt;/D&gt;&lt;/FQL&gt;&lt;FQL&gt;&lt;Q&gt;WEC^CS_EVENT_DESC_N("ER",2)&lt;/Q&gt;&lt;R&gt;1&lt;/R&gt;&lt;C&gt;1&lt;/C&gt;&lt;D xsi:type="xsd:string"&gt;Q2 2026 Earnings Release (Projected)&lt;/D&gt;&lt;/FQL&gt;&lt;FQL&gt;&lt;Q&gt;BEN^CS_EVENT_DATEJ_N("ER",2)&lt;/Q&gt;&lt;R&gt;1&lt;/R&gt;&lt;C&gt;1&lt;/C&gt;&lt;D xsi:type="xsd:long"&gt;46227&lt;/D&gt;&lt;/FQL&gt;&lt;FQL&gt;&lt;Q&gt;BEN^CS_EVENT_TIME_N("ER",2)&lt;/Q&gt;&lt;R&gt;1&lt;/R&gt;&lt;C&gt;1&lt;/C&gt;&lt;D xsi:type="xsd:string"&gt;Unspecified&lt;/D&gt;&lt;/FQL&gt;&lt;FQL&gt;&lt;Q&gt;BEN^CS_EVENT_DESC_N("ER",2)&lt;/Q&gt;&lt;R&gt;1&lt;/R&gt;&lt;C&gt;1&lt;/C&gt;&lt;D xsi:type="xsd:string"&gt;Q3 2026 Earnings Release (Projected)&lt;/D&gt;&lt;/FQL&gt;&lt;FQL&gt;&lt;Q&gt;WMB^CS_EVENT_DATEJ_N("ER",2)&lt;/Q&gt;&lt;R&gt;1&lt;/R&gt;&lt;C&gt;1&lt;/C&gt;&lt;D xsi:type="xsd:long"&gt;46244&lt;/D&gt;&lt;/FQL&gt;&lt;FQL&gt;&lt;Q&gt;WMB^CS_EVENT_TIME_N("ER",2)&lt;/Q&gt;&lt;R&gt;1&lt;/R&gt;&lt;C&gt;1&lt;/C&gt;&lt;D xsi:type="xsd:string"&gt;Unspecified&lt;/D&gt;&lt;/FQL&gt;&lt;FQL&gt;&lt;Q&gt;WMB^CS_EVENT_DESC_N("ER",2)&lt;/Q&gt;&lt;R&gt;1&lt;/R&gt;&lt;C&gt;1&lt;/C&gt;&lt;D xsi:type="xsd:string"&gt;Q2 2026 Earnings Release (Projected)&lt;/D&gt;&lt;/FQL&gt;&lt;FQL&gt;&lt;Q&gt;SBAC^CS_EVENT_DATEJ_N("ER",2)&lt;/Q&gt;&lt;R&gt;1&lt;/R&gt;&lt;C&gt;1&lt;/C&gt;&lt;D xsi:type="xsd:long"&gt;46237&lt;/D&gt;&lt;/FQL&gt;&lt;FQL&gt;&lt;Q&gt;SBAC^CS_EVENT_TIME_N("ER",2)&lt;/Q&gt;&lt;R&gt;1&lt;/R&gt;&lt;C&gt;1&lt;/C&gt;&lt;D xsi:type="xsd:string"&gt;Unspecified&lt;/D&gt;&lt;/FQL&gt;&lt;FQL&gt;&lt;Q&gt;SBAC^CS_EVENT_DESC_N("ER",2)&lt;/Q&gt;&lt;R&gt;1&lt;/R&gt;&lt;C&gt;1&lt;/C&gt;&lt;D xsi:type="xsd:string"&gt;Q2 2026 Earnings Release (Projected)&lt;/D&gt;&lt;/FQL&gt;&lt;FQL&gt;&lt;Q&gt;WELL^CS_EVENT_DATEJ_N("ER",2)&lt;/Q&gt;&lt;R&gt;1&lt;/R&gt;&lt;C&gt;1&lt;/C&gt;&lt;D xsi:type="xsd:long"&gt;46237&lt;/D&gt;&lt;/FQL&gt;&lt;FQL&gt;&lt;Q&gt;WELL^CS_EVENT_TIME_N("ER",2)&lt;/Q&gt;&lt;R&gt;1&lt;/R&gt;&lt;C&gt;1&lt;/C&gt;&lt;D xsi:type="xsd:string"&gt;Unspecified&lt;/D&gt;&lt;/FQL&gt;&lt;FQL&gt;&lt;Q&gt;WELL^CS_EVENT_DESC_N("ER",2)&lt;/Q&gt;&lt;R&gt;1&lt;/R&gt;&lt;C&gt;1&lt;/C&gt;&lt;D xsi:type="xsd:string"&gt;Q2 2026 Earnings Release (Projected)&lt;/D&gt;&lt;/FQL&gt;&lt;FQL&gt;&lt;Q&gt;L^CS_EVENT_DATEJ_N("ER",2)&lt;/Q&gt;&lt;R&gt;1&lt;/R&gt;&lt;C&gt;1&lt;/C&gt;&lt;D xsi:type="xsd:long"&gt;46237&lt;/D&gt;&lt;/FQL&gt;&lt;FQL&gt;&lt;Q&gt;L^CS_EVENT_TIME_N("ER",2)&lt;/Q&gt;&lt;R&gt;1&lt;/R&gt;&lt;C&gt;1&lt;/C&gt;&lt;D xsi:type="xsd:string"&gt;Unspecified&lt;/D&gt;&lt;/FQL&gt;&lt;FQL&gt;&lt;Q&gt;L^CS_EVENT_DESC_N("ER",2)&lt;/Q&gt;&lt;R&gt;1&lt;/R&gt;&lt;C&gt;1&lt;/C&gt;&lt;D xsi:type="xsd:string"&gt;Q2 2026 Earnings Release (Projected)&lt;/D&gt;&lt;/FQL&gt;&lt;FQL&gt;&lt;Q&gt;ON^CS_EVENT_DATEJ_N("ER",2)&lt;/Q&gt;&lt;R&gt;1&lt;/R&gt;&lt;C&gt;1&lt;/C&gt;&lt;D xsi:type="xsd:long"&gt;46237&lt;/D&gt;&lt;/FQL&gt;&lt;FQL&gt;&lt;Q&gt;ON^CS_EVENT_TIME_N("ER",2)&lt;/Q&gt;&lt;R&gt;1&lt;/R&gt;&lt;C&gt;1&lt;/C&gt;&lt;D xsi:type="xsd:string"&gt;Unspecified&lt;/D&gt;&lt;/FQL&gt;&lt;FQL&gt;&lt;Q&gt;ON^CS_EVENT_DESC_N("ER",2)&lt;/Q&gt;&lt;R&gt;1&lt;/R&gt;&lt;C&gt;1&lt;/C&gt;&lt;D xsi:type="xsd:string"&gt;Q2 2026 Earnings Release (Projected)&lt;/D&gt;&lt;/FQL&gt;&lt;FQL&gt;&lt;Q&gt;GPN^CS_EVENT_DATEJ_N("ER",2)&lt;/Q&gt;&lt;R&gt;1&lt;/R&gt;&lt;C&gt;1&lt;/C&gt;&lt;D xsi:type="xsd:long"&gt;46237&lt;/D&gt;&lt;/FQL&gt;&lt;FQL&gt;&lt;Q&gt;GPN^CS_EVENT_TIME_N("ER",2)&lt;/Q&gt;&lt;R&gt;1&lt;/R&gt;&lt;C&gt;1&lt;/C&gt;&lt;D xsi:type="xsd:string"&gt;Unspecified&lt;/D&gt;&lt;/FQL&gt;&lt;FQL&gt;&lt;Q&gt;GPN^CS_EVENT_DESC_N("ER",2)&lt;/Q&gt;&lt;R&gt;1&lt;/R&gt;&lt;C&gt;1&lt;/C&gt;&lt;D xsi:type="xsd:string"&gt;Q2 2026 Earnings Release (Projected)&lt;/D&gt;&lt;/FQL&gt;&lt;FQL&gt;&lt;Q&gt;FFIV^CS_EVENT_DATEJ_N("ER",2)&lt;/Q&gt;&lt;R&gt;1&lt;/R&gt;&lt;C&gt;1&lt;/C&gt;&lt;D xsi:type="xsd:long"&gt;46237&lt;/D&gt;&lt;/FQL&gt;&lt;FQL&gt;&lt;Q&gt;FFIV^CS_EVENT_TIME_N("ER",2)&lt;/Q&gt;&lt;R&gt;1&lt;/R&gt;&lt;C&gt;1&lt;/C&gt;&lt;D xsi:type="xsd:string"&gt;Unspecified&lt;/D&gt;&lt;/FQL&gt;&lt;FQL&gt;&lt;Q&gt;FFIV^CS_EVENT_DESC_N("ER",2)&lt;/Q&gt;&lt;R&gt;1&lt;/R&gt;&lt;C&gt;1&lt;/C&gt;&lt;D xsi:type="xsd:string"&gt;Q3 2026 Earnings Release (Projected)&lt;/D&gt;&lt;/FQL&gt;&lt;FQL&gt;&lt;Q&gt;RVTY^CS_EVENT_DATEJ_N("ER",2)&lt;/Q&gt;&lt;R&gt;1&lt;/R&gt;&lt;C&gt;1&lt;/C&gt;&lt;D xsi:type="xsd:long"&gt;46237&lt;/D&gt;&lt;/FQL&gt;&lt;FQL&gt;&lt;Q&gt;RVTY^CS_EVENT_TIME_N("ER",2)&lt;/Q&gt;&lt;R&gt;1&lt;/R&gt;&lt;C&gt;1&lt;/C&gt;&lt;D xsi:type="xsd:string"&gt;Unspecified&lt;/D&gt;&lt;/FQL&gt;&lt;FQL&gt;&lt;Q&gt;RVTY^CS_EVENT_DESC_N("ER",2)&lt;/Q&gt;&lt;R&gt;1&lt;/R&gt;&lt;C&gt;1&lt;/C&gt;&lt;D xsi:type="xsd:string"&gt;Q2 2026 Earnings Release (Projected)&lt;/D&gt;&lt;/FQL&gt;&lt;FQL&gt;&lt;Q&gt;BRK.B^CS_EVENT_DATEJ_N("ER",2)&lt;/Q&gt;&lt;R&gt;1&lt;/R&gt;&lt;C&gt;1&lt;/C&gt;&lt;D xsi:type="xsd:long"&gt;46237&lt;/D&gt;&lt;/FQL&gt;&lt;FQL&gt;&lt;Q&gt;BRK.B^CS_EVENT_TIME_N("ER",2)&lt;/Q&gt;&lt;R&gt;1&lt;/R&gt;&lt;C&gt;1&lt;/C&gt;&lt;D xsi:type="xsd:string"&gt;Unspecified&lt;/D&gt;&lt;/FQL&gt;&lt;FQL&gt;&lt;Q&gt;BRK.B^CS_EVENT_DESC_N("ER",2)&lt;/Q&gt;&lt;R&gt;1&lt;/R&gt;&lt;C&gt;1&lt;/C&gt;&lt;D xsi:type="xsd:string"&gt;Q2 2026 Earnings Release (Projected)&lt;/D&gt;&lt;/FQL&gt;&lt;FQL&gt;&lt;Q&gt;ANET^CS_EVENT_DATEJ_N("ER",2)&lt;/Q&gt;&lt;R&gt;1&lt;/R&gt;&lt;C&gt;1&lt;/C&gt;&lt;D xsi:type="xsd:long"&gt;46237&lt;/D&gt;&lt;/FQL&gt;&lt;FQL&gt;&lt;Q&gt;ANET^CS_EVENT_TIME_N("ER",2)&lt;/Q&gt;&lt;R&gt;1&lt;/R&gt;&lt;C&gt;1&lt;/C&gt;&lt;D xsi:type="xsd:string"&gt;Unspecified&lt;/D&gt;&lt;/FQL&gt;&lt;FQL&gt;&lt;Q&gt;ANET^CS_EVENT_DESC_N("ER",2)&lt;/Q&gt;&lt;R&gt;1&lt;/R&gt;&lt;C&gt;1&lt;/C&gt;&lt;D xsi:type="xsd:string"&gt;Q2 2026 Earnings Release (Projected)&lt;/D&gt;&lt;/FQL&gt;&lt;FQL&gt;&lt;Q&gt;FANG^CS_EVENT_DATEJ_N("ER",2)&lt;/Q&gt;&lt;R&gt;1&lt;/R&gt;&lt;C&gt;1&lt;/C&gt;&lt;D xsi:type="xsd:long"&gt;46237&lt;/D&gt;&lt;/FQL&gt;&lt;FQL&gt;&lt;Q&gt;FANG^CS_EVENT_TIME_N("ER",2)&lt;/Q&gt;&lt;R&gt;1&lt;/R&gt;&lt;C&gt;1&lt;/C&gt;&lt;D xsi:type="xsd:string"&gt;Unspecified&lt;/D&gt;&lt;/FQL&gt;&lt;FQL&gt;&lt;Q&gt;FANG^CS_EVENT_DESC_N("ER",2)&lt;/Q&gt;&lt;R&gt;1&lt;/R&gt;&lt;C&gt;1&lt;/C&gt;&lt;D xsi:type="xsd:string"&gt;Q2 2026 Earnings Release (Projected)&lt;/D&gt;&lt;/FQL&gt;&lt;FQL&gt;&lt;Q&gt;PRU^CS_EVENT_DATEJ_N("ER",2)&lt;/Q&gt;&lt;R&gt;1&lt;/R&gt;&lt;C&gt;1&lt;/C&gt;&lt;D xsi:type="xsd:long"&gt;46238&lt;/D&gt;&lt;/FQL&gt;&lt;FQL&gt;&lt;Q&gt;PRU^CS_EVENT_TIME_N("ER",2)&lt;/Q&gt;&lt;R&gt;1&lt;/R&gt;&lt;C&gt;1&lt;/C&gt;&lt;D xsi:type="xsd:string"&gt;Unspecified&lt;/D&gt;&lt;/FQL&gt;&lt;FQL&gt;&lt;Q&gt;PRU^CS_EVENT_DESC_N("ER",2)&lt;/Q&gt;&lt;R&gt;1&lt;/R&gt;&lt;C&gt;1&lt;/C&gt;&lt;D xsi:type="xsd:string"&gt;Q2 2026 Earnings Release (Projected)&lt;/D&gt;&lt;/FQL&gt;&lt;FQL&gt;&lt;Q&gt;AME^CS_EVENT_DATEJ_N("ER",2)&lt;/Q&gt;&lt;R&gt;1&lt;/R&gt;&lt;C&gt;1&lt;/C&gt;&lt;D xsi:type="xsd:long"&gt;46238&lt;/D&gt;&lt;/FQL&gt;&lt;FQL&gt;&lt;Q&gt;AME^CS_EVENT_TIME_N("ER",2)&lt;/Q&gt;&lt;R&gt;1&lt;/R&gt;&lt;C&gt;1&lt;/C&gt;&lt;D xsi:type="xsd:string"&gt;Unspecified&lt;/D&gt;&lt;/FQL&gt;&lt;FQL&gt;&lt;Q&gt;AME^CS_EVENT_DESC_N("ER",2)&lt;/Q&gt;&lt;R&gt;1&lt;/R&gt;&lt;C&gt;1&lt;/C&gt;&lt;D xsi:type="xsd:string"&gt;Q2 2026 Earnings Release (Projected)&lt;/D&gt;&lt;/FQL&gt;&lt;FQL&gt;&lt;Q&gt;MLM^CS_EVENT_DATEJ_N("ER",2)&lt;/Q&gt;&lt;R&gt;1&lt;/R&gt;&lt;C&gt;1&lt;/C&gt;&lt;D xsi:type="xsd:long"&gt;46226&lt;/D&gt;&lt;/FQL&gt;&lt;FQL&gt;&lt;Q&gt;MLM^CS_EVENT_TIME_N("ER",2)&lt;/Q&gt;&lt;R&gt;1&lt;/R&gt;&lt;C&gt;1&lt;/C&gt;&lt;D xsi:type="xsd:string"&gt;Unspecified&lt;/D&gt;&lt;/FQL&gt;&lt;FQL&gt;&lt;Q&gt;MLM^CS_EVENT_DESC_N("ER",2)&lt;/Q&gt;&lt;R&gt;1&lt;/R&gt;&lt;C&gt;1&lt;/C&gt;&lt;D xsi:type="xsd:string"&gt;Q2 2026 Earnings Release (Projected)&lt;/D&gt;&lt;/FQL&gt;&lt;FQL&gt;&lt;Q&gt;ITW^CS_EVENT_DATEJ_N("ER",2)&lt;/Q&gt;&lt;R&gt;1&lt;/R&gt;&lt;C&gt;1&lt;/C&gt;&lt;D xsi:type="xsd:long"&gt;46238&lt;/D&gt;&lt;/FQL&gt;&lt;FQL&gt;&lt;Q&gt;ITW^CS_EVENT_TIME_N("ER",2)&lt;/Q&gt;&lt;R&gt;1&lt;/R&gt;&lt;C&gt;1&lt;/C&gt;&lt;D xsi:type="xsd:string"&gt;Unspecified&lt;/D&gt;&lt;/FQL&gt;&lt;FQL&gt;&lt;Q&gt;ITW^CS_EVENT_DESC_N("ER",2)&lt;/Q&gt;&lt;R&gt;1&lt;/R&gt;&lt;C&gt;1&lt;/C&gt;&lt;D xsi:type="xsd:string"&gt;Q2 2026 Earnings Release (Projected)&lt;/D&gt;&lt;/FQL&gt;&lt;FQL&gt;&lt;Q&gt;SBUX^CS_EVENT_DATEJ_N("ER",2)&lt;/Q&gt;&lt;R&gt;1&lt;/R&gt;&lt;C&gt;1&lt;/C&gt;&lt;D xsi:type="xsd:long"&gt;46238&lt;/D&gt;&lt;/FQL&gt;&lt;FQL&gt;&lt;Q&gt;SBUX^CS_EVENT_TIME_N("ER",2)&lt;/Q&gt;&lt;R&gt;1&lt;/R&gt;&lt;C&gt;1&lt;/C&gt;&lt;D xsi:type="xsd:string"&gt;Unspecified&lt;/D&gt;&lt;/FQL&gt;&lt;FQL&gt;&lt;Q&gt;SBUX^CS_EVENT_DESC_N("ER",2)&lt;/Q&gt;&lt;R&gt;1&lt;/R&gt;&lt;C&gt;1&lt;/C&gt;&lt;D xsi:type="xsd:string"&gt;Q3 2026 Earnings Release (Projected)&lt;/D&gt;&lt;/FQL&gt;&lt;FQL&gt;&lt;Q&gt;GLW^CS_EVENT_DATEJ_N("ER",2)&lt;/Q&gt;&lt;R&gt;1&lt;/R&gt;&lt;C&gt;1&lt;/C&gt;&lt;D xsi:type="xsd:long"&gt;46238&lt;/D&gt;&lt;/FQL&gt;&lt;FQL&gt;&lt;Q&gt;GLW^CS_EVENT_TIME_N("ER",2)&lt;/Q&gt;&lt;R&gt;1&lt;/R&gt;&lt;C&gt;1&lt;/C&gt;&lt;D xsi:type="xsd:string"&gt;Unspecified&lt;/D&gt;&lt;/FQL&gt;&lt;FQL&gt;&lt;Q&gt;GLW^CS_EVENT_DESC_N("ER",2)&lt;/Q&gt;&lt;R&gt;1&lt;/R&gt;&lt;C&gt;1&lt;/C&gt;&lt;D xsi:type="xsd:string"&gt;Q2 2026 Earnings Release (Projected)&lt;/D&gt;&lt;/FQL&gt;&lt;FQL&gt;&lt;Q&gt;CLX^CS_EVENT_DATEJ_N("ER",2)&lt;/Q&gt;&lt;R&gt;1&lt;/R&gt;&lt;C&gt;1&lt;/C&gt;&lt;D xsi:type="xsd:long"&gt;46239&lt;/D&gt;&lt;/FQL&gt;&lt;FQL&gt;&lt;Q&gt;CLX^CS_EVENT_TIME_N("ER",2)&lt;/Q&gt;&lt;R&gt;1&lt;/R&gt;&lt;C&gt;1&lt;/C&gt;&lt;D xsi:type="xsd:string"&gt;Unspecified&lt;/D&gt;&lt;/FQL&gt;&lt;FQL&gt;&lt;Q&gt;CLX^CS_EVENT_DESC_N("ER",2)&lt;/Q&gt;&lt;R&gt;1&lt;/R&gt;&lt;C&gt;1&lt;/C&gt;&lt;D xsi:type="xsd:string"&gt;Q4 2026 Earnings Release (Projected)&lt;/D&gt;&lt;/FQL&gt;&lt;FQL&gt;&lt;Q&gt;DVN^CS_EVENT_DATEJ_N("ER",2)&lt;/Q&gt;&lt;R&gt;1&lt;/R&gt;&lt;C&gt;1&lt;/C&gt;&lt;D xsi:type="xsd:long"&gt;46238&lt;/D&gt;&lt;/FQL&gt;&lt;FQL&gt;&lt;Q&gt;DVN^CS_EVENT_TIME_N("ER",2)&lt;/Q&gt;&lt;R&gt;1&lt;/R&gt;&lt;C&gt;1&lt;/C&gt;&lt;D xsi:type="xsd:string"&gt;Unspecified&lt;/D&gt;&lt;/FQL&gt;&lt;FQL&gt;&lt;Q&gt;DVN^CS_EVENT_DESC_N("ER",2)&lt;/Q&gt;&lt;R&gt;1&lt;/R&gt;&lt;C&gt;1&lt;/C&gt;&lt;D xsi:type="xsd:string"&gt;Q2 2026 Earnings Release (Projected)&lt;/D&gt;&lt;/FQL&gt;&lt;FQL&gt;&lt;Q&gt;SWKS^CS_EVENT_DATEJ_N("ER",2)&lt;/Q&gt;&lt;R&gt;1&lt;/R&gt;&lt;C&gt;1&lt;/C&gt;&lt;D xsi:type="xsd:long"&gt;46239&lt;/D&gt;&lt;/FQL&gt;&lt;FQL&gt;&lt;Q&gt;SWKS^CS_EVENT_TIME_N("ER",2)&lt;/Q&gt;&lt;R&gt;1&lt;/R&gt;&lt;C&gt;1&lt;/C&gt;&lt;D xsi:type="xsd:string"&gt;Unspecified&lt;/D&gt;&lt;/FQL&gt;&lt;FQL&gt;&lt;Q&gt;SWKS^CS_EVENT_DESC_N("ER",2)&lt;/Q&gt;&lt;R&gt;1&lt;/R&gt;&lt;C&gt;1&lt;/C&gt;&lt;D xsi:type="xsd:string"&gt;Q3 2026 Earnings Release (Projected)&lt;/D&gt;&lt;/FQL&gt;&lt;FQL&gt;&lt;Q&gt;OKE^CS_EVENT_DATEJ_N("ER",2)&lt;/Q&gt;&lt;R&gt;1&lt;/R&gt;&lt;C&gt;1&lt;/C&gt;&lt;D xsi:type="xsd:long"&gt;46244&lt;/D&gt;&lt;/FQL&gt;&lt;FQL&gt;&lt;Q&gt;OKE^CS_EVENT_TIME_N("ER",2)&lt;/Q&gt;&lt;R&gt;1&lt;/R&gt;&lt;C&gt;1&lt;/C&gt;&lt;D xsi:type="xsd:string"&gt;Unspecified&lt;/D&gt;&lt;/FQL&gt;&lt;FQL&gt;&lt;Q&gt;OKE^CS_EVENT_DESC_N("ER",2)&lt;/Q&gt;&lt;R&gt;1&lt;/R&gt;&lt;C&gt;1&lt;/C&gt;&lt;D xsi:type="xsd:string"&gt;Q2 2026 Earnings Release (Projected)&lt;/D&gt;&lt;/FQL&gt;&lt;FQL&gt;&lt;Q&gt;BXP^CS_EVENT_DATEJ_N("ER",2)&lt;/Q&gt;&lt;R&gt;1&lt;/R&gt;&lt;C&gt;1&lt;/C&gt;&lt;D xsi:type="xsd:long"&gt;46238&lt;/D&gt;&lt;/FQL&gt;&lt;FQL&gt;&lt;Q&gt;BXP^CS_EVENT_TIME_N("ER",2)&lt;/Q&gt;&lt;R&gt;1&lt;/R&gt;&lt;C&gt;1&lt;/C&gt;&lt;D xsi:type="xsd:string"&gt;Unspecified&lt;/D&gt;&lt;/FQL&gt;&lt;FQL&gt;&lt;Q&gt;BXP^CS_EVENT_DESC_N("ER",2)&lt;/Q&gt;&lt;R&gt;1&lt;/R&gt;&lt;C&gt;1&lt;/C&gt;&lt;D xsi:type="xsd:string"&gt;Q2 2026 Earnings Release (Projected)&lt;/D&gt;&lt;/FQL&gt;&lt;FQL&gt;&lt;Q&gt;SYY^CS_EVENT_DATEJ_N("ER",2)&lt;/Q&gt;&lt;R&gt;1&lt;/R&gt;&lt;C&gt;1&lt;/C&gt;&lt;D xsi:type="xsd:long"&gt;46238&lt;/D&gt;&lt;/FQL&gt;&lt;FQL&gt;&lt;Q&gt;SYY^CS_EVENT_TIME_N("ER",2)&lt;/Q&gt;&lt;R&gt;1&lt;/R&gt;&lt;C&gt;1&lt;/C&gt;&lt;D xsi:type="xsd:string"&gt;Unspecified&lt;/D&gt;&lt;/FQL&gt;&lt;FQL&gt;&lt;Q&gt;SYY^CS_EVENT_DESC_N("ER",2)&lt;/Q&gt;&lt;R&gt;1&lt;/R&gt;&lt;C&gt;1&lt;/C&gt;&lt;D xsi:type="xsd:string"&gt;Q4 2026 Earnings Release (Projected)&lt;/D&gt;&lt;/FQL&gt;&lt;FQL&gt;&lt;Q&gt;ETN^CS_EVENT_DATEJ_N("ER",2)&lt;/Q&gt;&lt;R&gt;1&lt;/R&gt;&lt;C&gt;1&lt;/C&gt;&lt;D xsi:type="xsd:long"&gt;46238&lt;/D&gt;&lt;/FQL&gt;&lt;FQL&gt;&lt;Q&gt;ETN^CS_EVENT_TIME_N("ER",2)&lt;/Q&gt;&lt;R&gt;1&lt;/R&gt;&lt;C&gt;1&lt;/C&gt;&lt;D xsi:type="xsd:string"&gt;Unspecified&lt;/D&gt;&lt;/FQL&gt;&lt;FQL&gt;&lt;Q&gt;ETN^CS_EVENT_DESC_N("ER",2)&lt;/Q&gt;&lt;R&gt;1&lt;/R&gt;&lt;C&gt;1&lt;/C&gt;&lt;D xsi:type="xsd:string"&gt;Q2 2026 Earnings Release (Projected)&lt;/D&gt;&lt;/FQL&gt;&lt;FQL&gt;&lt;Q&gt;AAPL^CS_EVENT_DATEJ_N("ER",2)&lt;/Q&gt;&lt;R&gt;1&lt;/R&gt;&lt;C&gt;1&lt;/C&gt;&lt;D xsi:type="xsd:long"&gt;46233&lt;/D&gt;&lt;/FQL&gt;&lt;FQL&gt;&lt;Q&gt;AAPL^CS_EVENT_TIME_N("ER",2)&lt;/Q&gt;&lt;R&gt;1&lt;/R&gt;&lt;C&gt;1&lt;/C&gt;&lt;D xsi:type="xsd:string"&gt;Unspecified&lt;/D&gt;&lt;/FQL&gt;&lt;FQL&gt;&lt;Q&gt;AAPL^CS_EVENT_DESC_N("ER",2)&lt;/Q&gt;&lt;R&gt;1&lt;/R&gt;&lt;C&gt;1&lt;/C&gt;&lt;D xsi:type="xsd:string"&gt;Q3 2026 Earnings Release (Projected)&lt;/D&gt;&lt;/FQL&gt;&lt;FQL&gt;&lt;Q&gt;WY^CS_EVENT_DATEJ_N("ER",2)&lt;/Q&gt;&lt;R&gt;1&lt;/R&gt;&lt;C&gt;1&lt;/C&gt;&lt;D xsi:type="xsd:long"&gt;46226&lt;/D&gt;&lt;/FQL&gt;&lt;FQL&gt;&lt;Q&gt;WY^CS_EVENT_TIME_N("ER",2)&lt;/Q&gt;&lt;R&gt;1&lt;/R&gt;&lt;C&gt;1&lt;/C&gt;&lt;D xsi:type="xsd:string"&gt;Unspecified&lt;/D&gt;&lt;/FQL&gt;&lt;FQL&gt;&lt;Q&gt;WY^CS_EVENT_DESC_N("ER",2)&lt;/Q&gt;&lt;R&gt;1&lt;/R&gt;&lt;C&gt;1&lt;/C&gt;&lt;D xsi:type="xsd:string"&gt;Q2 2026 Earnings Release (Projected)&lt;/D&gt;&lt;/FQL&gt;&lt;FQL&gt;&lt;Q&gt;PWR^CS_EVENT_DATEJ_N("ER",2)&lt;/Q&gt;&lt;R&gt;1&lt;/R&gt;&lt;C&gt;1&lt;/C&gt;&lt;D xsi:type="xsd:long"&gt;46233&lt;/D&gt;&lt;/FQL&gt;&lt;FQL&gt;&lt;Q&gt;PWR^CS_EVENT_TIME_N("ER",2)&lt;/Q&gt;&lt;R&gt;1&lt;/R&gt;&lt;C&gt;1&lt;/C&gt;&lt;D xsi:type="xsd:string"&gt;Unspecified&lt;/D&gt;&lt;/FQL&gt;&lt;FQL&gt;&lt;Q&gt;PWR^CS_EVENT_DESC_N("ER",2)&lt;/Q&gt;&lt;R&gt;1&lt;/R&gt;&lt;C&gt;1&lt;/C&gt;&lt;D xsi:type="xsd:string"&gt;Q2 2026 Earnings Release (Projected)&lt;/D&gt;&lt;/FQL&gt;&lt;FQL&gt;&lt;Q&gt;CTRA^CS_EVENT_DATEJ_N("ER",2)&lt;/Q&gt;&lt;R&gt;1&lt;/R&gt;&lt;C&gt;1&lt;/C&gt;&lt;D xsi:type="xsd:long"&gt;46239&lt;/D&gt;&lt;/FQL&gt;&lt;FQL&gt;&lt;Q&gt;CTRA^CS_EVENT_TIME_N("ER",2)&lt;/Q&gt;&lt;R&gt;1&lt;/R&gt;&lt;C&gt;1&lt;/C&gt;&lt;D xsi:type="xsd:string"&gt;Unspecified&lt;/D&gt;&lt;/FQL&gt;&lt;FQL&gt;&lt;Q&gt;CTRA^CS_EVENT_DESC_N("ER",2)&lt;/Q&gt;&lt;R&gt;1&lt;/R&gt;&lt;C&gt;1&lt;/C&gt;&lt;D xsi:type="xsd:string"&gt;Q2 2026 Earnings Release (Projected)&lt;/D&gt;&lt;/FQL&gt;&lt;FQL&gt;&lt;Q&gt;GNRC^CS_EVENT_TIME_N("E",1)&lt;/Q&gt;&lt;R&gt;0&lt;/R&gt;&lt;C&gt;0&lt;/C&gt;&lt;/FQL&gt;&lt;FQL&gt;&lt;Q&gt;ISRG^CS_EVENT_DATEJ_N("E",1)&lt;/Q&gt;&lt;R&gt;0&lt;/R&gt;&lt;C&gt;0&lt;/C&gt;&lt;/FQL&gt;&lt;FQL&gt;&lt;Q&gt;NTRS^CS_EVENT_DATEJ_N("E",1)&lt;/Q&gt;&lt;R&gt;1&lt;/R&gt;&lt;C&gt;1&lt;/C&gt;&lt;D xsi:type="xsd:long"&gt;46133&lt;/D&gt;&lt;/FQL&gt;&lt;FQL&gt;&lt;Q&gt;UAL^CS_EVENT_DATEJ_N("E",1)&lt;/Q&gt;&lt;R&gt;0&lt;/R&gt;&lt;C&gt;0&lt;/C&gt;&lt;/FQL&gt;&lt;FQL&gt;&lt;Q&gt;FITB^CS_EVENT_DATEJ_N("E",1)&lt;/Q&gt;&lt;R&gt;1&lt;/R&gt;&lt;C&gt;1&lt;/C&gt;&lt;D xsi:type="xsd:long"&gt;46129&lt;/D&gt;&lt;/FQL&gt;&lt;FQL&gt;&lt;Q&gt;TFC^CS_EVENT_DATEJ_N("E",1)&lt;/Q&gt;&lt;R&gt;1&lt;/R&gt;&lt;C&gt;1&lt;/C&gt;&lt;D xsi:type="xsd:long"&gt;46129&lt;/D&gt;&lt;/FQL&gt;&lt;FQL&gt;&lt;Q&gt;STT^CS_EVENT_DATEJ_N("E",1)&lt;/Q&gt;&lt;R&gt;1&lt;/R&gt;&lt;C&gt;1&lt;/C&gt;&lt;D xsi:type="xsd:long"&gt;46129&lt;/D&gt;&lt;/FQL&gt;&lt;FQL&gt;&lt;Q&gt;RF^CS_EVENT_DATEJ_N("E",1)&lt;/Q&gt;&lt;R&gt;1&lt;/R&gt;&lt;C&gt;1&lt;/C&gt;&lt;D xsi:type="xsd:long"&gt;46129&lt;/D&gt;&lt;/FQL&gt;&lt;FQL&gt;&lt;Q&gt;PANW^CS_EVENT_DESC_N("E",1)&lt;/Q&gt;&lt;R&gt;0&lt;/R&gt;&lt;C&gt;0&lt;/C&gt;&lt;/FQL&gt;&lt;FQL&gt;&lt;Q&gt;ADI^CS_EVENT_DESC_N("E",1)&lt;/Q&gt;&lt;R&gt;0&lt;/R&gt;&lt;C&gt;0&lt;/C&gt;&lt;/FQL&gt;&lt;FQL&gt;&lt;Q&gt;WSM^CS_EVENT_DESC_N("E",1)&lt;/Q&gt;&lt;R&gt;0&lt;/R&gt;&lt;C&gt;0&lt;/C&gt;&lt;/FQL&gt;&lt;FQL&gt;&lt;Q&gt;BBY^CS_EVENT_DESC_N("E",1)&lt;/Q&gt;&lt;R&gt;0&lt;/R&gt;&lt;C&gt;0&lt;/C&gt;&lt;/FQL&gt;&lt;FQL&gt;&lt;Q&gt;LOW^CS_EVENT_DESC_N("E",1)&lt;/Q&gt;&lt;R&gt;0&lt;/R&gt;&lt;C&gt;0&lt;/C&gt;&lt;/FQL&gt;&lt;FQL&gt;&lt;Q&gt;OMC^CS_EVENT_DESC_N("E",1)&lt;/Q&gt;&lt;R&gt;0&lt;/R&gt;&lt;C&gt;0&lt;/C&gt;&lt;/FQL&gt;&lt;FQL&gt;&lt;Q&gt;ISRG^CS_EVENT_DESC_N("E",1)&lt;/Q&gt;&lt;R&gt;0&lt;/R&gt;&lt;C&gt;0&lt;/C&gt;&lt;/FQL&gt;&lt;FQL&gt;&lt;Q&gt;NTRS^CS_EVENT_DESC_N("E",1)&lt;/Q&gt;&lt;R&gt;1&lt;/R&gt;&lt;C&gt;1&lt;/C&gt;&lt;D xsi:type="xsd:string"&gt;Q1 2026 Earnings Call&lt;/D&gt;&lt;/FQL&gt;&lt;FQL&gt;&lt;Q&gt;Q^CS_EVENT_DATEJ_N("ER",2)&lt;/Q&gt;&lt;R&gt;0&lt;/R&gt;&lt;C&gt;0&lt;/C&gt;&lt;/FQL&gt;&lt;FQL&gt;&lt;Q&gt;Q^CS_EVENT_TIME_N("ER",2)&lt;/Q&gt;&lt;R&gt;0&lt;/R&gt;&lt;C&gt;0&lt;/C&gt;&lt;/FQL&gt;&lt;FQL&gt;&lt;Q&gt;Q^CS_EVENT_DESC_N("ER",2)&lt;/Q&gt;&lt;R&gt;0&lt;/R&gt;&lt;C&gt;0&lt;/C&gt;&lt;/FQL&gt;&lt;FQL&gt;&lt;Q&gt;CAG^CS_EVENT_DATEJ_N("ER",2)&lt;/Q&gt;&lt;R&gt;1&lt;/R&gt;&lt;C&gt;1&lt;/C&gt;&lt;D xsi:type="xsd:long"&gt;46212&lt;/D&gt;&lt;/FQL&gt;&lt;FQL&gt;&lt;Q&gt;CAG^CS_EVENT_TIME_N("ER",2)&lt;/Q&gt;&lt;R&gt;1&lt;/R&gt;&lt;C&gt;1&lt;/C&gt;&lt;D xsi:type="xsd:string"&gt;Unspecified&lt;/D&gt;&lt;/FQL&gt;&lt;FQL&gt;&lt;Q&gt;CAG^CS_EVENT_DESC_N("ER",2)&lt;/Q&gt;&lt;R&gt;1&lt;/R&gt;&lt;C&gt;1&lt;/C&gt;&lt;D xsi:type="xsd:string"&gt;Q4 2026 Earnings Release (Projected)&lt;/D&gt;&lt;/FQL&gt;&lt;FQL&gt;&lt;Q&gt;STZ^CS_EVENT_DATEJ_N("ER",2)&lt;/Q&gt;&lt;R&gt;1&lt;/R&gt;&lt;C&gt;1&lt;/C&gt;&lt;D xsi:type="xsd:long"&gt;46211&lt;/D&gt;&lt;/FQL&gt;&lt;FQL&gt;&lt;Q&gt;STZ^CS_EVENT_TIME_N("ER",2)&lt;/Q&gt;&lt;R&gt;1&lt;/R&gt;&lt;C&gt;1&lt;/C&gt;&lt;D xsi:type="xsd:string"&gt;Unspecified&lt;/D&gt;&lt;/FQL&gt;&lt;FQL&gt;&lt;Q&gt;STZ^CS_EVENT_DESC_N("ER",2)&lt;/Q&gt;&lt;R&gt;1&lt;/R&gt;&lt;C&gt;1&lt;/C&gt;&lt;D xsi:type="xsd:string"&gt;Q1 2027 Earnings Release (Projected)&lt;/D&gt;&lt;/FQL&gt;&lt;FQL&gt;&lt;Q&gt;DAL^CS_EVENT_DATEJ_N("ER",2)&lt;/Q&gt;&lt;R&gt;1&lt;/R&gt;&lt;C&gt;1&lt;/C&gt;&lt;D xsi:type="xsd:long"&gt;46212&lt;/D&gt;&lt;/FQL&gt;&lt;FQL&gt;&lt;Q&gt;DAL^CS_EVENT_TIME_N("ER",2)&lt;/Q&gt;&lt;R&gt;1&lt;/R&gt;&lt;C&gt;1&lt;/C&gt;&lt;D xsi:type="xsd:string"&gt;Unspecified&lt;/D&gt;&lt;/FQL&gt;&lt;FQL&gt;&lt;Q&gt;DAL^CS_EVENT_DESC_N("ER",2)&lt;/Q&gt;&lt;R&gt;1&lt;/R&gt;&lt;C&gt;1&lt;/C&gt;&lt;D xsi:type="xsd:string"&gt;Q2 2026 Earnings Release (Projected)&lt;/D&gt;&lt;/FQL&gt;&lt;FQL&gt;&lt;Q&gt;PGR^CS_EVENT_DATEJ_N("ER",2)&lt;/Q&gt;&lt;R&gt;1&lt;/R&gt;&lt;C&gt;1&lt;/C&gt;&lt;D xsi:type="xsd:long"&gt;46212&lt;/D&gt;&lt;/FQL&gt;&lt;FQL&gt;&lt;Q&gt;PGR^CS_EVENT_TIME_N("ER",2)&lt;/Q&gt;&lt;R&gt;1&lt;/R&gt;&lt;C&gt;1&lt;/C&gt;&lt;D xsi:type="xsd:string"&gt;Unspecified&lt;/D&gt;&lt;/FQL&gt;&lt;FQL&gt;&lt;Q&gt;PGR^CS_EVENT_DESC_N("ER",2)&lt;/Q&gt;&lt;R&gt;1&lt;/R&gt;&lt;C&gt;1&lt;/C&gt;&lt;D xsi:type="xsd:string"&gt;Q2 2026 Earnings Release (Projected)&lt;/D&gt;&lt;/FQL&gt;&lt;FQL&gt;&lt;Q&gt;FAST^CS_EVENT_DATEJ_N("ER",2)&lt;/Q&gt;&lt;R&gt;1&lt;/R&gt;&lt;C&gt;1&lt;/C&gt;&lt;D xsi:type="xsd:long"&gt;46216&lt;/D&gt;&lt;/FQL&gt;&lt;FQL&gt;&lt;Q&gt;FAST^CS_EVENT_TIME_N("ER",2)&lt;/Q&gt;&lt;R&gt;1&lt;/R&gt;&lt;C&gt;1&lt;/C&gt;&lt;D xsi:type="xsd:string"&gt;7:00 AM&lt;/D&gt;&lt;/FQL&gt;&lt;FQL&gt;&lt;Q&gt;FAST^CS_EVENT_DESC_N("ER",2)&lt;/Q&gt;&lt;R&gt;1&lt;/R&gt;&lt;C&gt;1&lt;/C&gt;&lt;D xsi:type="xsd:string"&gt;Q2 2026 Earnings Release&lt;/D&gt;&lt;/FQL&gt;&lt;FQL&gt;&lt;Q&gt;GS^CS_EVENT_DATEJ_N("ER",2)&lt;/Q&gt;&lt;R&gt;1&lt;/R&gt;&lt;C&gt;1&lt;/C&gt;</t>
        </r>
      </text>
    </comment>
    <comment ref="A17" authorId="0" shapeId="0" xr:uid="{1DCC61CA-1243-4792-BBD4-8C86F9B52660}">
      <text>
        <r>
          <rPr>
            <b/>
            <sz val="9"/>
            <color indexed="81"/>
            <rFont val="Tahoma"/>
            <family val="2"/>
          </rPr>
          <t>&lt;D xsi:type="xsd:long"&gt;46217&lt;/D&gt;&lt;/FQL&gt;&lt;FQL&gt;&lt;Q&gt;GS^CS_EVENT_TIME_N("ER",2)&lt;/Q&gt;&lt;R&gt;1&lt;/R&gt;&lt;C&gt;1&lt;/C&gt;&lt;D xsi:type="xsd:string"&gt;7:30 AM&lt;/D&gt;&lt;/FQL&gt;&lt;FQL&gt;&lt;Q&gt;GS^CS_EVENT_DESC_N("ER",2)&lt;/Q&gt;&lt;R&gt;1&lt;/R&gt;&lt;C&gt;1&lt;/C&gt;&lt;D xsi:type="xsd:string"&gt;Q2 2026 Earnings Release&lt;/D&gt;&lt;/FQL&gt;&lt;FQL&gt;&lt;Q&gt;JPM^CS_EVENT_DATEJ_N("ER",2)&lt;/Q&gt;&lt;R&gt;1&lt;/R&gt;&lt;C&gt;1&lt;/C&gt;&lt;D xsi:type="xsd:long"&gt;46217&lt;/D&gt;&lt;/FQL&gt;&lt;FQL&gt;&lt;Q&gt;JPM^CS_EVENT_TIME_N("ER",2)&lt;/Q&gt;&lt;R&gt;1&lt;/R&gt;&lt;C&gt;1&lt;/C&gt;&lt;D xsi:type="xsd:string"&gt;6:45 AM&lt;/D&gt;&lt;/FQL&gt;&lt;FQL&gt;&lt;Q&gt;JPM^CS_EVENT_DESC_N("ER",2)&lt;/Q&gt;&lt;R&gt;1&lt;/R&gt;&lt;C&gt;1&lt;/C&gt;&lt;D xsi:type="xsd:string"&gt;Q2 2026 Earnings Release&lt;/D&gt;&lt;/FQL&gt;&lt;FQL&gt;&lt;Q&gt;WFC^CS_EVENT_DATEJ_N("ER",2)&lt;/Q&gt;&lt;R&gt;1&lt;/R&gt;&lt;C&gt;1&lt;/C&gt;&lt;D xsi:type="xsd:long"&gt;46217&lt;/D&gt;&lt;/FQL&gt;&lt;FQL&gt;&lt;Q&gt;WFC^CS_EVENT_TIME_N("ER",2)&lt;/Q&gt;&lt;R&gt;1&lt;/R&gt;&lt;C&gt;1&lt;/C&gt;&lt;D xsi:type="xsd:string"&gt;7:00 AM&lt;/D&gt;&lt;/FQL&gt;&lt;FQL&gt;&lt;Q&gt;WFC^CS_EVENT_DESC_N("ER",2)&lt;/Q&gt;&lt;R&gt;1&lt;/R&gt;&lt;C&gt;1&lt;/C&gt;&lt;D xsi:type="xsd:string"&gt;Q2 2026 Earnings Release&lt;/D&gt;&lt;/FQL&gt;&lt;FQL&gt;&lt;Q&gt;JNJ^CS_EVENT_DATEJ_N("ER",2)&lt;/Q&gt;&lt;R&gt;1&lt;/R&gt;&lt;C&gt;1&lt;/C&gt;&lt;D xsi:type="xsd:long"&gt;46225&lt;/D&gt;&lt;/FQL&gt;&lt;FQL&gt;&lt;Q&gt;JNJ^CS_EVENT_TIME_N("ER",2)&lt;/Q&gt;&lt;R&gt;1&lt;/R&gt;&lt;C&gt;1&lt;/C&gt;&lt;D xsi:type="xsd:string"&gt;Unspecified&lt;/D&gt;&lt;/FQL&gt;&lt;FQL&gt;&lt;Q&gt;JNJ^CS_EVENT_DESC_N("ER",2)&lt;/Q&gt;&lt;R&gt;1&lt;/R&gt;&lt;C&gt;1&lt;/C&gt;&lt;D xsi:type="xsd:string"&gt;Q2 2026 Earnings Release (Projected)&lt;/D&gt;&lt;/FQL&gt;&lt;FQL&gt;&lt;Q&gt;BLK^CS_EVENT_DATEJ_N("ER",2)&lt;/Q&gt;&lt;R&gt;1&lt;/R&gt;&lt;C&gt;1&lt;/C&gt;&lt;D xsi:type="xsd:long"&gt;46224&lt;/D&gt;&lt;/FQL&gt;&lt;FQL&gt;&lt;Q&gt;BLK^CS_EVENT_TIME_N("ER",2)&lt;/Q&gt;&lt;R&gt;1&lt;/R&gt;&lt;C&gt;1&lt;/C&gt;&lt;D xsi:type="xsd:string"&gt;Unspecified&lt;/D&gt;&lt;/FQL&gt;&lt;FQL&gt;&lt;Q&gt;BLK^CS_EVENT_DESC_N("ER",2)&lt;/Q&gt;&lt;R&gt;1&lt;/R&gt;&lt;C&gt;1&lt;/C&gt;&lt;D xsi:type="xsd:string"&gt;Q2 2026 Earnings Release (Projected)&lt;/D&gt;&lt;/FQL&gt;&lt;FQL&gt;&lt;Q&gt;C^CS_EVENT_DATEJ_N("ER",2)&lt;/Q&gt;&lt;R&gt;1&lt;/R&gt;&lt;C&gt;1&lt;/C&gt;&lt;D xsi:type="xsd:long"&gt;46217&lt;/D&gt;&lt;/FQL&gt;&lt;FQL&gt;&lt;Q&gt;C^CS_EVENT_TIME_N("ER",2)&lt;/Q&gt;&lt;R&gt;1&lt;/R&gt;&lt;C&gt;1&lt;/C&gt;&lt;D xsi:type="xsd:string"&gt;8:00 AM&lt;/D&gt;&lt;/FQL&gt;&lt;FQL&gt;&lt;Q&gt;C^CS_EVENT_DESC_N("ER",2)&lt;/Q&gt;&lt;R&gt;1&lt;/R&gt;&lt;C&gt;1&lt;/C&gt;&lt;D xsi:type="xsd:string"&gt;Q2 2026 Earnings Release&lt;/D&gt;&lt;/FQL&gt;&lt;FQL&gt;&lt;Q&gt;BAC^CS_EVENT_DATEJ_N("ER",2)&lt;/Q&gt;&lt;R&gt;1&lt;/R&gt;&lt;C&gt;1&lt;/C&gt;&lt;D xsi:type="xsd:long"&gt;46217&lt;/D&gt;&lt;/FQL&gt;&lt;FQL&gt;&lt;Q&gt;BAC^CS_EVENT_TIME_N("ER",2)&lt;/Q&gt;&lt;R&gt;1&lt;/R&gt;&lt;C&gt;1&lt;/C&gt;&lt;D xsi:type="xsd:string"&gt;6:45 AM&lt;/D&gt;&lt;/FQL&gt;&lt;FQL&gt;&lt;Q&gt;BAC^CS_EVENT_DESC_N("ER",2)&lt;/Q&gt;&lt;R&gt;1&lt;/R&gt;&lt;C&gt;1&lt;/C&gt;&lt;D xsi:type="xsd:string"&gt;Q2 2026 Earnings Release&lt;/D&gt;&lt;/FQL&gt;&lt;FQL&gt;&lt;Q&gt;MS^CS_EVENT_DATEJ_N("ER",2)&lt;/Q&gt;&lt;R&gt;1&lt;/R&gt;&lt;C&gt;1&lt;/C&gt;&lt;D xsi:type="xsd:long"&gt;46218&lt;/D&gt;&lt;/FQL&gt;&lt;FQL&gt;&lt;Q&gt;MS^CS_EVENT_TIME_N("ER",2)&lt;/Q&gt;&lt;R&gt;1&lt;/R&gt;&lt;C&gt;1&lt;/C&gt;&lt;D xsi:type="xsd:string"&gt;7:30 AM&lt;/D&gt;&lt;/FQL&gt;&lt;FQL&gt;&lt;Q&gt;MS^CS_EVENT_DESC_N("ER",2)&lt;/Q&gt;&lt;R&gt;1&lt;/R&gt;&lt;C&gt;1&lt;/C&gt;&lt;D xsi:type="xsd:string"&gt;Q2 2026 Earnings Release&lt;/D&gt;&lt;/FQL&gt;&lt;FQL&gt;&lt;Q&gt;MTB^CS_EVENT_DATEJ_N("ER",2)&lt;/Q&gt;&lt;R&gt;1&lt;/R&gt;&lt;C&gt;1&lt;/C&gt;&lt;D xsi:type="xsd:long"&gt;46218&lt;/D&gt;&lt;/FQL&gt;&lt;FQL&gt;&lt;Q&gt;MTB^CS_EVENT_TIME_N("ER",2)&lt;/Q&gt;&lt;R&gt;1&lt;/R&gt;&lt;C&gt;1&lt;/C&gt;&lt;D xsi:type="xsd:string"&gt;Before Market&lt;/D&gt;&lt;/FQL&gt;&lt;FQL&gt;&lt;Q&gt;MTB^CS_EVENT_DESC_N("ER",2)&lt;/Q&gt;&lt;R&gt;1&lt;/R&gt;&lt;C&gt;1&lt;/C&gt;&lt;D xsi:type="xsd:string"&gt;Q2 2026 Earnings Release&lt;/D&gt;&lt;/FQL&gt;&lt;FQL&gt;&lt;Q&gt;PNC^CS_EVENT_DATEJ_N("ER",2)&lt;/Q&gt;&lt;R&gt;1&lt;/R&gt;&lt;C&gt;1&lt;/C&gt;&lt;D xsi:type="xsd:long"&gt;46218&lt;/D&gt;&lt;/FQL&gt;&lt;FQL&gt;&lt;Q&gt;PNC^CS_EVENT_TIME_N("ER",2)&lt;/Q&gt;&lt;R&gt;1&lt;/R&gt;&lt;C&gt;1&lt;/C&gt;&lt;D xsi:type="xsd:string"&gt;Before Market&lt;/D&gt;&lt;/FQL&gt;&lt;FQL&gt;&lt;Q&gt;PNC^CS_EVENT_DESC_N("ER",2)&lt;/Q&gt;&lt;R&gt;1&lt;/R&gt;&lt;C&gt;1&lt;/C&gt;&lt;D xsi:type="xsd:string"&gt;Q2 2026 Earnings Release&lt;/D&gt;&lt;/FQL&gt;&lt;FQL&gt;&lt;Q&gt;KEY^CS_EVENT_DATEJ_N("ER",2)&lt;/Q&gt;&lt;R&gt;1&lt;/R&gt;&lt;C&gt;1&lt;/C&gt;&lt;D xsi:type="xsd:long"&gt;46224&lt;/D&gt;&lt;/FQL&gt;&lt;FQL&gt;&lt;Q&gt;KEY^CS_EVENT_TIME_N("ER",2)&lt;/Q&gt;&lt;R&gt;1&lt;/R&gt;&lt;C&gt;1&lt;/C&gt;&lt;D xsi:type="xsd:string"&gt;6:30 AM&lt;/D&gt;&lt;/FQL&gt;&lt;FQL&gt;&lt;Q&gt;KEY^CS_EVENT_DESC_N("ER",2)&lt;/Q&gt;&lt;R&gt;1&lt;/R&gt;&lt;C&gt;1&lt;/C&gt;&lt;D xsi:type="xsd:string"&gt;Q2 2026 Earnings Release&lt;/D&gt;&lt;/FQL&gt;&lt;FQL&gt;&lt;Q&gt;FCX^CS_EVENT_DATEJ_N("ER",2)&lt;/Q&gt;&lt;R&gt;1&lt;/R&gt;&lt;C&gt;1&lt;/C&gt;&lt;D xsi:type="xsd:long"&gt;46219&lt;/D&gt;&lt;/FQL&gt;&lt;FQL&gt;&lt;Q&gt;FCX^CS_EVENT_TIME_N("ER",2)&lt;/Q&gt;&lt;R&gt;1&lt;/R&gt;&lt;C&gt;1&lt;/C&gt;&lt;D xsi:type="xsd:string"&gt;Unspecified&lt;/D&gt;&lt;/FQL&gt;&lt;FQL&gt;&lt;Q&gt;FCX^CS_EVENT_DESC_N("ER",2)&lt;/Q&gt;&lt;R&gt;1&lt;/R&gt;&lt;C&gt;1&lt;/C&gt;&lt;D xsi:type="xsd:string"&gt;Q2 2026 Earnings Release (Projected)&lt;/D&gt;&lt;/FQL&gt;&lt;FQL&gt;&lt;Q&gt;USB^CS_EVENT_DATEJ_N("ER",2)&lt;/Q&gt;&lt;R&gt;1&lt;/R&gt;&lt;C&gt;1&lt;/C&gt;&lt;D xsi:type="xsd:long"&gt;46219&lt;/D&gt;&lt;/FQL&gt;&lt;FQL&gt;&lt;Q&gt;USB^CS_EVENT_TIME_N("ER",2)&lt;/Q&gt;&lt;R&gt;1&lt;/R&gt;&lt;C&gt;1&lt;/C&gt;&lt;D xsi:type="xsd:string"&gt;6:45 AM&lt;/D&gt;&lt;/FQL&gt;&lt;FQL&gt;&lt;Q&gt;USB^CS_EVENT_DESC_N("ER",2)&lt;/Q&gt;&lt;R&gt;1&lt;/R&gt;&lt;C&gt;1&lt;/C&gt;&lt;D xsi:type="xsd:string"&gt;Q2 2026 Earnings Release&lt;/D&gt;&lt;/FQL&gt;&lt;FQL&gt;&lt;Q&gt;POOL^CS_EVENT_DATEJ_N("ER",2)&lt;/Q&gt;&lt;R&gt;1&lt;/R&gt;&lt;C&gt;1&lt;/C&gt;&lt;D xsi:type="xsd:long"&gt;46219&lt;/D&gt;&lt;/FQL&gt;&lt;FQL&gt;&lt;Q&gt;POOL^CS_EVENT_TIME_N("ER",2)&lt;/Q&gt;&lt;R&gt;1&lt;/R&gt;&lt;C&gt;1&lt;/C&gt;&lt;D xsi:type="xsd:string"&gt;Unspecified&lt;/D&gt;&lt;/FQL&gt;&lt;FQL&gt;&lt;Q&gt;POOL^CS_EVENT_DESC_N("ER",2)&lt;/Q&gt;&lt;R&gt;1&lt;/R&gt;&lt;C&gt;1&lt;/C&gt;&lt;D xsi:type="xsd:string"&gt;Q2 2026 Earnings Release (Projected)&lt;/D&gt;&lt;/FQL&gt;&lt;FQL&gt;&lt;Q&gt;SNA^CS_EVENT_DATEJ_N("ER",2)&lt;/Q&gt;&lt;R&gt;1&lt;/R&gt;&lt;C&gt;1&lt;/C&gt;&lt;D xsi:type="xsd:long"&gt;46219&lt;/D&gt;&lt;/FQL&gt;&lt;FQL&gt;&lt;Q&gt;SNA^CS_EVENT_TIME_N("ER",2)&lt;/Q&gt;&lt;R&gt;1&lt;/R&gt;&lt;C&gt;1&lt;/C&gt;&lt;D xsi:type="xsd:string"&gt;Unspecified&lt;/D&gt;&lt;/FQL&gt;&lt;FQL&gt;&lt;Q&gt;SNA^CS_EVENT_DESC_N("ER",2)&lt;/Q&gt;&lt;R&gt;1&lt;/R&gt;&lt;C&gt;1&lt;/C&gt;&lt;D xsi:type="xsd:string"&gt;Q2 2026 Earnings Release (Projected)&lt;/D&gt;&lt;/FQL&gt;&lt;FQL&gt;&lt;Q&gt;MRSH^CS_EVENT_DATEJ_N("ER",2)&lt;/Q&gt;&lt;R&gt;1&lt;/R&gt;&lt;C&gt;1&lt;/C&gt;&lt;D xsi:type="xsd:long"&gt;46219&lt;/D&gt;&lt;/FQL&gt;&lt;FQL&gt;&lt;Q&gt;MRSH^CS_EVENT_TIME_N("ER",2)&lt;/Q&gt;&lt;R&gt;1&lt;/R&gt;&lt;C&gt;1&lt;/C&gt;&lt;D xsi:type="xsd:string"&gt;Unspecified&lt;/D&gt;&lt;/FQL&gt;&lt;FQL&gt;&lt;Q&gt;MRSH^CS_EVENT_DESC_N("ER",2)&lt;/Q&gt;&lt;R&gt;1&lt;/R&gt;&lt;C&gt;1&lt;/C&gt;&lt;D xsi:type="xsd:string"&gt;Q2 2026 Earnings Release (Projected)&lt;/D&gt;&lt;/FQL&gt;&lt;FQL&gt;&lt;Q&gt;NFLX^CS_EVENT_DATEJ_N("ER",2)&lt;/Q&gt;&lt;R&gt;1&lt;/R&gt;&lt;C&gt;1&lt;/C&gt;&lt;D xsi:type="xsd:long"&gt;46219&lt;/D&gt;&lt;/FQL&gt;&lt;FQL&gt;&lt;Q&gt;NFLX^CS_EVENT_TIME_N("ER",2)&lt;/Q&gt;&lt;R&gt;1&lt;/R&gt;&lt;C&gt;1&lt;/C&gt;&lt;D xsi:type="xsd:string"&gt;Unspecified&lt;/D&gt;&lt;/FQL&gt;&lt;FQL&gt;&lt;Q&gt;NFLX^CS_EVENT_DESC_N("ER",2)&lt;/Q&gt;&lt;R&gt;1&lt;/R&gt;&lt;C&gt;1&lt;/C&gt;&lt;D xsi:type="xsd:string"&gt;Q2 2026 Earnings Release (Projected)&lt;/D&gt;&lt;/FQL&gt;&lt;FQL&gt;&lt;Q&gt;PLD^CS_EVENT_DATEJ_N("ER",2)&lt;/Q&gt;&lt;R&gt;1&lt;/R&gt;&lt;C&gt;1&lt;/C&gt;&lt;D xsi:type="xsd:long"&gt;46223&lt;/D&gt;&lt;/FQL&gt;&lt;FQL&gt;&lt;Q&gt;PLD^CS_EVENT_TIME_N("ER",2)&lt;/Q&gt;&lt;R&gt;1&lt;/R&gt;&lt;C&gt;1&lt;/C&gt;&lt;D xsi:type="xsd:string"&gt;Unspecified&lt;/D&gt;&lt;/FQL&gt;&lt;FQL&gt;&lt;Q&gt;PLD^CS_EVENT_DESC_N("ER",2)&lt;/Q&gt;&lt;R&gt;1&lt;/R&gt;&lt;C&gt;1&lt;/C&gt;&lt;D xsi:type="xsd:string"&gt;Q2 2026 Earnings Release (Projected)&lt;/D&gt;&lt;/FQL&gt;&lt;FQL&gt;&lt;Q&gt;ABT^CS_EVENT_DATEJ_N("ER",2)&lt;/Q&gt;&lt;R&gt;1&lt;/R&gt;&lt;C&gt;1&lt;/C&gt;&lt;D xsi:type="xsd:long"&gt;46219&lt;/D&gt;&lt;/FQL&gt;&lt;FQL&gt;&lt;Q&gt;ABT^CS_EVENT_TIME_N("ER",2)&lt;/Q&gt;&lt;R&gt;1&lt;/R&gt;&lt;C&gt;1&lt;/C&gt;&lt;D xsi:type="xsd:string"&gt;Unspecified&lt;/D&gt;&lt;/FQL&gt;&lt;FQL&gt;&lt;Q&gt;ABT^CS_EVENT_DESC_N("ER",2)&lt;/Q&gt;&lt;R&gt;1&lt;/R&gt;&lt;C&gt;1&lt;/C&gt;&lt;D xsi:type="xsd:string"&gt;Q2 2026 Earnings Release (Projected)&lt;/D&gt;&lt;/FQL&gt;&lt;FQL&gt;&lt;Q&gt;PPG^CS_EVENT_DATEJ_N("ER",2)&lt;/Q&gt;&lt;R&gt;1&lt;/R&gt;&lt;C&gt;1&lt;/C&gt;&lt;D xsi:type="xsd:long"&gt;46219&lt;/D&gt;&lt;/FQL&gt;&lt;FQL&gt;&lt;Q&gt;PPG^CS_EVENT_TIME_N("ER",2)&lt;/Q&gt;&lt;R&gt;1&lt;/R&gt;&lt;C&gt;1&lt;/C&gt;&lt;D xsi:type="xsd:string"&gt;Unspecified&lt;/D&gt;&lt;/FQL&gt;&lt;FQL&gt;&lt;Q&gt;PPG^CS_EVENT_DESC_N("ER",2)&lt;/Q&gt;&lt;R&gt;1&lt;/R&gt;&lt;C&gt;1&lt;/C&gt;&lt;D xsi:type="xsd:string"&gt;Q2 2026 Earnings Release (Projected)&lt;/D&gt;&lt;/FQL&gt;&lt;FQL&gt;&lt;Q&gt;BK^CS_EVENT_DATEJ_N("ER",2)&lt;/Q&gt;&lt;R&gt;1&lt;/R&gt;&lt;C&gt;1&lt;/C&gt;&lt;D xsi:type="xsd:long"&gt;46218&lt;/D&gt;&lt;/FQL&gt;&lt;FQL&gt;&lt;Q&gt;BK^CS_EVENT_TIME_N("ER",2)&lt;/Q&gt;&lt;R&gt;1&lt;/R&gt;&lt;C&gt;1&lt;/C&gt;&lt;D xsi:type="xsd:string"&gt;6:30 AM&lt;/D&gt;&lt;/FQL&gt;&lt;FQL&gt;&lt;Q&gt;BK^CS_EVENT_DESC_N("ER",2)&lt;/Q&gt;&lt;R&gt;1&lt;/R&gt;&lt;C&gt;1&lt;/C&gt;&lt;D xsi:type="xsd:string"&gt;Q2 2026 Earnings Release&lt;/D&gt;&lt;/FQL&gt;&lt;FQL&gt;&lt;Q&gt;TRV^CS_EVENT_DATEJ_N("ER",2)&lt;/Q&gt;&lt;R&gt;1&lt;/R&gt;&lt;C&gt;1&lt;/C&gt;&lt;D xsi:type="xsd:long"&gt;46219&lt;/D&gt;&lt;/FQL&gt;&lt;FQL&gt;&lt;Q&gt;TRV^CS_EVENT_TIME_N("ER",2)&lt;/Q&gt;&lt;R&gt;1&lt;/R&gt;&lt;C&gt;1&lt;/C&gt;&lt;D xsi:type="xsd:string"&gt;Unspecified&lt;/D&gt;&lt;/FQL&gt;&lt;FQL&gt;&lt;Q&gt;TRV^CS_EVENT_DESC_N("ER",2)&lt;/Q&gt;&lt;R&gt;1&lt;/R&gt;&lt;C&gt;1&lt;/C&gt;&lt;D xsi:type="xsd:string"&gt;Q2 2026 Earnings Release (Projected)&lt;/D&gt;&lt;/FQL&gt;&lt;FQL&gt;&lt;Q&gt;BX^CS_EVENT_DATEJ_N("ER",2)&lt;/Q&gt;&lt;R&gt;1&lt;/R&gt;&lt;C&gt;1&lt;/C&gt;&lt;D xsi:type="xsd:long"&gt;46219&lt;/D&gt;&lt;/FQL&gt;&lt;FQL&gt;&lt;Q&gt;BX^CS_EVENT_TIME_N("ER",2)&lt;/Q&gt;&lt;R&gt;1&lt;/R&gt;&lt;C&gt;1&lt;/C&gt;&lt;D xsi:type="xsd:string"&gt;Unspecified&lt;/D&gt;&lt;/FQL&gt;&lt;FQL&gt;&lt;Q&gt;BX^CS_EVENT_DESC_N("ER",2)&lt;/Q&gt;&lt;R&gt;1&lt;/R&gt;&lt;C&gt;1&lt;/C&gt;&lt;D xsi:type="xsd:string"&gt;Q2 2026 Earnings Release (Projected)&lt;/D&gt;&lt;/FQL&gt;&lt;FQL&gt;&lt;Q&gt;CFG^CS_EVENT_DATEJ_N("ER",2)&lt;/Q&gt;&lt;R&gt;1&lt;/R&gt;&lt;C&gt;1&lt;/C&gt;&lt;D xsi:type="xsd:long"&gt;46219&lt;/D&gt;&lt;/FQL&gt;&lt;FQL&gt;&lt;Q&gt;CFG^CS_EVENT_TIME_N("ER",2)&lt;/Q&gt;&lt;R&gt;1&lt;/R&gt;&lt;C&gt;1&lt;/C&gt;&lt;D xsi:type="xsd:string"&gt;6:20 AM&lt;/D&gt;&lt;/FQL&gt;&lt;FQL&gt;&lt;Q&gt;CFG^CS_EVENT_DESC_N("ER",2)&lt;/Q&gt;&lt;R&gt;1&lt;/R&gt;&lt;C&gt;1&lt;/C&gt;&lt;D xsi:type="xsd:string"&gt;Q2 2026 Earnings Release&lt;/D&gt;&lt;/FQL&gt;&lt;FQL&gt;&lt;Q&gt;FITB^CS_EVENT_DATEJ_N("ER",2)&lt;/Q&gt;&lt;R&gt;1&lt;/R&gt;&lt;C&gt;1&lt;/C&gt;&lt;D xsi:type="xsd:long"&gt;46220&lt;/D&gt;&lt;/FQL&gt;&lt;FQL&gt;&lt;Q&gt;FITB^CS_EVENT_TIME_N("ER",2)&lt;/Q&gt;&lt;R&gt;1&lt;/R&gt;&lt;C&gt;1&lt;/C&gt;&lt;D xsi:type="xsd:string"&gt;6:30 AM&lt;/D&gt;&lt;/FQL&gt;&lt;FQL&gt;&lt;Q&gt;FITB^CS_EVENT_DESC_N("ER",2)&lt;/Q&gt;&lt;R&gt;1&lt;/R&gt;&lt;C&gt;1&lt;/C&gt;&lt;D xsi:type="xsd:string"&gt;Q2 2026 Earnings Release&lt;/D&gt;&lt;/FQL&gt;&lt;FQL&gt;&lt;Q&gt;TFC^CS_EVENT_DATEJ_N("ER",2)&lt;/Q&gt;&lt;R&gt;1&lt;/R&gt;&lt;C&gt;1&lt;/C&gt;&lt;D xsi:type="xsd:long"&gt;46219&lt;/D&gt;&lt;/FQL&gt;&lt;FQL&gt;&lt;Q&gt;TFC^CS_EVENT_TIME_N("ER",2)&lt;/Q&gt;&lt;R&gt;1&lt;/R&gt;&lt;C&gt;1&lt;/C&gt;&lt;D xsi:type="xsd:string"&gt;Before Market&lt;/D&gt;&lt;/FQL&gt;&lt;FQL&gt;&lt;Q&gt;TFC^CS_EVENT_DESC_N("ER",2)&lt;/Q&gt;&lt;R&gt;1&lt;/R&gt;&lt;C&gt;1&lt;/C&gt;&lt;D xsi:type="xsd:string"&gt;Q2 2027 Earnings Release&lt;/D&gt;&lt;/FQL&gt;&lt;FQL&gt;&lt;Q&gt;STT^CS_EVENT_DATEJ_N("ER",2)&lt;/Q&gt;&lt;R&gt;1&lt;/R&gt;&lt;C&gt;1&lt;/C&gt;&lt;D xsi:type="xsd:long"&gt;46213&lt;/D&gt;&lt;/FQL&gt;&lt;FQL&gt;&lt;Q&gt;STT^CS_EVENT_TIME_N("ER",2)&lt;/Q&gt;&lt;R&gt;1&lt;/R&gt;&lt;C&gt;1&lt;/C&gt;&lt;D xsi:type="xsd:string"&gt;Unspecified&lt;/D&gt;&lt;/FQL&gt;&lt;FQL&gt;&lt;Q&gt;STT^CS_EVENT_DESC_N("ER",2)&lt;/Q&gt;&lt;R&gt;1&lt;/R&gt;&lt;C&gt;1&lt;/C&gt;&lt;D xsi:type="xsd:string"&gt;Q2 2026 Earnings Release (Projected)&lt;/D&gt;&lt;/FQL&gt;&lt;FQL&gt;&lt;Q&gt;RF^CS_EVENT_DATEJ_N("ER",2)&lt;/Q&gt;&lt;R&gt;1&lt;/R&gt;&lt;C&gt;1&lt;/C&gt;&lt;D xsi:type="xsd:long"&gt;46220&lt;/D&gt;&lt;/FQL&gt;&lt;FQL&gt;&lt;Q&gt;RF^CS_EVENT_TIME_N("ER",2)&lt;/Q&gt;&lt;R&gt;1&lt;/R&gt;&lt;C&gt;1&lt;/C&gt;&lt;D xsi:type="xsd:string"&gt;6:00 AM&lt;/D&gt;&lt;/FQL&gt;&lt;FQL&gt;&lt;Q&gt;RF^CS_EVENT_DESC_N("ER",2)&lt;/Q&gt;&lt;R&gt;1&lt;/R&gt;&lt;C&gt;1&lt;/C&gt;&lt;D xsi:type="xsd:string"&gt;Q2 2026 Earnings Release&lt;/D&gt;&lt;/FQL&gt;&lt;FQL&gt;&lt;Q&gt;STLD^CS_EVENT_DATEJ_N("ER",2)&lt;/Q&gt;&lt;R&gt;1&lt;/R&gt;&lt;C&gt;1&lt;/C&gt;&lt;D xsi:type="xsd:long"&gt;46225&lt;/D&gt;&lt;/FQL&gt;&lt;FQL&gt;&lt;Q&gt;STLD^CS_EVENT_TIME_N("ER",2)&lt;/Q&gt;&lt;R&gt;1&lt;/R&gt;&lt;C&gt;1&lt;/C&gt;&lt;D xsi:type="xsd:string"&gt;Unspecified&lt;/D&gt;&lt;/FQL&gt;&lt;FQL&gt;&lt;Q&gt;STLD^CS_EVENT_DESC_N("ER",2)&lt;/Q&gt;&lt;R&gt;1&lt;/R&gt;&lt;C&gt;1&lt;/C&gt;&lt;D xsi:type="xsd:string"&gt;Q2 2026 Earnings Release (Projected)&lt;/D&gt;&lt;/FQL&gt;&lt;FQL&gt;&lt;Q&gt;SCHW^CS_EVENT_DATEJ_N("ER",2)&lt;/Q&gt;&lt;R&gt;1&lt;/R&gt;&lt;C&gt;1&lt;/C&gt;&lt;D xsi:type="xsd:long"&gt;46224&lt;/D&gt;&lt;/FQL&gt;&lt;FQL&gt;&lt;Q&gt;SCHW^CS_EVENT_TIME_N("ER",2)&lt;/Q&gt;&lt;R&gt;1&lt;/R&gt;&lt;C&gt;1&lt;/C&gt;&lt;D xsi:type="xsd:string"&gt;Unspecified&lt;/D&gt;&lt;/FQL&gt;&lt;FQL&gt;&lt;Q&gt;SCHW^CS_EVENT_DESC_N("ER",2)&lt;/Q&gt;&lt;R&gt;1&lt;/R&gt;&lt;C&gt;1&lt;/C&gt;&lt;D xsi:type="xsd:string"&gt;Q2 2026 Earnings Release (Projected)&lt;/D&gt;&lt;/FQL&gt;&lt;FQL&gt;&lt;Q&gt;JBHT^CS_EVENT_DATEJ_N("ER",2)&lt;/Q&gt;&lt;R&gt;1&lt;/R&gt;&lt;C&gt;1&lt;/C&gt;&lt;D xsi:type="xsd:long"&gt;46224&lt;/D&gt;&lt;/FQL&gt;&lt;FQL&gt;&lt;Q&gt;JBHT^CS_EVENT_TIME_N("ER",2)&lt;/Q&gt;&lt;R&gt;1&lt;/R&gt;&lt;C&gt;1&lt;/C&gt;&lt;D xsi:type="xsd:string"&gt;Unspecified&lt;/D&gt;&lt;/FQL&gt;&lt;FQL&gt;&lt;Q&gt;JBHT^CS_EVENT_DESC_N("ER",2)&lt;/Q&gt;&lt;R&gt;1&lt;/R&gt;&lt;C&gt;1&lt;/C&gt;&lt;D xsi:type="xsd:string"&gt;Q2 2026 Earnings Release (Projected)&lt;/D&gt;&lt;/FQL&gt;&lt;FQL&gt;&lt;Q&gt;RTX^CS_EVENT_DATEJ_N("ER",2)&lt;/Q&gt;&lt;R&gt;1&lt;/R&gt;&lt;C&gt;1&lt;/C&gt;&lt;D xsi:type="xsd:long"&gt;46231&lt;/D&gt;&lt;/FQL&gt;&lt;FQL&gt;&lt;Q&gt;RTX^CS_EVENT_TIME_N("ER",2)&lt;/Q&gt;&lt;R&gt;1&lt;/R&gt;&lt;C&gt;1&lt;/C&gt;&lt;D xsi:type="xsd:string"&gt;Unspecified&lt;/D&gt;&lt;/FQL&gt;&lt;FQL&gt;&lt;Q&gt;RTX^CS_EVENT_DESC_N("ER",2)&lt;/Q&gt;&lt;R&gt;1&lt;/R&gt;&lt;C&gt;1&lt;/C&gt;&lt;D xsi:type="xsd:string"&gt;Q2 2026 Earnings Release (Projected)&lt;/D&gt;&lt;/FQL&gt;&lt;FQL&gt;&lt;Q&gt;LMT^CS_EVENT_DATEJ_N("ER",2)&lt;/Q&gt;&lt;R&gt;1&lt;/R&gt;&lt;C&gt;1&lt;/C&gt;&lt;D xsi:type="xsd:long"&gt;46231&lt;/D&gt;&lt;/FQL&gt;&lt;FQL&gt;&lt;Q&gt;LMT^CS_EVENT_TIME_N("ER",2)&lt;/Q&gt;&lt;R&gt;1&lt;/R&gt;&lt;C&gt;1&lt;/C&gt;&lt;D xsi:type="xsd:string"&gt;Unspecified&lt;/D&gt;&lt;/FQL&gt;&lt;FQL&gt;&lt;Q&gt;LMT^CS_EVENT_DESC_N("ER",2)&lt;/Q&gt;&lt;R&gt;1&lt;/R&gt;&lt;C&gt;1&lt;/C&gt;&lt;D xsi:type="xsd:string"&gt;Q2 2026 Earnings Release (Projected)&lt;/D&gt;&lt;/FQL&gt;&lt;FQL&gt;&lt;Q&gt;DHR^CS_EVENT_DATEJ_N("ER",2)&lt;/Q&gt;&lt;R&gt;1&lt;/R&gt;&lt;C&gt;1&lt;/C&gt;&lt;D xsi:type="xsd:long"&gt;46231&lt;/D&gt;&lt;/FQL&gt;&lt;FQL&gt;&lt;Q&gt;DHR^CS_EVENT_TIME_N("ER",2)&lt;/Q&gt;&lt;R&gt;1&lt;/R&gt;&lt;C&gt;1&lt;/C&gt;&lt;D xsi:type="xsd:string"&gt;Unspecified&lt;/D&gt;&lt;/FQL&gt;&lt;FQL&gt;&lt;Q&gt;DHR^CS_EVENT_DESC_N("ER",2)&lt;/Q&gt;&lt;R&gt;1&lt;/R&gt;&lt;C&gt;1&lt;/C&gt;&lt;D xsi:type="xsd:string"&gt;Q2 2026 Earnings Release (Projected)&lt;/D&gt;&lt;/FQL&gt;&lt;FQL&gt;&lt;Q&gt;UNH^CS_EVENT_DATEJ_N("ER",2)&lt;/Q&gt;&lt;R&gt;1&lt;/R&gt;&lt;C&gt;1&lt;/C&gt;&lt;D xsi:type="xsd:long"&gt;46213&lt;/D&gt;&lt;/FQL&gt;&lt;FQL&gt;&lt;Q&gt;UNH^CS_EVENT_TIME_N("ER",2)&lt;/Q&gt;&lt;R&gt;1&lt;/R&gt;&lt;C&gt;1&lt;/C&gt;&lt;D xsi:type="xsd:string"&gt;Unspecified&lt;/D&gt;&lt;/FQL&gt;&lt;FQL&gt;&lt;Q&gt;UNH^CS_EVENT_DESC_N("ER",2)&lt;/Q&gt;&lt;R&gt;1&lt;/R&gt;&lt;C&gt;1&lt;/C&gt;&lt;D xsi:type="xsd:string"&gt;Q2 2026 Earnings Release (Projected)&lt;/D&gt;&lt;/FQL&gt;&lt;FQL&gt;&lt;Q&gt;HAL^CS_EVENT_DATEJ_N("ER",2)&lt;/Q&gt;&lt;R&gt;1&lt;/R&gt;&lt;C&gt;1&lt;/C&gt;&lt;D xsi:type="xsd:long"&gt;46219&lt;/D&gt;&lt;/FQL&gt;&lt;FQL&gt;&lt;Q&gt;HAL^CS_EVENT_TIME_N("ER",2)&lt;/Q&gt;&lt;R&gt;1&lt;/R&gt;&lt;C&gt;1&lt;/C&gt;&lt;D xsi:type="xsd:string"&gt;Unspecified&lt;/D&gt;&lt;/FQL&gt;&lt;FQL&gt;&lt;Q&gt;HAL^CS_EVENT_DESC_N("ER",2)&lt;/Q&gt;&lt;R&gt;1&lt;/R&gt;&lt;C&gt;1&lt;/C&gt;&lt;D xsi:type="xsd:string"&gt;Q2 2026 Earnings Release (Projected)&lt;/D&gt;&lt;/FQL&gt;&lt;FQL&gt;&lt;Q&gt;WRB^CS_EVENT_DATEJ_N("ER",2)&lt;/Q&gt;&lt;R&gt;1&lt;/R&gt;&lt;C&gt;1&lt;/C&gt;&lt;D xsi:type="xsd:long"&gt;46219&lt;/D&gt;&lt;/FQL&gt;&lt;FQL&gt;&lt;Q&gt;WRB^CS_EVENT_TIME_N("ER",2)&lt;/Q&gt;&lt;R&gt;1&lt;/R&gt;&lt;C&gt;1&lt;/C&gt;&lt;D xsi:type="xsd:string"&gt;Unspecified&lt;/D&gt;&lt;/FQL&gt;&lt;FQL&gt;&lt;Q&gt;WRB^CS_EVENT_DESC_N("ER",2)&lt;/Q&gt;&lt;R&gt;1&lt;/R&gt;&lt;C&gt;1&lt;/C&gt;&lt;D xsi:type="xsd:string"&gt;Q2 2026 Earnings Release (Projected)&lt;/D&gt;&lt;/FQL&gt;&lt;FQL&gt;&lt;Q&gt;COF^CS_EVENT_DATEJ_N("ER",2)&lt;/Q&gt;&lt;R&gt;1&lt;/R&gt;&lt;C&gt;1&lt;/C&gt;&lt;D xsi:type="xsd:long"&gt;46231&lt;/D&gt;&lt;/FQL&gt;&lt;FQL&gt;&lt;Q&gt;COF^CS_EVENT_TIME_N("ER",2)&lt;/Q&gt;&lt;R&gt;1&lt;/R&gt;&lt;C&gt;1&lt;/C&gt;&lt;D xsi:type="xsd:string"&gt;Unspecified&lt;/D&gt;&lt;/FQL&gt;&lt;FQL&gt;&lt;Q&gt;COF^CS_EVENT_DESC_N("ER",2)&lt;/Q&gt;&lt;R&gt;1&lt;/R&gt;&lt;C&gt;1&lt;/C&gt;&lt;D xsi:type="xsd:string"&gt;Q2 2026 Earnings Release (Projected)&lt;/D&gt;&lt;/FQL&gt;&lt;FQL&gt;&lt;Q&gt;TSCO^CS_EVENT_DATEJ_N("ER",2)&lt;/Q&gt;&lt;R&gt;1&lt;/R&gt;&lt;C&gt;1&lt;/C&gt;&lt;D xsi:type="xsd:long"&gt;46226&lt;/D&gt;&lt;/FQL&gt;&lt;FQL&gt;&lt;Q&gt;TSCO^CS_EVENT_TIME_N("ER",2)&lt;/Q&gt;&lt;R&gt;1&lt;/R&gt;&lt;C&gt;1&lt;/C&gt;&lt;D xsi:type="xsd:string"&gt;Unspecified&lt;/D&gt;&lt;/FQL&gt;&lt;FQL&gt;&lt;Q&gt;TSCO^CS_EVENT_DESC_N("ER",2)&lt;/Q&gt;&lt;R&gt;1&lt;/R&gt;&lt;C&gt;1&lt;/C&gt;&lt;D xsi:type="xsd:string"&gt;Q2 2026 Earnings Release (Projected)&lt;/D&gt;&lt;/FQL&gt;&lt;FQL&gt;&lt;Q&gt;GE^CS_EVENT_DATEJ_N("ER",2)&lt;/Q&gt;&lt;R&gt;1&lt;/R&gt;&lt;C&gt;1&lt;/C&gt;&lt;D xsi:type="xsd:long"&gt;46219&lt;/D&gt;&lt;/FQL&gt;&lt;FQL&gt;&lt;Q&gt;GE^CS_EVENT_TIME_N("ER",2)&lt;/Q&gt;&lt;R&gt;1&lt;/R&gt;&lt;C&gt;1&lt;/C&gt;&lt;D xsi:type="xsd:string"&gt;Unspecified&lt;/D&gt;&lt;/FQL&gt;&lt;FQL&gt;&lt;Q&gt;GE^CS_EVENT_DESC_N("ER",2)&lt;/Q&gt;&lt;R&gt;1&lt;/R&gt;&lt;C&gt;1&lt;/C&gt;&lt;D xsi:type="xsd:string"&gt;Q2 2026 Earnings Release&lt;/D&gt;&lt;/FQL&gt;&lt;FQL&gt;&lt;Q&gt;GPC^CS_EVENT_DATEJ_N("ER",2)&lt;/Q&gt;&lt;R&gt;1&lt;/R&gt;&lt;C&gt;1&lt;/C&gt;&lt;D xsi:type="xsd:long"&gt;46231&lt;/D&gt;&lt;/FQL&gt;&lt;FQL&gt;&lt;Q&gt;GPC^CS_EVENT_TIME_N("ER",2)&lt;/Q&gt;&lt;R&gt;1&lt;/R&gt;&lt;C&gt;1&lt;/C&gt;&lt;D xsi:type="xsd:string"&gt;Unspecified&lt;/D&gt;&lt;/FQL&gt;&lt;FQL&gt;&lt;Q&gt;GPC^CS_EVENT_DESC_N("ER",2)&lt;/Q&gt;&lt;R&gt;1&lt;/R&gt;&lt;C&gt;1&lt;/C&gt;&lt;D xsi:type="xsd:string"&gt;Q2 2026 Earnings Release (Projected)&lt;/D&gt;&lt;/FQL&gt;&lt;FQL&gt;&lt;Q&gt;NOC^CS_EVENT_DATEJ_N("ER",2)&lt;/Q&gt;&lt;R&gt;1&lt;/R&gt;&lt;C&gt;1&lt;/C&gt;&lt;D xsi:type="xsd:long"&gt;46226&lt;/D&gt;&lt;/FQL&gt;&lt;FQL&gt;&lt;Q&gt;NOC^CS_EVENT_TIME_N("ER",2)&lt;/Q&gt;&lt;R&gt;1&lt;/R&gt;&lt;C&gt;1&lt;/C&gt;&lt;D xsi:type="xsd:string"&gt;Unspecified&lt;/D&gt;&lt;/FQL&gt;&lt;FQL&gt;&lt;Q&gt;NOC^CS_EVENT_DESC_N("ER",2)&lt;/Q&gt;&lt;R&gt;1&lt;/R&gt;&lt;C&gt;1&lt;/C&gt;&lt;D xsi:type="xsd:string"&gt;Q2 2026 Earnings Release (Projected)&lt;/D&gt;&lt;/FQL&gt;&lt;FQL&gt;&lt;Q&gt;DGX^CS_EVENT_DATEJ_N("ER",2)&lt;/Q&gt;&lt;R&gt;1&lt;/R&gt;&lt;C&gt;1&lt;/C&gt;&lt;D xsi:type="xsd:long"&gt;46231&lt;/D&gt;&lt;/FQL&gt;&lt;FQL&gt;&lt;Q&gt;DGX^CS_EVENT_TIME_N("ER",2)&lt;/Q&gt;&lt;R&gt;1&lt;/R&gt;&lt;C&gt;1&lt;/C&gt;&lt;D xsi:type="xsd:string"&gt;Unspecified&lt;/D&gt;&lt;/FQL&gt;&lt;FQL&gt;&lt;Q&gt;DGX^CS_EVENT_DESC_N("ER",2)&lt;/Q&gt;&lt;R&gt;1&lt;/R&gt;&lt;C&gt;1&lt;/C&gt;&lt;D xsi:type="xsd:string"&gt;Q2 2026 Earnings Release (Projected)&lt;/D&gt;&lt;/FQL&gt;&lt;FQL&gt;&lt;Q&gt;DHI^CS_EVENT_DATEJ_N("ER",2)&lt;/Q&gt;&lt;R&gt;1&lt;/R&gt;&lt;C&gt;1&lt;/C&gt;&lt;D xsi:type="xsd:long"&gt;46224&lt;/D&gt;&lt;/FQL&gt;&lt;FQL&gt;&lt;Q&gt;DHI^CS_EVENT_TIME_N("ER",2)&lt;/Q&gt;&lt;R&gt;1&lt;/R&gt;&lt;C&gt;1&lt;/C&gt;&lt;D xsi:type="xsd:string"&gt;Before Market&lt;/D&gt;&lt;/FQL&gt;&lt;FQL&gt;&lt;Q&gt;DHI^CS_EVENT_DESC_N("ER",2)&lt;/Q&gt;&lt;R&gt;1&lt;/R&gt;&lt;C&gt;1&lt;/C&gt;&lt;D xsi:type="xsd:string"&gt;Q3 2026 Earnings Release&lt;/D&gt;&lt;/FQL&gt;&lt;FQL&gt;&lt;Q&gt;OMC^CS_EVENT_DATEJ_N("ER",2)&lt;/Q&gt;&lt;R&gt;1&lt;/R&gt;&lt;C&gt;1&lt;/C&gt;&lt;D xsi:type="xsd:long"&gt;46224&lt;/D&gt;&lt;/FQL&gt;&lt;FQL&gt;&lt;Q&gt;OMC^CS_EVENT_TIME_N("ER",2)&lt;/Q&gt;&lt;R&gt;1&lt;/R&gt;&lt;C&gt;1&lt;/C&gt;&lt;D xsi:type="xsd:string"&gt;Unspecified&lt;/D&gt;&lt;/FQL&gt;&lt;FQL&gt;&lt;Q&gt;OMC^CS_EVENT_DESC_N("ER",2)&lt;/Q&gt;&lt;R&gt;1&lt;/R&gt;&lt;C&gt;1&lt;/C&gt;&lt;D xsi:type="xsd:string"&gt;Q2 2026 Earnings Release (Projected)&lt;/D&gt;&lt;/FQL&gt;&lt;FQL&gt;&lt;Q&gt;ISRG^CS_EVENT_DATEJ_N("ER",2)&lt;/Q&gt;&lt;R&gt;1&lt;/R&gt;&lt;C&gt;1&lt;/C&gt;&lt;D xsi:type="xsd:long"&gt;46219&lt;/D&gt;&lt;/FQL&gt;&lt;FQL&gt;&lt;Q&gt;ISRG^CS_EVENT_TIME_N("ER",2)&lt;/Q&gt;&lt;R&gt;1&lt;/R&gt;&lt;C&gt;1&lt;/C&gt;&lt;D xsi:type="xsd:string"&gt;Unspecified&lt;/D&gt;&lt;/FQL&gt;&lt;FQL&gt;&lt;Q&gt;ISRG^CS_EVENT_DESC_N("ER",2)&lt;/Q&gt;&lt;R&gt;1&lt;/R&gt;&lt;C&gt;1&lt;/C&gt;&lt;D xsi:type="xsd:string"&gt;Q2 2026 Earnings Release (Projected)&lt;/D&gt;&lt;/FQL&gt;&lt;FQL&gt;&lt;Q&gt;NTRS^CS_EVENT_DATEJ_N("ER",2)&lt;/Q&gt;&lt;R&gt;1&lt;/R&gt;&lt;C&gt;1&lt;/C&gt;&lt;D xsi:type="xsd:long"&gt;46225&lt;/D&gt;&lt;/FQL&gt;&lt;FQL&gt;&lt;Q&gt;NTRS^CS_EVENT_TIME_N("ER",2)&lt;/Q&gt;&lt;R&gt;1&lt;/R&gt;&lt;C&gt;1&lt;/C&gt;&lt;D xsi:type="xsd:string"&gt;Before Market&lt;/D&gt;&lt;/FQL&gt;&lt;FQL&gt;&lt;Q&gt;NTRS^CS_EVENT_DESC_N("ER",2)&lt;/Q&gt;&lt;R&gt;1&lt;/R&gt;&lt;C&gt;1&lt;/C&gt;&lt;D xsi:type="xsd:string"&gt;Q2 2026 Earnings Release&lt;/D&gt;&lt;/FQL&gt;&lt;FQL&gt;&lt;Q&gt;UAL^CS_EVENT_DATEJ_N("ER",2)&lt;/Q&gt;&lt;R&gt;1&lt;/R&gt;&lt;C&gt;1&lt;/C&gt;&lt;D xsi:type="xsd:long"&gt;46225&lt;/D&gt;&lt;/FQL&gt;&lt;FQL&gt;&lt;Q&gt;UAL^CS_EVENT_TIME_N("ER",2)&lt;/Q&gt;&lt;R&gt;1&lt;/R&gt;&lt;C&gt;1&lt;/C&gt;&lt;D xsi:type="xsd:string"&gt;Unspecified&lt;/D&gt;&lt;/FQL&gt;&lt;FQL&gt;&lt;Q&gt;UAL^CS_EVENT_DESC_N("ER",2)&lt;/Q&gt;&lt;R&gt;1&lt;/R&gt;&lt;C&gt;1&lt;/C&gt;&lt;D xsi:type="xsd:string"&gt;Q2 2026 Earnings Release (Projected)&lt;/D&gt;&lt;/FQL&gt;&lt;FQL&gt;&lt;Q&gt;IBKR^CS_EVENT_DATEJ_N("ER",2)&lt;/Q&gt;&lt;R&gt;1&lt;/R&gt;&lt;C&gt;1&lt;/C&gt;&lt;D xsi:type="xsd:long"&gt;46224&lt;/D&gt;&lt;/FQL&gt;&lt;FQL&gt;&lt;Q&gt;IBKR^CS_EVENT_TIME_N("ER",2)&lt;/Q&gt;&lt;R&gt;1&lt;/R&gt;&lt;C&gt;1&lt;/C&gt;&lt;D xsi:type="xsd:string"&gt;Unspecified&lt;/D&gt;&lt;/FQL&gt;&lt;FQL&gt;&lt;Q&gt;IBKR^CS_EVENT_DESC_N("ER",2)&lt;/Q&gt;&lt;R&gt;1&lt;/R&gt;&lt;C&gt;1&lt;/C&gt;&lt;D xsi:type="xsd:string"&gt;Q2 2026 Earnings Release (Projected)&lt;/D&gt;&lt;/FQL&gt;&lt;FQL&gt;&lt;Q&gt;CB^CS_EVENT_DATEJ_N("ER",2)&lt;/Q&gt;&lt;R&gt;1&lt;/R&gt;&lt;C&gt;1&lt;/C&gt;&lt;D xsi:type="xsd:long"&gt;46231&lt;/D&gt;&lt;/FQL&gt;&lt;FQL&gt;&lt;Q&gt;CB^CS_EVENT_TIME_N("ER",2)&lt;/Q&gt;&lt;R&gt;1&lt;/R&gt;&lt;C&gt;1&lt;/C&gt;&lt;D xsi:type="xsd:string"&gt;Unspecified&lt;/D&gt;&lt;/FQL&gt;&lt;FQL&gt;&lt;Q&gt;CB^CS_EVENT_DESC_N("ER",2)&lt;/Q&gt;&lt;R&gt;1&lt;/R&gt;&lt;C&gt;1&lt;/C&gt;&lt;D xsi:type="xsd:string"&gt;Q2 2026 Earnings Release (Projected)&lt;/D&gt;&lt;/FQL&gt;&lt;FQL&gt;&lt;Q&gt;SYF^CS_EVENT_DATEJ_N("ER",2)&lt;/Q&gt;&lt;R&gt;1&lt;/R&gt;&lt;C&gt;1&lt;/C&gt;&lt;D xsi:type="xsd:long"&gt;46224&lt;/D&gt;&lt;/FQL&gt;&lt;FQL&gt;&lt;Q&gt;SYF^CS_EVENT_TIME_N("ER",2)&lt;/Q&gt;&lt;R&gt;1&lt;/R&gt;&lt;C&gt;1&lt;/C&gt;&lt;D xsi:type="xsd:string"&gt;Unspecified&lt;/D&gt;&lt;/FQL&gt;&lt;FQL&gt;&lt;Q&gt;SYF^CS_EVENT_DESC_N("ER",2)&lt;/Q&gt;&lt;R&gt;1&lt;/R&gt;&lt;C&gt;1&lt;/C&gt;&lt;D xsi:type="xsd:string"&gt;Q2 2026 Earnings Release (Projected)&lt;/D&gt;&lt;/FQL&gt;&lt;FQL&gt;&lt;Q&gt;BSX^CS_EVENT_DATEJ_N("ER",2)&lt;/Q&gt;&lt;R&gt;1&lt;/R&gt;&lt;C&gt;1&lt;/C&gt;&lt;D xsi:type="xsd:long"&gt;46232&lt;/D&gt;&lt;/FQL&gt;&lt;FQL&gt;&lt;Q&gt;BSX^CS_EVENT_TIME_N("ER",2)&lt;/Q&gt;&lt;R&gt;1&lt;/R&gt;&lt;C&gt;1&lt;/C&gt;&lt;D xsi:type="xsd:string"&gt;Unspecified&lt;/D&gt;&lt;/FQL&gt;&lt;FQL&gt;&lt;Q&gt;BSX^CS_EVENT_DESC_N("ER",2)&lt;/Q&gt;&lt;R&gt;1&lt;/R&gt;&lt;C&gt;1&lt;/C&gt;&lt;D xsi:type="xsd:string"&gt;Q2 2026 Earnings Release (Projected)&lt;/D&gt;&lt;/FQL&gt;&lt;FQL&gt;&lt;Q&gt;CCI^CS_EVENT_DATEJ_N("ER",2)&lt;/Q&gt;&lt;R&gt;1&lt;/R&gt;&lt;C&gt;1&lt;/C&gt;&lt;D xsi:type="xsd:long"&gt;46225&lt;/D&gt;&lt;/FQL&gt;&lt;FQL&gt;&lt;Q&gt;CCI^CS_EVENT_TIME_N("ER",2)&lt;/Q&gt;&lt;R&gt;1&lt;/R&gt;&lt;C&gt;1&lt;/C&gt;&lt;D xsi:type="xsd:string"&gt;Unspecified&lt;/D&gt;&lt;/FQL&gt;&lt;FQL&gt;&lt;Q&gt;CCI^CS_EVENT_DESC_N("ER",2)&lt;/Q&gt;&lt;R&gt;1&lt;/R&gt;&lt;C&gt;1&lt;/C&gt;&lt;D xsi:type="xsd:string"&gt;Q2 2026 Earnings Release (Projected)&lt;/D&gt;&lt;/FQL&gt;&lt;FQL&gt;&lt;Q&gt;EFX^CS_EVENT_DATEJ_N("ER",2)&lt;/Q&gt;&lt;R&gt;1&lt;/R&gt;&lt;C&gt;1&lt;/C&gt;&lt;D xsi:type="xsd:long"&gt;46225&lt;/D&gt;&lt;/FQL&gt;&lt;FQL&gt;&lt;Q&gt;EFX^CS_EVENT_TIME_N("ER",2)&lt;/Q&gt;&lt;R&gt;1&lt;/R&gt;&lt;C&gt;1&lt;/C&gt;&lt;D xsi:type="xsd:string"&gt;Unspecified&lt;/D&gt;&lt;/FQL&gt;&lt;FQL&gt;&lt;Q&gt;EFX^CS_EVENT_DESC_N("ER",2)&lt;/Q&gt;&lt;R&gt;1&lt;/R&gt;&lt;C&gt;1&lt;/C&gt;&lt;D xsi:type="xsd:string"&gt;Q2 2026 Earnings Release (Projected)&lt;/D&gt;&lt;/FQL&gt;&lt;FQL&gt;&lt;Q&gt;RJF^CS_EVENT_DATEJ_N("ER",2)&lt;/Q&gt;&lt;R&gt;1&lt;/R&gt;&lt;C&gt;1&lt;/C&gt;&lt;D xsi:type="xsd:long"&gt;46225&lt;/D&gt;&lt;/FQL&gt;&lt;FQL&gt;&lt;Q&gt;RJF^CS_EVENT_TIME_N("ER",2)&lt;/Q&gt;&lt;R&gt;1&lt;/R&gt;&lt;C&gt;1&lt;/C&gt;&lt;D xsi:type="xsd:string"&gt;4:15 PM&lt;/D&gt;&lt;/FQL&gt;&lt;FQL&gt;&lt;Q&gt;RJF^CS_EVENT_DESC_N("ER",2)&lt;/Q&gt;&lt;R&gt;1&lt;/R&gt;&lt;C&gt;1&lt;/C&gt;&lt;D xsi:type="xsd:string"&gt;Q3 2026 Earnings Release&lt;/D&gt;&lt;/FQL&gt;&lt;FQL&gt;&lt;Q&gt;IBM^CS_EVENT_DATEJ_N("ER",2)&lt;/Q&gt;&lt;R&gt;1&lt;/R&gt;&lt;C&gt;1&lt;/C&gt;&lt;D xsi:type="xsd:long"&gt;46225&lt;/D&gt;&lt;/FQL&gt;&lt;FQL&gt;&lt;Q&gt;IBM^CS_EVENT_TIME_N("ER",2)&lt;/Q&gt;&lt;R&gt;1&lt;/R&gt;&lt;C&gt;1&lt;/C&gt;&lt;D xsi:type="xsd:string"&gt;4:08 PM&lt;/D&gt;&lt;/FQL&gt;&lt;FQL&gt;&lt;Q&gt;IBM^CS_EVENT_DESC_N("ER",2)&lt;/Q&gt;&lt;R&gt;1&lt;/R&gt;&lt;C&gt;1&lt;/C&gt;&lt;D xsi:type="xsd:string"&gt;Q2 2026 Earnings Release&lt;/D&gt;&lt;/FQL&gt;&lt;FQL&gt;&lt;Q&gt;BA^CS_EVENT_DATEJ_N("ER",2)&lt;/Q&gt;&lt;R&gt;1&lt;/R&gt;&lt;C&gt;1&lt;/C&gt;&lt;D xsi:type="xsd:long"&gt;46232&lt;/D&gt;&lt;/FQL&gt;&lt;FQL&gt;&lt;Q&gt;BA^CS_EVENT_TIME_N("ER",2)&lt;/Q&gt;&lt;R&gt;1&lt;/R&gt;&lt;C&gt;1&lt;/C&gt;&lt;D xsi:type="xsd:string"&gt;Unspecified&lt;/D&gt;&lt;/FQL&gt;&lt;FQL&gt;&lt;Q&gt;BA^CS_EVENT_DESC_N("ER",2)&lt;/Q&gt;&lt;R&gt;1&lt;/R&gt;&lt;C&gt;1&lt;/C&gt;&lt;D xsi:type="xsd:string"&gt;Q2 2026 Earnings Release (Projected)&lt;/D&gt;&lt;/FQL&gt;&lt;FQL&gt;&lt;Q&gt;MAS^CS_EVENT_DATEJ_N("ER",2)&lt;/Q&gt;&lt;R&gt;1&lt;/R&gt;&lt;C&gt;1&lt;/C&gt;&lt;D xsi:type="xsd:long"&gt;46226&lt;/D&gt;&lt;/FQL&gt;&lt;FQL&gt;&lt;Q&gt;MAS^CS_EVENT_TIME_N("ER",2)&lt;/Q&gt;&lt;R&gt;1&lt;/R&gt;&lt;C&gt;1&lt;/C&gt;&lt;D xsi:type="xsd:string"&gt;Unspecified&lt;/D&gt;&lt;/FQL&gt;&lt;FQL&gt;&lt;Q&gt;MAS^CS_EVENT_DESC_N("ER",2)&lt;/Q&gt;&lt;R&gt;1&lt;/R&gt;&lt;C&gt;1&lt;/C&gt;&lt;D xsi:type="xsd:string"&gt;Q2 2026 Earnings Release (Projected)&lt;/D&gt;&lt;/FQL&gt;&lt;FQL&gt;&lt;Q&gt;WAB^CS_EVENT_DATEJ_N("ER",2)&lt;/Q&gt;&lt;R&gt;1&lt;/R&gt;&lt;C&gt;1&lt;/C&gt;&lt;D xsi:type="xsd:long"&gt;46226&lt;/D&gt;&lt;/FQL&gt;&lt;FQL&gt;&lt;Q&gt;WAB^CS_EVENT_TIME_N("ER",2)&lt;/Q&gt;&lt;R&gt;1&lt;/R&gt;&lt;C&gt;1&lt;/C&gt;&lt;D xsi:type="xsd:string"&gt;Unspecified&lt;/D&gt;&lt;/FQL&gt;&lt;FQL&gt;&lt;Q&gt;WAB^CS_EVENT_DESC_N("ER",2)&lt;/Q&gt;&lt;R&gt;1&lt;/R&gt;&lt;C&gt;1&lt;/C&gt;&lt;D xsi:type="xsd:string"&gt;Q2 2026 Earnings Release (Projected)&lt;/D&gt;&lt;/FQL&gt;&lt;FQL&gt;&lt;Q&gt;CSX^CS_EVENT_DATEJ_N("ER",2)&lt;/Q&gt;&lt;R&gt;1&lt;/R&gt;&lt;C&gt;1&lt;/C&gt;&lt;D xsi:type="xsd:long"&gt;46225&lt;/D&gt;&lt;/FQL&gt;&lt;FQL&gt;&lt;Q&gt;CSX^CS_EVENT_TIME_N("ER",2)&lt;/Q&gt;&lt;R&gt;1&lt;/R&gt;&lt;C&gt;1&lt;/C&gt;&lt;D xsi:type="xsd:string"&gt;Unspecified&lt;/D&gt;&lt;/FQL&gt;&lt;FQL&gt;&lt;Q&gt;CSX^CS_EVENT_DESC_N("ER",2)&lt;/Q&gt;&lt;R&gt;1&lt;/R&gt;&lt;C&gt;1&lt;/C&gt;&lt;D xsi:type="xsd:string"&gt;Q2 2026 Earnings Release (Projected)&lt;/D&gt;&lt;/FQL&gt;&lt;FQL&gt;&lt;Q&gt;LUV^CS_EVENT_DATEJ_N("ER",2)&lt;/Q&gt;&lt;R&gt;1&lt;/R&gt;&lt;C&gt;1&lt;/C&gt;&lt;D xsi:type="xsd:long"&gt;46225&lt;/D&gt;&lt;/FQL&gt;&lt;FQL&gt;&lt;Q&gt;LUV^CS_EVENT_TIME_N("ER",2)&lt;/Q&gt;&lt;R&gt;1&lt;/R&gt;&lt;C&gt;1&lt;/C&gt;&lt;D xsi:type="xsd:string"&gt;Unspecified&lt;/D&gt;&lt;/FQL&gt;&lt;FQL&gt;&lt;Q&gt;LUV^CS_EVENT_DESC_N("ER",2)&lt;/Q&gt;&lt;R&gt;1&lt;/R&gt;&lt;C&gt;1&lt;/C&gt;&lt;D xsi:type="xsd:string"&gt;Q2 2026 Earnings Release&lt;/D&gt;&lt;/FQL&gt;&lt;FQL&gt;&lt;Q&gt;PKG^CS_EVENT_DATEJ_N("ER",2)&lt;/Q&gt;&lt;R&gt;1&lt;/R&gt;&lt;C&gt;1&lt;/C&gt;&lt;D xsi:type="xsd:long"&gt;46230&lt;/D&gt;&lt;/FQL&gt;&lt;FQL&gt;&lt;Q&gt;PKG^CS_EVENT_TIME_N("ER",2)&lt;/Q&gt;&lt;R&gt;1&lt;/R&gt;&lt;C&gt;1&lt;/C&gt;&lt;D xsi:type="xsd:string"&gt;Unspecified&lt;/D&gt;&lt;/FQL&gt;&lt;FQL&gt;&lt;Q&gt;PKG^CS_EVENT_DESC_N("ER",2)&lt;/Q&gt;&lt;R&gt;1&lt;/R&gt;&lt;C&gt;1&lt;/C&gt;&lt;D xsi:type="xsd:string"&gt;Q2 2026 Earnings Release (Projected)&lt;/D&gt;&lt;/FQL&gt;&lt;FQL&gt;&lt;Q&gt;KMI^CS_EVENT_DATEJ_N("ER",2)&lt;/Q&gt;&lt;R&gt;1&lt;/R&gt;&lt;C&gt;1&lt;/C&gt;&lt;D xsi:type="xsd:long"&gt;46225&lt;/D&gt;&lt;/FQL&gt;&lt;FQL&gt;&lt;Q&gt;KMI^CS_EVENT_TIME_N("ER",2)&lt;/Q&gt;&lt;R&gt;1&lt;/R&gt;&lt;C&gt;1&lt;/C&gt;&lt;D xsi:type="xsd:string"&gt;Unspecified&lt;/D&gt;&lt;/FQL&gt;&lt;FQL&gt;&lt;Q&gt;KMI^CS_EVENT_DESC_N("ER",2)&lt;/Q&gt;&lt;R&gt;1&lt;/R&gt;&lt;C&gt;1&lt;/C&gt;&lt;D xsi:type="xsd:string"&gt;Q2 2026 Earnings Release (Projected)&lt;/D&gt;&lt;/FQL&gt;&lt;FQL&gt;&lt;Q&gt;NDAQ^CS_EVENT_DATEJ_N("ER",2)&lt;/Q&gt;&lt;R&gt;1&lt;/R&gt;&lt;C&gt;1&lt;/C&gt;&lt;D xsi:type="xsd:long"&gt;46225&lt;/D&gt;&lt;/FQL&gt;&lt;FQL&gt;&lt;Q&gt;NDAQ^CS_EVENT_TIME_N("ER",2)&lt;/Q&gt;&lt;R&gt;1&lt;/R&gt;&lt;C&gt;1&lt;/C&gt;&lt;D xsi:type="xsd:string"&gt;Unspecified&lt;/D&gt;&lt;/FQL&gt;&lt;FQL&gt;&lt;Q&gt;NDAQ^CS_EVENT_DESC_N("ER",2)&lt;/Q&gt;&lt;R&gt;1&lt;/R&gt;&lt;C&gt;1&lt;/C&gt;&lt;D xsi:type="xsd:string"&gt;Q2 2026 Earnings Release (Projected)&lt;/D&gt;&lt;/FQL&gt;&lt;FQL&gt;&lt;Q&gt;ELV^CS_EVENT_DATEJ_N("ER",2)&lt;/Q&gt;&lt;R&gt;1&lt;/R&gt;&lt;C&gt;1&lt;/C&gt;&lt;D xsi:type="xsd:long"&gt;46225&lt;/D&gt;&lt;/FQL&gt;&lt;FQL&gt;&lt;Q&gt;ELV^CS_EVENT_TIME_N("ER",2)&lt;/Q&gt;&lt;R&gt;1&lt;/R&gt;&lt;C&gt;1&lt;/C&gt;&lt;D xsi:type="xsd:string"&gt;Unspecified&lt;/D&gt;&lt;/FQL&gt;&lt;FQL&gt;&lt;Q&gt;ELV^CS_EVENT_DESC_N("ER",2)&lt;/Q&gt;&lt;R&gt;1&lt;/R&gt;&lt;C&gt;1&lt;/C&gt;&lt;D xsi:type="xsd:string"&gt;Q2 2026 Earnings Release (Projected)&lt;/D&gt;&lt;/FQL&gt;&lt;FQL&gt;&lt;Q&gt;CME^CS_EVENT_DATEJ_N("ER",2)&lt;/Q&gt;&lt;R&gt;1&lt;/R&gt;&lt;C&gt;1&lt;/C&gt;&lt;D xsi:type="xsd:long"&gt;46232&lt;/D&gt;&lt;/FQL&gt;&lt;FQL&gt;&lt;Q&gt;CME^CS_EVENT_TIME_N("ER",2)&lt;/Q&gt;&lt;R&gt;1&lt;/R&gt;&lt;C&gt;1&lt;/C&gt;&lt;D xsi:type="xsd:string"&gt;Unspecified&lt;/D&gt;&lt;/FQL&gt;&lt;FQL&gt;&lt;Q&gt;CME^CS_EVENT_DESC_N("ER",2)&lt;/Q&gt;&lt;R&gt;1&lt;/R&gt;&lt;C&gt;1&lt;/C&gt;&lt;D xsi:type="xsd:string"&gt;Q2 2026 Earnings Release (Projected)&lt;/D&gt;&lt;/FQL&gt;&lt;FQL&gt;&lt;Q&gt;T^CS_EVENT_DATEJ_N("ER",2)&lt;/Q&gt;&lt;R&gt;1&lt;/R&gt;&lt;C&gt;1&lt;/C&gt;&lt;D xsi:type="xsd:long"&gt;46232&lt;/D&gt;&lt;/FQL&gt;&lt;FQL&gt;&lt;Q&gt;T^CS_EVENT_TIME_N("ER",2)&lt;/Q&gt;&lt;R&gt;1&lt;/R&gt;&lt;C&gt;1&lt;/C&gt;&lt;D xsi:type="xsd:string"&gt;Unspecified&lt;/D&gt;&lt;/FQL&gt;&lt;FQL&gt;&lt;Q&gt;T^CS_EVENT_DESC_N("ER",2)&lt;/Q&gt;&lt;R&gt;1&lt;/R&gt;&lt;C&gt;1&lt;/C&gt;&lt;D xsi:type="xsd:string"&gt;Q2 2026 Earnings Release (Projected)&lt;/D&gt;&lt;/FQL&gt;&lt;FQL&gt;&lt;Q&gt;PM^CS_EVENT_DATEJ_N("ER",2)&lt;/Q&gt;&lt;R&gt;1&lt;/R&gt;&lt;C&gt;1&lt;/C&gt;&lt;D xsi:type="xsd:long"&gt;46225&lt;/D&gt;&lt;/FQL&gt;&lt;FQL&gt;&lt;Q&gt;PM^CS_EVENT_TIME_N("ER",2)&lt;/Q&gt;&lt;R&gt;1&lt;/R&gt;&lt;C&gt;1&lt;/C&gt;&lt;D xsi:type="xsd:string"&gt;Before Market&lt;/D&gt;&lt;/FQL&gt;&lt;FQL&gt;&lt;Q&gt;PM^CS_EVENT_DESC_N("ER",2)&lt;/Q&gt;&lt;R&gt;1&lt;/R&gt;&lt;C&gt;1&lt;/C&gt;&lt;D xsi:type="xsd:string"&gt;Q2 2026 Earnings Release&lt;/D&gt;&lt;/FQL&gt;&lt;FQL&gt;&lt;Q&gt;GEV^CS_EVENT_DATEJ_N("ER",2)&lt;/Q&gt;&lt;R&gt;1&lt;/R&gt;&lt;C&gt;1&lt;/C&gt;&lt;D xsi:type="xsd:long"&gt;46232&lt;/D&gt;&lt;/FQL&gt;&lt;FQL&gt;&lt;Q&gt;GEV^CS_EVENT_TIME_N("ER",2)&lt;/Q&gt;&lt;R&gt;1&lt;/R&gt;&lt;C&gt;1&lt;/C&gt;&lt;D xsi:type="xsd:string"&gt;Unspecified&lt;/D&gt;&lt;/FQL&gt;&lt;FQL&gt;&lt;Q&gt;GEV^CS_EVENT_DESC_N("ER",2)&lt;/Q&gt;&lt;R&gt;1&lt;/R&gt;&lt;C&gt;1&lt;/C&gt;&lt;D xsi:type="xsd:string"&gt;Q2 2026 Earnings Release (Projected)&lt;/D&gt;&lt;/FQL&gt;&lt;FQL&gt;&lt;Q&gt;PHM^CS_EVENT_DATEJ_N("ER",2)&lt;/Q&gt;&lt;R&gt;1&lt;/R&gt;&lt;C&gt;1&lt;/C&gt;&lt;D xsi:type="xsd:long"&gt;46231&lt;/D&gt;&lt;/FQL&gt;&lt;FQL&gt;&lt;Q&gt;PHM^CS_EVENT_TIME_N("ER",2)&lt;/Q&gt;&lt;R&gt;1&lt;/R&gt;&lt;C&gt;1&lt;/C&gt;&lt;D xsi:type="xsd:string"&gt;Unspecified&lt;/D&gt;&lt;/FQL&gt;&lt;FQL&gt;&lt;Q&gt;PHM^CS_EVENT_DESC_N("ER",2)&lt;/Q&gt;&lt;R&gt;1&lt;/R&gt;&lt;C&gt;1&lt;/C&gt;&lt;D xsi:type="xsd:string"&gt;Q2 2026 Earnings Release (Projected)&lt;/D&gt;&lt;/FQL&gt;&lt;FQL&gt;&lt;Q&gt;CPT^CS_EVENT_DATEJ_N("ER",2)&lt;/Q&gt;&lt;R&gt;1&lt;/R&gt;&lt;C&gt;1&lt;/C&gt;&lt;D xsi:type="xsd:long"&gt;46233&lt;/D&gt;&lt;/FQL&gt;&lt;FQL&gt;&lt;Q&gt;CPT^CS_EVENT_TIME_N("ER",2)&lt;/Q&gt;&lt;R&gt;1&lt;/R&gt;&lt;C&gt;1&lt;/C&gt;&lt;D xsi:type="xsd:string"&gt;Unspecified&lt;/D&gt;&lt;/FQL&gt;&lt;FQL&gt;&lt;Q&gt;CPT^CS_EVENT_DESC_N("ER",2)&lt;/Q&gt;&lt;R&gt;1&lt;/R&gt;&lt;C&gt;1&lt;/C&gt;&lt;D xsi:type="xsd:string"&gt;Q2 2026 Earnings Release (Projected)&lt;/D&gt;&lt;/FQL&gt;&lt;FQL&gt;&lt;Q&gt;WST^CS_EVENT_DATEJ_N("ER",2)&lt;/Q&gt;&lt;R&gt;1&lt;/R&gt;&lt;C&gt;1&lt;/C&gt;&lt;D xsi:type="xsd:long"&gt;46226&lt;/D&gt;&lt;/FQL&gt;&lt;FQL&gt;&lt;Q&gt;WST^CS_EVENT_TIME_N("ER",2)&lt;/Q&gt;&lt;R&gt;1&lt;/R&gt;&lt;C&gt;1&lt;/C&gt;&lt;D xsi:type="xsd:string"&gt;Unspecified&lt;/D&gt;&lt;/FQL&gt;&lt;FQL&gt;&lt;Q&gt;WST^CS_EVENT_DESC_N("ER",2)&lt;/Q&gt;&lt;R&gt;1&lt;/R&gt;&lt;C&gt;1&lt;/C&gt;&lt;D xsi:type="xsd:string"&gt;Q2 2026 Earnings Release (Projected)&lt;/D&gt;&lt;/FQL&gt;&lt;FQL&gt;&lt;Q&gt;RMD^CS_EVENT_DATEJ_N("ER",2)&lt;/Q&gt;&lt;R&gt;1&lt;/R&gt;&lt;C&gt;1&lt;/C&gt;&lt;D xsi:type="xsd:long"&gt;46233&lt;/D&gt;&lt;/FQL&gt;&lt;FQL&gt;&lt;Q&gt;RMD^CS_EVENT_TIME_N("ER",2)&lt;/Q&gt;&lt;R&gt;1&lt;/R&gt;&lt;C&gt;1&lt;/C&gt;&lt;D xsi:type="xsd:string"&gt;Unspecified&lt;/D&gt;&lt;/FQL&gt;&lt;FQL&gt;&lt;Q&gt;RMD^CS_EVENT_DESC_N("ER",2)&lt;/Q&gt;&lt;R&gt;1&lt;/R&gt;&lt;C&gt;1&lt;/C&gt;&lt;D xsi:type="xsd:string"&gt;Q4 2026 Earnings Release (Projected)&lt;/D&gt;&lt;/FQL&gt;&lt;FQL&gt;&lt;Q&gt;HON^CS_EVENT_DATEJ_N("ER",2)&lt;/Q&gt;&lt;R&gt;1&lt;/R&gt;&lt;C&gt;1&lt;/C&gt;&lt;D xsi:type="xsd:long"&gt;46226&lt;/D&gt;&lt;/FQL&gt;&lt;FQL&gt;&lt;Q&gt;HON^CS_EVENT_TIME_N("ER",2)&lt;/Q&gt;&lt;R&gt;1&lt;/R&gt;&lt;C&gt;1&lt;/C&gt;&lt;D xsi:type="xsd:string"&gt;Unspecified&lt;/D&gt;&lt;/FQL&gt;&lt;FQL&gt;&lt;Q&gt;HON^CS_EVENT_DESC_N("ER",2)&lt;/Q&gt;&lt;R&gt;1&lt;/R&gt;&lt;C&gt;1&lt;/C&gt;&lt;D xsi:type="xsd:string"&gt;Q2 2026 Earnings Release (Projected)&lt;/D&gt;&lt;/FQL&gt;&lt;FQL&gt;&lt;Q&gt;PCG^CS_EVENT_DATEJ_N("ER",2)&lt;/Q&gt;&lt;R&gt;1&lt;/R&gt;&lt;C&gt;1&lt;/C&gt;&lt;D xsi:type="xsd:long"&gt;46226&lt;/D&gt;&lt;/FQL&gt;&lt;FQL&gt;&lt;Q&gt;PCG^CS_EVENT_TIME_N("ER",2)&lt;/Q&gt;&lt;R&gt;1&lt;/R&gt;&lt;C&gt;1&lt;/C&gt;&lt;D xsi:type="xsd:string"&gt;Unspecified&lt;/D&gt;&lt;/FQL&gt;&lt;FQL&gt;&lt;Q&gt;PCG^CS_EVENT_DESC_N("ER",2)&lt;/Q&gt;&lt;R&gt;1&lt;/R&gt;&lt;C&gt;1&lt;/C&gt;&lt;D xsi:type="xsd:string"&gt;Q2 2026 Earnings Release (Projected)&lt;/D&gt;&lt;/FQL&gt;&lt;FQL&gt;&lt;Q&gt;AOS^CS_EVENT_DATEJ_N("ER",2)&lt;/Q&gt;&lt;R&gt;1&lt;/R&gt;&lt;C&gt;1&lt;/C&gt;&lt;D xsi:type="xsd:long"&gt;46226&lt;/D&gt;&lt;/FQL&gt;&lt;FQL&gt;&lt;Q&gt;AOS^CS_EVENT_TIME_N("ER",2)&lt;/Q&gt;&lt;R&gt;1&lt;/R&gt;&lt;C&gt;1&lt;/C&gt;&lt;D xsi:type="xsd:string"&gt;Unspecified&lt;/D&gt;&lt;/FQL&gt;&lt;FQL&gt;&lt;Q&gt;AOS^CS_EVENT_DESC_N("ER",2)&lt;/Q&gt;&lt;R&gt;1&lt;/R&gt;&lt;C&gt;1&lt;/C&gt;&lt;D xsi:type="xsd:string"&gt;Q2 2026 Earnings Release (Projected)&lt;/D&gt;&lt;/FQL&gt;&lt;FQL&gt;&lt;Q&gt;NEM^CS_EVENT_DATEJ_N("ER",2)&lt;/Q&gt;&lt;R&gt;1&lt;/R&gt;&lt;C&gt;1&lt;/C&gt;&lt;D xsi:type="xsd:long"&gt;46232&lt;/D&gt;&lt;/FQL&gt;&lt;FQL&gt;&lt;Q&gt;NEM^CS_EVENT_TIME_N("ER",2)&lt;/Q&gt;&lt;R&gt;1&lt;/R&gt;&lt;C&gt;1&lt;/C&gt;&lt;D xsi:type="xsd:string"&gt;Unspecified&lt;/D&gt;&lt;/FQL&gt;&lt;FQL&gt;&lt;Q&gt;NEM^CS_EVENT_DESC_N("ER",2)&lt;/Q&gt;&lt;R&gt;1&lt;/R&gt;&lt;C&gt;1&lt;/C&gt;&lt;D xsi:type="xsd:string"&gt;Q2 2026 Earnings Release (Projected)&lt;/D&gt;&lt;/FQL&gt;&lt;FQL&gt;&lt;Q&gt;KIM^CS_EVENT_DATEJ_N("ER",2)&lt;/Q&gt;&lt;R&gt;1&lt;/R&gt;&lt;C&gt;1&lt;/C&gt;&lt;D xsi:type="xsd:long"&gt;46226&lt;/D&gt;&lt;/FQL&gt;&lt;FQL&gt;&lt;Q&gt;KIM^CS_EVENT_TIME_N("ER",2)&lt;/Q&gt;&lt;R&gt;1&lt;/R&gt;&lt;C&gt;1&lt;/C&gt;&lt;D xsi:type="xsd:string"&gt;Unspecified&lt;/D&gt;&lt;/FQL&gt;&lt;FQL&gt;&lt;Q&gt;KIM^CS_EVENT_DESC_N("ER",2)&lt;/Q&gt;&lt;R&gt;1&lt;/R&gt;&lt;C&gt;1&lt;/C&gt;&lt;D xsi:type="xsd:string"&gt;Q2 2026 Earnings Release (Projected)&lt;/D&gt;&lt;/FQL&gt;&lt;FQL&gt;&lt;Q&gt;HSY^CS_EVENT_DATEJ_N("ER",2)&lt;/Q&gt;&lt;R&gt;1&lt;/R&gt;&lt;C&gt;1&lt;/C&gt;&lt;D xsi:type="xsd:long"&gt;46226&lt;/D&gt;&lt;/FQL&gt;&lt;FQL&gt;&lt;Q&gt;HSY^CS_EVENT_TIME_N("ER",2)&lt;/Q&gt;&lt;R&gt;1&lt;/R&gt;&lt;C&gt;1&lt;/C&gt;&lt;D xsi:type="xsd:string"&gt;Unspecified&lt;/D&gt;&lt;/FQL&gt;&lt;FQL&gt;&lt;Q&gt;HSY^CS_EVENT_DESC_N("ER",2)&lt;/Q&gt;&lt;R&gt;1&lt;/R&gt;&lt;C&gt;1&lt;/C&gt;&lt;D xsi:type="xsd:string"&gt;Q2 2026 Earnings Release (Projected)&lt;/D&gt;&lt;/FQL&gt;&lt;FQL&gt;&lt;Q&gt;VRSN^CS_EVENT_DATEJ_N("ER",2)&lt;/Q&gt;&lt;R&gt;1&lt;/R&gt;&lt;C&gt;1&lt;/C&gt;&lt;D xsi:type="xsd:long"&gt;46226&lt;/D&gt;&lt;/FQL&gt;&lt;FQL&gt;&lt;Q&gt;VRSN^CS_EVENT_TIME_N("ER",2)&lt;/Q&gt;&lt;R&gt;1&lt;/R&gt;&lt;C&gt;1&lt;/C&gt;&lt;D xsi:type="xsd:string"&gt;Unspecified&lt;/D&gt;&lt;/FQL&gt;&lt;FQL&gt;&lt;Q&gt;VRSN^CS_EVENT_DESC_N("ER",2)&lt;/Q&gt;&lt;R&gt;1&lt;/R&gt;&lt;C&gt;1&lt;/C&gt;&lt;D xsi:type="xsd:string"&gt;Q2 2026 Earnings Release (Projected)&lt;/D&gt;&lt;/FQL&gt;&lt;FQL&gt;&lt;Q&gt;CINF^CS_EVENT_DATEJ_N("ER",2)&lt;/Q&gt;&lt;R&gt;1&lt;/R&gt;&lt;C&gt;1&lt;/C&gt;&lt;D xsi:type="xsd:long"&gt;46232&lt;/D&gt;&lt;/FQL&gt;&lt;FQL&gt;&lt;Q&gt;CINF^CS_EVENT_TIME_N("ER",2)&lt;/Q&gt;&lt;R&gt;1&lt;/R&gt;&lt;C&gt;1&lt;/C&gt;&lt;D xsi:type="xsd:string"&gt;Unspecified&lt;/D&gt;&lt;/FQL&gt;&lt;FQL&gt;&lt;Q&gt;CINF^CS_EVENT_DESC_N("ER",2)&lt;/Q&gt;&lt;R&gt;1&lt;/R&gt;&lt;C&gt;1&lt;/C&gt;&lt;D xsi:type="xsd:string"&gt;Q2 2026 Earnings Release (Projected)&lt;/D&gt;&lt;/FQL&gt;&lt;FQL&gt;&lt;Q&gt;AJG^CS_EVENT_DATEJ_N("ER",2)&lt;/Q&gt;&lt;R&gt;1&lt;/R&gt;&lt;C&gt;1&lt;/C&gt;&lt;D xsi:type="xsd:long"&gt;46226&lt;/D&gt;&lt;/FQL&gt;&lt;FQL&gt;&lt;Q&gt;AJG^CS_EVENT_TIME_N("ER",2)&lt;/Q&gt;&lt;R&gt;1&lt;/R&gt;&lt;C&gt;1&lt;/C&gt;&lt;D xsi:type="xsd:string"&gt;Unspecified&lt;/D&gt;&lt;/FQL&gt;&lt;FQL&gt;&lt;Q&gt;AJG^CS_EVENT_DESC_N("ER",2)&lt;/Q&gt;&lt;R&gt;1&lt;/R&gt;&lt;C&gt;1&lt;/C&gt;&lt;D xsi:type="xsd:string"&gt;Q2 2026 Earnings Release (Projected)&lt;/D&gt;&lt;/FQL&gt;&lt;FQL&gt;&lt;Q&gt;WTW^CS_EVENT_DATEJ_N("ER",2)&lt;/Q&gt;&lt;R&gt;1&lt;/R&gt;&lt;C&gt;1&lt;/C&gt;&lt;D xsi:type="xsd:long"&gt;46226&lt;/D&gt;&lt;/FQL&gt;&lt;FQL&gt;&lt;Q&gt;WTW^CS_EVENT_TIME_N("ER",2)&lt;/Q&gt;&lt;R&gt;1&lt;/R&gt;&lt;C&gt;1&lt;/C&gt;&lt;D xsi:type="xsd:string"&gt;Unspecified&lt;/D&gt;&lt;/FQL&gt;&lt;FQL&gt;&lt;Q&gt;WTW^CS_EVENT_DESC_N("ER",2)&lt;/Q&gt;&lt;R&gt;1&lt;/R&gt;&lt;C&gt;1&lt;/C&gt;&lt;D xsi:type="xsd:string"&gt;Q2 2026 Earnings Release (Projected)&lt;/D&gt;&lt;/FQL&gt;&lt;FQL&gt;&lt;Q&gt;GILD^CS_EVENT_DATEJ_N("ER",2)&lt;/Q&gt;&lt;R&gt;1&lt;/R&gt;&lt;C&gt;1&lt;/C&gt;&lt;D xsi:type="xsd:long"&gt;46317&lt;/D&gt;&lt;/FQL&gt;&lt;FQL&gt;&lt;Q&gt;GILD^CS_EVENT_TIME_N("ER",2)&lt;/Q&gt;&lt;R&gt;1&lt;/R&gt;&lt;C&gt;1&lt;/C&gt;&lt;D xsi:type="xsd:string"&gt;Unspecified&lt;/D&gt;&lt;/FQL&gt;&lt;FQL&gt;&lt;Q&gt;GILD^CS_EVENT_DESC_N("ER",2)&lt;/Q&gt;&lt;R&gt;1&lt;/R&gt;&lt;C&gt;1&lt;/C&gt;&lt;D xsi:type="xsd:string"&gt;Q3 2026 Earnings Release (Projected)&lt;/D&gt;&lt;/FQL&gt;&lt;FQL&gt;&lt;Q&gt;ERIE^CS_EVENT_DATEJ_N("ER",2)&lt;/Q&gt;&lt;R&gt;1&lt;/R&gt;&lt;C&gt;1&lt;/C&gt;&lt;D xsi:type="xsd:long"&gt;46226&lt;/D&gt;&lt;/FQL&gt;&lt;FQL&gt;&lt;Q&gt;ERIE^CS_EVENT_TIME_N("ER",2)&lt;/Q&gt;&lt;R&gt;1&lt;/R&gt;&lt;C&gt;1&lt;/C&gt;&lt;D xsi:type="xsd:string"&gt;Unspecified&lt;/D&gt;&lt;/FQL&gt;&lt;FQL&gt;&lt;Q&gt;ERIE^CS_EVENT_DESC_N("ER",2)&lt;/Q&gt;&lt;R&gt;1&lt;/R&gt;&lt;C&gt;1&lt;/C&gt;&lt;D xsi:type="xsd:string"&gt;Q2 2026 Earnings Release (Projected)&lt;/D&gt;&lt;/FQL&gt;&lt;FQL&gt;&lt;Q&gt;DOV^CS_EVENT_DATEJ_N("ER",2)&lt;/Q&gt;&lt;R&gt;1&lt;/R&gt;&lt;C&gt;1&lt;/C&gt;&lt;D xsi:type="xsd:long"&gt;46226&lt;/D&gt;&lt;/FQL&gt;&lt;FQL&gt;&lt;Q&gt;DOV^CS_EVENT_TIME_N("ER",2)&lt;/Q&gt;&lt;R&gt;1&lt;/R&gt;&lt;C&gt;1&lt;/C&gt;&lt;D xsi:type="xsd:string"&gt;Unspecified&lt;/D&gt;&lt;/FQL&gt;&lt;FQL&gt;&lt;Q&gt;DOV^CS_EVENT_DESC_N("ER",2)&lt;/Q&gt;&lt;R&gt;1&lt;/R&gt;&lt;C&gt;1&lt;/C&gt;&lt;D xsi:type="xsd:string"&gt;Q2 2026 Earnings Release (Projected)&lt;/D&gt;&lt;/FQL&gt;&lt;FQL&gt;&lt;Q&gt;DTE^CS_EVENT_DATEJ_N("ER",2)&lt;/Q&gt;&lt;R&gt;1&lt;/R&gt;&lt;C&gt;1&lt;/C&gt;&lt;D xsi:type="xsd:long"&gt;46226&lt;/D&gt;&lt;/FQL&gt;&lt;FQL&gt;&lt;Q&gt;DTE^CS_EVENT_TIME_N("ER",2)&lt;/Q&gt;&lt;R&gt;1&lt;/R&gt;&lt;C&gt;1&lt;/C&gt;&lt;D xsi:type="xsd:string"&gt;Unspecified&lt;/D&gt;&lt;/FQL&gt;&lt;FQL&gt;&lt;Q&gt;DTE^CS_EVENT_DESC_N("ER",2)&lt;/Q&gt;&lt;R&gt;1&lt;/R&gt;&lt;C&gt;1&lt;/C&gt;&lt;D xsi:type="xsd:string"&gt;Q2 2026 Earnings Release (Projected)&lt;/D&gt;&lt;/FQL&gt;&lt;FQL&gt;&lt;Q&gt;HAS^CS_EVENT_DATEJ_N("ER",2)&lt;/Q&gt;&lt;R&gt;1&lt;/R&gt;&lt;C&gt;1&lt;/C&gt;&lt;D xsi:type="xsd:long"&gt;46232&lt;/D&gt;&lt;/FQL&gt;&lt;FQL&gt;&lt;Q&gt;HAS^CS_EVENT_TIME_N("ER",2)&lt;/Q&gt;&lt;R&gt;1&lt;/R&gt;&lt;C&gt;1&lt;/C&gt;&lt;D xsi:type="xsd:string"&gt;Unspecified&lt;/D&gt;&lt;/FQL&gt;&lt;FQL&gt;&lt;Q&gt;HAS^CS_EVENT_DESC_N("ER",2)&lt;/Q&gt;&lt;R&gt;1&lt;/R&gt;&lt;C&gt;1&lt;/C&gt;&lt;D xsi:type="xsd:string"&gt;Q2 2026 Earnings Release (Projected)&lt;/D&gt;&lt;/FQL&gt;&lt;FQL&gt;&lt;Q&gt;AMZN^CS_EVENT_DATEJ_N("ER",2)&lt;/Q&gt;&lt;R&gt;1&lt;/R&gt;&lt;C&gt;1&lt;/C&gt;&lt;D xsi:type="xsd:long"&gt;46233&lt;/D&gt;&lt;/FQL&gt;&lt;FQL&gt;&lt;Q&gt;AMZN^CS_EVENT_TIME_N("ER",2)&lt;/Q&gt;&lt;R&gt;1&lt;/R&gt;&lt;C&gt;1&lt;/C&gt;&lt;D xsi:type="xsd:string"&gt;Unspecified&lt;/D&gt;&lt;/FQL&gt;&lt;FQL&gt;&lt;Q&gt;AMZN^CS_EVENT_DESC_N("ER",2)&lt;/Q&gt;&lt;R&gt;1&lt;/R&gt;&lt;C&gt;1&lt;/C&gt;&lt;D xsi:type="xsd:string"&gt;Q2 2026 Earnings Release (Projected)&lt;/D&gt;&lt;/FQL&gt;&lt;FQL&gt;&lt;Q&gt;HIG^CS_EVENT_DATEJ_N("ER",2)&lt;/Q&gt;&lt;R&gt;1&lt;/R&gt;&lt;C&gt;1&lt;/C&gt;&lt;D xsi:type="xsd:long"&gt;46226&lt;/D&gt;&lt;/FQL&gt;&lt;FQL&gt;&lt;Q&gt;HIG^CS_EVENT_TIME_N("ER",2)&lt;/Q&gt;&lt;R&gt;1&lt;/R&gt;&lt;C&gt;1&lt;/C&gt;&lt;D xsi:type="xsd:string"&gt;Unspecified&lt;/D&gt;&lt;/FQL&gt;&lt;FQL&gt;&lt;Q&gt;HIG^CS_EVENT_DESC_N("ER",2)&lt;/Q&gt;&lt;R&gt;1&lt;/R&gt;&lt;C&gt;1&lt;/C&gt;&lt;D xsi:type="xsd:string"&gt;Q2 2026 Earnings Release (Projected)&lt;/D&gt;&lt;/FQL&gt;&lt;FQL&gt;&lt;Q&gt;HBAN^CS_EVENT_DATEJ_N("ER",2)&lt;/Q&gt;&lt;R&gt;1&lt;/R&gt;&lt;C&gt;1&lt;/C&gt;&lt;D xsi:type="xsd:long"&gt;46226&lt;/D&gt;&lt;/FQL&gt;&lt;FQL&gt;&lt;Q&gt;HBAN^CS_EVENT_TIME_N("ER",2)&lt;/Q&gt;&lt;R&gt;1&lt;/R&gt;&lt;C&gt;1&lt;/C&gt;&lt;D xsi:type="xsd:string"&gt;Before Market&lt;/D&gt;&lt;/FQL&gt;&lt;FQL&gt;&lt;Q&gt;HBAN^CS_EVENT_DESC_N("ER",2)&lt;/Q&gt;&lt;R&gt;1&lt;/R&gt;&lt;C&gt;1&lt;/C&gt;&lt;D xsi:type="xsd:string"&gt;Q2 2026 Earnings Release&lt;/D&gt;&lt;/FQL&gt;&lt;FQL&gt;&lt;Q&gt;EME^CS_EVENT_DATEJ_N("ER",2)&lt;/Q&gt;&lt;R&gt;1&lt;/R&gt;&lt;C&gt;1&lt;/C&gt;&lt;D xsi:type="xsd:long"&gt;46226&lt;/D&gt;&lt;/FQL&gt;&lt;FQL&gt;&lt;Q&gt;EME^CS_EVENT_TIME_N("ER",2)&lt;/Q&gt;&lt;R&gt;1&lt;/R&gt;&lt;C&gt;1&lt;/C&gt;&lt;D xsi:type="xsd:string"&gt;Unspecified&lt;/D&gt;&lt;/FQL&gt;&lt;FQL&gt;&lt;Q&gt;EME^CS_EVENT_DESC_N("ER",2)&lt;/Q&gt;&lt;R&gt;1&lt;/R&gt;&lt;C&gt;1&lt;/C&gt;&lt;D xsi:type="xsd:string"&gt;Q2 2026 Earnings Release (Projected)&lt;/D&gt;&lt;/FQL&gt;&lt;FQL&gt;&lt;Q&gt;KLAC^CS_EVENT_DATEJ_N("ER",2)&lt;/Q&gt;&lt;R&gt;1&lt;/R&gt;&lt;C&gt;1&lt;/C&gt;&lt;D xsi:type="xsd:long"&gt;46226&lt;/D&gt;&lt;/FQL&gt;&lt;FQL&gt;&lt;Q&gt;KLAC^CS_EVENT_TIME_N("ER",2)&lt;/Q&gt;&lt;R&gt;1&lt;/R&gt;&lt;C&gt;1&lt;/C&gt;&lt;D xsi:type="xsd:string"&gt;Unspecified&lt;/D&gt;&lt;/FQL&gt;&lt;FQL&gt;&lt;Q&gt;KLAC^CS_EVENT_DESC_N("ER",2)&lt;/Q&gt;&lt;R&gt;1&lt;/R&gt;&lt;C&gt;1&lt;/C&gt;&lt;D xsi:type="xsd:string"&gt;Q4 2026 Earnings Release (Projected)&lt;/D&gt;&lt;/FQL&gt;&lt;FQL&gt;&lt;Q&gt;TROW^CS_EVENT_DATEJ_N("ER",2)&lt;/Q&gt;&lt;R&gt;1&lt;/R&gt;&lt;C&gt;1&lt;/C&gt;&lt;D xsi:type="xsd:long"&gt;46226&lt;/D&gt;&lt;/FQL&gt;&lt;FQL&gt;&lt;Q&gt;TROW^CS_EVENT_TIME_N("ER",2)&lt;/Q&gt;&lt;R&gt;1&lt;/R&gt;&lt;C&gt;1&lt;/C&gt;&lt;D xsi:type="xsd:string"&gt;Unspecified&lt;/D&gt;&lt;/FQL&gt;&lt;FQL&gt;&lt;Q&gt;TROW^CS_EVENT_DESC_N("ER",2)&lt;/Q&gt;&lt;R&gt;1&lt;/R&gt;&lt;C&gt;1&lt;/C&gt;&lt;D xsi:type="xsd:string"&gt;Q2 2026 Earnings Release (Projected)&lt;/D&gt;&lt;/FQL&gt;&lt;FQL&gt;&lt;Q&gt;AXP^CS_EVENT_DATEJ_N("ER",2)&lt;/Q&gt;&lt;R&gt;1&lt;/R&gt;&lt;C&gt;1&lt;/C&gt;&lt;D xsi:type="xsd:long"&gt;46227&lt;/D&gt;&lt;/FQL&gt;&lt;FQL&gt;&lt;Q&gt;AXP^CS_EVENT_TIME_N("ER",2)&lt;/Q&gt;&lt;R&gt;1&lt;/R&gt;&lt;C&gt;1&lt;/C&gt;&lt;D xsi:type="xsd:string"&gt;7:00 AM&lt;/D&gt;&lt;/FQL&gt;&lt;FQL&gt;&lt;Q&gt;AXP^CS_EVENT_DESC_N("ER",2)&lt;/Q&gt;&lt;R&gt;1&lt;/R&gt;&lt;C&gt;1&lt;/C&gt;&lt;D xsi:type="xsd:string"&gt;Q2 2026 Earnings Release&lt;/D&gt;&lt;/FQL&gt;&lt;FQL&gt;&lt;Q&gt;CNP^CS_EVENT_DATEJ_N("ER",2)&lt;/Q&gt;&lt;R&gt;1&lt;/R&gt;&lt;C&gt;1&lt;/C&gt;&lt;D xsi:type="xsd:long"&gt;46238&lt;/D&gt;&lt;/FQL&gt;&lt;FQL&gt;&lt;Q&gt;CNP^CS_EVENT_TIME_N("ER",2)&lt;/Q&gt;&lt;R&gt;1&lt;/R&gt;&lt;C&gt;1&lt;/C&gt;&lt;D xsi:type="xsd:string"&gt;Unspecified&lt;/D&gt;&lt;/FQL&gt;&lt;FQL&gt;&lt;Q&gt;CNP^CS_EVENT_DESC_N("ER",2)&lt;/Q&gt;&lt;R&gt;1&lt;/R&gt;&lt;C&gt;1&lt;/C&gt;&lt;D xsi:type="xsd:string"&gt;Q2 2026 Earnings Release (Projected)&lt;/D&gt;&lt;/FQL&gt;&lt;FQL&gt;&lt;Q&gt;WDC^CS_EVENT_DATEJ_N("ER",2)&lt;/Q&gt;&lt;R&gt;1&lt;/R&gt;&lt;C&gt;1&lt;/C&gt;&lt;D xsi:type="xsd:long"&gt;46239&lt;/D&gt;&lt;/FQL&gt;&lt;FQL&gt;&lt;Q&gt;WDC^CS_EVENT_TIME_N("ER",2)&lt;/Q&gt;&lt;R&gt;1&lt;/R&gt;&lt;C&gt;1&lt;/C&gt;&lt;D xsi:type="xsd:string"&gt;Unspecified&lt;/D&gt;&lt;/FQL&gt;&lt;FQL&gt;&lt;Q&gt;WDC^CS_EVENT_DESC_N("ER",2)&lt;/Q&gt;&lt;R&gt;1&lt;/R&gt;&lt;C&gt;1&lt;/C&gt;&lt;D xsi:type="xsd:string"&gt;Q4 2026 Earnings Release (Projected)&lt;/D&gt;&lt;/FQL&gt;&lt;FQL&gt;&lt;Q&gt;PFG^CS_EVENT_DATEJ_N("ER",2)&lt;/Q&gt;&lt;R&gt;1&lt;/R&gt;&lt;C&gt;1&lt;/C&gt;&lt;D xsi:type="xsd:long"&gt;46226&lt;/D&gt;&lt;/FQL&gt;&lt;FQL&gt;&lt;Q&gt;PFG^CS_EVENT_TIME_N("ER",2)&lt;/Q&gt;&lt;R&gt;1&lt;/R&gt;&lt;C&gt;1&lt;/C&gt;&lt;D xsi:type="xsd:string"&gt;Unspecified&lt;/D&gt;&lt;/FQL&gt;&lt;FQL&gt;&lt;Q&gt;PFG^CS_EVENT_DESC_N("ER",2)&lt;/Q&gt;&lt;R&gt;1&lt;/R&gt;&lt;C&gt;1&lt;/C&gt;&lt;D xsi:type="xsd:string"&gt;Q2 2026 Earnings Release (Projected)&lt;/D&gt;&lt;/FQL&gt;&lt;FQL&gt;&lt;Q&gt;INTC^CS_EVENT_DATEJ_N("ER",2)&lt;/Q&gt;&lt;R&gt;1&lt;/R&gt;&lt;C&gt;1&lt;/C&gt;&lt;D xsi:type="xsd:long"&gt;46226&lt;/D&gt;&lt;/FQL&gt;&lt;FQL&gt;&lt;Q&gt;INTC^CS_EVENT_TIME_N("ER",2)&lt;/Q&gt;&lt;R&gt;1&lt;/R&gt;&lt;C&gt;1&lt;/C&gt;&lt;D xsi:type="xsd:string"&gt;Unspecified&lt;/D&gt;&lt;/FQL&gt;&lt;FQL&gt;&lt;Q&gt;INTC^CS_EVENT_DESC_N("ER",2)&lt;/Q&gt;&lt;R&gt;1&lt;/R&gt;&lt;C&gt;1&lt;/C&gt;&lt;D xsi:type="xsd:string"&gt;Q2 2026 Earnings Release (Projected)&lt;/D&gt;&lt;/FQL&gt;&lt;FQL&gt;&lt;Q&gt;FE^CS_EVENT_DATEJ_N("ER",2)&lt;/Q&gt;&lt;R&gt;1&lt;/R&gt;&lt;C&gt;1&lt;/C&gt;&lt;D xsi:type="xsd:long"&gt;46238&lt;/D&gt;&lt;/FQL&gt;&lt;FQL&gt;&lt;Q&gt;FE^CS_EVENT_TIME_N("ER",2)&lt;/Q&gt;&lt;R&gt;1&lt;/R&gt;&lt;C&gt;1&lt;/C&gt;&lt;D xsi:type="xsd:string"&gt;Unspecified&lt;/D&gt;&lt;/FQL&gt;&lt;FQL&gt;&lt;Q&gt;FE^CS_EVENT_DESC_N("ER",2)&lt;/Q&gt;&lt;R&gt;1&lt;/R&gt;&lt;C&gt;1&lt;/C&gt;&lt;D xsi:type="xsd:string"&gt;Q2 2026 Earnings Release (Projected)&lt;/D&gt;&lt;/FQL&gt;&lt;FQL&gt;&lt;Q&gt;CAT^CS_EVENT_DATEJ_N("ER",2)&lt;/Q&gt;&lt;R&gt;1&lt;/R&gt;&lt;C&gt;1&lt;/C&gt;&lt;D xsi:type="xsd:long"&gt;46238&lt;/D&gt;&lt;/FQL&gt;&lt;FQL&gt;&lt;Q&gt;CAT^CS_EVENT_TIME_N("ER",2)&lt;/Q&gt;&lt;R&gt;1&lt;/R&gt;&lt;C&gt;1&lt;/C&gt;&lt;D xsi:type="xsd:string"&gt;Unspecified&lt;/D&gt;&lt;/FQL&gt;&lt;FQL&gt;&lt;Q&gt;CAT^CS_EVENT_DESC_N("ER",2)&lt;/Q&gt;&lt;R&gt;1&lt;/R&gt;&lt;C&gt;1&lt;/C&gt;&lt;D xsi:type="xsd:string"&gt;Q2 2026 Earnings Release (Projected)&lt;/D&gt;&lt;/FQL&gt;&lt;FQL&gt;&lt;Q&gt;MCD^CS_EVENT_DATEJ_N("ER",2)&lt;/Q&gt;&lt;R&gt;1&lt;/R&gt;&lt;C&gt;1&lt;/C&gt;&lt;D xsi:type="xsd:long"&gt;46232&lt;/D&gt;&lt;/FQL&gt;&lt;FQL&gt;&lt;Q&gt;MCD^CS_EVENT_TIME_N("ER",2)&lt;/Q&gt;&lt;R&gt;1&lt;/R&gt;&lt;C&gt;1&lt;/C&gt;&lt;D xsi:type="xsd:string"&gt;Unspecified&lt;/D&gt;&lt;/FQL&gt;&lt;FQL&gt;&lt;Q&gt;MCD^CS_EVENT_DESC_N("ER",2)&lt;/Q&gt;&lt;R&gt;1&lt;/R&gt;&lt;C&gt;1&lt;/C&gt;&lt;D xsi:type="xsd:string"&gt;Q2 2026 Earnings Release (Projected)&lt;/D&gt;&lt;/FQL&gt;&lt;FQL&gt;&lt;Q&gt;UNP^CS_EVENT_DATEJ_N("ER",2)&lt;/Q&gt;&lt;R&gt;1&lt;/R&gt;&lt;C&gt;1&lt;/C&gt;&lt;D xsi:type="xsd:long"&gt;46226&lt;/D&gt;&lt;/FQL&gt;&lt;FQL&gt;&lt;Q&gt;UNP^CS_EVENT_TIME_N("ER",2)&lt;/Q&gt;&lt;R&gt;1&lt;/R&gt;&lt;C&gt;1&lt;/C&gt;&lt;D xsi:type="xsd:string"&gt;Unspecified&lt;/D&gt;&lt;/FQL&gt;&lt;FQL&gt;&lt;Q&gt;UNP^CS_EVENT_DESC_N("ER",2)&lt;/Q&gt;&lt;R&gt;1&lt;/R&gt;&lt;C&gt;1&lt;/C&gt;&lt;D xsi:type="xsd:string"&gt;Q2 2026 Earnings Release (Projected)&lt;/D&gt;&lt;/FQL&gt;&lt;FQL&gt;&lt;Q&gt;XEL^CS_EVENT_DATEJ_N("ER",2)&lt;/Q&gt;&lt;R&gt;1&lt;/R&gt;&lt;C&gt;1&lt;/C&gt;&lt;D xsi:type="xs</t>
        </r>
      </text>
    </comment>
    <comment ref="A18" authorId="0" shapeId="0" xr:uid="{C8AA1B81-D1E1-4529-A079-617AD64A4836}">
      <text>
        <r>
          <rPr>
            <b/>
            <sz val="9"/>
            <color indexed="81"/>
            <rFont val="Tahoma"/>
            <family val="2"/>
          </rPr>
          <t>d:long"&gt;46226&lt;/D&gt;&lt;/FQL&gt;&lt;FQL&gt;&lt;Q&gt;XEL^CS_EVENT_TIME_N("ER",2)&lt;/Q&gt;&lt;R&gt;1&lt;/R&gt;&lt;C&gt;1&lt;/C&gt;&lt;D xsi:type="xsd:string"&gt;Unspecified&lt;/D&gt;&lt;/FQL&gt;&lt;FQL&gt;&lt;Q&gt;XEL^CS_EVENT_DESC_N("ER",2)&lt;/Q&gt;&lt;R&gt;1&lt;/R&gt;&lt;C&gt;1&lt;/C&gt;&lt;D xsi:type="xsd:string"&gt;Q2 2026 Earnings Release (Projected)&lt;/D&gt;&lt;/FQL&gt;&lt;FQL&gt;&lt;Q&gt;CMS^CS_EVENT_DATEJ_N("ER",2)&lt;/Q&gt;&lt;R&gt;1&lt;/R&gt;&lt;C&gt;1&lt;/C&gt;&lt;D xsi:type="xsd:long"&gt;46226&lt;/D&gt;&lt;/FQL&gt;&lt;FQL&gt;&lt;Q&gt;CMS^CS_EVENT_TIME_N("ER",2)&lt;/Q&gt;&lt;R&gt;1&lt;/R&gt;&lt;C&gt;1&lt;/C&gt;&lt;D xsi:type="xsd:string"&gt;Unspecified&lt;/D&gt;&lt;/FQL&gt;&lt;FQL&gt;&lt;Q&gt;CMS^CS_EVENT_DESC_N("ER",2)&lt;/Q&gt;&lt;R&gt;1&lt;/R&gt;&lt;C&gt;1&lt;/C&gt;&lt;D xsi:type="xsd:string"&gt;Q2 2026 Earnings Release (Projected)&lt;/D&gt;&lt;/FQL&gt;&lt;FQL&gt;&lt;Q&gt;MA^CS_EVENT_DATEJ_N("ER",2)&lt;/Q&gt;&lt;R&gt;1&lt;/R&gt;&lt;C&gt;1&lt;/C&gt;&lt;D xsi:type="xsd:long"&gt;46226&lt;/D&gt;&lt;/FQL&gt;&lt;FQL&gt;&lt;Q&gt;MA^CS_EVENT_TIME_N("ER",2)&lt;/Q&gt;&lt;R&gt;1&lt;/R&gt;&lt;C&gt;1&lt;/C&gt;&lt;D xsi:type="xsd:string"&gt;Unspecified&lt;/D&gt;&lt;/FQL&gt;&lt;FQL&gt;&lt;Q&gt;MA^CS_EVENT_DESC_N("ER",2)&lt;/Q&gt;&lt;R&gt;1&lt;/R&gt;&lt;C&gt;1&lt;/C&gt;&lt;D xsi:type="xsd:string"&gt;Q2 2026 Earnings Release (Projected)&lt;/D&gt;&lt;/FQL&gt;&lt;FQL&gt;&lt;Q&gt;DXCM^CS_EVENT_DATEJ_N("ER",2)&lt;/Q&gt;&lt;R&gt;1&lt;/R&gt;&lt;C&gt;1&lt;/C&gt;&lt;D xsi:type="xsd:long"&gt;46226&lt;/D&gt;&lt;/FQL&gt;&lt;FQL&gt;&lt;Q&gt;DXCM^CS_EVENT_TIME_N("ER",2)&lt;/Q&gt;&lt;R&gt;1&lt;/R&gt;&lt;C&gt;1&lt;/C&gt;&lt;D xsi:type="xsd:string"&gt;Unspecified&lt;/D&gt;&lt;/FQL&gt;&lt;FQL&gt;&lt;Q&gt;DXCM^CS_EVENT_DESC_N("ER",2)&lt;/Q&gt;&lt;R&gt;1&lt;/R&gt;&lt;C&gt;1&lt;/C&gt;&lt;D xsi:type="xsd:string"&gt;Q2 2026 Earnings Release (Projected)&lt;/D&gt;&lt;/FQL&gt;&lt;FQL&gt;&lt;Q&gt;ALLE^CS_EVENT_DATEJ_N("ER",2)&lt;/Q&gt;&lt;R&gt;1&lt;/R&gt;&lt;C&gt;1&lt;/C&gt;&lt;D xsi:type="xsd:long"&gt;46226&lt;/D&gt;&lt;/FQL&gt;&lt;FQL&gt;&lt;Q&gt;ALLE^CS_EVENT_TIME_N("ER",2)&lt;/Q&gt;&lt;R&gt;1&lt;/R&gt;&lt;C&gt;1&lt;/C&gt;&lt;D xsi:type="xsd:string"&gt;Unspecified&lt;/D&gt;&lt;/FQL&gt;&lt;FQL&gt;&lt;Q&gt;ALLE^CS_EVENT_DESC_N("ER",2)&lt;/Q&gt;&lt;R&gt;1&lt;/R&gt;&lt;C&gt;1&lt;/C&gt;&lt;D xsi:type="xsd:string"&gt;Q2 2026 Earnings Release (Projected)&lt;/D&gt;&lt;/FQL&gt;&lt;FQL&gt;&lt;Q&gt;DLR^CS_EVENT_DATEJ_N("ER",2)&lt;/Q&gt;&lt;R&gt;1&lt;/R&gt;&lt;C&gt;1&lt;/C&gt;&lt;D xsi:type="xsd:long"&gt;46226&lt;/D&gt;&lt;/FQL&gt;&lt;FQL&gt;&lt;Q&gt;DLR^CS_EVENT_TIME_N("ER",2)&lt;/Q&gt;&lt;R&gt;1&lt;/R&gt;&lt;C&gt;1&lt;/C&gt;&lt;D xsi:type="xsd:string"&gt;Unspecified&lt;/D&gt;&lt;/FQL&gt;&lt;FQL&gt;&lt;Q&gt;DLR^CS_EVENT_DESC_N("ER",2)&lt;/Q&gt;&lt;R&gt;1&lt;/R&gt;&lt;C&gt;1&lt;/C&gt;&lt;D xsi:type="xsd:string"&gt;Q2 2026 Earnings Release (Projected)&lt;/D&gt;&lt;/FQL&gt;&lt;FQL&gt;&lt;Q&gt;KDP^CS_EVENT_DATEJ_N("ER",2)&lt;/Q&gt;&lt;R&gt;1&lt;/R&gt;&lt;C&gt;1&lt;/C&gt;&lt;D xsi:type="xsd:long"&gt;46226&lt;/D&gt;&lt;/FQL&gt;&lt;FQL&gt;&lt;Q&gt;KDP^CS_EVENT_TIME_N("ER",2)&lt;/Q&gt;&lt;R&gt;1&lt;/R&gt;&lt;C&gt;1&lt;/C&gt;&lt;D xsi:type="xsd:string"&gt;Unspecified&lt;/D&gt;&lt;/FQL&gt;&lt;FQL&gt;&lt;Q&gt;KDP^CS_EVENT_DESC_N("ER",2)&lt;/Q&gt;&lt;R&gt;1&lt;/R&gt;&lt;C&gt;1&lt;/C&gt;&lt;D xsi:type="xsd:string"&gt;Q2 2026 Earnings Release (Projected)&lt;/D&gt;&lt;/FQL&gt;&lt;FQL&gt;&lt;Q&gt;BKR^CS_EVENT_DATEJ_N("ER",2)&lt;/Q&gt;&lt;R&gt;1&lt;/R&gt;&lt;C&gt;1&lt;/C&gt;&lt;D xsi:type="xsd:long"&gt;46225&lt;/D&gt;&lt;/FQL&gt;&lt;FQL&gt;&lt;Q&gt;BKR^CS_EVENT_TIME_N("ER",2)&lt;/Q&gt;&lt;R&gt;1&lt;/R&gt;&lt;C&gt;1&lt;/C&gt;&lt;D xsi:type="xsd:string"&gt;Unspecified&lt;/D&gt;&lt;/FQL&gt;&lt;FQL&gt;&lt;Q&gt;BKR^CS_EVENT_DESC_N("ER",2)&lt;/Q&gt;&lt;R&gt;1&lt;/R&gt;&lt;C&gt;1&lt;/C&gt;&lt;D xsi:type="xsd:string"&gt;Q2 2026 Earnings Release (Projected)&lt;/D&gt;&lt;/FQL&gt;&lt;FQL&gt;&lt;Q&gt;CMCSA^CS_EVENT_DATEJ_N("ER",2)&lt;/Q&gt;&lt;R&gt;1&lt;/R&gt;&lt;C&gt;1&lt;/C&gt;&lt;D xsi:type="xsd:long"&gt;46226&lt;/D&gt;&lt;/FQL&gt;&lt;FQL&gt;&lt;Q&gt;CMCSA^CS_EVENT_TIME_N("ER",2)&lt;/Q&gt;&lt;R&gt;1&lt;/R&gt;&lt;C&gt;1&lt;/C&gt;&lt;D xsi:type="xsd:string"&gt;Unspecified&lt;/D&gt;&lt;/FQL&gt;&lt;FQL&gt;&lt;Q&gt;CMCSA^CS_EVENT_DESC_N("ER",2)&lt;/Q&gt;&lt;R&gt;1&lt;/R&gt;&lt;C&gt;1&lt;/C&gt;&lt;D xsi:type="xsd:string"&gt;Q2 2026 Earnings Release (Projected)&lt;/D&gt;&lt;/FQL&gt;&lt;FQL&gt;&lt;Q&gt;CBRE^CS_EVENT_DATEJ_N("ER",2)&lt;/Q&gt;&lt;R&gt;1&lt;/R&gt;&lt;C&gt;1&lt;/C&gt;&lt;D xsi:type="xsd:long"&gt;46226&lt;/D&gt;&lt;/FQL&gt;&lt;FQL&gt;&lt;Q&gt;CBRE^CS_EVENT_TIME_N("ER",2)&lt;/Q&gt;&lt;R&gt;1&lt;/R&gt;&lt;C&gt;1&lt;/C&gt;&lt;D xsi:type="xsd:string"&gt;Unspecified&lt;/D&gt;&lt;/FQL&gt;&lt;FQL&gt;&lt;Q&gt;CBRE^CS_EVENT_DESC_N("ER",2)&lt;/Q&gt;&lt;R&gt;1&lt;/R&gt;&lt;C&gt;1&lt;/C&gt;&lt;D xsi:type="xsd:string"&gt;Q2 2026 Earnings Release (Projected)&lt;/D&gt;&lt;/FQL&gt;&lt;FQL&gt;&lt;Q&gt;DOC^CS_EVENT_DATEJ_N("ER",2)&lt;/Q&gt;&lt;R&gt;1&lt;/R&gt;&lt;C&gt;1&lt;/C&gt;&lt;D xsi:type="xsd:long"&gt;46226&lt;/D&gt;&lt;/FQL&gt;&lt;FQL&gt;&lt;Q&gt;DOC^CS_EVENT_TIME_N("ER",2)&lt;/Q&gt;&lt;R&gt;1&lt;/R&gt;&lt;C&gt;1&lt;/C&gt;&lt;D xsi:type="xsd:string"&gt;Unspecified&lt;/D&gt;&lt;/FQL&gt;&lt;FQL&gt;&lt;Q&gt;DOC^CS_EVENT_DESC_N("ER",2)&lt;/Q&gt;&lt;R&gt;1&lt;/R&gt;&lt;C&gt;1&lt;/C&gt;&lt;D xsi:type="xsd:string"&gt;Q2 2026 Earnings Release (Projected)&lt;/D&gt;&lt;/FQL&gt;&lt;FQL&gt;&lt;Q&gt;AMP^CS_EVENT_DATEJ_N("ER",2)&lt;/Q&gt;&lt;R&gt;1&lt;/R&gt;&lt;C&gt;1&lt;/C&gt;&lt;D xsi:type="xsd:long"&gt;46232&lt;/D&gt;&lt;/FQL&gt;&lt;FQL&gt;&lt;Q&gt;AMP^CS_EVENT_TIME_N("ER",2)&lt;/Q&gt;&lt;R&gt;1&lt;/R&gt;&lt;C&gt;1&lt;/C&gt;&lt;D xsi:type="xsd:string"&gt;Unspecified&lt;/D&gt;&lt;/FQL&gt;&lt;FQL&gt;&lt;Q&gt;AMP^CS_EVENT_DESC_N("ER",2)&lt;/Q&gt;&lt;R&gt;1&lt;/R&gt;&lt;C&gt;1&lt;/C&gt;&lt;D xsi:type="xsd:string"&gt;Q2 2026 Earnings Release (Projected)&lt;/D&gt;&lt;/FQL&gt;&lt;FQL&gt;&lt;Q&gt;FSLR^CS_EVENT_DATEJ_N("ER",2)&lt;/Q&gt;&lt;R&gt;1&lt;/R&gt;&lt;C&gt;1&lt;/C&gt;&lt;D xsi:type="xsd:long"&gt;46226&lt;/D&gt;&lt;/FQL&gt;&lt;FQL&gt;&lt;Q&gt;FSLR^CS_EVENT_TIME_N("ER",2)&lt;/Q&gt;&lt;R&gt;1&lt;/R&gt;&lt;C&gt;1&lt;/C&gt;&lt;D xsi:type="xsd:string"&gt;Unspecified&lt;/D&gt;&lt;/FQL&gt;&lt;FQL&gt;&lt;Q&gt;FSLR^CS_EVENT_DESC_N("ER",2)&lt;/Q&gt;&lt;R&gt;1&lt;/R&gt;&lt;C&gt;1&lt;/C&gt;&lt;D xsi:type="xsd:string"&gt;Q2 2026 Earnings Release (Projected)&lt;/D&gt;&lt;/FQL&gt;&lt;FQL&gt;&lt;Q&gt;FTV^CS_EVENT_DATEJ_N("ER",2)&lt;/Q&gt;&lt;R&gt;1&lt;/R&gt;&lt;C&gt;1&lt;/C&gt;&lt;D xsi:type="xsd:long"&gt;46226&lt;/D&gt;&lt;/FQL&gt;&lt;FQL&gt;&lt;Q&gt;FTV^CS_EVENT_TIME_N("ER",2)&lt;/Q&gt;&lt;R&gt;1&lt;/R&gt;&lt;C&gt;1&lt;/C&gt;&lt;D xsi:type="xsd:string"&gt;Unspecified&lt;/D&gt;&lt;/FQL&gt;&lt;FQL&gt;&lt;Q&gt;FTV^CS_EVENT_DESC_N("ER",2)&lt;/Q&gt;&lt;R&gt;1&lt;/R&gt;&lt;C&gt;1&lt;/C&gt;&lt;D xsi:type="xsd:string"&gt;Q2 2026 Earnings Release (Projected)&lt;/D&gt;&lt;/FQL&gt;&lt;FQL&gt;&lt;Q&gt;DOW^CS_EVENT_DATEJ_N("ER",2)&lt;/Q&gt;&lt;R&gt;1&lt;/R&gt;&lt;C&gt;1&lt;/C&gt;&lt;D xsi:type="xsd:long"&gt;46226&lt;/D&gt;&lt;/FQL&gt;&lt;FQL&gt;&lt;Q&gt;DOW^CS_EVENT_TIME_N("ER",2)&lt;/Q&gt;&lt;R&gt;1&lt;/R&gt;&lt;C&gt;1&lt;/C&gt;&lt;D xsi:type="xsd:string"&gt;6:00 AM&lt;/D&gt;&lt;/FQL&gt;&lt;FQL&gt;&lt;Q&gt;DOW^CS_EVENT_DESC_N("ER",2)&lt;/Q&gt;&lt;R&gt;1&lt;/R&gt;&lt;C&gt;1&lt;/C&gt;&lt;D xsi:type="xsd:string"&gt;Q2 2026 Earnings Release&lt;/D&gt;&lt;/FQL&gt;&lt;FQL&gt;&lt;Q&gt;CARR^CS_EVENT_DATEJ_N("ER",2)&lt;/Q&gt;&lt;R&gt;1&lt;/R&gt;&lt;C&gt;1&lt;/C&gt;&lt;D xsi:type="xsd:long"&gt;46226&lt;/D&gt;&lt;/FQL&gt;&lt;FQL&gt;&lt;Q&gt;CARR^CS_EVENT_TIME_N("ER",2)&lt;/Q&gt;&lt;R&gt;1&lt;/R&gt;&lt;C&gt;1&lt;/C&gt;&lt;D xsi:type="xsd:string"&gt;Unspecified&lt;/D&gt;&lt;/FQL&gt;&lt;FQL&gt;&lt;Q&gt;CARR^CS_EVENT_DESC_N("ER",2)&lt;/Q&gt;&lt;R&gt;1&lt;/R&gt;&lt;C&gt;1&lt;/C&gt;&lt;D xsi:type="xsd:string"&gt;Q2 2026 Earnings Release (Projected)&lt;/D&gt;&lt;/FQL&gt;&lt;FQL&gt;&lt;Q&gt;CVX^CS_EVENT_DATEJ_N("ER",2)&lt;/Q&gt;&lt;R&gt;1&lt;/R&gt;&lt;C&gt;1&lt;/C&gt;&lt;D xsi:type="xsd:long"&gt;46227&lt;/D&gt;&lt;/FQL&gt;&lt;FQL&gt;&lt;Q&gt;CVX^CS_EVENT_TIME_N("ER",2)&lt;/Q&gt;&lt;R&gt;1&lt;/R&gt;&lt;C&gt;1&lt;/C&gt;&lt;D xsi:type="xsd:string"&gt;Unspecified&lt;/D&gt;&lt;/FQL&gt;&lt;FQL&gt;&lt;Q&gt;CVX^CS_EVENT_DESC_N("ER",2)&lt;/Q&gt;&lt;R&gt;1&lt;/R&gt;&lt;C&gt;1&lt;/C&gt;&lt;D xsi:type="xsd:string"&gt;Q2 2026 Earnings Release (Projected)&lt;/D&gt;&lt;/FQL&gt;&lt;FQL&gt;&lt;Q&gt;PG^CS_EVENT_DATEJ_N("ER",2)&lt;/Q&gt;&lt;R&gt;1&lt;/R&gt;&lt;C&gt;1&lt;/C&gt;&lt;D xsi:type="xsd:long"&gt;46238&lt;/D&gt;&lt;/FQL&gt;&lt;FQL&gt;&lt;Q&gt;PG^CS_EVENT_TIME_N("ER",2)&lt;/Q&gt;&lt;R&gt;1&lt;/R&gt;&lt;C&gt;1&lt;/C&gt;&lt;D xsi:type="xsd:string"&gt;Unspecified&lt;/D&gt;&lt;/FQL&gt;&lt;FQL&gt;&lt;Q&gt;PG^CS_EVENT_DESC_N("ER",2)&lt;/Q&gt;&lt;R&gt;1&lt;/R&gt;&lt;C&gt;1&lt;/C&gt;&lt;D xsi:type="xsd:string"&gt;Q4 2026 Earnings Release (Projected)&lt;/D&gt;&lt;/FQL&gt;&lt;FQL&gt;&lt;Q&gt;NSC^CS_EVENT_DATEJ_N("ER",2)&lt;/Q&gt;&lt;R&gt;1&lt;/R&gt;&lt;C&gt;1&lt;/C&gt;&lt;D xsi:type="xsd:long"&gt;46232&lt;/D&gt;&lt;/FQL&gt;&lt;FQL&gt;&lt;Q&gt;NSC^CS_EVENT_TIME_N("ER",2)&lt;/Q&gt;&lt;R&gt;1&lt;/R&gt;&lt;C&gt;1&lt;/C&gt;&lt;D xsi:type="xsd:string"&gt;Unspecified&lt;/D&gt;&lt;/FQL&gt;&lt;FQL&gt;&lt;Q&gt;NSC^CS_EVENT_DESC_N("ER",2)&lt;/Q&gt;&lt;R&gt;1&lt;/R&gt;&lt;C&gt;1&lt;/C&gt;&lt;D xsi:type="xsd:string"&gt;Q2 2026 Earnings Release (Projected)&lt;/D&gt;&lt;/FQL&gt;&lt;FQL&gt;&lt;Q&gt;XOM^CS_EVENT_DATEJ_N("ER",2)&lt;/Q&gt;&lt;R&gt;1&lt;/R&gt;&lt;C&gt;1&lt;/C&gt;&lt;D xsi:type="xsd:long"&gt;46227&lt;/D&gt;&lt;/FQL&gt;&lt;FQL&gt;&lt;Q&gt;XOM^CS_EVENT_TIME_N("ER",2)&lt;/Q&gt;&lt;R&gt;1&lt;/R&gt;&lt;C&gt;1&lt;/C&gt;&lt;D xsi:type="xsd:string"&gt;Unspecified&lt;/D&gt;&lt;/FQL&gt;&lt;FQL&gt;&lt;Q&gt;XOM^CS_EVENT_DESC_N("ER",2)&lt;/Q&gt;&lt;R&gt;1&lt;/R&gt;&lt;C&gt;1&lt;/C&gt;&lt;D xsi:type="xsd:string"&gt;Q2 2026 Earnings Release (Projected)&lt;/D&gt;&lt;/FQL&gt;&lt;FQL&gt;&lt;Q&gt;SLB^CS_EVENT_DATEJ_N("ER",2)&lt;/Q&gt;&lt;R&gt;1&lt;/R&gt;&lt;C&gt;1&lt;/C&gt;&lt;D xsi:type="xsd:long"&gt;46220&lt;/D&gt;&lt;/FQL&gt;&lt;FQL&gt;&lt;Q&gt;SLB^CS_EVENT_TIME_N("ER",2)&lt;/Q&gt;&lt;R&gt;1&lt;/R&gt;&lt;C&gt;1&lt;/C&gt;&lt;D xsi:type="xsd:string"&gt;Unspecified&lt;/D&gt;&lt;/FQL&gt;&lt;FQL&gt;&lt;Q&gt;SLB^CS_EVENT_DESC_N("ER",2)&lt;/Q&gt;&lt;R&gt;1&lt;/R&gt;&lt;C&gt;1&lt;/C&gt;&lt;D xsi:type="xsd:string"&gt;Q2 2026 Earnings Release (Projected)&lt;/D&gt;&lt;/FQL&gt;&lt;FQL&gt;&lt;Q&gt;HCA^CS_EVENT_DATEJ_N("ER",2)&lt;/Q&gt;&lt;R&gt;1&lt;/R&gt;&lt;C&gt;1&lt;/C&gt;&lt;D xsi:type="xsd:long"&gt;46226&lt;/D&gt;&lt;/FQL&gt;&lt;FQL&gt;&lt;Q&gt;HCA^CS_EVENT_TIME_N("ER",2)&lt;/Q&gt;&lt;R&gt;1&lt;/R&gt;&lt;C&gt;1&lt;/C&gt;&lt;D xsi:type="xsd:string"&gt;Unspecified&lt;/D&gt;&lt;/FQL&gt;&lt;FQL&gt;&lt;Q&gt;HCA^CS_EVENT_DESC_N("ER",2)&lt;/Q&gt;&lt;R&gt;1&lt;/R&gt;&lt;C&gt;1&lt;/C&gt;&lt;D xsi:type="xsd:string"&gt;Q2 2026 Earnings Release (Projected)&lt;/D&gt;&lt;/FQL&gt;&lt;FQL&gt;&lt;Q&gt;CHTR^CS_EVENT_DATEJ_N("ER",2)&lt;/Q&gt;&lt;R&gt;1&lt;/R&gt;&lt;C&gt;1&lt;/C&gt;&lt;D xsi:type="xsd:long"&gt;46227&lt;/D&gt;&lt;/FQL&gt;&lt;FQL&gt;&lt;Q&gt;CHTR^CS_EVENT_TIME_N("ER",2)&lt;/Q&gt;&lt;R&gt;1&lt;/R&gt;&lt;C&gt;1&lt;/C&gt;&lt;D xsi:type="xsd:string"&gt;Unspecified&lt;/D&gt;&lt;/FQL&gt;&lt;FQL&gt;&lt;Q&gt;CHTR^CS_EVENT_DESC_N("ER",2)&lt;/Q&gt;&lt;R&gt;1&lt;/R&gt;&lt;C&gt;1&lt;/C&gt;&lt;D xsi:type="xsd:string"&gt;Q2 2026 Earnings Release (Projected)&lt;/D&gt;&lt;/FQL&gt;&lt;FQL&gt;&lt;Q&gt;LYB^CS_EVENT_DATEJ_N("ER",2)&lt;/Q&gt;&lt;R&gt;1&lt;/R&gt;&lt;C&gt;1&lt;/C&gt;&lt;D xsi:type="xsd:long"&gt;46234&lt;/D&gt;&lt;/FQL&gt;&lt;FQL&gt;&lt;Q&gt;LYB^CS_EVENT_TIME_N("ER",2)&lt;/Q&gt;&lt;R&gt;1&lt;/R&gt;&lt;C&gt;1&lt;/C&gt;&lt;D xsi:type="xsd:string"&gt;Unspecified&lt;/D&gt;&lt;/FQL&gt;&lt;FQL&gt;&lt;Q&gt;LYB^CS_EVENT_DESC_N("ER",2)&lt;/Q&gt;&lt;R&gt;1&lt;/R&gt;&lt;C&gt;1&lt;/C&gt;&lt;D xsi:type="xsd:string"&gt;Q2 2026 Earnings Release (Projected)&lt;/D&gt;&lt;/FQL&gt;&lt;FQL&gt;&lt;Q&gt;ARES^CS_EVENT_DATEJ_N("ER",2)&lt;/Q&gt;&lt;R&gt;1&lt;/R&gt;&lt;C&gt;1&lt;/C&gt;&lt;D xsi:type="xsd:long"&gt;46234&lt;/D&gt;&lt;/FQL&gt;&lt;FQL&gt;&lt;Q&gt;ARES^CS_EVENT_TIME_N("ER",2)&lt;/Q&gt;&lt;R&gt;1&lt;/R&gt;&lt;C&gt;1&lt;/C&gt;&lt;D xsi:type="xsd:string"&gt;Unspecified&lt;/D&gt;&lt;/FQL&gt;&lt;FQL&gt;&lt;Q&gt;ARES^CS_EVENT_DESC_N("ER",2)&lt;/Q&gt;&lt;R&gt;1&lt;/R&gt;&lt;C&gt;1&lt;/C&gt;&lt;D xsi:type="xsd:string"&gt;Q2 2026 Earnings Release (Projected)&lt;/D&gt;&lt;/FQL&gt;&lt;FQL&gt;&lt;Q&gt;UHS^CS_EVENT_DATEJ_N("ER",2)&lt;/Q&gt;&lt;R&gt;1&lt;/R&gt;&lt;C&gt;1&lt;/C&gt;&lt;D xsi:type="xsd:long"&gt;46230&lt;/D&gt;&lt;/FQL&gt;&lt;FQL&gt;&lt;Q&gt;UHS^CS_EVENT_TIME_N("ER",2)&lt;/Q&gt;&lt;R&gt;1&lt;/R&gt;&lt;C&gt;1&lt;/C&gt;&lt;D xsi:type="xsd:string"&gt;Unspecified&lt;/D&gt;&lt;/FQL&gt;&lt;FQL&gt;&lt;Q&gt;UHS^CS_EVENT_DESC_N("ER",2)&lt;/Q&gt;&lt;R&gt;1&lt;/R&gt;&lt;C&gt;1&lt;/C&gt;&lt;D xsi:type="xsd:string"&gt;Q2 2026 Earnings Release (Projected)&lt;/D&gt;&lt;/FQL&gt;&lt;FQL&gt;&lt;Q&gt;ARE^CS_EVENT_DATEJ_N("ER",2)&lt;/Q&gt;&lt;R&gt;1&lt;/R&gt;&lt;C&gt;1&lt;/C&gt;&lt;D xsi:type="xsd:long"&gt;46230&lt;/D&gt;&lt;/FQL&gt;&lt;FQL&gt;&lt;Q&gt;ARE^CS_EVENT_TIME_N("ER",2)&lt;/Q&gt;&lt;R&gt;1&lt;/R&gt;&lt;C&gt;1&lt;/C&gt;&lt;D xsi:type="xsd:string"&gt;Unspecified&lt;/D&gt;&lt;/FQL&gt;&lt;FQL&gt;&lt;Q&gt;ARE^CS_EVENT_DESC_N("ER",2)&lt;/Q&gt;&lt;R&gt;1&lt;/R&gt;&lt;C&gt;1&lt;/C&gt;&lt;D xsi:type="xsd:string"&gt;Q2 2026 Earnings Release (Projected)&lt;/D&gt;&lt;/FQL&gt;&lt;FQL&gt;&lt;Q&gt;VZ^CS_EVENT_DATEJ_N("ER",2)&lt;/Q&gt;&lt;R&gt;1&lt;/R&gt;&lt;C&gt;1&lt;/C&gt;&lt;D xsi:type="xsd:long"&gt;46224&lt;/D&gt;&lt;/FQL&gt;&lt;FQL&gt;&lt;Q&gt;VZ^CS_EVENT_TIME_N("ER",2)&lt;/Q&gt;&lt;R&gt;1&lt;/R&gt;&lt;C&gt;1&lt;/C&gt;&lt;D xsi:type="xsd:string"&gt;Before Market&lt;/D&gt;&lt;/FQL&gt;&lt;FQL&gt;&lt;Q&gt;VZ^CS_EVENT_DESC_N("ER",2)&lt;/Q&gt;&lt;R&gt;1&lt;/R&gt;&lt;C&gt;1&lt;/C&gt;&lt;D xsi:type="xsd:string"&gt;Q2 2026 Earnings Release&lt;/D&gt;&lt;/FQL&gt;&lt;FQL&gt;&lt;Q&gt;BRO^CS_EVENT_DATEJ_N("ER",2)&lt;/Q&gt;&lt;R&gt;1&lt;/R&gt;&lt;C&gt;1&lt;/C&gt;&lt;D xsi:type="xsd:long"&gt;46230&lt;/D&gt;&lt;/FQL&gt;&lt;FQL&gt;&lt;Q&gt;BRO^CS_EVENT_TIME_N("ER",2)&lt;/Q&gt;&lt;R&gt;1&lt;/R&gt;&lt;C&gt;1&lt;/C&gt;&lt;D xsi:type="xsd:string"&gt;Unspecified&lt;/D&gt;&lt;/FQL&gt;&lt;FQL&gt;&lt;Q&gt;BRO^CS_EVENT_DESC_N("ER",2)&lt;/Q&gt;&lt;R&gt;1&lt;/R&gt;&lt;C&gt;1&lt;/C&gt;&lt;D xsi:type="xsd:string"&gt;Q2 2026 Earnings Release (Projected)&lt;/D&gt;&lt;/FQL&gt;&lt;FQL&gt;&lt;Q&gt;CDNS^CS_EVENT_DATEJ_N("ER",2)&lt;/Q&gt;&lt;R&gt;1&lt;/R&gt;&lt;C&gt;1&lt;/C&gt;&lt;D xsi:type="xsd:long"&gt;46230&lt;/D&gt;&lt;/FQL&gt;&lt;FQL&gt;&lt;Q&gt;CDNS^CS_EVENT_TIME_N("ER",2)&lt;/Q&gt;&lt;R&gt;1&lt;/R&gt;&lt;C&gt;1&lt;/C&gt;&lt;D xsi:type="xsd:string"&gt;Unspecified&lt;/D&gt;&lt;/FQL&gt;&lt;FQL&gt;&lt;Q&gt;CDNS^CS_EVENT_DESC_N("ER",2)&lt;/Q&gt;&lt;R&gt;1&lt;/R&gt;&lt;C&gt;1&lt;/C&gt;&lt;D xsi:type="xsd:string"&gt;Q2 2026 Earnings Release (Projected)&lt;/D&gt;&lt;/FQL&gt;&lt;FQL&gt;&lt;Q&gt;NUE^CS_EVENT_DATEJ_N("ER",2)&lt;/Q&gt;&lt;R&gt;1&lt;/R&gt;&lt;C&gt;1&lt;/C&gt;&lt;D xsi:type="xsd:long"&gt;46230&lt;/D&gt;&lt;/FQL&gt;&lt;FQL&gt;&lt;Q&gt;NUE^CS_EVENT_TIME_N("ER",2)&lt;/Q&gt;&lt;R&gt;1&lt;/R&gt;&lt;C&gt;1&lt;/C&gt;&lt;D xsi:type="xsd:string"&gt;Unspecified&lt;/D&gt;&lt;/FQL&gt;&lt;FQL&gt;&lt;Q&gt;NUE^CS_EVENT_DESC_N("ER",2)&lt;/Q&gt;&lt;R&gt;1&lt;/R&gt;&lt;C&gt;1&lt;/C&gt;&lt;D xsi:type="xsd:string"&gt;Q2 2026 Earnings Release (Projected)&lt;/D&gt;&lt;/FQL&gt;&lt;FQL&gt;&lt;Q&gt;LII^CS_EVENT_DATEJ_N("ER",2)&lt;/Q&gt;&lt;R&gt;1&lt;/R&gt;&lt;C&gt;1&lt;/C&gt;&lt;D xsi:type="xsd:long"&gt;46226&lt;/D&gt;&lt;/FQL&gt;&lt;FQL&gt;&lt;Q&gt;LII^CS_EVENT_TIME_N("ER",2)&lt;/Q&gt;&lt;R&gt;1&lt;/R&gt;&lt;C&gt;1&lt;/C&gt;&lt;D xsi:type="xsd:string"&gt;Unspecified&lt;/D&gt;&lt;/FQL&gt;&lt;FQL&gt;&lt;Q&gt;LII^CS_EVENT_DESC_N("ER",2)&lt;/Q&gt;&lt;R&gt;1&lt;/R&gt;&lt;C&gt;1&lt;/C&gt;&lt;D xsi:type="xsd:string"&gt;Q2 2026 Earnings Release (Projected)&lt;/D&gt;&lt;/FQL&gt;&lt;FQL&gt;&lt;Q&gt;DPZ^CS_EVENT_DATEJ_N("ER",2)&lt;/Q&gt;&lt;R&gt;1&lt;/R&gt;&lt;C&gt;1&lt;/C&gt;&lt;D xsi:type="xsd:long"&gt;46219&lt;/D&gt;&lt;/FQL&gt;&lt;FQL&gt;&lt;Q&gt;DPZ^CS_EVENT_TIME_N("ER",2)&lt;/Q&gt;&lt;R&gt;1&lt;/R&gt;&lt;C&gt;1&lt;/C&gt;&lt;D xsi:type="xsd:string"&gt;Unspecified&lt;/D&gt;&lt;/FQL&gt;&lt;FQL&gt;&lt;Q&gt;DPZ^CS_EVENT_DESC_N("ER",2)&lt;/Q&gt;&lt;R&gt;1&lt;/R&gt;&lt;C&gt;1&lt;/C&gt;&lt;D xsi:type="xsd:string"&gt;Q2 2026 Earnings Release (Projected)&lt;/D&gt;&lt;/FQL&gt;&lt;FQL&gt;&lt;Q&gt;MSFT^CS_EVENT_DATEJ_N("ER",2)&lt;/Q&gt;&lt;R&gt;1&lt;/R&gt;&lt;C&gt;1&lt;/C&gt;&lt;D xsi:type="xsd:long"&gt;46231&lt;/D&gt;&lt;/FQL&gt;&lt;FQL&gt;&lt;Q&gt;MSFT^CS_EVENT_TIME_N("ER",2)&lt;/Q&gt;&lt;R&gt;1&lt;/R&gt;&lt;C&gt;1&lt;/C&gt;&lt;D xsi:type="xsd:string"&gt;Unspecified&lt;/D&gt;&lt;/FQL&gt;&lt;FQL&gt;&lt;Q&gt;MSFT^CS_EVENT_DESC_N("ER",2)&lt;/Q&gt;&lt;R&gt;1&lt;/R&gt;&lt;C&gt;1&lt;/C&gt;&lt;D xsi:type="xsd:string"&gt;Q4 2026 Earnings Release (Projected)&lt;/D&gt;&lt;/FQL&gt;&lt;FQL&gt;&lt;Q&gt;MCO^CS_EVENT_DATEJ_N("ER",2)&lt;/Q&gt;&lt;R&gt;1&lt;/R&gt;&lt;C&gt;1&lt;/C&gt;&lt;D xsi:type="xsd:long"&gt;46231&lt;/D&gt;&lt;/FQL&gt;&lt;FQL&gt;&lt;Q&gt;MCO^CS_EVENT_TIME_N("ER",2)&lt;/Q&gt;&lt;R&gt;1&lt;/R&gt;&lt;C&gt;1&lt;/C&gt;&lt;D xsi:type="xsd:string"&gt;Unspecified&lt;/D&gt;&lt;/FQL&gt;&lt;FQL&gt;&lt;Q&gt;MCO^CS_EVENT_DESC_N("ER",2)&lt;/Q&gt;&lt;R&gt;1&lt;/R&gt;&lt;C&gt;1&lt;/C&gt;&lt;D xsi:type="xsd:string"&gt;Q2 2026 Earnings Release (Projected)&lt;/D&gt;&lt;/FQL&gt;&lt;FQL&gt;&lt;Q&gt;KO^CS_EVENT_DATEJ_N("ER",2)&lt;/Q&gt;&lt;R&gt;1&lt;/R&gt;&lt;C&gt;1&lt;/C&gt;&lt;D xsi:type="xsd:long"&gt;46231&lt;/D&gt;&lt;/FQL&gt;&lt;FQL&gt;&lt;Q&gt;KO^CS_EVENT_TIME_N("ER",2)&lt;/Q&gt;&lt;R&gt;1&lt;/R&gt;&lt;C&gt;1&lt;/C&gt;&lt;D xsi:type="xsd:string"&gt;Unspecified&lt;/D&gt;&lt;/FQL&gt;&lt;FQL&gt;&lt;Q&gt;KO^CS_EVENT_DESC_N("ER",2)&lt;/Q&gt;&lt;R&gt;1&lt;/R&gt;&lt;C&gt;1&lt;/C&gt;&lt;D xsi:type="xsd:string"&gt;Q2 2026 Earnings Release (Projected)&lt;/D&gt;&lt;/FQL&gt;&lt;FQL&gt;&lt;Q&gt;FISV^CS_EVENT_DATEJ_N("ER",2)&lt;/Q&gt;&lt;R&gt;1&lt;/R&gt;&lt;C&gt;1&lt;/C&gt;&lt;D xsi:type="xsd:long"&gt;46232&lt;/D&gt;&lt;/FQL&gt;&lt;FQL&gt;&lt;Q&gt;FISV^CS_EVENT_TIME_N("ER",2)&lt;/Q&gt;&lt;R&gt;1&lt;/R&gt;&lt;C&gt;1&lt;/C&gt;&lt;D xsi:type="xsd:string"&gt;Unspecified&lt;/D&gt;&lt;/FQL&gt;&lt;FQL&gt;&lt;Q&gt;FISV^CS_EVENT_DESC_N("ER",2)&lt;/Q&gt;&lt;R&gt;1&lt;/R&gt;&lt;C&gt;1&lt;/C&gt;&lt;D xsi:type="xsd:string"&gt;Q2 2026 Earnings Release (Projected)&lt;/D&gt;&lt;/FQL&gt;&lt;FQL&gt;&lt;Q&gt;AMT^CS_EVENT_DATEJ_N("ER",2)&lt;/Q&gt;&lt;R&gt;1&lt;/R&gt;&lt;C&gt;1&lt;/C&gt;&lt;D xsi:type="xsd:long"&gt;46226&lt;/D&gt;&lt;/FQL&gt;&lt;FQL&gt;&lt;Q&gt;AMT^CS_EVENT_TIME_N("ER",2)&lt;/Q&gt;&lt;R&gt;1&lt;/R&gt;&lt;C&gt;1&lt;/C&gt;&lt;D xsi:type="xsd:string"&gt;Unspecified&lt;/D&gt;&lt;/FQL&gt;&lt;FQL&gt;&lt;Q&gt;AMT^CS_EVENT_DESC_N("ER",2)&lt;/Q&gt;&lt;R&gt;1&lt;/R&gt;&lt;C&gt;1&lt;/C&gt;&lt;D xsi:type="xsd:string"&gt;Q2 2026 Earnings Release (Projected)&lt;/D&gt;&lt;/FQL&gt;&lt;FQL&gt;&lt;Q&gt;NVR^CS_EVENT_DATEJ_N("ER",2)&lt;/Q&gt;&lt;R&gt;1&lt;/R&gt;&lt;C&gt;1&lt;/C&gt;&lt;D xsi:type="xsd:long"&gt;46231&lt;/D&gt;&lt;/FQL&gt;&lt;FQL&gt;&lt;Q&gt;NVR^CS_EVENT_TIME_N("ER",2)&lt;/Q&gt;&lt;R&gt;1&lt;/R&gt;&lt;C&gt;1&lt;/C&gt;&lt;D xsi:type="xsd:string"&gt;Unspecified&lt;/D&gt;&lt;/FQL&gt;&lt;FQL&gt;&lt;Q&gt;NVR^CS_EVENT_DESC_N("ER",2)&lt;/Q&gt;&lt;R&gt;1&lt;/R&gt;&lt;C&gt;1&lt;/C&gt;&lt;D xsi:type="xsd:string"&gt;Q2 2026 Earnings Release (Projected)&lt;/D&gt;&lt;/FQL&gt;&lt;FQL&gt;&lt;Q&gt;ROP^CS_EVENT_DATEJ_N("ER",2)&lt;/Q&gt;&lt;R&gt;1&lt;/R&gt;&lt;C&gt;1&lt;/C&gt;&lt;D xsi:type="xsd:long"&gt;46220&lt;/D&gt;&lt;/FQL&gt;&lt;FQL&gt;&lt;Q&gt;ROP^CS_EVENT_TIME_N("ER",2)&lt;/Q&gt;&lt;R&gt;1&lt;/R&gt;&lt;C&gt;1&lt;/C&gt;&lt;D xsi:type="xsd:string"&gt;Unspecified&lt;/D&gt;&lt;/FQL&gt;&lt;FQL&gt;&lt;Q&gt;ROP^CS_EVENT_DESC_N("ER",2)&lt;/Q&gt;&lt;R&gt;1&lt;/R&gt;&lt;C&gt;1&lt;/C&gt;&lt;D xsi:type="xsd:string"&gt;Q2 2026 Earnings Release (Projected)&lt;/D&gt;&lt;/FQL&gt;&lt;FQL&gt;&lt;Q&gt;TER^CS_EVENT_DATEJ_N("ER",2)&lt;/Q&gt;&lt;R&gt;1&lt;/R&gt;&lt;C&gt;1&lt;/C&gt;&lt;D xsi:type="xsd:long"&gt;46231&lt;/D&gt;&lt;/FQL&gt;&lt;FQL&gt;&lt;Q&gt;TER^CS_EVENT_TIME_N("ER",2)&lt;/Q&gt;&lt;R&gt;1&lt;/R&gt;&lt;C&gt;1&lt;/C&gt;&lt;D xsi:type="xsd:string"&gt;Unspecified&lt;/D&gt;&lt;/FQL&gt;&lt;FQL&gt;&lt;Q&gt;TER^CS_EVENT_DESC_N("ER",2)&lt;/Q&gt;&lt;R&gt;1&lt;/R&gt;&lt;C&gt;1&lt;/C&gt;&lt;D xsi:type="xsd:string"&gt;Q2 2026 Earnings Release (Projected)&lt;/D&gt;&lt;/FQL&gt;&lt;FQL&gt;&lt;Q&gt;MMM^CS_EVENT_DATEJ_N("ER",2)&lt;/Q&gt;&lt;R&gt;1&lt;/R&gt;&lt;C&gt;1&lt;/C&gt;&lt;D xsi:type="xsd:long"&gt;46231&lt;/D&gt;&lt;/FQL&gt;&lt;FQL&gt;&lt;Q&gt;MMM^CS_EVENT_TIME_N("ER",2)&lt;/Q&gt;&lt;R&gt;1&lt;/R&gt;&lt;C&gt;1&lt;/C&gt;&lt;D xsi:type="xsd:string"&gt;Unspecified&lt;/D&gt;&lt;/FQL&gt;&lt;FQL&gt;&lt;Q&gt;MMM^CS_EVENT_DESC_N("ER",2)&lt;/Q&gt;&lt;R&gt;1&lt;/R&gt;&lt;C&gt;1&lt;/C&gt;&lt;D xsi:type="xsd:string"&gt;Q2 2026 Earnings Release (Projected)&lt;/D&gt;&lt;/FQL&gt;&lt;FQL&gt;&lt;Q&gt;IEX^CS_EVENT_DATEJ_N("ER",2)&lt;/Q&gt;&lt;R&gt;1&lt;/R&gt;&lt;C&gt;1&lt;/C&gt;&lt;D xsi:type="xsd:long"&gt;46231&lt;/D&gt;&lt;/FQL&gt;&lt;FQL&gt;&lt;Q&gt;IEX^CS_EVENT_TIME_N("ER",2)&lt;/Q&gt;&lt;R&gt;1&lt;/R&gt;&lt;C&gt;1&lt;/C&gt;&lt;D xsi:type="xsd:string"&gt;Unspecified&lt;/D&gt;&lt;/FQL&gt;&lt;FQL&gt;&lt;Q&gt;IEX^CS_EVENT_DESC_N("ER",2)&lt;/Q&gt;&lt;R&gt;1&lt;/R&gt;&lt;C&gt;1&lt;/C&gt;&lt;D xsi:type="xsd:string"&gt;Q2 2026 Earnings Release (Projected)&lt;/D&gt;&lt;/FQL&gt;&lt;FQL&gt;&lt;Q&gt;CSGP^CS_EVENT_DATEJ_N("ER",2)&lt;/Q&gt;&lt;R&gt;1&lt;/R&gt;&lt;C&gt;1&lt;/C&gt;&lt;D xsi:type="xsd:long"&gt;46231&lt;/D&gt;&lt;/FQL&gt;&lt;FQL&gt;&lt;Q&gt;CSGP^CS_EVENT_TIME_N("ER",2)&lt;/Q&gt;&lt;R&gt;1&lt;/R&gt;&lt;C&gt;1&lt;/C&gt;&lt;D xsi:type="xsd:string"&gt;Unspecified&lt;/D&gt;&lt;/FQL&gt;&lt;FQL&gt;&lt;Q&gt;CSGP^CS_EVENT_DESC_N("ER",2)&lt;/Q&gt;&lt;R&gt;1&lt;/R&gt;&lt;C&gt;1&lt;/C&gt;&lt;D xsi:type="xsd:string"&gt;Q2 2026 Earnings Release (Projected)&lt;/D&gt;&lt;/FQL&gt;&lt;FQL&gt;&lt;Q&gt;TXN^CS_EVENT_DATEJ_N("ER",2)&lt;/Q&gt;&lt;R&gt;1&lt;/R&gt;&lt;C&gt;1&lt;/C&gt;&lt;D xsi:type="xsd:long"&gt;46231&lt;/D&gt;&lt;/FQL&gt;&lt;FQL&gt;&lt;Q&gt;TXN^CS_EVENT_TIME_N("ER",2)&lt;/Q&gt;&lt;R&gt;1&lt;/R&gt;&lt;C&gt;1&lt;/C&gt;&lt;D xsi:type="xsd:string"&gt;Unspecified&lt;/D&gt;&lt;/FQL&gt;&lt;FQL&gt;&lt;Q&gt;TXN^CS_EVENT_DESC_N("ER",2)&lt;/Q&gt;&lt;R&gt;1&lt;/R&gt;&lt;C&gt;1&lt;/C&gt;&lt;D xsi:type="xsd:string"&gt;Q2 2026 Earnings Release (Projected)&lt;/D&gt;&lt;/FQL&gt;&lt;FQL&gt;&lt;Q&gt;ESS^CS_EVENT_DATEJ_N("ER",2)&lt;/Q&gt;&lt;R&gt;1&lt;/R&gt;&lt;C&gt;1&lt;/C&gt;&lt;D xsi:type="xsd:long"&gt;46226&lt;/D&gt;&lt;/FQL&gt;&lt;FQL&gt;&lt;Q&gt;ESS^CS_EVENT_TIME_N("ER",2)&lt;/Q&gt;&lt;R&gt;1&lt;/R&gt;&lt;C&gt;1&lt;/C&gt;&lt;D xsi:type="xsd:string"&gt;Unspecified&lt;/D&gt;&lt;/FQL&gt;&lt;FQL&gt;&lt;Q&gt;ESS^CS_EVENT_DESC_N("ER",2)&lt;/Q&gt;&lt;R&gt;1&lt;/R&gt;&lt;C&gt;1&lt;/C&gt;&lt;D xsi:type="xsd:string"&gt;Q2 2026 Earnings Release (Projected)&lt;/D&gt;&lt;/FQL&gt;&lt;FQL&gt;&lt;Q&gt;CNC^CS_EVENT_DATEJ_N("ER",2)&lt;/Q&gt;&lt;R&gt;1&lt;/R&gt;&lt;C&gt;1&lt;/C&gt;&lt;D xsi:type="xsd:long"&gt;46231&lt;/D&gt;&lt;/FQL&gt;&lt;FQL&gt;&lt;Q&gt;CNC^CS_EVENT_TIME_N("ER",2)&lt;/Q&gt;&lt;R&gt;1&lt;/R&gt;&lt;C&gt;1&lt;/C&gt;&lt;D xsi:type="xsd:string"&gt;6:00 AM&lt;/D&gt;&lt;/FQL&gt;&lt;FQL&gt;&lt;Q&gt;CNC^CS_EVENT_DESC_N("ER",2)&lt;/Q&gt;&lt;R&gt;1&lt;/R&gt;&lt;C&gt;1&lt;/C&gt;&lt;D xsi:type="xsd:string"&gt;Q2 2026 Earnings Release&lt;/D&gt;&lt;/FQL&gt;&lt;FQL&gt;&lt;Q&gt;WM^CS_EVENT_DATEJ_N("ER",2)&lt;/Q&gt;&lt;R&gt;1&lt;/R&gt;&lt;C&gt;1&lt;/C&gt;&lt;D xsi:type="xsd:long"&gt;46231&lt;/D&gt;&lt;/FQL&gt;&lt;FQL&gt;&lt;Q&gt;WM^CS_EVENT_TIME_N("ER",2)&lt;/Q&gt;&lt;R&gt;1&lt;/R&gt;&lt;C&gt;1&lt;/C&gt;&lt;D xsi:type="xsd:string"&gt;Unspecified&lt;/D&gt;&lt;/FQL&gt;&lt;FQL&gt;&lt;Q&gt;WM^CS_EVENT_DESC_N("ER",2)&lt;/Q&gt;&lt;R&gt;1&lt;/R&gt;&lt;C&gt;1&lt;/C&gt;&lt;D xsi:type="xsd:string"&gt;Q2 2026 Earnings Release (Projected)&lt;/D&gt;&lt;/FQL&gt;&lt;FQL&gt;&lt;Q&gt;EQR^CS_EVENT_DATEJ_N("ER",2)&lt;/Q&gt;&lt;R&gt;1&lt;/R&gt;&lt;C&gt;1&lt;/C&gt;&lt;D xsi:type="xsd:long"&gt;46231&lt;/D&gt;&lt;/FQL&gt;&lt;FQL&gt;&lt;Q&gt;EQR^CS_EVENT_TIME_N("ER",2)&lt;/Q&gt;&lt;R&gt;1&lt;/R&gt;&lt;C&gt;1&lt;/C&gt;&lt;D xsi:type="xsd:string"&gt;Unspecified&lt;/D&gt;&lt;/FQL&gt;&lt;FQL&gt;&lt;Q&gt;EQR^CS_EVENT_DESC_N("ER",2)&lt;/Q&gt;&lt;R&gt;1&lt;/R&gt;&lt;C&gt;1&lt;/C&gt;&lt;D xsi:type="xsd:string"&gt;Q2 2026 Earnings Release (Projected)&lt;/D&gt;&lt;/FQL&gt;&lt;FQL&gt;&lt;Q&gt;PCAR^CS_EVENT_DATEJ_N("ER",2)&lt;/Q&gt;&lt;R&gt;1&lt;/R&gt;&lt;C&gt;1&lt;/C&gt;&lt;D xsi:type="xsd:long"&gt;46231&lt;/D&gt;&lt;/FQL&gt;&lt;FQL&gt;&lt;Q&gt;PCAR^CS_EVENT_TIME_N("ER",2)&lt;/Q&gt;&lt;R&gt;1&lt;/R&gt;&lt;C&gt;1&lt;/C&gt;&lt;D xsi:type="xsd:string"&gt;Unspecified&lt;/D&gt;&lt;/FQL&gt;&lt;FQL&gt;&lt;Q&gt;PCAR^CS_EVENT_DESC_N("ER",2)&lt;/Q&gt;&lt;R&gt;1&lt;/R&gt;&lt;C&gt;1&lt;/C&gt;&lt;D xsi:type="xsd:string"&gt;Q2 2026 Earnings Release (Projected)&lt;/D&gt;&lt;/FQL&gt;&lt;FQL&gt;&lt;Q&gt;SPGI^CS_EVENT_DATEJ_N("ER",2)&lt;/Q&gt;&lt;R&gt;1&lt;/R&gt;&lt;C&gt;1&lt;/C&gt;&lt;D xsi:type="xsd:long"&gt;46238&lt;/D&gt;&lt;/FQL&gt;&lt;FQL&gt;&lt;Q&gt;SPGI^CS_EVENT_TIME_N("ER",2)&lt;/Q&gt;&lt;R&gt;1&lt;/R&gt;&lt;C&gt;1&lt;/C&gt;&lt;D xsi:type="xsd:string"&gt;Unspecified&lt;/D&gt;&lt;/FQL&gt;&lt;FQL&gt;&lt;Q&gt;SPGI^CS_EVENT_DESC_N("ER",2)&lt;/Q&gt;&lt;R&gt;1&lt;/R&gt;&lt;C&gt;1&lt;/C&gt;&lt;D xsi:type="xsd:string"&gt;Q2 2026 Earnings Release (Projected)&lt;/D&gt;&lt;/FQL&gt;&lt;FQL&gt;&lt;Q&gt;SHW^CS_EVENT_DATEJ_N("ER",2)&lt;/Q&gt;&lt;R&gt;1&lt;/R&gt;&lt;C&gt;1&lt;/C&gt;&lt;D xsi:type="xsd:long"&gt;46231&lt;/D&gt;&lt;/FQL&gt;&lt;FQL&gt;&lt;Q&gt;SHW^CS_EVENT_TIME_N("ER",2)&lt;/Q&gt;&lt;R&gt;1&lt;/R&gt;&lt;C&gt;1&lt;/C&gt;&lt;D xsi:type="xsd:string"&gt;Unspecified&lt;/D&gt;&lt;/FQL&gt;&lt;FQL&gt;&lt;Q&gt;SHW^CS_EVENT_DESC_N("ER",2)&lt;/Q&gt;&lt;R&gt;1&lt;/R&gt;&lt;C&gt;1&lt;/C&gt;&lt;D xsi:type="xsd:string"&gt;Q2 2026 Earnings Release (Projected)&lt;/D&gt;&lt;/FQL&gt;&lt;FQL&gt;&lt;Q&gt;ECL^CS_EVENT_DATEJ_N("ER",2)&lt;/Q&gt;&lt;R&gt;1&lt;/R&gt;&lt;C&gt;1&lt;/C&gt;&lt;D xsi:type="xsd:long"&gt;46238&lt;/D&gt;&lt;/FQL&gt;&lt;FQL&gt;&lt;Q&gt;ECL^CS_EVENT_TIME_N("ER",2)&lt;/Q&gt;&lt;R&gt;1&lt;/R&gt;&lt;C&gt;1&lt;/C&gt;&lt;D xsi:type="xsd:string"&gt;Unspecified&lt;/D&gt;&lt;/FQL&gt;&lt;FQL&gt;&lt;Q&gt;ECL^CS_EVENT_DESC_N("ER",2)&lt;/Q&gt;&lt;R&gt;1&lt;/R&gt;&lt;C&gt;1&lt;/C&gt;&lt;D xsi:type="xsd:string"&gt;Q2 2026 Earnings Release (Projected)&lt;/D&gt;&lt;/FQL&gt;&lt;FQL&gt;&lt;Q&gt;EIX^CS_EVENT_DATEJ_N("ER",2)&lt;/Q&gt;&lt;R&gt;1&lt;/R&gt;&lt;C&gt;1&lt;/C&gt;&lt;D xsi:type="xsd:long"&gt;46226&lt;/D&gt;&lt;/FQL&gt;&lt;FQL&gt;&lt;Q&gt;EIX^CS_EVENT_TIME_N("ER",2)&lt;/Q&gt;&lt;R&gt;1&lt;/R&gt;&lt;C&gt;1&lt;/C&gt;&lt;D xsi:type="xsd:string"&gt;Unspecified&lt;/D&gt;&lt;/FQL&gt;&lt;FQL&gt;&lt;Q&gt;EIX^CS_EVENT_DESC_N("ER",2)&lt;/Q&gt;&lt;R&gt;1&lt;/R&gt;&lt;C&gt;1&lt;/C&gt;&lt;D xsi:type="xsd:string"&gt;Q2 2026 Earnings Release (Projected)&lt;/D&gt;&lt;/FQL&gt;&lt;FQL&gt;&lt;Q&gt;UPS^CS_EVENT_DATEJ_N("ER",2)&lt;/Q&gt;&lt;R&gt;1&lt;/R&gt;&lt;C&gt;1&lt;/C&gt;&lt;D xsi:type="xsd:long"&gt;46231&lt;/D&gt;&lt;/FQL&gt;&lt;FQL&gt;&lt;Q&gt;UPS^CS_EVENT_TIME_N("ER",2)&lt;/Q&gt;&lt;R&gt;1&lt;/R&gt;&lt;C&gt;1&lt;/C&gt;&lt;D xsi:type="xsd:string"&gt;Unspecified&lt;/D&gt;&lt;/FQL&gt;&lt;FQL&gt;&lt;Q&gt;UPS^CS_EVENT_DESC_N("ER",2)&lt;/Q&gt;&lt;R&gt;1&lt;/R&gt;&lt;C&gt;1&lt;/C&gt;&lt;D xsi:type="xsd:string"&gt;Q2 2026 Earnings Release (Projected)&lt;/D&gt;&lt;/FQL&gt;&lt;FQL&gt;&lt;Q&gt;ACGL^CS_EVENT_DATEJ_N("ER",2)&lt;/Q&gt;&lt;R&gt;1&lt;/R&gt;&lt;C&gt;1&lt;/C&gt;&lt;D xsi:type="xsd:long"&gt;46232&lt;/D&gt;&lt;/FQL&gt;&lt;FQL&gt;&lt;Q&gt;ACGL^CS_EVENT_TIME_N("ER",2)&lt;/Q&gt;&lt;R&gt;1&lt;/R&gt;&lt;C&gt;1&lt;/C&gt;&lt;D xsi:type="xsd:string"&gt;Unspecified&lt;/D&gt;&lt;/FQL&gt;&lt;FQL&gt;&lt;Q&gt;ACGL^CS_EVENT_DESC_N("ER",2)&lt;/Q&gt;&lt;R&gt;1&lt;/R&gt;&lt;C&gt;1&lt;/C&gt;&lt;D xsi:type="xsd:string"&gt;Q2 2026 Earnings Release (Projected)&lt;/D&gt;&lt;/FQL&gt;&lt;FQL&gt;&lt;Q&gt;KMB^CS_EVENT_DATEJ_N("ER",2)&lt;/Q&gt;&lt;R&gt;1&lt;/R&gt;&lt;C&gt;1&lt;/C&gt;&lt;D xsi:type="xsd:long"&gt;46231&lt;/D&gt;&lt;/FQL&gt;&lt;FQL&gt;&lt;Q&gt;KMB^CS_EVENT_TIME_N("ER",2)&lt;/Q&gt;&lt;R&gt;1&lt;/R&gt;&lt;C&gt;1&lt;/C&gt;&lt;D xsi:type="xsd:string"&gt;Unspecified&lt;/D&gt;&lt;/FQL&gt;&lt;FQL&gt;&lt;Q&gt;KMB^CS_EVENT_DESC_N("ER",2)&lt;/Q&gt;&lt;R&gt;1&lt;/R&gt;&lt;C&gt;1&lt;/C&gt;&lt;D xsi:type="xsd:string"&gt;Q2 2026 Earnings Release (Projected)&lt;/D&gt;&lt;/FQL&gt;&lt;FQL&gt;&lt;Q&gt;PEP^CS_EVENT_DATEJ_N("ER",2)&lt;/Q&gt;&lt;R&gt;1&lt;/R&gt;&lt;C&gt;1&lt;/C&gt;&lt;D xsi:type="xsd:long"&gt;46217&lt;/D&gt;&lt;/FQL&gt;&lt;FQL&gt;&lt;Q&gt;PEP^CS_EVENT_TIME_N("ER",2)&lt;/Q&gt;&lt;R&gt;1&lt;/R&gt;&lt;C&gt;1&lt;/C&gt;&lt;D xsi:type="xsd:string"&gt;Unspecified&lt;/D&gt;&lt;/FQL&gt;&lt;FQL&gt;&lt;Q&gt;PEP^CS_EVENT_DESC_N("ER",2)&lt;/Q&gt;&lt;R&gt;1&lt;/R&gt;&lt;C&gt;1&lt;/C&gt;&lt;D xsi:type="xsd:string"&gt;Q2 2026 Earnings Release (Projected)&lt;/D&gt;&lt;/FQL&gt;&lt;FQL&gt;&lt;Q&gt;HUBB^CS_EVENT_DATEJ_N("ER",2)&lt;/Q&gt;&lt;R&gt;1&lt;/R&gt;&lt;C&gt;1&lt;/C&gt;&lt;D xsi:type="xsd:long"&gt;46231&lt;/D&gt;&lt;/FQL&gt;&lt;FQL&gt;&lt;Q&gt;HUBB^CS_EVENT_TIME_N("ER",2)&lt;/Q&gt;&lt;R&gt;1&lt;/R&gt;&lt;C&gt;1&lt;/C&gt;&lt;D xsi:type="xsd:string"&gt;Unspecified&lt;/D&gt;&lt;/FQL&gt;&lt;FQL&gt;&lt;Q&gt;HUBB^CS_EVENT_DESC_N("ER",2)&lt;/Q&gt;&lt;R&gt;1&lt;/R&gt;&lt;C&gt;1&lt;/C&gt;&lt;D xsi:type="xsd:string"&gt;Q2 2026 Earnings Release (Projected)&lt;/D&gt;&lt;/FQL&gt;&lt;FQL&gt;&lt;Q&gt;ADM^CS_EVENT_DATEJ_N("ER",2)&lt;/Q&gt;&lt;R&gt;1&lt;/R&gt;&lt;C&gt;1&lt;/C&gt;&lt;D xsi:type="xsd:long"&gt;46231&lt;/D&gt;&lt;/FQL&gt;&lt;FQL&gt;&lt;Q&gt;ADM^CS_EVENT_TIME_N("ER",2)&lt;/Q&gt;&lt;R&gt;1&lt;/R&gt;&lt;C&gt;1&lt;/C&gt;&lt;D xsi:type="xsd:string"&gt;Unspecified&lt;/D&gt;&lt;/FQL&gt;&lt;FQL&gt;&lt;Q&gt;ADM^CS_EVENT_DESC_N("ER",2)&lt;/Q&gt;&lt;R&gt;1&lt;/R&gt;&lt;C&gt;1&lt;/C&gt;&lt;D xsi:type="xsd:string"&gt;Q2 2026 Earnings Release (Projected)&lt;/D&gt;&lt;/FQL&gt;&lt;FQL&gt;&lt;Q&gt;BKNG^CS_EVENT_DATEJ_N("ER",2)&lt;/Q&gt;&lt;R&gt;1&lt;/R&gt;&lt;C&gt;1&lt;/C&gt;&lt;D xsi:type="xsd:long"&gt;46239&lt;/D&gt;&lt;/FQL&gt;&lt;FQL&gt;&lt;Q&gt;BKNG^CS_EVENT_TIME_N("ER",2)&lt;/Q&gt;&lt;R&gt;1&lt;/R&gt;&lt;C&gt;1&lt;/C&gt;&lt;D xsi:type="xsd:string"&gt;Unspecified&lt;/D&gt;&lt;/FQL&gt;&lt;FQL&gt;&lt;Q&gt;BKNG^CS_EVENT_DESC_N("ER",2)&lt;/Q&gt;&lt;R&gt;1&lt;/R&gt;&lt;C&gt;1&lt;/C&gt;&lt;D xsi:type="xsd:string"&gt;Q2 2026 Earnings Release (Projected)&lt;/D&gt;&lt;/FQL&gt;&lt;FQL&gt;&lt;Q&gt;MSCI^CS_EVENT_DATEJ_N("ER",2)&lt;/Q&gt;&lt;R&gt;1&lt;/R&gt;&lt;C&gt;1&lt;/C&gt;&lt;D xsi:type="xsd:long"&gt;46231&lt;/D&gt;&lt;/FQL&gt;&lt;FQL&gt;&lt;Q&gt;MSCI^CS_EVENT_TIME_N("ER",2)&lt;/Q&gt;&lt;R&gt;1&lt;/R&gt;&lt;C&gt;1&lt;/C&gt;&lt;D xsi:type="xsd:string"&gt;Unspecified&lt;/D&gt;&lt;/FQL&gt;&lt;FQL&gt;&lt;Q&gt;MSCI^CS_EVENT_DESC_N("ER",2)&lt;/Q&gt;&lt;R&gt;1&lt;/R&gt;&lt;C&gt;1&lt;/C&gt;&lt;D xsi:type="xsd:string"&gt;Q2 2026 Earnings Release (Projected)&lt;/D&gt;&lt;/FQL&gt;&lt;FQL&gt;&lt;Q&gt;GOOGL^CS_EVENT_DATEJ_N("ER",2)&lt;/Q&gt;&lt;R&gt;1&lt;/R&gt;&lt;C&gt;1&lt;/C&gt;&lt;D xsi:type="xsd:long"&gt;46231&lt;/D&gt;&lt;/FQL&gt;&lt;FQL&gt;&lt;Q&gt;GOOGL^CS_EVENT_TIME_N("ER",2)&lt;/Q&gt;&lt;R&gt;1&lt;/R&gt;&lt;C&gt;1&lt;/C&gt;&lt;D xsi:type="xsd:string"&gt;Unspecified&lt;/D&gt;&lt;/FQL&gt;&lt;FQL&gt;&lt;Q&gt;GOOGL^CS_EVENT_DESC_N("ER",2)&lt;/Q&gt;&lt;R&gt;1&lt;/R&gt;&lt;C&gt;1&lt;/C&gt;&lt;D xsi:type="xsd:string"&gt;Q2 2026 Earnings Release (Projected)&lt;/D&gt;&lt;/FQL&gt;&lt;FQL&gt;&lt;Q&gt;GM^CS_EVENT_DATEJ_N("ER",2)&lt;/Q&gt;&lt;R&gt;1&lt;/R&gt;&lt;C&gt;1&lt;/C&gt;&lt;D xsi:type="xsd:long"&gt;46224&lt;/D&gt;&lt;/FQL&gt;&lt;FQL&gt;&lt;Q&gt;GM^CS_EVENT_TIME_N("ER",2)&lt;/Q&gt;&lt;R&gt;1&lt;/R&gt;&lt;C&gt;1&lt;/C&gt;&lt;D xsi:type="xsd:string"&gt;Unspecified&lt;/D&gt;&lt;/FQL&gt;&lt;FQL&gt;&lt;Q&gt;GM^CS_EVENT_DESC_N("ER",2)&lt;/Q&gt;&lt;R&gt;1&lt;/R&gt;&lt;C&gt;1&lt;/C&gt;&lt;D xsi:type="xsd:string"&gt;Q2 2026 Earnings Release&lt;/D&gt;&lt;/FQL&gt;&lt;FQL&gt;&lt;Q&gt;NEE^CS_EVENT_DATEJ_N("ER",2)&lt;/Q&gt;&lt;R&gt;1&lt;/R&gt;&lt;C&gt;1&lt;/C&gt;&lt;D xsi:type="xsd:long"&gt;46232&lt;/D&gt;&lt;/FQL&gt;&lt;FQL&gt;&lt;Q&gt;NEE^CS_EVENT_TIME_N("ER",2)&lt;/Q&gt;&lt;R&gt;1&lt;/R&gt;&lt;C&gt;1&lt;/C&gt;&lt;D xsi:type="xsd:string"&gt;Unspecified&lt;/D&gt;&lt;/FQL&gt;&lt;FQL&gt;&lt;Q&gt;NEE^CS_EVENT_DESC_N("ER",2)&lt;/Q&gt;&lt;R&gt;1&lt;/R&gt;&lt;C&gt;1&lt;/C&gt;&lt;D xsi:type="xsd:string"&gt;Q2 2026 Earnings Release (Projected)&lt;/D&gt;&lt;/FQL&gt;&lt;FQL&gt;&lt;Q&gt;NXPI^CS_EVENT_DATEJ_N("ER",2)&lt;/Q&gt;&lt;R&gt;1&lt;/R&gt;&lt;C&gt;1&lt;/C&gt;&lt;D xsi:type="xsd:long"&gt;46231&lt;/D&gt;&lt;/FQL&gt;&lt;FQL&gt;&lt;Q&gt;NXPI^CS_EVENT_TIME_N("ER",2)&lt;/Q&gt;&lt;R&gt;1&lt;/R&gt;&lt;C&gt;1&lt;/C&gt;&lt;D xsi:type="xsd:string"&gt;4:10 PM&lt;/D&gt;&lt;/FQL&gt;&lt;FQL&gt;&lt;Q&gt;NXPI^CS_EVENT_DESC_N("ER",2)&lt;/Q&gt;&lt;R&gt;1&lt;/R&gt;&lt;C&gt;1&lt;/C&gt;&lt;D xsi:type="xsd:string"&gt;Q2 2026 Earnings Release&lt;/D&gt;&lt;/FQL&gt;&lt;FQL&gt;&lt;Q&gt;MDLZ^CS_EVENT_DATEJ_N("ER",2)&lt;/Q&gt;&lt;R&gt;1&lt;/R&gt;&lt;C&gt;1&lt;/C&gt;&lt;D xsi:type="xsd:long"&gt;46231&lt;/D&gt;&lt;/FQL&gt;&lt;FQL&gt;&lt;Q&gt;MDLZ^CS_EVENT_TIME_N("ER",2)&lt;/Q&gt;&lt;R&gt;1&lt;/R&gt;&lt;C&gt;1&lt;/C&gt;&lt;D xsi:type="xsd:string"&gt;Unspecified&lt;/D&gt;&lt;/FQL&gt;&lt;FQL&gt;&lt;Q&gt;MDLZ^CS_EVENT_DESC_N("ER",2)&lt;/Q&gt;&lt;R&gt;1&lt;/R&gt;&lt;C&gt;1&lt;/C&gt;&lt;D xsi:type="xsd:string"&gt;Q2 2026 Earnings Release (Projected)&lt;/D&gt;&lt;/FQL&gt;&lt;FQL&gt;&lt;Q&gt;TSLA^CS_EVENT_DATEJ_N("ER",2)&lt;/Q&gt;&lt;R&gt;1&lt;/R&gt;&lt;C&gt;1&lt;/C&gt;&lt;D xsi:type="xsd:long"&gt;46232&lt;/D&gt;&lt;/FQL&gt;&lt;FQL&gt;&lt;Q&gt;TSLA^CS_EVENT_TIME_N("ER",2)&lt;/Q&gt;&lt;R&gt;1&lt;/R&gt;&lt;C&gt;1&lt;/C&gt;&lt;D xsi:type="xsd:string"&gt;Unspecified&lt;/D&gt;&lt;/FQL&gt;&lt;FQL&gt;&lt;Q&gt;TSLA^CS_EVENT_DESC_N("ER",2)&lt;/Q&gt;&lt;R&gt;1&lt;/R&gt;&lt;C&gt;1&lt;/C&gt;&lt;D xsi:type="xsd:string"&gt;Q2 2026 Earnings Release (Projected)&lt;/D&gt;&lt;/FQL&gt;&lt;FQL&gt;&lt;Q&gt;GOOG^CS_EVENT_DATEJ_N("ER",2)&lt;/Q&gt;&lt;R&gt;1&lt;/R&gt;&lt;C&gt;1&lt;/C&gt;&lt;D xsi:type="xsd:long"&gt;46231&lt;/D&gt;&lt;/FQL&gt;&lt;FQL&gt;&lt;Q&gt;GOOG^CS_EVENT_TIME_N("ER",2)&lt;/Q&gt;&lt;R&gt;1&lt;/R&gt;&lt;C&gt;1&lt;/C&gt;&lt;D xsi:type="xsd:string"&gt;Unspecified&lt;/D&gt;&lt;/FQL&gt;&lt;FQL&gt;&lt;Q&gt;GOOG^CS_EVENT_DESC_N("ER",2)&lt;/Q&gt;&lt;R&gt;1&lt;/R&gt;&lt;C&gt;1&lt;/C&gt;&lt;D xsi:type="xsd:string"&gt;Q2 2026 Earnings Release (Projected)&lt;/D&gt;&lt;/FQL&gt;&lt;FQL&gt;&lt;Q&gt;HLT^CS_EVENT_DATEJ_N("ER",2)&lt;/Q&gt;&lt;R&gt;1&lt;/R&gt;&lt;C&gt;1&lt;/C&gt;&lt;D xsi:type="xsd:long"&gt;46232&lt;/D&gt;&lt;/FQL&gt;&lt;FQL&gt;&lt;Q&gt;HLT^CS_EVENT_TIME_N("ER",2)&lt;/Q&gt;&lt;R&gt;1&lt;/R&gt;&lt;C&gt;1&lt;/C&gt;&lt;D xsi:type="xsd:string"&gt;Unspecified&lt;/D&gt;&lt;/FQL&gt;&lt;FQL&gt;&lt;Q&gt;HLT^CS_EVENT_DESC_N("ER",2)&lt;/Q&gt;&lt;R&gt;1&lt;/R&gt;&lt;C&gt;1&lt;/C&gt;&lt;D xsi:type="xsd:string"&gt;Q2 2026 Earnings Release (Projected)&lt;/D&gt;&lt;/FQL&gt;&lt;FQL&gt;&lt;Q&gt;IVZ^CS_EVENT_DATEJ_N("ER",2)&lt;/Q&gt;&lt;R&gt;1&lt;/R&gt;&lt;C&gt;1&lt;/C&gt;&lt;D xsi:type="xsd:long"&gt;46231&lt;/D&gt;&lt;/FQL&gt;&lt;FQL&gt;&lt;Q&gt;IVZ^CS_EVENT_TIME_N("ER",2)&lt;/Q&gt;&lt;R&gt;1&lt;/R&gt;&lt;C&gt;1&lt;/C&gt;&lt;D xsi:type="xsd:string"&gt;Unspecified&lt;/D&gt;&lt;/FQL&gt;&lt;FQL&gt;&lt;Q&gt;IVZ^CS_EVENT_DESC_N("ER",2)&lt;/Q&gt;&lt;R&gt;1&lt;/R&gt;&lt;C&gt;1&lt;/C&gt;&lt;D xsi:type="xsd:string"&gt;Q2 2026 Earnings Release (Projected)&lt;/D&gt;&lt;/FQL&gt;&lt;FQL&gt;&lt;Q&gt;EXR^CS_EVENT_DATEJ_N("ER",2)&lt;/Q&gt;&lt;R&gt;1&lt;/R&gt;&lt;C&gt;1&lt;/C&gt;&lt;D xsi:type="xsd:long"&gt;46238&lt;/D&gt;&lt;/FQL&gt;&lt;FQL&gt;&lt;Q&gt;EXR^CS_EVENT_TIME_N("ER",2)&lt;/Q&gt;&lt;R&gt;1&lt;/R&gt;&lt;C&gt;1&lt;/C&gt;&lt;D xsi:type="xsd:string"&gt;Unspecified&lt;/D&gt;&lt;/FQL&gt;&lt;FQL&gt;&lt;Q&gt;EXR^CS_EVENT_DESC_N("ER",2)&lt;/Q&gt;&lt;R&gt;1&lt;/R&gt;&lt;C&gt;1&lt;/C&gt;&lt;D xsi:type="xsd:string"&gt;Q2 2026 Earnings Release (Projected)&lt;/D&gt;&lt;/FQL&gt;&lt;FQL&gt;&lt;Q&gt;TMUS^CS_EVENT_DATEJ_N("ER",2)&lt;/Q&gt;&lt;R&gt;1&lt;/R&gt;&lt;C&gt;1&lt;/C&gt;&lt;D xsi:type="xsd:long"&gt;46226&lt;/D&gt;&lt;/FQL&gt;&lt;FQL&gt;&lt;Q&gt;TMUS^CS_EVENT_TIME_N("ER",2)&lt;/Q&gt;&lt;R&gt;1&lt;/R&gt;&lt;C&gt;1&lt;/C&gt;&lt;D xsi:type="xsd:string"&gt;Unspecified&lt;/D&gt;&lt;/FQL&gt;&lt;FQL&gt;&lt;Q&gt;TMUS^CS_EVENT_DESC_N("ER",2)&lt;/Q&gt;&lt;R&gt;1&lt;/R&gt;&lt;C&gt;1&lt;/C&gt;&lt;D xsi:type="xsd:string"&gt;Q2 2026 Earnings Release (Projected)&lt;/D&gt;&lt;/FQL&gt;&lt;FQL&gt;&lt;Q&gt;UDR^CS_EVENT_DATEJ_N("ER",2)&lt;/Q&gt;&lt;R&gt;1&lt;/R&gt;&lt;C&gt;1&lt;/C&gt;&lt;D xsi:type="xsd:long"&gt;46232&lt;/D&gt;&lt;/FQL&gt;&lt;FQL&gt;&lt;Q&gt;UDR^CS_EVENT_TIME_N("ER",2)&lt;/Q&gt;&lt;R&gt;1&lt;/R&gt;&lt;C&gt;1&lt;/C&gt;&lt;D xsi:type="xsd:string"&gt;Unspecified&lt;/D&gt;&lt;/FQL&gt;&lt;FQL&gt;&lt;Q&gt;UDR^CS_EVENT_DESC_N("ER",2)&lt;/Q&gt;&lt;R&gt;1&lt;/R&gt;&lt;C&gt;1&lt;/C&gt;&lt;D xsi:type="xsd:string"&gt;Q2 2026 Earnings Release (Projected)&lt;/D&gt;&lt;/FQL&gt;&lt;FQL&gt;&lt;Q&gt;V^CS_EVENT_DATEJ_N("ER",2)&lt;/Q&gt;&lt;R&gt;1&lt;/R&gt;&lt;C&gt;1&lt;/C&gt;&lt;D xsi:type="xsd:long"&gt;46231&lt;/D&gt;&lt;/FQL&gt;&lt;FQL&gt;&lt;Q&gt;V^CS_EVENT_TIME_N("ER",2)&lt;/Q&gt;&lt;R&gt;1&lt;/R&gt;&lt;C&gt;1&lt;/C&gt;&lt;D xsi:type="xsd:string"&gt;Unspecified&lt;/D&gt;&lt;/FQL&gt;&lt;FQL&gt;&lt;Q&gt;V^CS_EVENT_DESC_N("ER",2)&lt;/Q&gt;&lt;R&gt;1&lt;/R&gt;&lt;C&gt;1&lt;/C&gt;&lt;D xsi:type="xsd:string"&gt;Q3 2026 Earnings Release (Projected)&lt;/D&gt;&lt;/FQL&gt;&lt;FQL&gt;&lt;Q&gt;PNR^CS_EVENT_DATEJ_N("ER",2)&lt;/Q&gt;&lt;R&gt;1&lt;/R&gt;&lt;C&gt;1&lt;/C&gt;&lt;D xsi:type="xsd:long"&gt;46231&lt;/D&gt;&lt;/FQL&gt;&lt;FQL&gt;&lt;Q&gt;PNR^CS_EVENT_TIME_N("ER",2)&lt;/Q&gt;&lt;R&gt;1&lt;/R&gt;&lt;C&gt;1&lt;/C&gt;&lt;D xsi:type="xsd:string"&gt;Unspecified&lt;/D&gt;&lt;/FQL&gt;&lt;FQL&gt;&lt;Q&gt;PNR^CS_EVENT_DESC_N("ER",2)&lt;/Q&gt;&lt;R&gt;1&lt;/R&gt;&lt;C&gt;1&lt;/C&gt;&lt;D xsi:type="xsd:string"&gt;Q2 2026 Earnings Release (Projected)&lt;/D&gt;&lt;/FQL&gt;&lt;FQL&gt;&lt;Q&gt;VLTO^CS_EVENT_DATEJ_N("ER",2)&lt;/Q&gt;&lt;R&gt;1&lt;/R&gt;&lt;C&gt;1&lt;/C&gt;&lt;D xsi:type="xsd:long"&gt;46226&lt;/D&gt;&lt;/FQL&gt;&lt;FQL&gt;&lt;Q&gt;VLTO^CS_EVENT_TIME_N("ER",2)&lt;/Q&gt;&lt;R&gt;1&lt;/R&gt;&lt;C&gt;1&lt;/C&gt;&lt;D xsi:type="xsd:string"&gt;Unspecified&lt;/D&gt;&lt;/FQL&gt;&lt;FQL&gt;&lt;Q&gt;VLTO^CS_EVENT_DESC_N("ER",2)&lt;/Q&gt;&lt;R&gt;1&lt;/R&gt;&lt;C&gt;1&lt;/C&gt;&lt;D xsi:type="xsd:string"&gt;Q2 2026 Earnings Release (Projected)&lt;/D&gt;&lt;/FQL&gt;&lt;FQL&gt;&lt;Q&gt;XYL^CS_EVENT_DATEJ_N("ER",2)&lt;/Q&gt;&lt;R&gt;1&lt;/R&gt;&lt;C&gt;1&lt;/C&gt;&lt;D xsi:type="xsd:long"&gt;46238&lt;/D&gt;&lt;/FQL&gt;&lt;FQL&gt;&lt;Q&gt;XYL^CS_EVENT_TIME_N("ER",2)&lt;/Q&gt;&lt;R&gt;1&lt;/R&gt;&lt;C&gt;1&lt;/C&gt;&lt;D xsi:type="xsd:string"&gt;Unspecified&lt;/D&gt;&lt;/FQL&gt;&lt;FQL&gt;&lt;Q&gt;XYL^CS_EVENT_DESC_N("ER",2)&lt;/Q&gt;&lt;R&gt;1&lt;/R&gt;&lt;C&gt;1&lt;/C&gt;&lt;D xsi:type="xsd:string"&gt;Q2 2026 Earnings Release (Projected)&lt;/D&gt;&lt;/FQL&gt;&lt;FQL&gt;&lt;Q&gt;MAA^CS_EVENT_DATEJ_N("ER",2)&lt;/Q&gt;&lt;R&gt;1&lt;/R&gt;&lt;C&gt;1&lt;/C&gt;&lt;D xsi:type="xsd:long"&gt;46232&lt;/D&gt;&lt;/FQL&gt;&lt;FQL&gt;&lt;Q&gt;MAA^CS_EVENT_TIME_N("ER",2)&lt;/Q&gt;&lt;R&gt;1&lt;/R&gt;&lt;C&gt;1&lt;/C&gt;&lt;D xsi:type="xsd:string"&gt;Unspecified&lt;/D&gt;&lt;/FQL&gt;&lt;FQL&gt;&lt;Q&gt;MAA^CS_EVENT_DESC_N("ER",2)&lt;/Q&gt;&lt;R&gt;1&lt;/R&gt;&lt;C&gt;1&lt;/C&gt;&lt;D xsi:type="xsd:string"&gt;Q2 2026 Earnings Release (Projected)&lt;/D&gt;&lt;/FQL&gt;&lt;FQL&gt;&lt;Q&gt;EQIX^CS_EVENT_DATEJ_N("ER",2)&lt;/Q&gt;&lt;R&gt;1&lt;/R&gt;&lt;C&gt;1&lt;/C&gt;&lt;D xsi:type="xsd:long"&gt;46232&lt;/D&gt;&lt;/FQL&gt;&lt;FQL&gt;&lt;Q&gt;EQIX^CS_EVENT_TIME_N("ER",2)&lt;/Q&gt;&lt;R&gt;1&lt;/R&gt;&lt;C&gt;1&lt;/C&gt;&lt;D xsi:type="xsd:string"&gt;Unspecified&lt;/D&gt;&lt;/FQL&gt;&lt;FQL&gt;&lt;Q&gt;EQIX^CS_EVENT_DESC_N("ER",2)&lt;/Q&gt;&lt;R&gt;1&lt;/R&gt;&lt;C&gt;1&lt;/C&gt;&lt;D xsi:type="xsd:string"&gt;Q2 2026 Earnings Release (Projected)&lt;/D&gt;&lt;/FQL&gt;&lt;FQL&gt;&lt;Q&gt;GRMN^CS_EVENT_DATEJ_N("ER",2)&lt;/Q&gt;&lt;R&gt;1&lt;/R&gt;&lt;C&gt;1&lt;/C&gt;&lt;D xsi:type="xsd:long"&gt;46239&lt;/D&gt;&lt;/FQL&gt;&lt;FQL&gt;&lt;Q&gt;GRMN^CS_EVENT_TIME_N("ER",2)&lt;/Q&gt;&lt;R&gt;1&lt;/R&gt;&lt;C&gt;1&lt;/C&gt;&lt;D xsi:type="xsd:string"&gt;Unspecified&lt;/D&gt;&lt;/FQL&gt;&lt;FQL&gt;&lt;Q&gt;GRMN^CS_EVENT_DESC_N("ER",2)&lt;/Q&gt;&lt;R&gt;1&lt;/R&gt;&lt;C&gt;1&lt;/C&gt;&lt;D xsi:type="xsd:string"&gt;Q2 2026 Earnings Release (Projected)&lt;/D&gt;&lt;/FQL&gt;&lt;FQL&gt;&lt;Q&gt;EW^CS_EVENT_DATEJ_N("ER",2)&lt;/Q&gt;&lt;R&gt;1&lt;/R&gt;&lt;C&gt;1&lt;/C&gt;&lt;D xsi:type="xsd:long"&gt;46226&lt;/D&gt;&lt;/FQL&gt;&lt;FQL&gt;&lt;Q&gt;EW^CS_EVENT_TIME_N("ER",2)&lt;/Q&gt;&lt;R&gt;1&lt;/R&gt;&lt;C&gt;1&lt;/C&gt;&lt;D xsi:type="xsd:string"&gt;Unspecified&lt;/D&gt;&lt;/FQL&gt;&lt;FQL&gt;&lt;Q&gt;EW^CS_EVENT_DESC_N("ER",2)&lt;/Q&gt;&lt;R&gt;1&lt;/R&gt;&lt;C&gt;1&lt;/C&gt;&lt;D xsi:type="xsd:string"&gt;Q2 2026 Earnings Release (Projected)&lt;/D&gt;&lt;/FQL&gt;&lt;FQL&gt;&lt;Q&gt;MGM^CS_EVENT_DATEJ_N("ER",2)&lt;/Q&gt;&lt;R&gt;1&lt;/R&gt;&lt;C&gt;1&lt;/C&gt;&lt;D xsi:type="xsd:long"&gt;46239&lt;/D&gt;&lt;/FQL&gt;&lt;FQL&gt;&lt;Q&gt;MGM^CS_EVENT_TIME_N("ER",2)&lt;/Q&gt;&lt;R&gt;1&lt;/R&gt;&lt;C&gt;1&lt;/C&gt;&lt;D xsi:type="xsd:string"&gt;Unspecified&lt;/D&gt;&lt;/FQL&gt;&lt;FQL&gt;&lt;Q&gt;MGM^CS_EVENT_DESC_N("ER",2)&lt;/Q&gt;&lt;R&gt;1&lt;/R&gt;&lt;C&gt;1&lt;/C&gt;&lt;D xsi:type="xsd:string"&gt;Q2 2026 Earnings Release (Projected)&lt;/D&gt;&lt;/FQL&gt;&lt;FQL&gt;&lt;Q&gt;APH^CS_EVENT_DATEJ_N("ER",2)&lt;/Q&gt;&lt;R&gt;1&lt;/R&gt;&lt;C&gt;1&lt;/C&gt;&lt;D xsi:type="xsd:long"&gt;46232&lt;/D&gt;&lt;/FQL&gt;&lt;FQL&gt;&lt;Q&gt;APH^CS_EVENT_TIME_N("ER",2)&lt;/Q&gt;&lt;R&gt;1&lt;/R&gt;&lt;C&gt;1&lt;/C&gt;&lt;D xsi:type="xsd:string"&gt;Unspecified&lt;/D&gt;&lt;/FQL&gt;&lt;FQL&gt;&lt;Q&gt;APH^CS_EVENT_DESC_N("ER",2)&lt;/Q&gt;&lt;R&gt;1&lt;/R&gt;&lt;C&gt;1&lt;/C&gt;&lt;D xsi:type="xsd:string"&gt;Q2 2026 Earnings Release (Projected)&lt;/D&gt;&lt;/FQL&gt;&lt;FQL&gt;&lt;Q&gt;ALL^CS_EVENT_DATEJ_N("ER",2)&lt;/Q&gt;&lt;R&gt;1&lt;/R&gt;&lt;C&gt;1&lt;/C&gt;&lt;D xsi:type="xsd:long"&gt;46239&lt;/D&gt;&lt;/FQL&gt;&lt;FQL&gt;&lt;Q&gt;ALL^CS_EVENT_TIME_N("ER",2)&lt;/Q&gt;&lt;R&gt;1&lt;/R&gt;&lt;C&gt;1&lt;/C&gt;&lt;D xsi:type="xsd:string"&gt;After Market&lt;/D&gt;&lt;/FQL&gt;&lt;FQL&gt;&lt;Q&gt;ALL^CS_EVENT_DESC_N("ER",2)&lt;/Q&gt;&lt;R&gt;1&lt;/R&gt;&lt;C&gt;1&lt;/C&gt;&lt;D xsi:type="xsd:string"&gt;Q2 2026 Earnings Release&lt;/D&gt;&lt;/FQL&gt;&lt;FQL&gt;&lt;Q&gt;SWK^CS_EVENT_DATEJ_N("ER",2)&lt;/Q&gt;&lt;R&gt;1&lt;/R&gt;&lt;C&gt;1&lt;/C&gt;&lt;D xsi:type="xsd:long"&gt;46238&lt;/D&gt;&lt;/FQL&gt;&lt;FQL&gt;&lt;Q&gt;SWK^CS_EVENT_TIME_N("ER",2)&lt;/Q&gt;&lt;R&gt;1&lt;/R&gt;&lt;C&gt;1&lt;/C&gt;&lt;D xsi:type="xsd:string"&gt;Unspecified&lt;/D&gt;&lt;/FQL&gt;&lt;FQL&gt;&lt;Q&gt;SWK^CS_EVENT_DESC_N("ER",2)&lt;/Q&gt;&lt;R&gt;1&lt;/R&gt;&lt;C&gt;1&lt;/C&gt;&lt;D xsi:type="xsd:string"&gt;Q2 2026 Earnings Release (Projected)&lt;/D&gt;&lt;/FQL&gt;&lt;FQL&gt;&lt;Q&gt;REGN^CS_EVENT_DATEJ_N("ER",2)&lt;/Q&gt;&lt;R&gt;1&lt;/R&gt;&lt;C&gt;1&lt;/C&gt;&lt;D xsi:type="xsd:long"&gt;46233&lt;/D&gt;&lt;/FQL&gt;&lt;FQL&gt;&lt;Q&gt;REGN^CS_EVENT_TIME_N("ER",2)&lt;/Q&gt;&lt;R&gt;1&lt;/R&gt;&lt;C&gt;1&lt;/C&gt;&lt;D xsi:type="xsd:string"&gt;Unspecified&lt;/D&gt;&lt;/FQL&gt;&lt;FQL&gt;&lt;Q&gt;REGN^CS_EVENT_DESC_N("ER",2)&lt;/Q&gt;&lt;R&gt;1&lt;/R&gt;&lt;C&gt;1&lt;/C&gt;&lt;D xsi:type="xsd:string"&gt;Q2 2026 Earnings Release (Projected)&lt;/D&gt;&lt;/FQL&gt;&lt;FQL&gt;&lt;Q&gt;ODFL^CS_EVENT_DATEJ_N("ER",2)&lt;/Q&gt;&lt;R&gt;1&lt;/R&gt;&lt;C&gt;1&lt;/C&gt;&lt;D xsi:type="xsd:long"&gt;46232&lt;/D&gt;&lt;/FQL&gt;&lt;FQL&gt;&lt;Q&gt;ODFL^CS_EVENT_TIME_N("ER",2)&lt;/Q&gt;&lt;R&gt;1&lt;/R&gt;&lt;C&gt;1&lt;/C&gt;&lt;D xsi:type="xsd:string"&gt;Unspecified&lt;/D&gt;&lt;/FQL&gt;&lt;FQL&gt;&lt;Q&gt;ODFL^CS_EVENT_DESC_N("ER",2)&lt;/Q&gt;&lt;R&gt;1&lt;/R&gt;&lt;C&gt;1&lt;/C&gt;&lt;D xsi:type="xsd:string"&gt;Q2 2026 Earnings Release (Projected)&lt;/D&gt;&lt;/FQL&gt;&lt;FQL&gt;&lt;Q&gt;ALGN^CS_EVENT_DATEJ_N("ER",2)&lt;/Q&gt;&lt;R&gt;1&lt;/R&gt;&lt;C&gt;1&lt;/C&gt;&lt;D xsi:type="xsd:long"&gt;46232&lt;/D&gt;&lt;/FQL&gt;&lt;FQL&gt;&lt;Q&gt;ALGN^CS_EVENT_TIME_N("ER",2)&lt;/Q&gt;&lt;R&gt;1&lt;/R&gt;&lt;C&gt;1&lt;/C&gt;&lt;D xsi:type="xsd:string"&gt;Unspecified&lt;/D&gt;&lt;/FQL&gt;&lt;FQL&gt;&lt;Q&gt;ALGN^CS_EVENT_DESC_N("ER",2)&lt;/Q&gt;&lt;R&gt;1&lt;/R&gt;&lt;C&gt;1&lt;/C&gt;&lt;D xsi:type="xsd:string"&gt;Q2 2026 Earnings Release&lt;/D&gt;&lt;/FQL&gt;&lt;FQL&gt;&lt;Q&gt;GD^CS_EVENT_DATEJ_N("ER",2)&lt;/Q&gt;&lt;R&gt;1&lt;/R&gt;&lt;C&gt;1&lt;/C&gt;&lt;D xsi:type="xsd:long"&gt;46232&lt;/D&gt;&lt;/FQL&gt;&lt;FQL&gt;&lt;Q&gt;GD^CS_EVENT_TIME_N("ER",2)&lt;/Q&gt;&lt;R&gt;1&lt;/R&gt;&lt;C&gt;1&lt;/C&gt;&lt;D xsi:type="xsd:string"&gt;Unspecified&lt;/D&gt;&lt;/FQL&gt;&lt;FQL&gt;&lt;Q&gt;GD^CS_EVENT_DESC_N("ER",2)&lt;/Q&gt;&lt;R&gt;1&lt;/R&gt;&lt;C&gt;1&lt;/C&gt;&lt;D xsi:type="xsd:string"&gt;Q2 2026 Earnings Release (Projected)&lt;/D&gt;&lt;/FQL&gt;&lt;FQL&gt;&lt;Q&gt;ETR^CS_EVENT_DATEJ_N("ER",2)&lt;/Q&gt;&lt;R&gt;1&lt;/R&gt;&lt;C&gt;1&lt;/C&gt;&lt;D xsi:type="xsd:long"&gt;46239&lt;/D&gt;&lt;/FQL&gt;&lt;FQL&gt;&lt;Q&gt;ETR^CS_EVENT_TIME_N("ER",2)&lt;/Q&gt;&lt;R&gt;1&lt;/R&gt;&lt;C&gt;1&lt;/C&gt;&lt;D xsi:type="xsd:string"&gt;Unspecified&lt;/D&gt;&lt;/FQL&gt;&lt;FQL&gt;&lt;Q&gt;ETR^CS_EVENT_DESC_N("ER",2)&lt;/Q&gt;&lt;R&gt;1&lt;/R&gt;&lt;C&gt;1&lt;/C&gt;&lt;D xsi:type="xsd:string"&gt;Q2 2026 Earnings Release (Projected)&lt;/D&gt;&lt;/FQL&gt;&lt;FQL&gt;&lt;Q&gt;EG^CS_EVENT_DATEJ_N("ER",2)&lt;/Q&gt;&lt;R&gt;1&lt;/R&gt;&lt;C&gt;1&lt;/C&gt;&lt;D xsi:type="xsd:long"&gt;46232&lt;/D&gt;&lt;/FQL&gt;&lt;FQL&gt;&lt;Q&gt;EG^CS_EVENT_TIME_N("ER",2)&lt;/Q&gt;&lt;R&gt;1&lt;/R&gt;&lt;C&gt;1&lt;/C&gt;&lt;D xsi:type="xsd:string"&gt;Unspecified&lt;/D&gt;&lt;/FQL&gt;&lt;FQL&gt;&lt;Q&gt;EG^CS_EVENT_DESC_N("ER",2)&lt;/Q&gt;&lt;R&gt;1&lt;/R&gt;&lt;C&gt;1&lt;/C&gt;&lt;D xsi:type="xsd:string"&gt;Q2 2026 Earnings Release (Projected)&lt;/D&gt;&lt;/FQL&gt;&lt;FQL&gt;&lt;Q&gt;FIX^CS_EVENT_DATEJ_N("ER",2)&lt;/Q&gt;&lt;R&gt;1&lt;/R&gt;&lt;C&gt;1&lt;/C&gt;&lt;D xsi:type="xsd:long"&gt;46232&lt;/D&gt;&lt;/FQL&gt;&lt;FQL&gt;&lt;Q&gt;FIX^CS_EVENT_TIME_N("ER",2)&lt;/Q&gt;&lt;R&gt;1&lt;/R&gt;&lt;C&gt;1&lt;/C&gt;&lt;D xsi:type="xsd:string"&gt;Unspecified&lt;/D&gt;&lt;/FQL&gt;&lt;FQL&gt;&lt;Q&gt;FIX^CS_EVENT_DESC_N("ER",2)&lt;/Q&gt;&lt;R&gt;1&lt;/R&gt;&lt;C&gt;1&lt;/C&gt;&lt;D xsi:type="xsd:string"&gt;Q2 2026 Earnings Release (Projected)&lt;/D&gt;&lt;/FQL&gt;&lt;FQL&gt;&lt;Q&gt;ROL^CS_EVENT_DATEJ_N("ER",2)&lt;/Q&gt;&lt;R&gt;1&lt;/R&gt;&lt;C&gt;1&lt;/C&gt;&lt;D xsi:type="xsd:long"&gt;46232&lt;/D&gt;&lt;/FQL&gt;&lt;FQL&gt;&lt;Q&gt;ROL^CS_EVENT_TIME_N("ER",2)&lt;/Q&gt;&lt;R&gt;1&lt;/R&gt;&lt;C&gt;1&lt;/C&gt;&lt;D xsi:type="xsd:string"&gt;Unspecified&lt;/D&gt;&lt;/FQL&gt;&lt;FQL&gt;&lt;Q&gt;ROL^CS_EVENT_DESC_N("ER",2)&lt;/Q&gt;&lt;R&gt;1&lt;/R&gt;&lt;C&gt;1&lt;/C&gt;&lt;D xsi:type="xsd:string"&gt;Q2 2026 Earnings Release (Projected)&lt;/D&gt;&lt;/FQL&gt;&lt;FQL&gt;&lt;Q&gt;ADP^CS_EVENT_DATEJ_N("ER",2)&lt;/Q&gt;&lt;R&gt;1&lt;/R&gt;&lt;C&gt;1&lt;/C&gt;&lt;D xsi:type="xsd:long"&gt;46239&lt;/D&gt;&lt;/FQL&gt;&lt;FQL&gt;&lt;Q&gt;ADP^CS_EVENT_TIME_N("ER",2)&lt;/Q&gt;&lt;R&gt;1&lt;/R&gt;&lt;C&gt;1&lt;/C&gt;&lt;D xsi:type="xsd:string"&gt;Unspecified&lt;/D&gt;&lt;/FQL&gt;&lt;FQL&gt;&lt;Q&gt;ADP^CS_EVENT_DESC_N("ER",2)&lt;/Q&gt;&lt;R&gt;1&lt;/R&gt;&lt;C&gt;1&lt;/C&gt;&lt;D xsi:type="xsd:string"&gt;Q4 2026 Earnings Release (Projected)&lt;/D&gt;&lt;/FQL&gt;&lt;FQL&gt;&lt;Q&gt;TDY^CS_EVENT_DATEJ_N("ER",2)&lt;/Q&gt;&lt;R&gt;1&lt;/R&gt;&lt;C&gt;1&lt;/C&gt;&lt;D xsi:type="xsd:long"&gt;46232&lt;/D&gt;&lt;/FQL&gt;&lt;FQL&gt;&lt;Q&gt;TDY^CS_EVENT_TIME_N("ER",2)&lt;/Q&gt;&lt;R&gt;1&lt;/R&gt;&lt;C&gt;1&lt;/C&gt;&lt;D xsi:type="xsd:string"&gt;Unspecified&lt;/D&gt;&lt;/FQL&gt;&lt;FQL&gt;&lt;Q&gt;TDY^CS_EVENT_DESC_N("ER",2)&lt;/Q&gt;&lt;R&gt;1&lt;/R&gt;&lt;C&gt;1&lt;/C&gt;&lt;D xsi:type="xsd:string"&gt;Q2 2026 Earnings Release (Projected)&lt;/D&gt;&lt;/FQL&gt;&lt;FQL&gt;&lt;Q&gt;URI^CS_EVENT_DATEJ_N("ER",2)&lt;/Q&gt;&lt;R&gt;1&lt;/R&gt;&lt;C&gt;1&lt;/C&gt;&lt;D xsi:type="xsd:long"&gt;46232&lt;/D&gt;&lt;/FQL&gt;&lt;FQL&gt;&lt;Q&gt;URI^CS_EVENT_TIME_N("ER",2)&lt;/Q&gt;&lt;R&gt;1&lt;/R&gt;&lt;C&gt;1&lt;/C&gt;&lt;D xsi:type="xsd:string"&gt;Unspecified&lt;/D&gt;&lt;/FQL&gt;&lt;FQL&gt;&lt;Q&gt;URI^CS_EVENT_DESC_N("ER",2)&lt;/Q&gt;&lt;R&gt;1&lt;/R&gt;&lt;C&gt;1&lt;/C&gt;&lt;D xsi:type="xsd:string"&gt;Q2 2026 Earnings Release (Projected)&lt;/D&gt;&lt;/FQL&gt;&lt;FQL&gt;&lt;Q&gt;AMGN^CS_EVENT_DATEJ_N("ER",2)&lt;/Q&gt;&lt;R&gt;1&lt;/R&gt;&lt;C&gt;1&lt;/C&gt;&lt;D xsi:type="xsd:long"&gt;46233&lt;/D&gt;&lt;/FQL&gt;&lt;FQL&gt;&lt;Q&gt;AMGN^CS_EVENT_TIME_N("ER",2)&lt;/Q&gt;&lt;R&gt;1&lt;/R&gt;&lt;C&gt;1&lt;/C&gt;&lt;D xsi:type="xsd:string"&gt;Unspecified&lt;/D&gt;&lt;/FQL&gt;&lt;FQL&gt;&lt;Q&gt;AMGN^CS_EVENT_DESC_N("ER",2)&lt;/Q&gt;&lt;R&gt;1&lt;/R&gt;&lt;C&gt;1&lt;/C&gt;&lt;D xsi:type="xsd:string"&gt;Q2 2026 Earnings Release (Projected)&lt;/D&gt;&lt;/FQL&gt;&lt;FQL&gt;&lt;Q&gt;AVY^CS_EVENT_DATEJ_N("ER",2)&lt;/Q&gt;&lt;R&gt;1&lt;/R&gt;&lt;C&gt;1&lt;/C&gt;&lt;D xsi:type="xsd:long"&gt;46231&lt;/D&gt;&lt;/FQL&gt;&lt;FQL&gt;&lt;Q&gt;AVY^CS_EVENT_TIME_N("ER",2)&lt;/Q&gt;&lt;R&gt;1&lt;/R&gt;&lt;C&gt;1&lt;/C&gt;&lt;D xsi:type="xsd:string"&gt;Unspecified&lt;/D&gt;&lt;/FQL&gt;&lt;FQL&gt;&lt;Q&gt;AVY^CS_EVENT_DESC_N("ER",2)&lt;/Q&gt;&lt;R&gt;1&lt;/R&gt;&lt;C&gt;1&lt;/C&gt;&lt;D xsi:type="xsd:string"&gt;Q2 2026 Earnings Release (Projected)&lt;/D&gt;&lt;/FQL&gt;&lt;FQL&gt;&lt;Q&gt;EQT^CS_EVENT_DATEJ_N("ER",2)&lt;/Q&gt;&lt;R&gt;1&lt;/R&gt;&lt;C&gt;1&lt;/C&gt;&lt;D xsi:type="xsd:long"&gt;46231&lt;/D&gt;&lt;/FQL&gt;&lt;FQL&gt;&lt;Q&gt;EQT^CS_EVENT_TIME_N("ER",2)&lt;/Q&gt;&lt;R&gt;1&lt;/R&gt;&lt;C&gt;1&lt;/C&gt;&lt;D xsi:type="xsd:string"&gt;Unspecified&lt;/D&gt;&lt;/FQL&gt;&lt;FQL&gt;&lt;Q&gt;EQT^CS_EVENT_DESC_N("ER",2)&lt;/Q&gt;&lt;R&gt;1&lt;/R&gt;&lt;C&gt;1&lt;/C&gt;&lt;D xsi:type="xsd:string"&gt;Q2 2026 Earnings Release (Projected)&lt;/D&gt;&lt;/FQL&gt;&lt;FQL&gt;&lt;Q&gt;ORLY^CS_EVENT_DATEJ_N("ER",2)&lt;/Q&gt;&lt;R&gt;1&lt;/R&gt;&lt;C&gt;1&lt;/C&gt;&lt;D xsi:type="xsd:long"&gt;46232&lt;/D&gt;&lt;/FQL&gt;&lt;FQL&gt;&lt;Q&gt;ORLY^CS_EVENT_TIME_N("ER",2)&lt;/Q&gt;&lt;R&gt;1&lt;/R&gt;&lt;C&gt;1&lt;/C&gt;&lt;D xsi:type="xsd:string"&gt;Unspecified&lt;/D&gt;&lt;/FQL&gt;&lt;FQL&gt;&lt;Q&gt;ORLY^CS_EVENT_DESC_N("ER",2)&lt;/Q&gt;&lt;R&gt;1&lt;/R&gt;&lt;C&gt;1&lt;/C&gt;&lt;D xsi:type="xsd:string"&gt;Q2 2026 Earnings Release (Projected)&lt;/D&gt;&lt;/FQL&gt;&lt;FQL&gt;&lt;Q&gt;TMO^CS_EVENT_DATEJ_N("ER",2)&lt;/Q&gt;&lt;R&gt;1&lt;/R&gt;&lt;C&gt;1&lt;/C&gt;&lt;D xsi:type="xsd:long"&gt;46232&lt;/D&gt;&lt;/FQL&gt;&lt;FQL&gt;&lt;Q&gt;TMO^CS_EVENT_TIME_N("ER",2)&lt;/Q&gt;&lt;R&gt;1&lt;/R&gt;&lt;C&gt;1&lt;/C&gt;&lt;D xsi:type="xsd:string"&gt;Unspecified&lt;/D&gt;&lt;/FQL&gt;&lt;FQL&gt;&lt;Q&gt;TMO^CS_EVENT_DESC_N("ER",2)&lt;/Q&gt;&lt;R&gt;1&lt;/R&gt;&lt;C&gt;1&lt;/C&gt;&lt;D xsi:type="xsd:string"&gt;Q2 2026 Earnings Release (Projected)&lt;/D&gt;&lt;/FQL&gt;&lt;FQL&gt;&lt;Q&gt;AVB^CS_EVENT_DATEJ_N("ER",2)&lt;/Q&gt;&lt;R&gt;1&lt;/R&gt;&lt;C&gt;1&lt;/C&gt;&lt;D xsi:type="xsd:long"&gt;46239&lt;/D&gt;&lt;/FQL&gt;&lt;FQL&gt;&lt;Q&gt;AVB^CS_EVENT_TIME</t>
        </r>
      </text>
    </comment>
    <comment ref="A19" authorId="0" shapeId="0" xr:uid="{2547CD68-3D30-4995-9678-D0CB25915726}">
      <text>
        <r>
          <rPr>
            <b/>
            <sz val="9"/>
            <color indexed="81"/>
            <rFont val="Tahoma"/>
            <family val="2"/>
          </rPr>
          <t>_N("ER",2)&lt;/Q&gt;&lt;R&gt;1&lt;/R&gt;&lt;C&gt;1&lt;/C&gt;&lt;D xsi:type="xsd:string"&gt;Unspecified&lt;/D&gt;&lt;/FQL&gt;&lt;FQL&gt;&lt;Q&gt;AVB^CS_EVENT_DESC_N("ER",2)&lt;/Q&gt;&lt;R&gt;1&lt;/R&gt;&lt;C&gt;1&lt;/C&gt;&lt;D xsi:type="xsd:string"&gt;Q2 2026 Earnings Release (Projected)&lt;/D&gt;&lt;/FQL&gt;&lt;FQL&gt;&lt;Q&gt;LRCX^CS_EVENT_DATEJ_N("ER",2)&lt;/Q&gt;&lt;R&gt;1&lt;/R&gt;&lt;C&gt;1&lt;/C&gt;&lt;D xsi:type="xsd:long"&gt;46239&lt;/D&gt;&lt;/FQL&gt;&lt;FQL&gt;&lt;Q&gt;LRCX^CS_EVENT_TIME_N("ER",2)&lt;/Q&gt;&lt;R&gt;1&lt;/R&gt;&lt;C&gt;1&lt;/C&gt;&lt;D xsi:type="xsd:string"&gt;Unspecified&lt;/D&gt;&lt;/FQL&gt;&lt;FQL&gt;&lt;Q&gt;LRCX^CS_EVENT_DESC_N("ER",2)&lt;/Q&gt;&lt;R&gt;1&lt;/R&gt;&lt;C&gt;1&lt;/C&gt;&lt;D xsi:type="xsd:string"&gt;Q4 2026 Earnings Release (Projected)&lt;/D&gt;&lt;/FQL&gt;&lt;FQL&gt;&lt;Q&gt;TYL^CS_EVENT_DATEJ_N("ER",2)&lt;/Q&gt;&lt;R&gt;1&lt;/R&gt;&lt;C&gt;1&lt;/C&gt;&lt;D xsi:type="xsd:long"&gt;46232&lt;/D&gt;&lt;/FQL&gt;&lt;FQL&gt;&lt;Q&gt;TYL^CS_EVENT_TIME_N("ER",2)&lt;/Q&gt;&lt;R&gt;1&lt;/R&gt;&lt;C&gt;1&lt;/C&gt;&lt;D xsi:type="xsd:string"&gt;Unspecified&lt;/D&gt;&lt;/FQL&gt;&lt;FQL&gt;&lt;Q&gt;TYL^CS_EVENT_DESC_N("ER",2)&lt;/Q&gt;&lt;R&gt;1&lt;/R&gt;&lt;C&gt;1&lt;/C&gt;&lt;D xsi:type="xsd:string"&gt;Q2 2026 Earnings Release (Projected)&lt;/D&gt;&lt;/FQL&gt;&lt;FQL&gt;&lt;Q&gt;REG^CS_EVENT_DATEJ_N("ER",2)&lt;/Q&gt;&lt;R&gt;1&lt;/R&gt;&lt;C&gt;1&lt;/C&gt;&lt;D xsi:type="xsd:long"&gt;46232&lt;/D&gt;&lt;/FQL&gt;&lt;FQL&gt;&lt;Q&gt;REG^CS_EVENT_TIME_N("ER",2)&lt;/Q&gt;&lt;R&gt;1&lt;/R&gt;&lt;C&gt;1&lt;/C&gt;&lt;D xsi:type="xsd:string"&gt;Unspecified&lt;/D&gt;&lt;/FQL&gt;&lt;FQL&gt;&lt;Q&gt;REG^CS_EVENT_DESC_N("ER",2)&lt;/Q&gt;&lt;R&gt;1&lt;/R&gt;&lt;C&gt;1&lt;/C&gt;&lt;D xsi:type="xsd:string"&gt;Q2 2026 Earnings Release&lt;/D&gt;&lt;/FQL&gt;&lt;FQL&gt;&lt;Q&gt;BG^CS_EVENT_DATEJ_N("ER",2)&lt;/Q&gt;&lt;R&gt;1&lt;/R&gt;&lt;C&gt;1&lt;/C&gt;&lt;D xsi:type="xsd:long"&gt;46239&lt;/D&gt;&lt;/FQL&gt;&lt;FQL&gt;&lt;Q&gt;BG^CS_EVENT_TIME_N("ER",2)&lt;/Q&gt;&lt;R&gt;1&lt;/R&gt;&lt;C&gt;1&lt;/C&gt;&lt;D xsi:type="xsd:string"&gt;Unspecified&lt;/D&gt;&lt;/FQL&gt;&lt;FQL&gt;&lt;Q&gt;BG^CS_EVENT_DESC_N("ER",2)&lt;/Q&gt;&lt;R&gt;1&lt;/R&gt;&lt;C&gt;1&lt;/C&gt;&lt;D xsi:type="xsd:string"&gt;Q2 2026 Earnings Release (Projected)&lt;/D&gt;&lt;/FQL&gt;&lt;FQL&gt;&lt;Q&gt;F^CS_EVENT_DATEJ_N("ER",2)&lt;/Q&gt;&lt;R&gt;1&lt;/R&gt;&lt;C&gt;1&lt;/C&gt;&lt;D xsi:type="xsd:long"&gt;46232&lt;/D&gt;&lt;/FQL&gt;&lt;FQL&gt;&lt;Q&gt;F^CS_EVENT_TIME_N("ER",2)&lt;/Q&gt;&lt;R&gt;1&lt;/R&gt;&lt;C&gt;1&lt;/C&gt;&lt;D xsi:type="xsd:string"&gt;Unspecified&lt;/D&gt;&lt;/FQL&gt;&lt;FQL&gt;&lt;Q&gt;F^CS_EVENT_DESC_N("ER",2)&lt;/Q&gt;&lt;R&gt;1&lt;/R&gt;&lt;C&gt;1&lt;/C&gt;&lt;D xsi:type="xsd:string"&gt;Q2 2026 Earnings Release (Projected)&lt;/D&gt;&lt;/FQL&gt;&lt;FQL&gt;&lt;Q&gt;AFL^CS_EVENT_DATEJ_N("ER",2)&lt;/Q&gt;&lt;R&gt;1&lt;/R&gt;&lt;C&gt;1&lt;/C&gt;&lt;D xsi:type="xsd:long"&gt;46238&lt;/D&gt;&lt;/FQL&gt;&lt;FQL&gt;&lt;Q&gt;AFL^CS_EVENT_TIME_N("ER",2)&lt;/Q&gt;&lt;R&gt;1&lt;/R&gt;&lt;C&gt;1&lt;/C&gt;&lt;D xsi:type="xsd:string"&gt;4:05 PM&lt;/D&gt;&lt;/FQL&gt;&lt;FQL&gt;&lt;Q&gt;AFL^CS_EVENT_DESC_N("ER",2)&lt;/Q&gt;&lt;R&gt;1&lt;/R&gt;&lt;C&gt;1&lt;/C&gt;&lt;D xsi:type="xsd:string"&gt;Q2 2026 Earnings Release&lt;/D&gt;&lt;/FQL&gt;&lt;FQL&gt;&lt;Q&gt;HUM^CS_EVENT_DATEJ_N("ER",2)&lt;/Q&gt;&lt;R&gt;1&lt;/R&gt;&lt;C&gt;1&lt;/C&gt;&lt;D xsi:type="xsd:long"&gt;46232&lt;/D&gt;&lt;/FQL&gt;&lt;FQL&gt;&lt;Q&gt;HUM^CS_EVENT_TIME_N("ER",2)&lt;/Q&gt;&lt;R&gt;1&lt;/R&gt;&lt;C&gt;1&lt;/C&gt;&lt;D xsi:type="xsd:string"&gt;6:00 AM&lt;/D&gt;&lt;/FQL&gt;&lt;FQL&gt;&lt;Q&gt;HUM^CS_EVENT_DESC_N("ER",2)&lt;/Q&gt;&lt;R&gt;1&lt;/R&gt;&lt;C&gt;1&lt;/C&gt;&lt;D xsi:type="xsd:string"&gt;Q2 2026 Earnings Release&lt;/D&gt;&lt;/FQL&gt;&lt;FQL&gt;&lt;Q&gt;CMG^CS_EVENT_DATEJ_N("ER",2)&lt;/Q&gt;&lt;R&gt;1&lt;/R&gt;&lt;C&gt;1&lt;/C&gt;&lt;D xsi:type="xsd:long"&gt;46232&lt;/D&gt;&lt;/FQL&gt;&lt;FQL&gt;&lt;Q&gt;CMG^CS_EVENT_TIME_N("ER",2)&lt;/Q&gt;&lt;R&gt;1&lt;/R&gt;&lt;C&gt;1&lt;/C&gt;&lt;D xsi:type="xsd:string"&gt;Unspecified&lt;/D&gt;&lt;/FQL&gt;&lt;FQL&gt;&lt;Q&gt;CMG^CS_EVENT_DESC_N("ER",2)&lt;/Q&gt;&lt;R&gt;1&lt;/R&gt;&lt;C&gt;1&lt;/C&gt;&lt;D xsi:type="xsd:string"&gt;Q2 2026 Earnings Release (Projected)&lt;/D&gt;&lt;/FQL&gt;&lt;FQL&gt;&lt;Q&gt;ABBV^CS_EVENT_DATEJ_N("ER",2)&lt;/Q&gt;&lt;R&gt;1&lt;/R&gt;&lt;C&gt;1&lt;/C&gt;&lt;D xsi:type="xsd:long"&gt;46227&lt;/D&gt;&lt;/FQL&gt;&lt;FQL&gt;&lt;Q&gt;ABBV^CS_EVENT_TIME_N("ER",2)&lt;/Q&gt;&lt;R&gt;1&lt;/R&gt;&lt;C&gt;1&lt;/C&gt;&lt;D xsi:type="xsd:string"&gt;Unspecified&lt;/D&gt;&lt;/FQL&gt;&lt;FQL&gt;&lt;Q&gt;ABBV^CS_EVENT_DESC_N("ER",2)&lt;/Q&gt;&lt;R&gt;1&lt;/R&gt;&lt;C&gt;1&lt;/C&gt;&lt;D xsi:type="xsd:string"&gt;Q2 2026 Earnings Release (Projected)&lt;/D&gt;&lt;/FQL&gt;&lt;FQL&gt;&lt;Q&gt;STX^CS_EVENT_DATEJ_N("ER",2)&lt;/Q&gt;&lt;R&gt;1&lt;/R&gt;&lt;C&gt;1&lt;/C&gt;&lt;D xsi:type="xsd:long"&gt;46219&lt;/D&gt;&lt;/FQL&gt;&lt;FQL&gt;&lt;Q&gt;STX^CS_EVENT_TIME_N("ER",2)&lt;/Q&gt;&lt;R&gt;1&lt;/R&gt;&lt;C&gt;1&lt;/C&gt;&lt;D xsi:type="xsd:string"&gt;Unspecified&lt;/D&gt;&lt;/FQL&gt;&lt;FQL&gt;&lt;Q&gt;STX^CS_EVENT_DESC_N("ER",2)&lt;/Q&gt;&lt;R&gt;1&lt;/R&gt;&lt;C&gt;1&lt;/C&gt;&lt;D xsi:type="xsd:string"&gt;Q4 2026 Earnings Release (Projected)&lt;/D&gt;&lt;/FQL&gt;&lt;FQL&gt;&lt;Q&gt;PTC^CS_EVENT_DATEJ_N("ER",2)&lt;/Q&gt;&lt;R&gt;1&lt;/R&gt;&lt;C&gt;1&lt;/C&gt;&lt;D xsi:type="xsd:long"&gt;46232&lt;/D&gt;&lt;/FQL&gt;&lt;FQL&gt;&lt;Q&gt;PTC^CS_EVENT_TIME_N("ER",2)&lt;/Q&gt;&lt;R&gt;1&lt;/R&gt;&lt;C&gt;1&lt;/C&gt;&lt;D xsi:type="xsd:string"&gt;Unspecified&lt;/D&gt;&lt;/FQL&gt;&lt;FQL&gt;&lt;Q&gt;PTC^CS_EVENT_DESC_N("ER",2)&lt;/Q&gt;&lt;R&gt;1&lt;/R&gt;&lt;C&gt;1&lt;/C&gt;&lt;D xsi:type="xsd:string"&gt;Q3 2026 Earnings Release (Projected)&lt;/D&gt;&lt;/FQL&gt;&lt;FQL&gt;&lt;Q&gt;CHRW^CS_EVENT_DATEJ_N("ER",2)&lt;/Q&gt;&lt;R&gt;1&lt;/R&gt;&lt;C&gt;1&lt;/C&gt;&lt;D xsi:type="xsd:long"&gt;46239&lt;/D&gt;&lt;/FQL&gt;&lt;FQL&gt;&lt;Q&gt;CHRW^CS_EVENT_TIME_N("ER",2)&lt;/Q&gt;&lt;R&gt;1&lt;/R&gt;&lt;C&gt;1&lt;/C&gt;&lt;D xsi:type="xsd:string"&gt;Unspecified&lt;/D&gt;&lt;/FQL&gt;&lt;FQL&gt;&lt;Q&gt;CHRW^CS_EVENT_DESC_N("ER",2)&lt;/Q&gt;&lt;R&gt;1&lt;/R&gt;&lt;C&gt;1&lt;/C&gt;&lt;D xsi:type="xsd:string"&gt;Q2 2026 Earnings Release (Projected)&lt;/D&gt;&lt;/FQL&gt;&lt;FQL&gt;&lt;Q&gt;LVS^CS_EVENT_DATEJ_N("ER",2)&lt;/Q&gt;&lt;R&gt;1&lt;/R&gt;&lt;C&gt;1&lt;/C&gt;&lt;D xsi:type="xsd:long"&gt;46225&lt;/D&gt;&lt;/FQL&gt;&lt;FQL&gt;&lt;Q&gt;LVS^CS_EVENT_TIME_N("ER",2)&lt;/Q&gt;&lt;R&gt;1&lt;/R&gt;&lt;C&gt;1&lt;/C&gt;&lt;D xsi:type="xsd:string"&gt;Unspecified&lt;/D&gt;&lt;/FQL&gt;&lt;FQL&gt;&lt;Q&gt;LVS^CS_EVENT_DESC_N("ER",2)&lt;/Q&gt;&lt;R&gt;1&lt;/R&gt;&lt;C&gt;1&lt;/C&gt;&lt;D xsi:type="xsd:string"&gt;Q2 2026 Earnings Release (Projected)&lt;/D&gt;&lt;/FQL&gt;&lt;FQL&gt;&lt;Q&gt;TEL^CS_EVENT_DATEJ_N("ER",2)&lt;/Q&gt;&lt;R&gt;1&lt;/R&gt;&lt;C&gt;1&lt;/C&gt;&lt;D xsi:type="xsd:long"&gt;46232&lt;/D&gt;&lt;/FQL&gt;&lt;FQL&gt;&lt;Q&gt;TEL^CS_EVENT_TIME_N("ER",2)&lt;/Q&gt;&lt;R&gt;1&lt;/R&gt;&lt;C&gt;1&lt;/C&gt;&lt;D xsi:type="xsd:string"&gt;Unspecified&lt;/D&gt;&lt;/FQL&gt;&lt;FQL&gt;&lt;Q&gt;TEL^CS_EVENT_DESC_N("ER",2)&lt;/Q&gt;&lt;R&gt;1&lt;/R&gt;&lt;C&gt;1&lt;/C&gt;&lt;D xsi:type="xsd:string"&gt;Q3 2026 Earnings Release (Projected)&lt;/D&gt;&lt;/FQL&gt;&lt;FQL&gt;&lt;Q&gt;META^CS_EVENT_DATEJ_N("ER",2)&lt;/Q&gt;&lt;R&gt;1&lt;/R&gt;&lt;C&gt;1&lt;/C&gt;&lt;D xsi:type="xsd:long"&gt;46232&lt;/D&gt;&lt;/FQL&gt;&lt;FQL&gt;&lt;Q&gt;META^CS_EVENT_TIME_N("ER",2)&lt;/Q&gt;&lt;R&gt;1&lt;/R&gt;&lt;C&gt;1&lt;/C&gt;&lt;D xsi:type="xsd:string"&gt;Unspecified&lt;/D&gt;&lt;/FQL&gt;&lt;FQL&gt;&lt;Q&gt;META^CS_EVENT_DESC_N("ER",2)&lt;/Q&gt;&lt;R&gt;1&lt;/R&gt;&lt;C&gt;1&lt;/C&gt;&lt;D xsi:type="xsd:string"&gt;Q2 2026 Earnings Release (Projected)&lt;/D&gt;&lt;/FQL&gt;&lt;FQL&gt;&lt;Q&gt;PSX^CS_EVENT_DATEJ_N("ER",2)&lt;/Q&gt;&lt;R&gt;1&lt;/R&gt;&lt;C&gt;1&lt;/C&gt;&lt;D xsi:type="xsd:long"&gt;46227&lt;/D&gt;&lt;/FQL&gt;&lt;FQL&gt;&lt;Q&gt;PSX^CS_EVENT_TIME_N("ER",2)&lt;/Q&gt;&lt;R&gt;1&lt;/R&gt;&lt;C&gt;1&lt;/C&gt;&lt;D xsi:type="xsd:string"&gt;Unspecified&lt;/D&gt;&lt;/FQL&gt;&lt;FQL&gt;&lt;Q&gt;PSX^CS_EVENT_DESC_N("ER",2)&lt;/Q&gt;&lt;R&gt;1&lt;/R&gt;&lt;C&gt;1&lt;/C&gt;&lt;D xsi:type="xsd:string"&gt;Q2 2026 Earnings Release (Projected)&lt;/D&gt;&lt;/FQL&gt;&lt;FQL&gt;&lt;Q&gt;NOW^CS_EVENT_DATEJ_N("ER",2)&lt;/Q&gt;&lt;R&gt;1&lt;/R&gt;&lt;C&gt;1&lt;/C&gt;&lt;D xsi:type="xsd:long"&gt;46232&lt;/D&gt;&lt;/FQL&gt;&lt;FQL&gt;&lt;Q&gt;NOW^CS_EVENT_TIME_N("ER",2)&lt;/Q&gt;&lt;R&gt;1&lt;/R&gt;&lt;C&gt;1&lt;/C&gt;&lt;D xsi:type="xsd:string"&gt;Unspecified&lt;/D&gt;&lt;/FQL&gt;&lt;FQL&gt;&lt;Q&gt;NOW^CS_EVENT_DESC_N("ER",2)&lt;/Q&gt;&lt;R&gt;1&lt;/R&gt;&lt;C&gt;1&lt;/C&gt;&lt;D xsi:type="xsd:string"&gt;Q2 2026 Earnings Release (Projected)&lt;/D&gt;&lt;/FQL&gt;&lt;FQL&gt;&lt;Q&gt;VICI^CS_EVENT_DATEJ_N("ER",2)&lt;/Q&gt;&lt;R&gt;1&lt;/R&gt;&lt;C&gt;1&lt;/C&gt;&lt;D xsi:type="xsd:long"&gt;46232&lt;/D&gt;&lt;/FQL&gt;&lt;FQL&gt;&lt;Q&gt;VICI^CS_EVENT_TIME_N("ER",2)&lt;/Q&gt;&lt;R&gt;1&lt;/R&gt;&lt;C&gt;1&lt;/C&gt;&lt;D xsi:type="xsd:string"&gt;Unspecified&lt;/D&gt;&lt;/FQL&gt;&lt;FQL&gt;&lt;Q&gt;VICI^CS_EVENT_DESC_N("ER",2)&lt;/Q&gt;&lt;R&gt;1&lt;/R&gt;&lt;C&gt;1&lt;/C&gt;&lt;D xsi:type="xsd:string"&gt;Q2 2026 Earnings Release (Projected)&lt;/D&gt;&lt;/FQL&gt;&lt;FQL&gt;&lt;Q&gt;VRT^CS_EVENT_DATEJ_N("ER",2)&lt;/Q&gt;&lt;R&gt;1&lt;/R&gt;&lt;C&gt;1&lt;/C&gt;&lt;D xsi:type="xsd:long"&gt;46239&lt;/D&gt;&lt;/FQL&gt;&lt;FQL&gt;&lt;Q&gt;VRT^CS_EVENT_TIME_N("ER",2)&lt;/Q&gt;&lt;R&gt;1&lt;/R&gt;&lt;C&gt;1&lt;/C&gt;&lt;D xsi:type="xsd:string"&gt;Unspecified&lt;/D&gt;&lt;/FQL&gt;&lt;FQL&gt;&lt;Q&gt;VRT^CS_EVENT_DESC_N("ER",2)&lt;/Q&gt;&lt;R&gt;1&lt;/R&gt;&lt;C&gt;1&lt;/C&gt;&lt;D xsi:type="xsd:string"&gt;Q2 2026 Earnings Release (Projected)&lt;/D&gt;&lt;/FQL&gt;&lt;FQL&gt;&lt;Q&gt;OTIS^CS_EVENT_DATEJ_N("ER",2)&lt;/Q&gt;&lt;R&gt;1&lt;/R&gt;&lt;C&gt;1&lt;/C&gt;&lt;D xsi:type="xsd:long"&gt;46232&lt;/D&gt;&lt;/FQL&gt;&lt;FQL&gt;&lt;Q&gt;OTIS^CS_EVENT_TIME_N("ER",2)&lt;/Q&gt;&lt;R&gt;1&lt;/R&gt;&lt;C&gt;1&lt;/C&gt;&lt;D xsi:type="xsd:string"&gt;Unspecified&lt;/D&gt;&lt;/FQL&gt;&lt;FQL&gt;&lt;Q&gt;OTIS^CS_EVENT_DESC_N("ER",2)&lt;/Q&gt;&lt;R&gt;1&lt;/R&gt;&lt;C&gt;1&lt;/C&gt;&lt;D xsi:type="xsd:string"&gt;Q2 2026 Earnings Release (Projected)&lt;/D&gt;&lt;/FQL&gt;&lt;FQL&gt;&lt;Q&gt;AES^CS_EVENT_DATEJ_N("ER",2)&lt;/Q&gt;&lt;R&gt;1&lt;/R&gt;&lt;C&gt;1&lt;/C&gt;&lt;D xsi:type="xsd:long"&gt;46233&lt;/D&gt;&lt;/FQL&gt;&lt;FQL&gt;&lt;Q&gt;AES^CS_EVENT_TIME_N("ER",2)&lt;/Q&gt;&lt;R&gt;1&lt;/R&gt;&lt;C&gt;1&lt;/C&gt;&lt;D xsi:type="xsd:string"&gt;Unspecified&lt;/D&gt;&lt;/FQL&gt;&lt;FQL&gt;&lt;Q&gt;AES^CS_EVENT_DESC_N("ER",2)&lt;/Q&gt;&lt;R&gt;1&lt;/R&gt;&lt;C&gt;1&lt;/C&gt;&lt;D xsi:type="xsd:string"&gt;Q2 2026 Earnings Release (Projected)&lt;/D&gt;&lt;/FQL&gt;&lt;FQL&gt;&lt;Q&gt;ED^CS_EVENT_DATEJ_N("ER",2)&lt;/Q&gt;&lt;R&gt;1&lt;/R&gt;&lt;C&gt;1&lt;/C&gt;&lt;D xsi:type="xsd:long"&gt;46233&lt;/D&gt;&lt;/FQL&gt;&lt;FQL&gt;&lt;Q&gt;ED^CS_EVENT_TIME_N("ER",2)&lt;/Q&gt;&lt;R&gt;1&lt;/R&gt;&lt;C&gt;1&lt;/C&gt;&lt;D xsi:type="xsd:string"&gt;Unspecified&lt;/D&gt;&lt;/FQL&gt;&lt;FQL&gt;&lt;Q&gt;ED^CS_EVENT_DESC_N("ER",2)&lt;/Q&gt;&lt;R&gt;1&lt;/R&gt;&lt;C&gt;1&lt;/C&gt;&lt;D xsi:type="xsd:string"&gt;Q2 2026 Earnings Release (Projected)&lt;/D&gt;&lt;/FQL&gt;&lt;FQL&gt;&lt;Q&gt;SO^CS_EVENT_DATEJ_N("ER",2)&lt;/Q&gt;&lt;R&gt;1&lt;/R&gt;&lt;C&gt;1&lt;/C&gt;&lt;D xsi:type="xsd:long"&gt;46233&lt;/D&gt;&lt;/FQL&gt;&lt;FQL&gt;&lt;Q&gt;SO^CS_EVENT_TIME_N("ER",2)&lt;/Q&gt;&lt;R&gt;1&lt;/R&gt;&lt;C&gt;1&lt;/C&gt;&lt;D xsi:type="xsd:string"&gt;Unspecified&lt;/D&gt;&lt;/FQL&gt;&lt;FQL&gt;&lt;Q&gt;SO^CS_EVENT_DESC_N("ER",2)&lt;/Q&gt;&lt;R&gt;1&lt;/R&gt;&lt;C&gt;1&lt;/C&gt;&lt;D xsi:type="xsd:string"&gt;Q2 2026 Earnings Release (Projected)&lt;/D&gt;&lt;/FQL&gt;&lt;FQL&gt;&lt;Q&gt;IP^CS_EVENT_DATEJ_N("ER",2)&lt;/Q&gt;&lt;R&gt;1&lt;/R&gt;&lt;C&gt;1&lt;/C&gt;&lt;D xsi:type="xsd:long"&gt;46233&lt;/D&gt;&lt;/FQL&gt;&lt;FQL&gt;&lt;Q&gt;IP^CS_EVENT_TIME_N("ER",2)&lt;/Q&gt;&lt;R&gt;1&lt;/R&gt;&lt;C&gt;1&lt;/C&gt;&lt;D xsi:type="xsd:string"&gt;7:00 AM&lt;/D&gt;&lt;/FQL&gt;&lt;FQL&gt;&lt;Q&gt;IP^CS_EVENT_DESC_N("ER",2)&lt;/Q&gt;&lt;R&gt;1&lt;/R&gt;&lt;C&gt;1&lt;/C&gt;&lt;D xsi:type="xsd:string"&gt;Q2 2026 Earnings Release&lt;/D&gt;&lt;/FQL&gt;&lt;FQL&gt;&lt;Q&gt;BAX^CS_EVENT_DATEJ_N("ER",2)&lt;/Q&gt;&lt;R&gt;1&lt;/R&gt;&lt;C&gt;1&lt;/C&gt;&lt;D xsi:type="xsd:long"&gt;46226&lt;/D&gt;&lt;/FQL&gt;&lt;FQL&gt;&lt;Q&gt;BAX^CS_EVENT_TIME_N("ER",2)&lt;/Q&gt;&lt;R&gt;1&lt;/R&gt;&lt;C&gt;1&lt;/C&gt;&lt;D xsi:type="xsd:string"&gt;Unspecified&lt;/D&gt;&lt;/FQL&gt;&lt;FQL&gt;&lt;Q&gt;BAX^CS_EVENT_DESC_N("ER",2)&lt;/Q&gt;&lt;R&gt;1&lt;/R&gt;&lt;C&gt;1&lt;/C&gt;&lt;D xsi:type="xsd:string"&gt;Q2 2026 Earnings Release (Projected)&lt;/D&gt;&lt;/FQL&gt;&lt;FQL&gt;&lt;Q&gt;MNST^CS_EVENT_DATEJ_N("ER",2)&lt;/Q&gt;&lt;R&gt;1&lt;/R&gt;&lt;C&gt;1&lt;/C&gt;&lt;D xsi:type="xsd:long"&gt;46233&lt;/D&gt;&lt;/FQL&gt;&lt;FQL&gt;&lt;Q&gt;MNST^CS_EVENT_TIME_N("ER",2)&lt;/Q&gt;&lt;R&gt;1&lt;/R&gt;&lt;C&gt;1&lt;/C&gt;&lt;D xsi:type="xsd:string"&gt;Unspecified&lt;/D&gt;&lt;/FQL&gt;&lt;FQL&gt;&lt;Q&gt;MNST^CS_EVENT_DESC_N("ER",2)&lt;/Q&gt;&lt;R&gt;1&lt;/R&gt;&lt;C&gt;1&lt;/C&gt;&lt;D xsi:type="xsd:string"&gt;Q2 2026 Earnings Release (Projected)&lt;/D&gt;&lt;/FQL&gt;&lt;FQL&gt;&lt;Q&gt;CAH^CS_EVENT_DATEJ_N("ER",2)&lt;/Q&gt;&lt;R&gt;1&lt;/R&gt;&lt;C&gt;1&lt;/C&gt;&lt;D xsi:type="xsd:long"&gt;46252&lt;/D&gt;&lt;/FQL&gt;&lt;FQL&gt;&lt;Q&gt;CAH^CS_EVENT_TIME_N("ER",2)&lt;/Q&gt;&lt;R&gt;1&lt;/R&gt;&lt;C&gt;1&lt;/C&gt;&lt;D xsi:type="xsd:string"&gt;Unspecified&lt;/D&gt;&lt;/FQL&gt;&lt;FQL&gt;&lt;Q&gt;CAH^CS_EVENT_DESC_N("ER",2)&lt;/Q&gt;&lt;R&gt;1&lt;/R&gt;&lt;C&gt;1&lt;/C&gt;&lt;D xsi:type="xsd:string"&gt;Q4 2026 Earnings Release (Projected)&lt;/D&gt;&lt;/FQL&gt;&lt;FQL&gt;&lt;Q&gt;LHX^CS_EVENT_DATEJ_N("ER",2)&lt;/Q&gt;&lt;R&gt;1&lt;/R&gt;&lt;C&gt;1&lt;/C&gt;&lt;D xsi:type="xsd:long"&gt;46226&lt;/D&gt;&lt;/FQL&gt;&lt;FQL&gt;&lt;Q&gt;LHX^CS_EVENT_TIME_N("ER",2)&lt;/Q&gt;&lt;R&gt;1&lt;/R&gt;&lt;C&gt;1&lt;/C&gt;&lt;D xsi:type="xsd:string"&gt;Unspecified&lt;/D&gt;&lt;/FQL&gt;&lt;FQL&gt;&lt;Q&gt;LHX^CS_EVENT_DESC_N("ER",2)&lt;/Q&gt;&lt;R&gt;1&lt;/R&gt;&lt;C&gt;1&lt;/C&gt;&lt;D xsi:type="xsd:string"&gt;Q2 2026 Earnings Release (Projected)&lt;/D&gt;&lt;/FQL&gt;&lt;FQL&gt;&lt;Q&gt;AIG^CS_EVENT_DATEJ_N("ER",2)&lt;/Q&gt;&lt;R&gt;1&lt;/R&gt;&lt;C&gt;1&lt;/C&gt;&lt;D xsi:type="xsd:long"&gt;46239&lt;/D&gt;&lt;/FQL&gt;&lt;FQL&gt;&lt;Q&gt;AIG^CS_EVENT_TIME_N("ER",2)&lt;/Q&gt;&lt;R&gt;1&lt;/R&gt;&lt;C&gt;1&lt;/C&gt;&lt;D xsi:type="xsd:string"&gt;Unspecified&lt;/D&gt;&lt;/FQL&gt;&lt;FQL&gt;&lt;Q&gt;AIG^CS_EVENT_DESC_N("ER",2)&lt;/Q&gt;&lt;R&gt;1&lt;/R&gt;&lt;C&gt;1&lt;/C&gt;&lt;D xsi:type="xsd:string"&gt;Q2 2026 Earnings Release (Projected)&lt;/D&gt;&lt;/FQL&gt;&lt;FQL&gt;&lt;Q&gt;LLY^CS_EVENT_DATEJ_N("ER",2)&lt;/Q&gt;&lt;R&gt;1&lt;/R&gt;&lt;C&gt;1&lt;/C&gt;&lt;D xsi:type="xsd:long"&gt;46239&lt;/D&gt;&lt;/FQL&gt;&lt;FQL&gt;&lt;Q&gt;LLY^CS_EVENT_TIME_N("ER",2)&lt;/Q&gt;&lt;R&gt;1&lt;/R&gt;&lt;C&gt;1&lt;/C&gt;&lt;D xsi:type="xsd:string"&gt;6:45 AM&lt;/D&gt;&lt;/FQL&gt;&lt;FQL&gt;&lt;Q&gt;LLY^CS_EVENT_DESC_N("ER",2)&lt;/Q&gt;&lt;R&gt;1&lt;/R&gt;&lt;C&gt;1&lt;/C&gt;&lt;D xsi:type="xsd:string"&gt;Q2 2026 Earnings Release&lt;/D&gt;&lt;/FQL&gt;&lt;FQL&gt;&lt;Q&gt;LH^CS_EVENT_DATEJ_N("ER",2)&lt;/Q&gt;&lt;R&gt;1&lt;/R&gt;&lt;C&gt;1&lt;/C&gt;&lt;D xsi:type="xsd:long"&gt;46233&lt;/D&gt;&lt;/FQL&gt;&lt;FQL&gt;&lt;Q&gt;LH^CS_EVENT_TIME_N("ER",2)&lt;/Q&gt;&lt;R&gt;1&lt;/R&gt;&lt;C&gt;1&lt;/C&gt;&lt;D xsi:type="xsd:string"&gt;Unspecified&lt;/D&gt;&lt;/FQL&gt;&lt;FQL&gt;&lt;Q&gt;LH^CS_EVENT_DESC_N("ER",2)&lt;/Q&gt;&lt;R&gt;1&lt;/R&gt;&lt;C&gt;1&lt;/C&gt;&lt;D xsi:type="xsd:string"&gt;Q2 2026 Earnings Release (Projected)&lt;/D&gt;&lt;/FQL&gt;&lt;FQL&gt;&lt;Q&gt;BMY^CS_EVENT_DATEJ_N("ER",2)&lt;/Q&gt;&lt;R&gt;1&lt;/R&gt;&lt;C&gt;1&lt;/C&gt;&lt;D xsi:type="xsd:long"&gt;46233&lt;/D&gt;&lt;/FQL&gt;&lt;FQL&gt;&lt;Q&gt;BMY^CS_EVENT_TIME_N("ER",2)&lt;/Q&gt;&lt;R&gt;1&lt;/R&gt;&lt;C&gt;1&lt;/C&gt;&lt;D xsi:type="xsd:string"&gt;6:59 AM&lt;/D&gt;&lt;/FQL&gt;&lt;FQL&gt;&lt;Q&gt;BMY^CS_EVENT_DESC_N("ER",2)&lt;/Q&gt;&lt;R&gt;1&lt;/R&gt;&lt;C&gt;1&lt;/C&gt;&lt;D xsi:type="xsd:string"&gt;Q2 2026 Earnings Release&lt;/D&gt;&lt;/FQL&gt;&lt;FQL&gt;&lt;Q&gt;LNT^CS_EVENT_DATEJ_N("ER",2)&lt;/Q&gt;&lt;R&gt;1&lt;/R&gt;&lt;C&gt;1&lt;/C&gt;&lt;D xsi:type="xsd:long"&gt;46233&lt;/D&gt;&lt;/FQL&gt;&lt;FQL&gt;&lt;Q&gt;LNT^CS_EVENT_TIME_N("ER",2)&lt;/Q&gt;&lt;R&gt;1&lt;/R&gt;&lt;C&gt;1&lt;/C&gt;&lt;D xsi:type="xsd:string"&gt;Unspecified&lt;/D&gt;&lt;/FQL&gt;&lt;FQL&gt;&lt;Q&gt;LNT^CS_EVENT_DESC_N("ER",2)&lt;/Q&gt;&lt;R&gt;1&lt;/R&gt;&lt;C&gt;1&lt;/C&gt;&lt;D xsi:type="xsd:string"&gt;Q2 2026 Earnings Release (Projected)&lt;/D&gt;&lt;/FQL&gt;&lt;FQL&gt;&lt;Q&gt;APD^CS_EVENT_DATEJ_N("ER",2)&lt;/Q&gt;&lt;R&gt;1&lt;/R&gt;&lt;C&gt;1&lt;/C&gt;&lt;D xsi:type="xsd:long"&gt;46233&lt;/D&gt;&lt;/FQL&gt;&lt;FQL&gt;&lt;Q&gt;APD^CS_EVENT_TIME_N("ER",2)&lt;/Q&gt;&lt;R&gt;1&lt;/R&gt;&lt;C&gt;1&lt;/C&gt;&lt;D xsi:type="xsd:string"&gt;Unspecified&lt;/D&gt;&lt;/FQL&gt;&lt;FQL&gt;&lt;Q&gt;APD^CS_EVENT_DESC_N("ER",2)&lt;/Q&gt;&lt;R&gt;1&lt;/R&gt;&lt;C&gt;1&lt;/C&gt;&lt;D xsi:type="xsd:string"&gt;Q3 2026 Earnings Release (Projected)&lt;/D&gt;&lt;/FQL&gt;&lt;FQL&gt;&lt;Q&gt;SRE^CS_EVENT_DATEJ_N("ER",2)&lt;/Q&gt;&lt;R&gt;1&lt;/R&gt;&lt;C&gt;1&lt;/C&gt;&lt;D xsi:type="xsd:long"&gt;46233&lt;/D&gt;&lt;/FQL&gt;&lt;FQL&gt;&lt;Q&gt;SRE^CS_EVENT_TIME_N("ER",2)&lt;/Q&gt;&lt;R&gt;1&lt;/R&gt;&lt;C&gt;1&lt;/C&gt;&lt;D xsi:type="xsd:string"&gt;Unspecified&lt;/D&gt;&lt;/FQL&gt;&lt;FQL&gt;&lt;Q&gt;SRE^CS_EVENT_DESC_N("ER",2)&lt;/Q&gt;&lt;R&gt;1&lt;/R&gt;&lt;C&gt;1&lt;/C&gt;&lt;D xsi:type="xsd:string"&gt;Q2 2026 Earnings Release (Projected)&lt;/D&gt;&lt;/FQL&gt;&lt;FQL&gt;&lt;Q&gt;PPL^CS_EVENT_DATEJ_N("ER",2)&lt;/Q&gt;&lt;R&gt;1&lt;/R&gt;&lt;C&gt;1&lt;/C&gt;&lt;D xsi:type="xsd:long"&gt;46233&lt;/D&gt;&lt;/FQL&gt;&lt;FQL&gt;&lt;Q&gt;PPL^CS_EVENT_TIME_N("ER",2)&lt;/Q&gt;&lt;R&gt;1&lt;/R&gt;&lt;C&gt;1&lt;/C&gt;&lt;D xsi:type="xsd:string"&gt;Unspecified&lt;/D&gt;&lt;/FQL&gt;&lt;FQL&gt;&lt;Q&gt;PPL^CS_EVENT_DESC_N("ER",2)&lt;/Q&gt;&lt;R&gt;1&lt;/R&gt;&lt;C&gt;1&lt;/C&gt;&lt;D xsi:type="xsd:string"&gt;Q2 2026 Earnings Release (Projected)&lt;/D&gt;&lt;/FQL&gt;&lt;FQL&gt;&lt;Q&gt;TXT^CS_EVENT_DATEJ_N("ER",2)&lt;/Q&gt;&lt;R&gt;1&lt;/R&gt;&lt;C&gt;1&lt;/C&gt;&lt;D xsi:type="xsd:long"&gt;46226&lt;/D&gt;&lt;/FQL&gt;&lt;FQL&gt;&lt;Q&gt;TXT^CS_EVENT_TIME_N("ER",2)&lt;/Q&gt;&lt;R&gt;1&lt;/R&gt;&lt;C&gt;1&lt;/C&gt;&lt;D xsi:type="xsd:string"&gt;Unspecified&lt;/D&gt;&lt;/FQL&gt;&lt;FQL&gt;&lt;Q&gt;TXT^CS_EVENT_DESC_N("ER",2)&lt;/Q&gt;&lt;R&gt;1&lt;/R&gt;&lt;C&gt;1&lt;/C&gt;&lt;D xsi:type="xsd:string"&gt;Q2 2026 Earnings Release (Projected)&lt;/D&gt;&lt;/FQL&gt;&lt;FQL&gt;&lt;Q&gt;AEE^CS_EVENT_DATEJ_N("ER",2)&lt;/Q&gt;&lt;R&gt;1&lt;/R&gt;&lt;C&gt;1&lt;/C&gt;&lt;D xsi:type="xsd:long"&gt;46233&lt;/D&gt;&lt;/FQL&gt;&lt;FQL&gt;&lt;Q&gt;AEE^CS_EVENT_TIME_N("ER",2)&lt;/Q&gt;&lt;R&gt;1&lt;/R&gt;&lt;C&gt;1&lt;/C&gt;&lt;D xsi:type="xsd:string"&gt;Unspecified&lt;/D&gt;&lt;/FQL&gt;&lt;FQL&gt;&lt;Q&gt;AEE^CS_EVENT_DESC_N("ER",2)&lt;/Q&gt;&lt;R&gt;1&lt;/R&gt;&lt;C&gt;1&lt;/C&gt;&lt;D xsi:type="xsd:string"&gt;Q2 2026 Earnings Release (Projected)&lt;/D&gt;&lt;/FQL&gt;&lt;FQL&gt;&lt;Q&gt;TRGP^CS_EVENT_DATEJ_N("ER",2)&lt;/Q&gt;&lt;R&gt;1&lt;/R&gt;&lt;C&gt;1&lt;/C&gt;&lt;D xsi:type="xsd:long"&gt;46233&lt;/D&gt;&lt;/FQL&gt;&lt;FQL&gt;&lt;Q&gt;TRGP^CS_EVENT_TIME_N("ER",2)&lt;/Q&gt;&lt;R&gt;1&lt;/R&gt;&lt;C&gt;1&lt;/C&gt;&lt;D xsi:type="xsd:string"&gt;Unspecified&lt;/D&gt;&lt;/FQL&gt;&lt;FQL&gt;&lt;Q&gt;TRGP^CS_EVENT_DESC_N("ER",2)&lt;/Q&gt;&lt;R&gt;1&lt;/R&gt;&lt;C&gt;1&lt;/C&gt;&lt;D xsi:type="xsd:string"&gt;Q2 2026 Earnings Release (Projected)&lt;/D&gt;&lt;/FQL&gt;&lt;FQL&gt;&lt;Q&gt;MTD^CS_EVENT_DATEJ_N("ER",2)&lt;/Q&gt;&lt;R&gt;1&lt;/R&gt;&lt;C&gt;1&lt;/C&gt;&lt;D xsi:type="xsd:long"&gt;46226&lt;/D&gt;&lt;/FQL&gt;&lt;FQL&gt;&lt;Q&gt;MTD^CS_EVENT_TIME_N("ER",2)&lt;/Q&gt;&lt;R&gt;1&lt;/R&gt;&lt;C&gt;1&lt;/C&gt;&lt;D xsi:type="xsd:string"&gt;Unspecified&lt;/D&gt;&lt;/FQL&gt;&lt;FQL&gt;&lt;Q&gt;MTD^CS_EVENT_DESC_N("ER",2)&lt;/Q&gt;&lt;R&gt;1&lt;/R&gt;&lt;C&gt;1&lt;/C&gt;&lt;D xsi:type="xsd:string"&gt;Q2 2026 Earnings Release (Projected)&lt;/D&gt;&lt;/FQL&gt;&lt;FQL&gt;&lt;Q&gt;TFC^CS_EVENT_TIME_N("E",1)&lt;/Q&gt;&lt;R&gt;1&lt;/R&gt;&lt;C&gt;1&lt;/C&gt;&lt;D xsi:type="xsd:string"&gt;8:00 AM&lt;/D&gt;&lt;/FQL&gt;&lt;FQL&gt;&lt;Q&gt;TFC^CS_EVENT_DESC_N("E",1)&lt;/Q&gt;&lt;R&gt;1&lt;/R&gt;&lt;C&gt;1&lt;/C&gt;&lt;D xsi:type="xsd:string"&gt;Q1 2026 Earnings Call&lt;/D&gt;&lt;/FQL&gt;&lt;FQL&gt;&lt;Q&gt;STT^CS_EVENT_TIME_N("E",1)&lt;/Q&gt;&lt;R&gt;1&lt;/R&gt;&lt;C&gt;1&lt;/C&gt;&lt;D xsi:type="xsd:string"&gt;11:00 AM&lt;/D&gt;&lt;/FQL&gt;&lt;FQL&gt;&lt;Q&gt;STT^CS_EVENT_DESC_N("E",1)&lt;/Q&gt;&lt;R&gt;1&lt;/R&gt;&lt;C&gt;1&lt;/C&gt;&lt;D xsi:type="xsd:string"&gt;Q1 2026 Earnings Call&lt;/D&gt;&lt;/FQL&gt;&lt;FQL&gt;&lt;Q&gt;RF^CS_EVENT_TIME_N("E",1)&lt;/Q&gt;&lt;R&gt;1&lt;/R&gt;&lt;C&gt;1&lt;/C&gt;&lt;D xsi:type="xsd:string"&gt;10:00 AM&lt;/D&gt;&lt;/FQL&gt;&lt;FQL&gt;&lt;Q&gt;RF^CS_EVENT_DESC_N("E",1)&lt;/Q&gt;&lt;R&gt;1&lt;/R&gt;&lt;C&gt;1&lt;/C&gt;&lt;D xsi:type="xsd:string"&gt;Q1 2026 Earnings Call&lt;/D&gt;&lt;/FQL&gt;&lt;FQL&gt;&lt;Q&gt;FITB^CS_EVENT_TIME_N("E",1)&lt;/Q&gt;&lt;R&gt;1&lt;/R&gt;&lt;C&gt;1&lt;/C&gt;&lt;D xsi:type="xsd:string"&gt;9:00 AM&lt;/D&gt;&lt;/FQL&gt;&lt;FQL&gt;&lt;Q&gt;ISRG^CS_EVENT_TIME_N("E",1)&lt;/Q&gt;&lt;R&gt;0&lt;/R&gt;&lt;C&gt;0&lt;/C&gt;&lt;/FQL&gt;&lt;FQL&gt;&lt;Q&gt;NTRS^CS_EVENT_TIME_N("E",1)&lt;/Q&gt;&lt;R&gt;1&lt;/R&gt;&lt;C&gt;1&lt;/C&gt;&lt;D xsi:type="xsd:string"&gt;9:00 AM&lt;/D&gt;&lt;/FQL&gt;&lt;FQL&gt;&lt;Q&gt;COST^CS_EVENT_DATEJ_N("E",1)&lt;/Q&gt;&lt;R&gt;0&lt;/R&gt;&lt;C&gt;0&lt;/C&gt;&lt;/FQL&gt;&lt;FQL&gt;&lt;Q&gt;COST^CS_EVENT_TIME_N("E",1)&lt;/Q&gt;&lt;R&gt;0&lt;/R&gt;&lt;C&gt;0&lt;/C&gt;&lt;/FQL&gt;&lt;FQL&gt;&lt;Q&gt;COST^CS_EVENT_DESC_N("E",1)&lt;/Q&gt;&lt;R&gt;0&lt;/R&gt;&lt;C&gt;0&lt;/C&gt;&lt;/FQL&gt;&lt;FQL&gt;&lt;Q&gt;HRL^CS_EVENT_DATEJ_N("E",1)&lt;/Q&gt;&lt;R&gt;0&lt;/R&gt;&lt;C&gt;0&lt;/C&gt;&lt;/FQL&gt;&lt;FQL&gt;&lt;Q&gt;HRL^CS_EVENT_TIME_N("E",1)&lt;/Q&gt;&lt;R&gt;0&lt;/R&gt;&lt;C&gt;0&lt;/C&gt;&lt;/FQL&gt;&lt;FQL&gt;&lt;Q&gt;HRL^CS_EVENT_DESC_N("E",1)&lt;/Q&gt;&lt;R&gt;0&lt;/R&gt;&lt;C&gt;0&lt;/C&gt;&lt;/FQL&gt;&lt;FQL&gt;&lt;Q&gt;LULU^CS_EVENT_DATEJ_N("E",1)&lt;/Q&gt;&lt;R&gt;0&lt;/R&gt;&lt;C&gt;0&lt;/C&gt;&lt;/FQL&gt;&lt;FQL&gt;&lt;Q&gt;LULU^CS_EVENT_TIME_N("E",1)&lt;/Q&gt;&lt;R&gt;0&lt;/R&gt;&lt;C&gt;0&lt;/C&gt;&lt;/FQL&gt;&lt;FQL&gt;&lt;Q&gt;LULU^CS_EVENT_DESC_N("E",1)&lt;/Q&gt;&lt;R&gt;0&lt;/R&gt;&lt;C&gt;0&lt;/C&gt;&lt;/FQL&gt;&lt;FQL&gt;&lt;Q&gt;NTAP^CS_EVENT_DATEJ_N("E",1)&lt;/Q&gt;&lt;R&gt;0&lt;/R&gt;&lt;C&gt;0&lt;/C&gt;&lt;/FQL&gt;&lt;FQL&gt;&lt;Q&gt;NTAP^CS_EVENT_TIME_N("E",1)&lt;/Q&gt;&lt;R&gt;0&lt;/R&gt;&lt;C&gt;0&lt;/C&gt;&lt;/FQL&gt;&lt;FQL&gt;&lt;Q&gt;NTAP^CS_EVENT_DESC_N("E",1)&lt;/Q&gt;&lt;R&gt;0&lt;/R&gt;&lt;C&gt;0&lt;/C&gt;&lt;/FQL&gt;&lt;FQL&gt;&lt;Q&gt;DELL^CS_EVENT_DATEJ_N("E",1)&lt;/Q&gt;&lt;R&gt;1&lt;/R&gt;&lt;C&gt;1&lt;/C&gt;&lt;D xsi:type="xsd:long"&gt;46170&lt;/D&gt;&lt;/FQL&gt;&lt;FQL&gt;&lt;Q&gt;DELL^CS_EVENT_TIME_N("E",1)&lt;/Q&gt;&lt;R&gt;1&lt;/R&gt;&lt;C&gt;1&lt;/C&gt;&lt;D xsi:type="xsd:string"&gt;4:30 PM&lt;/D&gt;&lt;/FQL&gt;&lt;FQL&gt;&lt;Q&gt;DELL^CS_EVENT_DESC_N("E",1)&lt;/Q&gt;&lt;R&gt;1&lt;/R&gt;&lt;C&gt;1&lt;/C&gt;&lt;D xsi:type="xsd:string"&gt;Q1 2027 Earnings Call&lt;/D&gt;&lt;/FQL&gt;&lt;FQL&gt;&lt;Q&gt;CRWD^CS_EVENT_DATEJ_N("E",1)&lt;/Q&gt;&lt;R&gt;0&lt;/R&gt;&lt;C&gt;0&lt;/C&gt;&lt;/FQL&gt;&lt;FQL&gt;&lt;Q&gt;CRWD^CS_EVENT_TIME_N("E",1)&lt;/Q&gt;&lt;R&gt;0&lt;/R&gt;&lt;C&gt;0&lt;/C&gt;&lt;/FQL&gt;&lt;FQL&gt;&lt;Q&gt;CRWD^CS_EVENT_DESC_N("E",1)&lt;/Q&gt;&lt;R&gt;0&lt;/R&gt;&lt;C&gt;0&lt;/C&gt;&lt;/FQL&gt;&lt;FQL&gt;&lt;Q&gt;COO^CS_EVENT_DATEJ_N("E",1)&lt;/Q&gt;&lt;R&gt;0&lt;/R&gt;&lt;C&gt;0&lt;/C&gt;&lt;/FQL&gt;&lt;FQL&gt;&lt;Q&gt;COO^CS_EVENT_TIME_N("E",1)&lt;/Q&gt;&lt;R&gt;0&lt;/R&gt;&lt;C&gt;0&lt;/C&gt;&lt;/FQL&gt;&lt;FQL&gt;&lt;Q&gt;COO^CS_EVENT_DESC_N("E",1)&lt;/Q&gt;&lt;R&gt;0&lt;/R&gt;&lt;C&gt;0&lt;/C&gt;&lt;/FQL&gt;&lt;FQL&gt;&lt;Q&gt;HPE^CS_EVENT_DATEJ_N("E",1)&lt;/Q&gt;&lt;R&gt;0&lt;/R&gt;&lt;C&gt;0&lt;/C&gt;&lt;/FQL&gt;&lt;FQL&gt;&lt;Q&gt;HPE^CS_EVENT_TIME_N("E",1)&lt;/Q&gt;&lt;R&gt;0&lt;/R&gt;&lt;C&gt;0&lt;/C&gt;&lt;/FQL&gt;&lt;FQL&gt;&lt;Q&gt;HPE^CS_EVENT_DESC_N("E",1)&lt;/Q&gt;&lt;R&gt;0&lt;/R&gt;&lt;C&gt;0&lt;/C&gt;&lt;/FQL&gt;&lt;FQL&gt;&lt;Q&gt;CRM^CS_EVENT_DATEJ_N("E",1)&lt;/Q&gt;&lt;R&gt;0&lt;/R&gt;&lt;C&gt;0&lt;/C&gt;&lt;/FQL&gt;&lt;FQL&gt;&lt;Q&gt;CRM^CS_EVENT_TIME_N("E",1)&lt;/Q&gt;&lt;R&gt;0&lt;/R&gt;&lt;C&gt;0&lt;/C&gt;&lt;/FQL&gt;&lt;FQL&gt;&lt;Q&gt;CRM^CS_EVENT_DESC_N("E",1)&lt;/Q&gt;&lt;R&gt;0&lt;/R&gt;&lt;C&gt;0&lt;/C&gt;&lt;/FQL&gt;&lt;FQL&gt;&lt;Q&gt;HPQ^CS_EVENT_DATEJ_N("E",1)&lt;/Q&gt;&lt;R&gt;0&lt;/R&gt;&lt;C&gt;0&lt;/C&gt;&lt;/FQL&gt;&lt;FQL&gt;&lt;Q&gt;HPQ^CS_EVENT_TIME_N("E",1)&lt;/Q&gt;&lt;R&gt;0&lt;/R&gt;&lt;C&gt;0&lt;/C&gt;&lt;/FQL&gt;&lt;FQL&gt;&lt;Q&gt;HPQ^CS_EVENT_DESC_N("E",1)&lt;/Q&gt;&lt;R&gt;0&lt;/R&gt;&lt;C&gt;0&lt;/C&gt;&lt;/FQL&gt;&lt;FQL&gt;&lt;Q&gt;SJM^CS_EVENT_DATEJ_N("E",1)&lt;/Q&gt;&lt;R&gt;0&lt;/R&gt;&lt;C&gt;0&lt;/C&gt;&lt;/FQL&gt;&lt;FQL&gt;&lt;Q&gt;SJM^CS_EVENT_TIME_N("E",1)&lt;/Q&gt;&lt;R&gt;0&lt;/R&gt;&lt;C&gt;0&lt;/C&gt;&lt;/FQL&gt;&lt;FQL&gt;&lt;Q&gt;SJM^CS_EVENT_DESC_N("E",1)&lt;/Q&gt;&lt;R&gt;0&lt;/R&gt;&lt;C&gt;0&lt;/C&gt;&lt;/FQL&gt;&lt;FQL&gt;&lt;Q&gt;CIEN^CS_EVENT_DATEJ_N("E",1)&lt;/Q&gt;&lt;R&gt;0&lt;/R&gt;&lt;C&gt;0&lt;/C&gt;&lt;/FQL&gt;&lt;FQL&gt;&lt;Q&gt;CIEN^CS_EVENT_TIME_N("E",1)&lt;/Q&gt;&lt;R&gt;0&lt;/R&gt;&lt;C&gt;0&lt;/C&gt;&lt;/FQL&gt;&lt;FQL&gt;&lt;Q&gt;CIEN^CS_EVENT_DESC_N("E",1)&lt;/Q&gt;&lt;R&gt;0&lt;/R&gt;&lt;C&gt;0&lt;/C&gt;&lt;/FQL&gt;&lt;FQL&gt;&lt;Q&gt;AVGO^CS_EVENT_DATEJ_N("E",1)&lt;/Q&gt;&lt;R&gt;0&lt;/R&gt;&lt;C&gt;0&lt;/C&gt;&lt;/FQL&gt;&lt;FQL&gt;&lt;Q&gt;AVGO^CS_EVENT_TIME_N("E",1)&lt;/Q&gt;&lt;R&gt;0&lt;/R&gt;&lt;C&gt;0&lt;/C&gt;&lt;/FQL&gt;&lt;FQL&gt;&lt;Q&gt;AVGO^CS_EVENT_DESC_N("E",1)&lt;/Q&gt;&lt;R&gt;0&lt;/R&gt;&lt;C&gt;0&lt;/C&gt;&lt;/FQL&gt;&lt;FQL&gt;&lt;Q&gt;CPB^CS_EVENT_DATEJ_N("E",1)&lt;/Q&gt;&lt;R&gt;0&lt;/R&gt;&lt;C&gt;0&lt;/C&gt;&lt;/FQL&gt;&lt;FQL&gt;&lt;Q&gt;CPB^CS_EVENT_TIME_N("E",1)&lt;/Q&gt;&lt;R&gt;0&lt;/R&gt;&lt;C&gt;0&lt;/C&gt;&lt;/FQL&gt;&lt;FQL&gt;&lt;Q&gt;CPB^CS_EVENT_DESC_N("E",1)&lt;/Q&gt;&lt;R&gt;0&lt;/R&gt;&lt;C&gt;0&lt;/C&gt;&lt;/FQL&gt;&lt;FQL&gt;&lt;Q&gt;BF.B^CS_EVENT_DATEJ_N("E",1)&lt;/Q&gt;&lt;R&gt;0&lt;/R&gt;&lt;C&gt;0&lt;/C&gt;&lt;/FQL&gt;&lt;FQL&gt;&lt;Q&gt;BF.B^CS_EVENT_TIME_N("E",1)&lt;/Q&gt;&lt;R&gt;0&lt;/R&gt;&lt;C&gt;0&lt;/C&gt;&lt;/FQL&gt;&lt;FQL&gt;&lt;Q&gt;BF.B^CS_EVENT_DESC_N("E",1)&lt;/Q&gt;&lt;R&gt;0&lt;/R&gt;&lt;C&gt;0&lt;/C&gt;&lt;/FQL&gt;&lt;FQL&gt;&lt;Q&gt;ADBE^CS_EVENT_DATEJ_N("E",1)&lt;/Q&gt;&lt;R&gt;0&lt;/R&gt;&lt;C&gt;0&lt;/C&gt;&lt;/FQL&gt;&lt;FQL&gt;&lt;Q&gt;ADBE^CS_EVENT_TIME_N("E",1)&lt;/Q&gt;&lt;R&gt;0&lt;/R&gt;&lt;C&gt;0&lt;/C&gt;&lt;/FQL&gt;&lt;FQL&gt;&lt;Q&gt;ADBE^CS_EVENT_DESC_N("E",1)&lt;/Q&gt;&lt;R&gt;0&lt;/R&gt;&lt;C&gt;0&lt;/C&gt;&lt;/FQL&gt;&lt;FQL&gt;&lt;Q&gt;KR^CS_EVENT_DATEJ_N("E",1)&lt;/Q&gt;&lt;R&gt;0&lt;/R&gt;&lt;C&gt;0&lt;/C&gt;&lt;/FQL&gt;&lt;FQL&gt;&lt;Q&gt;KR^CS_EVENT_TIME_N("E",1)&lt;/Q&gt;&lt;R&gt;0&lt;/R&gt;&lt;C&gt;0&lt;/C&gt;&lt;/FQL&gt;&lt;FQL&gt;&lt;Q&gt;KR^CS_EVENT_DESC_N("E",1)&lt;/Q&gt;&lt;R&gt;0&lt;/R&gt;&lt;C&gt;0&lt;/C&gt;&lt;/FQL&gt;&lt;FQL&gt;&lt;Q&gt;ORCL^CS_EVENT_DATEJ_N("E",1)&lt;/Q&gt;&lt;R&gt;0&lt;/R&gt;&lt;C&gt;0&lt;/C&gt;&lt;/FQL&gt;&lt;FQL&gt;&lt;Q&gt;ORCL^CS_EVENT_TIME_N("E",1)&lt;/Q&gt;&lt;R&gt;0&lt;/R&gt;&lt;C&gt;0&lt;/C&gt;&lt;/FQL&gt;&lt;FQL&gt;&lt;Q&gt;ORCL^CS_EVENT_DESC_N("E",1)&lt;/Q&gt;&lt;R&gt;0&lt;/R&gt;&lt;C&gt;0&lt;/C&gt;&lt;/FQL&gt;&lt;FQL&gt;&lt;Q&gt;ACN^CS_EVENT_DATEJ_N("E",1)&lt;/Q&gt;&lt;R&gt;0&lt;/R&gt;&lt;C&gt;0&lt;/C&gt;&lt;/FQL&gt;&lt;FQL&gt;&lt;Q&gt;ACN^CS_EVENT_TIME_N("E",1)&lt;/Q&gt;&lt;R&gt;0&lt;/R&gt;&lt;C&gt;0&lt;/C&gt;&lt;/FQL&gt;&lt;FQL&gt;&lt;Q&gt;ACN^CS_EVENT_DESC_N("E",1)&lt;/Q&gt;&lt;R&gt;0&lt;/R&gt;&lt;C&gt;0&lt;/C&gt;&lt;/FQL&gt;&lt;FQL&gt;&lt;Q&gt;JBL^CS_EVENT_DATEJ_N("E",1)&lt;/Q&gt;&lt;R&gt;0&lt;/R&gt;&lt;C&gt;0&lt;/C&gt;&lt;/FQL&gt;&lt;FQL&gt;&lt;Q&gt;JBL^CS_EVENT_TIME_N("E",1)&lt;/Q&gt;&lt;R&gt;0&lt;/R&gt;&lt;C&gt;0&lt;/C&gt;&lt;/FQL&gt;&lt;FQL&gt;&lt;Q&gt;JBL^CS_EVENT_DESC_N("E",1)&lt;/Q&gt;&lt;R&gt;0&lt;/R&gt;&lt;C&gt;0&lt;/C&gt;&lt;/FQL&gt;&lt;FQL&gt;&lt;Q&gt;DRI^CS_EVENT_DATEJ_N("E",1)&lt;/Q&gt;&lt;R&gt;0&lt;/R&gt;&lt;C&gt;0&lt;/C&gt;&lt;/FQL&gt;&lt;FQL&gt;&lt;Q&gt;DRI^CS_EVENT_TIME_N("E",1)&lt;/Q&gt;&lt;R&gt;0&lt;/R&gt;&lt;C&gt;0&lt;/C&gt;&lt;/FQL&gt;&lt;FQL&gt;&lt;Q&gt;DRI^CS_EVENT_DESC_N("E",1)&lt;/Q&gt;&lt;R&gt;0&lt;/R&gt;&lt;C&gt;0&lt;/C&gt;&lt;/FQL&gt;&lt;FQL&gt;&lt;Q&gt;FDS^CS_EVENT_DATEJ_N("E",1)&lt;/Q&gt;&lt;R&gt;0&lt;/R&gt;&lt;C&gt;0&lt;/C&gt;&lt;/FQL&gt;&lt;FQL&gt;&lt;Q&gt;FDS^CS_EVENT_TIME_N("E",1)&lt;/Q&gt;&lt;R&gt;0&lt;/R&gt;&lt;C&gt;0&lt;/C&gt;&lt;/FQL&gt;&lt;FQL&gt;&lt;Q&gt;FDS^CS_EVENT_DESC_N("E",1)&lt;/Q&gt;&lt;R&gt;0&lt;/R&gt;&lt;C&gt;0&lt;/C&gt;&lt;/FQL&gt;&lt;FQL&gt;&lt;Q&gt;LEN^CS_EVENT_DATEJ_N("E",1)&lt;/Q&gt;&lt;R&gt;0&lt;/R&gt;&lt;C&gt;0&lt;/C&gt;&lt;/FQL&gt;&lt;FQL&gt;&lt;Q&gt;LEN^CS_EVENT_TIME_N("E",1)&lt;/Q&gt;&lt;R&gt;0&lt;/R&gt;&lt;C&gt;0&lt;/C&gt;&lt;/FQL&gt;&lt;FQL&gt;&lt;Q&gt;LEN^CS_EVENT_DESC_N("E",1)&lt;/Q&gt;&lt;R&gt;0&lt;/R&gt;&lt;C&gt;0&lt;/C&gt;&lt;/FQL&gt;&lt;FQL&gt;&lt;Q&gt;FDX^CS_EVENT_DATEJ_N("E",1)&lt;/Q&gt;&lt;R&gt;1&lt;/R&gt;&lt;C&gt;1&lt;/C&gt;&lt;D xsi:type="xsd:long"&gt;46196&lt;/D&gt;&lt;/FQL&gt;&lt;FQL&gt;&lt;Q&gt;FDX^CS_EVENT_TIME_N("E",1)&lt;/Q&gt;&lt;R&gt;1&lt;/R&gt;&lt;C&gt;1&lt;/C&gt;&lt;D xsi:type="xsd:string"&gt;5:00 PM&lt;/D&gt;&lt;/FQL&gt;&lt;FQL&gt;&lt;Q&gt;FDX^CS_EVENT_DESC_N("E",1)&lt;/Q&gt;&lt;R&gt;1&lt;/R&gt;&lt;C&gt;1&lt;/C&gt;&lt;D xsi:type="xsd:string"&gt;Q4 2026 Earnings Call&lt;/D&gt;&lt;/FQL&gt;&lt;FQL&gt;&lt;Q&gt;MKC^CS_EVENT_DATEJ_N("E",1)&lt;/Q&gt;&lt;R&gt;0&lt;/R&gt;&lt;C&gt;0&lt;/C&gt;&lt;/FQL&gt;&lt;FQL&gt;&lt;Q&gt;MKC^CS_EVENT_TIME_N("E",1)&lt;/Q&gt;&lt;R&gt;0&lt;/R&gt;&lt;C&gt;0&lt;/C&gt;&lt;/FQL&gt;&lt;FQL&gt;&lt;Q&gt;MKC^CS_EVENT_DESC_N("E",1)&lt;/Q&gt;&lt;R&gt;0&lt;/R&gt;&lt;C&gt;0&lt;/C&gt;&lt;/FQL&gt;&lt;FQL&gt;&lt;Q&gt;NKE^CS_EVENT_DATEJ_N("E",1)&lt;/Q&gt;&lt;R&gt;0&lt;/R&gt;&lt;C&gt;0&lt;/C&gt;&lt;/FQL&gt;&lt;FQL&gt;&lt;Q&gt;NKE^CS_EVENT_TIME_N("E",1)&lt;/Q&gt;&lt;R&gt;0&lt;/R&gt;&lt;C&gt;0&lt;/C&gt;&lt;/FQL&gt;&lt;FQL&gt;&lt;Q&gt;NKE^CS_EVENT_DESC_N("E",1)&lt;/Q&gt;&lt;R&gt;0&lt;/R&gt;&lt;C&gt;0&lt;/C&gt;&lt;/FQL&gt;&lt;FQL&gt;&lt;Q&gt;CCL^CS_EVENT_DATEJ_N("E",1)&lt;/Q&gt;&lt;R&gt;0&lt;/R&gt;&lt;C&gt;0&lt;/C&gt;&lt;/FQL&gt;&lt;FQL&gt;&lt;Q&gt;CCL^CS_EVENT_TIME_N("E",1)&lt;/Q&gt;&lt;R&gt;0&lt;/R&gt;&lt;C&gt;0&lt;/C&gt;&lt;/FQL&gt;&lt;FQL&gt;&lt;Q&gt;CCL^CS_EVENT_DESC_N("E",1)&lt;/Q&gt;&lt;R&gt;0&lt;/R&gt;&lt;C&gt;0&lt;/C&gt;&lt;/FQL&gt;&lt;FQL&gt;&lt;Q&gt;GIS^CS_EVENT_DATEJ_N("E",1)&lt;/Q&gt;&lt;R&gt;0&lt;/R&gt;&lt;C&gt;0&lt;/C&gt;&lt;/FQL&gt;&lt;FQL&gt;&lt;Q&gt;GIS^CS_EVENT_TIME_N("E",1)&lt;/Q&gt;&lt;R&gt;0&lt;/R&gt;&lt;C&gt;0&lt;/C&gt;&lt;/FQL&gt;&lt;FQL&gt;&lt;Q&gt;GIS^CS_EVENT_DESC_N("E",1)&lt;/Q&gt;&lt;R&gt;0&lt;/R&gt;&lt;C&gt;0&lt;/C&gt;&lt;/FQL&gt;&lt;FQL&gt;&lt;Q&gt;MU^CS_EVENT_DATEJ_N("E",1)&lt;/Q&gt;&lt;R&gt;0&lt;/R&gt;&lt;C&gt;0&lt;/C&gt;&lt;/FQL&gt;&lt;FQL&gt;&lt;Q&gt;MU^CS_EVENT_TIME_N("E",1)&lt;/Q&gt;&lt;R&gt;0&lt;/R&gt;&lt;C&gt;0&lt;/C&gt;&lt;/FQL&gt;&lt;FQL&gt;&lt;Q&gt;MU^CS_EVENT_DESC_N("E",1)&lt;/Q&gt;&lt;R&gt;0&lt;/R&gt;&lt;C&gt;0&lt;/C&gt;&lt;/FQL&gt;&lt;FQL&gt;&lt;Q&gt;PAYX^CS_EVENT_DATEJ_N("E",1)&lt;/Q&gt;&lt;R&gt;0&lt;/R&gt;&lt;C&gt;0&lt;/C&gt;&lt;/FQL&gt;&lt;FQL&gt;&lt;Q&gt;PAYX^CS_EVENT_TIME_N("E",1)&lt;/Q&gt;&lt;R&gt;0&lt;/R&gt;&lt;C&gt;0&lt;/C&gt;&lt;/FQL&gt;&lt;FQL&gt;&lt;Q&gt;PAYX^CS_EVENT_DESC_N("E",1)&lt;/Q&gt;&lt;R&gt;0&lt;/R&gt;&lt;C&gt;0&lt;/C&gt;&lt;/FQL&gt;&lt;FQL&gt;&lt;Q&gt;CTAS^CS_EVENT_DATEJ_N("E",1)&lt;/Q&gt;&lt;R&gt;0&lt;/R&gt;&lt;C&gt;0&lt;/C&gt;&lt;/FQL&gt;&lt;FQL&gt;&lt;Q&gt;CTAS^CS_EVENT_TIME_N("E",1)&lt;/Q&gt;&lt;R&gt;0&lt;/R&gt;&lt;C&gt;0&lt;/C&gt;&lt;/FQL&gt;&lt;FQL&gt;&lt;Q&gt;CTAS^CS_EVENT_DESC_N("E",1)&lt;/Q&gt;&lt;R&gt;0&lt;/R&gt;&lt;C&gt;0&lt;/C&gt;&lt;/FQL&gt;&lt;FQL&gt;&lt;Q&gt;AON^CS_EVENT_DATEJ_N("E",1)&lt;/Q&gt;&lt;R&gt;0&lt;/R&gt;&lt;C&gt;0&lt;/C&gt;&lt;/FQL&gt;&lt;FQL&gt;&lt;Q&gt;AON^CS_EVENT_TIME_N("E",1)&lt;/Q&gt;&lt;R&gt;0&lt;/R&gt;&lt;C&gt;0&lt;/C&gt;&lt;/FQL&gt;&lt;FQL&gt;&lt;Q&gt;AON^CS_EVENT_DESC_N("E",1)&lt;/Q&gt;&lt;R&gt;0&lt;/R&gt;&lt;C&gt;0&lt;/C&gt;&lt;/FQL&gt;&lt;FQL&gt;&lt;Q&gt;IQV^CS_EVENT_DATEJ_N("E",1)&lt;/Q&gt;&lt;R&gt;0&lt;/R&gt;&lt;C&gt;0&lt;/C&gt;&lt;/FQL&gt;&lt;FQL&gt;&lt;Q&gt;IQV^CS_EVENT_TIME_N("E",1)&lt;/Q&gt;&lt;R&gt;0&lt;/R&gt;&lt;C&gt;0&lt;/C&gt;&lt;/FQL&gt;&lt;FQL&gt;&lt;Q&gt;IQV^CS_EVENT_DESC_N("E",1)&lt;/Q&gt;&lt;R&gt;0&lt;/R&gt;&lt;C&gt;0&lt;/C&gt;&lt;/FQL&gt;&lt;FQL&gt;&lt;Q&gt;IT^CS_EVENT_DATEJ_N("E",1)&lt;/Q&gt;&lt;R&gt;0&lt;/R&gt;&lt;C&gt;0&lt;/C&gt;&lt;/FQL&gt;&lt;FQL&gt;&lt;Q&gt;IT^CS_EVENT_TIME_N("E",1)&lt;/Q&gt;&lt;R&gt;0&lt;/R&gt;&lt;C&gt;0&lt;/C&gt;&lt;/FQL&gt;&lt;FQL&gt;&lt;Q&gt;IT^CS_EVENT_DESC_N("E",1)&lt;/Q&gt;&lt;R&gt;0&lt;/R&gt;&lt;C&gt;0&lt;/C&gt;&lt;/FQL&gt;&lt;FQL&gt;&lt;Q&gt;RSG^CS_EVENT_DESC_N("E",1)&lt;/Q&gt;&lt;R&gt;0&lt;/R&gt;&lt;C&gt;0&lt;/C&gt;&lt;/FQL&gt;&lt;FQL&gt;&lt;Q&gt;MET^CS_EVENT_DESC_N("E",1)&lt;/Q&gt;&lt;R&gt;0&lt;/R&gt;&lt;C&gt;0&lt;/C&gt;&lt;/FQL&gt;&lt;FQL&gt;&lt;Q&gt;CVS^CS_EVENT_DESC_N("E",1)&lt;/Q&gt;&lt;R&gt;0&lt;/R&gt;&lt;C&gt;0&lt;/C&gt;&lt;/FQL&gt;&lt;FQL&gt;&lt;Q&gt;VRTX^CS_EVENT_DESC_N("E",1)&lt;/Q&gt;&lt;R&gt;0&lt;/R&gt;&lt;C&gt;0&lt;/C&gt;&lt;/FQL&gt;&lt;FQL&gt;&lt;Q&gt;EXC^CS_EVENT_DESC_N("E",1)&lt;/Q&gt;&lt;R&gt;0&lt;/R&gt;&lt;C&gt;0&lt;/C&gt;&lt;/FQL&gt;&lt;FQL&gt;&lt;Q&gt;GNRC^CS_EVENT_DESC_N("E",1)&lt;/Q&gt;&lt;R&gt;0&lt;/R&gt;&lt;C&gt;0&lt;/C&gt;&lt;/FQL&gt;&lt;FQL&gt;&lt;Q&gt;AWK^CS_EVENT_DATEJ_N("E",1)&lt;/Q&gt;&lt;R&gt;0&lt;/R&gt;&lt;C&gt;0&lt;/C&gt;&lt;/FQL&gt;&lt;FQL&gt;&lt;Q&gt;AWK^CS_EVENT_TIME_N("E",1)&lt;/Q&gt;&lt;R&gt;0&lt;/R&gt;&lt;C&gt;0&lt;/C&gt;&lt;/FQL&gt;&lt;FQL&gt;&lt;Q&gt;AWK^CS_EVENT_DESC_N("E",1)&lt;/Q&gt;&lt;R&gt;0&lt;/R&gt;&lt;C&gt;0&lt;/C&gt;&lt;/FQL&gt;&lt;FQL&gt;&lt;Q&gt;IR^CS_EVENT_DATEJ_N("E",1)&lt;/Q&gt;&lt;R&gt;0&lt;/R&gt;&lt;C&gt;0&lt;/C&gt;&lt;/FQL&gt;&lt;FQL&gt;&lt;Q&gt;IR^CS_EVENT_TIME_N("E",1)&lt;/Q&gt;&lt;R&gt;0&lt;/R&gt;&lt;C&gt;0&lt;/C&gt;&lt;/FQL&gt;&lt;FQL&gt;&lt;Q&gt;IR^CS_EVENT_DESC_N("E",1)&lt;/Q&gt;&lt;R&gt;0&lt;/R&gt;&lt;C&gt;0&lt;/C&gt;&lt;/FQL&gt;&lt;FQL&gt;&lt;Q&gt;FIS^CS_EVENT_DATEJ_N("E",1)&lt;/Q&gt;&lt;R&gt;0&lt;/R&gt;&lt;C&gt;0&lt;/C&gt;&lt;/FQL&gt;&lt;FQL&gt;&lt;Q&gt;FIS^CS_EVENT_TIME_N("E",1)&lt;/Q&gt;&lt;R&gt;0&lt;/R&gt;&lt;C&gt;0&lt;/C&gt;&lt;/FQL&gt;&lt;FQL&gt;&lt;Q&gt;FIS^CS_EVENT_DESC_N("E",1)&lt;/Q&gt;&lt;R&gt;0&lt;/R&gt;&lt;C&gt;0&lt;/C&gt;&lt;/FQL&gt;&lt;FQL&gt;&lt;Q&gt;NCLH^CS_EVENT_DATEJ_N("E",1)&lt;/Q&gt;&lt;R&gt;0&lt;/R&gt;&lt;C&gt;0&lt;/C&gt;&lt;/FQL&gt;&lt;FQL&gt;&lt;Q&gt;NCLH^CS_EVENT_TIME_N("E",1)&lt;/Q&gt;&lt;R&gt;0&lt;/R&gt;&lt;C&gt;0&lt;/C&gt;&lt;/FQL&gt;&lt;FQL&gt;&lt;Q&gt;NCLH^CS_EVENT_DESC_N("E",1)&lt;/Q&gt;&lt;R&gt;0&lt;/R&gt;&lt;C&gt;0&lt;/C&gt;&lt;/FQL&gt;&lt;FQL&gt;&lt;Q&gt;CF^CS_EVENT_DATEJ_N("E",1)&lt;/Q&gt;&lt;R&gt;1&lt;/R&gt;&lt;C&gt;1&lt;/C&gt;&lt;D xsi:type="xsd:long"&gt;46149&lt;/D&gt;&lt;/FQL&gt;&lt;FQL&gt;&lt;Q&gt;CF^CS_EVENT_TIME_N("E",1)&lt;/Q&gt;&lt;R&gt;1&lt;/R&gt;&lt;C&gt;1&lt;/C&gt;&lt;D xsi:type="xsd:string"&gt;11:00 AM&lt;/D&gt;&lt;/FQL&gt;&lt;FQL&gt;&lt;Q&gt;CF^CS_EVENT_DESC_N("E",1)&lt;/Q&gt;&lt;R&gt;1&lt;/R&gt;&lt;C&gt;1&lt;/C&gt;&lt;D xsi:type="xsd:string"&gt;Q1 2026 Earnings Call&lt;/D&gt;&lt;/FQL&gt;&lt;FQL&gt;&lt;Q&gt;MOS^CS_EVENT_DATEJ_N("E",1)&lt;/Q&gt;&lt;R&gt;0&lt;/R&gt;&lt;C&gt;0&lt;/C&gt;&lt;/FQL&gt;&lt;FQL&gt;&lt;Q&gt;MOS^CS_EVENT_TIME_N("E",1)&lt;/Q&gt;&lt;R&gt;0&lt;/R&gt;&lt;C&gt;0&lt;/C&gt;&lt;/FQL&gt;&lt;FQL&gt;&lt;Q&gt;MOS^CS_EVENT_DESC_N("E",1)&lt;/Q&gt;&lt;R&gt;0&lt;/R&gt;&lt;C&gt;0&lt;/C&gt;&lt;/FQL&gt;&lt;FQL&gt;&lt;Q&gt;KHC^CS_EVENT_DATEJ_N("E",1)&lt;/Q&gt;&lt;R&gt;0&lt;/R&gt;&lt;C&gt;0&lt;/C&gt;&lt;/FQL&gt;&lt;FQL&gt;&lt;Q&gt;KHC^CS_EVENT_TIME_N("E",1)&lt;/Q&gt;&lt;R&gt;0&lt;/R&gt;&lt;C&gt;0&lt;/C&gt;&lt;/FQL&gt;&lt;FQL&gt;&lt;Q&gt;KHC^CS_EVENT_DESC_N("E",1)&lt;/Q&gt;&lt;R&gt;0&lt;/R&gt;&lt;C&gt;0&lt;/C&gt;&lt;/FQL&gt;&lt;FQL&gt;&lt;Q&gt;UBER^CS_EVENT_DATEJ_N("E",1)&lt;/Q&gt;&lt;R&gt;0&lt;/R&gt;&lt;C&gt;0&lt;/C&gt;&lt;/FQL&gt;&lt;FQL&gt;&lt;Q&gt;UBER^CS_EVENT_TIME_N("E",1)&lt;/Q&gt;&lt;R&gt;0&lt;/R&gt;&lt;C&gt;0&lt;/C&gt;&lt;/FQL&gt;&lt;FQL&gt;&lt;Q&gt;UBER^CS_EVENT_DESC_N("E",1)&lt;/Q&gt;&lt;R&gt;0&lt;/R&gt;&lt;C&gt;0&lt;/C&gt;&lt;/FQL&gt;&lt;FQL&gt;&lt;Q&gt;PSKY^CS_EVENT_DATEJ_N("E",1)&lt;/Q&gt;&lt;R&gt;0&lt;/R&gt;&lt;C&gt;0&lt;/C&gt;&lt;/FQL&gt;&lt;FQL&gt;&lt;Q&gt;PSKY^CS_EVENT_TIME_N("E",1)&lt;/Q&gt;&lt;R&gt;0&lt;/R&gt;&lt;C&gt;0&lt;/C&gt;&lt;/FQL&gt;&lt;FQL&gt;&lt;Q&gt;PSKY^CS_EVENT_DESC_N("E",1)&lt;/Q&gt;&lt;R&gt;0&lt;/R&gt;&lt;C&gt;0&lt;/C&gt;&lt;/FQL&gt;&lt;FQL&gt;&lt;Q&gt;GEHC^CS_EVENT_DATEJ_N("E",1)&lt;/Q&gt;&lt;R&gt;0&lt;/R&gt;&lt;C&gt;0&lt;/C&gt;&lt;/FQL&gt;&lt;FQL&gt;&lt;Q&gt;GEHC^CS_EVENT_TIME_N("E",1)&lt;/Q&gt;&lt;R&gt;0&lt;/R&gt;&lt;C&gt;0&lt;/C&gt;&lt;/FQL&gt;&lt;FQL&gt;&lt;Q&gt;GEHC^CS_EVENT_DESC_N("E",1)&lt;/Q&gt;&lt;R&gt;0&lt;/R&gt;&lt;C&gt;0&lt;/C&gt;&lt;/FQL&gt;&lt;FQL&gt;&lt;Q&gt;GEN^CS_EVENT_DATEJ_N("E",1)&lt;/Q&gt;&lt;R&gt;0&lt;/R&gt;&lt;C&gt;0&lt;/C&gt;&lt;/FQL&gt;&lt;FQL&gt;&lt;Q&gt;GEN^CS_EVENT_TIME_N("E",1)&lt;/Q&gt;&lt;R&gt;0&lt;/R&gt;&lt;C&gt;0&lt;/C&gt;&lt;/FQL&gt;&lt;FQL&gt;&lt;Q&gt;GEN^CS_EVENT_DESC_N("E",1)&lt;/Q&gt;&lt;R&gt;0&lt;/R&gt;&lt;C&gt;0&lt;/C&gt;&lt;/FQL&gt;&lt;FQL&gt;&lt;Q&gt;TPR^CS_EVENT_DATEJ_N("E",1)&lt;/Q&gt;&lt;R&gt;0&lt;/R&gt;&lt;C&gt;0&lt;/C&gt;&lt;/FQL&gt;&lt;FQL&gt;&lt;Q&gt;TPR^CS_EVENT_TIME_N("E",1)&lt;/Q&gt;&lt;R&gt;0&lt;/R&gt;&lt;C&gt;0&lt;/C&gt;&lt;/FQL&gt;&lt;FQL&gt;&lt;Q&gt;TPR^CS_EVENT_DESC_N("E",1)&lt;/Q&gt;&lt;R&gt;0&lt;/R&gt;&lt;C&gt;0&lt;/C&gt;&lt;/FQL&gt;&lt;FQL&gt;&lt;Q&gt;MCK^CS_EVENT_DATEJ_N("E",1)&lt;/Q&gt;&lt;R&gt;1&lt;/R&gt;&lt;C&gt;1&lt;/C&gt;&lt;D xsi:type="xsd:long"&gt;46149&lt;/D&gt;&lt;/FQL&gt;&lt;FQL&gt;&lt;Q&gt;MCK^CS_EVENT_TIME_N("E",1)&lt;/Q&gt;&lt;R&gt;1&lt;/R&gt;&lt;C&gt;1&lt;/C&gt;&lt;D xsi:type="xsd:string"&gt;4:30 PM&lt;/D&gt;&lt;/FQL&gt;&lt;FQL&gt;&lt;Q&gt;MCK^CS_EVENT_DESC_N("E",1)&lt;/Q&gt;&lt;R&gt;1&lt;/R&gt;&lt;C&gt;1&lt;/C&gt;&lt;D xsi:type="xsd:string"&gt;Q4 2026 Earnings Call&lt;/D&gt;&lt;/FQL&gt;&lt;FQL&gt;&lt;Q&gt;AKAM^CS_EVENT_DATEJ_N("E",1)&lt;/Q&gt;&lt;R&gt;0&lt;/R&gt;&lt;C&gt;0&lt;/C&gt;&lt;/FQL&gt;&lt;FQL&gt;&lt;Q&gt;AKAM^CS_EVENT_TIME_N("E",1)&lt;/Q&gt;&lt;R&gt;0&lt;/R&gt;&lt;C&gt;0&lt;/C&gt;&lt;/FQL&gt;&lt;FQL&gt;&lt;Q&gt;AKAM^CS_EVENT_DESC_N("E",1)&lt;/Q&gt;&lt;R&gt;0&lt;/R&gt;&lt;C&gt;0&lt;/C&gt;&lt;/FQL&gt;&lt;FQL&gt;&lt;Q&gt;GWW^CS_EVENT_DATEJ_N("E",1)&lt;/Q&gt;&lt;R&gt;1&lt;/R&gt;&lt;C&gt;1&lt;/C&gt;&lt;D xsi:type="xsd:long"&gt;46149&lt;/D&gt;&lt;/FQL&gt;&lt;FQL&gt;&lt;Q&gt;GWW^CS_EVENT_TIME_N("E",1)&lt;/Q&gt;&lt;R&gt;1&lt;/R&gt;&lt;C&gt;1&lt;/C&gt;&lt;D xsi:type="xsd:string"&gt;11:00 AM&lt;/D&gt;&lt;/FQL&gt;&lt;FQL&gt;&lt;Q&gt;GWW^CS_EVENT_DESC_N("E",1)&lt;/Q&gt;&lt;R&gt;1&lt;/R&gt;&lt;C&gt;1&lt;/C&gt;&lt;D xsi:type="xsd:string"&gt;Q1 2026 Earnings Call&lt;/D&gt;&lt;/FQL&gt;&lt;FQL&gt;&lt;Q&gt;CRL^CS_EVENT_DATEJ_N("E",1)&lt;/Q&gt;&lt;R&gt;0&lt;/R&gt;&lt;C&gt;0&lt;/C&gt;&lt;/FQL&gt;&lt;FQL&gt;&lt;Q&gt;CRL^CS_EVENT_TIME_N("E",1)&lt;/Q&gt;&lt;R&gt;0&lt;/R&gt;&lt;C&gt;0&lt;/C&gt;&lt;/FQL&gt;&lt;FQL&gt;&lt;Q&gt;CRL^CS_EVENT_DESC_N("E",1)&lt;/Q&gt;&lt;R&gt;0&lt;/R&gt;&lt;C&gt;0&lt;/C&gt;&lt;/FQL&gt;&lt;FQL&gt;&lt;Q&gt;SATS^CS_EVENT_DATEJ_N("E",1)&lt;/Q&gt;&lt;R&gt;0&lt;/R&gt;&lt;C&gt;0&lt;/C&gt;&lt;/FQL&gt;&lt;FQL&gt;&lt;Q&gt;SATS^CS_EVENT_TIME_N("E",1)&lt;/Q&gt;&lt;R&gt;0&lt;/R&gt;&lt;C&gt;0&lt;/C&gt;&lt;/FQL&gt;&lt;FQL&gt;&lt;Q&gt;SATS^CS_EVENT_DESC_N("E",1)&lt;/Q&gt;&lt;R&gt;0&lt;/R&gt;&lt;C&gt;0&lt;/C&gt;&lt;/FQL&gt;&lt;FQL&gt;&lt;Q&gt;CEG^CS_EVENT_DATEJ_N("E",1)&lt;/Q&gt;&lt;R&gt;0&lt;/R&gt;&lt;C&gt;0&lt;/C&gt;&lt;/FQL&gt;&lt;FQL&gt;&lt;Q&gt;CEG^CS_EVENT_TIME_N("E",1)&lt;/Q&gt;&lt;R&gt;0&lt;/R&gt;&lt;C&gt;0&lt;/C&gt;&lt;/FQL&gt;&lt;FQL&gt;&lt;Q&gt;CEG^CS_EVENT_DESC_N("E",1)&lt;/Q&gt;&lt;R&gt;0&lt;/R&gt;&lt;C&gt;0&lt;/C&gt;&lt;/FQL&gt;&lt;FQL&gt;&lt;Q&gt;NWS^CS_EVENT_DATEJ_N("E",1)&lt;/Q&gt;&lt;R&gt;0&lt;/R&gt;&lt;C&gt;0&lt;/C&gt;&lt;/FQL&gt;&lt;FQL&gt;&lt;Q&gt;NWS^CS_EVENT_TIME_N("E",1)&lt;/Q&gt;&lt;R&gt;0&lt;/R&gt;&lt;C&gt;0&lt;/C&gt;&lt;/FQL&gt;&lt;FQL&gt;&lt;Q&gt;NWS^CS_EVENT_DESC_N("E",1)&lt;/Q&gt;&lt;R&gt;0&lt;/R&gt;&lt;C&gt;0&lt;/C&gt;&lt;/FQL&gt;&lt;FQL&gt;&lt;Q&gt;NWSA^CS_EVENT_DATEJ_N("E",1)&lt;/Q&gt;&lt;R&gt;0&lt;/R&gt;&lt;C&gt;0&lt;/C&gt;&lt;/FQL&gt;&lt;FQL&gt;&lt;Q&gt;NWSA^CS_EVENT_TIME_N("E",1)&lt;/Q&gt;&lt;R&gt;0&lt;/R&gt;&lt;C&gt;0&lt;/C&gt;&lt;/FQL&gt;&lt;FQL&gt;&lt;Q&gt;NWSA^CS_EVENT_DESC_N("E",1)&lt;/Q&gt;&lt;R&gt;0&lt;/R&gt;&lt;C&gt;0&lt;/C&gt;&lt;/FQL&gt;&lt;FQL&gt;&lt;Q&gt;COIN^CS_EVENT_DATEJ_N("E",1)&lt;/Q&gt;&lt;R&gt;0&lt;/R&gt;&lt;C&gt;0&lt;/C&gt;&lt;/FQL&gt;&lt;FQL&gt;&lt;Q&gt;COIN^CS_EVENT_TIME_N("E",1)&lt;/Q&gt;&lt;R&gt;0&lt;/R&gt;&lt;C&gt;0&lt;/C&gt;&lt;/FQL&gt;&lt;FQL&gt;&lt;Q&gt;COIN^CS_EVENT_DESC_N("E",1)&lt;/Q&gt;&lt;R&gt;0&lt;/R&gt;&lt;C&gt;0&lt;/C&gt;&lt;/FQL&gt;&lt;FQL&gt;&lt;Q&gt;TKO^CS_EVENT_DATEJ_N("E",1)&lt;/Q&gt;&lt;R&gt;0&lt;/R&gt;&lt;C&gt;0&lt;/C&gt;&lt;/FQL&gt;&lt;FQL&gt;&lt;Q&gt;TKO^CS_EVENT_TIME_N("E",1)&lt;/Q&gt;&lt;R&gt;0&lt;/R&gt;&lt;C&gt;0&lt;/C&gt;&lt;/FQL&gt;&lt;FQL&gt;&lt;Q&gt;TKO^CS_EVENT_DESC_N("E",1)&lt;/Q&gt;&lt;R&gt;0&lt;/R&gt;&lt;C&gt;0&lt;/C&gt;&lt;/FQL&gt;&lt;FQL&gt;&lt;Q&gt;WBD^CS_EVENT_DATEJ_N("E",1)&lt;/Q&gt;&lt;R&gt;0&lt;/R&gt;&lt;C&gt;0&lt;/C&gt;&lt;/FQL&gt;&lt;FQL&gt;&lt;Q&gt;WBD^CS_EVENT_TIME_N("E",1)&lt;/Q&gt;&lt;R&gt;0&lt;/R&gt;&lt;C&gt;0&lt;/C&gt;&lt;/FQL&gt;&lt;FQL&gt;&lt;Q&gt;WBD^CS_EVENT_DESC_N("E",1)&lt;/Q&gt;&lt;R&gt;0&lt;/R&gt;&lt;C&gt;0&lt;/C&gt;&lt;/FQL&gt;&lt;FQL&gt;&lt;Q&gt;SOLV^CS_EVENT_DATEJ_N("E",1)&lt;/Q&gt;&lt;R&gt;0&lt;/R&gt;&lt;C&gt;0&lt;/C&gt;&lt;/FQL&gt;&lt;FQL&gt;&lt;Q&gt;SOLV^CS_EVENT_TIME_N("E",1)&lt;/Q&gt;&lt;R&gt;0&lt;/R&gt;&lt;C&gt;0&lt;/C&gt;&lt;/FQL&gt;&lt;FQL&gt;&lt;Q&gt;SOLV^CS_EVENT_DESC_N("E",1)&lt;/Q&gt;&lt;R&gt;0&lt;/R&gt;&lt;C&gt;0&lt;/C&gt;&lt;/FQL&gt;&lt;FQL&gt;&lt;Q&gt;TSN^CS_EVENT_DATEJ_N("E",1)&lt;/Q&gt;&lt;R&gt;0&lt;/R&gt;&lt;C&gt;0&lt;/C&gt;&lt;/FQL&gt;&lt;FQL&gt;&lt;Q&gt;TSN^CS_EVENT_TIME_N("E",1)&lt;/Q&gt;&lt;R&gt;0&lt;/R&gt;&lt;C&gt;0&lt;/C&gt;&lt;/FQL&gt;&lt;FQL&gt;&lt;Q&gt;TSN^CS_EVENT_DESC_N("E",1)&lt;/Q&gt;&lt;R&gt;0&lt;/R&gt;&lt;C&gt;0&lt;/C&gt;&lt;/FQL&gt;&lt;FQL&gt;&lt;Q&gt;MCHP^CS_EVENT_DATEJ_N("E",1)&lt;/Q&gt;&lt;R&gt;0&lt;/R&gt;&lt;C&gt;0&lt;/C&gt;&lt;/FQL&gt;&lt;FQL&gt;&lt;Q&gt;MCHP^CS_EVENT_TIME_N("E",1)&lt;/Q&gt;&lt;R&gt;0&lt;/R&gt;&lt;C&gt;0&lt;/C&gt;&lt;/FQL&gt;&lt;FQL&gt;&lt;Q&gt;MCHP^CS_EVENT_DESC_N("E",1)&lt;/Q&gt;&lt;R&gt;0&lt;/R&gt;&lt;C&gt;0&lt;/C&gt;&lt;/FQL&gt;&lt;FQL&gt;&lt;Q&gt;SPG^CS_EVENT_DATEJ_N("E",1)&lt;/Q&gt;&lt;R&gt;0&lt;/R&gt;&lt;C&gt;0&lt;/C&gt;&lt;/FQL&gt;&lt;FQL&gt;&lt;Q&gt;SPG^CS_EVENT_TIME_N("E",1)&lt;/Q&gt;&lt;R&gt;0&lt;/R&gt;&lt;C&gt;0&lt;/C&gt;&lt;/FQL&gt;&lt;FQL&gt;&lt;Q&gt;SPG^CS_EVENT_DESC_N("E",1)&lt;/Q&gt;&lt;R&gt;0&lt;/R&gt;&lt;C&gt;0&lt;/C&gt;&lt;/FQL&gt;&lt;FQL&gt;&lt;Q&gt;IFF^CS_EVENT_DATEJ_N("E",1)&lt;/Q&gt;&lt;R&gt;0&lt;/R&gt;&lt;C&gt;0&lt;/C&gt;&lt;/FQL&gt;&lt;FQL&gt;&lt;Q&gt;IFF^CS_EVENT_TIME_N("E",1)&lt;/Q&gt;&lt;R&gt;0&lt;/R&gt;&lt;C&gt;0&lt;/C&gt;&lt;/FQL&gt;&lt;FQL&gt;&lt;Q&gt;IFF^CS_EVENT_DESC_N("E",1)&lt;/Q&gt;&lt;R&gt;0&lt;/R&gt;&lt;C&gt;0&lt;/C&gt;&lt;/FQL&gt;&lt;FQL&gt;&lt;Q&gt;VTRS^CS_EVENT_DATEJ_N("E",1)&lt;/Q&gt;&lt;R&gt;0&lt;/R&gt;&lt;C&gt;0&lt;/C&gt;&lt;/FQL&gt;&lt;FQL&gt;&lt;Q&gt;VTRS^CS_EVENT_TIME_N("E",1)&lt;/Q&gt;&lt;R&gt;0&lt;/R&gt;&lt;C&gt;0&lt;/C&gt;&lt;/FQL&gt;&lt;FQL&gt;&lt;Q&gt;VTRS^CS_EVENT_DESC_N("E",1)&lt;/Q&gt;&lt;R&gt;0&lt;/R&gt;&lt;C&gt;0&lt;/C&gt;&lt;/FQL&gt;&lt;FQL&gt;&lt;Q&gt;PLTR^CS_EVENT_DATEJ_N("E",1)&lt;/Q&gt;&lt;R&gt;0&lt;/R&gt;&lt;C&gt;0&lt;/C&gt;&lt;/FQL&gt;&lt;FQL&gt;&lt;Q&gt;PLTR^CS_EVENT_TIME_N("E",1)&lt;/Q&gt;&lt;R&gt;0&lt;/R&gt;&lt;C&gt;0&lt;/C&gt;&lt;/FQL&gt;&lt;FQL&gt;&lt;Q&gt;PLTR^CS_EVENT_DESC_N("E",1)&lt;/Q&gt;&lt;R&gt;0&lt;/R&gt;&lt;C&gt;0&lt;/C&gt;&lt;/FQL&gt;&lt;FQL&gt;&lt;Q&gt;HSIC^CS_EVENT_DATEJ_N("E",1)&lt;/Q&gt;&lt;R&gt;0&lt;/R&gt;&lt;C&gt;0&lt;/C&gt;&lt;/FQL&gt;&lt;FQL&gt;&lt;Q&gt;HSIC^CS_EVENT_TIME_N("E",1)&lt;/Q&gt;&lt;R&gt;0&lt;/R&gt;&lt;C&gt;0&lt;/C&gt;&lt;/FQL&gt;&lt;FQL&gt;&lt;Q&gt;HSIC^CS_EVENT_DESC_N("E",1)&lt;/Q&gt;&lt;R&gt;0&lt;/R&gt;&lt;C&gt;0&lt;/C&gt;&lt;/FQL&gt;&lt;FQL&gt;&lt;Q&gt;JKHY^CS_EVENT_DATEJ_N("E",1)&lt;/Q&gt;&lt;R&gt;0&lt;/R&gt;&lt;C&gt;0&lt;/C&gt;&lt;/FQL&gt;&lt;FQL&gt;&lt;Q&gt;JKHY^CS_EVENT_TIME_N("E",1)&lt;/Q&gt;&lt;R&gt;0&lt;/R&gt;&lt;C&gt;0&lt;/C&gt;&lt;/FQL&gt;&lt;FQL&gt;&lt;Q&gt;JKHY^CS_EVENT_DESC_N("E",1)&lt;/Q&gt;&lt;R&gt;0&lt;/R&gt;&lt;C&gt;0&lt;/C&gt;&lt;/FQL&gt;&lt;FQL&gt;&lt;Q&gt;AXON^CS_EVENT_DATEJ_N("E",1)&lt;/Q&gt;&lt;R&gt;0&lt;/R&gt;&lt;C&gt;0&lt;/C&gt;&lt;/FQL&gt;&lt;FQL&gt;&lt;Q&gt;AXON^CS_EVENT_TIME_N("E",1)&lt;/Q&gt;&lt;R&gt;0&lt;/R&gt;&lt;C&gt;0&lt;/C&gt;&lt;/FQL&gt;&lt;FQL&gt;&lt;Q&gt;AXON^CS_EVENT_DESC_N("E",1)&lt;/Q&gt;&lt;R&gt;0&lt;/R&gt;&lt;C&gt;0&lt;/C&gt;&lt;/FQL&gt;&lt;FQL&gt;&lt;Q&gt;WAT^CS_EVENT_DATEJ_N("E",1)&lt;/Q&gt;&lt;R&gt;0&lt;/R&gt;&lt;C&gt;0&lt;/C&gt;&lt;/FQL&gt;&lt;FQL&gt;&lt;Q&gt;WAT^CS_EVENT_TIME_N("E",1)&lt;/Q&gt;&lt;R&gt;0&lt;/R&gt;&lt;C&gt;0&lt;/C&gt;&lt;/FQL&gt;&lt;FQL&gt;&lt;Q&gt;WAT^CS_EVENT_DESC_N("E",1)&lt;/Q&gt;&lt;R&gt;0&lt;/R&gt;&lt;C&gt;0&lt;/C&gt;&lt;/FQL&gt;&lt;FQL&gt;&lt;Q&gt;ZBRA^CS_EVENT_DATEJ_N("E",1)&lt;/Q&gt;&lt;R&gt;0&lt;/R&gt;&lt;C&gt;0&lt;/C&gt;&lt;/FQL&gt;&lt;FQL&gt;&lt;Q&gt;ZBRA^CS_EVENT_TIME_N("E",1)&lt;/Q&gt;&lt;R&gt;0&lt;/R&gt;&lt;C&gt;0&lt;/C&gt;&lt;/FQL&gt;&lt;FQL&gt;&lt;Q&gt;ZBRA^CS_EVENT_DESC_N("E",1)&lt;/Q&gt;&lt;R&gt;0&lt;/R&gt;&lt;C&gt;0&lt;/C&gt;&lt;/FQL&gt;&lt;FQL&gt;&lt;Q&gt;EXPD^CS_EVENT_DATEJ_N("E",1)&lt;/Q&gt;&lt;R&gt;0&lt;/R&gt;&lt;C&gt;0&lt;/C&gt;&lt;/FQL&gt;&lt;FQL&gt;&lt;Q&gt;EXPD^CS_EVENT_TIME_N("E",1)&lt;/Q&gt;&lt;R&gt;0&lt;/R&gt;&lt;C&gt;0&lt;/C&gt;&lt;/FQL&gt;&lt;FQL&gt;&lt;Q&gt;EXPD^CS_EVENT_DESC_N("E",1)&lt;/Q&gt;&lt;R&gt;0&lt;/R&gt;&lt;C&gt;0&lt;/C&gt;&lt;/FQL&gt;&lt;FQL&gt;&lt;Q&gt;OXY^CS_EVENT_DATEJ_N("E",1)&lt;/Q&gt;&lt;R&gt;0&lt;/R&gt;&lt;C&gt;0&lt;/C&gt;&lt;/FQL&gt;&lt;FQL&gt;&lt;Q&gt;OXY^CS_EVENT_TIME_N("E",1)&lt;/Q&gt;&lt;R&gt;0&lt;/R&gt;&lt;C&gt;0&lt;/C&gt;&lt;/FQL&gt;&lt;FQL&gt;&lt;Q&gt;OXY^CS_EVENT_DESC_N("E",1)&lt;/Q&gt;&lt;R&gt;0&lt;/R&gt;&lt;C&gt;0&lt;/C&gt;&lt;/FQL&gt;&lt;FQL&gt;&lt;Q&gt;WYNN^CS_EVENT_DATEJ_N("E",1)&lt;/Q&gt;&lt;R&gt;0&lt;/R&gt;&lt;C&gt;0&lt;/C&gt;&lt;/FQL&gt;&lt;FQL&gt;&lt;Q&gt;WYNN^CS_EVENT_TIME_N("E",1)&lt;/Q&gt;&lt;R&gt;0&lt;/R&gt;&lt;C&gt;0&lt;/C&gt;&lt;/FQL&gt;&lt;FQL&gt;&lt;Q&gt;WYNN^CS_EVENT_DESC_N("E",1)&lt;/Q&gt;&lt;R&gt;0&lt;/R&gt;&lt;C&gt;0&lt;/C&gt;&lt;/FQL&gt;&lt;FQL&gt;&lt;Q&gt;J^CS_EVENT_DATEJ_N("E",1)&lt;/Q&gt;&lt;R&gt;0&lt;/R&gt;&lt;C&gt;0&lt;/C&gt;&lt;/FQL&gt;&lt;FQL&gt;&lt;Q&gt;J^CS_EVENT_TIME_N("E",1)&lt;/Q&gt;&lt;R&gt;0&lt;/R&gt;&lt;C&gt;0&lt;/C&gt;&lt;/FQL&gt;&lt;FQL&gt;&lt;Q&gt;J^CS_EVENT_DESC_N("E",1)&lt;/Q&gt;&lt;R&gt;0&lt;/R&gt;&lt;C&gt;0&lt;/C&gt;&lt;/FQL&gt;&lt;FQL&gt;&lt;Q&gt;TDG^CS_EVENT_DATEJ_N("E",1)&lt;/Q&gt;&lt;R&gt;0&lt;/R&gt;&lt;C&gt;0&lt;/C&gt;&lt;/FQL&gt;&lt;FQL&gt;&lt;Q&gt;TDG^CS_EVENT_TIME_N("E",1)&lt;/Q&gt;&lt;R&gt;0&lt;/R&gt;&lt;C&gt;0&lt;/C&gt;&lt;/FQL&gt;&lt;FQL&gt;&lt;Q&gt;TDG^CS_EVENT_DESC_N("E",1)&lt;/Q&gt;&lt;R&gt;0&lt;/R&gt;&lt;C&gt;0&lt;/C&gt;&lt;/FQL&gt;&lt;FQL&gt;&lt;Q&gt;DUK^CS_EVENT_DATEJ_N("E",1)&lt;/Q&gt;&lt;R&gt;0&lt;/R&gt;&lt;C&gt;0&lt;/C&gt;&lt;/FQL&gt;&lt;FQL&gt;&lt;Q&gt;DUK^CS_EVENT_TIME_N("E",1)&lt;/Q&gt;&lt;R&gt;0&lt;/R&gt;&lt;C&gt;0&lt;/C&gt;&lt;/FQL&gt;&lt;FQL&gt;&lt;Q&gt;DUK^CS_EVENT_DESC_N("E",1)&lt;/Q&gt;&lt;R&gt;0&lt;/R&gt;&lt;C&gt;0&lt;/C&gt;&lt;/FQL&gt;&lt;FQL&gt;&lt;Q&gt;LITE^CS_EVENT_DATEJ_N("E",1)&lt;/Q&gt;&lt;R&gt;0&lt;/R&gt;&lt;C&gt;0&lt;/C&gt;&lt;/FQL&gt;&lt;FQL&gt;&lt;Q&gt;LITE^CS_EVENT_TIME_N("E",1)&lt;/Q&gt;&lt;R&gt;0&lt;/R&gt;&lt;C&gt;0&lt;/C&gt;&lt;/FQL&gt;&lt;FQL&gt;&lt;Q&gt;LITE^CS_EVENT_DESC_N("E",1)&lt;/Q&gt;&lt;R&gt;0&lt;/R&gt;&lt;C&gt;0&lt;/C&gt;&lt;/FQL&gt;&lt;FQL&gt;&lt;Q&gt;FOX^CS_EVENT_DATEJ_N("E",1)&lt;/Q&gt;&lt;R&gt;0&lt;/R&gt;&lt;C&gt;0&lt;/C&gt;&lt;/FQL&gt;&lt;FQL&gt;&lt;Q&gt;FOX^CS_EVENT_TIME_N("E",1)&lt;/Q&gt;&lt;R&gt;0&lt;/R&gt;&lt;C&gt;0&lt;/C&gt;&lt;/FQL&gt;&lt;FQL&gt;&lt;Q&gt;FOX^CS_EVENT_DESC_N("E",1)&lt;/Q&gt;&lt;R&gt;0&lt;/R&gt;&lt;C&gt;0&lt;/C&gt;&lt;/FQL&gt;&lt;FQL&gt;&lt;Q&gt;FOXA^CS_EVENT_DATEJ_N("E",1)&lt;/Q&gt;&lt;R&gt;0&lt;/R&gt;&lt;C&gt;0&lt;/C&gt;&lt;/FQL&gt;&lt;FQL&gt;&lt;Q&gt;FOXA^CS_EVENT_TIME_N("E",1)&lt;/Q&gt;&lt;R&gt;0&lt;/R&gt;&lt;C&gt;0&lt;/C&gt;&lt;/FQL&gt;&lt;FQL&gt;&lt;Q&gt;FOXA^CS_EVENT_DESC_N("E",1)&lt;/Q&gt;&lt;R&gt;0&lt;/R&gt;&lt;C&gt;0&lt;/C&gt;&lt;/FQL&gt;&lt;FQL&gt;&lt;Q&gt;COHR^CS_EVENT_DATEJ_N("E",1)&lt;/Q&gt;&lt;R&gt;0&lt;/R&gt;&lt;C&gt;0&lt;/C&gt;&lt;/FQL&gt;&lt;FQL&gt;&lt;Q&gt;COHR^CS_EVENT_TIME_N("E",1)&lt;/Q&gt;&lt;R&gt;0&lt;/R&gt;&lt;C&gt;0&lt;/C&gt;&lt;/FQL&gt;&lt;FQL&gt;&lt;Q&gt;COHR^CS_EVENT_DESC_N("E",1)&lt;/Q&gt;&lt;R&gt;0&lt;/R&gt;&lt;C&gt;0&lt;/C&gt;&lt;/FQL&gt;&lt;FQL&gt;&lt;Q&gt;ATO^CS_EVENT_DATEJ_N("E",1)&lt;/Q&gt;&lt;R&gt;0&lt;/R&gt;&lt;C&gt;0&lt;/C&gt;&lt;/FQL&gt;&lt;FQL&gt;&lt;Q&gt;ATO^CS_EVENT_TIME_N("E",1)&lt;/Q&gt;&lt;R&gt;0&lt;/R&gt;&lt;C&gt;0&lt;/C&gt;&lt;/FQL&gt;&lt;FQL&gt;&lt;Q&gt;ATO^CS_EVENT_DESC_N("E",1)&lt;/Q&gt;&lt;R&gt;0&lt;/R&gt;&lt;C&gt;0&lt;/C&gt;&lt;/FQL&gt;&lt;FQL&gt;&lt;Q&gt;NI^CS_EVENT_DATEJ_N("E",1)&lt;/Q&gt;&lt;R&gt;0&lt;/R&gt;&lt;C&gt;0&lt;/C&gt;&lt;/FQL&gt;&lt;FQL&gt;&lt;Q&gt;NI^CS_EVENT_TIME_N("E",1)&lt;/Q&gt;&lt;R&gt;0&lt;/R&gt;&lt;C&gt;0&lt;/C&gt;&lt;/FQL&gt;&lt;FQL&gt;&lt;Q&gt;NI^CS_EVENT_DESC_N("E",1)&lt;/Q&gt;&lt;R&gt;0&lt;/R&gt;&lt;C&gt;0&lt;/C&gt;&lt;/FQL&gt;&lt;FQL&gt;&lt;Q&gt;DIS^CS_EVENT_DATEJ_N("E",1)&lt;/Q&gt;&lt;R&gt;0&lt;/R&gt;&lt;C&gt;0&lt;/C&gt;&lt;/FQL&gt;&lt;FQL&gt;&lt;Q&gt;DIS^CS_EVENT_TIME_N("E",1)&lt;/Q&gt;&lt;R&gt;0&lt;/R&gt;&lt;C&gt;0&lt;/C&gt;&lt;/FQL&gt;&lt;FQL&gt;&lt;Q&gt;DIS^CS_EVENT_DESC_N("E",1)&lt;/Q&gt;&lt;R&gt;0&lt;/R&gt;&lt;C&gt;0&lt;/C&gt;&lt;/FQL&gt;&lt;FQL&gt;&lt;Q&gt;TTD^CS_EVENT_DATEJ_N("E",1)&lt;/Q&gt;&lt;R&gt;0&lt;/R&gt;&lt;C&gt;0&lt;/C&gt;&lt;/FQL&gt;&lt;FQL&gt;&lt;Q&gt;TTD^CS_EVENT_TIME_N("E",1)&lt;/Q&gt;&lt;R&gt;0&lt;/R&gt;&lt;C&gt;0&lt;/C&gt;&lt;/FQL&gt;&lt;FQL&gt;&lt;Q&gt;TTD^CS_EVENT_DESC_N("E",1)&lt;/Q&gt;&lt;R&gt;0&lt;/R&gt;&lt;C&gt;0&lt;/C&gt;&lt;/FQL&gt;&lt;FQL&gt;&lt;Q&gt;VST^CS_EVENT_DATEJ_N("E",1)&lt;/Q&gt;&lt;R&gt;0&lt;/R&gt;&lt;C&gt;0&lt;/C&gt;&lt;/FQL&gt;&lt;FQL&gt;&lt;Q&gt;VST^CS_EVENT_TIME_N("E",1)&lt;/Q&gt;&lt;R&gt;0&lt;/R&gt;&lt;C&gt;0&lt;/C&gt;&lt;/FQL&gt;&lt;FQL&gt;&lt;Q&gt;VST^CS_EVENT_DESC_N("E",1)&lt;/Q&gt;&lt;R&gt;0&lt;/R&gt;&lt;C&gt;0&lt;/C&gt;&lt;/FQL&gt;&lt;FQL&gt;&lt;Q&gt;CRH^CS_EVENT_DATEJ_N("E",1)&lt;/Q&gt;&lt;R&gt;0&lt;/R&gt;&lt;C&gt;0&lt;/C&gt;&lt;/FQL&gt;&lt;FQL&gt;&lt;Q&gt;CRH^CS_EVENT_TIME_N("E",1)&lt;/Q&gt;&lt;R&gt;0&lt;/R&gt;&lt;C&gt;0&lt;/C&gt;&lt;/FQL&gt;&lt;FQL&gt;&lt;Q&gt;CRH^CS_EVENT_DESC_N("E",1)&lt;/Q&gt;&lt;R&gt;0&lt;/R&gt;&lt;C&gt;0&lt;/C&gt;&lt;/FQL&gt;&lt;FQL&gt;&lt;Q&gt;ABNB^CS_EVENT_DATEJ_N("E",1)&lt;/Q&gt;&lt;R&gt;0&lt;/R&gt;&lt;C&gt;0&lt;/C&gt;&lt;/FQL&gt;&lt;FQL&gt;&lt;Q&gt;ABNB^CS_EVENT_TIME_N("E",1)&lt;/Q&gt;&lt;R&gt;0&lt;/R&gt;&lt;C&gt;0&lt;/C&gt;&lt;/FQL&gt;&lt;FQL&gt;&lt;Q&gt;ABNB^CS_EVENT_DESC_N("E",1)&lt;/Q&gt;&lt;R&gt;0&lt;/R&gt;&lt;C&gt;0&lt;/C&gt;&lt;/FQL&gt;&lt;FQL&gt;&lt;Q&gt;APP^CS_EVENT_DATEJ_N("E",1)&lt;/Q&gt;&lt;R&gt;0&lt;/R&gt;&lt;C&gt;0&lt;/C&gt;&lt;/FQL&gt;&lt;FQL&gt;&lt;Q&gt;APP^CS_EVENT_TIME_N("E",1)&lt;/Q&gt;&lt;R&gt;0&lt;/R&gt;&lt;C&gt;0&lt;/C&gt;&lt;/FQL&gt;&lt;FQL&gt;&lt;Q&gt;APP^CS_EVENT_DESC_N("E",1)&lt;/Q&gt;&lt;R&gt;0&lt;/R&gt;&lt;C&gt;0&lt;/C&gt;&lt;/FQL&gt;&lt;FQL&gt;&lt;Q&gt;HOOD^CS_EVENT_DATEJ_N("E",1)&lt;/Q&gt;&lt;R&gt;0&lt;/R&gt;&lt;C&gt;0&lt;/C&gt;&lt;/FQL&gt;&lt;FQL&gt;&lt;Q&gt;HOOD^CS_EVENT_TIME_N("E",1)&lt;/Q&gt;&lt;R&gt;0&lt;/R&gt;&lt;C&gt;0&lt;/C&gt;&lt;/FQL&gt;&lt;FQL&gt;&lt;Q&gt;HOOD^CS_EVENT_DESC_N("E",1)&lt;/Q&gt;&lt;R&gt;0&lt;/R&gt;&lt;C&gt;0&lt;/C&gt;&lt;/FQL&gt;&lt;FQL&gt;&lt;Q&gt;KVUE^CS_EVENT_DATEJ_N("E",1)&lt;/Q&gt;&lt;R&gt;0&lt;/R&gt;&lt;C&gt;0&lt;/C&gt;&lt;/FQL&gt;&lt;FQL&gt;&lt;Q&gt;KVUE^CS_EVENT_TIME_N("E",1)&lt;/Q&gt;&lt;R&gt;0&lt;/R&gt;&lt;C&gt;0&lt;/C&gt;&lt;/FQL&gt;&lt;FQL&gt;&lt;Q&gt;KVUE^CS_EVENT_DESC_N("E",1)&lt;/Q&gt;&lt;R&gt;0&lt;/R&gt;&lt;C&gt;0&lt;/C&gt;&lt;/FQL&gt;&lt;FQL&gt;&lt;Q&gt;TTWO^CS_EVENT_DATEJ_N("E",1)&lt;/Q&gt;&lt;R&gt;0&lt;/R&gt;&lt;C&gt;0&lt;/C&gt;&lt;/FQL&gt;&lt;FQL&gt;&lt;Q&gt;TTWO^CS_EVENT_TIME_N("E",1)&lt;/Q&gt;&lt;R&gt;0&lt;/R&gt;&lt;C&gt;0&lt;/C&gt;&lt;/FQL&gt;&lt;FQL&gt;&lt;Q&gt;TTWO^CS_EVENT_DESC_N("E",1)&lt;/Q&gt;&lt;R&gt;0&lt;/R&gt;&lt;C&gt;0&lt;/C&gt;&lt;/FQL&gt;&lt;FQL&gt;&lt;Q&gt;ROST^CS_EVENT_DATEJ_N("E",1)&lt;/Q&gt;&lt;R&gt;0&lt;/R&gt;&lt;C&gt;0&lt;/C&gt;&lt;/FQL&gt;&lt;FQL&gt;&lt;Q&gt;ROST^CS_EVENT_TIME_N("E",1)&lt;/Q&gt;&lt;R&gt;0&lt;/R&gt;&lt;C&gt;0&lt;/C&gt;&lt;/FQL&gt;&lt;FQL&gt;&lt;Q&gt;ROST^CS_EVENT_DESC_N("E",1)&lt;/Q&gt;&lt;R&gt;0&lt;/R&gt;&lt;C&gt;0&lt;/C&gt;&lt;/FQL&gt;&lt;FQL&gt;&lt;Q&gt;WMT^CS_EVENT_DATEJ_N("E",1)&lt;/Q&gt;&lt;R&gt;0&lt;/R&gt;&lt;C&gt;0&lt;/C&gt;&lt;/FQL&gt;&lt;FQL&gt;&lt;Q&gt;WMT^CS_EVENT_TIME_N("E",1)&lt;/Q&gt;&lt;R&gt;0&lt;/R&gt;&lt;C&gt;0&lt;/C&gt;&lt;/FQL&gt;&lt;FQL&gt;&lt;Q&gt;WMT^CS_EVENT_DESC_N("E",1)&lt;/Q&gt;&lt;R&gt;0&lt;/R&gt;&lt;C&gt;0&lt;/C&gt;&lt;/FQL&gt;&lt;FQL&gt;&lt;Q&gt;AMAT^CS_EVENT_DATEJ_N("E",1)&lt;/Q&gt;&lt;R&gt;0&lt;/R&gt;&lt;C&gt;0&lt;/C&gt;&lt;/FQL&gt;&lt;FQL&gt;&lt;Q&gt;AMAT^CS_EVENT_TIME_N("E",1)&lt;/Q&gt;&lt;R&gt;0&lt;/R&gt;&lt;C&gt;0&lt;/C&gt;&lt;/FQL&gt;&lt;FQL&gt;&lt;Q&gt;AMAT^CS_EVENT_DESC_N("E",1)&lt;/Q&gt;&lt;R&gt;0&lt;/R&gt;&lt;C&gt;0&lt;/C&gt;&lt;/FQL&gt;&lt;FQL&gt;&lt;Q&gt;HD^CS_EVENT_DATEJ_N("E",1)&lt;/Q&gt;&lt;R&gt;0&lt;/R&gt;&lt;C&gt;0&lt;/C&gt;&lt;/FQL&gt;&lt;FQL&gt;&lt;Q&gt;HD^CS_EVENT_TIME_N("E",1)&lt;/Q&gt;&lt;R&gt;0&lt;/R&gt;&lt;C&gt;0&lt;/C&gt;&lt;/FQL&gt;&lt;FQL&gt;&lt;Q&gt;HD^CS_EVENT_DESC_N("E",1)&lt;/Q&gt;&lt;R&gt;0&lt;/R&gt;&lt;C&gt;0&lt;/C&gt;&lt;/FQL&gt;&lt;FQL&gt;&lt;Q&gt;KEYS^CS_EVENT_DATEJ_N("E",1)&lt;/Q&gt;&lt;R&gt;0&lt;/R&gt;&lt;C&gt;0&lt;/C&gt;&lt;/FQL&gt;&lt;FQL&gt;&lt;Q&gt;KEYS^CS_EVENT_TIME_N("E",1)&lt;/Q&gt;&lt;R&gt;0&lt;/R&gt;&lt;C&gt;0&lt;/C&gt;&lt;/FQL&gt;&lt;FQL&gt;&lt;Q&gt;KEYS^CS_EVENT_DESC_N("E",1)&lt;/Q&gt;&lt;R&gt;0&lt;/R&gt;&lt;C&gt;0&lt;/C&gt;&lt;/FQL&gt;&lt;FQL&gt;&lt;Q&gt;TJX^CS_EVENT_DATEJ_N("E",1)&lt;/Q&gt;&lt;R&gt;0&lt;/R&gt;&lt;C&gt;0&lt;/C&gt;&lt;/FQL&gt;&lt;FQL&gt;&lt;Q&gt;TJX^CS_EVENT_TIME_N("E",1)&lt;/Q&gt;&lt;R&gt;0&lt;/R&gt;&lt;C&gt;0&lt;/C&gt;&lt;/FQL&gt;&lt;FQL&gt;&lt;Q&gt;TJX^CS_EVENT_DESC_N("E",1)&lt;/Q&gt;&lt;R&gt;0&lt;/R&gt;&lt;C&gt;0&lt;/C&gt;&lt;/FQL&gt;&lt;FQL&gt;&lt;Q&gt;NVDA^CS_EVENT_DATEJ_N("E",1)&lt;/Q&gt;&lt;R&gt;0&lt;/R&gt;&lt;C&gt;0&lt;/C&gt;&lt;/FQL&gt;&lt;FQL&gt;&lt;Q&gt;NVDA^CS_EVENT_TIME_N("E",1)&lt;/Q&gt;&lt;R&gt;0&lt;/R&gt;&lt;C&gt;0&lt;/C&gt;&lt;/FQL&gt;&lt;FQL&gt;&lt;Q&gt;NVDA^CS_EVENT_DESC_N("E",1)&lt;/Q&gt;&lt;R&gt;0&lt;/R&gt;&lt;C&gt;0&lt;/C&gt;&lt;/FQL&gt;&lt;FQL&gt;&lt;Q&gt;TGT^CS_EVENT_DATEJ_N("E",1)&lt;/Q&gt;&lt;R&gt;0&lt;/R&gt;&lt;C&gt;0&lt;/C&gt;&lt;/FQL&gt;&lt;FQL&gt;&lt;Q&gt;TGT^CS_EVENT_TIME_N("E",1)&lt;/Q&gt;&lt;R&gt;0&lt;/R&gt;&lt;C&gt;0&lt;/C&gt;&lt;/FQL&gt;&lt;FQL&gt;&lt;Q&gt;TGT^CS_EVENT_DESC_N("E",1)&lt;/Q&gt;&lt;R&gt;0&lt;/R&gt;&lt;C&gt;0&lt;/C&gt;&lt;/FQL&gt;&lt;FQL&gt;&lt;Q&gt;MDT^CS_EVENT_DATEJ_N("E",1)&lt;/Q&gt;&lt;R&gt;1&lt;/R&gt;&lt;C&gt;1&lt;/C&gt;&lt;D xsi:type="xsd:long"&gt;46162&lt;/D&gt;&lt;/FQL&gt;&lt;FQL&gt;&lt;Q&gt;MDT^CS_EVENT_TIME_N("E",1)&lt;/Q&gt;&lt;R&gt;1&lt;/R&gt;&lt;C&gt;1&lt;/C&gt;&lt;D xs</t>
        </r>
      </text>
    </comment>
    <comment ref="A20" authorId="0" shapeId="0" xr:uid="{26A600F5-68E9-46E9-92E8-0CF8CC505DED}">
      <text>
        <r>
          <rPr>
            <b/>
            <sz val="9"/>
            <color indexed="81"/>
            <rFont val="Tahoma"/>
            <family val="2"/>
          </rPr>
          <t>i:type="xsd:string"&gt;8:00 AM&lt;/D&gt;&lt;/FQL&gt;&lt;FQL&gt;&lt;Q&gt;MDT^CS_EVENT_DESC_N("E",1)&lt;/Q&gt;&lt;R&gt;1&lt;/R&gt;&lt;C&gt;1&lt;/C&gt;&lt;D xsi:type="xsd:string"&gt;Q4 2026 Earnings Call&lt;/D&gt;&lt;/FQL&gt;&lt;FQL&gt;&lt;Q&gt;SNPS^CS_EVENT_DATEJ_N("E",1)&lt;/Q&gt;&lt;R&gt;0&lt;/R&gt;&lt;C&gt;0&lt;/C&gt;&lt;/FQL&gt;&lt;FQL&gt;&lt;Q&gt;SNPS^CS_EVENT_TIME_N("E",1)&lt;/Q&gt;&lt;R&gt;0&lt;/R&gt;&lt;C&gt;0&lt;/C&gt;&lt;/FQL&gt;&lt;FQL&gt;&lt;Q&gt;SNPS^CS_EVENT_DESC_N("E",1)&lt;/Q&gt;&lt;R&gt;0&lt;/R&gt;&lt;C&gt;0&lt;/C&gt;&lt;/FQL&gt;&lt;FQL&gt;&lt;Q&gt;CSCO^CS_EVENT_DATEJ_N("E",1)&lt;/Q&gt;&lt;R&gt;0&lt;/R&gt;&lt;C&gt;0&lt;/C&gt;&lt;/FQL&gt;&lt;FQL&gt;&lt;Q&gt;CSCO^CS_EVENT_TIME_N("E",1)&lt;/Q&gt;&lt;R&gt;0&lt;/R&gt;&lt;C&gt;0&lt;/C&gt;&lt;/FQL&gt;&lt;FQL&gt;&lt;Q&gt;CSCO^CS_EVENT_DESC_N("E",1)&lt;/Q&gt;&lt;R&gt;0&lt;/R&gt;&lt;C&gt;0&lt;/C&gt;&lt;/FQL&gt;&lt;FQL&gt;&lt;Q&gt;CPRT^CS_EVENT_DATEJ_N("E",1)&lt;/Q&gt;&lt;R&gt;0&lt;/R&gt;&lt;C&gt;0&lt;/C&gt;&lt;/FQL&gt;&lt;FQL&gt;&lt;Q&gt;CPRT^CS_EVENT_TIME_N("E",1)&lt;/Q&gt;&lt;R&gt;0&lt;/R&gt;&lt;C&gt;0&lt;/C&gt;&lt;/FQL&gt;&lt;FQL&gt;&lt;Q&gt;CPRT^CS_EVENT_DESC_N("E",1)&lt;/Q&gt;&lt;R&gt;0&lt;/R&gt;&lt;C&gt;0&lt;/C&gt;&lt;/FQL&gt;&lt;FQL&gt;&lt;Q&gt;STE^CS_EVENT_DATEJ_N("E",1)&lt;/Q&gt;&lt;R&gt;0&lt;/R&gt;&lt;C&gt;0&lt;/C&gt;&lt;/FQL&gt;&lt;FQL&gt;&lt;Q&gt;STE^CS_EVENT_TIME_N("E",1)&lt;/Q&gt;&lt;R&gt;0&lt;/R&gt;&lt;C&gt;0&lt;/C&gt;&lt;/FQL&gt;&lt;FQL&gt;&lt;Q&gt;STE^CS_EVENT_DESC_N("E",1)&lt;/Q&gt;&lt;R&gt;0&lt;/R&gt;&lt;C&gt;0&lt;/C&gt;&lt;/FQL&gt;&lt;FQL&gt;&lt;Q&gt;ADSK^CS_EVENT_DATEJ_N("E",1)&lt;/Q&gt;&lt;R&gt;0&lt;/R&gt;&lt;C&gt;0&lt;/C&gt;&lt;/FQL&gt;&lt;FQL&gt;&lt;Q&gt;ADSK^CS_EVENT_TIME_N("E",1)&lt;/Q&gt;&lt;R&gt;0&lt;/R&gt;&lt;C&gt;0&lt;/C&gt;&lt;/FQL&gt;&lt;FQL&gt;&lt;Q&gt;ADSK^CS_EVENT_DESC_N("E",1)&lt;/Q&gt;&lt;R&gt;0&lt;/R&gt;&lt;C&gt;0&lt;/C&gt;&lt;/FQL&gt;&lt;FQL&gt;&lt;Q&gt;DLTR^CS_EVENT_DATEJ_N("E",1)&lt;/Q&gt;&lt;R&gt;0&lt;/R&gt;&lt;C&gt;0&lt;/C&gt;&lt;/FQL&gt;&lt;FQL&gt;&lt;Q&gt;DLTR^CS_EVENT_TIME_N("E",1)&lt;/Q&gt;&lt;R&gt;0&lt;/R&gt;&lt;C&gt;0&lt;/C&gt;&lt;/FQL&gt;&lt;FQL&gt;&lt;Q&gt;DLTR^CS_EVENT_DESC_N("E",1)&lt;/Q&gt;&lt;R&gt;0&lt;/R&gt;&lt;C&gt;0&lt;/C&gt;&lt;/FQL&gt;&lt;FQL&gt;&lt;Q&gt;DECK^CS_EVENT_DATEJ_N("E",1)&lt;/Q&gt;&lt;R&gt;0&lt;/R&gt;&lt;C&gt;0&lt;/C&gt;&lt;/FQL&gt;&lt;FQL&gt;&lt;Q&gt;DECK^CS_EVENT_TIME_N("E",1)&lt;/Q&gt;&lt;R&gt;0&lt;/R&gt;&lt;C&gt;0&lt;/C&gt;&lt;/FQL&gt;&lt;FQL&gt;&lt;Q&gt;DECK^CS_EVENT_DESC_N("E",1)&lt;/Q&gt;&lt;R&gt;0&lt;/R&gt;&lt;C&gt;0&lt;/C&gt;&lt;/FQL&gt;&lt;FQL&gt;&lt;Q&gt;DE^CS_EVENT_DATEJ_N("E",1)&lt;/Q&gt;&lt;R&gt;1&lt;/R&gt;&lt;C&gt;1&lt;/C&gt;&lt;D xsi:type="xsd:long"&gt;46163&lt;/D&gt;&lt;/FQL&gt;&lt;FQL&gt;&lt;Q&gt;DE^CS_EVENT_TIME_N("E",1)&lt;/Q&gt;&lt;R&gt;1&lt;/R&gt;&lt;C&gt;1&lt;/C&gt;&lt;D xsi:type="xsd:string"&gt;Unspecified&lt;/D&gt;&lt;/FQL&gt;&lt;FQL&gt;&lt;Q&gt;DE^CS_EVENT_DESC_N("E",1)&lt;/Q&gt;&lt;R&gt;1&lt;/R&gt;&lt;C&gt;1&lt;/C&gt;&lt;D xsi:type="xsd:string"&gt;Q2 2026 Earnings Call&lt;/D&gt;&lt;/FQL&gt;&lt;FQL&gt;&lt;Q&gt;RL^CS_EVENT_DATEJ_N("E",1)&lt;/Q&gt;&lt;R&gt;0&lt;/R&gt;&lt;C&gt;0&lt;/C&gt;&lt;/FQL&gt;&lt;FQL&gt;&lt;Q&gt;RL^CS_EVENT_TIME_N("E",1)&lt;/Q&gt;&lt;R&gt;0&lt;/R&gt;&lt;C&gt;0&lt;/C&gt;&lt;/FQL&gt;&lt;FQL&gt;&lt;Q&gt;RL^CS_EVENT_DESC_N("E",1)&lt;/Q&gt;&lt;R&gt;0&lt;/R&gt;&lt;C&gt;0&lt;/C&gt;&lt;/FQL&gt;&lt;FQL&gt;&lt;Q&gt;INTU^CS_EVENT_DATEJ_N("E",1)&lt;/Q&gt;&lt;R&gt;0&lt;/R&gt;&lt;C&gt;0&lt;/C&gt;&lt;/FQL&gt;&lt;FQL&gt;&lt;Q&gt;INTU^CS_EVENT_TIME_N("E",1)&lt;/Q&gt;&lt;R&gt;0&lt;/R&gt;&lt;C&gt;0&lt;/C&gt;&lt;/FQL&gt;&lt;FQL&gt;&lt;Q&gt;INTU^CS_EVENT_DESC_N("E",1)&lt;/Q&gt;&lt;R&gt;0&lt;/R&gt;&lt;C&gt;0&lt;/C&gt;&lt;/FQL&gt;&lt;FQL&gt;&lt;Q&gt;ULTA^CS_EVENT_DATEJ_N("E",1)&lt;/Q&gt;&lt;R&gt;0&lt;/R&gt;&lt;C&gt;0&lt;/C&gt;&lt;/FQL&gt;&lt;FQL&gt;&lt;Q&gt;ULTA^CS_EVENT_TIME_N("E",1)&lt;/Q&gt;&lt;R&gt;0&lt;/R&gt;&lt;C&gt;0&lt;/C&gt;&lt;/FQL&gt;&lt;FQL&gt;&lt;Q&gt;ULTA^CS_EVENT_DESC_N("E",1)&lt;/Q&gt;&lt;R&gt;0&lt;/R&gt;&lt;C&gt;0&lt;/C&gt;&lt;/FQL&gt;&lt;FQL&gt;&lt;Q&gt;DG^CS_EVENT_DATEJ_N("E",1)&lt;/Q&gt;&lt;R&gt;0&lt;/R&gt;&lt;C&gt;0&lt;/C&gt;&lt;/FQL&gt;&lt;FQL&gt;&lt;Q&gt;DG^CS_EVENT_TIME_N("E",1)&lt;/Q&gt;&lt;R&gt;0&lt;/R&gt;&lt;C&gt;0&lt;/C&gt;&lt;/FQL&gt;&lt;FQL&gt;&lt;Q&gt;DG^CS_EVENT_DESC_N("E",1)&lt;/Q&gt;&lt;R&gt;0&lt;/R&gt;&lt;C&gt;0&lt;/C&gt;&lt;/FQL&gt;&lt;FQL&gt;&lt;Q&gt;WDAY^CS_EVENT_DATEJ_N("E",1)&lt;/Q&gt;&lt;R&gt;0&lt;/R&gt;&lt;C&gt;0&lt;/C&gt;&lt;/FQL&gt;&lt;FQL&gt;&lt;Q&gt;WDAY^CS_EVENT_TIME_N("E",1)&lt;/Q&gt;&lt;R&gt;0&lt;/R&gt;&lt;C&gt;0&lt;/C&gt;&lt;/FQL&gt;&lt;FQL&gt;&lt;Q&gt;WDAY^CS_EVENT_DESC_N("E",1)&lt;/Q&gt;&lt;R&gt;0&lt;/R&gt;&lt;C&gt;0&lt;/C&gt;&lt;/FQL&gt;&lt;FQL&gt;&lt;Q&gt;NDSN^CS_EVENT_DATEJ_N("E",1)&lt;/Q&gt;&lt;R&gt;0&lt;/R&gt;&lt;C&gt;0&lt;/C&gt;&lt;/FQL&gt;&lt;FQL&gt;&lt;Q&gt;NDSN^CS_EVENT_TIME_N("E",1)&lt;/Q&gt;&lt;R&gt;0&lt;/R&gt;&lt;C&gt;0&lt;/C&gt;&lt;/FQL&gt;&lt;FQL&gt;&lt;Q&gt;NDSN^CS_EVENT_DESC_N("E",1)&lt;/Q&gt;&lt;R&gt;0&lt;/R&gt;&lt;C&gt;0&lt;/C&gt;&lt;/FQL&gt;&lt;FQL&gt;&lt;Q&gt;AZO^CS_EVENT_DATEJ_N("E",1)&lt;/Q&gt;&lt;R&gt;0&lt;/R&gt;&lt;C&gt;0&lt;/C&gt;&lt;/FQL&gt;&lt;FQL&gt;&lt;Q&gt;AZO^CS_EVENT_TIME_N("E",1)&lt;/Q&gt;&lt;R&gt;0&lt;/R&gt;&lt;C&gt;0&lt;/C&gt;&lt;/FQL&gt;&lt;FQL&gt;&lt;Q&gt;AZO^CS_EVENT_DESC_N("E",1)&lt;/Q&gt;&lt;R&gt;0&lt;/R&gt;&lt;C&gt;0&lt;/C&gt;&lt;/FQL&gt;&lt;FQL&gt;&lt;Q&gt;RSG^CS_EVENT_DATEJ_N("E",1)&lt;/Q&gt;&lt;R&gt;0&lt;/R&gt;&lt;C&gt;0&lt;/C&gt;&lt;/FQL&gt;&lt;FQL&gt;&lt;Q&gt;RSG^CS_EVENT_TIME_N("E",1)&lt;/Q&gt;&lt;R&gt;0&lt;/R&gt;&lt;C&gt;0&lt;/C&gt;&lt;/FQL&gt;&lt;FQL&gt;&lt;Q&gt;MET^CS_EVENT_DATEJ_N("E",1)&lt;/Q&gt;&lt;R&gt;0&lt;/R&gt;&lt;C&gt;0&lt;/C&gt;&lt;/FQL&gt;&lt;FQL&gt;&lt;Q&gt;MET^CS_EVENT_TIME_N("E",1)&lt;/Q&gt;&lt;R&gt;0&lt;/R&gt;&lt;C&gt;0&lt;/C&gt;&lt;/FQL&gt;&lt;FQL&gt;&lt;Q&gt;CVS^CS_EVENT_DATEJ_N("E",1)&lt;/Q&gt;&lt;R&gt;0&lt;/R&gt;&lt;C&gt;0&lt;/C&gt;&lt;/FQL&gt;&lt;FQL&gt;&lt;Q&gt;CVS^CS_EVENT_TIME_N("E",1)&lt;/Q&gt;&lt;R&gt;0&lt;/R&gt;&lt;C&gt;0&lt;/C&gt;&lt;/FQL&gt;&lt;FQL&gt;&lt;Q&gt;VRTX^CS_EVENT_DATEJ_N("E",1)&lt;/Q&gt;&lt;R&gt;0&lt;/R&gt;&lt;C&gt;0&lt;/C&gt;&lt;/FQL&gt;&lt;FQL&gt;&lt;Q&gt;VRTX^CS_EVENT_TIME_N("E",1)&lt;/Q&gt;&lt;R&gt;0&lt;/R&gt;&lt;C&gt;0&lt;/C&gt;&lt;/FQL&gt;&lt;FQL&gt;&lt;Q&gt;EXC^CS_EVENT_DATEJ_N("E",1)&lt;/Q&gt;&lt;R&gt;0&lt;/R&gt;&lt;C&gt;0&lt;/C&gt;&lt;/FQL&gt;&lt;FQL&gt;&lt;Q&gt;EXC^CS_EVENT_TIME_N("E",1)&lt;/Q&gt;&lt;R&gt;0&lt;/R&gt;&lt;C&gt;0&lt;/C&gt;&lt;/FQL&gt;&lt;FQL&gt;&lt;Q&gt;EQR^CS_EVENT_TIME_N("ER",1)&lt;/Q&gt;&lt;R&gt;1&lt;/R&gt;&lt;C&gt;1&lt;/C&gt;&lt;D xsi:type="xsd:string"&gt;Unspecified&lt;/D&gt;&lt;/FQL&gt;&lt;FQL&gt;&lt;Q&gt;PCAR^CS_EVENT_TIME_N("ER",1)&lt;/Q&gt;&lt;R&gt;1&lt;/R&gt;&lt;C&gt;1&lt;/C&gt;&lt;D xsi:type="xsd:string"&gt;Unspecified&lt;/D&gt;&lt;/FQL&gt;&lt;FQL&gt;&lt;Q&gt;Q^CS_EVENT_DATEJ_N("E",1)&lt;/Q&gt;&lt;R&gt;0&lt;/R&gt;&lt;C&gt;0&lt;/C&gt;&lt;/FQL&gt;&lt;FQL&gt;&lt;Q&gt;Q^CS_EVENT_TIME_N("E",1)&lt;/Q&gt;&lt;R&gt;0&lt;/R&gt;&lt;C&gt;0&lt;/C&gt;&lt;/FQL&gt;&lt;FQL&gt;&lt;Q&gt;Q^CS_EVENT_DESC_N("E",1)&lt;/Q&gt;&lt;R&gt;0&lt;/R&gt;&lt;C&gt;0&lt;/C&gt;&lt;/FQL&gt;&lt;FQL&gt;&lt;Q&gt;CAG^CS_EVENT_DATEJ_N("E",1)&lt;/Q&gt;&lt;R&gt;1&lt;/R&gt;&lt;C&gt;1&lt;/C&gt;&lt;D xsi:type="xsd:long"&gt;46113&lt;/D&gt;&lt;/FQL&gt;&lt;FQL&gt;&lt;Q&gt;CAG^CS_EVENT_TIME_N("E",1)&lt;/Q&gt;&lt;R&gt;1&lt;/R&gt;&lt;C&gt;1&lt;/C&gt;&lt;D xsi:type="xsd:string"&gt;9:00 AM&lt;/D&gt;&lt;/FQL&gt;&lt;FQL&gt;&lt;Q&gt;CAG^CS_EVENT_DESC_N("E",1)&lt;/Q&gt;&lt;R&gt;1&lt;/R&gt;&lt;C&gt;1&lt;/C&gt;&lt;D xsi:type="xsd:string"&gt;Q3 2026 Earnings Call - Pre-recorded&lt;/D&gt;&lt;/FQL&gt;&lt;FQL&gt;&lt;Q&gt;STZ^CS_EVENT_DATEJ_N("E",1)&lt;/Q&gt;&lt;R&gt;1&lt;/R&gt;&lt;C&gt;1&lt;/C&gt;&lt;D xsi:type="xsd:long"&gt;46121&lt;/D&gt;&lt;/FQL&gt;&lt;FQL&gt;&lt;Q&gt;STZ^CS_EVENT_TIME_N("E",1)&lt;/Q&gt;&lt;R&gt;1&lt;/R&gt;&lt;C&gt;1&lt;/C&gt;&lt;D xsi:type="xsd:string"&gt;8:00 AM&lt;/D&gt;&lt;/FQL&gt;&lt;FQL&gt;&lt;Q&gt;STZ^CS_EVENT_DESC_N("E",1)&lt;/Q&gt;&lt;R&gt;1&lt;/R&gt;&lt;C&gt;1&lt;/C&gt;&lt;D xsi:type="xsd:string"&gt;Q4 2026 Earnings Call&lt;/D&gt;&lt;/FQL&gt;&lt;FQL&gt;&lt;Q&gt;DAL^CS_EVENT_DATEJ_N("E",1)&lt;/Q&gt;&lt;R&gt;1&lt;/R&gt;&lt;C&gt;1&lt;/C&gt;&lt;D xsi:type="xsd:long"&gt;46120&lt;/D&gt;&lt;/FQL&gt;&lt;FQL&gt;&lt;Q&gt;DAL^CS_EVENT_TIME_N("E",1)&lt;/Q&gt;&lt;R&gt;1&lt;/R&gt;&lt;C&gt;1&lt;/C&gt;&lt;D xsi:type="xsd:string"&gt;10:00 AM&lt;/D&gt;&lt;/FQL&gt;&lt;FQL&gt;&lt;Q&gt;DAL^CS_EVENT_DESC_N("E",1)&lt;/Q&gt;&lt;R&gt;1&lt;/R&gt;&lt;C&gt;1&lt;/C&gt;&lt;D xsi:type="xsd:string"&gt;Q1 2026 Earnings Call&lt;/D&gt;&lt;/FQL&gt;&lt;FQL&gt;&lt;Q&gt;PGR^CS_EVENT_DATEJ_N("E",1)&lt;/Q&gt;&lt;R&gt;0&lt;/R&gt;&lt;C&gt;0&lt;/C&gt;&lt;/FQL&gt;&lt;FQL&gt;&lt;Q&gt;PGR^CS_EVENT_TIME_N("E",1)&lt;/Q&gt;&lt;R&gt;0&lt;/R&gt;&lt;C&gt;0&lt;/C&gt;&lt;/FQL&gt;&lt;FQL&gt;&lt;Q&gt;PGR^CS_EVENT_DESC_N("E",1)&lt;/Q&gt;&lt;R&gt;0&lt;/R&gt;&lt;C&gt;0&lt;/C&gt;&lt;/FQL&gt;&lt;FQL&gt;&lt;Q&gt;FAST^CS_EVENT_DATEJ_N("E",1)&lt;/Q&gt;&lt;R&gt;1&lt;/R&gt;&lt;C&gt;1&lt;/C&gt;&lt;D xsi:type="xsd:long"&gt;46125&lt;/D&gt;&lt;/FQL&gt;&lt;FQL&gt;&lt;Q&gt;FAST^CS_EVENT_TIME_N("E",1)&lt;/Q&gt;&lt;R&gt;1&lt;/R&gt;&lt;C&gt;1&lt;/C&gt;&lt;D xsi:type="xsd:string"&gt;10:00 AM&lt;/D&gt;&lt;/FQL&gt;&lt;FQL&gt;&lt;Q&gt;FAST^CS_EVENT_DESC_N("E",1)&lt;/Q&gt;&lt;R&gt;1&lt;/R&gt;&lt;C&gt;1&lt;/C&gt;&lt;D xsi:type="xsd:string"&gt;Q1 2026 Earnings Call&lt;/D&gt;&lt;/FQL&gt;&lt;FQL&gt;&lt;Q&gt;GS^CS_EVENT_DATEJ_N("E",1)&lt;/Q&gt;&lt;R&gt;1&lt;/R&gt;&lt;C&gt;1&lt;/C&gt;&lt;D xsi:type="xsd:long"&gt;46125&lt;/D&gt;&lt;/FQL&gt;&lt;FQL&gt;&lt;Q&gt;GS^CS_EVENT_TIME_N("E",1)&lt;/Q&gt;&lt;R&gt;1&lt;/R&gt;&lt;C&gt;1&lt;/C&gt;&lt;D xsi:type="xsd:string"&gt;9:30 AM&lt;/D&gt;&lt;/FQL&gt;&lt;FQL&gt;&lt;Q&gt;GS^CS_EVENT_DESC_N("E",1)&lt;/Q&gt;&lt;R&gt;1&lt;/R&gt;&lt;C&gt;1&lt;/C&gt;&lt;D xsi:type="xsd:string"&gt;Q1 2026 Earnings Call&lt;/D&gt;&lt;/FQL&gt;&lt;FQL&gt;&lt;Q&gt;JPM^CS_EVENT_DATEJ_N("E",1)&lt;/Q&gt;&lt;R&gt;1&lt;/R&gt;&lt;C&gt;1&lt;/C&gt;&lt;D xsi:type="xsd:long"&gt;46126&lt;/D&gt;&lt;/FQL&gt;&lt;FQL&gt;&lt;Q&gt;JPM^CS_EVENT_TIME_N("E",1)&lt;/Q&gt;&lt;R&gt;1&lt;/R&gt;&lt;C&gt;1&lt;/C&gt;&lt;D xsi:type="xsd:string"&gt;8:30 AM&lt;/D&gt;&lt;/FQL&gt;&lt;FQL&gt;&lt;Q&gt;JPM^CS_EVENT_DESC_N("E",1)&lt;/Q&gt;&lt;R&gt;1&lt;/R&gt;&lt;C&gt;1&lt;/C&gt;&lt;D xsi:type="xsd:string"&gt;Q1 2026 Earnings Call&lt;/D&gt;&lt;/FQL&gt;&lt;FQL&gt;&lt;Q&gt;WFC^CS_EVENT_DATEJ_N("E",1)&lt;/Q&gt;&lt;R&gt;1&lt;/R&gt;&lt;C&gt;1&lt;/C&gt;&lt;D xsi:type="xsd:long"&gt;46126&lt;/D&gt;&lt;/FQL&gt;&lt;FQL&gt;&lt;Q&gt;WFC^CS_EVENT_TIME_N("E",1)&lt;/Q&gt;&lt;R&gt;1&lt;/R&gt;&lt;C&gt;1&lt;/C&gt;&lt;D xsi:type="xsd:string"&gt;10:00 AM&lt;/D&gt;&lt;/FQL&gt;&lt;FQL&gt;&lt;Q&gt;WFC^CS_EVENT_DESC_N("E",1)&lt;/Q&gt;&lt;R&gt;1&lt;/R&gt;&lt;C&gt;1&lt;/C&gt;&lt;D xsi:type="xsd:string"&gt;Q1 2026 Earnings Call&lt;/D&gt;&lt;/FQL&gt;&lt;FQL&gt;&lt;Q&gt;JNJ^CS_EVENT_DATEJ_N("E",1)&lt;/Q&gt;&lt;R&gt;1&lt;/R&gt;&lt;C&gt;1&lt;/C&gt;&lt;D xsi:type="xsd:long"&gt;46126&lt;/D&gt;&lt;/FQL&gt;&lt;FQL&gt;&lt;Q&gt;JNJ^CS_EVENT_TIME_N("E",1)&lt;/Q&gt;&lt;R&gt;1&lt;/R&gt;&lt;C&gt;1&lt;/C&gt;&lt;D xsi:type="xsd:string"&gt;8:30 AM&lt;/D&gt;&lt;/FQL&gt;&lt;FQL&gt;&lt;Q&gt;JNJ^CS_EVENT_DESC_N("E",1)&lt;/Q&gt;&lt;R&gt;1&lt;/R&gt;&lt;C&gt;1&lt;/C&gt;&lt;D xsi:type="xsd:string"&gt;Q1 2026 Earnings Call&lt;/D&gt;&lt;/FQL&gt;&lt;FQL&gt;&lt;Q&gt;BLK^CS_EVENT_DATEJ_N("E",1)&lt;/Q&gt;&lt;R&gt;1&lt;/R&gt;&lt;C&gt;1&lt;/C&gt;&lt;D xsi:type="xsd:long"&gt;46126&lt;/D&gt;&lt;/FQL&gt;&lt;FQL&gt;&lt;Q&gt;BLK^CS_EVENT_TIME_N("E",1)&lt;/Q&gt;&lt;R&gt;1&lt;/R&gt;&lt;C&gt;1&lt;/C&gt;&lt;D xsi:type="xsd:string"&gt;7:30 AM&lt;/D&gt;&lt;/FQL&gt;&lt;FQL&gt;&lt;Q&gt;BLK^CS_EVENT_DESC_N("E",1)&lt;/Q&gt;&lt;R&gt;1&lt;/R&gt;&lt;C&gt;1&lt;/C&gt;&lt;D xsi:type="xsd:string"&gt;Q1 2026 Earnings Call&lt;/D&gt;&lt;/FQL&gt;&lt;FQL&gt;&lt;Q&gt;C^CS_EVENT_DATEJ_N("E",1)&lt;/Q&gt;&lt;R&gt;1&lt;/R&gt;&lt;C&gt;1&lt;/C&gt;&lt;D xsi:type="xsd:long"&gt;46126&lt;/D&gt;&lt;/FQL&gt;&lt;FQL&gt;&lt;Q&gt;C^CS_EVENT_TIME_N("E",1)&lt;/Q&gt;&lt;R&gt;1&lt;/R&gt;&lt;C&gt;1&lt;/C&gt;&lt;D xsi:type="xsd:string"&gt;11:00 AM&lt;/D&gt;&lt;/FQL&gt;&lt;FQL&gt;&lt;Q&gt;C^CS_EVENT_DESC_N("E",1)&lt;/Q&gt;&lt;R&gt;1&lt;/R&gt;&lt;C&gt;1&lt;/C&gt;&lt;D xsi:type="xsd:string"&gt;Q1 2026 Earnings Call&lt;/D&gt;&lt;/FQL&gt;&lt;FQL&gt;&lt;Q&gt;BAC^CS_EVENT_DATEJ_N("E",1)&lt;/Q&gt;&lt;R&gt;1&lt;/R&gt;&lt;C&gt;1&lt;/C&gt;&lt;D xsi:type="xsd:long"&gt;46127&lt;/D&gt;&lt;/FQL&gt;&lt;FQL&gt;&lt;Q&gt;BAC^CS_EVENT_TIME_N("E",1)&lt;/Q&gt;&lt;R&gt;1&lt;/R&gt;&lt;C&gt;1&lt;/C&gt;&lt;D xsi:type="xsd:string"&gt;8:30 AM&lt;/D&gt;&lt;/FQL&gt;&lt;FQL&gt;&lt;Q&gt;BAC^CS_EVENT_DESC_N("E",1)&lt;/Q&gt;&lt;R&gt;1&lt;/R&gt;&lt;C&gt;1&lt;/C&gt;&lt;D xsi:type="xsd:string"&gt;Q1 2026 Earnings Call&lt;/D&gt;&lt;/FQL&gt;&lt;FQL&gt;&lt;Q&gt;MS^CS_EVENT_DATEJ_N("E",1)&lt;/Q&gt;&lt;R&gt;1&lt;/R&gt;&lt;C&gt;1&lt;/C&gt;&lt;D xsi:type="xsd:long"&gt;46127&lt;/D&gt;&lt;/FQL&gt;&lt;FQL&gt;&lt;Q&gt;MS^CS_EVENT_TIME_N("E",1)&lt;/Q&gt;&lt;R&gt;1&lt;/R&gt;&lt;C&gt;1&lt;/C&gt;&lt;D xsi:type="xsd:string"&gt;9:30 AM&lt;/D&gt;&lt;/FQL&gt;&lt;FQL&gt;&lt;Q&gt;MS^CS_EVENT_DESC_N("E",1)&lt;/Q&gt;&lt;R&gt;1&lt;/R&gt;&lt;C&gt;1&lt;/C&gt;&lt;D xsi:type="xsd:string"&gt;Q1 2026 Earnings Call&lt;/D&gt;&lt;/FQL&gt;&lt;FQL&gt;&lt;Q&gt;MTB^CS_EVENT_DATEJ_N("E",1)&lt;/Q&gt;&lt;R&gt;1&lt;/R&gt;&lt;C&gt;1&lt;/C&gt;&lt;D xsi:type="xsd:long"&gt;46127&lt;/D&gt;&lt;/FQL&gt;&lt;FQL&gt;&lt;Q&gt;MTB^CS_EVENT_TIME_N("E",1)&lt;/Q&gt;&lt;R&gt;1&lt;/R&gt;&lt;C&gt;1&lt;/C&gt;&lt;D xsi:type="xsd:string"&gt;8:00 AM&lt;/D&gt;&lt;/FQL&gt;&lt;FQL&gt;&lt;Q&gt;MTB^CS_EVENT_DESC_N("E",1)&lt;/Q&gt;&lt;R&gt;1&lt;/R&gt;&lt;C&gt;1&lt;/C&gt;&lt;D xsi:type="xsd:string"&gt;Q1 2026 Earnings Call&lt;/D&gt;&lt;/FQL&gt;&lt;FQL&gt;&lt;Q&gt;PNC^CS_EVENT_DATEJ_N("E",1)&lt;/Q&gt;&lt;R&gt;1&lt;/R&gt;&lt;C&gt;1&lt;/C&gt;&lt;D xsi:type="xsd:long"&gt;46127&lt;/D&gt;&lt;/FQL&gt;&lt;FQL&gt;&lt;Q&gt;PNC^CS_EVENT_TIME_N("E",1)&lt;/Q&gt;&lt;R&gt;1&lt;/R&gt;&lt;C&gt;1&lt;/C&gt;&lt;D xsi:type="xsd:string"&gt;10:00 AM&lt;/D&gt;&lt;/FQL&gt;&lt;FQL&gt;&lt;Q&gt;PNC^CS_EVENT_DESC_N("E",1)&lt;/Q&gt;&lt;R&gt;1&lt;/R&gt;&lt;C&gt;1&lt;/C&gt;&lt;D xsi:type="xsd:string"&gt;Q1 2026 Earnings Call&lt;/D&gt;&lt;/FQL&gt;&lt;FQL&gt;&lt;Q&gt;KEY^CS_EVENT_DATEJ_N("E",1)&lt;/Q&gt;&lt;R&gt;1&lt;/R&gt;&lt;C&gt;1&lt;/C&gt;&lt;D xsi:type="xsd:long"&gt;46128&lt;/D&gt;&lt;/FQL&gt;&lt;FQL&gt;&lt;Q&gt;KEY^CS_EVENT_TIME_N("E",1)&lt;/Q&gt;&lt;R&gt;1&lt;/R&gt;&lt;C&gt;1&lt;/C&gt;&lt;D xsi:type="xsd:string"&gt;10:00 AM&lt;/D&gt;&lt;/FQL&gt;&lt;FQL&gt;&lt;Q&gt;KEY^CS_EVENT_DESC_N("E",1)&lt;/Q&gt;&lt;R&gt;1&lt;/R&gt;&lt;C&gt;1&lt;/C&gt;&lt;D xsi:type="xsd:string"&gt;Q1 2026 Earnings Call&lt;/D&gt;&lt;/FQL&gt;&lt;FQL&gt;&lt;Q&gt;FCX^CS_EVENT_DATEJ_N("E",1)&lt;/Q&gt;&lt;R&gt;0&lt;/R&gt;&lt;C&gt;0&lt;/C&gt;&lt;/FQL&gt;&lt;FQL&gt;&lt;Q&gt;FCX^CS_EVENT_TIME_N("E",1)&lt;/Q&gt;&lt;R&gt;0&lt;/R&gt;&lt;C&gt;0&lt;/C&gt;&lt;/FQL&gt;&lt;FQL&gt;&lt;Q&gt;FCX^CS_EVENT_DESC_N("E",1)&lt;/Q&gt;&lt;R&gt;0&lt;/R&gt;&lt;C&gt;0&lt;/C&gt;&lt;/FQL&gt;&lt;FQL&gt;&lt;Q&gt;USB^CS_EVENT_DATEJ_N("E",1)&lt;/Q&gt;&lt;R&gt;1&lt;/R&gt;&lt;C&gt;1&lt;/C&gt;&lt;D xsi:type="xsd:long"&gt;46128&lt;/D&gt;&lt;/FQL&gt;&lt;FQL&gt;&lt;Q&gt;USB^CS_EVENT_TIME_N("E",1)&lt;/Q&gt;&lt;R&gt;1&lt;/R&gt;&lt;C&gt;1&lt;/C&gt;&lt;D xsi:type="xsd:string"&gt;8:00 AM&lt;/D&gt;&lt;/FQL&gt;&lt;FQL&gt;&lt;Q&gt;USB^CS_EVENT_DESC_N("E",1)&lt;/Q&gt;&lt;R&gt;1&lt;/R&gt;&lt;C&gt;1&lt;/C&gt;&lt;D xsi:type="xsd:string"&gt;Q1 2026 Earnings Call&lt;/D&gt;&lt;/FQL&gt;&lt;FQL&gt;&lt;Q&gt;POOL^CS_EVENT_DATEJ_N("E",1)&lt;/Q&gt;&lt;R&gt;0&lt;/R&gt;&lt;C&gt;0&lt;/C&gt;&lt;/FQL&gt;&lt;FQL&gt;&lt;Q&gt;POOL^CS_EVENT_TIME_N("E",1)&lt;/Q&gt;&lt;R&gt;0&lt;/R&gt;&lt;C&gt;0&lt;/C&gt;&lt;/FQL&gt;&lt;FQL&gt;&lt;Q&gt;POOL^CS_EVENT_DESC_N("E",1)&lt;/Q&gt;&lt;R&gt;0&lt;/R&gt;&lt;C&gt;0&lt;/C&gt;&lt;/FQL&gt;&lt;FQL&gt;&lt;Q&gt;SNA^CS_EVENT_DATEJ_N("E",1)&lt;/Q&gt;&lt;R&gt;0&lt;/R&gt;&lt;C&gt;0&lt;/C&gt;&lt;/FQL&gt;&lt;FQL&gt;&lt;Q&gt;SNA^CS_EVENT_TIME_N("E",1)&lt;/Q&gt;&lt;R&gt;0&lt;/R&gt;&lt;C&gt;0&lt;/C&gt;&lt;/FQL&gt;&lt;FQL&gt;&lt;Q&gt;SNA^CS_EVENT_DESC_N("E",1)&lt;/Q&gt;&lt;R&gt;0&lt;/R&gt;&lt;C&gt;0&lt;/C&gt;&lt;/FQL&gt;&lt;FQL&gt;&lt;Q&gt;MRSH^CS_EVENT_DATEJ_N("E",1)&lt;/Q&gt;&lt;R&gt;1&lt;/R&gt;&lt;C&gt;1&lt;/C&gt;&lt;D xsi:type="xsd:long"&gt;46128&lt;/D&gt;&lt;/FQL&gt;&lt;FQL&gt;&lt;Q&gt;MRSH^CS_EVENT_TIME_N("E",1)&lt;/Q&gt;&lt;R&gt;1&lt;/R&gt;&lt;C&gt;1&lt;/C&gt;&lt;D xsi:type="xsd:string"&gt;8:30 AM&lt;/D&gt;&lt;/FQL&gt;&lt;FQL&gt;&lt;Q&gt;MRSH^CS_EVENT_DESC_N("E",1)&lt;/Q&gt;&lt;R&gt;1&lt;/R&gt;&lt;C&gt;1&lt;/C&gt;&lt;D xsi:type="xsd:string"&gt;Q1 2026 Earnings Call&lt;/D&gt;&lt;/FQL&gt;&lt;FQL&gt;&lt;Q&gt;NFLX^CS_EVENT_DATEJ_N("E",1)&lt;/Q&gt;&lt;R&gt;1&lt;/R&gt;&lt;C&gt;1&lt;/C&gt;&lt;D xsi:type="xsd:long"&gt;46128&lt;/D&gt;&lt;/FQL&gt;&lt;FQL&gt;&lt;Q&gt;NFLX^CS_EVENT_TIME_N("E",1)&lt;/Q&gt;&lt;R&gt;1&lt;/R&gt;&lt;C&gt;1&lt;/C&gt;&lt;D xsi:type="xsd:string"&gt;4:45 PM&lt;/D&gt;&lt;/FQL&gt;&lt;FQL&gt;&lt;Q&gt;NFLX^CS_EVENT_DESC_N("E",1)&lt;/Q&gt;&lt;R&gt;1&lt;/R&gt;&lt;C&gt;1&lt;/C&gt;&lt;D xsi:type="xsd:string"&gt;Q1 2026 Earnings Call&lt;/D&gt;&lt;/FQL&gt;&lt;FQL&gt;&lt;Q&gt;PLD^CS_EVENT_DATEJ_N("E",1)&lt;/Q&gt;&lt;R&gt;1&lt;/R&gt;&lt;C&gt;1&lt;/C&gt;&lt;D xsi:type="xsd:long"&gt;46128&lt;/D&gt;&lt;/FQL&gt;&lt;FQL&gt;&lt;Q&gt;PLD^CS_EVENT_TIME_N("E",1)&lt;/Q&gt;&lt;R&gt;1&lt;/R&gt;&lt;C&gt;1&lt;/C&gt;&lt;D xsi:type="xsd:string"&gt;12:00 PM&lt;/D&gt;&lt;/FQL&gt;&lt;FQL&gt;&lt;Q&gt;PLD^CS_EVENT_DESC_N("E",1)&lt;/Q&gt;&lt;R&gt;1&lt;/R&gt;&lt;C&gt;1&lt;/C&gt;&lt;D xsi:type="xsd:string"&gt;Q1 2026 Earnings Call&lt;/D&gt;&lt;/FQL&gt;&lt;FQL&gt;&lt;Q&gt;ABT^CS_EVENT_DATEJ_N("E",1)&lt;/Q&gt;&lt;R&gt;1&lt;/R&gt;&lt;C&gt;1&lt;/C&gt;&lt;D xsi:type="xsd:long"&gt;46128&lt;/D&gt;&lt;/FQL&gt;&lt;FQL&gt;&lt;Q&gt;ABT^CS_EVENT_TIME_N("E",1)&lt;/Q&gt;&lt;R&gt;1&lt;/R&gt;&lt;C&gt;1&lt;/C&gt;&lt;D xsi:type="xsd:string"&gt;9:00 AM&lt;/D&gt;&lt;/FQL&gt;&lt;FQL&gt;&lt;Q&gt;ABT^CS_EVENT_DESC_N("E",1)&lt;/Q&gt;&lt;R&gt;1&lt;/R&gt;&lt;C&gt;1&lt;/C&gt;&lt;D xsi:type="xsd:string"&gt;Q1 2026 Earnings Call&lt;/D&gt;&lt;/FQL&gt;&lt;FQL&gt;&lt;Q&gt;PPG^CS_EVENT_DATEJ_N("E",1)&lt;/Q&gt;&lt;R&gt;0&lt;/R&gt;&lt;C&gt;0&lt;/C&gt;&lt;/FQL&gt;&lt;FQL&gt;&lt;Q&gt;PPG^CS_EVENT_TIME_N("E",1)&lt;/Q&gt;&lt;R&gt;0&lt;/R&gt;&lt;C&gt;0&lt;/C&gt;&lt;/FQL&gt;&lt;FQL&gt;&lt;Q&gt;PPG^CS_EVENT_DESC_N("E",1)&lt;/Q&gt;&lt;R&gt;0&lt;/R&gt;&lt;C&gt;0&lt;/C&gt;&lt;/FQL&gt;&lt;FQL&gt;&lt;Q&gt;BK^CS_EVENT_DATEJ_N("E",1)&lt;/Q&gt;&lt;R&gt;1&lt;/R&gt;&lt;C&gt;1&lt;/C&gt;&lt;D xsi:type="xsd:long"&gt;46128&lt;/D&gt;&lt;/FQL&gt;&lt;FQL&gt;&lt;Q&gt;BK^CS_EVENT_TIME_N("E",1)&lt;/Q&gt;&lt;R&gt;1&lt;/R&gt;&lt;C&gt;1&lt;/C&gt;&lt;D xsi:type="xsd:string"&gt;11:00 AM&lt;/D&gt;&lt;/FQL&gt;&lt;FQL&gt;&lt;Q&gt;BK^CS_EVENT_DESC_N("E",1)&lt;/Q&gt;&lt;R&gt;1&lt;/R&gt;&lt;C&gt;1&lt;/C&gt;&lt;D xsi:type="xsd:string"&gt;Q1 2026 Earnings Call&lt;/D&gt;&lt;/FQL&gt;&lt;FQL&gt;&lt;Q&gt;TRV^CS_EVENT_DATEJ_N("E",1)&lt;/Q&gt;&lt;R&gt;1&lt;/R&gt;&lt;C&gt;1&lt;/C&gt;&lt;D xsi:type="xsd:long"&gt;46128&lt;/D&gt;&lt;/FQL&gt;&lt;FQL&gt;&lt;Q&gt;TRV^CS_EVENT_TIME_N("E",1)&lt;/Q&gt;&lt;R&gt;1&lt;/R&gt;&lt;C&gt;1&lt;/C&gt;&lt;D xsi:type="xsd:string"&gt;9:30 AM&lt;/D&gt;&lt;/FQL&gt;&lt;FQL&gt;&lt;Q&gt;TRV^CS_EVENT_DESC_N("E",1)&lt;/Q&gt;&lt;R&gt;1&lt;/R&gt;&lt;C&gt;1&lt;/C&gt;&lt;D xsi:type="xsd:string"&gt;Q1 2026 Earnings Call&lt;/D&gt;&lt;/FQL&gt;&lt;FQL&gt;&lt;Q&gt;BX^CS_EVENT_DATEJ_N("E",1)&lt;/Q&gt;&lt;R&gt;0&lt;/R&gt;&lt;C&gt;0&lt;/C&gt;&lt;/FQL&gt;&lt;FQL&gt;&lt;Q&gt;BX^CS_EVENT_TIME_N("E",1)&lt;/Q&gt;&lt;R&gt;0&lt;/R&gt;&lt;C&gt;0&lt;/C&gt;&lt;/FQL&gt;&lt;FQL&gt;&lt;Q&gt;BX^CS_EVENT_DESC_N("E",1)&lt;/Q&gt;&lt;R&gt;0&lt;/R&gt;&lt;C&gt;0&lt;/C&gt;&lt;/FQL&gt;&lt;FQL&gt;&lt;Q&gt;STLD^CS_EVENT_DATEJ_N("E",1)&lt;/Q&gt;&lt;R&gt;1&lt;/R&gt;&lt;C&gt;1&lt;/C&gt;&lt;D xsi:type="xsd:long"&gt;46133&lt;/D&gt;&lt;/FQL&gt;&lt;FQL&gt;&lt;Q&gt;STLD^CS_EVENT_TIME_N("E",1)&lt;/Q&gt;&lt;R&gt;1&lt;/R&gt;&lt;C&gt;1&lt;/C&gt;&lt;D xsi:type="xsd:string"&gt;11:00 AM&lt;/D&gt;&lt;/FQL&gt;&lt;FQL&gt;&lt;Q&gt;STLD^CS_EVENT_DESC_N("E",1)&lt;/Q&gt;&lt;R&gt;1&lt;/R&gt;&lt;C&gt;1&lt;/C&gt;&lt;D xsi:type="xsd:string"&gt;Q1 2026 Earnings Call&lt;/D&gt;&lt;/FQL&gt;&lt;FQL&gt;&lt;Q&gt;SCHW^CS_EVENT_DATEJ_N("E",1)&lt;/Q&gt;&lt;R&gt;0&lt;/R&gt;&lt;C&gt;0&lt;/C&gt;&lt;/FQL&gt;&lt;FQL&gt;&lt;Q&gt;SCHW^CS_EVENT_TIME_N("E",1)&lt;/Q&gt;&lt;R&gt;0&lt;/R&gt;&lt;C&gt;0&lt;/C&gt;&lt;/FQL&gt;&lt;FQL&gt;&lt;Q&gt;SCHW^CS_EVENT_DESC_N("E",1)&lt;/Q&gt;&lt;R&gt;0&lt;/R&gt;&lt;C&gt;0&lt;/C&gt;&lt;/FQL&gt;&lt;FQL&gt;&lt;Q&gt;JBHT^CS_EVENT_DATEJ_N("E",1)&lt;/Q&gt;&lt;R&gt;0&lt;/R&gt;&lt;C&gt;0&lt;/C&gt;&lt;/FQL&gt;&lt;FQL&gt;&lt;Q&gt;JBHT^CS_EVENT_TIME_N("E",1)&lt;/Q&gt;&lt;R&gt;0&lt;/R&gt;&lt;C&gt;0&lt;/C&gt;&lt;/FQL&gt;&lt;FQL&gt;&lt;Q&gt;JBHT^CS_EVENT_DESC_N("E",1)&lt;/Q&gt;&lt;R&gt;0&lt;/R&gt;&lt;C&gt;0&lt;/C&gt;&lt;/FQL&gt;&lt;FQL&gt;&lt;Q&gt;RTX^CS_EVENT_DATEJ_N("E",1)&lt;/Q&gt;&lt;R&gt;1&lt;/R&gt;&lt;C&gt;1&lt;/C&gt;&lt;D xsi:type="xsd:long"&gt;46133&lt;/D&gt;&lt;/FQL&gt;&lt;FQL&gt;&lt;Q&gt;RTX^CS_EVENT_TIME_N("E",1)&lt;/Q&gt;&lt;R&gt;1&lt;/R&gt;&lt;C&gt;1&lt;/C&gt;&lt;D xsi:type="xsd:string"&gt;8:30 AM&lt;/D&gt;&lt;/FQL&gt;&lt;FQL&gt;&lt;Q&gt;RTX^CS_EVENT_DESC_N("E",1)&lt;/Q&gt;&lt;R&gt;1&lt;/R&gt;&lt;C&gt;1&lt;/C&gt;&lt;D xsi:type="xsd:string"&gt;Q1 2026 Earnings Call&lt;/D&gt;&lt;/FQL&gt;&lt;FQL&gt;&lt;Q&gt;LMT^CS_EVENT_DATEJ_N("E",1)&lt;/Q&gt;&lt;R&gt;0&lt;/R&gt;&lt;C&gt;0&lt;/C&gt;&lt;/FQL&gt;&lt;FQL&gt;&lt;Q&gt;LMT^CS_EVENT_TIME_N("E",1)&lt;/Q&gt;&lt;R&gt;0&lt;/R&gt;&lt;C&gt;0&lt;/C&gt;&lt;/FQL&gt;&lt;FQL&gt;&lt;Q&gt;LMT^CS_EVENT_DESC_N("E",1)&lt;/Q&gt;&lt;R&gt;0&lt;/R&gt;&lt;C&gt;0&lt;/C&gt;&lt;/FQL&gt;&lt;FQL&gt;&lt;Q&gt;DHR^CS_EVENT_DATEJ_N("E",1)&lt;/Q&gt;&lt;R&gt;1&lt;/R&gt;&lt;C&gt;1&lt;/C&gt;&lt;D xsi:type="xsd:long"&gt;46133&lt;/D&gt;&lt;/FQL&gt;&lt;FQL&gt;&lt;Q&gt;DHR^CS_EVENT_TIME_N("E",1)&lt;/Q&gt;&lt;R&gt;1&lt;/R&gt;&lt;C&gt;1&lt;/C&gt;&lt;D xsi:type="xsd:string"&gt;8:00 AM&lt;/D&gt;&lt;/FQL&gt;&lt;FQL&gt;&lt;Q&gt;DHR^CS_EVENT_DESC_N("E",1)&lt;/Q&gt;&lt;R&gt;1&lt;/R&gt;&lt;C&gt;1&lt;/C&gt;&lt;D xsi:type="xsd:string"&gt;Q1 2026 Earnings Call&lt;/D&gt;&lt;/FQL&gt;&lt;FQL&gt;&lt;Q&gt;UNH^CS_EVENT_DATEJ_N("E",1)&lt;/Q&gt;&lt;R&gt;1&lt;/R&gt;&lt;C&gt;1&lt;/C&gt;&lt;D xsi:type="xsd:long"&gt;46133&lt;/D&gt;&lt;/FQL&gt;&lt;FQL&gt;&lt;Q&gt;UNH^CS_EVENT_TIME_N("E",1)&lt;/Q&gt;&lt;R&gt;1&lt;/R&gt;&lt;C&gt;1&lt;/C&gt;&lt;D xsi:type="xsd:string"&gt;8:00 AM&lt;/D&gt;&lt;/FQL&gt;&lt;FQL&gt;&lt;Q&gt;UNH^CS_EVENT_DESC_N("E",1)&lt;/Q&gt;&lt;R&gt;1&lt;/R&gt;&lt;C&gt;1&lt;/C&gt;&lt;D xsi:type="xsd:string"&gt;Q1 2026 Earnings Call&lt;/D&gt;&lt;/FQL&gt;&lt;FQL&gt;&lt;Q&gt;HAL^CS_EVENT_DATEJ_N("E",1)&lt;/Q&gt;&lt;R&gt;1&lt;/R&gt;&lt;C&gt;1&lt;/C&gt;&lt;D xsi:type="xsd:long"&gt;46133&lt;/D&gt;&lt;/FQL&gt;&lt;FQL&gt;&lt;Q&gt;HAL^CS_EVENT_TIME_N("E",1)&lt;/Q&gt;&lt;R&gt;1&lt;/R&gt;&lt;C&gt;1&lt;/C&gt;&lt;D xsi:type="xsd:string"&gt;9:00 AM&lt;/D&gt;&lt;/FQL&gt;&lt;FQL&gt;&lt;Q&gt;HAL^CS_EVENT_DESC_N("E",1)&lt;/Q&gt;&lt;R&gt;1&lt;/R&gt;&lt;C&gt;1&lt;/C&gt;&lt;D xsi:type="xsd:string"&gt;Q1 2026 Earnings Call&lt;/D&gt;&lt;/FQL&gt;&lt;FQL&gt;&lt;Q&gt;WRB^CS_EVENT_DATEJ_N("E",1)&lt;/Q&gt;&lt;R&gt;1&lt;/R&gt;&lt;C&gt;1&lt;/C&gt;&lt;D xsi:type="xsd:long"&gt;46133&lt;/D&gt;&lt;/FQL&gt;&lt;FQL&gt;&lt;Q&gt;WRB^CS_EVENT_TIME_N("E",1)&lt;/Q&gt;&lt;R&gt;1&lt;/R&gt;&lt;C&gt;1&lt;/C&gt;&lt;D xsi:type="xsd:string"&gt;5:00 PM&lt;/D&gt;&lt;/FQL&gt;&lt;FQL&gt;&lt;Q&gt;WRB^CS_EVENT_DESC_N("E",1)&lt;/Q&gt;&lt;R&gt;1&lt;/R&gt;&lt;C&gt;1&lt;/C&gt;&lt;D xsi:type="xsd:string"&gt;Q1 2026 Earnings Call&lt;/D&gt;&lt;/FQL&gt;&lt;FQL&gt;&lt;Q&gt;COF^CS_EVENT_DATEJ_N("E",1)&lt;/Q&gt;&lt;R&gt;1&lt;/R&gt;&lt;C&gt;1&lt;/C&gt;&lt;D xsi:type="xsd:long"&gt;46133&lt;/D&gt;&lt;/FQL&gt;&lt;FQL&gt;&lt;Q&gt;COF^CS_EVENT_TIME_N("E",1)&lt;/Q&gt;&lt;R&gt;1&lt;/R&gt;&lt;C&gt;1&lt;/C&gt;&lt;D xsi:type="xsd:string"&gt;5:00 PM&lt;/D&gt;&lt;/FQL&gt;&lt;FQL&gt;&lt;Q&gt;COF^CS_EVENT_DESC_N("E",1)&lt;/Q&gt;&lt;R&gt;1&lt;/R&gt;&lt;C&gt;1&lt;/C&gt;&lt;D xsi:type="xsd:string"&gt;Q1 2026 Earnings Call&lt;/D&gt;&lt;/FQL&gt;&lt;FQL&gt;&lt;Q&gt;TSCO^CS_EVENT_DATEJ_N("E",1)&lt;/Q&gt;&lt;R&gt;1&lt;/R&gt;&lt;C&gt;1&lt;/C&gt;&lt;D xsi:type="xsd:long"&gt;46133&lt;/D&gt;&lt;/FQL&gt;&lt;FQL&gt;&lt;Q&gt;TSCO^CS_EVENT_TIME_N("E",1)&lt;/Q&gt;&lt;R&gt;1&lt;/R&gt;&lt;C&gt;1&lt;/C&gt;&lt;D xsi:type="xsd:string"&gt;10:00 AM&lt;/D&gt;&lt;/FQL&gt;&lt;FQL&gt;&lt;Q&gt;TSCO^CS_EVENT_DESC_N("E",1)&lt;/Q&gt;&lt;R&gt;1&lt;/R&gt;&lt;C&gt;1&lt;/C&gt;&lt;D xsi:type="xsd:string"&gt;Q1 2026 Earnings Call&lt;/D&gt;&lt;/FQL&gt;&lt;FQL&gt;&lt;Q&gt;GE^CS_EVENT_DATEJ_N("E",1)&lt;/Q&gt;&lt;R&gt;1&lt;/R&gt;&lt;C&gt;1&lt;/C&gt;&lt;D xsi:type="xsd:long"&gt;46133&lt;/D&gt;&lt;/FQL&gt;&lt;FQL&gt;&lt;Q&gt;GE^CS_EVENT_TIME_N("E",1)&lt;/Q&gt;&lt;R&gt;1&lt;/R&gt;&lt;C&gt;1&lt;/C&gt;&lt;D xsi:type="xsd:string"&gt;7:30 AM&lt;/D&gt;&lt;/FQL&gt;&lt;FQL&gt;&lt;Q&gt;GE^CS_EVENT_DESC_N("E",1)&lt;/Q&gt;&lt;R&gt;1&lt;/R&gt;&lt;C&gt;1&lt;/C&gt;&lt;D xsi:type="xsd:string"&gt;Q1 2026 Earnings Call&lt;/D&gt;&lt;/FQL&gt;&lt;FQL&gt;&lt;Q&gt;GPC^CS_EVENT_DATEJ_N("E",1)&lt;/Q&gt;&lt;R&gt;1&lt;/R&gt;&lt;C&gt;1&lt;/C&gt;&lt;D xsi:type="xsd:long"&gt;46133&lt;/D&gt;&lt;/FQL&gt;&lt;FQL&gt;&lt;Q&gt;GPC^CS_EVENT_TIME_N("E",1)&lt;/Q&gt;&lt;R&gt;1&lt;/R&gt;&lt;C&gt;1&lt;/C&gt;&lt;D xsi:type="xsd:string"&gt;8:30 AM&lt;/D&gt;&lt;/FQL&gt;&lt;FQL&gt;&lt;Q&gt;GPC^CS_EVENT_DESC_N("E",1)&lt;/Q&gt;&lt;R&gt;1&lt;/R&gt;&lt;C&gt;1&lt;/C&gt;&lt;D xsi:type="xsd:string"&gt;Q1 2026 Earnings Call&lt;/D&gt;&lt;/FQL&gt;&lt;FQL&gt;&lt;Q&gt;NOC^CS_EVENT_DATEJ_N("E",1)&lt;/Q&gt;&lt;R&gt;1&lt;/R&gt;&lt;C&gt;1&lt;/C&gt;&lt;D xsi:type="xsd:long"&gt;46133&lt;/D&gt;&lt;/FQL&gt;&lt;FQL&gt;&lt;Q&gt;NOC^CS_EVENT_TIME_N("E",1)&lt;/Q&gt;&lt;R&gt;1&lt;/R&gt;&lt;C&gt;1&lt;/C&gt;&lt;D xsi:type="xsd:string"&gt;9:30 AM&lt;/D&gt;&lt;/FQL&gt;&lt;FQL&gt;&lt;Q&gt;NOC^CS_EVENT_DESC_N("E",1)&lt;/Q&gt;&lt;R&gt;1&lt;/R&gt;&lt;C&gt;1&lt;/C&gt;&lt;D xsi:type="xsd:string"&gt;Q1 2026 Earnings Call&lt;/D&gt;&lt;/FQL&gt;&lt;FQL&gt;&lt;Q&gt;DGX^CS_EVENT_DATEJ_N("E",1)&lt;/Q&gt;&lt;R&gt;1&lt;/R&gt;&lt;C&gt;1&lt;/C&gt;&lt;D xsi:type="xsd:long"&gt;46133&lt;/D&gt;&lt;/FQL&gt;&lt;FQL&gt;&lt;Q&gt;DGX^CS_EVENT_TIME_N("E",1)&lt;/Q&gt;&lt;R&gt;1&lt;/R&gt;&lt;C&gt;1&lt;/C&gt;&lt;D xsi:type="xsd:string"&gt;8:30 AM&lt;/D&gt;&lt;/FQL&gt;&lt;FQL&gt;&lt;Q&gt;DGX^CS_EVENT_DESC_N("E",1)&lt;/Q&gt;&lt;R&gt;1&lt;/R&gt;&lt;C&gt;1&lt;/C&gt;&lt;D xsi:type="xsd:string"&gt;Q1 2026 Earnings Call&lt;/D&gt;&lt;/FQL&gt;&lt;FQL&gt;&lt;Q&gt;DHI^CS_EVENT_DATEJ_N("E",1)&lt;/Q&gt;&lt;R&gt;1&lt;/R&gt;&lt;C&gt;1&lt;/C&gt;&lt;D xsi:type="xsd:long"&gt;46133&lt;/D&gt;&lt;/FQL&gt;&lt;FQL&gt;&lt;Q&gt;DHI^CS_EVENT_TIME_N("E",1)&lt;/Q&gt;&lt;R&gt;1&lt;/R&gt;&lt;C&gt;1&lt;/C&gt;&lt;D xsi:type="xsd:string"&gt;8:30 AM&lt;/D&gt;&lt;/FQL&gt;&lt;FQL&gt;&lt;Q&gt;DHI^CS_EVENT_DESC_N("E",1)&lt;/Q&gt;&lt;R&gt;1&lt;/R&gt;&lt;C&gt;1&lt;/C&gt;&lt;D xsi:type="xsd:string"&gt;Q2 2026 Earnings Call&lt;/D&gt;&lt;/FQL&gt;&lt;FQL&gt;&lt;Q&gt;SPGI^CS_EVENT_TIME_N("ER",1)&lt;/Q&gt;&lt;R&gt;1&lt;/R&gt;&lt;C&gt;1&lt;/C&gt;&lt;D xsi:type="xsd:string"&gt;7:15 AM&lt;/D&gt;&lt;/FQL&gt;&lt;FQL&gt;&lt;Q&gt;SPGI^CS_EVENT_DESC_N("ER",1)&lt;/Q&gt;&lt;R&gt;1&lt;/R&gt;&lt;C&gt;1&lt;/C&gt;&lt;D xsi:type="xsd:string"&gt;Q1 2026 Earnings Release&lt;/D&gt;&lt;/FQL&gt;&lt;FQL&gt;&lt;Q&gt;SHW^CS_EVENT_TIME_N("ER",1)&lt;/Q&gt;&lt;R&gt;1&lt;/R&gt;&lt;C&gt;1&lt;/C&gt;&lt;D xsi:type="xsd:string"&gt;Unspecified&lt;/D&gt;&lt;/FQL&gt;&lt;FQL&gt;&lt;Q&gt;SHW^CS_EVENT_DESC_N("ER",1)&lt;/Q&gt;&lt;R&gt;1&lt;/R&gt;&lt;C&gt;1&lt;/C&gt;&lt;D xsi:type="xsd:string"&gt;Q1 2026 Earnings Release (Projected)&lt;/D&gt;&lt;/FQL&gt;&lt;FQL&gt;&lt;Q&gt;PKG^CS_EVENT_DATEJ_N("ER",1)&lt;/Q&gt;&lt;R&gt;1&lt;/R&gt;&lt;C&gt;1&lt;/C&gt;&lt;D xsi:type="xsd:long"&gt;46134&lt;/D&gt;&lt;/FQL&gt;&lt;FQL&gt;&lt;Q&gt;KMI^CS_EVENT_DATEJ_N("ER",1)&lt;/Q&gt;&lt;R&gt;1&lt;/R&gt;&lt;C&gt;1&lt;/C&gt;&lt;D xsi:type="xsd:long"&gt;46134&lt;/D&gt;&lt;/FQL&gt;&lt;FQL&gt;&lt;Q&gt;NDAQ^CS_EVENT_DATEJ_N("ER",1)&lt;/Q&gt;&lt;R&gt;1&lt;/R&gt;&lt;C&gt;1&lt;/C&gt;&lt;D xsi:type="xsd:long"&gt;46134&lt;/D&gt;&lt;/FQL&gt;&lt;FQL&gt;&lt;Q&gt;ELV^CS_EVENT_DATEJ_N("ER",1)&lt;/Q&gt;&lt;R&gt;1&lt;/R&gt;&lt;C&gt;1&lt;/C&gt;&lt;D xsi:type="xsd:long"&gt;46134&lt;/D&gt;&lt;/FQL&gt;&lt;FQL&gt;&lt;Q&gt;CME^CS_EVENT_DATEJ_N("ER",1)&lt;/Q&gt;&lt;R&gt;1&lt;/R&gt;&lt;C&gt;1&lt;/C&gt;&lt;D xsi:type="xsd:long"&gt;46134&lt;/D&gt;&lt;/FQL&gt;&lt;FQL&gt;&lt;Q&gt;GPC^CS_EVENT_TIME_N("ER",1)&lt;/Q&gt;&lt;R&gt;1&lt;/R&gt;&lt;C&gt;1&lt;/C&gt;&lt;D xsi:type="xsd:string"&gt;6:55 AM&lt;/D&gt;&lt;/FQL&gt;&lt;FQL&gt;&lt;Q&gt;GPC^CS_EVENT_DESC_N("ER",1)&lt;/Q&gt;&lt;R&gt;1&lt;/R&gt;&lt;C&gt;1&lt;/C&gt;&lt;D xsi:type="xsd:string"&gt;Q1 2026 Earnings Release&lt;/D&gt;&lt;/FQL&gt;&lt;FQL&gt;&lt;Q&gt;NOC^CS_EVENT_TIME_N("ER",1)&lt;/Q&gt;&lt;R&gt;1&lt;/R&gt;&lt;C&gt;1&lt;/C&gt;&lt;D xsi:type="xsd:string"&gt;Before Market&lt;/D&gt;&lt;/FQL&gt;&lt;FQL&gt;&lt;Q&gt;NOC^CS_EVENT_DESC_N("ER",1)&lt;/Q&gt;&lt;R&gt;1&lt;/R&gt;&lt;C&gt;1&lt;/C&gt;&lt;D xsi:type="xsd:string"&gt;Q1 2026 Earnings Release&lt;/D&gt;&lt;/FQL&gt;&lt;FQL&gt;&lt;Q&gt;DGX^CS_EVENT_TIME_N("ER",1)&lt;/Q&gt;&lt;R&gt;1&lt;/R&gt;&lt;C&gt;1&lt;/C&gt;&lt;D xsi:type="xsd:string"&gt;Before Market&lt;/D&gt;&lt;/FQL&gt;&lt;FQL&gt;&lt;Q&gt;DGX^CS_EVENT_DESC_N("ER",1)&lt;/Q&gt;&lt;R&gt;1&lt;/R&gt;&lt;C&gt;1&lt;/C&gt;&lt;D xsi:type="xsd:string"&gt;Q1 2026 Earnings Release&lt;/D&gt;&lt;/FQL&gt;&lt;FQL&gt;&lt;Q&gt;DHI^CS_EVENT_TIME_N("ER",1)&lt;/Q&gt;&lt;R&gt;1&lt;/R&gt;&lt;C&gt;1&lt;/C&gt;&lt;D xsi:type="xsd:string"&gt;Before Market&lt;/D&gt;&lt;/FQL&gt;&lt;FQL&gt;&lt;Q&gt;DHI^CS_EVENT_DESC_N("ER",1)&lt;/Q&gt;&lt;R&gt;1&lt;/R&gt;&lt;C&gt;1&lt;/C&gt;&lt;D xsi:type="xsd:string"&gt;Q2 2026 Earnings Release&lt;/D&gt;&lt;/FQL&gt;&lt;FQL&gt;&lt;Q&gt;OMC^CS_EVENT_TIME_N("ER",1)&lt;/Q&gt;&lt;R&gt;1&lt;/R&gt;&lt;C&gt;1&lt;/C&gt;&lt;D xsi:type="xsd:string"&gt;Unspecified&lt;/D&gt;&lt;/FQL&gt;&lt;FQL&gt;&lt;Q&gt;OMC^CS_EVENT_DESC_N("ER",1)&lt;/Q&gt;&lt;R&gt;1&lt;/R&gt;&lt;C&gt;1&lt;/C&gt;&lt;D xsi:type="xsd:string"&gt;Q1 2026 Earnings Release (Projected)&lt;/D&gt;&lt;/FQL&gt;&lt;FQL&gt;&lt;Q&gt;ISRG^CS_EVENT_TIME_N("ER",1)&lt;/Q&gt;&lt;R&gt;1&lt;/R&gt;&lt;C&gt;1&lt;/C&gt;&lt;D xsi:type="xsd:string"&gt;Unspecified&lt;/D&gt;&lt;/FQL&gt;&lt;FQL&gt;&lt;Q&gt;ISRG^CS_EVENT_DESC_N("ER",1)&lt;/Q&gt;&lt;R&gt;1&lt;/R&gt;&lt;C&gt;1&lt;/C&gt;&lt;D xsi:type="xsd:string"&gt;Q1 2026 Earnings Release (Projected)&lt;/D&gt;&lt;/FQL&gt;&lt;FQL&gt;&lt;Q&gt;NTRS^CS_EVENT_TIME_N("ER",1)&lt;/Q&gt;&lt;R&gt;1&lt;/R&gt;&lt;C&gt;1&lt;/C&gt;&lt;D xsi:type="xsd:string"&gt;Before Market&lt;/D&gt;&lt;/FQL&gt;&lt;FQL&gt;&lt;Q&gt;NTRS^CS_EVENT_DESC_N("ER",1)&lt;/Q&gt;&lt;R&gt;1&lt;/R&gt;&lt;C&gt;1&lt;/C&gt;&lt;D xsi:type="xsd:string"&gt;Q1 2026 Earnings Release&lt;/D&gt;&lt;/FQL&gt;&lt;FQL&gt;&lt;Q&gt;WSM^CS_EVENT_DATEJ_N("E",1)&lt;/Q&gt;&lt;R&gt;0&lt;/R&gt;&lt;C&gt;0&lt;/C&gt;&lt;/FQL&gt;&lt;FQL&gt;&lt;Q&gt;WSM^CS_EVENT_TIME_N("E",1)&lt;/Q&gt;&lt;R&gt;0&lt;/R&gt;&lt;C&gt;0&lt;/C&gt;&lt;/FQL&gt;&lt;FQL&gt;&lt;Q&gt;BBY^CS_EVENT_DATEJ_N("E",1)&lt;/Q&gt;&lt;R&gt;0&lt;/R&gt;&lt;C&gt;0&lt;/C&gt;&lt;/FQL&gt;&lt;FQL&gt;&lt;Q&gt;BBY^CS_EVENT_TIME_N("E",1)&lt;/Q&gt;&lt;R&gt;0&lt;/R&gt;&lt;C&gt;0&lt;/C&gt;&lt;/FQL&gt;&lt;FQL&gt;&lt;Q&gt;LOW^CS_EVENT_DATEJ_N("E",1)&lt;/Q&gt;&lt;R&gt;0&lt;/R&gt;&lt;C&gt;0&lt;/C&gt;&lt;/FQL&gt;&lt;FQL&gt;&lt;Q&gt;LOW^CS_EVENT_TIME_N("E",1)&lt;/Q&gt;&lt;R&gt;0&lt;/R&gt;&lt;C&gt;0&lt;/C&gt;&lt;/FQL&gt;&lt;FQL&gt;&lt;Q&gt;EQR^CS_EVENT_DATEJ_N("ER",1)&lt;/Q&gt;&lt;R&gt;1&lt;/R&gt;&lt;C&gt;1&lt;/C&gt;&lt;D xsi:type="xsd:long"&gt;46140&lt;/D&gt;&lt;/FQL&gt;&lt;FQL&gt;&lt;Q&gt;PCAR^CS_EVENT_DATEJ_N("ER",1)&lt;/Q&gt;&lt;R&gt;1&lt;/R&gt;&lt;C&gt;1&lt;/C&gt;&lt;D xsi:type="xsd:long"&gt;46140&lt;/D&gt;&lt;/FQL&gt;&lt;FQL&gt;&lt;Q&gt;SPGI^CS_EVENT_DATEJ_N("ER",1)&lt;/Q&gt;&lt;R&gt;1&lt;/R&gt;&lt;C&gt;1&lt;/C&gt;&lt;D xsi:type="xsd:long"&gt;46140&lt;/D&gt;&lt;/FQL&gt;&lt;FQL&gt;&lt;Q&gt;SHW^CS_EVENT_DATEJ_N("ER",1)&lt;/Q&gt;&lt;R&gt;1&lt;/R&gt;&lt;C&gt;1&lt;/C&gt;&lt;D xsi:type="xsd:long"&gt;46140&lt;/D&gt;&lt;/FQL&gt;&lt;FQL&gt;&lt;Q&gt;PKG^CS_EVENT_TIME_N("ER",1)&lt;/Q&gt;&lt;R&gt;1&lt;/R&gt;&lt;C&gt;1&lt;/C&gt;&lt;D xsi:type="xsd:string"&gt;After Market&lt;/D&gt;&lt;/FQL&gt;&lt;FQL&gt;&lt;Q&gt;SYF^CS_EVENT_DATEJ_N("ER",1)&lt;/Q&gt;&lt;R&gt;1&lt;/R&gt;&lt;C&gt;1&lt;/C&gt;&lt;D xsi:type="xsd:long"&gt;46133&lt;/D&gt;&lt;/FQL&gt;&lt;FQL&gt;&lt;Q&gt;SYF^CS_EVENT_TIME_N("ER",1)&lt;/Q&gt;&lt;R&gt;1&lt;/R&gt;&lt;C&gt;1&lt;/C&gt;&lt;D xsi:type="xsd:string"&gt;6:00 AM&lt;/D&gt;&lt;/FQL&gt;&lt;FQL&gt;&lt;Q&gt;BSX^CS_EVENT_DATEJ_N("ER",1)&lt;/Q&gt;&lt;R&gt;1&lt;/R&gt;&lt;C&gt;1&lt;/C&gt;&lt;D xsi:type="xsd:long"&gt;46134&lt;/D&gt;&lt;/FQL&gt;&lt;FQL&gt;&lt;Q&gt;BSX^CS_EVENT_TIME_N("ER",1)&lt;/Q&gt;&lt;R&gt;1&lt;/R&gt;&lt;C&gt;1&lt;/C&gt;&lt;D xsi:type="xsd:string"&gt;6:30 AM&lt;/D&gt;&lt;/FQL&gt;&lt;FQL&gt;&lt;Q&gt;TXN^CS_EVENT_DATEJ_N("ER",1)&lt;/Q&gt;&lt;R&gt;1&lt;/R&gt;&lt;C&gt;1&lt;/C&gt;&lt;D xsi:type="xsd:long"&gt;46140&lt;/D&gt;&lt;/FQL&gt;&lt;FQL&gt;&lt;Q&gt;TXN^CS_EVENT_TIME_N("ER",1)&lt;/Q&gt;&lt;R&gt;1&lt;/R&gt;&lt;C&gt;1&lt;/C&gt;&lt;D xsi:type="xsd:string"&gt;Unspecified&lt;/D&gt;&lt;/FQL&gt;&lt;FQL&gt;&lt;Q&gt;ESS^CS_EVENT_DATEJ_N("ER",1)&lt;/Q&gt;&lt;R&gt;1&lt;/R&gt;&lt;C&gt;1&lt;/C&gt;&lt;D xsi:type="xsd:long"&gt;46140&lt;/D&gt;&lt;/FQL&gt;&lt;FQL&gt;&lt;Q&gt;ESS^CS_EVENT_TIME_N("ER",1)&lt;/Q&gt;&lt;R&gt;1&lt;/R&gt;&lt;C&gt;1&lt;/C&gt;&lt;D xsi:type="xsd:string"&gt;Unspecified&lt;/D&gt;&lt;/FQL&gt;&lt;FQL&gt;&lt;Q&gt;CNC^CS_EVENT_DATEJ_N("ER",1)&lt;/Q&gt;&lt;R&gt;1&lt;/R&gt;&lt;C&gt;1&lt;/C&gt;&lt;D xsi:type="xsd:long"&gt;46140&lt;/D&gt;&lt;/FQL&gt;&lt;FQL&gt;&lt;Q&gt;CNC^CS_EVENT_TIME_N("ER",1)&lt;/Q&gt;&lt;R&gt;1&lt;/R&gt;&lt;C&gt;1&lt;/C&gt;&lt;D xsi:type="xsd:string"&gt;6:00 AM&lt;/D&gt;&lt;/FQL&gt;&lt;FQL&gt;&lt;Q&gt;WM^CS_EVENT_DATEJ_N("ER",1)&lt;/Q&gt;&lt;R&gt;1&lt;/R&gt;&lt;C&gt;1&lt;/C&gt;&lt;D xsi:type="xsd:long"&gt;46140&lt;/D&gt;&lt;/FQL&gt;&lt;FQL&gt;&lt;Q&gt;WM^CS_EVENT_TIME_N("ER",1)&lt;/Q&gt;&lt;R&gt;1&lt;/R&gt;&lt;C&gt;1&lt;/C&gt;&lt;D xsi:type="xsd:string"&gt;After Market&lt;/D&gt;&lt;/FQL&gt;&lt;FQL&gt;&lt;Q&gt;GPC^CS_EVENT_DATEJ_N("ER",1)&lt;/Q&gt;&lt;R&gt;1&lt;/R&gt;&lt;C&gt;1&lt;/C&gt;&lt;D xsi:type="xsd:long"&gt;46133&lt;/D&gt;&lt;/FQL&gt;&lt;FQL&gt;&lt;Q&gt;NOC^CS_EVENT_DATEJ_N("ER",1)&lt;/Q&gt;&lt;R&gt;1&lt;/R&gt;&lt;C&gt;1&lt;/C&gt;&lt;D xsi:type="xsd:long"&gt;46133&lt;/D&gt;&lt;/FQL&gt;&lt;FQL&gt;&lt;Q&gt;DGX^CS_EVENT_DATEJ_N("ER",1)&lt;/Q&gt;&lt;R&gt;1&lt;/R&gt;&lt;C&gt;1&lt;/C&gt;&lt;D xsi:type="xsd:long"&gt;46133&lt;/D&gt;&lt;/FQL&gt;&lt;FQL&gt;&lt;Q&gt;DHI^CS_EVENT_DATEJ_N("ER",1)&lt;/Q&gt;&lt;R&gt;1&lt;/R&gt;&lt;C&gt;1&lt;/C&gt;&lt;D xsi:type="xsd:long"&gt;46133&lt;/D&gt;&lt;/FQL&gt;&lt;FQL&gt;&lt;Q&gt;OMC^CS_EVENT_DATEJ_N("ER",1)&lt;/Q&gt;&lt;R&gt;1&lt;/R&gt;&lt;C&gt;1&lt;/C&gt;&lt;D xsi:type="xsd:long"&gt;46133&lt;/D&gt;&lt;/FQL&gt;&lt;FQL&gt;&lt;Q&gt;ISRG^CS_EVENT_DATEJ_N("ER",1)&lt;/Q&gt;&lt;R&gt;1&lt;/R&gt;&lt;C&gt;1&lt;/C&gt;&lt;D xsi:type="xsd:long"&gt;46133&lt;/D&gt;&lt;/FQL&gt;&lt;FQL&gt;&lt;Q&gt;NTRS^CS_EVENT_DATEJ_N("ER",1)&lt;/Q&gt;&lt;R&gt;1&lt;/R&gt;&lt;C&gt;1&lt;/C&gt;&lt;D xsi:type="xsd:long"&gt;46133&lt;/D&gt;&lt;/FQL&gt;&lt;FQL&gt;&lt;Q&gt;UAL^CS_EVENT_DATEJ_N("ER",1)&lt;/Q&gt;&lt;R&gt;1&lt;/R&gt;&lt;C&gt;1&lt;/C&gt;&lt;D xsi:type="xsd:long"&gt;46133&lt;/D&gt;&lt;/FQL&gt;&lt;FQL&gt;&lt;Q&gt;IBKR^CS_EVENT_DATEJ_N("ER",1)&lt;/Q&gt;&lt;R&gt;1&lt;/R&gt;&lt;C&gt;1&lt;/C&gt;&lt;D xsi:type="xsd:long"&gt;46133&lt;/D&gt;&lt;/FQL&gt;&lt;FQL&gt;&lt;Q&gt;CB^CS_EVENT_DATEJ_N("ER",1)&lt;/Q&gt;&lt;R&gt;1&lt;/R&gt;&lt;C&gt;1&lt;/C&gt;&lt;D xsi:type="xsd:long"&gt;46133&lt;/D&gt;&lt;/FQL&gt;&lt;FQL&gt;&lt;Q&gt;UAL^CS_EVENT_DESC_N("ER",1)&lt;/Q&gt;&lt;R&gt;1&lt;/R&gt;&lt;C&gt;1&lt;/C&gt;&lt;D xsi:type="xsd:string"&gt;Q1 2026 Earnings Release (Projected)&lt;/D&gt;&lt;/FQL&gt;&lt;FQL&gt;&lt;Q&gt;IBKR^CS_EVENT_DESC_N("ER",1)&lt;/Q&gt;&lt;R&gt;1&lt;/R&gt;&lt;C&gt;1&lt;/C&gt;&lt;D xsi:type="xsd:string"&gt;Q1 2026 Earnings Release&lt;/D&gt;&lt;/FQL&gt;&lt;FQL&gt;&lt;Q&gt;CB^CS_EVENT_DESC_N("ER",1)&lt;/Q&gt;&lt;R&gt;1&lt;/R&gt;&lt;C&gt;1&lt;/C&gt;&lt;D xsi:type="xsd:string"&gt;Q1 2026 Earnings Release&lt;/D&gt;&lt;/FQL&gt;&lt;FQL&gt;&lt;Q&gt;SYF^CS_EVENT_DESC_N("ER",1)&lt;/Q&gt;&lt;R&gt;1&lt;/R&gt;&lt;C&gt;1&lt;/C&gt;&lt;D xsi:type="xsd:string"&gt;Q1 2026 Earnings Release&lt;/D&gt;&lt;/FQL&gt;&lt;FQL&gt;&lt;Q&gt;BSX^CS_EVENT_DESC_N("ER",1)&lt;/Q&gt;&lt;R&gt;1&lt;/R&gt;&lt;C&gt;1&lt;/C&gt;&lt;D xsi:type="xsd:string"&gt;Q1 2026 Earnings Release&lt;/D&gt;&lt;/FQL&gt;&lt;FQL&gt;&lt;Q&gt;BA^CS_EVENT_DESC_N("ER",1)&lt;/Q&gt;&lt;R&gt;1&lt;/R&gt;&lt;C&gt;1&lt;/C&gt;&lt;D xsi:type="xsd:string"&gt;Q1 2026 Earnings Release&lt;/D&gt;&lt;/FQL&gt;&lt;FQL&gt;&lt;Q&gt;MAS^CS_EVENT_DESC_N("ER",1)&lt;/Q&gt;&lt;R&gt;1&lt;/R&gt;&lt;C&gt;1&lt;/C&gt;&lt;D xsi:type="xsd:string"&gt;Q1 2026 Earnings Release&lt;/D&gt;&lt;/FQL&gt;&lt;FQL&gt;&lt;Q&gt;WAB^CS_EVENT_DESC_N("ER",1)&lt;/Q&gt;&lt;R&gt;1&lt;/R&gt;&lt;C&gt;1&lt;/C&gt;&lt;D xsi:type="xsd:string"&gt;Q1 2026 Earnings Release&lt;/D&gt;&lt;/FQL&gt;&lt;FQL&gt;&lt;Q&gt;CSX^CS_EVENT_DESC_N("ER",1)&lt;/Q&gt;&lt;R&gt;1&lt;/R&gt;&lt;C&gt;1&lt;/C&gt;&lt;D xsi:type="xsd:string"&gt;Q1 2026 Earnings Release&lt;/D&gt;&lt;/FQL&gt;&lt;FQL&gt;&lt;Q&gt;LUV^CS_EVENT_DESC_N("ER",1)&lt;/Q&gt;&lt;R&gt;1&lt;/R&gt;&lt;C&gt;1&lt;/C&gt;&lt;D xsi:type="xsd:string"&gt;Q1 2026 Earnings Release&lt;/D&gt;&lt;/FQL&gt;&lt;FQL&gt;&lt;Q&gt;PKG^CS_EVENT_DESC_N("ER",1)&lt;/Q&gt;&lt;R&gt;1&lt;/R&gt;&lt;C&gt;1&lt;/C&gt;&lt;D xsi:type="xsd:string"&gt;Q1 2026 Earnings Release&lt;/D&gt;&lt;/FQL&gt;&lt;FQL&gt;&lt;Q&gt;A^CS_EVENT_DATEJ_N("E",1)&lt;/Q&gt;&lt;R&gt;0&lt;/R&gt;&lt;C&gt;0&lt;/C&gt;&lt;/FQL&gt;&lt;FQL&gt;&lt;Q&gt;PANW^CS_EVENT_DATEJ_N("E",1)&lt;/Q&gt;&lt;R&gt;0&lt;/R&gt;&lt;C&gt;0&lt;/C&gt;&lt;/FQL&gt;&lt;FQL&gt;&lt;Q&gt;ADI^CS_EVENT_DATEJ_N("E",1)&lt;/Q&gt;&lt;R&gt;0&lt;/R&gt;&lt;C&gt;0&lt;/C&gt;&lt;/FQL&gt;&lt;FQL&gt;&lt;Q&gt;TXN^CS_EVENT_DESC_N("ER",1)&lt;/Q&gt;&lt;R&gt;1&lt;/R&gt;&lt;C&gt;1&lt;/C&gt;&lt;D xsi:type="xsd:string"&gt;Q1 2026 Earnings Release (Projected)&lt;/D&gt;&lt;/FQL&gt;&lt;FQL&gt;&lt;Q&gt;ESS^CS_EVENT_DESC_N("ER",1)&lt;/Q&gt;&lt;R&gt;1&lt;/R&gt;&lt;C&gt;1&lt;/C&gt;&lt;D xsi:type="xsd:string"&gt;Q1 2026 Earnings Release (Projected)&lt;/D&gt;&lt;/FQL&gt;&lt;FQL&gt;&lt;Q&gt;CNC^CS_EVENT_DESC_N("ER",1)&lt;/Q&gt;&lt;R&gt;1&lt;/R&gt;&lt;C&gt;1&lt;/C&gt;&lt;D xsi:type="xsd:string"&gt;Q1 2026 Earnings Release&lt;/D&gt;&lt;/FQL&gt;&lt;FQL&gt;&lt;Q&gt;WM^CS_EVENT_DESC_N("ER",1)&lt;/Q&gt;&lt;R&gt;1&lt;/R&gt;&lt;C&gt;1&lt;/C&gt;&lt;D xsi:type="xsd:string"&gt;Q1 2026 Earnings Release&lt;/D&gt;&lt;/FQL&gt;&lt;FQL&gt;&lt;Q&gt;EQR^CS_EVENT_DESC_N("ER",1)&lt;/Q&gt;&lt;R&gt;1&lt;/R&gt;&lt;C&gt;1&lt;/C&gt;&lt;D xsi:type="xsd:string"&gt;Q1 2026 Earnings Release (Projected)&lt;/D&gt;&lt;/FQL&gt;&lt;FQL&gt;&lt;Q&gt;PCAR^CS_EVENT_DESC_N("ER",1)&lt;/Q&gt;&lt;R&gt;1&lt;/R&gt;&lt;C&gt;1&lt;/C&gt;&lt;D xsi:type="xsd:string"&gt;Q1 2026 Earnings Release (Projected)&lt;/D&gt;&lt;/FQL&gt;&lt;FQL&gt;&lt;Q&gt;KMI^CS_EVENT_TIME_N("ER",1)&lt;/Q&gt;&lt;R&gt;1&lt;/R&gt;&lt;C&gt;1&lt;/C&gt;&lt;D xsi:type="xsd:string"&gt;Unspecified&lt;/D&gt;&lt;/FQL&gt;&lt;FQL&gt;&lt;Q&gt;KMI^CS_EVENT_DESC_N("ER",1)&lt;/Q&gt;&lt;R&gt;1&lt;/R&gt;&lt;C&gt;1&lt;/C&gt;&lt;D xsi:type="xsd:string"&gt;Q1 2026 Earnings Release (Projected)&lt;/D&gt;&lt;/FQL&gt;&lt;FQL&gt;&lt;Q&gt;NDAQ^CS_EVENT_TIME_N("ER",1)&lt;/Q&gt;&lt;R&gt;1&lt;/R&gt;&lt;C&gt;1&lt;/C&gt;&lt;D xsi:type="xsd:string"&gt;Unspecified&lt;/D&gt;&lt;/FQL&gt;&lt;FQL&gt;&lt;Q&gt;NDAQ^CS_EVENT_DESC_N("ER",1)&lt;/Q&gt;&lt;R&gt;1&lt;/R&gt;&lt;C&gt;1&lt;/C&gt;&lt;D xsi:type="xsd:string"&gt;Q1 2026 Earnings Release (Projected)&lt;/D&gt;&lt;/FQL&gt;&lt;FQL&gt;&lt;Q&gt;ELV^CS_EVENT_TIME_N("ER",1)&lt;/Q&gt;&lt;R&gt;1&lt;/R&gt;&lt;C&gt;1&lt;/C&gt;&lt;D xsi:type="xsd:string"&gt;6:00 AM&lt;/D&gt;&lt;/FQL&gt;&lt;FQL&gt;&lt;Q&gt;ELV^CS_EVENT_DESC_N("ER",1)&lt;/Q&gt;&lt;R&gt;1&lt;/R&gt;&lt;C&gt;1&lt;/C&gt;&lt;D xsi:type="xsd:string"&gt;Q1 2026 Earnings Release&lt;/D&gt;&lt;/FQL&gt;&lt;FQL&gt;&lt;Q&gt;CME^CS_EVENT_TIME_N("ER",1)&lt;/Q&gt;&lt;R&gt;1&lt;/R&gt;&lt;C&gt;1&lt;/C&gt;&lt;D xsi:type="xsd:string"&gt;7:00 AM&lt;/D&gt;&lt;/FQL&gt;&lt;FQL&gt;&lt;Q&gt;CME^CS_EVENT_DESC_N("ER",1)&lt;/Q&gt;&lt;R&gt;1&lt;/R&gt;&lt;C&gt;1&lt;/C&gt;&lt;D xsi:type="xsd:string"&gt;Q1 2026 Earnings Release&lt;/D&gt;&lt;/FQL&gt;&lt;FQL&gt;&lt;Q&gt;BA^CS_EVENT_DATEJ_N("ER",1)&lt;/Q&gt;&lt;R&gt;1&lt;/R&gt;&lt;C&gt;1&lt;/C&gt;&lt;D xsi:type="xsd:long"&gt;46134&lt;/D&gt;&lt;/FQL&gt;&lt;FQL&gt;&lt;Q&gt;BA^CS_EVENT_TIME_N("ER",1)&lt;/Q&gt;&lt;R&gt;1&lt;/R&gt;&lt;C&gt;1&lt;/C&gt;&lt;D xsi:type="xsd:string"&gt;7:30 AM&lt;/D&gt;&lt;/FQL&gt;&lt;FQL&gt;&lt;Q&gt;MAS^CS_EVENT_DATEJ_N("ER",1)&lt;/Q&gt;&lt;R&gt;1&lt;/R&gt;&lt;C&gt;1&lt;/C&gt;&lt;D xsi:type="xsd:long"&gt;46134&lt;/D&gt;&lt;/FQL&gt;&lt;FQL&gt;&lt;Q&gt;MAS^CS_EVENT_TIME_N("ER",1)&lt;/Q&gt;&lt;R&gt;1&lt;/R&gt;&lt;C&gt;1&lt;/C&gt;&lt;D xsi:type="xsd:string"&gt;7:00 AM&lt;/D&gt;&lt;/FQL&gt;&lt;FQL&gt;&lt;Q&gt;WAB^CS_EVENT_DATEJ_N("ER",1)&lt;/Q&gt;&lt;R&gt;1&lt;/R&gt;&lt;C&gt;1&lt;/C&gt;&lt;D xsi:type="xsd:long"&gt;46134&lt;/D&gt;&lt;/FQL&gt;&lt;FQL&gt;&lt;Q&gt;WAB^CS_EVENT_TIME_N("ER",1)&lt;/Q&gt;&lt;R&gt;1&lt;/R&gt;&lt;C&gt;1&lt;/C&gt;&lt;D xsi:type="xsd:string"&gt;6:30 AM&lt;/D&gt;&lt;/FQL&gt;&lt;FQL&gt;&lt;Q&gt;CSX^CS_EVENT_DATEJ_N("ER",1)&lt;/Q&gt;&lt;R&gt;1&lt;/R&gt;&lt;C&gt;1&lt;/C&gt;&lt;D xsi:type="xsd:long"&gt;46134&lt;/D&gt;&lt;/FQL&gt;&lt;FQL&gt;&lt;Q&gt;CSX^CS_EVENT_TIME_N("ER",1)&lt;/Q&gt;&lt;R&gt;1&lt;/R&gt;&lt;C&gt;1&lt;/C&gt;&lt;D xsi:type="xsd:string"&gt;4:01 PM&lt;/D&gt;&lt;/FQL&gt;&lt;FQL&gt;&lt;Q&gt;LUV^CS_EVENT_DATEJ_N("ER",1)&lt;/Q&gt;&lt;R&gt;1&lt;/R&gt;&lt;C&gt;1&lt;/C&gt;&lt;D xsi:type="xsd:long"&gt;46134&lt;/D&gt;&lt;/FQL&gt;&lt;FQL&gt;&lt;Q&gt;LUV^CS_EVENT_TIME_N("ER",1)&lt;/Q&gt;&lt;R&gt;1&lt;/R&gt;&lt;C&gt;1&lt;/C&gt;&lt;D xsi:type="xsd:string"&gt;Unspecified&lt;/D&gt;&lt;/FQL&gt;&lt;FQL&gt;&lt;Q&gt;UAL^CS_EVENT_TIME_N("ER",1)&lt;/Q&gt;&lt;R&gt;1&lt;/R&gt;&lt;C&gt;1&lt;/C&gt;&lt;D xsi:type="xsd:string"&gt;Unspecified&lt;/D&gt;&lt;/FQL&gt;&lt;FQL&gt;&lt;Q&gt;IBKR^CS_EVENT_TIME_N("ER",1)&lt;/Q&gt;&lt;R&gt;1&lt;/R&gt;&lt;C&gt;1&lt;/C&gt;&lt;D xsi:type="xsd:string"&gt;4:00 PM&lt;/D&gt;&lt;/FQL&gt;&lt;FQL&gt;&lt;Q&gt;CB^CS_EVENT_TIME_N("ER",1)&lt;/Q&gt;&lt;R&gt;1&lt;/R&gt;&lt;C&gt;1&lt;/C&gt;&lt;D xsi:type="xsd:string"&gt;After Market&lt;/D&gt;&lt;/FQL&gt;&lt;FQL&gt;&lt;Q&gt;IBKR^CS_EVENT_DATEJ_N("E",1)&lt;/Q&gt;&lt;R&gt;1&lt;/R&gt;&lt;C&gt;1&lt;/C&gt;&lt;D xsi:type="xsd:long"&gt;46133&lt;/D&gt;&lt;/FQL&gt;&lt;FQL&gt;&lt;Q&gt;IBKR^CS_EVENT_TIME_N("E",1)&lt;/Q&gt;&lt;R&gt;1&lt;/R&gt;&lt;C&gt;1&lt;/C&gt;&lt;D xsi:type="xsd:string"&gt;4:30 PM&lt;/D&gt;&lt;/FQL&gt;&lt;FQL&gt;&lt;Q&gt;IBKR^CS_EVENT_DESC_N("E",1)&lt;/Q&gt;&lt;R&gt;1&lt;/R&gt;&lt;C&gt;1&lt;/C&gt;&lt;D xsi:type="xsd:string"&gt;Q1 2026 Earnings Call&lt;/D&gt;&lt;/FQL&gt;&lt;FQL&gt;&lt;Q&gt;CB^CS_EVENT_DATEJ_N("E",1)&lt;/Q&gt;&lt;R&gt;1&lt;/R&gt;&lt;C&gt;1&lt;/C&gt;&lt;D xsi:type="xsd:long"&gt;46134&lt;/D&gt;&lt;/FQL&gt;&lt;FQL&gt;&lt;Q&gt;CB^CS_EVENT_TIME_N("E",1)&lt;/Q&gt;&lt;R&gt;1&lt;/R&gt;&lt;C&gt;1&lt;/C&gt;&lt;D xsi:type="xsd:string"&gt;8:30 AM&lt;/D&gt;&lt;/FQL&gt;&lt;FQL&gt;&lt;Q&gt;CB^CS_EVENT_DESC_N("E",1)&lt;/Q&gt;&lt;R&gt;1&lt;/R&gt;&lt;C&gt;1&lt;/C&gt;&lt;D xsi:type="xsd:string"&gt;Q1 2026 Earnings Call&lt;/D&gt;&lt;/FQL&gt;&lt;FQL&gt;&lt;Q&gt;SYF^CS_EVENT_DATEJ_N("E",1)&lt;/Q&gt;&lt;R&gt;1&lt;/R&gt;&lt;C&gt;1&lt;/C&gt;&lt;D xsi:type="xsd:long"&gt;46133&lt;/D&gt;&lt;/FQL&gt;&lt;FQL&gt;&lt;Q&gt;SYF^CS_EVENT_TIME_N("E",1)&lt;/Q&gt;&lt;R&gt;1&lt;/R&gt;&lt;C&gt;1&lt;/C&gt;&lt;D xsi:type="xsd:string"&gt;8:00 AM&lt;/D&gt;&lt;/FQL&gt;&lt;FQL&gt;&lt;Q&gt;SYF^CS_EVENT_DESC_N("E",1)&lt;/Q&gt;&lt;R&gt;1&lt;/R&gt;&lt;C&gt;1&lt;/C&gt;&lt;D xsi:type="xsd:string"&gt;Q1 2026 Earnings Call&lt;/D&gt;&lt;/FQL&gt;&lt;FQL&gt;&lt;Q&gt;BSX^CS_EVENT_DATEJ_N("E",1)&lt;/Q&gt;&lt;R&gt;1&lt;/R&gt;&lt;C&gt;1&lt;/C&gt;&lt;D xsi:type="xsd:long"&gt;46134&lt;/D&gt;&lt;/FQL&gt;&lt;FQL&gt;&lt;Q&gt;BSX^CS_EVENT_TIME_N("E",1)&lt;/Q&gt;&lt;R&gt;1&lt;/R&gt;&lt;C&gt;1&lt;/C&gt;&lt;D xsi:type="xsd:string"&gt;8:00 AM&lt;/D&gt;&lt;/FQL&gt;&lt;FQL&gt;&lt;Q&gt;BSX^CS_EVENT_DESC_N("E",1)&lt;/Q&gt;&lt;R&gt;1&lt;/R&gt;&lt;C&gt;1&lt;/C&gt;&lt;D xsi:type="xsd:string"&gt;Q1 2026 Earnings Call&lt;/D&gt;&lt;/FQL&gt;&lt;FQL&gt;&lt;Q&gt;CCI^CS_EVENT_DATEJ_N("E",1)&lt;/Q&gt;&lt;R&gt;0&lt;/R&gt;&lt;C&gt;0&lt;/C&gt;&lt;/FQL&gt;&lt;FQL&gt;&lt;Q&gt;CCI^CS_EVENT_TIME_N("E",1)&lt;/Q&gt;&lt;R&gt;0&lt;/R&gt;&lt;C&gt;0&lt;/C&gt;&lt;/FQL&gt;&lt;FQL&gt;&lt;Q&gt;CCI^CS_EVENT_DESC_N("E",1)&lt;/Q&gt;&lt;R&gt;0&lt;/R&gt;&lt;C&gt;0&lt;/C&gt;&lt;/FQL&gt;&lt;FQL&gt;&lt;Q&gt;EFX^CS_EVENT_DATEJ_N("E",1)&lt;/Q&gt;&lt;R&gt;0&lt;/R&gt;&lt;C&gt;0&lt;/C&gt;&lt;/FQL&gt;&lt;FQL&gt;&lt;Q&gt;EFX^CS_EVENT_TIME_N("E",1)&lt;/Q&gt;&lt;R&gt;0&lt;/R&gt;&lt;C&gt;0&lt;/C&gt;&lt;/FQL&gt;&lt;FQL&gt;&lt;Q&gt;EFX^CS_EVENT_DESC_N("E",1)&lt;/Q&gt;&lt;R&gt;0&lt;/R&gt;&lt;C&gt;0&lt;/C&gt;&lt;/FQL&gt;&lt;FQL&gt;&lt;Q&gt;RJF^CS_EVENT_DATEJ_N("E",1)&lt;/Q&gt;&lt;R&gt;1&lt;/R&gt;&lt;C&gt;1&lt;/C&gt;&lt;D xsi:type="xsd:long"&gt;46134&lt;/D&gt;&lt;/FQL&gt;&lt;FQL&gt;&lt;Q&gt;RJF^CS_EVENT_TIME_N("E",1)&lt;/Q&gt;&lt;R&gt;1&lt;/R&gt;&lt;C&gt;1&lt;/C&gt;&lt;D xsi:type="xsd:string"&gt;5:00 PM&lt;/D&gt;&lt;/FQL&gt;&lt;FQL&gt;&lt;Q&gt;RJF^CS_EVENT_DESC_N("E",1)&lt;/Q&gt;&lt;R&gt;1&lt;/R&gt;&lt;C&gt;1&lt;/C&gt;&lt;D xsi:type="xsd:string"&gt;Q2 2026 Earnings Call&lt;/D&gt;&lt;/FQL&gt;&lt;FQL&gt;&lt;Q&gt;IBM^CS_EVENT_DATEJ_N("E",1)&lt;/Q&gt;&lt;R&gt;0&lt;/R&gt;&lt;C&gt;0&lt;/C&gt;&lt;/FQL&gt;&lt;FQL&gt;&lt;Q&gt;IBM^CS_EVENT_TIME_N("E",1)&lt;/Q&gt;&lt;R&gt;0&lt;/R&gt;&lt;C&gt;0&lt;/C&gt;&lt;/FQL&gt;&lt;FQL&gt;&lt;Q&gt;IBM^CS_EVENT_DESC_N("E",1)&lt;/Q&gt;&lt;R&gt;0&lt;/R&gt;&lt;C&gt;0&lt;/C&gt;&lt;/FQL&gt;&lt;FQL&gt;&lt;Q&gt;BA^CS_EVENT_DATEJ_N("E",1)&lt;/Q&gt;&lt;R&gt;1&lt;/R&gt;&lt;C&gt;1&lt;/C&gt;&lt;D xsi:type="xsd:long"&gt;46134&lt;/D&gt;&lt;/FQL&gt;&lt;FQL&gt;&lt;Q&gt;BA^CS_EVENT_TIME_N("E",1)&lt;/Q&gt;&lt;R&gt;1&lt;/R&gt;&lt;C&gt;1&lt;/C&gt;&lt;D xsi:type="xsd:string"&gt;10:30 AM&lt;/D&gt;&lt;/FQL&gt;&lt;FQL&gt;&lt;Q&gt;BA^CS_EVENT_DESC_N("E",1)&lt;/Q&gt;&lt;R&gt;1&lt;/R&gt;&lt;C&gt;1&lt;/C&gt;&lt;D xsi:type="xsd:string"&gt;Q1 2026 Earnings Call&lt;/D&gt;&lt;/FQL&gt;&lt;FQL&gt;&lt;Q&gt;MAS^CS_EVENT_DATEJ_N("E",1)&lt;/Q&gt;&lt;R&gt;1&lt;/R&gt;&lt;C&gt;1&lt;/C&gt;&lt;D xsi:type="xsd:long"&gt;46134&lt;/D&gt;&lt;/FQL&gt;&lt;FQL&gt;&lt;Q&gt;MAS^CS_EVENT_TIME_N("E",1)&lt;/Q&gt;&lt;R&gt;1&lt;/R&gt;&lt;C&gt;1&lt;/C&gt;&lt;D xsi:type="xsd:string"&gt;8:00 AM&lt;/D&gt;&lt;/FQL&gt;&lt;FQL&gt;&lt;Q&gt;MAS^CS_EVENT_DESC_N("E",1)&lt;/Q&gt;&lt;R&gt;1&lt;/R&gt;&lt;C&gt;1&lt;/C&gt;&lt;D xsi:type="xsd:string"&gt;Q1 2026 Earnings Call&lt;/D&gt;&lt;/FQL&gt;&lt;FQL&gt;&lt;Q&gt;WAB^CS_EVENT_DATEJ_N("E",1)&lt;/Q&gt;&lt;R&gt;1&lt;/R&gt;&lt;C&gt;1&lt;/C&gt;&lt;D xsi:type="xsd:long"&gt;46134&lt;/D&gt;&lt;/FQL&gt;&lt;FQL&gt;&lt;Q&gt;WAB^CS_EVENT_TIME_N("E",1)&lt;/Q&gt;&lt;R&gt;1&lt;/R&gt;&lt;C&gt;1&lt;/C&gt;&lt;D xsi:type="xsd:string"&gt;8:30 AM&lt;/D&gt;&lt;/FQL&gt;&lt;FQL&gt;&lt;Q&gt;WAB^CS_EVENT_DESC_N("E",1)&lt;/Q&gt;&lt;R&gt;1&lt;/R&gt;&lt;C&gt;1&lt;/C&gt;&lt;D xsi:type="xsd:string"&gt;Q1 2026 Earnings Call&lt;/D&gt;&lt;/FQL&gt;&lt;FQL&gt;&lt;Q&gt;CSX^CS_EVENT_DATEJ_N("E",1)&lt;/Q&gt;&lt;R&gt;1&lt;/R&gt;&lt;C&gt;1&lt;/C&gt;&lt;D xsi:type="xsd:long"&gt;46134&lt;/D&gt;&lt;/FQL&gt;&lt;FQL&gt;&lt;Q&gt;CSX^CS_EVENT_TIME_N("E",1)&lt;/Q&gt;&lt;R&gt;1&lt;/R&gt;&lt;C&gt;1&lt;/C&gt;&lt;D xsi:type="xsd:string"&gt;4:30 PM&lt;/D&gt;&lt;/FQL&gt;&lt;FQL&gt;&lt;Q&gt;CSX^CS_EVENT_DESC_N("E",1)&lt;/Q&gt;&lt;R&gt;1&lt;/R&gt;&lt;C&gt;1&lt;/C&gt;&lt;D xsi:type="xsd:string"&gt;Q1 2026 Earnings Call&lt;/D&gt;&lt;/FQL&gt;&lt;FQL&gt;&lt;Q&gt;LUV^CS_EVENT_DATEJ_N("E",1)&lt;/Q&gt;&lt;R&gt;1&lt;/R&gt;&lt;C&gt;1&lt;/C&gt;&lt;D xsi:type="xsd:long"&gt;46135&lt;/D&gt;&lt;/FQL&gt;&lt;FQL&gt;&lt;Q&gt;LUV^CS_EVENT_TIME_N("E",1)&lt;/Q&gt;&lt;R&gt;1&lt;/R&gt;&lt;C&gt;1&lt;/C&gt;&lt;D xsi:type="xsd:string"&gt;10:00 AM&lt;/D&gt;&lt;/FQL&gt;&lt;FQL&gt;&lt;Q&gt;LUV^CS_EVENT_DESC_N("E",1)&lt;/Q&gt;&lt;R&gt;1&lt;/R&gt;&lt;C&gt;1&lt;/C&gt;&lt;D xsi:type="xsd:string"&gt;Q1 2026 Earnings Call&lt;/D&gt;&lt;/FQL&gt;&lt;FQL&gt;&lt;Q&gt;PKG^CS_EVENT_DATEJ_N("E",1)&lt;/Q&gt;&lt;R&gt;1&lt;/R&gt;&lt;C&gt;1&lt;/C&gt;&lt;D xsi:type="xsd:long"&gt;46135&lt;/D&gt;&lt;/FQL&gt;&lt;FQL&gt;&lt;Q&gt;PKG^CS_EVENT_TIME_N("E",1)&lt;/Q&gt;&lt;R&gt;1&lt;/R&gt;&lt;C&gt;1&lt;/C&gt;&lt;D xsi:type="xsd:string"&gt;9:00 AM&lt;/D&gt;&lt;/FQL&gt;&lt;FQL&gt;&lt;Q&gt;PKG^CS_EVENT_DESC_N("E",1)&lt;/Q&gt;&lt;R&gt;1&lt;/R&gt;&lt;C&gt;1&lt;/C&gt;&lt;D xsi:type="xsd:string"&gt;Q1 2026 Earnings Call&lt;/D&gt;&lt;/FQL&gt;&lt;FQL&gt;&lt;Q&gt;KMI^CS_EVENT_DATEJ_N("E",1)&lt;/Q&gt;&lt;R&gt;0&lt;/R&gt;&lt;C&gt;0&lt;/C&gt;&lt;/FQL&gt;&lt;FQL&gt;&lt;Q&gt;KMI^CS_EVENT_TIME_N("E",1)&lt;/Q&gt;&lt;R&gt;0&lt;/R&gt;&lt;C&gt;0&lt;/C&gt;&lt;/FQL&gt;&lt;FQL&gt;&lt;Q&gt;KMI^CS_EVENT_DESC_N("E",1)&lt;/Q&gt;&lt;R&gt;0&lt;/R&gt;&lt;C&gt;0&lt;/C&gt;&lt;/FQL&gt;&lt;FQL&gt;&lt;Q&gt;NDAQ^CS_EVENT_DATEJ_N("E",1)&lt;/Q&gt;&lt;R&gt;0&lt;/R&gt;&lt;C&gt;0&lt;/C&gt;&lt;/FQL&gt;&lt;FQL&gt;&lt;Q&gt;NDAQ^CS_EVENT_TIME_N("E",1)&lt;/Q&gt;&lt;R&gt;0&lt;/R&gt;&lt;C&gt;0&lt;/C&gt;&lt;/FQL&gt;&lt;FQL&gt;&lt;Q&gt;NDAQ^CS_EVENT_DESC_N("E",1)&lt;/Q&gt;&lt;R&gt;0&lt;/R&gt;&lt;C&gt;0&lt;/C&gt;&lt;/FQL&gt;&lt;FQL&gt;&lt;Q&gt;ELV^CS_EVENT_DATEJ_N("E",1)&lt;/Q&gt;&lt;R&gt;1&lt;/R&gt;&lt;C&gt;1&lt;/C&gt;&lt;D xsi:type="xsd:long"&gt;46134&lt;/D&gt;&lt;/FQL&gt;&lt;FQL&gt;&lt;Q&gt;ELV^CS_EVENT_TIME_N("E",1)&lt;/Q&gt;&lt;R&gt;1&lt;/R&gt;&lt;C&gt;1&lt;/C&gt;&lt;D xsi:type="xsd:string"&gt;8:30 AM&lt;/D&gt;&lt;/FQL&gt;&lt;FQL&gt;&lt;Q&gt;ELV^CS_EVENT_DESC_N("E",1)&lt;/Q&gt;&lt;R&gt;1&lt;/R&gt;&lt;C&gt;1&lt;/C&gt;&lt;D xsi:type="xsd:string"&gt;Q1 2026 Earnings Call&lt;/D&gt;&lt;/FQL&gt;&lt;FQL&gt;&lt;Q&gt;CME^CS_EVENT_DATEJ_N("E",1)&lt;/Q&gt;&lt;R&gt;1&lt;/R&gt;&lt;C&gt;1&lt;/C&gt;&lt;D xsi:type="xsd:long"&gt;46134&lt;/D&gt;&lt;/FQL&gt;&lt;FQL&gt;&lt;Q&gt;CME^CS_EVENT_TIME_N("E",1)&lt;/Q&gt;&lt;R&gt;1&lt;/R&gt;&lt;C&gt;1&lt;/C&gt;&lt;D xsi:type="xsd:string"&gt;8:30 AM&lt;/D&gt;&lt;/FQL&gt;&lt;FQL&gt;&lt;Q&gt;CME^CS_EVENT_DESC_N("E",1)&lt;/Q&gt;&lt;R&gt;1&lt;/R&gt;&lt;C&gt;1&lt;/C&gt;&lt;D xsi:type="xsd:string"&gt;Q1 2026 Earnings Call&lt;/D&gt;&lt;/FQL&gt;&lt;FQL&gt;&lt;Q&gt;T^CS_EVENT_DATEJ_N("E",1)&lt;/Q&gt;&lt;R&gt;1&lt;/R&gt;&lt;C&gt;1&lt;/C&gt;&lt;D xsi:type="xsd:long"&gt;46134&lt;/D&gt;&lt;/FQL&gt;&lt;FQL&gt;&lt;Q&gt;T^CS_EVENT_TIME_N("E",1)&lt;/Q&gt;&lt;R&gt;1&lt;/R&gt;&lt;C&gt;1&lt;/C&gt;&lt;D xsi:type="xsd:string"&gt;8:30 AM&lt;/D&gt;&lt;/FQL&gt;&lt;FQL&gt;&lt;Q&gt;T^CS_EVENT_DESC_N("E",1)&lt;/Q&gt;&lt;R&gt;1&lt;/R&gt;&lt;C&gt;1&lt;/C&gt;&lt;D xsi:type="xsd:string"&gt;Q1 2026 Earnings Call&lt;/D&gt;&lt;/FQL&gt;&lt;FQL&gt;&lt;Q&gt;PM^CS_EVENT_DATEJ_N("E",1)&lt;/Q&gt;&lt;R&gt;1&lt;/R&gt;&lt;C&gt;1&lt;/C&gt;&lt;D xsi:type="xsd:long"&gt;46134&lt;/D&gt;&lt;/FQL&gt;&lt;FQL&gt;&lt;Q&gt;PM^CS_EVENT_TIME_N("E",1)&lt;/Q&gt;&lt;R&gt;1&lt;/R&gt;&lt;C&gt;1&lt;/C&gt;&lt;D xsi:type="xsd:string"&gt;9:00 AM&lt;/D&gt;&lt;/FQL&gt;&lt;FQL&gt;&lt;Q&gt;PM^CS_EVENT_DESC_N("E",1)&lt;/Q&gt;&lt;R&gt;1&lt;/R&gt;&lt;C&gt;1&lt;/C&gt;&lt;D xsi:type="xsd:string"&gt;Q1 2026 Earnings Call&lt;/D&gt;&lt;/FQL&gt;&lt;FQL&gt;&lt;Q&gt;GEV^CS_EVENT_DATEJ_N("E",1)&lt;/Q&gt;&lt;R&gt;1&lt;/R&gt;&lt;C&gt;1&lt;/C&gt;&lt;D xsi:type="xsd:long"&gt;46134&lt;/D&gt;&lt;/FQL&gt;&lt;FQL&gt;&lt;Q&gt;GEV^CS_EVENT_TIME_N("E",1)&lt;/Q&gt;&lt;R&gt;1&lt;/R&gt;&lt;C&gt;1&lt;/C&gt;&lt;D xsi:type="xsd:string"&gt;7:30 AM&lt;/D&gt;&lt;/FQL&gt;&lt;FQL&gt;&lt;Q&gt;GEV^CS_EVENT_DESC_N("E",1)&lt;/Q&gt;&lt;R&gt;1&lt;/R&gt;&lt;C&gt;1&lt;/C&gt;&lt;D xsi:type="xsd:string"&gt;Q1 2026 Earnings Call&lt;/D&gt;&lt;/FQL&gt;&lt;FQL&gt;&lt;Q&gt;PHM^CS_EVENT_DATEJ_N("E",1)&lt;/Q&gt;&lt;R&gt;1&lt;/R&gt;&lt;C&gt;1&lt;/C&gt;&lt;D xsi:type="xsd:long"&gt;46135&lt;/D&gt;&lt;/FQL&gt;&lt;FQL&gt;&lt;Q&gt;PHM^CS_EVENT_TIME_N("E",1)&lt;/Q&gt;&lt;R&gt;1&lt;/R&gt;&lt;C&gt;1&lt;/C&gt;&lt;D xsi:type="xsd:string"&gt;8:30 AM&lt;/D&gt;&lt;/FQL&gt;&lt;FQL&gt;&lt;Q&gt;PHM^CS_EVENT_DESC_N("E",1)&lt;/Q&gt;&lt;R&gt;1&lt;/R&gt;&lt;C&gt;1&lt;/C&gt;&lt;D xsi:type="xsd:string"&gt;Q1 2026 Earnings Call&lt;/D&gt;&lt;/FQL&gt;&lt;FQL&gt;&lt;Q&gt;CPT^CS_EVENT_DATEJ_N("E",1)&lt;/Q&gt;&lt;R&gt;0&lt;/R&gt;&lt;C&gt;0&lt;/C&gt;&lt;/FQL&gt;&lt;FQL&gt;&lt;Q&gt;CPT^CS_EVENT_TIME_N("E",1)&lt;/Q&gt;&lt;R&gt;0&lt;/R&gt;&lt;C&gt;0&lt;/C&gt;&lt;/FQL&gt;&lt;FQL&gt;&lt;Q&gt;CPT^CS_EVENT_DESC_N("E",1)&lt;/Q&gt;&lt;R&gt;0&lt;/R&gt;&lt;C&gt;0&lt;/C&gt;&lt;/FQL&gt;&lt;FQL&gt;&lt;Q&gt;WST^CS_EVENT_DATEJ_N("E",1)&lt;/Q&gt;&lt;R&gt;0&lt;/R&gt;&lt;C&gt;0&lt;/C&gt;&lt;/FQL&gt;&lt;FQL&gt;&lt;Q&gt;WST^CS_EVENT_TIME_N("E",1)&lt;/Q&gt;&lt;R&gt;0&lt;/R&gt;&lt;C&gt;0&lt;/C&gt;&lt;/FQL&gt;&lt;FQL&gt;&lt;Q&gt;WST^CS_EVENT_DESC_N("E",1)&lt;/Q&gt;&lt;R&gt;0&lt;/R&gt;&lt;C&gt;0&lt;/C&gt;&lt;/FQL&gt;&lt;FQL&gt;&lt;Q&gt;RMD^CS_EVENT_DATEJ_N("E",1)&lt;/Q&gt;&lt;R&gt;0&lt;/R&gt;&lt;C&gt;0&lt;/C&gt;&lt;/FQL&gt;&lt;FQL&gt;&lt;Q&gt;RMD^CS_EVENT_TIME_N("E",1)&lt;/Q&gt;&lt;R&gt;0&lt;/R&gt;&lt;C&gt;0&lt;/C&gt;&lt;/FQL&gt;&lt;FQL&gt;&lt;Q&gt;RMD^CS_EVENT_DESC_N("E",1)&lt;/Q&gt;&lt;R&gt;0&lt;/R&gt;&lt;C&gt;0&lt;/C&gt;&lt;/FQL&gt;&lt;FQL&gt;&lt;Q&gt;HON^CS_EVENT_DATEJ_N("E",1)&lt;/Q&gt;&lt;R&gt;1&lt;/R&gt;&lt;C&gt;1&lt;/C&gt;&lt;D xsi:type="xsd:long"&gt;46135&lt;/D&gt;&lt;/FQL&gt;&lt;FQL&gt;&lt;Q&gt;HON^CS_EVENT_TIME_N("E",1)&lt;/Q&gt;&lt;R&gt;1&lt;/R&gt;&lt;C&gt;1&lt;/C&gt;&lt;D xsi:type="xsd:string"&gt;8:30 AM&lt;/D&gt;&lt;/FQL&gt;&lt;FQL&gt;&lt;Q&gt;HON^CS_EVENT_DESC_N("E",1)&lt;/Q&gt;&lt;R&gt;1&lt;/R&gt;&lt;C&gt;1&lt;/C&gt;&lt;D xsi:type="xsd:string"&gt;Q1 2026 Earnings Call&lt;/D&gt;&lt;/FQL&gt;&lt;FQL&gt;&lt;Q&gt;PCG^CS_EVENT_DATEJ_N("E",1)&lt;/Q&gt;&lt;R&gt;1&lt;/R&gt;&lt;C&gt;1&lt;/C&gt;&lt;D xsi:type="xsd:long"&gt;46135&lt;/D&gt;&lt;/FQL&gt;&lt;FQL&gt;&lt;Q&gt;PCG^CS_EVENT_TIME_N("E",1)</t>
        </r>
      </text>
    </comment>
    <comment ref="A21" authorId="0" shapeId="0" xr:uid="{95D421AA-03EB-4C97-843A-B55628AF26BA}">
      <text>
        <r>
          <rPr>
            <b/>
            <sz val="9"/>
            <color indexed="81"/>
            <rFont val="Tahoma"/>
            <family val="2"/>
          </rPr>
          <t>&lt;/Q&gt;&lt;R&gt;1&lt;/R&gt;&lt;C&gt;1&lt;/C&gt;&lt;D xsi:type="xsd:string"&gt;11:00 AM&lt;/D&gt;&lt;/FQL&gt;&lt;FQL&gt;&lt;Q&gt;PCG^CS_EVENT_DESC_N("E",1)&lt;/Q&gt;&lt;R&gt;1&lt;/R&gt;&lt;C&gt;1&lt;/C&gt;&lt;D xsi:type="xsd:string"&gt;Q1 2026 Earnings Call&lt;/D&gt;&lt;/FQL&gt;&lt;FQL&gt;&lt;Q&gt;AOS^CS_EVENT_DATEJ_N("E",1)&lt;/Q&gt;&lt;R&gt;0&lt;/R&gt;&lt;C&gt;0&lt;/C&gt;&lt;/FQL&gt;&lt;FQL&gt;&lt;Q&gt;AOS^CS_EVENT_TIME_N("E",1)&lt;/Q&gt;&lt;R&gt;0&lt;/R&gt;&lt;C&gt;0&lt;/C&gt;&lt;/FQL&gt;&lt;FQL&gt;&lt;Q&gt;AOS^CS_EVENT_DESC_N("E",1)&lt;/Q&gt;&lt;R&gt;0&lt;/R&gt;&lt;C&gt;0&lt;/C&gt;&lt;/FQL&gt;&lt;FQL&gt;&lt;Q&gt;NEM^CS_EVENT_DATEJ_N("E",1)&lt;/Q&gt;&lt;R&gt;1&lt;/R&gt;&lt;C&gt;1&lt;/C&gt;&lt;D xsi:type="xsd:long"&gt;46135&lt;/D&gt;&lt;/FQL&gt;&lt;FQL&gt;&lt;Q&gt;NEM^CS_EVENT_TIME_N("E",1)&lt;/Q&gt;&lt;R&gt;1&lt;/R&gt;&lt;C&gt;1&lt;/C&gt;&lt;D xsi:type="xsd:string"&gt;5:30 PM&lt;/D&gt;&lt;/FQL&gt;&lt;FQL&gt;&lt;Q&gt;NEM^CS_EVENT_DESC_N("E",1)&lt;/Q&gt;&lt;R&gt;1&lt;/R&gt;&lt;C&gt;1&lt;/C&gt;&lt;D xsi:type="xsd:string"&gt;Q1 2026 Earnings Call&lt;/D&gt;&lt;/FQL&gt;&lt;FQL&gt;&lt;Q&gt;KIM^CS_EVENT_DATEJ_N("E",1)&lt;/Q&gt;&lt;R&gt;0&lt;/R&gt;&lt;C&gt;0&lt;/C&gt;&lt;/FQL&gt;&lt;FQL&gt;&lt;Q&gt;KIM^CS_EVENT_TIME_N("E",1)&lt;/Q&gt;&lt;R&gt;0&lt;/R&gt;&lt;C&gt;0&lt;/C&gt;&lt;/FQL&gt;&lt;FQL&gt;&lt;Q&gt;KIM^CS_EVENT_DESC_N("E",1)&lt;/Q&gt;&lt;R&gt;0&lt;/R&gt;&lt;C&gt;0&lt;/C&gt;&lt;/FQL&gt;&lt;FQL&gt;&lt;Q&gt;HSY^CS_EVENT_DATEJ_N("E",1)&lt;/Q&gt;&lt;R&gt;0&lt;/R&gt;&lt;C&gt;0&lt;/C&gt;&lt;/FQL&gt;&lt;FQL&gt;&lt;Q&gt;HSY^CS_EVENT_TIME_N("E",1)&lt;/Q&gt;&lt;R&gt;0&lt;/R&gt;&lt;C&gt;0&lt;/C&gt;&lt;/FQL&gt;&lt;FQL&gt;&lt;Q&gt;HSY^CS_EVENT_DESC_N("E",1)&lt;/Q&gt;&lt;R&gt;0&lt;/R&gt;&lt;C&gt;0&lt;/C&gt;&lt;/FQL&gt;&lt;FQL&gt;&lt;Q&gt;VRSN^CS_EVENT_DATEJ_N("E",1)&lt;/Q&gt;&lt;R&gt;0&lt;/R&gt;&lt;C&gt;0&lt;/C&gt;&lt;/FQL&gt;&lt;FQL&gt;&lt;Q&gt;VRSN^CS_EVENT_TIME_N("E",1)&lt;/Q&gt;&lt;R&gt;0&lt;/R&gt;&lt;C&gt;0&lt;/C&gt;&lt;/FQL&gt;&lt;FQL&gt;&lt;Q&gt;VRSN^CS_EVENT_DESC_N("E",1)&lt;/Q&gt;&lt;R&gt;0&lt;/R&gt;&lt;C&gt;0&lt;/C&gt;&lt;/FQL&gt;&lt;FQL&gt;&lt;Q&gt;CINF^CS_EVENT_DATEJ_N("E",1)&lt;/Q&gt;&lt;R&gt;0&lt;/R&gt;&lt;C&gt;0&lt;/C&gt;&lt;/FQL&gt;&lt;FQL&gt;&lt;Q&gt;CINF^CS_EVENT_TIME_N("E",1)&lt;/Q&gt;&lt;R&gt;0&lt;/R&gt;&lt;C&gt;0&lt;/C&gt;&lt;/FQL&gt;&lt;FQL&gt;&lt;Q&gt;CINF^CS_EVENT_DESC_N("E",1)&lt;/Q&gt;&lt;R&gt;0&lt;/R&gt;&lt;C&gt;0&lt;/C&gt;&lt;/FQL&gt;&lt;FQL&gt;&lt;Q&gt;AJG^CS_EVENT_DATEJ_N("E",1)&lt;/Q&gt;&lt;R&gt;0&lt;/R&gt;&lt;C&gt;0&lt;/C&gt;&lt;/FQL&gt;&lt;FQL&gt;&lt;Q&gt;AJG^CS_EVENT_TIME_N("E",1)&lt;/Q&gt;&lt;R&gt;0&lt;/R&gt;&lt;C&gt;0&lt;/C&gt;&lt;/FQL&gt;&lt;FQL&gt;&lt;Q&gt;AJG^CS_EVENT_DESC_N("E",1)&lt;/Q&gt;&lt;R&gt;0&lt;/R&gt;&lt;C&gt;0&lt;/C&gt;&lt;/FQL&gt;&lt;FQL&gt;&lt;Q&gt;WTW^CS_EVENT_DATEJ_N("E",1)&lt;/Q&gt;&lt;R&gt;0&lt;/R&gt;&lt;C&gt;0&lt;/C&gt;&lt;/FQL&gt;&lt;FQL&gt;&lt;Q&gt;WTW^CS_EVENT_TIME_N("E",1)&lt;/Q&gt;&lt;R&gt;0&lt;/R&gt;&lt;C&gt;0&lt;/C&gt;&lt;/FQL&gt;&lt;FQL&gt;&lt;Q&gt;WTW^CS_EVENT_DESC_N("E",1)&lt;/Q&gt;&lt;R&gt;0&lt;/R&gt;&lt;C&gt;0&lt;/C&gt;&lt;/FQL&gt;&lt;FQL&gt;&lt;Q&gt;GILD^CS_EVENT_DATEJ_N("E",1)&lt;/Q&gt;&lt;R&gt;0&lt;/R&gt;&lt;C&gt;0&lt;/C&gt;&lt;/FQL&gt;&lt;FQL&gt;&lt;Q&gt;GILD^CS_EVENT_TIME_N("E",1)&lt;/Q&gt;&lt;R&gt;0&lt;/R&gt;&lt;C&gt;0&lt;/C&gt;&lt;/FQL&gt;&lt;FQL&gt;&lt;Q&gt;GILD^CS_EVENT_DESC_N("E",1)&lt;/Q&gt;&lt;R&gt;0&lt;/R&gt;&lt;C&gt;0&lt;/C&gt;&lt;/FQL&gt;&lt;FQL&gt;&lt;Q&gt;ERIE^CS_EVENT_DATEJ_N("E",1)&lt;/Q&gt;&lt;R&gt;0&lt;/R&gt;&lt;C&gt;0&lt;/C&gt;&lt;/FQL&gt;&lt;FQL&gt;&lt;Q&gt;ERIE^CS_EVENT_TIME_N("E",1)&lt;/Q&gt;&lt;R&gt;0&lt;/R&gt;&lt;C&gt;0&lt;/C&gt;&lt;/FQL&gt;&lt;FQL&gt;&lt;Q&gt;ERIE^CS_EVENT_DESC_N("E",1)&lt;/Q&gt;&lt;R&gt;0&lt;/R&gt;&lt;C&gt;0&lt;/C&gt;&lt;/FQL&gt;&lt;FQL&gt;&lt;Q&gt;DOV^CS_EVENT_DATEJ_N("E",1)&lt;/Q&gt;&lt;R&gt;1&lt;/R&gt;&lt;C&gt;1&lt;/C&gt;&lt;D xsi:type="xsd:long"&gt;46135&lt;/D&gt;&lt;/FQL&gt;&lt;FQL&gt;&lt;Q&gt;DOV^CS_EVENT_TIME_N("E",1)&lt;/Q&gt;&lt;R&gt;1&lt;/R&gt;&lt;C&gt;1&lt;/C&gt;&lt;D xsi:type="xsd:string"&gt;9:30 AM&lt;/D&gt;&lt;/FQL&gt;&lt;FQL&gt;&lt;Q&gt;DOV^CS_EVENT_DESC_N("E",1)&lt;/Q&gt;&lt;R&gt;1&lt;/R&gt;&lt;C&gt;1&lt;/C&gt;&lt;D xsi:type="xsd:string"&gt;Q1 2026 Earnings Call&lt;/D&gt;&lt;/FQL&gt;&lt;FQL&gt;&lt;Q&gt;DTE^CS_EVENT_DATEJ_N("E",1)&lt;/Q&gt;&lt;R&gt;0&lt;/R&gt;&lt;C&gt;0&lt;/C&gt;&lt;/FQL&gt;&lt;FQL&gt;&lt;Q&gt;DTE^CS_EVENT_TIME_N("E",1)&lt;/Q&gt;&lt;R&gt;0&lt;/R&gt;&lt;C&gt;0&lt;/C&gt;&lt;/FQL&gt;&lt;FQL&gt;&lt;Q&gt;DTE^CS_EVENT_DESC_N("E",1)&lt;/Q&gt;&lt;R&gt;0&lt;/R&gt;&lt;C&gt;0&lt;/C&gt;&lt;/FQL&gt;&lt;FQL&gt;&lt;Q&gt;HAS^CS_EVENT_DATEJ_N("E",1)&lt;/Q&gt;&lt;R&gt;0&lt;/R&gt;&lt;C&gt;0&lt;/C&gt;&lt;/FQL&gt;&lt;FQL&gt;&lt;Q&gt;HAS^CS_EVENT_TIME_N("E",1)&lt;/Q&gt;&lt;R&gt;0&lt;/R&gt;&lt;C&gt;0&lt;/C&gt;&lt;/FQL&gt;&lt;FQL&gt;&lt;Q&gt;HAS^CS_EVENT_DESC_N("E",1)&lt;/Q&gt;&lt;R&gt;0&lt;/R&gt;&lt;C&gt;0&lt;/C&gt;&lt;/FQL&gt;&lt;FQL&gt;&lt;Q&gt;AMZN^CS_EVENT_DATEJ_N("E",1)&lt;/Q&gt;&lt;R&gt;0&lt;/R&gt;&lt;C&gt;0&lt;/C&gt;&lt;/FQL&gt;&lt;FQL&gt;&lt;Q&gt;AMZN^CS_EVENT_TIME_N("E",1)&lt;/Q&gt;&lt;R&gt;0&lt;/R&gt;&lt;C&gt;0&lt;/C&gt;&lt;/FQL&gt;&lt;FQL&gt;&lt;Q&gt;AMZN^CS_EVENT_DESC_N("E",1)&lt;/Q&gt;&lt;R&gt;0&lt;/R&gt;&lt;C&gt;0&lt;/C&gt;&lt;/FQL&gt;&lt;FQL&gt;&lt;Q&gt;HIG^CS_EVENT_DATEJ_N("E",1)&lt;/Q&gt;&lt;R&gt;0&lt;/R&gt;&lt;C&gt;0&lt;/C&gt;&lt;/FQL&gt;&lt;FQL&gt;&lt;Q&gt;HIG^CS_EVENT_TIME_N("E",1)&lt;/Q&gt;&lt;R&gt;0&lt;/R&gt;&lt;C&gt;0&lt;/C&gt;&lt;/FQL&gt;&lt;FQL&gt;&lt;Q&gt;HIG^CS_EVENT_DESC_N("E",1)&lt;/Q&gt;&lt;R&gt;0&lt;/R&gt;&lt;C&gt;0&lt;/C&gt;&lt;/FQL&gt;&lt;FQL&gt;&lt;Q&gt;HBAN^CS_EVENT_DATEJ_N("E",1)&lt;/Q&gt;&lt;R&gt;1&lt;/R&gt;&lt;C&gt;1&lt;/C&gt;&lt;D xsi:type="xsd:long"&gt;46135&lt;/D&gt;&lt;/FQL&gt;&lt;FQL&gt;&lt;Q&gt;HBAN^CS_EVENT_TIME_N("E",1)&lt;/Q&gt;&lt;R&gt;1&lt;/R&gt;&lt;C&gt;1&lt;/C&gt;&lt;D xsi:type="xsd:string"&gt;9:00 AM&lt;/D&gt;&lt;/FQL&gt;&lt;FQL&gt;&lt;Q&gt;HBAN^CS_EVENT_DESC_N("E",1)&lt;/Q&gt;&lt;R&gt;1&lt;/R&gt;&lt;C&gt;1&lt;/C&gt;&lt;D xsi:type="xsd:string"&gt;Q1 2026 Earnings Call&lt;/D&gt;&lt;/FQL&gt;&lt;FQL&gt;&lt;Q&gt;EME^CS_EVENT_DATEJ_N("E",1)&lt;/Q&gt;&lt;R&gt;0&lt;/R&gt;&lt;C&gt;0&lt;/C&gt;&lt;/FQL&gt;&lt;FQL&gt;&lt;Q&gt;EME^CS_EVENT_TIME_N("E",1)&lt;/Q&gt;&lt;R&gt;0&lt;/R&gt;&lt;C&gt;0&lt;/C&gt;&lt;/FQL&gt;&lt;FQL&gt;&lt;Q&gt;EME^CS_EVENT_DESC_N("E",1)&lt;/Q&gt;&lt;R&gt;0&lt;/R&gt;&lt;C&gt;0&lt;/C&gt;&lt;/FQL&gt;&lt;FQL&gt;&lt;Q&gt;KLAC^CS_EVENT_DATEJ_N("E",1)&lt;/Q&gt;&lt;R&gt;0&lt;/R&gt;&lt;C&gt;0&lt;/C&gt;&lt;/FQL&gt;&lt;FQL&gt;&lt;Q&gt;KLAC^CS_EVENT_TIME_N("E",1)&lt;/Q&gt;&lt;R&gt;0&lt;/R&gt;&lt;C&gt;0&lt;/C&gt;&lt;/FQL&gt;&lt;FQL&gt;&lt;Q&gt;KLAC^CS_EVENT_DESC_N("E",1)&lt;/Q&gt;&lt;R&gt;0&lt;/R&gt;&lt;C&gt;0&lt;/C&gt;&lt;/FQL&gt;&lt;FQL&gt;&lt;Q&gt;TROW^CS_EVENT_DATEJ_N("E",1)&lt;/Q&gt;&lt;R&gt;0&lt;/R&gt;&lt;C&gt;0&lt;/C&gt;&lt;/FQL&gt;&lt;FQL&gt;&lt;Q&gt;TROW^CS_EVENT_TIME_N("E",1)&lt;/Q&gt;&lt;R&gt;0&lt;/R&gt;&lt;C&gt;0&lt;/C&gt;&lt;/FQL&gt;&lt;FQL&gt;&lt;Q&gt;TROW^CS_EVENT_DESC_N("E",1)&lt;/Q&gt;&lt;R&gt;0&lt;/R&gt;&lt;C&gt;0&lt;/C&gt;&lt;/FQL&gt;&lt;FQL&gt;&lt;Q&gt;AXP^CS_EVENT_DATEJ_N("E",1)&lt;/Q&gt;&lt;R&gt;1&lt;/R&gt;&lt;C&gt;1&lt;/C&gt;&lt;D xsi:type="xsd:long"&gt;46135&lt;/D&gt;&lt;/FQL&gt;&lt;FQL&gt;&lt;Q&gt;AXP^CS_EVENT_TIME_N("E",1)&lt;/Q&gt;&lt;R&gt;1&lt;/R&gt;&lt;C&gt;1&lt;/C&gt;&lt;D xsi:type="xsd:string"&gt;8:30 AM&lt;/D&gt;&lt;/FQL&gt;&lt;FQL&gt;&lt;Q&gt;AXP^CS_EVENT_DESC_N("E",1)&lt;/Q&gt;&lt;R&gt;1&lt;/R&gt;&lt;C&gt;1&lt;/C&gt;&lt;D xsi:type="xsd:string"&gt;Q1 2026 Earnings Call&lt;/D&gt;&lt;/FQL&gt;&lt;FQL&gt;&lt;Q&gt;CNP^CS_EVENT_DATEJ_N("E",1)&lt;/Q&gt;&lt;R&gt;1&lt;/R&gt;&lt;C&gt;1&lt;/C&gt;&lt;D xsi:type="xsd:long"&gt;46135&lt;/D&gt;&lt;/FQL&gt;&lt;FQL&gt;&lt;Q&gt;CNP^CS_EVENT_TIME_N("E",1)&lt;/Q&gt;&lt;R&gt;1&lt;/R&gt;&lt;C&gt;1&lt;/C&gt;&lt;D xsi:type="xsd:string"&gt;8:00 AM&lt;/D&gt;&lt;/FQL&gt;&lt;FQL&gt;&lt;Q&gt;CNP^CS_EVENT_DESC_N("E",1)&lt;/Q&gt;&lt;R&gt;1&lt;/R&gt;&lt;C&gt;1&lt;/C&gt;&lt;D xsi:type="xsd:string"&gt;Q1 2026 Earnings Call&lt;/D&gt;&lt;/FQL&gt;&lt;FQL&gt;&lt;Q&gt;WDC^CS_EVENT_DATEJ_N("E",1)&lt;/Q&gt;&lt;R&gt;0&lt;/R&gt;&lt;C&gt;0&lt;/C&gt;&lt;/FQL&gt;&lt;FQL&gt;&lt;Q&gt;WDC^CS_EVENT_TIME_N("E",1)&lt;/Q&gt;&lt;R&gt;0&lt;/R&gt;&lt;C&gt;0&lt;/C&gt;&lt;/FQL&gt;&lt;FQL&gt;&lt;Q&gt;WDC^CS_EVENT_DESC_N("E",1)&lt;/Q&gt;&lt;R&gt;0&lt;/R&gt;&lt;C&gt;0&lt;/C&gt;&lt;/FQL&gt;&lt;FQL&gt;&lt;Q&gt;PFG^CS_EVENT_DATEJ_N("E",1)&lt;/Q&gt;&lt;R&gt;0&lt;/R&gt;&lt;C&gt;0&lt;/C&gt;&lt;/FQL&gt;&lt;FQL&gt;&lt;Q&gt;PFG^CS_EVENT_TIME_N("E",1)&lt;/Q&gt;&lt;R&gt;0&lt;/R&gt;&lt;C&gt;0&lt;/C&gt;&lt;/FQL&gt;&lt;FQL&gt;&lt;Q&gt;PFG^CS_EVENT_DESC_N("E",1)&lt;/Q&gt;&lt;R&gt;0&lt;/R&gt;&lt;C&gt;0&lt;/C&gt;&lt;/FQL&gt;&lt;FQL&gt;&lt;Q&gt;INTC^CS_EVENT_DATEJ_N("E",1)&lt;/Q&gt;&lt;R&gt;1&lt;/R&gt;&lt;C&gt;1&lt;/C&gt;&lt;D xsi:type="xsd:long"&gt;46135&lt;/D&gt;&lt;/FQL&gt;&lt;FQL&gt;&lt;Q&gt;INTC^CS_EVENT_TIME_N("E",1)&lt;/Q&gt;&lt;R&gt;1&lt;/R&gt;&lt;C&gt;1&lt;/C&gt;&lt;D xsi:type="xsd:string"&gt;5:00 PM&lt;/D&gt;&lt;/FQL&gt;&lt;FQL&gt;&lt;Q&gt;INTC^CS_EVENT_DESC_N("E",1)&lt;/Q&gt;&lt;R&gt;1&lt;/R&gt;&lt;C&gt;1&lt;/C&gt;&lt;D xsi:type="xsd:string"&gt;Q1 2026 Earnings Call&lt;/D&gt;&lt;/FQL&gt;&lt;FQL&gt;&lt;Q&gt;FE^CS_EVENT_DATEJ_N("E",1)&lt;/Q&gt;&lt;R&gt;0&lt;/R&gt;&lt;C&gt;0&lt;/C&gt;&lt;/FQL&gt;&lt;FQL&gt;&lt;Q&gt;FE^CS_EVENT_TIME_N("E",1)&lt;/Q&gt;&lt;R&gt;0&lt;/R&gt;&lt;C&gt;0&lt;/C&gt;&lt;/FQL&gt;&lt;FQL&gt;&lt;Q&gt;FE^CS_EVENT_DESC_N("E",1)&lt;/Q&gt;&lt;R&gt;0&lt;/R&gt;&lt;C&gt;0&lt;/C&gt;&lt;/FQL&gt;&lt;FQL&gt;&lt;Q&gt;CAT^CS_EVENT_DATEJ_N("E",1)&lt;/Q&gt;&lt;R&gt;0&lt;/R&gt;&lt;C&gt;0&lt;/C&gt;&lt;/FQL&gt;&lt;FQL&gt;&lt;Q&gt;CAT^CS_EVENT_TIME_N("E",1)&lt;/Q&gt;&lt;R&gt;0&lt;/R&gt;&lt;C&gt;0&lt;/C&gt;&lt;/FQL&gt;&lt;FQL&gt;&lt;Q&gt;CAT^CS_EVENT_DESC_N("E",1)&lt;/Q&gt;&lt;R&gt;0&lt;/R&gt;&lt;C&gt;0&lt;/C&gt;&lt;/FQL&gt;&lt;FQL&gt;&lt;Q&gt;MCD^CS_EVENT_DATEJ_N("E",1)&lt;/Q&gt;&lt;R&gt;0&lt;/R&gt;&lt;C&gt;0&lt;/C&gt;&lt;/FQL&gt;&lt;FQL&gt;&lt;Q&gt;MCD^CS_EVENT_TIME_N("E",1)&lt;/Q&gt;&lt;R&gt;0&lt;/R&gt;&lt;C&gt;0&lt;/C&gt;&lt;/FQL&gt;&lt;FQL&gt;&lt;Q&gt;MCD^CS_EVENT_DESC_N("E",1)&lt;/Q&gt;&lt;R&gt;0&lt;/R&gt;&lt;C&gt;0&lt;/C&gt;&lt;/FQL&gt;&lt;FQL&gt;&lt;Q&gt;UNP^CS_EVENT_DATEJ_N("E",1)&lt;/Q&gt;&lt;R&gt;1&lt;/R&gt;&lt;C&gt;1&lt;/C&gt;&lt;D xsi:type="xsd:long"&gt;46135&lt;/D&gt;&lt;/FQL&gt;&lt;FQL&gt;&lt;Q&gt;UNP^CS_EVENT_TIME_N("E",1)&lt;/Q&gt;&lt;R&gt;1&lt;/R&gt;&lt;C&gt;1&lt;/C&gt;&lt;D xsi:type="xsd:string"&gt;8:45 AM&lt;/D&gt;&lt;/FQL&gt;&lt;FQL&gt;&lt;Q&gt;UNP^CS_EVENT_DESC_N("E",1)&lt;/Q&gt;&lt;R&gt;1&lt;/R&gt;&lt;C&gt;1&lt;/C&gt;&lt;D xsi:type="xsd:string"&gt;Q1 2026 Earnings Call&lt;/D&gt;&lt;/FQL&gt;&lt;FQL&gt;&lt;Q&gt;XEL^CS_EVENT_DATEJ_N("E",1)&lt;/Q&gt;&lt;R&gt;0&lt;/R&gt;&lt;C&gt;0&lt;/C&gt;&lt;/FQL&gt;&lt;FQL&gt;&lt;Q&gt;XEL^CS_EVENT_TIME_N("E",1)&lt;/Q&gt;&lt;R&gt;0&lt;/R&gt;&lt;C&gt;0&lt;/C&gt;&lt;/FQL&gt;&lt;FQL&gt;&lt;Q&gt;XEL^CS_EVENT_DESC_N("E",1)&lt;/Q&gt;&lt;R&gt;0&lt;/R&gt;&lt;C&gt;0&lt;/C&gt;&lt;/FQL&gt;&lt;FQL&gt;&lt;Q&gt;CMS^CS_EVENT_DATEJ_N("E",1)&lt;/Q&gt;&lt;R&gt;0&lt;/R&gt;&lt;C&gt;0&lt;/C&gt;&lt;/FQL&gt;&lt;FQL&gt;&lt;Q&gt;CMS^CS_EVENT_TIME_N("E",1)&lt;/Q&gt;&lt;R&gt;0&lt;/R&gt;&lt;C&gt;0&lt;/C&gt;&lt;/FQL&gt;&lt;FQL&gt;&lt;Q&gt;CMS^CS_EVENT_DESC_N("E",1)&lt;/Q&gt;&lt;R&gt;0&lt;/R&gt;&lt;C&gt;0&lt;/C&gt;&lt;/FQL&gt;&lt;FQL&gt;&lt;Q&gt;MA^CS_EVENT_DATEJ_N("E",1)&lt;/Q&gt;&lt;R&gt;0&lt;/R&gt;&lt;C&gt;0&lt;/C&gt;&lt;/FQL&gt;&lt;FQL&gt;&lt;Q&gt;MA^CS_EVENT_TIME_N("E",1)&lt;/Q&gt;&lt;R&gt;0&lt;/R&gt;&lt;C&gt;0&lt;/C&gt;&lt;/FQL&gt;&lt;FQL&gt;&lt;Q&gt;MA^CS_EVENT_DESC_N("E",1)&lt;/Q&gt;&lt;R&gt;0&lt;/R&gt;&lt;C&gt;0&lt;/C&gt;&lt;/FQL&gt;&lt;FQL&gt;&lt;Q&gt;DXCM^CS_EVENT_DATEJ_N("E",1)&lt;/Q&gt;&lt;R&gt;0&lt;/R&gt;&lt;C&gt;0&lt;/C&gt;&lt;/FQL&gt;&lt;FQL&gt;&lt;Q&gt;DXCM^CS_EVENT_TIME_N("E",1)&lt;/Q&gt;&lt;R&gt;0&lt;/R&gt;&lt;C&gt;0&lt;/C&gt;&lt;/FQL&gt;&lt;FQL&gt;&lt;Q&gt;DXCM^CS_EVENT_DESC_N("E",1)&lt;/Q&gt;&lt;R&gt;0&lt;/R&gt;&lt;C&gt;0&lt;/C&gt;&lt;/FQL&gt;&lt;FQL&gt;&lt;Q&gt;ALLE^CS_EVENT_DATEJ_N("E",1)&lt;/Q&gt;&lt;R&gt;0&lt;/R&gt;&lt;C&gt;0&lt;/C&gt;&lt;/FQL&gt;&lt;FQL&gt;&lt;Q&gt;ALLE^CS_EVENT_TIME_N("E",1)&lt;/Q&gt;&lt;R&gt;0&lt;/R&gt;&lt;C&gt;0&lt;/C&gt;&lt;/FQL&gt;&lt;FQL&gt;&lt;Q&gt;ALLE^CS_EVENT_DESC_N("E",1)&lt;/Q&gt;&lt;R&gt;0&lt;/R&gt;&lt;C&gt;0&lt;/C&gt;&lt;/FQL&gt;&lt;FQL&gt;&lt;Q&gt;DLR^CS_EVENT_DATEJ_N("E",1)&lt;/Q&gt;&lt;R&gt;1&lt;/R&gt;&lt;C&gt;1&lt;/C&gt;&lt;D xsi:type="xsd:long"&gt;46135&lt;/D&gt;&lt;/FQL&gt;&lt;FQL&gt;&lt;Q&gt;DLR^CS_EVENT_TIME_N("E",1)&lt;/Q&gt;&lt;R&gt;1&lt;/R&gt;&lt;C&gt;1&lt;/C&gt;&lt;D xsi:type="xsd:string"&gt;5:00 PM&lt;/D&gt;&lt;/FQL&gt;&lt;FQL&gt;&lt;Q&gt;DLR^CS_EVENT_DESC_N("E",1)&lt;/Q&gt;&lt;R&gt;1&lt;/R&gt;&lt;C&gt;1&lt;/C&gt;&lt;D xsi:type="xsd:string"&gt;Q1 2026 Earnings Call&lt;/D&gt;&lt;/FQL&gt;&lt;FQL&gt;&lt;Q&gt;KDP^CS_EVENT_DATEJ_N("E",1)&lt;/Q&gt;&lt;R&gt;1&lt;/R&gt;&lt;C&gt;1&lt;/C&gt;&lt;D xsi:type="xsd:long"&gt;46135&lt;/D&gt;&lt;/FQL&gt;&lt;FQL&gt;&lt;Q&gt;KDP^CS_EVENT_TIME_N("E",1)&lt;/Q&gt;&lt;R&gt;1&lt;/R&gt;&lt;C&gt;1&lt;/C&gt;&lt;D xsi:type="xsd:string"&gt;8:00 AM&lt;/D&gt;&lt;/FQL&gt;&lt;FQL&gt;&lt;Q&gt;KDP^CS_EVENT_DESC_N("E",1)&lt;/Q&gt;&lt;R&gt;1&lt;/R&gt;&lt;C&gt;1&lt;/C&gt;&lt;D xsi:type="xsd:string"&gt;Q1 2026 Earnings Call&lt;/D&gt;&lt;/FQL&gt;&lt;FQL&gt;&lt;Q&gt;BKR^CS_EVENT_DATEJ_N("E",1)&lt;/Q&gt;&lt;R&gt;1&lt;/R&gt;&lt;C&gt;1&lt;/C&gt;&lt;D xsi:type="xsd:long"&gt;46136&lt;/D&gt;&lt;/FQL&gt;&lt;FQL&gt;&lt;Q&gt;BKR^CS_EVENT_TIME_N("E",1)&lt;/Q&gt;&lt;R&gt;1&lt;/R&gt;&lt;C&gt;1&lt;/C&gt;&lt;D xsi:type="xsd:string"&gt;9:30 AM&lt;/D&gt;&lt;/FQL&gt;&lt;FQL&gt;&lt;Q&gt;BKR^CS_EVENT_DESC_N("E",1)&lt;/Q&gt;&lt;R&gt;1&lt;/R&gt;&lt;C&gt;1&lt;/C&gt;&lt;D xsi:type="xsd:string"&gt;Q1 2026 Earnings Call&lt;/D&gt;&lt;/FQL&gt;&lt;FQL&gt;&lt;Q&gt;CMCSA^CS_EVENT_DATEJ_N("E",1)&lt;/Q&gt;&lt;R&gt;1&lt;/R&gt;&lt;C&gt;1&lt;/C&gt;&lt;D xsi:type="xsd:long"&gt;46135&lt;/D&gt;&lt;/FQL&gt;&lt;FQL&gt;&lt;Q&gt;CMCSA^CS_EVENT_TIME_N("E",1)&lt;/Q&gt;&lt;R&gt;1&lt;/R&gt;&lt;C&gt;1&lt;/C&gt;&lt;D xsi:type="xsd:string"&gt;8:30 AM&lt;/D&gt;&lt;/FQL&gt;&lt;FQL&gt;&lt;Q&gt;CMCSA^CS_EVENT_DESC_N("E",1)&lt;/Q&gt;&lt;R&gt;1&lt;/R&gt;&lt;C&gt;1&lt;/C&gt;&lt;D xsi:type="xsd:string"&gt;Q1 2026 Earnings Call&lt;/D&gt;&lt;/FQL&gt;&lt;FQL&gt;&lt;Q&gt;CBRE^CS_EVENT_DATEJ_N("E",1)&lt;/Q&gt;&lt;R&gt;1&lt;/R&gt;&lt;C&gt;1&lt;/C&gt;&lt;D xsi:type="xsd:long"&gt;46135&lt;/D&gt;&lt;/FQL&gt;&lt;FQL&gt;&lt;Q&gt;CBRE^CS_EVENT_TIME_N("E",1)&lt;/Q&gt;&lt;R&gt;1&lt;/R&gt;&lt;C&gt;1&lt;/C&gt;&lt;D xsi:type="xsd:string"&gt;8:30 AM&lt;/D&gt;&lt;/FQL&gt;&lt;FQL&gt;&lt;Q&gt;CBRE^CS_EVENT_DESC_N("E",1)&lt;/Q&gt;&lt;R&gt;1&lt;/R&gt;&lt;C&gt;1&lt;/C&gt;&lt;D xsi:type="xsd:string"&gt;Q1 2026 Earnings Call&lt;/D&gt;&lt;/FQL&gt;&lt;FQL&gt;&lt;Q&gt;DOC^CS_EVENT_DATEJ_N("E",1)&lt;/Q&gt;&lt;R&gt;0&lt;/R&gt;&lt;C&gt;0&lt;/C&gt;&lt;/FQL&gt;&lt;FQL&gt;&lt;Q&gt;DOC^CS_EVENT_TIME_N("E",1)&lt;/Q&gt;&lt;R&gt;0&lt;/R&gt;&lt;C&gt;0&lt;/C&gt;&lt;/FQL&gt;&lt;FQL&gt;&lt;Q&gt;DOC^CS_EVENT_DESC_N("E",1)&lt;/Q&gt;&lt;R&gt;0&lt;/R&gt;&lt;C&gt;0&lt;/C&gt;&lt;/FQL&gt;&lt;FQL&gt;&lt;Q&gt;AMP^CS_EVENT_DATEJ_N("E",1)&lt;/Q&gt;&lt;R&gt;1&lt;/R&gt;&lt;C&gt;1&lt;/C&gt;&lt;D xsi:type="xsd:long"&gt;46135&lt;/D&gt;&lt;/FQL&gt;&lt;FQL&gt;&lt;Q&gt;AMP^CS_EVENT_TIME_N("E",1)&lt;/Q&gt;&lt;R&gt;1&lt;/R&gt;&lt;C&gt;1&lt;/C&gt;&lt;D xsi:type="xsd:string"&gt;5:00 PM&lt;/D&gt;&lt;/FQL&gt;&lt;FQL&gt;&lt;Q&gt;AMP^CS_EVENT_DESC_N("E",1)&lt;/Q&gt;&lt;R&gt;1&lt;/R&gt;&lt;C&gt;1&lt;/C&gt;&lt;D xsi:type="xsd:string"&gt;Q1 2026 Earnings Call&lt;/D&gt;&lt;/FQL&gt;&lt;FQL&gt;&lt;Q&gt;FSLR^CS_EVENT_DATEJ_N("E",1)&lt;/Q&gt;&lt;R&gt;0&lt;/R&gt;&lt;C&gt;0&lt;/C&gt;&lt;/FQL&gt;&lt;FQL&gt;&lt;Q&gt;FSLR^CS_EVENT_TIME_N("E",1)&lt;/Q&gt;&lt;R&gt;0&lt;/R&gt;&lt;C&gt;0&lt;/C&gt;&lt;/FQL&gt;&lt;FQL&gt;&lt;Q&gt;FSLR^CS_EVENT_DESC_N("E",1)&lt;/Q&gt;&lt;R&gt;0&lt;/R&gt;&lt;C&gt;0&lt;/C&gt;&lt;/FQL&gt;&lt;FQL&gt;&lt;Q&gt;FTV^CS_EVENT_DATEJ_N("E",1)&lt;/Q&gt;&lt;R&gt;0&lt;/R&gt;&lt;C&gt;0&lt;/C&gt;&lt;/FQL&gt;&lt;FQL&gt;&lt;Q&gt;FTV^CS_EVENT_TIME_N("E",1)&lt;/Q&gt;&lt;R&gt;0&lt;/R&gt;&lt;C&gt;0&lt;/C&gt;&lt;/FQL&gt;&lt;FQL&gt;&lt;Q&gt;FTV^CS_EVENT_DESC_N("E",1)&lt;/Q&gt;&lt;R&gt;0&lt;/R&gt;&lt;C&gt;0&lt;/C&gt;&lt;/FQL&gt;&lt;FQL&gt;&lt;Q&gt;DOW^CS_EVENT_DATEJ_N("E",1)&lt;/Q&gt;&lt;R&gt;1&lt;/R&gt;&lt;C&gt;1&lt;/C&gt;&lt;D xsi:type="xsd:long"&gt;46135&lt;/D&gt;&lt;/FQL&gt;&lt;FQL&gt;&lt;Q&gt;DOW^CS_EVENT_TIME_N("E",1)&lt;/Q&gt;&lt;R&gt;1&lt;/R&gt;&lt;C&gt;1&lt;/C&gt;&lt;D xsi:type="xsd:string"&gt;8:00 AM&lt;/D&gt;&lt;/FQL&gt;&lt;FQL&gt;&lt;Q&gt;DOW^CS_EVENT_DESC_N("E",1)&lt;/Q&gt;&lt;R&gt;1&lt;/R&gt;&lt;C&gt;1&lt;/C&gt;&lt;D xsi:type="xsd:string"&gt;Q1 2026 Earnings Call&lt;/D&gt;&lt;/FQL&gt;&lt;FQL&gt;&lt;Q&gt;CARR^CS_EVENT_DATEJ_N("E",1)&lt;/Q&gt;&lt;R&gt;0&lt;/R&gt;&lt;C&gt;0&lt;/C&gt;&lt;/FQL&gt;&lt;FQL&gt;&lt;Q&gt;CARR^CS_EVENT_TIME_N("E",1)&lt;/Q&gt;&lt;R&gt;0&lt;/R&gt;&lt;C&gt;0&lt;/C&gt;&lt;/FQL&gt;&lt;FQL&gt;&lt;Q&gt;CARR^CS_EVENT_DESC_N("E",1)&lt;/Q&gt;&lt;R&gt;0&lt;/R&gt;&lt;C&gt;0&lt;/C&gt;&lt;/FQL&gt;&lt;FQL&gt;&lt;Q&gt;CVX^CS_EVENT_DATEJ_N("E",1)&lt;/Q&gt;&lt;R&gt;0&lt;/R&gt;&lt;C&gt;0&lt;/C&gt;&lt;/FQL&gt;&lt;FQL&gt;&lt;Q&gt;CVX^CS_EVENT_TIME_N("E",1)&lt;/Q&gt;&lt;R&gt;0&lt;/R&gt;&lt;C&gt;0&lt;/C&gt;&lt;/FQL&gt;&lt;FQL&gt;&lt;Q&gt;CVX^CS_EVENT_DESC_N("E",1)&lt;/Q&gt;&lt;R&gt;0&lt;/R&gt;&lt;C&gt;0&lt;/C&gt;&lt;/FQL&gt;&lt;FQL&gt;&lt;Q&gt;PG^CS_EVENT_DATEJ_N("E",1)&lt;/Q&gt;&lt;R&gt;1&lt;/R&gt;&lt;C&gt;1&lt;/C&gt;&lt;D xsi:type="xsd:long"&gt;46136&lt;/D&gt;&lt;/FQL&gt;&lt;FQL&gt;&lt;Q&gt;PG^CS_EVENT_TIME_N("E",1)&lt;/Q&gt;&lt;R&gt;1&lt;/R&gt;&lt;C&gt;1&lt;/C&gt;&lt;D xsi:type="xsd:string"&gt;8:30 AM&lt;/D&gt;&lt;/FQL&gt;&lt;FQL&gt;&lt;Q&gt;PG^CS_EVENT_DESC_N("E",1)&lt;/Q&gt;&lt;R&gt;1&lt;/R&gt;&lt;C&gt;1&lt;/C&gt;&lt;D xsi:type="xsd:string"&gt;Q3 2026 Earnings Call&lt;/D&gt;&lt;/FQL&gt;&lt;FQL&gt;&lt;Q&gt;NSC^CS_EVENT_DATEJ_N("E",1)&lt;/Q&gt;&lt;R&gt;1&lt;/R&gt;&lt;C&gt;1&lt;/C&gt;&lt;D xsi:type="xsd:long"&gt;46136&lt;/D&gt;&lt;/FQL&gt;&lt;FQL&gt;&lt;Q&gt;NSC^CS_EVENT_TIME_N("E",1)&lt;/Q&gt;&lt;R&gt;1&lt;/R&gt;&lt;C&gt;1&lt;/C&gt;&lt;D xsi:type="xsd:string"&gt;8:30 AM&lt;/D&gt;&lt;/FQL&gt;&lt;FQL&gt;&lt;Q&gt;NSC^CS_EVENT_DESC_N("E",1)&lt;/Q&gt;&lt;R&gt;1&lt;/R&gt;&lt;C&gt;1&lt;/C&gt;&lt;D xsi:type="xsd:string"&gt;Q1 2026 Earnings Call&lt;/D&gt;&lt;/FQL&gt;&lt;FQL&gt;&lt;Q&gt;XOM^CS_EVENT_DATEJ_N("E",1)&lt;/Q&gt;&lt;R&gt;0&lt;/R&gt;&lt;C&gt;0&lt;/C&gt;&lt;/FQL&gt;&lt;FQL&gt;&lt;Q&gt;XOM^CS_EVENT_TIME_N("E",1)&lt;/Q&gt;&lt;R&gt;0&lt;/R&gt;&lt;C&gt;0&lt;/C&gt;&lt;/FQL&gt;&lt;FQL&gt;&lt;Q&gt;XOM^CS_EVENT_DESC_N("E",1)&lt;/Q&gt;&lt;R&gt;0&lt;/R&gt;&lt;C&gt;0&lt;/C&gt;&lt;/FQL&gt;&lt;FQL&gt;&lt;Q&gt;SLB^CS_EVENT_DATEJ_N("E",1)&lt;/Q&gt;&lt;R&gt;1&lt;/R&gt;&lt;C&gt;1&lt;/C&gt;&lt;D xsi:type="xsd:long"&gt;46136&lt;/D&gt;&lt;/FQL&gt;&lt;FQL&gt;&lt;Q&gt;SLB^CS_EVENT_TIME_N("E",1)&lt;/Q&gt;&lt;R&gt;1&lt;/R&gt;&lt;C&gt;1&lt;/C&gt;&lt;D xsi:type="xsd:string"&gt;11:00 AM&lt;/D&gt;&lt;/FQL&gt;&lt;FQL&gt;&lt;Q&gt;SLB^CS_EVENT_DESC_N("E",1)&lt;/Q&gt;&lt;R&gt;1&lt;/R&gt;&lt;C&gt;1&lt;/C&gt;&lt;D xsi:type="xsd:string"&gt;Q1 2026 Earnings Call&lt;/D&gt;&lt;/FQL&gt;&lt;FQL&gt;&lt;Q&gt;HCA^CS_EVENT_DATEJ_N("E",1)&lt;/Q&gt;&lt;R&gt;1&lt;/R&gt;&lt;C&gt;1&lt;/C&gt;&lt;D xsi:type="xsd:long"&gt;46136&lt;/D&gt;&lt;/FQL&gt;&lt;FQL&gt;&lt;Q&gt;HCA^CS_EVENT_TIME_N("E",1)&lt;/Q&gt;&lt;R&gt;1&lt;/R&gt;&lt;C&gt;1&lt;/C&gt;&lt;D xsi:type="xsd:string"&gt;10:00 AM&lt;/D&gt;&lt;/FQL&gt;&lt;FQL&gt;&lt;Q&gt;HCA^CS_EVENT_DESC_N("E",1)&lt;/Q&gt;&lt;R&gt;1&lt;/R&gt;&lt;C&gt;1&lt;/C&gt;&lt;D xsi:type="xsd:string"&gt;Q1 2026 Earnings Call&lt;/D&gt;&lt;/FQL&gt;&lt;FQL&gt;&lt;Q&gt;CHTR^CS_EVENT_DATEJ_N("E",1)&lt;/Q&gt;&lt;R&gt;1&lt;/R&gt;&lt;C&gt;1&lt;/C&gt;&lt;D xsi:type="xsd:long"&gt;46136&lt;/D&gt;&lt;/FQL&gt;&lt;FQL&gt;&lt;Q&gt;CHTR^CS_EVENT_TIME_N("E",1)&lt;/Q&gt;&lt;R&gt;1&lt;/R&gt;&lt;C&gt;1&lt;/C&gt;&lt;D xsi:type="xsd:string"&gt;8:30 AM&lt;/D&gt;&lt;/FQL&gt;&lt;FQL&gt;&lt;Q&gt;CHTR^CS_EVENT_DESC_N("E",1)&lt;/Q&gt;&lt;R&gt;1&lt;/R&gt;&lt;C&gt;1&lt;/C&gt;&lt;D xsi:type="xsd:string"&gt;Q1 2026 Earnings Call&lt;/D&gt;&lt;/FQL&gt;&lt;FQL&gt;&lt;Q&gt;LYB^CS_EVENT_DATEJ_N("E",1)&lt;/Q&gt;&lt;R&gt;0&lt;/R&gt;&lt;C&gt;0&lt;/C&gt;&lt;/FQL&gt;&lt;FQL&gt;&lt;Q&gt;LYB^CS_EVENT_TIME_N("E",1)&lt;/Q&gt;&lt;R&gt;0&lt;/R&gt;&lt;C&gt;0&lt;/C&gt;&lt;/FQL&gt;&lt;FQL&gt;&lt;Q&gt;LYB^CS_EVENT_DESC_N("E",1)&lt;/Q&gt;&lt;R&gt;0&lt;/R&gt;&lt;C&gt;0&lt;/C&gt;&lt;/FQL&gt;&lt;FQL&gt;&lt;Q&gt;ARES^CS_EVENT_DATEJ_N("E",1)&lt;/Q&gt;&lt;R&gt;0&lt;/R&gt;&lt;C&gt;0&lt;/C&gt;&lt;/FQL&gt;&lt;FQL&gt;&lt;Q&gt;ARES^CS_EVENT_TIME_N("E",1)&lt;/Q&gt;&lt;R&gt;0&lt;/R&gt;&lt;C&gt;0&lt;/C&gt;&lt;/FQL&gt;&lt;FQL&gt;&lt;Q&gt;ARES^CS_EVENT_DESC_N("E",1)&lt;/Q&gt;&lt;R&gt;0&lt;/R&gt;&lt;C&gt;0&lt;/C&gt;&lt;/FQL&gt;&lt;FQL&gt;&lt;Q&gt;UHS^CS_EVENT_DATEJ_N("E",1)&lt;/Q&gt;&lt;R&gt;0&lt;/R&gt;&lt;C&gt;0&lt;/C&gt;&lt;/FQL&gt;&lt;FQL&gt;&lt;Q&gt;UHS^CS_EVENT_TIME_N("E",1)&lt;/Q&gt;&lt;R&gt;0&lt;/R&gt;&lt;C&gt;0&lt;/C&gt;&lt;/FQL&gt;&lt;FQL&gt;&lt;Q&gt;UHS^CS_EVENT_DESC_N("E",1)&lt;/Q&gt;&lt;R&gt;0&lt;/R&gt;&lt;C&gt;0&lt;/C&gt;&lt;/FQL&gt;&lt;FQL&gt;&lt;Q&gt;ARE^CS_EVENT_DATEJ_N("E",1)&lt;/Q&gt;&lt;R&gt;1&lt;/R&gt;&lt;C&gt;1&lt;/C&gt;&lt;D xsi:type="xsd:long"&gt;46140&lt;/D&gt;&lt;/FQL&gt;&lt;FQL&gt;&lt;Q&gt;ARE^CS_EVENT_TIME_N("E",1)&lt;/Q&gt;&lt;R&gt;1&lt;/R&gt;&lt;C&gt;1&lt;/C&gt;&lt;D xsi:type="xsd:string"&gt;5:00 PM&lt;/D&gt;&lt;/FQL&gt;&lt;FQL&gt;&lt;Q&gt;ARE^CS_EVENT_DESC_N("E",1)&lt;/Q&gt;&lt;R&gt;1&lt;/R&gt;&lt;C&gt;1&lt;/C&gt;&lt;D xsi:type="xsd:string"&gt;Q1 2026 Earnings Call&lt;/D&gt;&lt;/FQL&gt;&lt;FQL&gt;&lt;Q&gt;VZ^CS_EVENT_DATEJ_N("E",1)&lt;/Q&gt;&lt;R&gt;1&lt;/R&gt;&lt;C&gt;1&lt;/C&gt;&lt;D xsi:type="xsd:long"&gt;46139&lt;/D&gt;&lt;/FQL&gt;&lt;FQL&gt;&lt;Q&gt;VZ^CS_EVENT_TIME_N("E",1)&lt;/Q&gt;&lt;R&gt;1&lt;/R&gt;&lt;C&gt;1&lt;/C&gt;&lt;D xsi:type="xsd:string"&gt;8:30 AM&lt;/D&gt;&lt;/FQL&gt;&lt;FQL&gt;&lt;Q&gt;VZ^CS_EVENT_DESC_N("E",1)&lt;/Q&gt;&lt;R&gt;1&lt;/R&gt;&lt;C&gt;1&lt;/C&gt;&lt;D xsi:type="xsd:string"&gt;Q1 2026 Earnings Call&lt;/D&gt;&lt;/FQL&gt;&lt;FQL&gt;&lt;Q&gt;BRO^CS_EVENT_DATEJ_N("E",1)&lt;/Q&gt;&lt;R&gt;1&lt;/R&gt;&lt;C&gt;1&lt;/C&gt;&lt;D xsi:type="xsd:long"&gt;46140&lt;/D&gt;&lt;/FQL&gt;&lt;FQL&gt;&lt;Q&gt;BRO^CS_EVENT_TIME_N("E",1)&lt;/Q&gt;&lt;R&gt;1&lt;/R&gt;&lt;C&gt;1&lt;/C&gt;&lt;D xsi:type="xsd:string"&gt;8:00 AM&lt;/D&gt;&lt;/FQL&gt;&lt;FQL&gt;&lt;Q&gt;BRO^CS_EVENT_DESC_N("E",1)&lt;/Q&gt;&lt;R&gt;1&lt;/R&gt;&lt;C&gt;1&lt;/C&gt;&lt;D xsi:type="xsd:string"&gt;Q1 2026 Earnings Call&lt;/D&gt;&lt;/FQL&gt;&lt;FQL&gt;&lt;Q&gt;CDNS^CS_EVENT_DATEJ_N("E",1)&lt;/Q&gt;&lt;R&gt;0&lt;/R&gt;&lt;C&gt;0&lt;/C&gt;&lt;/FQL&gt;&lt;FQL&gt;&lt;Q&gt;CDNS^CS_EVENT_TIME_N("E",1)&lt;/Q&gt;&lt;R&gt;0&lt;/R&gt;&lt;C&gt;0&lt;/C&gt;&lt;/FQL&gt;&lt;FQL&gt;&lt;Q&gt;CDNS^CS_EVENT_DESC_N("E",1)&lt;/Q&gt;&lt;R&gt;0&lt;/R&gt;&lt;C&gt;0&lt;/C&gt;&lt;/FQL&gt;&lt;FQL&gt;&lt;Q&gt;NUE^CS_EVENT_DATEJ_N("E",1)&lt;/Q&gt;&lt;R&gt;1&lt;/R&gt;&lt;C&gt;1&lt;/C&gt;&lt;D xsi:type="xsd:long"&gt;46140&lt;/D&gt;&lt;/FQL&gt;&lt;FQL&gt;&lt;Q&gt;NUE^CS_EVENT_TIME_N("E",1)&lt;/Q&gt;&lt;R&gt;1&lt;/R&gt;&lt;C&gt;1&lt;/C&gt;&lt;D xsi:type="xsd:string"&gt;10:00 AM&lt;/D&gt;&lt;/FQL&gt;&lt;FQL&gt;&lt;Q&gt;NUE^CS_EVENT_DESC_N("E",1)&lt;/Q&gt;&lt;R&gt;1&lt;/R&gt;&lt;C&gt;1&lt;/C&gt;&lt;D xsi:type="xsd:string"&gt;Q1 2026 Earnings Call&lt;/D&gt;&lt;/FQL&gt;&lt;FQL&gt;&lt;Q&gt;LII^CS_EVENT_DATEJ_N("E",1)&lt;/Q&gt;&lt;R&gt;0&lt;/R&gt;&lt;C&gt;0&lt;/C&gt;&lt;/FQL&gt;&lt;FQL&gt;&lt;Q&gt;LII^CS_EVENT_TIME_N("E",1)&lt;/Q&gt;&lt;R&gt;0&lt;/R&gt;&lt;C&gt;0&lt;/C&gt;&lt;/FQL&gt;&lt;FQL&gt;&lt;Q&gt;LII^CS_EVENT_DESC_N("E",1)&lt;/Q&gt;&lt;R&gt;0&lt;/R&gt;&lt;C&gt;0&lt;/C&gt;&lt;/FQL&gt;&lt;FQL&gt;&lt;Q&gt;DPZ^CS_EVENT_DATEJ_N("E",1)&lt;/Q&gt;&lt;R&gt;1&lt;/R&gt;&lt;C&gt;1&lt;/C&gt;&lt;D xsi:type="xsd:long"&gt;46139&lt;/D&gt;&lt;/FQL&gt;&lt;FQL&gt;&lt;Q&gt;DPZ^CS_EVENT_TIME_N("E",1)&lt;/Q&gt;&lt;R&gt;1&lt;/R&gt;&lt;C&gt;1&lt;/C&gt;&lt;D xsi:type="xsd:string"&gt;8:30 AM&lt;/D&gt;&lt;/FQL&gt;&lt;FQL&gt;&lt;Q&gt;DPZ^CS_EVENT_DESC_N("E",1)&lt;/Q&gt;&lt;R&gt;1&lt;/R&gt;&lt;C&gt;1&lt;/C&gt;&lt;D xsi:type="xsd:string"&gt;Q1 2026 Earnings Call&lt;/D&gt;&lt;/FQL&gt;&lt;FQL&gt;&lt;Q&gt;MSFT^CS_EVENT_DATEJ_N("E",1)&lt;/Q&gt;&lt;R&gt;0&lt;/R&gt;&lt;C&gt;0&lt;/C&gt;&lt;/FQL&gt;&lt;FQL&gt;&lt;Q&gt;MSFT^CS_EVENT_TIME_N("E",1)&lt;/Q&gt;&lt;R&gt;0&lt;/R&gt;&lt;C&gt;0&lt;/C&gt;&lt;/FQL&gt;&lt;FQL&gt;&lt;Q&gt;MSFT^CS_EVENT_DESC_N("E",1)&lt;/Q&gt;&lt;R&gt;0&lt;/R&gt;&lt;C&gt;0&lt;/C&gt;&lt;/FQL&gt;&lt;FQL&gt;&lt;Q&gt;MCO^CS_EVENT_DATEJ_N("E",1)&lt;/Q&gt;&lt;R&gt;0&lt;/R&gt;&lt;C&gt;0&lt;/C&gt;&lt;/FQL&gt;&lt;FQL&gt;&lt;Q&gt;MCO^CS_EVENT_TIME_N("E",1)&lt;/Q&gt;&lt;R&gt;0&lt;/R&gt;&lt;C&gt;0&lt;/C&gt;&lt;/FQL&gt;&lt;FQL&gt;&lt;Q&gt;MCO^CS_EVENT_DESC_N("E",1)&lt;/Q&gt;&lt;R&gt;0&lt;/R&gt;&lt;C&gt;0&lt;/C&gt;&lt;/FQL&gt;&lt;FQL&gt;&lt;Q&gt;KO^CS_EVENT_DATEJ_N("E",1)&lt;/Q&gt;&lt;R&gt;1&lt;/R&gt;&lt;C&gt;1&lt;/C&gt;&lt;D xsi:type="xsd:long"&gt;46140&lt;/D&gt;&lt;/FQL&gt;&lt;FQL&gt;&lt;Q&gt;KO^CS_EVENT_TIME_N("E",1)&lt;/Q&gt;&lt;R&gt;1&lt;/R&gt;&lt;C&gt;1&lt;/C&gt;&lt;D xsi:type="xsd:string"&gt;8:30 AM&lt;/D&gt;&lt;/FQL&gt;&lt;FQL&gt;&lt;Q&gt;KO^CS_EVENT_DESC_N("E",1)&lt;/Q&gt;&lt;R&gt;1&lt;/R&gt;&lt;C&gt;1&lt;/C&gt;&lt;D xsi:type="xsd:string"&gt;Q1 2026 Earnings Call&lt;/D&gt;&lt;/FQL&gt;&lt;FQL&gt;&lt;Q&gt;FISV^CS_EVENT_DATEJ_N("E",1)&lt;/Q&gt;&lt;R&gt;0&lt;/R&gt;&lt;C&gt;0&lt;/C&gt;&lt;/FQL&gt;&lt;FQL&gt;&lt;Q&gt;FISV^CS_EVENT_TIME_N("E",1)&lt;/Q&gt;&lt;R&gt;0&lt;/R&gt;&lt;C&gt;0&lt;/C&gt;&lt;/FQL&gt;&lt;FQL&gt;&lt;Q&gt;FISV^CS_EVENT_DESC_N("E",1)&lt;/Q&gt;&lt;R&gt;0&lt;/R&gt;&lt;C&gt;0&lt;/C&gt;&lt;/FQL&gt;&lt;FQL&gt;&lt;Q&gt;AMT^CS_EVENT_DATEJ_N("E",1)&lt;/Q&gt;&lt;R&gt;1&lt;/R&gt;&lt;C&gt;1&lt;/C&gt;&lt;D xsi:type="xsd:long"&gt;46140&lt;/D&gt;&lt;/FQL&gt;&lt;FQL&gt;&lt;Q&gt;AMT^CS_EVENT_TIME_N("E",1)&lt;/Q&gt;&lt;R&gt;1&lt;/R&gt;&lt;C&gt;1&lt;/C&gt;&lt;D xsi:type="xsd:string"&gt;8:30 AM&lt;/D&gt;&lt;/FQL&gt;&lt;FQL&gt;&lt;Q&gt;AMT^CS_EVENT_DESC_N("E",1)&lt;/Q&gt;&lt;R&gt;1&lt;/R&gt;&lt;C&gt;1&lt;/C&gt;&lt;D xsi:type="xsd:string"&gt;Q1 2026 Earnings Call&lt;/D&gt;&lt;/FQL&gt;&lt;FQL&gt;&lt;Q&gt;NVR^CS_EVENT_DATEJ_N("E",1)&lt;/Q&gt;&lt;R&gt;0&lt;/R&gt;&lt;C&gt;0&lt;/C&gt;&lt;/FQL&gt;&lt;FQL&gt;&lt;Q&gt;NVR^CS_EVENT_TIME_N("E",1)&lt;/Q&gt;&lt;R&gt;0&lt;/R&gt;&lt;C&gt;0&lt;/C&gt;&lt;/FQL&gt;&lt;FQL&gt;&lt;Q&gt;NVR^CS_EVENT_DESC_N("E",1)&lt;/Q&gt;&lt;R&gt;0&lt;/R&gt;&lt;C&gt;0&lt;/C&gt;&lt;/FQL&gt;&lt;FQL&gt;&lt;Q&gt;ROP^CS_EVENT_DATEJ_N("E",1)&lt;/Q&gt;&lt;R&gt;0&lt;/R&gt;&lt;C&gt;0&lt;/C&gt;&lt;/FQL&gt;&lt;FQL&gt;&lt;Q&gt;ROP^CS_EVENT_TIME_N("E",1)&lt;/Q&gt;&lt;R&gt;0&lt;/R&gt;&lt;C&gt;0&lt;/C&gt;&lt;/FQL&gt;&lt;FQL&gt;&lt;Q&gt;ROP^CS_EVENT_DESC_N("E",1)&lt;/Q&gt;&lt;R&gt;0&lt;/R&gt;&lt;C&gt;0&lt;/C&gt;&lt;/FQL&gt;&lt;FQL&gt;&lt;Q&gt;TER^CS_EVENT_DATEJ_N("E",1)&lt;/Q&gt;&lt;R&gt;0&lt;/R&gt;&lt;C&gt;0&lt;/C&gt;&lt;/FQL&gt;&lt;FQL&gt;&lt;Q&gt;TER^CS_EVENT_TIME_N("E",1)&lt;/Q&gt;&lt;R&gt;0&lt;/R&gt;&lt;C&gt;0&lt;/C&gt;&lt;/FQL&gt;&lt;FQL&gt;&lt;Q&gt;TER^CS_EVENT_DESC_N("E",1)&lt;/Q&gt;&lt;R&gt;0&lt;/R&gt;&lt;C&gt;0&lt;/C&gt;&lt;/FQL&gt;&lt;FQL&gt;&lt;Q&gt;MMM^CS_EVENT_DATEJ_N("E",1)&lt;/Q&gt;&lt;R&gt;0&lt;/R&gt;&lt;C&gt;0&lt;/C&gt;&lt;/FQL&gt;&lt;FQL&gt;&lt;Q&gt;MMM^CS_EVENT_TIME_N("E",1)&lt;/Q&gt;&lt;R&gt;0&lt;/R&gt;&lt;C&gt;0&lt;/C&gt;&lt;/FQL&gt;&lt;FQL&gt;&lt;Q&gt;MMM^CS_EVENT_DESC_N("E",1)&lt;/Q&gt;&lt;R&gt;0&lt;/R&gt;&lt;C&gt;0&lt;/C&gt;&lt;/FQL&gt;&lt;FQL&gt;&lt;Q&gt;IEX^CS_EVENT_DATEJ_N("E",1)&lt;/Q&gt;&lt;R&gt;0&lt;/R&gt;&lt;C&gt;0&lt;/C&gt;&lt;/FQL&gt;&lt;FQL&gt;&lt;Q&gt;IEX^CS_EVENT_TIME_N("E",1)&lt;/Q&gt;&lt;R&gt;0&lt;/R&gt;&lt;C&gt;0&lt;/C&gt;&lt;/FQL&gt;&lt;FQL&gt;&lt;Q&gt;IEX^CS_EVENT_DESC_N("E",1)&lt;/Q&gt;&lt;R&gt;0&lt;/R&gt;&lt;C&gt;0&lt;/C&gt;&lt;/FQL&gt;&lt;FQL&gt;&lt;Q&gt;CSGP^CS_EVENT_DATEJ_N("E",1)&lt;/Q&gt;&lt;R&gt;0&lt;/R&gt;&lt;C&gt;0&lt;/C&gt;&lt;/FQL&gt;&lt;FQL&gt;&lt;Q&gt;CSGP^CS_EVENT_TIME_N("E",1)&lt;/Q&gt;&lt;R&gt;0&lt;/R&gt;&lt;C&gt;0&lt;/C&gt;&lt;/FQL&gt;&lt;FQL&gt;&lt;Q&gt;CSGP^CS_EVENT_DESC_N("E",1)&lt;/Q&gt;&lt;R&gt;0&lt;/R&gt;&lt;C&gt;0&lt;/C&gt;&lt;/FQL&gt;&lt;FQL&gt;&lt;Q&gt;TXN^CS_EVENT_DATEJ_N("E",1)&lt;/Q&gt;&lt;R&gt;0&lt;/R&gt;&lt;C&gt;0&lt;/C&gt;&lt;/FQL&gt;&lt;FQL&gt;&lt;Q&gt;TXN^CS_EVENT_TIME_N("E",1)&lt;/Q&gt;&lt;R&gt;0&lt;/R&gt;&lt;C&gt;0&lt;/C&gt;&lt;/FQL&gt;&lt;FQL&gt;&lt;Q&gt;TXN^CS_EVENT_DESC_N("E",1)&lt;/Q&gt;&lt;R&gt;0&lt;/R&gt;&lt;C&gt;0&lt;/C&gt;&lt;/FQL&gt;&lt;FQL&gt;&lt;Q&gt;ESS^CS_EVENT_DATEJ_N("E",1)&lt;/Q&gt;&lt;R&gt;0&lt;/R&gt;&lt;C&gt;0&lt;/C&gt;&lt;/FQL&gt;&lt;FQL&gt;&lt;Q&gt;ESS^CS_EVENT_TIME_N("E",1)&lt;/Q&gt;&lt;R&gt;0&lt;/R&gt;&lt;C&gt;0&lt;/C&gt;&lt;/FQL&gt;&lt;FQL&gt;&lt;Q&gt;ESS^CS_EVENT_DESC_N("E",1)&lt;/Q&gt;&lt;R&gt;0&lt;/R&gt;&lt;C&gt;0&lt;/C&gt;&lt;/FQL&gt;&lt;FQL&gt;&lt;Q&gt;CNC^CS_EVENT_DATEJ_N("E",1)&lt;/Q&gt;&lt;R&gt;1&lt;/R&gt;&lt;C&gt;1&lt;/C&gt;&lt;D xsi:type="xsd:long"&gt;46140&lt;/D&gt;&lt;/FQL&gt;&lt;FQL&gt;&lt;Q&gt;CNC^CS_EVENT_TIME_N("E",1)&lt;/Q&gt;&lt;R&gt;1&lt;/R&gt;&lt;C&gt;1&lt;/C&gt;&lt;D xsi:type="xsd:string"&gt;8:30 AM&lt;/D&gt;&lt;/FQL&gt;&lt;FQL&gt;&lt;Q&gt;CNC^CS_EVENT_DESC_N("E",1)&lt;/Q&gt;&lt;R&gt;1&lt;/R&gt;&lt;C&gt;1&lt;/C&gt;&lt;D xsi:type="xsd:string"&gt;Q1 2026 Earnings Call&lt;/D&gt;&lt;/FQL&gt;&lt;FQL&gt;&lt;Q&gt;WM^CS_EVENT_DATEJ_N("E",1)&lt;/Q&gt;&lt;R&gt;1&lt;/R&gt;&lt;C&gt;1&lt;/C&gt;&lt;D xsi:type="xsd:long"&gt;46141&lt;/D&gt;&lt;/FQL&gt;&lt;FQL&gt;&lt;Q&gt;WM^CS_EVENT_TIME_N("E",1)&lt;/Q&gt;&lt;R&gt;1&lt;/R&gt;&lt;C&gt;1&lt;/C&gt;&lt;D xsi:type="xsd:string"&gt;10:00 AM&lt;/D&gt;&lt;/FQL&gt;&lt;FQL&gt;&lt;Q&gt;WM^CS_EVENT_DESC_N("E",1)&lt;/Q&gt;&lt;R&gt;1&lt;/R&gt;&lt;C&gt;1&lt;/C&gt;&lt;D xsi:type="xsd:string"&gt;Q1 2026 Earnings Call&lt;/D&gt;&lt;/FQL&gt;&lt;FQL&gt;&lt;Q&gt;EQR^CS_EVENT_DATEJ_N("E",1)&lt;/Q&gt;&lt;R&gt;0&lt;/R&gt;&lt;C&gt;0&lt;/C&gt;&lt;/FQL&gt;&lt;FQL&gt;&lt;Q&gt;EQR^CS_EVENT_TIME_N("E",1)&lt;/Q&gt;&lt;R&gt;0&lt;/R&gt;&lt;C&gt;0&lt;/C&gt;&lt;/FQL&gt;&lt;FQL&gt;&lt;Q&gt;EQR^CS_EVENT_DESC_N("E",1)&lt;/Q&gt;&lt;R&gt;0&lt;/R&gt;&lt;C&gt;0&lt;/C&gt;&lt;/FQL&gt;&lt;FQL&gt;&lt;Q&gt;PCAR^CS_EVENT_DATEJ_N("E",1)&lt;/Q&gt;&lt;R&gt;0&lt;/R&gt;&lt;C&gt;0&lt;/C&gt;&lt;/FQL&gt;&lt;FQL&gt;&lt;Q&gt;PCAR^CS_EVENT_TIME_N("E",1)&lt;/Q&gt;&lt;R&gt;0&lt;/R&gt;&lt;C&gt;0&lt;/C&gt;&lt;/FQL&gt;&lt;FQL&gt;&lt;Q&gt;PCAR^CS_EVENT_DESC_N("E",1)&lt;/Q&gt;&lt;R&gt;0&lt;/R&gt;&lt;C&gt;0&lt;/C&gt;&lt;/FQL&gt;&lt;FQL&gt;&lt;Q&gt;SPGI^CS_EVENT_DATEJ_N("E",1)&lt;/Q&gt;&lt;R&gt;1&lt;/R&gt;&lt;C&gt;1&lt;/C&gt;&lt;D xsi:type="xsd:long"&gt;46140&lt;/D&gt;&lt;/FQL&gt;&lt;FQL&gt;&lt;Q&gt;SPGI^CS_EVENT_TIME_N("E",1)&lt;/Q&gt;&lt;R&gt;1&lt;/R&gt;&lt;C&gt;1&lt;/C&gt;&lt;D xsi:type="xsd:string"&gt;8:30 AM&lt;/D&gt;&lt;/FQL&gt;&lt;FQL&gt;&lt;Q&gt;SPGI^CS_EVENT_DESC_N("E",1)&lt;/Q&gt;&lt;R&gt;1&lt;/R&gt;&lt;C&gt;1&lt;/C&gt;&lt;D xsi:type="xsd:string"&gt;Q1 2026 Earnings Call&lt;/D&gt;&lt;/FQL&gt;&lt;FQL&gt;&lt;Q&gt;SHW^CS_EVENT_DATEJ_N("E",1)&lt;/Q&gt;&lt;R&gt;0&lt;/R&gt;&lt;C&gt;0&lt;/C&gt;&lt;/FQL&gt;&lt;FQL&gt;&lt;Q&gt;SHW^CS_EVENT_TIME_N("E",1)&lt;/Q&gt;&lt;R&gt;0&lt;/R&gt;&lt;C&gt;0&lt;/C&gt;&lt;/FQL&gt;&lt;FQL&gt;&lt;Q&gt;SHW^CS_EVENT_DESC_N("E",1)&lt;/Q&gt;&lt;R&gt;0&lt;/R&gt;&lt;C&gt;0&lt;/C&gt;&lt;/FQL&gt;&lt;FQL&gt;&lt;Q&gt;ECL^CS_EVENT_DATEJ_N("E",1)&lt;/Q&gt;&lt;R&gt;1&lt;/R&gt;&lt;C&gt;1&lt;/C&gt;&lt;D xsi:type="xsd:long"&gt;46140&lt;/D&gt;&lt;/FQL&gt;&lt;FQL&gt;&lt;Q&gt;ECL^CS_EVENT_TIME_N("E",1)&lt;/Q&gt;&lt;R&gt;1&lt;/R&gt;&lt;C&gt;1&lt;/C&gt;&lt;D xsi:type="xsd:string"&gt;1:00 PM&lt;/D&gt;&lt;/FQL&gt;&lt;FQL&gt;&lt;Q&gt;ECL^CS_EVENT_DESC_N("E",1)&lt;/Q&gt;&lt;R&gt;1&lt;/R&gt;&lt;C&gt;1&lt;/C&gt;&lt;D xsi:type="xsd:string"&gt;Q1 2026 Earnings Call&lt;/D&gt;&lt;/FQL&gt;&lt;FQL&gt;&lt;Q&gt;EIX^CS_EVENT_DATEJ_N("E",1)&lt;/Q&gt;&lt;R&gt;1&lt;/R&gt;&lt;C&gt;1&lt;/C&gt;&lt;D xsi:type="xsd:long"&gt;46140&lt;/D&gt;&lt;/FQL&gt;&lt;FQL&gt;&lt;Q&gt;EIX^CS_EVENT_TIME_N("E",1)&lt;/Q&gt;&lt;R&gt;1&lt;/R&gt;&lt;C&gt;1&lt;/C&gt;&lt;D xsi:type="xsd:string"&gt;4:30 PM&lt;/D&gt;&lt;/FQL&gt;&lt;FQL&gt;&lt;Q&gt;EIX^CS_EVENT_DESC_N("E",1)&lt;/Q&gt;&lt;R&gt;1&lt;/R&gt;&lt;C&gt;1&lt;/C&gt;&lt;D xsi:type="xsd:string"&gt;Q1 2026 Earnings Call&lt;/D&gt;&lt;/FQL&gt;&lt;FQL&gt;&lt;Q&gt;UPS^CS_EVENT_DATEJ_N("E",1)&lt;/Q&gt;&lt;R&gt;1&lt;/R&gt;&lt;C&gt;1&lt;/C&gt;&lt;D xsi:type="xsd:long"&gt;46140&lt;/D&gt;&lt;/FQL&gt;&lt;FQL&gt;&lt;Q&gt;UPS^CS_EVENT_TIME_N("E",1)&lt;/Q&gt;&lt;R&gt;1&lt;/R&gt;&lt;C&gt;1&lt;/C&gt;&lt;D xsi:type="xsd:string"&gt;8:30 AM&lt;/D&gt;&lt;/FQL&gt;&lt;FQL&gt;&lt;Q&gt;UPS^CS_EVENT_DESC_N("E",1)&lt;/Q&gt;&lt;R&gt;1&lt;/R&gt;&lt;C&gt;1&lt;/C&gt;&lt;D xsi:type="xsd:string"&gt;Q1 2026 Earnings Call&lt;/D&gt;&lt;/FQL&gt;&lt;FQL&gt;&lt;Q&gt;ACGL^CS_EVENT_DATEJ_N("E",1)&lt;/Q&gt;&lt;R&gt;1&lt;/R&gt;&lt;C&gt;1&lt;/C&gt;&lt;D xsi:type="xsd:long"&gt;46141&lt;/D&gt;&lt;/FQL&gt;&lt;FQL&gt;&lt;Q&gt;ACGL^CS_EVENT_TIME_N("E",1)&lt;/Q&gt;&lt;R&gt;1&lt;/R&gt;&lt;C&gt;1&lt;/C&gt;&lt;D xsi:type="xsd:string"&gt;10:00 AM&lt;/D&gt;&lt;/FQL&gt;&lt;FQL&gt;&lt;Q&gt;ACGL^CS_EVENT_DESC_N("E",1)&lt;/Q&gt;&lt;R&gt;1&lt;/R&gt;&lt;C&gt;1&lt;/C&gt;&lt;D xsi:type="xsd:string"&gt;Q1 2026 Earnings Call&lt;/D&gt;&lt;/FQL&gt;&lt;FQL&gt;&lt;Q&gt;KMB^CS_EVENT_DATEJ_N("E",1)&lt;/Q&gt;&lt;R&gt;0&lt;/R&gt;&lt;C&gt;0&lt;/C&gt;&lt;/FQL&gt;&lt;FQL&gt;&lt;Q&gt;KMB^CS_EVENT_TIME_N("E",1)&lt;/Q&gt;&lt;R&gt;0&lt;/R&gt;&lt;C&gt;0&lt;/C&gt;&lt;/FQL&gt;&lt;FQL&gt;&lt;Q&gt;KMB^CS_EVENT_DESC_N("E",1)&lt;/Q&gt;&lt;R&gt;0&lt;/R&gt;&lt;C&gt;0&lt;/C&gt;&lt;/FQL&gt;&lt;FQL&gt;&lt;Q&gt;PEP^CS_EVENT_DATEJ_N("E",1)&lt;/Q&gt;&lt;R&gt;0&lt;/R&gt;&lt;C&gt;0&lt;/C&gt;&lt;/FQL&gt;&lt;FQL&gt;&lt;Q&gt;PEP^CS_EVENT_TIME_N("E",1)&lt;/Q&gt;&lt;R&gt;0&lt;/R&gt;&lt;C&gt;0&lt;/C&gt;&lt;/FQL&gt;&lt;FQL&gt;&lt;Q&gt;PEP^CS_EVENT_DESC_N("E",1)&lt;/Q&gt;&lt;R&gt;0&lt;/R&gt;&lt;C&gt;0&lt;/C&gt;&lt;/FQL&gt;&lt;FQL&gt;&lt;Q&gt;HUBB^CS_EVENT_DATEJ_N("E",1)&lt;/Q&gt;&lt;R&gt;0&lt;/R&gt;&lt;C&gt;0&lt;/C&gt;&lt;/FQL&gt;&lt;FQL&gt;&lt;Q&gt;HUBB^CS_EVENT_TIME_N("E",1)&lt;/Q&gt;&lt;R&gt;0&lt;/R&gt;&lt;C&gt;0&lt;/C&gt;&lt;/FQL&gt;&lt;FQL&gt;&lt;Q&gt;HUBB^CS_EVENT_DESC_N("E",1)&lt;/Q&gt;&lt;R&gt;0&lt;/R&gt;&lt;C&gt;0&lt;/C&gt;&lt;/FQL&gt;&lt;FQL&gt;&lt;Q&gt;ADM^CS_EVENT_DATEJ_N("E",1)&lt;/Q&gt;&lt;R&gt;0&lt;/R&gt;&lt;C&gt;0&lt;/C&gt;&lt;/FQL&gt;&lt;FQL&gt;&lt;Q&gt;ADM^CS_EVENT_TIME_N("E",1)&lt;/Q&gt;&lt;R&gt;0&lt;/R&gt;&lt;C&gt;0&lt;/C&gt;&lt;/FQL&gt;&lt;FQL&gt;&lt;Q&gt;ADM^CS_EVENT_DESC_N("E",1)&lt;/Q&gt;&lt;R&gt;0&lt;/R&gt;&lt;C&gt;0&lt;/C&gt;&lt;/FQL&gt;&lt;FQL&gt;&lt;Q&gt;BKNG^CS_EVENT_DATEJ_N("E",1)&lt;/Q&gt;&lt;R&gt;1&lt;/R&gt;&lt;C&gt;1&lt;/C&gt;&lt;D xsi:type="xsd:long"&gt;46140&lt;/D&gt;&lt;/FQL&gt;&lt;FQL&gt;&lt;Q&gt;BKNG^CS_EVENT_TIME_N("E",1)&lt;/Q&gt;&lt;R&gt;1&lt;/R&gt;&lt;C&gt;1&lt;/C&gt;&lt;D xsi:type="xsd:string"&gt;4:30 PM&lt;/D&gt;&lt;/FQL&gt;&lt;FQL&gt;&lt;Q&gt;BKNG^CS_EVENT_DESC_N("E",1)&lt;/Q&gt;&lt;R&gt;1&lt;/R&gt;&lt;C&gt;1&lt;/C&gt;&lt;D xsi:type="xsd:string"&gt;Q1 2026 Earnings Call&lt;/D&gt;&lt;/FQL&gt;&lt;FQL&gt;&lt;Q&gt;MSCI^CS_EVENT_DATEJ_N("E",1)&lt;/Q&gt;&lt;R&gt;0&lt;/R&gt;&lt;C&gt;0&lt;/C&gt;&lt;/FQL&gt;&lt;FQL&gt;&lt;Q&gt;MSCI^CS_EVENT_TIME_N("E",1)&lt;/Q&gt;&lt;R&gt;0&lt;/R&gt;&lt;C&gt;0&lt;/C&gt;&lt;/FQL&gt;&lt;FQL&gt;&lt;Q&gt;MSCI^CS_EVENT_DESC_N("E",1)&lt;/Q&gt;&lt;R&gt;0&lt;/R&gt;&lt;C&gt;0&lt;/C&gt;&lt;/FQL&gt;&lt;FQL&gt;&lt;Q&gt;GOOGL^CS_EVENT_DATEJ_N("E",1)&lt;/Q&gt;&lt;R&gt;0&lt;/R&gt;&lt;C&gt;0&lt;/C&gt;&lt;/FQL&gt;&lt;FQL&gt;&lt;Q&gt;GOOGL^CS_EVENT_TIME_N("E",1)&lt;/Q&gt;&lt;R&gt;0&lt;/R&gt;&lt;C&gt;0&lt;/C&gt;&lt;/FQL&gt;&lt;FQL&gt;&lt;Q&gt;GOOGL^CS_EVENT_DESC_N("E",1)&lt;/Q&gt;&lt;R&gt;0&lt;/R&gt;&lt;C&gt;0&lt;/C&gt;&lt;/FQL&gt;&lt;FQL&gt;&lt;Q&gt;GM^CS_EVENT_DATEJ_N("E",1)&lt;/Q&gt;&lt;R&gt;1&lt;/R&gt;&lt;C&gt;1&lt;/C&gt;&lt;D xsi:type="xsd:long"&gt;46140&lt;/D&gt;&lt;/FQL&gt;&lt;FQL&gt;&lt;Q&gt;GM^CS_EVENT_TIME_N("E",1)&lt;/Q&gt;&lt;R&gt;1&lt;/R&gt;&lt;C&gt;1&lt;/C&gt;&lt;D xsi:type="xsd:string"&gt;8:30 AM&lt;/D&gt;&lt;/FQL&gt;&lt;FQL&gt;&lt;Q&gt;GM^CS_EVENT_DESC_N("E",1)&lt;/Q&gt;&lt;R&gt;1&lt;/R&gt;&lt;C&gt;1&lt;/C&gt;&lt;D xsi:type="xsd:string"&gt;Q1 2026 Earnings Call&lt;/D&gt;&lt;/FQL&gt;&lt;FQL&gt;&lt;Q&gt;NEE^CS_EVENT_DATEJ_N("E",1)&lt;/Q&gt;&lt;R&gt;0&lt;/R&gt;&lt;C&gt;0&lt;/C&gt;&lt;/FQL&gt;&lt;FQL&gt;&lt;Q&gt;NEE^CS_EVENT_TIME_N("E",1)&lt;/Q&gt;&lt;R&gt;0&lt;/R&gt;&lt;C&gt;0&lt;/C&gt;&lt;/FQL&gt;&lt;FQL&gt;&lt;Q&gt;NEE^CS_EVENT_DESC_N("E",1)&lt;/Q&gt;&lt;R&gt;0&lt;/R&gt;&lt;C&gt;0&lt;/C&gt;&lt;/FQL&gt;&lt;FQL&gt;&lt;Q&gt;NXPI^CS_EVENT_DATEJ_N("E",1)&lt;/Q&gt;&lt;R&gt;1&lt;/R&gt;&lt;C&gt;1&lt;/C&gt;&lt;D xsi:type="xsd:long"&gt;46140&lt;/D&gt;&lt;/FQL&gt;&lt;FQL&gt;&lt;Q&gt;NXPI^CS_EVENT_TIME_N("E",1)&lt;/Q&gt;&lt;R&gt;1&lt;/R&gt;&lt;C&gt;1&lt;/C&gt;&lt;D xsi:type="xsd:string"&gt;4:30 PM&lt;/D&gt;&lt;/FQL&gt;&lt;FQL&gt;&lt;Q&gt;NXPI^CS_EVENT_DESC_N("E",1)&lt;/Q&gt;&lt;R&gt;1&lt;/R&gt;&lt;C&gt;1&lt;/C&gt;&lt;D xsi:type="xsd:string"&gt;Q1 2026 Earnings Call&lt;/D&gt;&lt;/FQL&gt;&lt;FQL&gt;&lt;Q&gt;MDLZ^CS_EVENT_DATEJ_N("E",1)&lt;/Q&gt;&lt;R&gt;0&lt;/R&gt;&lt;C&gt;0&lt;/C&gt;&lt;/FQL&gt;&lt;FQL&gt;&lt;Q&gt;MDLZ^CS_EVENT_TIME_N("E",1)&lt;/Q&gt;&lt;R&gt;0&lt;/R&gt;&lt;C&gt;0&lt;/C&gt;&lt;/FQL&gt;&lt;FQL&gt;&lt;Q&gt;MDLZ^CS_EVENT_DESC_N("E",1)&lt;/Q&gt;&lt;R&gt;0&lt;/R&gt;&lt;C&gt;0&lt;/C&gt;&lt;/FQL&gt;&lt;FQL&gt;&lt;Q&gt;TSLA^CS_EVENT_DATEJ_N("E",1)&lt;/Q&gt;&lt;R&gt;0&lt;/R&gt;&lt;C&gt;0&lt;/C&gt;&lt;/FQL&gt;&lt;FQL&gt;&lt;Q&gt;TSLA^CS_EVENT_TIME_N("E",1)&lt;/Q&gt;&lt;R&gt;0&lt;/R&gt;&lt;C&gt;0&lt;/C&gt;&lt;/FQL&gt;&lt;FQL&gt;&lt;Q&gt;TSLA^CS_EVENT_DESC_N("E",1)&lt;/Q&gt;&lt;R&gt;0&lt;/R&gt;&lt;C&gt;0&lt;/C&gt;&lt;/FQL&gt;&lt;FQL&gt;&lt;Q&gt;GOOG^CS_EVENT_DATEJ_N("E",1)&lt;/Q&gt;&lt;R&gt;0&lt;/R&gt;&lt;C&gt;0&lt;/C&gt;&lt;/FQL&gt;&lt;FQL&gt;&lt;Q&gt;GOOG^CS_EVENT_TIME_N("E",1)&lt;/Q&gt;&lt;R&gt;0&lt;/R&gt;&lt;C&gt;0&lt;/C&gt;&lt;/FQL&gt;&lt;FQL&gt;&lt;Q&gt;GOOG^CS_EVENT_DESC_N("E",1)&lt;/Q&gt;&lt;R&gt;0&lt;/R&gt;&lt;C&gt;0&lt;/C&gt;&lt;/FQL&gt;&lt;FQL&gt;&lt;Q&gt;HLT^CS_EVENT_DATEJ_N("E",1)&lt;/Q&gt;&lt;R&gt;1&lt;/R&gt;&lt;C&gt;1&lt;/C&gt;&lt;D xsi:type="xsd:long"&gt;46140&lt;/D&gt;&lt;/FQL&gt;&lt;FQL&gt;&lt;Q&gt;HLT^CS_EVENT_TIME_N("E",1)&lt;/Q&gt;&lt;R&gt;1&lt;/R&gt;&lt;C&gt;1&lt;/C&gt;&lt;D xsi:type="xsd:string"&gt;9:00 AM&lt;/D&gt;&lt;/FQL&gt;&lt;FQL&gt;&lt;Q&gt;HLT^CS_EVENT_DESC_N("E",1)&lt;/Q&gt;&lt;R&gt;1&lt;/R&gt;&lt;C&gt;1&lt;/C&gt;&lt;D xsi:type="xsd:string"&gt;Q1 2026 Earnings Call&lt;/D&gt;&lt;/FQL&gt;&lt;FQL&gt;&lt;Q&gt;IVZ^CS_EVENT_DATEJ_N("E",1)&lt;/Q&gt;&lt;R&gt;0&lt;/R&gt;&lt;C&gt;0&lt;/C&gt;&lt;/FQL&gt;&lt;FQL&gt;&lt;Q&gt;IVZ^CS_EVENT_TIME_N("E",1)&lt;/Q&gt;&lt;R&gt;0&lt;/R&gt;&lt;C&gt;0&lt;/C&gt;&lt;/FQL&gt;&lt;FQL&gt;&lt;Q&gt;IVZ^CS_EVENT_DESC_N("E",1)&lt;/Q&gt;&lt;R&gt;0&lt;/R&gt;&lt;C&gt;0&lt;/C&gt;&lt;/FQL&gt;&lt;FQL&gt;&lt;Q&gt;EXR^CS_EVENT_DATEJ_N("E",1)&lt;/Q&gt;&lt;R&gt;1&lt;/R&gt;&lt;C&gt;1&lt;/C&gt;&lt;D xsi:type="xsd:long"&gt;46141&lt;/D&gt;&lt;/FQL&gt;&lt;FQL&gt;&lt;Q&gt;EXR^CS_EVENT_TIME_N("E",1)&lt;/Q&gt;&lt;R&gt;1&lt;/R&gt;&lt;C&gt;1&lt;/C&gt;&lt;D xsi:type="xsd:string"&gt;1:00 PM&lt;/D&gt;&lt;/FQL&gt;&lt;FQL&gt;&lt;Q&gt;EXR^CS_EVENT_DESC_N("E",1)&lt;/Q&gt;&lt;R&gt;1&lt;/R&gt;&lt;C&gt;1&lt;/C&gt;&lt;D xsi:type="xsd:string"&gt;Q1 2026 Earnings Call&lt;/D&gt;&lt;/FQL&gt;&lt;FQL&gt;&lt;Q&gt;TMUS^CS_EVENT_DATEJ_N("E",1)&lt;/Q&gt;&lt;R&gt;1&lt;/R&gt;&lt;C&gt;1&lt;/C&gt;&lt;D xsi:type="xsd:long"&gt;46140&lt;/D&gt;&lt;/FQL&gt;&lt;FQL&gt;&lt;Q&gt;TMUS^CS_EVENT_TIME_N("E",1)&lt;/Q&gt;&lt;R&gt;1&lt;/R&gt;&lt;C&gt;1&lt;/C&gt;&lt;D xsi:type="xsd:string"&gt;4:30 PM&lt;/D&gt;&lt;/FQL&gt;&lt;FQL&gt;&lt;Q&gt;TMUS^CS_EVENT_DESC_N("E",1)&lt;/Q&gt;&lt;R&gt;1&lt;/R&gt;&lt;C&gt;1&lt;/C&gt;&lt;D xsi:type="xsd:string"&gt;Q1 2026 Earnings Call&lt;/D&gt;&lt;/FQL&gt;&lt;FQL&gt;&lt;Q&gt;UDR^CS_EVENT_DATEJ_N("E",1)&lt;/Q&gt;&lt;R&gt;0&lt;/R&gt;&lt;C&gt;0&lt;/C&gt;&lt;/FQL&gt;&lt;FQL&gt;&lt;Q&gt;UDR^CS_EVENT_TIME_N("E",1)&lt;/Q&gt;&lt;R&gt;0&lt;/R&gt;&lt;C&gt;0&lt;/C&gt;&lt;/FQL&gt;&lt;FQL&gt;&lt;Q&gt;UDR^CS_EVENT_DESC_N("E",1)&lt;/Q&gt;&lt;R&gt;0&lt;/R&gt;&lt;C&gt;0&lt;/C&gt;&lt;/FQL&gt;&lt;FQL&gt;&lt;Q&gt;V^CS_EVENT_DATEJ_N("E",1)&lt;/Q&gt;&lt;R&gt;0&lt;/R&gt;&lt;C&gt;0&lt;/C&gt;&lt;/FQL&gt;&lt;FQL&gt;&lt;Q&gt;V^CS_EVENT_TIME_N("E",1)&lt;/Q&gt;&lt;R&gt;0&lt;/R&gt;&lt;C&gt;0&lt;/C&gt;&lt;/FQL&gt;&lt;FQL&gt;&lt;Q&gt;V^CS_EVENT_DESC_N("E",1)&lt;/Q&gt;&lt;R&gt;0&lt;/R&gt;&lt;C&gt;0&lt;/C&gt;&lt;/FQL&gt;&lt;FQL&gt;&lt;Q&gt;PNR^CS_EVENT_DATEJ_N("E",1)&lt;/Q&gt;&lt;R&gt;0&lt;/R&gt;&lt;C&gt;0&lt;/C&gt;&lt;/FQL&gt;&lt;FQL&gt;&lt;Q&gt;PNR^CS_EVENT_TIME_N("E",1)&lt;/Q&gt;&lt;R&gt;0&lt;/R&gt;&lt;C&gt;0&lt;/C&gt;&lt;/FQL&gt;&lt;FQL&gt;&lt;Q&gt;PNR^CS_EVENT_DESC_N("E",1)&lt;/Q&gt;&lt;R&gt;0&lt;/R&gt;&lt;C&gt;0&lt;/C&gt;&lt;/FQL&gt;&lt;FQL&gt;&lt;Q&gt;VLTO^CS_EVENT_DATEJ_N("E",1)&lt;/Q&gt;&lt;R&gt;0&lt;/R&gt;&lt;C&gt;0&lt;/C&gt;&lt;/FQL&gt;&lt;FQL&gt;&lt;Q&gt;VLTO^CS_EVENT_TIME_N("E",1)&lt;/Q&gt;&lt;R&gt;0&lt;/R&gt;&lt;C&gt;0&lt;/C&gt;&lt;/FQL&gt;&lt;FQL&gt;&lt;Q&gt;VLTO^CS_EVENT_DESC_N("E",1)&lt;/Q&gt;&lt;R&gt;0&lt;/R&gt;&lt;C&gt;0&lt;/C&gt;&lt;/FQL&gt;&lt;FQL&gt;&lt;Q&gt;XYL^CS_EVENT_DATEJ_N("E",1)&lt;/Q&gt;&lt;R&gt;1&lt;/R&gt;&lt;C&gt;1&lt;/C&gt;&lt;D xsi:type="xsd:long"&gt;46140&lt;/D&gt;&lt;/FQL&gt;&lt;FQL&gt;&lt;Q&gt;XYL^CS_EVENT_TIME_N("E",1)&lt;/Q&gt;&lt;R&gt;1&lt;/R&gt;&lt;C&gt;1&lt;/C&gt;&lt;D xsi:type="xsd:string"&gt;9:00 AM&lt;/D&gt;&lt;/FQL&gt;&lt;FQL&gt;&lt;Q&gt;XYL^CS_EVENT_DESC_N("E",1)&lt;/Q&gt;&lt;R&gt;1&lt;/R&gt;&lt;C&gt;1&lt;/C&gt;&lt;D xsi:type="xsd:string"&gt;Q1 2026 Earnings Call&lt;/D&gt;&lt;/FQL&gt;&lt;FQL&gt;&lt;Q&gt;MAA^CS_EVENT_DATEJ_N("E",1)&lt;/Q&gt;&lt;R&gt;0&lt;/R&gt;&lt;C&gt;0&lt;/C&gt;&lt;/FQL&gt;&lt;FQL&gt;&lt;Q&gt;MAA^CS_EVENT_TIME_N("E",1)&lt;/Q&gt;&lt;R&gt;0&lt;/R&gt;&lt;C&gt;0&lt;/C&gt;&lt;/FQL&gt;&lt;FQL&gt;&lt;Q&gt;MAA^CS_EVENT_DESC_N("E",1)&lt;/Q&gt;&lt;R&gt;0&lt;/R&gt;&lt;C&gt;0&lt;/C&gt;&lt;/FQL&gt;&lt;FQL&gt;&lt;Q&gt;EQIX^CS_EVENT_DATEJ_N("E",1)&lt;/Q&gt;&lt;R&gt;0&lt;/R&gt;&lt;C&gt;0&lt;/C&gt;&lt;/FQL&gt;&lt;FQL&gt;&lt;Q&gt;EQIX^CS_EVENT_TIME_N("E",1)&lt;/Q&gt;&lt;R&gt;0&lt;/R&gt;&lt;C&gt;0&lt;/C&gt;&lt;/FQL&gt;&lt;FQL&gt;&lt;Q&gt;EQIX^CS_EVENT_DESC_N("E",1)&lt;/Q&gt;&lt;R&gt;0&lt;/R&gt;&lt;C&gt;0&lt;/C&gt;&lt;/FQL&gt;&lt;FQL&gt;&lt;Q&gt;GRMN^CS_EVENT_DATEJ_N("E",1)&lt;/Q&gt;&lt;R&gt;1&lt;/R&gt;&lt;C&gt;1&lt;/C&gt;&lt;D xsi:type="xsd:long"&gt;46141&lt;/D&gt;&lt;/FQL&gt;&lt;FQL&gt;&lt;Q&gt;GRMN^CS_EVENT_TIME_N("E",1)&lt;/Q&gt;&lt;R&gt;1&lt;/R&gt;&lt;C&gt;1&lt;/C&gt;&lt;D xsi:type="xsd:string"&gt;10:30 AM&lt;/D&gt;&lt;/FQL&gt;&lt;FQL&gt;&lt;Q&gt;GRMN^CS_EVENT_DESC_N("E",1)&lt;/Q&gt;&lt;R&gt;1&lt;/R&gt;&lt;C&gt;1&lt;/C&gt;&lt;D xsi:type="xsd:string"&gt;Q1 2026 Earnings Call&lt;/D&gt;&lt;/FQL&gt;&lt;FQL&gt;&lt;Q&gt;EW^CS_EVENT_DATEJ_N("E",1)&lt;/Q&gt;&lt;R&gt;0&lt;/R&gt;&lt;C&gt;0&lt;/C&gt;&lt;/FQL&gt;&lt;FQL&gt;&lt;Q&gt;EW^CS_EVENT_TIME_N("E",1)&lt;/Q&gt;&lt;R&gt;0&lt;/R&gt;&lt;C&gt;0&lt;/C&gt;&lt;/FQL&gt;&lt;FQL&gt;&lt;Q&gt;EW^CS_EVENT_DESC_N("E",1)&lt;/Q&gt;&lt;R&gt;0&lt;/R&gt;&lt;C&gt;0&lt;/C&gt;&lt;/FQL&gt;&lt;FQL&gt;&lt;Q&gt;MGM^CS_EVENT_DATEJ_N("E",1)&lt;/Q&gt;&lt;R&gt;1&lt;/R&gt;&lt;C&gt;1&lt;/C&gt;&lt;D xsi:type="xsd:long"&gt;46141&lt;/D&gt;&lt;/FQL&gt;&lt;FQL&gt;&lt;Q&gt;MGM^CS_EVENT_TIME_N("E",1)&lt;/Q&gt;&lt;R&gt;1&lt;/R&gt;&lt;C&gt;1&lt;/C&gt;&lt;D xsi:type="xsd:string"&gt;5:00 PM&lt;/D&gt;&lt;/FQL&gt;&lt;FQL&gt;&lt;Q&gt;MGM^CS_EVENT_DESC_N("E",1)&lt;/Q&gt;&lt;R&gt;1&lt;/R&gt;&lt;C&gt;1&lt;/C&gt;&lt;D xsi:type="xsd:string"&gt;Q1 2026 Earnings Call&lt;/D&gt;&lt;/FQL&gt;&lt;FQL&gt;&lt;Q&gt;APH^CS_EVENT_DATEJ_N("E",1)&lt;/Q&gt;&lt;R&gt;0&lt;/R&gt;&lt;C&gt;0&lt;/C&gt;&lt;/FQL&gt;&lt;FQL&gt;&lt;Q&gt;APH^CS_EVENT_TIME_N("E",1)&lt;/Q&gt;&lt;R&gt;0&lt;/R&gt;&lt;C&gt;0&lt;/C&gt;&lt;/FQL&gt;&lt;FQL&gt;&lt;Q&gt;APH^CS_EVENT_DESC_N("E",1)&lt;/Q&gt;&lt;R&gt;0&lt;/R&gt;&lt;C&gt;0&lt;/C&gt;&lt;/FQL&gt;&lt;FQL&gt;&lt;Q&gt;ALL^CS_EVENT_DATEJ_N("E",1)&lt;/Q&gt;&lt;R&gt;1&lt;/R&gt;&lt;C&gt;1&lt;/C&gt;&lt;D xsi:type="xsd:long"&gt;46142&lt;/D&gt;&lt;/FQL&gt;&lt;FQL&gt;&lt;Q&gt;ALL^CS_EVENT_TIME_N("E",1)&lt;/Q&gt;&lt;R&gt;1&lt;/R&gt;&lt;C&gt;1&lt;/C&gt;&lt;D xsi:type="xsd:string"&gt;9:00 AM&lt;/D&gt;&lt;/FQL&gt;&lt;FQL&gt;&lt;Q&gt;ALL^CS_EVENT_DESC_N("E",1)&lt;/Q&gt;&lt;R&gt;1&lt;/R&gt;&lt;C&gt;1&lt;/C&gt;&lt;D xsi:type="xsd:string"&gt;Q1 2026 Earnings Call&lt;/D&gt;&lt;/FQL&gt;&lt;FQL&gt;&lt;Q&gt;SWK^CS_EVENT_DATEJ_N("E",1)&lt;/Q&gt;&lt;R&gt;1&lt;/R&gt;&lt;C&gt;1&lt;/C&gt;&lt;D xsi:type="xsd:long"&gt;46141&lt;/D&gt;&lt;/FQL&gt;&lt;FQL&gt;&lt;Q&gt;SWK^CS_EVENT_TIME_N("E",1)&lt;/Q&gt;&lt;R&gt;1&lt;/R&gt;&lt;C&gt;1&lt;/C&gt;&lt;D xsi:type="xsd:string"&gt;8:00 AM&lt;/D&gt;&lt;/FQL&gt;&lt;FQL&gt;&lt;Q&gt;SWK^CS_EVENT_DESC_N("E",1)&lt;/Q&gt;&lt;R&gt;1&lt;/R&gt;&lt;C&gt;1&lt;/C&gt;&lt;D xsi:type="xsd:string"&gt;Q1 2026 Earnings Call&lt;/D&gt;&lt;/FQL&gt;&lt;FQL&gt;&lt;Q&gt;REGN^CS_EVENT_DATEJ_N("E",1)&lt;/Q&gt;&lt;R&gt;1&lt;/R&gt;&lt;C&gt;1&lt;/C&gt;&lt;D xsi:type="xsd:long"&gt;46141&lt;/D&gt;&lt;/FQL&gt;&lt;FQL&gt;&lt;Q&gt;REGN^CS_EVENT_TIME_N("E",1)&lt;/Q&gt;&lt;R&gt;1&lt;/R&gt;&lt;C&gt;1&lt;/C&gt;&lt;D xsi:type="xsd:string"&gt;8:30 AM&lt;/D&gt;&lt;/FQL&gt;&lt;FQL&gt;&lt;Q&gt;REGN^CS_EVENT_DESC_N("E",1)&lt;/Q&gt;&lt;R&gt;1&lt;/R&gt;&lt;C&gt;1&lt;/C&gt;&lt;D xsi:type="xsd:string"&gt;Q1 2026 Earnings Call&lt;/D&gt;&lt;/FQL&gt;&lt;FQL&gt;&lt;Q&gt;ODFL^CS_EVENT_DATEJ_N("E",1)&lt;/Q&gt;&lt;R&gt;0&lt;/R&gt;&lt;C&gt;0&lt;/C&gt;&lt;/FQL&gt;&lt;FQL&gt;&lt;Q&gt;ODFL^CS_EVENT_TIME_N("E",1)&lt;/Q&gt;&lt;R&gt;0&lt;/R&gt;&lt;C&gt;0&lt;/C&gt;&lt;/FQL&gt;&lt;FQL&gt;&lt;Q&gt;ODFL^CS_EVENT_DESC_N("E",1)&lt;/Q&gt;&lt;R&gt;0&lt;/R&gt;&lt;C&gt;0&lt;/C&gt;&lt;/FQL&gt;&lt;FQL&gt;&lt;Q&gt;ALGN^CS_EVENT_DATEJ_N("E",1)&lt;/Q&gt;&lt;R&gt;0&lt;/R&gt;&lt;C&gt;0&lt;/C&gt;&lt;/FQL&gt;&lt;FQL&gt;&lt;Q&gt;ALGN^CS_EVENT_TIME_N("E",1)&lt;/Q&gt;&lt;R&gt;0&lt;/R&gt;&lt;C&gt;0&lt;/C&gt;&lt;/FQL&gt;&lt;FQL&gt;&lt;Q&gt;ALGN^CS_EVENT_DESC_N("E",1)&lt;/Q&gt;&lt;R&gt;0&lt;/R&gt;&lt;C&gt;0&lt;/C&gt;&lt;/FQL&gt;&lt;FQL&gt;&lt;Q&gt;GD^CS_EVENT_DATEJ_N("E",1)&lt;/Q&gt;&lt;R&gt;0&lt;/R&gt;&lt;C&gt;0&lt;/C&gt;&lt;/FQL&gt;&lt;FQL&gt;&lt;Q&gt;GD^CS_EVENT_TIME_N("E",1)&lt;/Q&gt;&lt;R&gt;0&lt;/R&gt;&lt;C&gt;0&lt;/C&gt;&lt;/FQL&gt;&lt;FQL&gt;&lt;Q&gt;GD^CS_EVENT_DESC_N("E",1)&lt;/Q&gt;&lt;R&gt;0&lt;/R&gt;&lt;C&gt;0&lt;/C&gt;&lt;/FQL&gt;&lt;FQL&gt;&lt;Q&gt;ETR^CS_EVENT_DATEJ_N("E",1)&lt;/Q&gt;&lt;R&gt;0&lt;/R&gt;&lt;C&gt;0&lt;/C&gt;&lt;/FQL&gt;&lt;FQL&gt;&lt;Q&gt;ETR^CS_EVENT_TIME_N("E",1)&lt;/Q&gt;&lt;R&gt;0&lt;/R&gt;&lt;C&gt;0&lt;/C&gt;&lt;/FQL&gt;&lt;FQL&gt;&lt;Q&gt;ETR^CS_EVENT_DESC_N("E",1)&lt;/Q&gt;&lt;R&gt;0&lt;/R&gt;&lt;C&gt;0&lt;/C&gt;&lt;/FQL&gt;&lt;FQL&gt;&lt;Q&gt;EG^CS_EVENT_DATEJ_N("E",1)&lt;/Q&gt;&lt;R&gt;1&lt;/R&gt;&lt;C&gt;1&lt;/C&gt;&lt;D xsi:type="xsd:long"&gt;46142&lt;/D&gt;&lt;/FQL&gt;&lt;FQL&gt;&lt;Q&gt;EG^CS_EVENT_TIME_N("E",1)&lt;/Q&gt;&lt;R&gt;1&lt;/R&gt;&lt;C&gt;1&lt;/C&gt;&lt;D xsi:type="xsd:string"&gt;8:00 AM&lt;/D&gt;&lt;/FQL&gt;&lt;FQL&gt;&lt;Q&gt;EG^CS_EVENT_DESC_N("E",1)&lt;/Q&gt;&lt;R&gt;1&lt;/R&gt;&lt;C&gt;1&lt;/C&gt;&lt;D xsi:type="xsd:string"&gt;Q1 2026 Earnings Call&lt;/D&gt;&lt;/FQL&gt;&lt;FQL&gt;&lt;Q&gt;FIX^CS_EVENT_DATEJ_N("E",1)&lt;/Q&gt;&lt;R&gt;0&lt;/R&gt;&lt;C&gt;0&lt;/C&gt;&lt;/FQL&gt;&lt;FQL&gt;&lt;Q&gt;FIX^CS_EVENT_TIME_N("E",1)&lt;/Q&gt;&lt;R&gt;0&lt;/R&gt;&lt;C&gt;0&lt;/C&gt;&lt;/FQL&gt;&lt;FQL&gt;&lt;Q&gt;FIX^CS_EVENT_DESC_N("E",1)&lt;/Q&gt;&lt;R&gt;0&lt;/R&gt;&lt;C&gt;0&lt;/C&gt;&lt;/FQL&gt;&lt;FQL&gt;&lt;Q&gt;ROL^CS_EVENT_DATEJ_N("E",1)&lt;/Q&gt;&lt;R&gt;0&lt;/R&gt;&lt;C&gt;0&lt;/C&gt;&lt;/FQL&gt;&lt;FQL&gt;&lt;Q&gt;ROL^CS_EVENT_TIME_N("E",1)&lt;/Q&gt;&lt;R&gt;0&lt;/R&gt;&lt;C&gt;0&lt;/C&gt;&lt;/FQL&gt;&lt;FQL&gt;&lt;Q&gt;ROL^CS_EVENT_DESC_N("E",1)&lt;/Q&gt;&lt;R&gt;0&lt;/R&gt;&lt;C&gt;0&lt;/C&gt;&lt;/FQL&gt;&lt;FQL&gt;&lt;Q&gt;ADP^CS_EVENT_DATEJ_N("E",1)&lt;/Q&gt;&lt;R&gt;1&lt;/R&gt;&lt;C&gt;1&lt;/C&gt;&lt;D xsi:type="xsd:long"&gt;46141&lt;/D&gt;&lt;/FQL&gt;&lt;FQL&gt;&lt;Q&gt;ADP^CS_EVENT_TIME_N("E",1)&lt;/Q&gt;&lt;R&gt;1&lt;/R&gt;&lt;C&gt;1&lt;/C&gt;&lt;D xsi:type="xsd:string"&gt;8:30 AM&lt;/D&gt;&lt;/FQL&gt;&lt;FQL&gt;&lt;Q&gt;ADP^CS_EVENT_DESC_N("E",1)&lt;/Q&gt;&lt;R&gt;1&lt;/R&gt;&lt;C&gt;1&lt;/C&gt;&lt;D xsi:type="xsd:string"&gt;Q3 2026 Earnings Call&lt;/D&gt;&lt;/FQL&gt;&lt;FQL&gt;&lt;Q&gt;TDY^CS_EVENT_DATEJ_N("E",1)&lt;/Q&gt;&lt;R&gt;0&lt;/R&gt;&lt;C&gt;0&lt;/C&gt;&lt;/FQL&gt;&lt;FQL&gt;&lt;Q&gt;TDY^CS_EVENT_TIME_N("E",1)&lt;/Q&gt;&lt;R&gt;0&lt;/R&gt;&lt;C&gt;0&lt;/C&gt;&lt;/FQL&gt;&lt;FQL&gt;&lt;Q&gt;TDY^CS_EVENT_DESC_N("E",1)&lt;/Q&gt;&lt;R&gt;0&lt;/R&gt;&lt;C&gt;0&lt;/C&gt;&lt;/FQL&gt;&lt;FQL&gt;&lt;Q&gt;URI^CS_EVENT_DATEJ_N("E",1)&lt;/Q&gt;&lt;R&gt;0&lt;/R&gt;&lt;C&gt;0&lt;/C&gt;&lt;/FQL&gt;&lt;FQL&gt;&lt;Q&gt;URI^CS_EVENT_TIME_N("E",1)&lt;/Q&gt;&lt;R&gt;0&lt;/R&gt;&lt;C&gt;0&lt;/C&gt;&lt;/FQL&gt;&lt;FQL&gt;&lt;Q&gt;URI^CS_EVENT_DESC_N("E",1)&lt;/Q&gt;&lt;R&gt;0&lt;/R&gt;&lt;C&gt;0&lt;/C&gt;&lt;/FQL&gt;&lt;FQL&gt;&lt;Q&gt;AMGN^CS_EVENT_DATEJ_N("E",1)&lt;/Q&gt;&lt;R&gt;0&lt;/R&gt;&lt;C&gt;0&lt;/C&gt;&lt;/FQL&gt;&lt;FQL&gt;&lt;Q&gt;AMGN^CS_EVENT_TIME_N("E",1)&lt;/Q&gt;&lt;R&gt;0&lt;/R&gt;&lt;C&gt;0&lt;/C&gt;&lt;/FQL&gt;&lt;FQL&gt;&lt;Q&gt;AMGN^CS_EVENT_DESC_N("E",1)&lt;/Q&gt;&lt;R&gt;0&lt;/R&gt;&lt;C&gt;0&lt;/C&gt;&lt;/FQL&gt;&lt;FQL&gt;&lt;Q&gt;AVY^CS_EVENT_DATEJ_N("E",1)&lt;/Q&gt;&lt;R&gt;0&lt;/R&gt;&lt;C&gt;0&lt;/C&gt;&lt;/FQL&gt;&lt;FQL&gt;&lt;Q&gt;AVY^CS_EVENT_TIME_N("E",1)&lt;/Q&gt;&lt;R&gt;0&lt;/R&gt;&lt;C&gt;0&lt;/C&gt;&lt;/FQL&gt;&lt;FQL&gt;&lt;Q&gt;AVY^CS_EVENT_DESC_N("E",1)&lt;/Q&gt;&lt;R&gt;0&lt;/R&gt;&lt;C&gt;0&lt;/C&gt;&lt;/FQL&gt;&lt;FQL&gt;&lt;Q&gt;EQT^CS_EVENT_DATEJ_N("E",1)&lt;/Q&gt;&lt;R&gt;0&lt;/R&gt;&lt;C&gt;0&lt;/C&gt;&lt;/FQL&gt;&lt;FQL&gt;&lt;Q&gt;EQT^CS_EVENT_TIME_N("E",1)&lt;/Q&gt;&lt;R&gt;0&lt;/R&gt;&lt;C&gt;0&lt;/C&gt;&lt;/FQL&gt;&lt;FQL&gt;&lt;Q&gt;EQT^CS_EVENT_DESC_N("E",1)&lt;/Q&gt;&lt;R&gt;0&lt;/R&gt;&lt;C&gt;0&lt;/C&gt;&lt;/FQL&gt;&lt;FQL&gt;&lt;Q&gt;ORLY^CS_EVENT_DATEJ_N("E",1)&lt;/Q&gt;&lt;R&gt;0&lt;/R&gt;&lt;C&gt;0&lt;/C&gt;&lt;/FQL&gt;&lt;FQL&gt;&lt;Q&gt;ORLY^CS_EVENT_TIME_N("E",1)&lt;/Q&gt;&lt;R&gt;0&lt;/R&gt;&lt;C&gt;0&lt;/C&gt;&lt;/FQL&gt;&lt;FQL&gt;&lt;Q&gt;ORLY^CS_EVENT_DESC_N("E",1)&lt;/Q&gt;&lt;R&gt;0&lt;/R&gt;&lt;C&gt;0&lt;/C&gt;&lt;/FQL&gt;&lt;FQL&gt;&lt;Q&gt;TMO^CS_EVENT_DATEJ_N("E",1)&lt;/Q&gt;&lt;R&gt;0&lt;/R&gt;&lt;C&gt;0&lt;/C&gt;&lt;/FQL&gt;&lt;FQL&gt;&lt;Q&gt;TMO^CS_EVENT_TIME_N("E",1)&lt;/Q&gt;&lt;R&gt;0&lt;/R&gt;&lt;C&gt;0&lt;/C&gt;&lt;/FQL&gt;&lt;FQL&gt;&lt;Q&gt;TMO^CS_EVENT_DESC_N("E",1)&lt;/Q&gt;&lt;R&gt;0&lt;/R&gt;&lt;C&gt;0&lt;/C&gt;&lt;/FQL&gt;&lt;FQL&gt;&lt;Q&gt;AVB^CS_EVENT_DATEJ_N("E",1)&lt;/Q&gt;&lt;R&gt;0&lt;/R&gt;&lt;C&gt;0&lt;/C&gt;&lt;/FQL&gt;&lt;FQL&gt;&lt;Q&gt;AVB^CS_EVENT_TIME_N("E",1)&lt;/Q&gt;&lt;R&gt;0&lt;/R&gt;&lt;C&gt;0&lt;/C&gt;&lt;/FQL&gt;&lt;FQL&gt;&lt;Q&gt;AVB^CS_EVENT_DESC_N("E",1)&lt;/Q&gt;&lt;R&gt;0&lt;/R&gt;&lt;C&gt;0&lt;/C&gt;&lt;/FQL&gt;&lt;FQL&gt;&lt;Q&gt;LRCX^CS_EVENT_DATEJ_N("E",1)&lt;/Q&gt;&lt;R&gt;0&lt;/R&gt;&lt;C&gt;0&lt;/C&gt;&lt;/FQL&gt;&lt;FQL&gt;&lt;Q&gt;LRCX^CS_EVENT_TIME_N("E",1)&lt;/Q&gt;&lt;R&gt;0&lt;/R&gt;&lt;C&gt;0&lt;/C&gt;&lt;/FQL&gt;&lt;FQL&gt;&lt;Q&gt;LRCX^CS_EVENT_DESC_N("E",1)&lt;/Q&gt;&lt;R&gt;0&lt;/R&gt;&lt;C&gt;0&lt;/C&gt;&lt;/FQL&gt;&lt;FQL&gt;&lt;Q&gt;TYL^CS_EVENT_DATEJ_N("E",1)&lt;/Q&gt;&lt;R&gt;0&lt;/R&gt;&lt;C&gt;0&lt;/C&gt;&lt;/FQL&gt;&lt;FQL&gt;&lt;Q&gt;TYL^CS_EVENT_TIME_N("E",1)&lt;/Q&gt;&lt;R&gt;0&lt;/R&gt;&lt;C&gt;0&lt;/C&gt;&lt;/FQL&gt;&lt;FQL&gt;&lt;Q&gt;TYL^CS_EVENT_DESC_N("E",1)&lt;/Q&gt;&lt;R&gt;0&lt;/R&gt;&lt;C&gt;0&lt;/C&gt;&lt;/FQL&gt;&lt;FQL&gt;&lt;Q&gt;REG^CS_EVENT_DATEJ_N("E",1)&lt;/Q&gt;&lt;R&gt;1&lt;/R&gt;&lt;C&gt;1&lt;/C&gt;&lt;D xsi:type="xsd:long"&gt;46142&lt;/D&gt;&lt;/FQL&gt;&lt;FQL&gt;&lt;Q&gt;REG^CS_EVENT_TIME_N("E",1)&lt;/Q&gt;&lt;R&gt;1&lt;/R&gt;&lt;C&gt;1&lt;/C&gt;&lt;D xsi:type="xsd:string"&gt;11:00 AM&lt;/D&gt;&lt;/FQL&gt;&lt;FQL&gt;&lt;Q&gt;REG^CS_EVENT_DESC_N("E",1)&lt;/Q&gt;&lt;R&gt;1&lt;/R&gt;&lt;C&gt;1&lt;/C&gt;&lt;D xsi:type="xsd:string"&gt;Q1 2026 Earnings Call&lt;/D&gt;&lt;/FQL&gt;&lt;FQL&gt;&lt;Q&gt;BG^CS_EVENT_DATEJ_N("E",1)&lt;/Q&gt;&lt;R&gt;1&lt;/R&gt;&lt;C&gt;1&lt;/C&gt;&lt;D xsi:type="xsd:long"&gt;46141&lt;/D&gt;&lt;/FQL&gt;&lt;FQL&gt;&lt;Q&gt;BG^CS_EVENT_TIME_N("E",1)&lt;/Q&gt;&lt;R&gt;1&lt;/R&gt;&lt;C&gt;1&lt;/C&gt;&lt;D xsi:type="xsd:string"&gt;8:00 AM&lt;/D&gt;&lt;/FQL&gt;&lt;FQL&gt;&lt;Q&gt;BG^CS_EVENT_DESC_N("E",1)&lt;/Q&gt;&lt;R&gt;1&lt;/R&gt;&lt;C&gt;1&lt;/C&gt;&lt;D xsi:type="xsd:string"&gt;Q1 2026 Earnings Call&lt;/D&gt;&lt;/FQL&gt;&lt;FQL&gt;&lt;Q&gt;F^CS_EVENT_DATEJ_N("E",1)&lt;/Q&gt;&lt;R&gt;1&lt;/R&gt;&lt;C&gt;1&lt;/C&gt;&lt;D xsi:type="xsd:long"&gt;46141&lt;/D&gt;&lt;/FQL&gt;&lt;FQL&gt;&lt;Q&gt;F^CS_EVENT_TIME_N("E",1)&lt;/Q&gt;&lt;R&gt;1&lt;/R&gt;&lt;C&gt;1&lt;/C&gt;&lt;D xsi:type="xsd:string"&gt;5:00 PM&lt;/D&gt;&lt;/FQL&gt;&lt;FQL&gt;&lt;Q&gt;F^CS_EVENT_DESC_N("E",1)&lt;/Q&gt;&lt;R&gt;1&lt;/R&gt;&lt;C&gt;1&lt;/C&gt;&lt;D xsi:type="xsd:string"&gt;Q1 2026 Earnings Call&lt;/D&gt;&lt;/FQL&gt;&lt;FQL&gt;&lt;Q&gt;AFL^CS_EVENT_DATEJ_N("E",1)&lt;/Q&gt;&lt;R&gt;1&lt;/R&gt;&lt;C&gt;1&lt;/C&gt;&lt;D xsi:type="xsd:long"&gt;46142&lt;/D&gt;&lt;/FQL&gt;&lt;FQL&gt;&lt;Q&gt;AFL^CS_EVENT_TIME_N("E",1)&lt;/Q&gt;&lt;R&gt;1&lt;/R&gt;&lt;C&gt;1&lt;/C&gt;&lt;D xsi:type="xsd:string"&gt;8:00 AM&lt;/D&gt;&lt;/FQL&gt;&lt;FQL&gt;&lt;Q&gt;AFL^CS_EVENT_DESC_N("E",1)&lt;/Q&gt;&lt;R&gt;1&lt;/R&gt;&lt;C&gt;1&lt;/C&gt;&lt;D xsi:type="xsd:string"&gt;Q1 2026 Earnings Call&lt;/D&gt;&lt;/FQL&gt;&lt;FQL&gt;&lt;Q&gt;HUM^CS_EVENT_DATEJ_N("E",1)&lt;/Q&gt;&lt;R&gt;1&lt;/R&gt;&lt;C&gt;1&lt;/C&gt;&lt;D xsi:type="xsd:long"&gt;46141&lt;/D&gt;&lt;/FQL&gt;&lt;FQL&gt;&lt;Q&gt;HUM^CS_EVENT_TIME_N("E",1)&lt;/Q&gt;&lt;R&gt;1&lt;/R&gt;&lt;C&gt;1&lt;/C&gt;&lt;D xsi:type="xsd:string"&gt;8:00 AM&lt;/D&gt;&lt;/FQL&gt;&lt;FQL&gt;&lt;Q&gt;HUM^CS_EVENT_DESC_N("E",1)&lt;/Q&gt;&lt;R&gt;1&lt;/R&gt;&lt;C&gt;1&lt;/C&gt;&lt;D xsi:type="xsd:string"&gt;Q1 2026 Earnings Call&lt;/D&gt;&lt;/FQL&gt;&lt;FQL&gt;&lt;Q&gt;CMG^CS_EVENT_DATEJ_N("E",1)&lt;/Q&gt;&lt;R&gt;1&lt;/R&gt;&lt;C&gt;1&lt;/C&gt;&lt;D xsi:type="xsd:long"&gt;46141&lt;/D&gt;&lt;/FQL&gt;&lt;FQL&gt;&lt;Q&gt;CMG^CS_EVENT_TIME_N("E",1)&lt;/Q&gt;&lt;R&gt;1&lt;/R&gt;&lt;C&gt;1&lt;/C&gt;&lt;D xsi:type="xsd:string"&gt;4:30 PM&lt;/D&gt;&lt;/FQL&gt;&lt;FQL&gt;&lt;Q&gt;CMG^CS_EVENT_DESC_N("E",1)&lt;/Q&gt;&lt;R&gt;1&lt;/R&gt;&lt;C&gt;1&lt;/C&gt;&lt;D xsi:type="xsd:string"&gt;Q1 2026 Earnings Call&lt;/D&gt;&lt;/FQL&gt;&lt;FQL&gt;&lt;Q&gt;ABBV^CS_EVENT_DATEJ_N("E",1)&lt;/Q&gt;&lt;R&gt;1&lt;/R&gt;&lt;C&gt;1&lt;/C&gt;&lt;D xsi:type="xsd:long"&gt;46141&lt;/D&gt;&lt;/FQL&gt;&lt;FQL&gt;&lt;Q&gt;ABBV^CS_EVENT_TIME_N("E",1)&lt;/Q&gt;&lt;R&gt;1&lt;/R&gt;&lt;C&gt;1&lt;/C&gt;&lt;D xsi:type="xsd:string"&gt;9:00 AM&lt;/D&gt;&lt;/FQL&gt;&lt;FQL&gt;&lt;Q&gt;ABBV^CS_EVENT_DESC_N("E",1)&lt;/Q&gt;&lt;R&gt;1&lt;/R&gt;&lt;C&gt;1&lt;/C&gt;&lt;D xsi:type="xsd:string"&gt;Q1 2026 Earnings Call&lt;/D&gt;&lt;/FQL&gt;&lt;FQL&gt;&lt;Q&gt;STX^CS_EVENT_DATEJ_N("E",1)&lt;/Q&gt;&lt;R&gt;0&lt;/R&gt;&lt;C&gt;0&lt;/C&gt;&lt;/FQL&gt;&lt;FQL&gt;&lt;Q&gt;STX^CS_EVENT_TIME_N("E",1)&lt;/Q&gt;&lt;R&gt;0&lt;/R&gt;&lt;C&gt;0&lt;/C&gt;&lt;/FQL&gt;&lt;FQL&gt;&lt;Q&gt;STX^CS_EVENT_DESC_N("E",1)&lt;/Q&gt;&lt;R&gt;0&lt;/R&gt;&lt;C&gt;0&lt;/C&gt;&lt;/FQL&gt;&lt;FQL&gt;&lt;Q&gt;PTC^CS_EVENT_DATEJ_N("E",1)&lt;/Q&gt;&lt;R&gt;0&lt;/R&gt;&lt;C&gt;0&lt;/C&gt;&lt;/FQL&gt;&lt;FQL&gt;&lt;Q&gt;PTC^CS_EVENT_TIME_N("E",1)&lt;/Q&gt;&lt;R&gt;0&lt;/R&gt;&lt;C&gt;0&lt;/C&gt;&lt;/FQL&gt;&lt;FQL&gt;&lt;Q&gt;PTC^CS_EVENT_DESC_N("E",1)&lt;/Q&gt;&lt;R&gt;0&lt;/R&gt;&lt;C&gt;0&lt;/C&gt;&lt;/FQL&gt;&lt;FQL&gt;&lt;Q&gt;CHRW^CS_EVENT_DATEJ_N("E",1)&lt;/Q&gt;&lt;R&gt;0&lt;/R&gt;&lt;C&gt;0&lt;/C&gt;&lt;/FQL&gt;&lt;FQL&gt;&lt;Q&gt;CHRW^CS_EVENT_TIME_N("E",1)&lt;/Q&gt;&lt;R&gt;0&lt;/R&gt;&lt;C&gt;0&lt;/C&gt;&lt;/FQL&gt;&lt;FQL&gt;&lt;Q&gt;CHRW^CS_EVENT_DESC_N("E",1)&lt;/Q&gt;&lt;R&gt;0&lt;/R&gt;&lt;C&gt;0&lt;/C&gt;&lt;/FQL&gt;&lt;FQL&gt;&lt;Q&gt;LVS^CS_EVENT_DATEJ_N("E",1)&lt;/Q&gt;&lt;R&gt;0&lt;/R&gt;&lt;C&gt;0&lt;/C&gt;&lt;/FQL&gt;&lt;FQL&gt;&lt;Q&gt;LVS^CS_EVENT_TIME_N("E",1)&lt;/Q&gt;&lt;R&gt;0&lt;/R&gt;&lt;C&gt;0&lt;/C&gt;&lt;/FQL&gt;&lt;FQL&gt;&lt;Q&gt;LVS^CS_EVENT_DESC_N("E",1)&lt;/Q&gt;&lt;R&gt;0&lt;/R&gt;&lt;C&gt;0&lt;/C&gt;&lt;/FQL&gt;&lt;FQL&gt;&lt;Q&gt;TEL^CS_EVENT_DATEJ_N("E",1)&lt;/Q&gt;&lt;R&gt;0&lt;/R&gt;&lt;C&gt;0&lt;/C&gt;&lt;/</t>
        </r>
      </text>
    </comment>
    <comment ref="A22" authorId="0" shapeId="0" xr:uid="{75AA3B9B-29A5-494F-A5A0-7E5854F94627}">
      <text>
        <r>
          <rPr>
            <b/>
            <sz val="9"/>
            <color indexed="81"/>
            <rFont val="Tahoma"/>
            <family val="2"/>
          </rPr>
          <t>FQL&gt;&lt;FQL&gt;&lt;Q&gt;TEL^CS_EVENT_TIME_N("E",1)&lt;/Q&gt;&lt;R&gt;0&lt;/R&gt;&lt;C&gt;0&lt;/C&gt;&lt;/FQL&gt;&lt;FQL&gt;&lt;Q&gt;TEL^CS_EVENT_DESC_N("E",1)&lt;/Q&gt;&lt;R&gt;0&lt;/R&gt;&lt;C&gt;0&lt;/C&gt;&lt;/FQL&gt;&lt;FQL&gt;&lt;Q&gt;META^CS_EVENT_DATEJ_N("E",1)&lt;/Q&gt;&lt;R&gt;0&lt;/R&gt;&lt;C&gt;0&lt;/C&gt;&lt;/FQL&gt;&lt;FQL&gt;&lt;Q&gt;META^CS_EVENT_TIME_N("E",1)&lt;/Q&gt;&lt;R&gt;0&lt;/R&gt;&lt;C&gt;0&lt;/C&gt;&lt;/FQL&gt;&lt;FQL&gt;&lt;Q&gt;META^CS_EVENT_DESC_N("E",1)&lt;/Q&gt;&lt;R&gt;0&lt;/R&gt;&lt;C&gt;0&lt;/C&gt;&lt;/FQL&gt;&lt;FQL&gt;&lt;Q&gt;PSX^CS_EVENT_DATEJ_N("E",1)&lt;/Q&gt;&lt;R&gt;1&lt;/R&gt;&lt;C&gt;1&lt;/C&gt;&lt;D xsi:type="xsd:long"&gt;46141&lt;/D&gt;&lt;/FQL&gt;&lt;FQL&gt;&lt;Q&gt;PSX^CS_EVENT_TIME_N("E",1)&lt;/Q&gt;&lt;R&gt;1&lt;/R&gt;&lt;C&gt;1&lt;/C&gt;&lt;D xsi:type="xsd:string"&gt;12:00 PM&lt;/D&gt;&lt;/FQL&gt;&lt;FQL&gt;&lt;Q&gt;PSX^CS_EVENT_DESC_N("E",1)&lt;/Q&gt;&lt;R&gt;1&lt;/R&gt;&lt;C&gt;1&lt;/C&gt;&lt;D xsi:type="xsd:string"&gt;Q1 2026 Earnings Call&lt;/D&gt;&lt;/FQL&gt;&lt;FQL&gt;&lt;Q&gt;NOW^CS_EVENT_DATEJ_N("E",1)&lt;/Q&gt;&lt;R&gt;0&lt;/R&gt;&lt;C&gt;0&lt;/C&gt;&lt;/FQL&gt;&lt;FQL&gt;&lt;Q&gt;NOW^CS_EVENT_TIME_N("E",1)&lt;/Q&gt;&lt;R&gt;0&lt;/R&gt;&lt;C&gt;0&lt;/C&gt;&lt;/FQL&gt;&lt;FQL&gt;&lt;Q&gt;NOW^CS_EVENT_DESC_N("E",1)&lt;/Q&gt;&lt;R&gt;0&lt;/R&gt;&lt;C&gt;0&lt;/C&gt;&lt;/FQL&gt;&lt;FQL&gt;&lt;Q&gt;VICI^CS_EVENT_DATEJ_N("E",1)&lt;/Q&gt;&lt;R&gt;1&lt;/R&gt;&lt;C&gt;1&lt;/C&gt;&lt;D xsi:type="xsd:long"&gt;46142&lt;/D&gt;&lt;/FQL&gt;&lt;FQL&gt;&lt;Q&gt;VICI^CS_EVENT_TIME_N("E",1)&lt;/Q&gt;&lt;R&gt;1&lt;/R&gt;&lt;C&gt;1&lt;/C&gt;&lt;D xsi:type="xsd:string"&gt;10:00 AM&lt;/D&gt;&lt;/FQL&gt;&lt;FQL&gt;&lt;Q&gt;VICI^CS_EVENT_DESC_N("E",1)&lt;/Q&gt;&lt;R&gt;1&lt;/R&gt;&lt;C&gt;1&lt;/C&gt;&lt;D xsi:type="xsd:string"&gt;Q1 2026 Earnings Call&lt;/D&gt;&lt;/FQL&gt;&lt;FQL&gt;&lt;Q&gt;VRT^CS_EVENT_DATEJ_N("E",1)&lt;/Q&gt;&lt;R&gt;0&lt;/R&gt;&lt;C&gt;0&lt;/C&gt;&lt;/FQL&gt;&lt;FQL&gt;&lt;Q&gt;VRT^CS_EVENT_TIME_N("E",1)&lt;/Q&gt;&lt;R&gt;0&lt;/R&gt;&lt;C&gt;0&lt;/C&gt;&lt;/FQL&gt;&lt;FQL&gt;&lt;Q&gt;VRT^CS_EVENT_DESC_N("E",1)&lt;/Q&gt;&lt;R&gt;0&lt;/R&gt;&lt;C&gt;0&lt;/C&gt;&lt;/FQL&gt;&lt;FQL&gt;&lt;Q&gt;OTIS^CS_EVENT_DATEJ_N("E",1)&lt;/Q&gt;&lt;R&gt;0&lt;/R&gt;&lt;C&gt;0&lt;/C&gt;&lt;/FQL&gt;&lt;FQL&gt;&lt;Q&gt;OTIS^CS_EVENT_TIME_N("E",1)&lt;/Q&gt;&lt;R&gt;0&lt;/R&gt;&lt;C&gt;0&lt;/C&gt;&lt;/FQL&gt;&lt;FQL&gt;&lt;Q&gt;OTIS^CS_EVENT_DESC_N("E",1)&lt;/Q&gt;&lt;R&gt;0&lt;/R&gt;&lt;C&gt;0&lt;/C&gt;&lt;/FQL&gt;&lt;FQL&gt;&lt;Q&gt;AES^CS_EVENT_DATEJ_N("E",1)&lt;/Q&gt;&lt;R&gt;0&lt;/R&gt;&lt;C&gt;0&lt;/C&gt;&lt;/FQL&gt;&lt;FQL&gt;&lt;Q&gt;AES^CS_EVENT_TIME_N("E",1)&lt;/Q&gt;&lt;R&gt;0&lt;/R&gt;&lt;C&gt;0&lt;/C&gt;&lt;/FQL&gt;&lt;FQL&gt;&lt;Q&gt;AES^CS_EVENT_DESC_N("E",1)&lt;/Q&gt;&lt;R&gt;0&lt;/R&gt;&lt;C&gt;0&lt;/C&gt;&lt;/FQL&gt;&lt;FQL&gt;&lt;Q&gt;ED^CS_EVENT_DATEJ_N("E",1)&lt;/Q&gt;&lt;R&gt;0&lt;/R&gt;&lt;C&gt;0&lt;/C&gt;&lt;/FQL&gt;&lt;FQL&gt;&lt;Q&gt;ED^CS_EVENT_TIME_N("E",1)&lt;/Q&gt;&lt;R&gt;0&lt;/R&gt;&lt;C&gt;0&lt;/C&gt;&lt;/FQL&gt;&lt;FQL&gt;&lt;Q&gt;ED^CS_EVENT_DESC_N("E",1)&lt;/Q&gt;&lt;R&gt;0&lt;/R&gt;&lt;C&gt;0&lt;/C&gt;&lt;/FQL&gt;&lt;FQL&gt;&lt;Q&gt;SO^CS_EVENT_DATEJ_N("E",1)&lt;/Q&gt;&lt;R&gt;1&lt;/R&gt;&lt;C&gt;1&lt;/C&gt;&lt;D xsi:type="xsd:long"&gt;46142&lt;/D&gt;&lt;/FQL&gt;&lt;FQL&gt;&lt;Q&gt;SO^CS_EVENT_TIME_N("E",1)&lt;/Q&gt;&lt;R&gt;1&lt;/R&gt;&lt;C&gt;1&lt;/C&gt;&lt;D xsi:type="xsd:string"&gt;1:00 PM&lt;/D&gt;&lt;/FQL&gt;&lt;FQL&gt;&lt;Q&gt;SO^CS_EVENT_DESC_N("E",1)&lt;/Q&gt;&lt;R&gt;1&lt;/R&gt;&lt;C&gt;1&lt;/C&gt;&lt;D xsi:type="xsd:string"&gt;Q1 2026 Earnings Call&lt;/D&gt;&lt;/FQL&gt;&lt;FQL&gt;&lt;Q&gt;IP^CS_EVENT_DATEJ_N("E",1)&lt;/Q&gt;&lt;R&gt;1&lt;/R&gt;&lt;C&gt;1&lt;/C&gt;&lt;D xsi:type="xsd:long"&gt;46142&lt;/D&gt;&lt;/FQL&gt;&lt;FQL&gt;&lt;Q&gt;IP^CS_EVENT_TIME_N("E",1)&lt;/Q&gt;&lt;R&gt;1&lt;/R&gt;&lt;C&gt;1&lt;/C&gt;&lt;D xsi:type="xsd:string"&gt;10:00 AM&lt;/D&gt;&lt;/FQL&gt;&lt;FQL&gt;&lt;Q&gt;IP^CS_EVENT_DESC_N("E",1)&lt;/Q&gt;&lt;R&gt;1&lt;/R&gt;&lt;C&gt;1&lt;/C&gt;&lt;D xsi:type="xsd:string"&gt;Q1 2026 Earnings Call&lt;/D&gt;&lt;/FQL&gt;&lt;FQL&gt;&lt;Q&gt;BAX^CS_EVENT_DATEJ_N("E",1)&lt;/Q&gt;&lt;R&gt;0&lt;/R&gt;&lt;C&gt;0&lt;/C&gt;&lt;/FQL&gt;&lt;FQL&gt;&lt;Q&gt;BAX^CS_EVENT_TIME_N("E",1)&lt;/Q&gt;&lt;R&gt;0&lt;/R&gt;&lt;C&gt;0&lt;/C&gt;&lt;/FQL&gt;&lt;FQL&gt;&lt;Q&gt;BAX^CS_EVENT_DESC_N("E",1)&lt;/Q&gt;&lt;R&gt;0&lt;/R&gt;&lt;C&gt;0&lt;/C&gt;&lt;/FQL&gt;&lt;FQL&gt;&lt;Q&gt;MNST^CS_EVENT_DATEJ_N("E",1)&lt;/Q&gt;&lt;R&gt;0&lt;/R&gt;&lt;C&gt;0&lt;/C&gt;&lt;/FQL&gt;&lt;FQL&gt;&lt;Q&gt;MNST^CS_EVENT_TIME_N("E",1)&lt;/Q&gt;&lt;R&gt;0&lt;/R&gt;&lt;C&gt;0&lt;/C&gt;&lt;/FQL&gt;&lt;FQL&gt;&lt;Q&gt;MNST^CS_EVENT_DESC_N("E",1)&lt;/Q&gt;&lt;R&gt;0&lt;/R&gt;&lt;C&gt;0&lt;/C&gt;&lt;/FQL&gt;&lt;FQL&gt;&lt;Q&gt;CAH^CS_EVENT_DATEJ_N("E",1)&lt;/Q&gt;&lt;R&gt;1&lt;/R&gt;&lt;C&gt;1&lt;/C&gt;&lt;D xsi:type="xsd:long"&gt;46142&lt;/D&gt;&lt;/FQL&gt;&lt;FQL&gt;&lt;Q&gt;CAH^CS_EVENT_TIME_N("E",1)&lt;/Q&gt;&lt;R&gt;1&lt;/R&gt;&lt;C&gt;1&lt;/C&gt;&lt;D xsi:type="xsd:string"&gt;8:30 AM&lt;/D&gt;&lt;/FQL&gt;&lt;FQL&gt;&lt;Q&gt;CAH^CS_EVENT_DESC_N("E",1)&lt;/Q&gt;&lt;R&gt;1&lt;/R&gt;&lt;C&gt;1&lt;/C&gt;&lt;D xsi:type="xsd:string"&gt;Q3 2026 Earnings Call&lt;/D&gt;&lt;/FQL&gt;&lt;FQL&gt;&lt;Q&gt;LHX^CS_EVENT_DATEJ_N("E",1)&lt;/Q&gt;&lt;R&gt;1&lt;/R&gt;&lt;C&gt;1&lt;/C&gt;&lt;D xsi:type="xsd:long"&gt;46142&lt;/D&gt;&lt;/FQL&gt;&lt;FQL&gt;&lt;Q&gt;LHX^CS_EVENT_TIME_N("E",1)&lt;/Q&gt;&lt;R&gt;1&lt;/R&gt;&lt;C&gt;1&lt;/C&gt;&lt;D xsi:type="xsd:string"&gt;10:30 AM&lt;/D&gt;&lt;/FQL&gt;&lt;FQL&gt;&lt;Q&gt;LHX^CS_EVENT_DESC_N("E",1)&lt;/Q&gt;&lt;R&gt;1&lt;/R&gt;&lt;C&gt;1&lt;/C&gt;&lt;D xsi:type="xsd:string"&gt;Q1 2026 Earnings Call&lt;/D&gt;&lt;/FQL&gt;&lt;FQL&gt;&lt;Q&gt;AIG^CS_EVENT_DATEJ_N("E",1)&lt;/Q&gt;&lt;R&gt;0&lt;/R&gt;&lt;C&gt;0&lt;/C&gt;&lt;/FQL&gt;&lt;FQL&gt;&lt;Q&gt;AIG^CS_EVENT_TIME_N("E",1)&lt;/Q&gt;&lt;R&gt;0&lt;/R&gt;&lt;C&gt;0&lt;/C&gt;&lt;/FQL&gt;&lt;FQL&gt;&lt;Q&gt;AIG^CS_EVENT_DESC_N("E",1)&lt;/Q&gt;&lt;R&gt;0&lt;/R&gt;&lt;C&gt;0&lt;/C&gt;&lt;/FQL&gt;&lt;FQL&gt;&lt;Q&gt;LLY^CS_EVENT_DATEJ_N("E",1)&lt;/Q&gt;&lt;R&gt;1&lt;/R&gt;&lt;C&gt;1&lt;/C&gt;&lt;D xsi:type="xsd:long"&gt;46142&lt;/D&gt;&lt;/FQL&gt;&lt;FQL&gt;&lt;Q&gt;LLY^CS_EVENT_TIME_N("E",1)&lt;/Q&gt;&lt;R&gt;1&lt;/R&gt;&lt;C&gt;1&lt;/C&gt;&lt;D xsi:type="xsd:string"&gt;10:00 AM&lt;/D&gt;&lt;/FQL&gt;&lt;FQL&gt;&lt;Q&gt;LLY^CS_EVENT_DESC_N("E",1)&lt;/Q&gt;&lt;R&gt;1&lt;/R&gt;&lt;C&gt;1&lt;/C&gt;&lt;D xsi:type="xsd:string"&gt;Q1 2026 Earnings Call&lt;/D&gt;&lt;/FQL&gt;&lt;FQL&gt;&lt;Q&gt;LH^CS_EVENT_DATEJ_N("E",1)&lt;/Q&gt;&lt;R&gt;1&lt;/R&gt;&lt;C&gt;1&lt;/C&gt;&lt;D xsi:type="xsd:long"&gt;46142&lt;/D&gt;&lt;/FQL&gt;&lt;FQL&gt;&lt;Q&gt;LH^CS_EVENT_TIME_N("E",1)&lt;/Q&gt;&lt;R&gt;1&lt;/R&gt;&lt;C&gt;1&lt;/C&gt;&lt;D xsi:type="xsd:string"&gt;9:00 AM&lt;/D&gt;&lt;/FQL&gt;&lt;FQL&gt;&lt;Q&gt;LH^CS_EVENT_DESC_N("E",1)&lt;/Q&gt;&lt;R&gt;1&lt;/R&gt;&lt;C&gt;1&lt;/C&gt;&lt;D xsi:type="xsd:string"&gt;Q1 2026 Earnings Call&lt;/D&gt;&lt;/FQL&gt;&lt;FQL&gt;&lt;Q&gt;BMY^CS_EVENT_DATEJ_N("E",1)&lt;/Q&gt;&lt;R&gt;1&lt;/R&gt;&lt;C&gt;1&lt;/C&gt;&lt;D xsi:type="xsd:long"&gt;46142&lt;/D&gt;&lt;/FQL&gt;&lt;FQL&gt;&lt;Q&gt;BMY^CS_EVENT_TIME_N("E",1)&lt;/Q&gt;&lt;R&gt;1&lt;/R&gt;&lt;C&gt;1&lt;/C&gt;&lt;D xsi:type="xsd:string"&gt;8:00 AM&lt;/D&gt;&lt;/FQL&gt;&lt;FQL&gt;&lt;Q&gt;BMY^CS_EVENT_DESC_N("E",1)&lt;/Q&gt;&lt;R&gt;1&lt;/R&gt;&lt;C&gt;1&lt;/C&gt;&lt;D xsi:type="xsd:string"&gt;Q1 2026 Earnings Call&lt;/D&gt;&lt;/FQL&gt;&lt;FQL&gt;&lt;Q&gt;LNT^CS_EVENT_DATEJ_N("E",1)&lt;/Q&gt;&lt;R&gt;0&lt;/R&gt;&lt;C&gt;0&lt;/C&gt;&lt;/FQL&gt;&lt;FQL&gt;&lt;Q&gt;LNT^CS_EVENT_TIME_N("E",1)&lt;/Q&gt;&lt;R&gt;0&lt;/R&gt;&lt;C&gt;0&lt;/C&gt;&lt;/FQL&gt;&lt;FQL&gt;&lt;Q&gt;LNT^CS_EVENT_DESC_N("E",1)&lt;/Q&gt;&lt;R&gt;0&lt;/R&gt;&lt;C&gt;0&lt;/C&gt;&lt;/FQL&gt;&lt;FQL&gt;&lt;Q&gt;APD^CS_EVENT_DATEJ_N("E",1)&lt;/Q&gt;&lt;R&gt;0&lt;/R&gt;&lt;C&gt;0&lt;/C&gt;&lt;/FQL&gt;&lt;FQL&gt;&lt;Q&gt;APD^CS_EVENT_TIME_N("E",1)&lt;/Q&gt;&lt;R&gt;0&lt;/R&gt;&lt;C&gt;0&lt;/C&gt;&lt;/FQL&gt;&lt;FQL&gt;&lt;Q&gt;APD^CS_EVENT_DESC_N("E",1)&lt;/Q&gt;&lt;R&gt;0&lt;/R&gt;&lt;C&gt;0&lt;/C&gt;&lt;/FQL&gt;&lt;FQL&gt;&lt;Q&gt;SRE^CS_EVENT_DATEJ_N("E",1)&lt;/Q&gt;&lt;R&gt;0&lt;/R&gt;&lt;C&gt;0&lt;/C&gt;&lt;/FQL&gt;&lt;FQL&gt;&lt;Q&gt;SRE^CS_EVENT_TIME_N("E",1)&lt;/Q&gt;&lt;R&gt;0&lt;/R&gt;&lt;C&gt;0&lt;/C&gt;&lt;/FQL&gt;&lt;FQL&gt;&lt;Q&gt;SRE^CS_EVENT_DESC_N("E",1)&lt;/Q&gt;&lt;R&gt;0&lt;/R&gt;&lt;C&gt;0&lt;/C&gt;&lt;/FQL&gt;&lt;FQL&gt;&lt;Q&gt;PPL^CS_EVENT_DATEJ_N("E",1)&lt;/Q&gt;&lt;R&gt;0&lt;/R&gt;&lt;C&gt;0&lt;/C&gt;&lt;/FQL&gt;&lt;FQL&gt;&lt;Q&gt;PPL^CS_EVENT_TIME_N("E",1)&lt;/Q&gt;&lt;R&gt;0&lt;/R&gt;&lt;C&gt;0&lt;/C&gt;&lt;/FQL&gt;&lt;FQL&gt;&lt;Q&gt;PPL^CS_EVENT_DESC_N("E",1)&lt;/Q&gt;&lt;R&gt;0&lt;/R&gt;&lt;C&gt;0&lt;/C&gt;&lt;/FQL&gt;&lt;FQL&gt;&lt;Q&gt;TXT^CS_EVENT_DATEJ_N("E",1)&lt;/Q&gt;&lt;R&gt;1&lt;/R&gt;&lt;C&gt;1&lt;/C&gt;&lt;D xsi:type="xsd:long"&gt;46142&lt;/D&gt;&lt;/FQL&gt;&lt;FQL&gt;&lt;Q&gt;TXT^CS_EVENT_TIME_N("E",1)&lt;/Q&gt;&lt;R&gt;1&lt;/R&gt;&lt;C&gt;1&lt;/C&gt;&lt;D xsi:type="xsd:string"&gt;8:00 AM&lt;/D&gt;&lt;/FQL&gt;&lt;FQL&gt;&lt;Q&gt;TXT^CS_EVENT_DESC_N("E",1)&lt;/Q&gt;&lt;R&gt;1&lt;/R&gt;&lt;C&gt;1&lt;/C&gt;&lt;D xsi:type="xsd:string"&gt;Q1 2026 Earnings Call&lt;/D&gt;&lt;/FQL&gt;&lt;FQL&gt;&lt;Q&gt;AEE^CS_EVENT_DATEJ_N("E",1)&lt;/Q&gt;&lt;R&gt;0&lt;/R&gt;&lt;C&gt;0&lt;/C&gt;&lt;/FQL&gt;&lt;FQL&gt;&lt;Q&gt;AEE^CS_EVENT_TIME_N("E",1)&lt;/Q&gt;&lt;R&gt;0&lt;/R&gt;&lt;C&gt;0&lt;/C&gt;&lt;/FQL&gt;&lt;FQL&gt;&lt;Q&gt;AEE^CS_EVENT_DESC_N("E",1)&lt;/Q&gt;&lt;R&gt;0&lt;/R&gt;&lt;C&gt;0&lt;/C&gt;&lt;/FQL&gt;&lt;FQL&gt;&lt;Q&gt;TRGP^CS_EVENT_DATEJ_N("E",1)&lt;/Q&gt;&lt;R&gt;0&lt;/R&gt;&lt;C&gt;0&lt;/C&gt;&lt;/FQL&gt;&lt;FQL&gt;&lt;Q&gt;TRGP^CS_EVENT_TIME_N("E",1)&lt;/Q&gt;&lt;R&gt;0&lt;/R&gt;&lt;C&gt;0&lt;/C&gt;&lt;/FQL&gt;&lt;FQL&gt;&lt;Q&gt;TRGP^CS_EVENT_DESC_N("E",1)&lt;/Q&gt;&lt;R&gt;0&lt;/R&gt;&lt;C&gt;0&lt;/C&gt;&lt;/FQL&gt;&lt;FQL&gt;&lt;Q&gt;MTD^CS_EVENT_DATEJ_N("E",1)&lt;/Q&gt;&lt;R&gt;0&lt;/R&gt;&lt;C&gt;0&lt;/C&gt;&lt;/FQL&gt;&lt;FQL&gt;&lt;Q&gt;MTD^CS_EVENT_TIME_N("E",1)&lt;/Q&gt;&lt;R&gt;0&lt;/R&gt;&lt;C&gt;0&lt;/C&gt;&lt;/FQL&gt;&lt;FQL&gt;&lt;Q&gt;MTD^CS_EVENT_DESC_N("E",1)&lt;/Q&gt;&lt;R&gt;0&lt;/R&gt;&lt;C&gt;0&lt;/C&gt;&lt;/FQL&gt;&lt;FQL&gt;&lt;Q&gt;APO^CS_EVENT_DATEJ_N("E",1)&lt;/Q&gt;&lt;R&gt;0&lt;/R&gt;&lt;C&gt;0&lt;/C&gt;&lt;/FQL&gt;&lt;FQL&gt;&lt;Q&gt;APO^CS_EVENT_TIME_N("E",1)&lt;/Q&gt;&lt;R&gt;0&lt;/R&gt;&lt;C&gt;0&lt;/C&gt;&lt;/FQL&gt;&lt;FQL&gt;&lt;Q&gt;APO^CS_EVENT_DESC_N("E",1)&lt;/Q&gt;&lt;R&gt;0&lt;/R&gt;&lt;C&gt;0&lt;/C&gt;&lt;/FQL&gt;&lt;FQL&gt;&lt;Q&gt;D^CS_EVENT_DATEJ_N("E",1)&lt;/Q&gt;&lt;R&gt;0&lt;/R&gt;&lt;C&gt;0&lt;/C&gt;&lt;/FQL&gt;&lt;FQL&gt;&lt;Q&gt;D^CS_EVENT_TIME_N("E",1)&lt;/Q&gt;&lt;R&gt;0&lt;/R&gt;&lt;C&gt;0&lt;/C&gt;&lt;/FQL&gt;&lt;FQL&gt;&lt;Q&gt;D^CS_EVENT_DESC_N("E",1)&lt;/Q&gt;&lt;R&gt;0&lt;/R&gt;&lt;C&gt;0&lt;/C&gt;&lt;/FQL&gt;&lt;FQL&gt;&lt;Q&gt;VLO^CS_EVENT_DATEJ_N("E",1)&lt;/Q&gt;&lt;R&gt;1&lt;/R&gt;&lt;C&gt;1&lt;/C&gt;&lt;D xsi:type="xsd:long"&gt;46142&lt;/D&gt;&lt;/FQL&gt;&lt;FQL&gt;&lt;Q&gt;VLO^CS_EVENT_TIME_N("E",1)&lt;/Q&gt;&lt;R&gt;1&lt;/R&gt;&lt;C&gt;1&lt;/C&gt;&lt;D xsi:type="xsd:string"&gt;10:00 AM&lt;/D&gt;&lt;/FQL&gt;&lt;FQL&gt;&lt;Q&gt;VLO^CS_EVENT_DESC_N("E",1)&lt;/Q&gt;&lt;R&gt;1&lt;/R&gt;&lt;C&gt;1&lt;/C&gt;&lt;D xsi:type="xsd:string"&gt;Q1 2026 Earnings Call&lt;/D&gt;&lt;/FQL&gt;&lt;FQL&gt;&lt;Q&gt;PH^CS_EVENT_DATEJ_N("E",1)&lt;/Q&gt;&lt;R&gt;0&lt;/R&gt;&lt;C&gt;0&lt;/C&gt;&lt;/FQL&gt;&lt;FQL&gt;&lt;Q&gt;PH^CS_EVENT_TIME_N("E",1)&lt;/Q&gt;&lt;R&gt;0&lt;/R&gt;&lt;C&gt;0&lt;/C&gt;&lt;/FQL&gt;&lt;FQL&gt;&lt;Q&gt;PH^CS_EVENT_DESC_N("E",1)&lt;/Q&gt;&lt;R&gt;0&lt;/R&gt;&lt;C&gt;0&lt;/C&gt;&lt;/FQL&gt;&lt;FQL&gt;&lt;Q&gt;AAPL^CS_EVENT_DATEJ_N("E",1)&lt;/Q&gt;&lt;R&gt;0&lt;/R&gt;&lt;C&gt;0&lt;/C&gt;&lt;/FQL&gt;&lt;FQL&gt;&lt;Q&gt;AAPL^CS_EVENT_TIME_N("E",1)&lt;/Q&gt;&lt;R&gt;0&lt;/R&gt;&lt;C&gt;0&lt;/C&gt;&lt;/FQL&gt;&lt;FQL&gt;&lt;Q&gt;AAPL^CS_EVENT_DESC_N("E",1)&lt;/Q&gt;&lt;R&gt;0&lt;/R&gt;&lt;C&gt;0&lt;/C&gt;&lt;/FQL&gt;&lt;FQL&gt;&lt;Q&gt;WY^CS_EVENT_DATEJ_N("E",1)&lt;/Q&gt;&lt;R&gt;1&lt;/R&gt;&lt;C&gt;1&lt;/C&gt;&lt;D xsi:type="xsd:long"&gt;46143&lt;/D&gt;&lt;/FQL&gt;&lt;FQL&gt;&lt;Q&gt;WY^CS_EVENT_TIME_N("E",1)&lt;/Q&gt;&lt;R&gt;1&lt;/R&gt;&lt;C&gt;1&lt;/C&gt;&lt;D xsi:type="xsd:string"&gt;10:00 AM&lt;/D&gt;&lt;/FQL&gt;&lt;FQL&gt;&lt;Q&gt;WY^CS_EVENT_DESC_N("E",1)&lt;/Q&gt;&lt;R&gt;1&lt;/R&gt;&lt;C&gt;1&lt;/C&gt;&lt;D xsi:type="xsd:string"&gt;Q1 2026 Earnings Call&lt;/D&gt;&lt;/FQL&gt;&lt;FQL&gt;&lt;Q&gt;PWR^CS_EVENT_DATEJ_N("E",1)&lt;/Q&gt;&lt;R&gt;0&lt;/R&gt;&lt;C&gt;0&lt;/C&gt;&lt;/FQL&gt;&lt;FQL&gt;&lt;Q&gt;PWR^CS_EVENT_TIME_N("E",1)&lt;/Q&gt;&lt;R&gt;0&lt;/R&gt;&lt;C&gt;0&lt;/C&gt;&lt;/FQL&gt;&lt;FQL&gt;&lt;Q&gt;PWR^CS_EVENT_DESC_N("E",1)&lt;/Q&gt;&lt;R&gt;0&lt;/R&gt;&lt;C&gt;0&lt;/C&gt;&lt;/FQL&gt;&lt;FQL&gt;&lt;Q&gt;CTRA^CS_EVENT_DATEJ_N("E",1)&lt;/Q&gt;&lt;R&gt;0&lt;/R&gt;&lt;C&gt;0&lt;/C&gt;&lt;/FQL&gt;&lt;FQL&gt;&lt;Q&gt;CTRA^CS_EVENT_TIME_N("E",1)&lt;/Q&gt;&lt;R&gt;0&lt;/R&gt;&lt;C&gt;0&lt;/C&gt;&lt;/FQL&gt;&lt;FQL&gt;&lt;Q&gt;CTRA^CS_EVENT_DESC_N("E",1)&lt;/Q&gt;&lt;R&gt;0&lt;/R&gt;&lt;C&gt;0&lt;/C&gt;&lt;/FQL&gt;&lt;FQL&gt;&lt;Q&gt;RCL^CS_EVENT_DATEJ_N("E",1)&lt;/Q&gt;&lt;R&gt;0&lt;/R&gt;&lt;C&gt;0&lt;/C&gt;&lt;/FQL&gt;&lt;FQL&gt;&lt;Q&gt;RCL^CS_EVENT_TIME_N("E",1)&lt;/Q&gt;&lt;R&gt;0&lt;/R&gt;&lt;C&gt;0&lt;/C&gt;&lt;/FQL&gt;&lt;FQL&gt;&lt;Q&gt;RCL^CS_EVENT_DESC_N("E",1)&lt;/Q&gt;&lt;R&gt;0&lt;/R&gt;&lt;C&gt;0&lt;/C&gt;&lt;/FQL&gt;&lt;FQL&gt;&lt;Q&gt;BDX^CS_EVENT_DATEJ_N("E",1)&lt;/Q&gt;&lt;R&gt;0&lt;/R&gt;&lt;C&gt;0&lt;/C&gt;&lt;/FQL&gt;&lt;FQL&gt;&lt;Q&gt;BDX^CS_EVENT_TIME_N("E",1)&lt;/Q&gt;&lt;R&gt;0&lt;/R&gt;&lt;C&gt;0&lt;/C&gt;&lt;/FQL&gt;&lt;FQL&gt;&lt;Q&gt;BDX^CS_EVENT_DESC_N("E",1)&lt;/Q&gt;&lt;R&gt;0&lt;/R&gt;&lt;C&gt;0&lt;/C&gt;&lt;/FQL&gt;&lt;FQL&gt;&lt;Q&gt;BALL^CS_EVENT_DATEJ_N("E",1)&lt;/Q&gt;&lt;R&gt;0&lt;/R&gt;&lt;C&gt;0&lt;/C&gt;&lt;/FQL&gt;&lt;FQL&gt;&lt;Q&gt;BALL^CS_EVENT_TIME_N("E",1)&lt;/Q&gt;&lt;R&gt;0&lt;/R&gt;&lt;C&gt;0&lt;/C&gt;&lt;/FQL&gt;&lt;FQL&gt;&lt;Q&gt;BALL^CS_EVENT_DESC_N("E",1)&lt;/Q&gt;&lt;R&gt;0&lt;/R&gt;&lt;C&gt;0&lt;/C&gt;&lt;/FQL&gt;&lt;FQL&gt;&lt;Q&gt;CI^CS_EVENT_DATEJ_N("E",1)&lt;/Q&gt;&lt;R&gt;1&lt;/R&gt;&lt;C&gt;1&lt;/C&gt;&lt;D xsi:type="xsd:long"&gt;46142&lt;/D&gt;&lt;/FQL&gt;&lt;FQL&gt;&lt;Q&gt;CI^CS_EVENT_TIME_N("E",1)&lt;/Q&gt;&lt;R&gt;1&lt;/R&gt;&lt;C&gt;1&lt;/C&gt;&lt;D xsi:type="xsd:string"&gt;8:30 AM&lt;/D&gt;&lt;/FQL&gt;&lt;FQL&gt;&lt;Q&gt;CI^CS_EVENT_DESC_N("E",1)&lt;/Q&gt;&lt;R&gt;1&lt;/R&gt;&lt;C&gt;1&lt;/C&gt;&lt;D xsi:type="xsd:string"&gt;Q1 2026 Earnings Call&lt;/D&gt;&lt;/FQL&gt;&lt;FQL&gt;&lt;Q&gt;HOLX^CS_EVENT_DATEJ_N("E",1)&lt;/Q&gt;&lt;R&gt;0&lt;/R&gt;&lt;C&gt;0&lt;/C&gt;&lt;/FQL&gt;&lt;FQL&gt;&lt;Q&gt;HOLX^CS_EVENT_TIME_N("E",1)&lt;/Q&gt;&lt;R&gt;0&lt;/R&gt;&lt;C&gt;0&lt;/C&gt;&lt;/FQL&gt;&lt;FQL&gt;&lt;Q&gt;HOLX^CS_EVENT_DESC_N("E",1)&lt;/Q&gt;&lt;R&gt;0&lt;/R&gt;&lt;C&gt;0&lt;/C&gt;&lt;/FQL&gt;&lt;FQL&gt;&lt;Q&gt;IRM^CS_EVENT_DATEJ_N("E",1)&lt;/Q&gt;&lt;R&gt;0&lt;/R&gt;&lt;C&gt;0&lt;/C&gt;&lt;/FQL&gt;&lt;FQL&gt;&lt;Q&gt;IRM^CS_EVENT_TIME_N("E",1)&lt;/Q&gt;&lt;R&gt;0&lt;/R&gt;&lt;C&gt;0&lt;/C&gt;&lt;/FQL&gt;&lt;FQL&gt;&lt;Q&gt;IRM^CS_EVENT_DESC_N("E",1)&lt;/Q&gt;&lt;R&gt;0&lt;/R&gt;&lt;C&gt;0&lt;/C&gt;&lt;/FQL&gt;&lt;FQL&gt;&lt;Q&gt;COP^CS_EVENT_DATEJ_N("E",1)&lt;/Q&gt;&lt;R&gt;1&lt;/R&gt;&lt;C&gt;1&lt;/C&gt;&lt;D xsi:type="xsd:long"&gt;46142&lt;/D&gt;&lt;/FQL&gt;&lt;FQL&gt;&lt;Q&gt;COP^CS_EVENT_TIME_N("E",1)&lt;/Q&gt;&lt;R&gt;1&lt;/R&gt;&lt;C&gt;1&lt;/C&gt;&lt;D xsi:type="xsd:string"&gt;12:00 PM&lt;/D&gt;&lt;/FQL&gt;&lt;FQL&gt;&lt;Q&gt;COP^CS_EVENT_DESC_N("E",1)&lt;/Q&gt;&lt;R&gt;1&lt;/R&gt;&lt;C&gt;1&lt;/C&gt;&lt;D xsi:type="xsd:string"&gt;Q1 2026 Earnings Call&lt;/D&gt;&lt;/FQL&gt;&lt;FQL&gt;&lt;Q&gt;DVA^CS_EVENT_DATEJ_N("E",1)&lt;/Q&gt;&lt;R&gt;0&lt;/R&gt;&lt;C&gt;0&lt;/C&gt;&lt;/FQL&gt;&lt;FQL&gt;&lt;Q&gt;DVA^CS_EVENT_TIME_N("E",1)&lt;/Q&gt;&lt;R&gt;0&lt;/R&gt;&lt;C&gt;0&lt;/C&gt;&lt;/FQL&gt;&lt;FQL&gt;&lt;Q&gt;DVA^CS_EVENT_DESC_N("E",1)&lt;/Q&gt;&lt;R&gt;0&lt;/R&gt;&lt;C&gt;0&lt;/C&gt;&lt;/FQL&gt;&lt;FQL&gt;&lt;Q&gt;MPWR^CS_EVENT_DATEJ_N("E",1)&lt;/Q&gt;&lt;R&gt;0&lt;/R&gt;&lt;C&gt;0&lt;/C&gt;&lt;/FQL&gt;&lt;FQL&gt;&lt;Q&gt;MPWR^CS_EVENT_TIME_N("E",1)&lt;/Q&gt;&lt;R&gt;0&lt;/R&gt;&lt;C&gt;0&lt;/C&gt;&lt;/FQL&gt;&lt;FQL&gt;&lt;Q&gt;MPWR^CS_EVENT_DESC_N("E",1)&lt;/Q&gt;&lt;R&gt;0&lt;/R&gt;&lt;C&gt;0&lt;/C&gt;&lt;/FQL&gt;&lt;FQL&gt;&lt;Q&gt;MO^CS_EVENT_DATEJ_N("E",1)&lt;/Q&gt;&lt;R&gt;1&lt;/R&gt;&lt;C&gt;1&lt;/C&gt;&lt;D xsi:type="xsd:long"&gt;46142&lt;/D&gt;&lt;/FQL&gt;&lt;FQL&gt;&lt;Q&gt;MO^CS_EVENT_TIME_N("E",1)&lt;/Q&gt;&lt;R&gt;1&lt;/R&gt;&lt;C&gt;1&lt;/C&gt;&lt;D xsi:type="xsd:string"&gt;9:00 AM&lt;/D&gt;&lt;/FQL&gt;&lt;FQL&gt;&lt;Q&gt;MO^CS_EVENT_DESC_N("E",1)&lt;/Q&gt;&lt;R&gt;1&lt;/R&gt;&lt;C&gt;1&lt;/C&gt;&lt;D xsi:type="xsd:string"&gt;Q1 2026 Earnings Call&lt;/D&gt;&lt;/FQL&gt;&lt;FQL&gt;&lt;Q&gt;PNW^CS_EVENT_DATEJ_N("E",1)&lt;/Q&gt;&lt;R&gt;0&lt;/R&gt;&lt;C&gt;0&lt;/C&gt;&lt;/FQL&gt;&lt;FQL&gt;&lt;Q&gt;PNW^CS_EVENT_TIME_N("E",1)&lt;/Q&gt;&lt;R&gt;0&lt;/R&gt;&lt;C&gt;0&lt;/C&gt;&lt;/FQL&gt;&lt;FQL&gt;&lt;Q&gt;PNW^CS_EVENT_DESC_N("E",1)&lt;/Q&gt;&lt;R&gt;0&lt;/R&gt;&lt;C&gt;0&lt;/C&gt;&lt;/FQL&gt;&lt;FQL&gt;&lt;Q&gt;NRG^CS_EVENT_DATEJ_N("E",1)&lt;/Q&gt;&lt;R&gt;0&lt;/R&gt;&lt;C&gt;0&lt;/C&gt;&lt;/FQL&gt;&lt;FQL&gt;&lt;Q&gt;NRG^CS_EVENT_TIME_N("E",1)&lt;/Q&gt;&lt;R&gt;0&lt;/R&gt;&lt;C&gt;0&lt;/C&gt;&lt;/FQL&gt;&lt;FQL&gt;&lt;Q&gt;NRG^CS_EVENT_DESC_N("E",1)&lt;/Q&gt;&lt;R&gt;0&lt;/R&gt;&lt;C&gt;0&lt;/C&gt;&lt;/FQL&gt;&lt;FQL&gt;&lt;Q&gt;GDDY^CS_EVENT_DATEJ_N("E",1)&lt;/Q&gt;&lt;R&gt;0&lt;/R&gt;&lt;C&gt;0&lt;/C&gt;&lt;/FQL&gt;&lt;FQL&gt;&lt;Q&gt;GDDY^CS_EVENT_TIME_N("E",1)&lt;/Q&gt;&lt;R&gt;0&lt;/R&gt;&lt;C&gt;0&lt;/C&gt;&lt;/FQL&gt;&lt;FQL&gt;&lt;Q&gt;GDDY^CS_EVENT_DESC_N("E",1)&lt;/Q&gt;&lt;R&gt;0&lt;/R&gt;&lt;C&gt;0&lt;/C&gt;&lt;/FQL&gt;&lt;FQL&gt;&lt;Q&gt;MRK^CS_EVENT_DATEJ_N("E",1)&lt;/Q&gt;&lt;R&gt;1&lt;/R&gt;&lt;C&gt;1&lt;/C&gt;&lt;D xsi:type="xsd:long"&gt;46142&lt;/D&gt;&lt;/FQL&gt;&lt;FQL&gt;&lt;Q&gt;MRK^CS_EVENT_TIME_N("E",1)&lt;/Q&gt;&lt;R&gt;1&lt;/R&gt;&lt;C&gt;1&lt;/C&gt;&lt;D xsi:type="xsd:string"&gt;9:00 AM&lt;/D&gt;&lt;/FQL&gt;&lt;FQL&gt;&lt;Q&gt;MRK^CS_EVENT_DESC_N("E",1)&lt;/Q&gt;&lt;R&gt;1&lt;/R&gt;&lt;C&gt;1&lt;/C&gt;&lt;D xsi:type="xsd:string"&gt;Q1 2026 Earnings Call&lt;/D&gt;&lt;/FQL&gt;&lt;FQL&gt;&lt;Q&gt;LYV^CS_EVENT_DATEJ_N("E",1)&lt;/Q&gt;&lt;R&gt;0&lt;/R&gt;&lt;C&gt;0&lt;/C&gt;&lt;/FQL&gt;&lt;FQL&gt;&lt;Q&gt;LYV^CS_EVENT_TIME_N("E",1)&lt;/Q&gt;&lt;R&gt;0&lt;/R&gt;&lt;C&gt;0&lt;/C&gt;&lt;/FQL&gt;&lt;FQL&gt;&lt;Q&gt;LYV^CS_EVENT_DESC_N("E",1)&lt;/Q&gt;&lt;R&gt;0&lt;/R&gt;&lt;C&gt;0&lt;/C&gt;&lt;/FQL&gt;&lt;FQL&gt;&lt;Q&gt;BLDR^CS_EVENT_DATEJ_N("E",1)&lt;/Q&gt;&lt;R&gt;0&lt;/R&gt;&lt;C&gt;0&lt;/C&gt;&lt;/FQL&gt;&lt;FQL&gt;&lt;Q&gt;BLDR^CS_EVENT_TIME_N("E",1)&lt;/Q&gt;&lt;R&gt;0&lt;/R&gt;&lt;C&gt;0&lt;/C&gt;&lt;/FQL&gt;&lt;FQL&gt;&lt;Q&gt;BLDR^CS_EVENT_DESC_N("E",1)&lt;/Q&gt;&lt;R&gt;0&lt;/R&gt;&lt;C&gt;0&lt;/C&gt;&lt;/FQL&gt;&lt;FQL&gt;&lt;Q&gt;FTNT^CS_EVENT_DATEJ_N("E",1)&lt;/Q&gt;&lt;R&gt;0&lt;/R&gt;&lt;C&gt;0&lt;/C&gt;&lt;/FQL&gt;&lt;FQL&gt;&lt;Q&gt;FTNT^CS_EVENT_TIME_N("E",1)&lt;/Q&gt;&lt;R&gt;0&lt;/R&gt;&lt;C&gt;0&lt;/C&gt;&lt;/FQL&gt;&lt;FQL&gt;&lt;Q&gt;FTNT^CS_EVENT_DESC_N("E",1)&lt;/Q&gt;&lt;R&gt;0&lt;/R&gt;&lt;C&gt;0&lt;/C&gt;&lt;/FQL&gt;&lt;FQL&gt;&lt;Q&gt;EPAM^CS_EVENT_DATEJ_N("E",1)&lt;/Q&gt;&lt;R&gt;0&lt;/R&gt;&lt;C&gt;0&lt;/C&gt;&lt;/FQL&gt;&lt;FQL&gt;&lt;Q&gt;EPAM^CS_EVENT_TIME_N("E",1)&lt;/Q&gt;&lt;R&gt;0&lt;/R&gt;&lt;C&gt;0&lt;/C&gt;&lt;/FQL&gt;&lt;FQL&gt;&lt;Q&gt;EPAM^CS_EVENT_DESC_N("E",1)&lt;/Q&gt;&lt;R&gt;0&lt;/R&gt;&lt;C&gt;0&lt;/C&gt;&lt;/FQL&gt;&lt;FQL&gt;&lt;Q&gt;PODD^CS_EVENT_DATEJ_N("E",1)&lt;/Q&gt;&lt;R&gt;0&lt;/R&gt;&lt;C&gt;0&lt;/C&gt;&lt;/FQL&gt;&lt;FQL&gt;&lt;Q&gt;PODD^CS_EVENT_TIME_N("E",1)&lt;/Q&gt;&lt;R&gt;0&lt;/R&gt;&lt;C&gt;0&lt;/C&gt;&lt;/FQL&gt;&lt;FQL&gt;&lt;Q&gt;PODD^CS_EVENT_DESC_N("E",1)&lt;/Q&gt;&lt;R&gt;0&lt;/R&gt;&lt;C&gt;0&lt;/C&gt;&lt;/FQL&gt;&lt;FQL&gt;&lt;Q&gt;ZTS^CS_EVENT_DATEJ_N("E",1)&lt;/Q&gt;&lt;R&gt;0&lt;/R&gt;&lt;C&gt;0&lt;/C&gt;&lt;/FQL&gt;&lt;FQL&gt;&lt;Q&gt;ZTS^CS_EVENT_TIME_N("E",1)&lt;/Q&gt;&lt;R&gt;0&lt;/R&gt;&lt;C&gt;0&lt;/C&gt;&lt;/FQL&gt;&lt;FQL&gt;&lt;Q&gt;ZTS^CS_EVENT_DESC_N("E",1)&lt;/Q&gt;&lt;R&gt;0&lt;/R&gt;&lt;C&gt;0&lt;/C&gt;&lt;/FQL&gt;&lt;FQL&gt;&lt;Q&gt;ICE^CS_EVENT_DATEJ_N("E",1)&lt;/Q&gt;&lt;R&gt;1&lt;/R&gt;&lt;C&gt;1&lt;/C&gt;&lt;D xsi:type="xsd:long"&gt;46142&lt;/D&gt;&lt;/FQL&gt;&lt;FQL&gt;&lt;Q&gt;ICE^CS_EVENT_TIME_N("E",1)&lt;/Q&gt;&lt;R&gt;1&lt;/R&gt;&lt;C&gt;1&lt;/C&gt;&lt;D xsi:type="xsd:string"&gt;8:30 AM&lt;/D&gt;&lt;/FQL&gt;&lt;FQL&gt;&lt;Q&gt;ICE^CS_EVENT_DESC_N("E",1)&lt;/Q&gt;&lt;R&gt;1&lt;/R&gt;&lt;C&gt;1&lt;/C&gt;&lt;D xsi:type="xsd:string"&gt;Q1 2026 Earnings Call&lt;/D&gt;&lt;/FQL&gt;&lt;FQL&gt;&lt;Q&gt;CVNA^CS_EVENT_DATEJ_N("E",1)&lt;/Q&gt;&lt;R&gt;0&lt;/R&gt;&lt;C&gt;0&lt;/C&gt;&lt;/FQL&gt;&lt;FQL&gt;&lt;Q&gt;CVNA^CS_EVENT_TIME_N("E",1)&lt;/Q&gt;&lt;R&gt;0&lt;/R&gt;&lt;C&gt;0&lt;/C&gt;&lt;/FQL&gt;&lt;FQL&gt;&lt;Q&gt;CVNA^CS_EVENT_DESC_N("E",1)&lt;/Q&gt;&lt;R&gt;0&lt;/R&gt;&lt;C&gt;0&lt;/C&gt;&lt;/FQL&gt;&lt;FQL&gt;&lt;Q&gt;MSI^CS_EVENT_DATEJ_N("E",1)&lt;/Q&gt;&lt;R&gt;0&lt;/R&gt;&lt;C&gt;0&lt;/C&gt;&lt;/FQL&gt;&lt;FQL&gt;&lt;Q&gt;MSI^CS_EVENT_TIME_N("E",1)&lt;/Q&gt;&lt;R&gt;0&lt;/R&gt;&lt;C&gt;0&lt;/C&gt;&lt;/FQL&gt;&lt;FQL&gt;&lt;Q&gt;MSI^CS_EVENT_DESC_N("E",1)&lt;/Q&gt;&lt;R&gt;0&lt;/R&gt;&lt;C&gt;0&lt;/C&gt;&lt;/FQL&gt;&lt;FQL&gt;&lt;Q&gt;HII^CS_EVENT_DATEJ_N("E",1)&lt;/Q&gt;&lt;R&gt;0&lt;/R&gt;&lt;C&gt;0&lt;/C&gt;&lt;/FQL&gt;&lt;FQL&gt;&lt;Q&gt;HII^CS_EVENT_TIME_N("E",1)&lt;/Q&gt;&lt;R&gt;0&lt;/R&gt;&lt;C&gt;0&lt;/C&gt;&lt;/FQL&gt;&lt;FQL&gt;&lt;Q&gt;HII^CS_EVENT_DESC_N("E",1)&lt;/Q&gt;&lt;R&gt;0&lt;/R&gt;&lt;C&gt;0&lt;/C&gt;&lt;/FQL&gt;&lt;FQL&gt;&lt;Q&gt;EXPE^CS_EVENT_DATEJ_N("E",1)&lt;/Q&gt;&lt;R&gt;0&lt;/R&gt;&lt;C&gt;0&lt;/C&gt;&lt;/FQL&gt;&lt;FQL&gt;&lt;Q&gt;EXPE^CS_EVENT_TIME_N("E",1)&lt;/Q&gt;&lt;R&gt;0&lt;/R&gt;&lt;C&gt;0&lt;/C&gt;&lt;/FQL&gt;&lt;FQL&gt;&lt;Q&gt;EXPE^CS_EVENT_DESC_N("E",1)&lt;/Q&gt;&lt;R&gt;0&lt;/R&gt;&lt;C&gt;0&lt;/C&gt;&lt;/FQL&gt;&lt;FQL&gt;&lt;Q&gt;XYZ^CS_EVENT_DATEJ_N("E",1)&lt;/Q&gt;&lt;R&gt;0&lt;/R&gt;&lt;C&gt;0&lt;/C&gt;&lt;/FQL&gt;&lt;FQL&gt;&lt;Q&gt;XYZ^CS_EVENT_TIME_N("E",1)&lt;/Q&gt;&lt;R&gt;0&lt;/R&gt;&lt;C&gt;0&lt;/C&gt;&lt;/FQL&gt;&lt;FQL&gt;&lt;Q&gt;XYZ^CS_EVENT_DESC_N("E",1)&lt;/Q&gt;&lt;R&gt;0&lt;/R&gt;&lt;C&gt;0&lt;/C&gt;&lt;/FQL&gt;&lt;FQL&gt;&lt;Q&gt;HWM^CS_EVENT_DATEJ_N("E",1)&lt;/Q&gt;&lt;R&gt;0&lt;/R&gt;&lt;C&gt;0&lt;/C&gt;&lt;/FQL&gt;&lt;FQL&gt;&lt;Q&gt;HWM^CS_EVENT_TIME_N("E",1)&lt;/Q&gt;&lt;R&gt;0&lt;/R&gt;&lt;C&gt;0&lt;/C&gt;&lt;/FQL&gt;&lt;FQL&gt;&lt;Q&gt;HWM^CS_EVENT_DESC_N("E",1)&lt;/Q&gt;&lt;R&gt;0&lt;/R&gt;&lt;C&gt;0&lt;/C&gt;&lt;/FQL&gt;&lt;FQL&gt;&lt;Q&gt;SW^CS_EVENT_DATEJ_N("E",1)&lt;/Q&gt;&lt;R&gt;0&lt;/R&gt;&lt;C&gt;0&lt;/C&gt;&lt;/FQL&gt;&lt;FQL&gt;&lt;Q&gt;SW^CS_EVENT_TIME_N("E",1)&lt;/Q&gt;&lt;R&gt;0&lt;/R&gt;&lt;C&gt;0&lt;/C&gt;&lt;/FQL&gt;&lt;FQL&gt;&lt;Q&gt;SW^CS_EVENT_DESC_N("E",1)&lt;/Q&gt;&lt;R&gt;0&lt;/R&gt;&lt;C&gt;0&lt;/C&gt;&lt;/FQL&gt;&lt;FQL&gt;&lt;Q&gt;MRNA^CS_EVENT_DATEJ_N("E",1)&lt;/Q&gt;&lt;R&gt;0&lt;/R&gt;&lt;C&gt;0&lt;/C&gt;&lt;/FQL&gt;&lt;FQL&gt;&lt;Q&gt;MRNA^CS_EVENT_TIME_N("E",1)&lt;/Q&gt;&lt;R&gt;0&lt;/R&gt;&lt;C&gt;0&lt;/C&gt;&lt;/FQL&gt;&lt;FQL&gt;&lt;Q&gt;MRNA^CS_EVENT_DESC_N("E",1)&lt;/Q&gt;&lt;R&gt;0&lt;/R&gt;&lt;C&gt;0&lt;/C&gt;&lt;/FQL&gt;&lt;FQL&gt;&lt;Q&gt;LIN^CS_EVENT_DATEJ_N("E",1)&lt;/Q&gt;&lt;R&gt;0&lt;/R&gt;&lt;C&gt;0&lt;/C&gt;&lt;/FQL&gt;&lt;FQL&gt;&lt;Q&gt;LIN^CS_EVENT_TIME_N("E",1)&lt;/Q&gt;&lt;R&gt;0&lt;/R&gt;&lt;C&gt;0&lt;/C&gt;&lt;/FQL&gt;&lt;FQL&gt;&lt;Q&gt;LIN^CS_EVENT_DESC_N("E",1)&lt;/Q&gt;&lt;R&gt;0&lt;/R&gt;&lt;C&gt;0&lt;/C&gt;&lt;/FQL&gt;&lt;FQL&gt;&lt;Q&gt;DDOG^CS_EVENT_DATEJ_N("E",1)&lt;/Q&gt;&lt;R&gt;0&lt;/R&gt;&lt;C&gt;0&lt;/C&gt;&lt;/FQL&gt;&lt;FQL&gt;&lt;Q&gt;DDOG^CS_EVENT_TIME_N("E",1)&lt;/Q&gt;&lt;R&gt;0&lt;/R&gt;&lt;C&gt;0&lt;/C&gt;&lt;/FQL&gt;&lt;FQL&gt;&lt;Q&gt;DDOG^CS_EVENT_DESC_N("E",1)&lt;/Q&gt;&lt;R&gt;0&lt;/R&gt;&lt;C&gt;0&lt;/C&gt;&lt;/FQL&gt;&lt;FQL&gt;&lt;Q&gt;DASH^CS_EVENT_DATEJ_N("E",1)&lt;/Q&gt;&lt;R&gt;0&lt;/R&gt;&lt;C&gt;0&lt;/C&gt;&lt;/FQL&gt;&lt;FQL&gt;&lt;Q&gt;DASH^CS_EVENT_TIME_N("E",1)&lt;/Q&gt;&lt;R&gt;0&lt;/R&gt;&lt;C&gt;0&lt;/C&gt;&lt;/FQL&gt;&lt;FQL&gt;&lt;Q&gt;DASH^CS_EVENT_DESC_N("E",1)&lt;/Q&gt;&lt;R&gt;0&lt;/R&gt;&lt;C&gt;0&lt;/C&gt;&lt;/FQL&gt;&lt;FQL&gt;&lt;Q&gt;SNDK^CS_EVENT_DATEJ_N("E",1)&lt;/Q&gt;&lt;R&gt;1&lt;/R&gt;&lt;C&gt;1&lt;/C&gt;&lt;D xsi:type="xsd:long"&gt;46142&lt;/D&gt;&lt;/FQL&gt;&lt;FQL&gt;&lt;Q&gt;SNDK^CS_EVENT_TIME_N("E",1)&lt;/Q&gt;&lt;R&gt;1&lt;/R&gt;&lt;C&gt;1&lt;/C&gt;&lt;D xsi:type="xsd:string"&gt;4:30 PM&lt;/D&gt;&lt;/FQL&gt;&lt;FQL&gt;&lt;Q&gt;SNDK^CS_EVENT_DESC_N("E",1)&lt;/Q&gt;&lt;R&gt;1&lt;/R&gt;&lt;C&gt;1&lt;/C&gt;&lt;D xsi:type="xsd:string"&gt;Q3 2026 Earnings Call&lt;/D&gt;&lt;/FQL&gt;&lt;FQL&gt;&lt;Q&gt;EVRG^CS_EVENT_DATEJ_N("E",1)&lt;/Q&gt;&lt;R&gt;0&lt;/R&gt;&lt;C&gt;0&lt;/C&gt;&lt;/FQL&gt;&lt;FQL&gt;&lt;Q&gt;EVRG^CS_EVENT_TIME_N("E",1)&lt;/Q&gt;&lt;R&gt;0&lt;/R&gt;&lt;C&gt;0&lt;/C&gt;&lt;/FQL&gt;&lt;FQL&gt;&lt;Q&gt;EVRG^CS_EVENT_DESC_N("E",1)&lt;/Q&gt;&lt;R&gt;0&lt;/R&gt;&lt;C&gt;0&lt;/C&gt;&lt;/FQL&gt;&lt;FQL&gt;&lt;Q&gt;FRT^CS_EVENT_DATEJ_N("E",1)&lt;/Q&gt;&lt;R&gt;1&lt;/R&gt;&lt;C&gt;1&lt;/C&gt;&lt;D xsi:type="xsd:long"&gt;46143&lt;/D&gt;&lt;/FQL&gt;&lt;FQL&gt;&lt;Q&gt;FRT^CS_EVENT_TIME_N("E",1)&lt;/Q&gt;&lt;R&gt;1&lt;/R&gt;&lt;C&gt;1&lt;/C&gt;&lt;D xsi:type="xsd:string"&gt;9:00 AM&lt;/D&gt;&lt;/FQL&gt;&lt;FQL&gt;&lt;Q&gt;FRT^CS_EVENT_DESC_N("E",1)&lt;/Q&gt;&lt;R&gt;1&lt;/R&gt;&lt;C&gt;1&lt;/C&gt;&lt;D xsi:type="xsd:string"&gt;Q1 2026 Earnings Call&lt;/D&gt;&lt;/FQL&gt;&lt;FQL&gt;&lt;Q&gt;CL^CS_EVENT_DATEJ_N("E",1)&lt;/Q&gt;&lt;R&gt;1&lt;/R&gt;&lt;C&gt;1&lt;/C&gt;&lt;D xsi:type="xsd:long"&gt;46143&lt;/D&gt;&lt;/FQL&gt;&lt;FQL&gt;&lt;Q&gt;CL^CS_EVENT_TIME_N("E",1)&lt;/Q&gt;&lt;R&gt;1&lt;/R&gt;&lt;C&gt;1&lt;/C&gt;&lt;D xsi:type="xsd:string"&gt;8:30 AM&lt;/D&gt;&lt;/FQL&gt;&lt;FQL&gt;&lt;Q&gt;CL^CS_EVENT_DESC_N("E",1)&lt;/Q&gt;&lt;R&gt;1&lt;/R&gt;&lt;C&gt;1&lt;/C&gt;&lt;D xsi:type="xsd:string"&gt;Q1 2026 Earnings Call&lt;/D&gt;&lt;/FQL&gt;&lt;FQL&gt;&lt;Q&gt;EL^CS_EVENT_DATEJ_N("E",1)&lt;/Q&gt;&lt;R&gt;1&lt;/R&gt;&lt;C&gt;1&lt;/C&gt;&lt;D xsi:type="xsd:long"&gt;46143&lt;/D&gt;&lt;/FQL&gt;&lt;FQL&gt;&lt;Q&gt;EL^CS_EVENT_TIME_N("E",1)&lt;/Q&gt;&lt;R&gt;1&lt;/R&gt;&lt;C&gt;1&lt;/C&gt;&lt;D xsi:type="xsd:string"&gt;8:30 AM&lt;/D&gt;&lt;/FQL&gt;&lt;FQL&gt;&lt;Q&gt;EL^CS_EVENT_DESC_N("E",1)&lt;/Q&gt;&lt;R&gt;1&lt;/R&gt;&lt;C&gt;1&lt;/C&gt;&lt;D xsi:type="xsd:string"&gt;Q3 2026 Earnings Call&lt;/D&gt;&lt;/FQL&gt;&lt;FQL&gt;&lt;Q&gt;CHD^CS_EVENT_DATEJ_N("E",1)&lt;/Q&gt;&lt;R&gt;1&lt;/R&gt;&lt;C&gt;1&lt;/C&gt;&lt;D xsi:type="xsd:long"&gt;46143&lt;/D&gt;&lt;/FQL&gt;&lt;FQL&gt;&lt;Q&gt;CHD^CS_EVENT_TIME_N("E",1)&lt;/Q&gt;&lt;R&gt;1&lt;/R&gt;&lt;C&gt;1&lt;/C&gt;&lt;D xsi:type="xsd:string"&gt;10:00 AM&lt;/D&gt;&lt;/FQL&gt;&lt;FQL&gt;&lt;Q&gt;CHD^CS_EVENT_DESC_N("E",1)&lt;/Q&gt;&lt;R&gt;1&lt;/R&gt;&lt;C&gt;1&lt;/C&gt;&lt;D xsi:type="xsd:string"&gt;Q1 2026 Earnings Call&lt;/D&gt;&lt;/FQL&gt;&lt;FQL&gt;&lt;Q&gt;CBOE^CS_EVENT_DATEJ_N("E",1)&lt;/Q&gt;&lt;R&gt;1&lt;/R&gt;&lt;C&gt;1&lt;/C&gt;&lt;D xsi:type="xsd:long"&gt;46143&lt;/D&gt;&lt;/FQL&gt;&lt;FQL&gt;&lt;Q&gt;CBOE^CS_EVENT_TIME_N("E",1)&lt;/Q&gt;&lt;R&gt;1&lt;/R&gt;&lt;C&gt;1&lt;/C&gt;&lt;D xsi:type="xsd:string"&gt;8:30 AM&lt;/D&gt;&lt;/FQL&gt;&lt;FQL&gt;&lt;Q&gt;CBOE^CS_EVENT_DESC_N("E",1)&lt;/Q&gt;&lt;R&gt;1&lt;/R&gt;&lt;C&gt;1&lt;/C&gt;&lt;D xsi:type="xsd:string"&gt;Q1 2026 Earnings Call&lt;/D&gt;&lt;/FQL&gt;&lt;FQL&gt;&lt;Q&gt;JCI^CS_EVENT_DATEJ_N("E",1)&lt;/Q&gt;&lt;R&gt;0&lt;/R&gt;&lt;C&gt;0&lt;/C&gt;&lt;/FQL&gt;&lt;FQL&gt;&lt;Q&gt;JCI^CS_EVENT_TIME_N("E",1)&lt;/Q&gt;&lt;R&gt;0&lt;/R&gt;&lt;C&gt;0&lt;/C&gt;&lt;/FQL&gt;&lt;FQL&gt;&lt;Q&gt;JCI^CS_EVENT_DESC_N("E",1)&lt;/Q&gt;&lt;R&gt;0&lt;/R&gt;&lt;C&gt;0&lt;/C&gt;&lt;/FQL&gt;&lt;FQL&gt;&lt;Q&gt;WEC^CS_EVENT_DATEJ_N("E",1)&lt;/Q&gt;&lt;R&gt;0&lt;/R&gt;&lt;C&gt;0&lt;/C&gt;&lt;/FQL&gt;&lt;FQL&gt;&lt;Q&gt;WEC^CS_EVENT_TIME_N("E",1)&lt;/Q&gt;&lt;R&gt;0&lt;/R&gt;&lt;C&gt;0&lt;/C&gt;&lt;/FQL&gt;&lt;FQL&gt;&lt;Q&gt;WEC^CS_EVENT_DESC_N("E",1)&lt;/Q&gt;&lt;R&gt;0&lt;/R&gt;&lt;C&gt;0&lt;/C&gt;&lt;/FQL&gt;&lt;FQL&gt;&lt;Q&gt;BEN^CS_EVENT_DATEJ_N("E",1)&lt;/Q&gt;&lt;R&gt;0&lt;/R&gt;&lt;C&gt;0&lt;/C&gt;&lt;/FQL&gt;&lt;FQL&gt;&lt;Q&gt;BEN^CS_EVENT_TIME_N("E",1)&lt;/Q&gt;&lt;R&gt;0&lt;/R&gt;&lt;C&gt;0&lt;/C&gt;&lt;/FQL&gt;&lt;FQL&gt;&lt;Q&gt;BEN^CS_EVENT_DESC_N("E",1)&lt;/Q&gt;&lt;R&gt;0&lt;/R&gt;&lt;C&gt;0&lt;/C&gt;&lt;/FQL&gt;&lt;FQL&gt;&lt;Q&gt;WMB^CS_EVENT_DATEJ_N("E",1)&lt;/Q&gt;&lt;R&gt;0&lt;/R&gt;&lt;C&gt;0&lt;/C&gt;&lt;/FQL&gt;&lt;FQL&gt;&lt;Q&gt;WMB^CS_EVENT_TIME_N("E",1)&lt;/Q&gt;&lt;R&gt;0&lt;/R&gt;&lt;C&gt;0&lt;/C&gt;&lt;/FQL&gt;&lt;FQL&gt;&lt;Q&gt;WMB^CS_EVENT_DESC_N("E",1)&lt;/Q&gt;&lt;R&gt;0&lt;/R&gt;&lt;C&gt;0&lt;/C&gt;&lt;/FQL&gt;&lt;FQL&gt;&lt;Q&gt;SBAC^CS_EVENT_DATEJ_N("E",1)&lt;/Q&gt;&lt;R&gt;0&lt;/R&gt;&lt;C&gt;0&lt;/C&gt;&lt;/FQL&gt;&lt;FQL&gt;&lt;Q&gt;SBAC^CS_EVENT_TIME_N("E",1)&lt;/Q&gt;&lt;R&gt;0&lt;/R&gt;&lt;C&gt;0&lt;/C&gt;&lt;/FQL&gt;&lt;FQL&gt;&lt;Q&gt;SBAC^CS_EVENT_DESC_N("E",1)&lt;/Q&gt;&lt;R&gt;0&lt;/R&gt;&lt;C&gt;0&lt;/C&gt;&lt;/FQL&gt;&lt;FQL&gt;&lt;Q&gt;WELL^CS_EVENT_DATEJ_N("E",1)&lt;/Q&gt;&lt;R&gt;0&lt;/R&gt;&lt;C&gt;0&lt;/C&gt;&lt;/FQL&gt;&lt;FQL&gt;&lt;Q&gt;WELL^CS_EVENT_TIME_N("E",1)&lt;/Q&gt;&lt;R&gt;0&lt;/R&gt;&lt;C&gt;0&lt;/C&gt;&lt;/FQL&gt;&lt;FQL&gt;&lt;Q&gt;WELL^CS_EVENT_DESC_N("E",1)&lt;/Q&gt;&lt;R&gt;0&lt;/R&gt;&lt;C&gt;0&lt;/C&gt;&lt;/FQL&gt;&lt;FQL&gt;&lt;Q&gt;L^CS_EVENT_DATEJ_N("E",1)&lt;/Q&gt;&lt;R&gt;0&lt;/R&gt;&lt;C&gt;0&lt;/C&gt;&lt;/FQL&gt;&lt;FQL&gt;&lt;Q&gt;L^CS_EVENT_TIME_N("E",1)&lt;/Q&gt;&lt;R&gt;0&lt;/R&gt;&lt;C&gt;0&lt;/C&gt;&lt;/FQL&gt;&lt;FQL&gt;&lt;Q&gt;L^CS_EVENT_DESC_N("E",1)&lt;/Q&gt;&lt;R&gt;0&lt;/R&gt;&lt;C&gt;0&lt;/C&gt;&lt;/FQL&gt;&lt;FQL&gt;&lt;Q&gt;ON^CS_EVENT_DATEJ_N("E",1)&lt;/Q&gt;&lt;R&gt;0&lt;/R&gt;&lt;C&gt;0&lt;/C&gt;&lt;/FQL&gt;&lt;FQL&gt;&lt;Q&gt;ON^CS_EVENT_TIME_N("E",1)&lt;/Q&gt;&lt;R&gt;0&lt;/R&gt;&lt;C&gt;0&lt;/C&gt;&lt;/FQL&gt;&lt;FQL&gt;&lt;Q&gt;ON^CS_EVENT_DESC_N("E",1)&lt;/Q&gt;&lt;R&gt;0&lt;/R&gt;&lt;C&gt;0&lt;/C&gt;&lt;/FQL&gt;&lt;FQL&gt;&lt;Q&gt;GPN^CS_EVENT_DATEJ_N("E",1)&lt;/Q&gt;&lt;R&gt;0&lt;/R&gt;&lt;C&gt;0&lt;/C&gt;&lt;/FQL&gt;&lt;FQL&gt;&lt;Q&gt;GPN^CS_EVENT_TIME_N("E",1)&lt;/Q&gt;&lt;R&gt;0&lt;/R&gt;&lt;C&gt;0&lt;/C&gt;&lt;/FQL&gt;&lt;FQL&gt;&lt;Q&gt;GPN^CS_EVENT_DESC_N("E",1)&lt;/Q&gt;&lt;R&gt;0&lt;/R&gt;&lt;C&gt;0&lt;/C&gt;&lt;/FQL&gt;&lt;FQL&gt;&lt;Q&gt;FFIV^CS_EVENT_DATEJ_N("E",1)&lt;/Q&gt;&lt;R&gt;0&lt;/R&gt;&lt;C&gt;0&lt;/C&gt;&lt;/FQL&gt;&lt;FQL&gt;&lt;Q&gt;FFIV^CS_EVENT_TIME_N("E",1)&lt;/Q&gt;&lt;R&gt;0&lt;/R&gt;&lt;C&gt;0&lt;/C&gt;&lt;/FQL&gt;&lt;FQL&gt;&lt;Q&gt;FFIV^CS_EVENT_DESC_N("E",1)&lt;/Q&gt;&lt;R&gt;0&lt;/R&gt;&lt;C&gt;0&lt;/C&gt;&lt;/FQL&gt;&lt;FQL&gt;&lt;Q&gt;RVTY^CS_EVENT_DATEJ_N("E",1)&lt;/Q&gt;&lt;R&gt;0&lt;/R&gt;&lt;C&gt;0&lt;/C&gt;&lt;/FQL&gt;&lt;FQL&gt;&lt;Q&gt;RVTY^CS_EVENT_TIME_N("E",1)&lt;/Q&gt;&lt;R&gt;0&lt;/R&gt;&lt;C&gt;0&lt;/C&gt;&lt;/FQL&gt;&lt;FQL&gt;&lt;Q&gt;RVTY^CS_EVENT_DESC_N("E",1)&lt;/Q&gt;&lt;R&gt;0&lt;/R&gt;&lt;C&gt;0&lt;/C&gt;&lt;/FQL&gt;&lt;FQL&gt;&lt;Q&gt;BRK.B^CS_EVENT_DATEJ_N("E",1)&lt;/Q&gt;&lt;R&gt;0&lt;/R&gt;&lt;C&gt;0&lt;/C&gt;&lt;/FQL&gt;&lt;FQL&gt;&lt;Q&gt;BRK.B^CS_EVENT_TIME_N("E",1)&lt;/Q&gt;&lt;R&gt;0&lt;/R&gt;&lt;C&gt;0&lt;/C&gt;&lt;/FQL&gt;&lt;FQL&gt;&lt;Q&gt;BRK.B^CS_EVENT_DESC_N("E",1)&lt;/Q&gt;&lt;R&gt;0&lt;/R&gt;&lt;C&gt;0&lt;/C&gt;&lt;/FQL&gt;&lt;FQL&gt;&lt;Q&gt;ANET^CS_EVENT_DATEJ_N("E",1)&lt;/Q&gt;&lt;R&gt;0&lt;/R&gt;&lt;C&gt;0&lt;/C&gt;&lt;/FQL&gt;&lt;FQL&gt;&lt;Q&gt;ANET^CS_EVENT_TIME_N("E",1)&lt;/Q&gt;&lt;R&gt;0&lt;/R&gt;&lt;C&gt;0&lt;/C&gt;&lt;/FQL&gt;&lt;FQL&gt;&lt;Q&gt;ANET^CS_EVENT_DESC_N("E",1)&lt;/Q&gt;&lt;R&gt;0&lt;/R&gt;&lt;C&gt;0&lt;/C&gt;&lt;/FQL&gt;&lt;FQL&gt;&lt;Q&gt;FANG^CS_EVENT_DATEJ_N("E",1)&lt;/Q&gt;&lt;R&gt;0&lt;/R&gt;&lt;C&gt;0&lt;/C&gt;&lt;/FQL&gt;&lt;FQL&gt;&lt;Q&gt;FANG^CS_EVENT_TIME_N("E",1)&lt;/Q&gt;&lt;R&gt;0&lt;/R&gt;&lt;C&gt;0&lt;/C&gt;&lt;/FQL&gt;&lt;FQL&gt;&lt;Q&gt;FANG^CS_EVENT_DESC_N("E",1)&lt;/Q&gt;&lt;R&gt;0&lt;/R&gt;&lt;C&gt;0&lt;/C&gt;&lt;/FQL&gt;&lt;FQL&gt;&lt;Q&gt;PRU^CS_EVENT_DATEJ_N("E",1)&lt;/Q&gt;&lt;R&gt;0&lt;/R&gt;&lt;C&gt;0&lt;/C&gt;&lt;/FQL&gt;&lt;FQL&gt;&lt;Q&gt;PRU^CS_EVENT_TIME_N("E",1)&lt;/Q&gt;&lt;R&gt;0&lt;/R&gt;&lt;C&gt;0&lt;/C&gt;&lt;/FQL&gt;&lt;FQL&gt;&lt;Q&gt;PRU^CS_EVENT_DESC_N("E",1)&lt;/Q&gt;&lt;R&gt;0&lt;/R&gt;&lt;C&gt;0&lt;/C&gt;&lt;/FQL&gt;&lt;FQL&gt;&lt;Q&gt;AME^CS_EVENT_DATEJ_N("E",1)&lt;/Q&gt;&lt;R&gt;0&lt;/R&gt;&lt;C&gt;0&lt;/C&gt;&lt;/FQL&gt;&lt;FQL&gt;&lt;Q&gt;AME^CS_EVENT_TIME_N("E",1)&lt;/Q&gt;&lt;R&gt;0&lt;/R&gt;&lt;C&gt;0&lt;/C&gt;&lt;/FQL&gt;&lt;FQL&gt;&lt;Q&gt;AME^CS_EVENT_DESC_N("E",1)&lt;/Q&gt;&lt;R&gt;0&lt;/R&gt;&lt;C&gt;0&lt;/C&gt;&lt;/FQL&gt;&lt;FQL&gt;&lt;Q&gt;MLM^CS_EVENT_DATEJ_N("E",1)&lt;/Q&gt;&lt;R&gt;0&lt;/R&gt;&lt;C&gt;0&lt;/C&gt;&lt;/FQL&gt;&lt;FQL&gt;&lt;Q&gt;MLM^CS_EVENT_TIME_N("E",1)&lt;/Q&gt;&lt;R&gt;0&lt;/R&gt;&lt;C&gt;0&lt;/C&gt;&lt;/FQL&gt;&lt;FQL&gt;&lt;Q&gt;MLM^CS_EVENT_DESC_N("E",1)&lt;/Q&gt;&lt;R&gt;0&lt;/R&gt;&lt;C&gt;0&lt;/C&gt;&lt;/FQL&gt;&lt;FQL&gt;&lt;Q&gt;ITW^CS_EVENT_DATEJ_N("E",1)&lt;/Q&gt;&lt;R&gt;0&lt;/R&gt;&lt;C&gt;0&lt;/C&gt;&lt;/FQL&gt;&lt;FQL&gt;&lt;Q&gt;ITW^CS_EVENT_TIME_N("E",1)&lt;/Q&gt;&lt;R&gt;0&lt;/R&gt;&lt;C&gt;0&lt;/C&gt;&lt;/FQL&gt;&lt;FQL&gt;&lt;Q&gt;ITW^CS_EVENT_DESC_N("E",1)&lt;/Q&gt;&lt;R&gt;0&lt;/R&gt;&lt;C&gt;0&lt;/C&gt;&lt;/FQL&gt;&lt;FQL&gt;&lt;Q&gt;SBUX^CS_EVENT_DATEJ_N("E",1)&lt;/Q&gt;&lt;R&gt;0&lt;/R&gt;&lt;C&gt;0&lt;/C&gt;&lt;/FQL&gt;&lt;FQL&gt;&lt;Q&gt;SBUX^CS_EVENT_TIME_N("E",1)&lt;/Q&gt;&lt;R&gt;0&lt;/R&gt;&lt;C&gt;0&lt;/C&gt;&lt;/FQL&gt;&lt;FQL&gt;&lt;Q&gt;SBUX^CS_EVENT_DESC_N("E",1)&lt;/Q&gt;&lt;R&gt;0&lt;/R&gt;&lt;C&gt;0&lt;/C&gt;&lt;/FQL&gt;&lt;FQL&gt;&lt;Q&gt;GLW^CS_EVENT_DATEJ_N("E",1)&lt;/Q&gt;&lt;R&gt;0&lt;/R&gt;&lt;C&gt;0&lt;/C&gt;&lt;/FQL&gt;&lt;FQL&gt;&lt;Q&gt;GLW^CS_EVENT_TIME_N("E",1)&lt;/Q&gt;&lt;R&gt;0&lt;/R&gt;&lt;C&gt;0&lt;/C&gt;&lt;/FQL&gt;&lt;FQL&gt;&lt;Q&gt;GLW^CS_EVENT_DESC_N("E",1)&lt;/Q&gt;&lt;R&gt;0&lt;/R&gt;&lt;C&gt;0&lt;/C&gt;&lt;/FQL&gt;&lt;FQL&gt;&lt;Q&gt;CLX^CS_EVENT_DATEJ_N("E",1)&lt;/Q&gt;&lt;R&gt;0&lt;/R&gt;&lt;C&gt;0&lt;/C&gt;&lt;/FQL&gt;&lt;FQL&gt;&lt;Q&gt;CLX^CS_EVENT_TIME_N("E",1)&lt;/Q&gt;&lt;R&gt;0&lt;/R&gt;&lt;C&gt;0&lt;/C&gt;&lt;/FQL&gt;&lt;FQL&gt;&lt;Q&gt;CLX^CS_EVENT_DESC_N("E",1)&lt;/Q&gt;&lt;R&gt;0&lt;/R&gt;&lt;C&gt;0&lt;/C&gt;&lt;/FQL&gt;&lt;FQL&gt;&lt;Q&gt;DVN^CS_EVENT_DATEJ_N("E",1)&lt;/Q&gt;&lt;R&gt;0&lt;/R&gt;&lt;C&gt;0&lt;/C&gt;&lt;/FQL&gt;&lt;FQL&gt;&lt;Q&gt;DVN^CS_EVENT_TIME_N("E",1)&lt;/Q&gt;&lt;R&gt;0&lt;/R&gt;&lt;C&gt;0&lt;/C&gt;&lt;/FQL&gt;&lt;FQL&gt;&lt;Q&gt;DVN^CS_EVENT_DESC_N("E",1)&lt;/Q&gt;&lt;R&gt;0&lt;/R&gt;&lt;C&gt;0&lt;/C&gt;&lt;/FQL&gt;&lt;FQL&gt;&lt;Q&gt;SWKS^CS_EVENT_DATEJ_N("E",1)&lt;/Q&gt;&lt;R&gt;0&lt;/R&gt;&lt;C&gt;0&lt;/C&gt;&lt;/FQL&gt;&lt;FQL&gt;&lt;Q&gt;SWKS^CS_EVENT_TIME_N("E",1)&lt;/Q&gt;&lt;R&gt;0&lt;/R&gt;&lt;C&gt;0&lt;/C&gt;&lt;/FQL&gt;&lt;FQL&gt;&lt;Q&gt;SWKS^CS_EVENT_DESC_N("E",1)&lt;/Q&gt;&lt;R&gt;0&lt;/R&gt;&lt;C&gt;0&lt;/C&gt;&lt;/FQL&gt;&lt;FQL&gt;&lt;Q&gt;OKE^CS_EVENT_DATEJ_N("E",1)&lt;/Q&gt;&lt;R&gt;0&lt;/R&gt;&lt;C&gt;0&lt;/C&gt;&lt;/FQL&gt;&lt;FQL&gt;&lt;Q&gt;OKE^CS_EVENT_TIME_N("E",1)&lt;/Q&gt;&lt;R&gt;0&lt;/R&gt;&lt;C&gt;0&lt;/C&gt;&lt;/FQL&gt;&lt;FQL&gt;&lt;Q&gt;OKE^CS_EVENT_DESC_N("E",1)&lt;/Q&gt;&lt;R&gt;0&lt;/R&gt;&lt;C&gt;0&lt;/C&gt;&lt;/FQL&gt;&lt;FQL&gt;&lt;Q&gt;BXP^CS_EVENT_DATEJ_N("E",1)&lt;/Q&gt;&lt;R&gt;0&lt;/R&gt;&lt;C&gt;0&lt;/C&gt;&lt;/FQL&gt;&lt;FQL&gt;&lt;Q&gt;BXP^CS_EVENT_TIME_N("E",1)&lt;/Q&gt;&lt;R&gt;0&lt;/R&gt;&lt;C&gt;0&lt;/C&gt;&lt;/FQL&gt;&lt;FQL&gt;&lt;Q&gt;BXP^CS_EVENT_DESC_N("E",1)&lt;/Q&gt;&lt;R&gt;0&lt;/R&gt;&lt;C&gt;0&lt;/C&gt;&lt;/FQL&gt;&lt;FQL&gt;&lt;Q&gt;SYY^CS_EVENT_DATEJ_N("E",1)&lt;/Q&gt;&lt;R&gt;0&lt;/R&gt;&lt;C&gt;0&lt;/C&gt;&lt;/FQL&gt;&lt;FQL&gt;&lt;Q&gt;SYY^CS_EVENT_TIME_N("E",1)&lt;/Q&gt;&lt;R&gt;0&lt;/R&gt;&lt;C&gt;0&lt;/C&gt;&lt;/FQL&gt;&lt;FQL&gt;&lt;Q&gt;SYY^CS_EVENT_DESC_N("E",1)&lt;/Q&gt;&lt;R&gt;0&lt;/R&gt;&lt;C&gt;0&lt;/C&gt;&lt;/FQL&gt;&lt;FQL&gt;&lt;Q&gt;ETN^CS_EVENT_DATEJ_N("E",1)&lt;/Q&gt;&lt;R&gt;0&lt;/R&gt;&lt;C&gt;0&lt;/C&gt;&lt;/FQL&gt;&lt;FQL&gt;&lt;Q&gt;ETN^CS_EVENT_TIME_N("E",1)&lt;/Q&gt;&lt;R&gt;0&lt;/R&gt;&lt;C&gt;0&lt;/C&gt;&lt;/FQL&gt;&lt;FQL&gt;&lt;Q&gt;ETN^CS_EVENT_DESC_N("E",1)&lt;/Q&gt;&lt;R&gt;0&lt;/R&gt;&lt;C&gt;0&lt;/C&gt;&lt;/FQL&gt;&lt;FQL&gt;&lt;Q&gt;PEG^CS_EVENT_DATEJ_N("E",1)&lt;/Q&gt;&lt;R&gt;0&lt;/R&gt;&lt;C&gt;0&lt;/C&gt;&lt;/FQL&gt;&lt;FQL&gt;&lt;Q&gt;PEG^CS_EVENT_TIME_N("E",1)&lt;/Q&gt;&lt;R&gt;0&lt;/R&gt;&lt;C&gt;0&lt;/C&gt;&lt;/FQL&gt;&lt;FQL&gt;&lt;Q&gt;PEG^CS_EVENT_DESC_N("E",1)&lt;/Q&gt;&lt;R&gt;0&lt;/R&gt;&lt;C&gt;0&lt;/C&gt;&lt;/FQL&gt;&lt;FQL&gt;&lt;Q&gt;AMD^CS_EVENT_DATEJ_N("E",1)&lt;/Q&gt;&lt;R&gt;0&lt;/R&gt;&lt;C&gt;0&lt;/C&gt;&lt;/FQL&gt;&lt;FQL&gt;&lt;Q&gt;AMD^CS_EVENT_TIME_N("E",1)&lt;/Q&gt;&lt;R&gt;0&lt;/R&gt;&lt;C&gt;0&lt;/C&gt;&lt;/FQL&gt;&lt;FQL&gt;&lt;Q&gt;AMD^CS_EVENT_DESC_N("E",1)&lt;/Q&gt;&lt;R&gt;0&lt;/R&gt;&lt;C&gt;0&lt;/C&gt;&lt;/FQL&gt;&lt;FQL&gt;&lt;Q&gt;AIZ^CS_EVENT_DATEJ_N("E",1)&lt;/Q&gt;&lt;R&gt;0&lt;/R&gt;&lt;C&gt;0&lt;/C&gt;&lt;/FQL&gt;&lt;FQL&gt;&lt;Q&gt;AIZ^CS_EVENT_TIME_N("E",1)&lt;/Q&gt;&lt;R&gt;0&lt;/R&gt;&lt;C&gt;0&lt;/C&gt;&lt;/FQL&gt;&lt;FQL&gt;&lt;Q&gt;AIZ^CS_EVENT_DESC_N("E",1)&lt;/Q&gt;&lt;R&gt;0&lt;/R&gt;&lt;C&gt;0&lt;/C&gt;&lt;/FQL&gt;&lt;FQL&gt;&lt;Q&gt;INCY^CS_EVENT_DATEJ_N("E",1)&lt;/Q&gt;&lt;R&gt;0&lt;/R&gt;&lt;C&gt;0&lt;/C&gt;&lt;/FQL&gt;&lt;FQL&gt;&lt;Q&gt;INCY^CS_EVENT_TIME_N("E",1)&lt;/Q&gt;&lt;R&gt;0&lt;/R&gt;&lt;C&gt;0&lt;/C&gt;&lt;/FQL&gt;&lt;FQL&gt;&lt;Q&gt;INCY^CS_EVENT_DESC_N("E",1)&lt;/Q&gt;&lt;R&gt;0&lt;/R&gt;&lt;C&gt;0&lt;/C&gt;&lt;/FQL&gt;&lt;FQL&gt;&lt;Q&gt;PSA^CS_EVENT_DATEJ_N("E",1)&lt;/Q&gt;&lt;R&gt;0&lt;/R&gt;&lt;C&gt;0&lt;/C&gt;&lt;/FQL&gt;&lt;FQL&gt;&lt;Q&gt;PSA^CS_EVENT_TIME_N("E",1)&lt;/Q&gt;&lt;R&gt;0&lt;/R&gt;&lt;C&gt;0&lt;/C&gt;&lt;/FQL&gt;&lt;FQL&gt;&lt;Q&gt;PSA^CS_EVENT_DESC_N("E",1)&lt;/Q&gt;&lt;R&gt;0&lt;/R&gt;&lt;C&gt;0&lt;/C&gt;&lt;/FQL&gt;&lt;FQL&gt;&lt;Q&gt;EA^CS_EVENT_DATEJ_N("E",1)&lt;/Q&gt;&lt;R&gt;1&lt;/R&gt;&lt;C&gt;1&lt;/C&gt;&lt;D xsi:type="xsd:long"&gt;46147&lt;/D&gt;&lt;/FQL&gt;&lt;FQL&gt;&lt;Q&gt;EA^CS_EVENT_TIME_N("E",1)&lt;/Q&gt;&lt;R&gt;1&lt;/R&gt;&lt;C&gt;1&lt;/C&gt;&lt;D xsi:type="xsd:string"&gt;5:00 PM&lt;/D&gt;&lt;/FQL&gt;&lt;FQL&gt;&lt;Q&gt;EA^CS_EVENT_DESC_N("E",1)&lt;/Q&gt;&lt;R&gt;1&lt;/R&gt;&lt;C&gt;1&lt;/C&gt;&lt;D xsi:type="xsd:string"&gt;Q4 2026 Earnings Call&lt;/D&gt;&lt;/FQL&gt;&lt;FQL&gt;&lt;Q&gt;PFE^CS_EVENT_DATEJ_N("E",1)&lt;/Q&gt;&lt;R&gt;1&lt;/R&gt;&lt;C&gt;1&lt;/C&gt;&lt;D xsi:type="xsd:long"&gt;46147&lt;/D&gt;&lt;/FQL&gt;&lt;FQL&gt;&lt;Q&gt;PFE^CS_EVENT_TIME_N("E",1)&lt;/Q&gt;&lt;R&gt;1&lt;/R&gt;&lt;C&gt;1&lt;/C&gt;&lt;D xsi:type="xsd:string"&gt;10:00 AM&lt;/D&gt;&lt;/FQL&gt;&lt;FQL&gt;&lt;Q&gt;PFE^CS_EVENT_DESC_N("E",1)&lt;/Q&gt;&lt;R&gt;1&lt;/R&gt;&lt;C&gt;1&lt;/C&gt;&lt;D xsi:type="xsd:string"&gt;Q1 2026 Earnings Call&lt;/D&gt;&lt;/FQL&gt;&lt;FQL&gt;&lt;Q&gt;CMI^CS_EVENT_DATEJ_N("E",1)&lt;/Q&gt;&lt;R&gt;0&lt;/R&gt;&lt;C&gt;0&lt;/C&gt;&lt;/FQL&gt;&lt;FQL&gt;&lt;Q&gt;CMI^CS_EVENT_TIME_N("E",1)&lt;/Q&gt;&lt;R&gt;0&lt;/R&gt;&lt;C&gt;0&lt;/C&gt;&lt;/FQL&gt;&lt;FQL&gt;&lt;Q&gt;CMI^CS_EVENT_DESC_N("E",1)&lt;/Q&gt;&lt;R&gt;0&lt;/R&gt;&lt;C&gt;0&lt;/C&gt;&lt;/FQL&gt;&lt;FQL&gt;&lt;Q&gt;ROK^CS_EVENT_DATEJ_N("E",1)&lt;/Q&gt;&lt;R&gt;0&lt;/R&gt;&lt;C&gt;0&lt;/C&gt;&lt;/FQL&gt;&lt;FQL&gt;&lt;Q&gt;ROK^CS_EVENT_TIME_N("E",1)&lt;/Q&gt;&lt;R&gt;0&lt;/R&gt;&lt;C&gt;0&lt;/C&gt;&lt;/FQL&gt;&lt;FQL&gt;&lt;Q&gt;ROK^CS_EVENT_DESC_N("E",1)&lt;/Q&gt;&lt;R&gt;0&lt;/R&gt;&lt;C&gt;0&lt;/C&gt;&lt;/FQL&gt;&lt;FQL&gt;&lt;Q&gt;EOG^CS_EVENT_DATEJ_N("E",1)&lt;/Q&gt;&lt;R&gt;1&lt;/R&gt;&lt;C&gt;1&lt;/C&gt;&lt;D xsi:type="xsd:long"&gt;46148&lt;/D&gt;&lt;/FQL&gt;&lt;FQL&gt;&lt;Q&gt;EOG^CS_EVENT_TIME_N("E",1)&lt;/Q&gt;&lt;R&gt;1&lt;/R&gt;&lt;C&gt;1&lt;/C&gt;&lt;D xsi:type="xsd:string"&gt;10:00 AM&lt;/D&gt;&lt;/FQL&gt;&lt;FQL&gt;&lt;Q&gt;EOG^CS_EVENT_DESC_N("E",1)&lt;/Q&gt;&lt;R&gt;1&lt;/R&gt;&lt;C&gt;1&lt;/C&gt;&lt;D xsi:type="xsd:string"&gt;Q1 2026 Earnings Call&lt;/D&gt;&lt;/FQL&gt;&lt;FQL&gt;&lt;Q&gt;ZBH^CS_EVENT_DATEJ_N("E",1)&lt;/Q&gt;&lt;R&gt;0&lt;/R&gt;&lt;C&gt;0&lt;/C&gt;&lt;/FQL&gt;&lt;FQL&gt;&lt;Q&gt;ZBH^CS_EVENT_TIME_N("E",1)&lt;/Q&gt;&lt;R&gt;0&lt;/R&gt;&lt;C&gt;0&lt;/C&gt;&lt;/FQL&gt;&lt;FQL&gt;&lt;Q&gt;ZBH^CS_EVENT_DESC_N("E",1)&lt;/Q&gt;&lt;R&gt;0&lt;/R&gt;&lt;C&gt;0&lt;/C&gt;&lt;/FQL&gt;&lt;FQL&gt;&lt;Q&gt;LDOS^CS_EVENT_DATEJ_N("E",1)&lt;/Q&gt;&lt;R&gt;0&lt;/R&gt;&lt;C&gt;0&lt;/C&gt;&lt;/FQL&gt;&lt;FQL&gt;&lt;Q&gt;LDOS^CS_EVENT_TIME_N("E",1)&lt;/Q&gt;&lt;R&gt;0&lt;/R&gt;&lt;C&gt;0&lt;/C&gt;&lt;/FQL&gt;&lt;FQL&gt;&lt;Q&gt;LDOS^CS_EVENT_DESC_N("E",1)&lt;/Q&gt;&lt;R&gt;0&lt;/R&gt;&lt;C&gt;0&lt;/C&gt;&lt;/FQL&gt;&lt;FQL&gt;&lt;Q&gt;KKR^CS_EVENT_DATEJ_N("E",1)&lt;/Q&gt;&lt;R&gt;0&lt;/R&gt;&lt;C&gt;0&lt;/C&gt;&lt;/FQL&gt;&lt;FQL&gt;&lt;Q&gt;KKR^CS_EVENT_TIME_N("E",1)&lt;/Q&gt;&lt;R&gt;0&lt;/R&gt;&lt;C&gt;0&lt;/C&gt;&lt;/FQL&gt;&lt;FQL&gt;&lt;Q&gt;KKR^CS_EVENT_DESC_N("E",1)&lt;/Q&gt;&lt;R&gt;0&lt;/R&gt;&lt;C&gt;0&lt;/C&gt;&lt;/FQL&gt;&lt;FQL&gt;&lt;Q&gt;VRSK^CS_EVENT_DATEJ_N("E",1)&lt;/Q&gt;&lt;R&gt;0&lt;/R&gt;&lt;C&gt;0&lt;/C&gt;&lt;/FQL&gt;&lt;FQL&gt;&lt;Q&gt;VRSK^CS_EVENT_TIME_N("E",1)&lt;/Q&gt;&lt;R&gt;0&lt;/R&gt;&lt;C&gt;0&lt;/C&gt;&lt;/FQL&gt;&lt;FQL&gt;&lt;Q&gt;VRSK^CS_EVENT_DESC_N("E",1)&lt;/Q&gt;&lt;R&gt;0&lt;/R&gt;&lt;C&gt;0&lt;/C&gt;&lt;/FQL&gt;&lt;FQL&gt;&lt;Q&gt;TAP^CS_EVENT_DATEJ_N("E",1)&lt;/Q&gt;&lt;R&gt;0&lt;/R&gt;&lt;C&gt;0&lt;/C&gt;&lt;/FQL&gt;&lt;FQL&gt;&lt;Q&gt;TAP^CS_EVENT_TIME_N("E",1)&lt;/Q&gt;&lt;R&gt;0&lt;/R&gt;&lt;C&gt;0&lt;/C&gt;&lt;/FQL&gt;&lt;FQL&gt;&lt;Q&gt;TAP^CS_EVENT_DESC_N("E",1)&lt;/Q&gt;&lt;R&gt;0&lt;/R&gt;&lt;C&gt;0&lt;/C&gt;&lt;/FQL&gt;&lt;FQL&gt;&lt;Q&gt;SMCI^CS_EVENT_DATEJ_N("E",1)&lt;/Q&gt;&lt;R&gt;0&lt;/R&gt;&lt;C&gt;0&lt;/C&gt;&lt;/FQL&gt;&lt;FQL&gt;&lt;Q&gt;SMCI^CS_EVENT_TIME_N("E",1)&lt;/Q&gt;&lt;R&gt;0&lt;/R&gt;&lt;C&gt;0&lt;/C&gt;&lt;/FQL&gt;&lt;FQL&gt;&lt;Q&gt;SMCI^CS_EVENT_DESC_N("E",1)&lt;/Q&gt;&lt;R&gt;0&lt;/R&gt;&lt;C&gt;0&lt;/C&gt;&lt;/FQL&gt;&lt;FQL&gt;&lt;Q&gt;BR^CS_EVENT_DATEJ_N("E",1)&lt;/Q&gt;&lt;R&gt;0&lt;/R&gt;&lt;C&gt;0&lt;/C&gt;&lt;/FQL&gt;&lt;FQL&gt;&lt;Q&gt;BR^CS_EVENT_TIME_N("E",1)&lt;/Q&gt;&lt;R&gt;0&lt;/R&gt;&lt;C&gt;0&lt;/C&gt;&lt;/FQL&gt;&lt;FQL&gt;&lt;Q&gt;BR^CS_EVENT_DESC_N("E",1)&lt;/Q&gt;&lt;R&gt;0&lt;/R&gt;&lt;C&gt;0&lt;/C&gt;&lt;/FQL&gt;&lt;FQL&gt;&lt;Q&gt;MPC^CS_EVENT_DATEJ_N("E",1)&lt;/Q&gt;&lt;R&gt;1&lt;/R&gt;&lt;C&gt;1&lt;/C&gt;&lt;D xsi:type="xsd:long"&gt;46147&lt;/D&gt;&lt;/FQL&gt;&lt;FQL&gt;&lt;Q&gt;MPC^CS_EVENT_TIME_N("E",1)&lt;/Q&gt;&lt;R&gt;1&lt;/R&gt;&lt;C&gt;1&lt;/C&gt;&lt;D xsi:type="xsd:string"&gt;11:00 AM&lt;/D&gt;&lt;/FQL&gt;&lt;FQL&gt;&lt;Q&gt;MPC^CS_EVENT_DESC_N("E",1)&lt;/Q&gt;&lt;R&gt;1&lt;/R&gt;&lt;C&gt;1&lt;/C&gt;&lt;D xsi:type="xsd:string"&gt;Q1 2026 Earnings Call&lt;/D&gt;&lt;/FQL&gt;&lt;FQL&gt;&lt;Q&gt;PYPL^CS_EVENT_DATEJ_N("E",1)&lt;/Q&gt;&lt;R&gt;1&lt;/R&gt;&lt;C&gt;1&lt;/C&gt;&lt;D xsi:type="xsd:long"&gt;46147&lt;/D&gt;&lt;/FQL&gt;&lt;FQL&gt;&lt;Q&gt;PYPL^CS_EVENT_TIME_N("E",1)&lt;/Q&gt;&lt;R&gt;1&lt;/R&gt;&lt;C&gt;1&lt;/C&gt;&lt;D xsi:type="xsd:string"&gt;8:00 AM&lt;/D&gt;&lt;/FQL&gt;&lt;FQL&gt;&lt;Q&gt;PYPL^CS_EVENT_DESC_N("E",1)&lt;/Q&gt;&lt;R&gt;1&lt;/R&gt;&lt;C&gt;1&lt;/C&gt;&lt;D xsi:type="xsd:string"&gt;Q1 2026 Earnings Call&lt;/D&gt;&lt;/FQL&gt;&lt;FQL&gt;&lt;Q&gt;INVH^CS_EVENT_DATEJ_N("E",1)&lt;/Q&gt;&lt;R&gt;0&lt;/R&gt;&lt;C&gt;0&lt;/C&gt;&lt;/FQL&gt;&lt;FQL&gt;&lt;Q&gt;INVH^CS_EVENT_TIME_N("E",1)&lt;/Q&gt;&lt;R&gt;0&lt;/R&gt;&lt;C&gt;0&lt;/C&gt;&lt;/FQL&gt;&lt;FQL&gt;&lt;Q&gt;INVH^CS_EVENT_DESC_N("E",1)&lt;/Q&gt;&lt;R&gt;0&lt;/R&gt;&lt;C&gt;0&lt;/C&gt;&lt;/FQL&gt;&lt;FQL&gt;&lt;Q&gt;APTV^CS_EVENT_DATEJ_N("E",1)&lt;/Q&gt;&lt;R&gt;1&lt;/R&gt;&lt;C&gt;1&lt;/C&gt;&lt;D xsi:type="xsd:long"&gt;46147&lt;/D&gt;&lt;/FQL&gt;&lt;FQL&gt;&lt;Q&gt;APTV^CS_EVENT_TIME_N("E",1)&lt;/Q&gt;&lt;R&gt;1&lt;/R&gt;&lt;C&gt;1&lt;/C&gt;&lt;D xsi:type="xsd:string"&gt;8:00 AM&lt;/D&gt;&lt;/FQL&gt;&lt;FQL&gt;&lt;Q&gt;APTV^CS_EVENT_DESC_N("E",1)&lt;/Q&gt;&lt;R&gt;1&lt;/R&gt;&lt;C&gt;1&lt;/C&gt;&lt;D xsi:type="xsd:string"&gt;Q1 2026 Earnings Call&lt;/D&gt;&lt;/FQL&gt;&lt;FQL&gt;&lt;Q&gt;CTVA^CS_EVENT_DATEJ_N("E",1)&lt;/Q&gt;&lt;R&gt;1&lt;/R&gt;&lt;C&gt;1&lt;/C&gt;&lt;D xsi:type="xsd:long"&gt;46148&lt;/D&gt;&lt;/FQL&gt;&lt;FQL&gt;&lt;Q&gt;CTVA^CS_EVENT_TIME_N("E",1)&lt;/Q&gt;&lt;R&gt;1&lt;/R&gt;&lt;C&gt;1&lt;/C&gt;&lt;D xsi:type="xsd:string"&gt;9:00 AM&lt;/D&gt;&lt;/FQL&gt;&lt;FQL&gt;&lt;Q&gt;CTVA^CS_EVENT_DESC_N("E",1)&lt;/Q&gt;&lt;R&gt;1&lt;/R&gt;&lt;C&gt;1&lt;/C&gt;&lt;D xsi:type="xsd:string"&gt;Q1 2026 Earnings Call&lt;/D&gt;&lt;/FQL&gt;&lt;FQL&gt;&lt;Q&gt;DD^CS_EVENT_DATEJ_N("E",1)&lt;/Q&gt;&lt;R&gt;0&lt;/R&gt;&lt;C&gt;0&lt;/C&gt;&lt;/FQL&gt;&lt;FQL&gt;&lt;Q&gt;DD^CS_EVENT_TIME_N("E",1)&lt;/Q&gt;&lt;R&gt;0&lt;/R&gt;&lt;C&gt;0&lt;/C&gt;&lt;/FQL&gt;&lt;FQL&gt;&lt;Q&gt;DD^CS_EVENT_DESC_N("E",1)&lt;/Q&gt;&lt;R&gt;0&lt;/R&gt;&lt;C&gt;0&lt;/C&gt;&lt;/FQL&gt;&lt;FQL&gt;&lt;Q&gt;AMCR^CS_EVENT_DATEJ_N("E",1)&lt;/Q&gt;&lt;R&gt;0&lt;/R&gt;&lt;C&gt;0&lt;/C&gt;&lt;/FQL&gt;&lt;FQL&gt;&lt;Q&gt;AMCR^CS_EVENT_TIME_N("E",1)&lt;/Q&gt;&lt;R&gt;0&lt;/R&gt;&lt;C&gt;0&lt;/C&gt;&lt;/FQL&gt;&lt;FQL&gt;&lt;Q&gt;AMCR^CS_EVENT_DESC_N("E",1)&lt;/Q&gt;&lt;R&gt;0&lt;/R&gt;&lt;C&gt;0&lt;/C&gt;&lt;/FQL&gt;&lt;FQL&gt;&lt;Q&gt;EXE^CS_EVENT_DATEJ_N("E",1)&lt;/Q&gt;&lt;R&gt;0&lt;/R&gt;&lt;C&gt;0&lt;/C&gt;&lt;/FQL&gt;&lt;FQL&gt;&lt;Q&gt;EXE^CS_EVENT_TIME_N("E",1)&lt;/Q&gt;&lt;R&gt;0&lt;/R&gt;&lt;C&gt;0&lt;/C&gt;&lt;/FQL&gt;&lt;FQL&gt;&lt;Q&gt;EXE^CS_EVENT_DESC_N("E",1)&lt;/Q&gt;&lt;R&gt;0&lt;/R&gt;&lt;C&gt;0&lt;/C&gt;&lt;/FQL&gt;&lt;FQL&gt;&lt;Q&gt;MAR^CS_EVENT_DATEJ_N("E",1)&lt;/Q&gt;&lt;R&gt;0&lt;/R&gt;&lt;C&gt;0&lt;/C&gt;&lt;/FQL&gt;&lt;FQL&gt;&lt;Q&gt;MAR^CS_EVENT_TIME_N("E",1)&lt;/Q&gt;&lt;R&gt;0&lt;/R&gt;&lt;C&gt;0&lt;/C&gt;&lt;/FQL&gt;&lt;FQL&gt;&lt;Q&gt;MAR^CS_EVENT_DESC_N("E",1)&lt;/Q&gt;&lt;R&gt;0&lt;/R&gt;&lt;C&gt;0&lt;/C&gt;&lt;/FQL&gt;&lt;FQL&gt;&lt;Q&gt;VMC^CS_EVENT_DATEJ_N("E",1)&lt;/Q&gt;&lt;R&gt;0&lt;/R&gt;&lt;C&gt;0&lt;/C&gt;&lt;/FQL&gt;&lt;FQL&gt;&lt;Q&gt;VMC^CS_EVENT_TIME_N("E",1)&lt;/Q&gt;&lt;R&gt;0&lt;/R&gt;&lt;C&gt;0&lt;/C&gt;&lt;/FQL&gt;&lt;FQL&gt;&lt;Q&gt;VMC^CS_EVENT_DESC_N("E",1)&lt;/Q&gt;&lt;R&gt;0&lt;/R&gt;&lt;C&gt;0&lt;/C&gt;&lt;/FQL&gt;&lt;FQL&gt;&lt;Q&gt;TECH^CS_EVENT_DATEJ_N("E",1)&lt;/Q&gt;&lt;R&gt;0&lt;/R&gt;&lt;C&gt;0&lt;/C&gt;&lt;/FQL&gt;&lt;FQL&gt;&lt;Q&gt;TECH^CS_EVENT_TIME_N("E",1)&lt;/Q&gt;&lt;R&gt;0&lt;/R&gt;&lt;C&gt;0&lt;/C&gt;&lt;/FQL&gt;&lt;FQL&gt;&lt;Q&gt;TECH^CS_EVENT_DESC_N("E",1)&lt;/Q&gt;&lt;R&gt;0&lt;/R&gt;&lt;C&gt;0&lt;/C&gt;&lt;/FQL&gt;&lt;FQL&gt;&lt;Q&gt;QCOM^CS_EVENT_DATEJ_N("E",1)&lt;/Q&gt;&lt;R&gt;0&lt;/R&gt;&lt;C&gt;0&lt;/C&gt;&lt;/FQL&gt;&lt;FQL&gt;&lt;Q&gt;QCOM^CS_EVENT_TIME_N("E",1)&lt;/Q&gt;&lt;R&gt;0&lt;/R&gt;&lt;C&gt;0&lt;/C&gt;&lt;/FQL&gt;&lt;FQL&gt;&lt;Q&gt;QCOM^CS_EVENT_DESC_N("E",1)&lt;/Q&gt;&lt;R&gt;0&lt;/R&gt;&lt;C&gt;0&lt;/C&gt;&lt;/FQL&gt;&lt;FQL&gt;&lt;Q&gt;ES^CS_EVENT_DATEJ_N("E",1)&lt;/Q&gt;&lt;R&gt;0&lt;/R&gt;&lt;C&gt;0&lt;/C&gt;&lt;/FQL&gt;&lt;FQL&gt;&lt;Q&gt;ES^CS_EVENT_TIME_N("E",1)&lt;/Q&gt;&lt;R&gt;0&lt;/R&gt;&lt;C&gt;0&lt;/C&gt;&lt;/FQL&gt;&lt;FQL&gt;&lt;Q&gt;ES^CS_EVENT_DESC_N("E",1)&lt;/Q&gt;&lt;R&gt;0&lt;/R&gt;&lt;C&gt;0&lt;/C&gt;&lt;/FQL&gt;&lt;FQL&gt;&lt;Q&gt;FICO^CS_EVENT_DATEJ_N("E",1)&lt;/Q&gt;&lt;R&gt;0&lt;/R&gt;&lt;C&gt;0&lt;/C&gt;&lt;/FQL&gt;&lt;FQL&gt;&lt;Q&gt;FICO^CS_EVENT_TIME_N("E",1)&lt;/Q&gt;&lt;R&gt;0&lt;/R&gt;&lt;C&gt;0&lt;/C&gt;&lt;/FQL&gt;&lt;FQL&gt;&lt;Q&gt;FICO^CS_EVENT_DESC_N("E",1)&lt;/Q&gt;&lt;R&gt;0&lt;/R&gt;&lt;C&gt;0&lt;/C&gt;&lt;/FQL&gt;&lt;FQL&gt;&lt;Q&gt;BIIB^CS_EVENT_DATEJ_N("E",1)&lt;/Q&gt;&lt;R&gt;0&lt;/R&gt;&lt;C&gt;0&lt;/C&gt;&lt;/FQL&gt;&lt;FQL&gt;&lt;Q&gt;BIIB^CS_EVENT_TIME_N("E",1)&lt;/Q&gt;&lt;R&gt;0&lt;/R&gt;&lt;C&gt;0&lt;/C&gt;&lt;/FQL&gt;&lt;FQL&gt;&lt;Q&gt;BIIB^CS_EVENT_DESC_N("E",1)&lt;/Q&gt;&lt;R&gt;0&lt;/R&gt;&lt;C&gt;0&lt;/C&gt;&lt;/FQL&gt;&lt;FQL&gt;&lt;Q&gt;O^CS_EVENT_DATEJ_N("E",1)&lt;/Q&gt;&lt;R&gt;0&lt;/R&gt;&lt;C&gt;0&lt;/C&gt;&lt;/FQL&gt;&lt;FQL&gt;&lt;Q&gt;O^CS_EVENT_TIME_N("E",1)&lt;/Q&gt;&lt;R&gt;0&lt;/R&gt;&lt;C&gt;0&lt;/C&gt;&lt;/FQL&gt;&lt;FQL&gt;&lt;Q&gt;O^CS_EVENT_DESC_N("E",1)&lt;/Q&gt;&lt;R&gt;0&lt;/R&gt;&lt;C&gt;0&lt;/C&gt;&lt;/FQL&gt;&lt;FQL&gt;&lt;Q&gt;TRMB^CS_EVENT_DATEJ_N("E",1)&lt;/Q&gt;&lt;R&gt;0&lt;/R&gt;&lt;C&gt;0&lt;/C&gt;&lt;/FQL&gt;&lt;FQL&gt;&lt;Q&gt;TRMB^CS_EVENT_TIME_N("E",1)&lt;/Q&gt;&lt;R&gt;0&lt;/R&gt;&lt;C&gt;0&lt;/C&gt;&lt;/FQL&gt;&lt;FQL&gt;&lt;Q&gt;TRMB^CS_EVENT_DESC_N("E",1)&lt;/Q&gt;&lt;R&gt;0&lt;/R&gt;&lt;C&gt;0&lt;/C&gt;&lt;/FQL&gt;&lt;FQL&gt;&lt;Q&gt;ALB^CS_EVENT_DATEJ_N("E",1)&lt;/Q&gt;&lt;R&gt;0&lt;/R&gt;&lt;C&gt;0&lt;/C&gt;&lt;/FQL&gt;&lt;FQL&gt;&lt;Q&gt;ALB^CS_EVENT_TIME_N("E",1)&lt;/Q&gt;&lt;R&gt;0&lt;/R&gt;&lt;C&gt;0&lt;/C&gt;&lt;/FQL&gt;&lt;FQL&gt;&lt;Q&gt;ALB^CS_EVENT_DESC_N("E",1)&lt;/Q&gt;&lt;R&gt;0&lt;/R&gt;&lt;C&gt;0&lt;/C&gt;&lt;/FQL&gt;&lt;FQL&gt;&lt;Q&gt;YUM^CS_EVENT_DATEJ_N("E",1)&lt;/Q&gt;&lt;R&gt;0&lt;/R&gt;&lt;C&gt;0&lt;/C&gt;&lt;/FQL&gt;&lt;FQL&gt;&lt;Q&gt;YUM^CS_EVENT_TIME_N("E",1)&lt;/Q&gt;&lt;R&gt;0&lt;/R&gt;&lt;C&gt;0&lt;/C&gt;&lt;/FQL&gt;&lt;FQL&gt;&lt;Q&gt;YUM^CS_EVENT_DESC_N("E",1)&lt;/Q&gt;&lt;R&gt;0&lt;/R&gt;&lt;C&gt;0&lt;/C&gt;&lt;/FQL&gt;&lt;FQL&gt;&lt;Q&gt;TT^CS_EVENT_DATEJ_N("E",1)&lt;/Q&gt;&lt;R&gt;0&lt;/R&gt;&lt;C&gt;0&lt;/C&gt;&lt;/FQL&gt;&lt;FQL&gt;&lt;Q&gt;TT^CS_EVENT_TIME_N("E",1)&lt;/Q&gt;&lt;R&gt;0&lt;/R&gt;&lt;C&gt;0&lt;/C&gt;&lt;/FQL&gt;&lt;FQL&gt;&lt;Q&gt;TT^CS_EVENT_DESC_N("E",1)&lt;/Q&gt;&lt;R&gt;0&lt;/R&gt;&lt;C&gt;0&lt;/C&gt;&lt;/FQL&gt;&lt;FQL&gt;&lt;Q&gt;HST^CS_EVENT_DATEJ_N("E",1)&lt;/Q&gt;&lt;R&gt;1&lt;/R&gt;&lt;C&gt;1&lt;/C&gt;&lt;D xsi:type="xsd:long"&gt;46149&lt;/D&gt;&lt;/FQL&gt;&lt;FQL&gt;&lt;Q&gt;HST^CS_EVENT_TIME_N("E",1)&lt;/Q&gt;&lt;R&gt;1&lt;/R&gt;&lt;C&gt;1&lt;/C&gt;&lt;D xsi:type="xsd:string"&gt;10:00 AM&lt;/D&gt;&lt;/FQL&gt;&lt;FQL&gt;&lt;Q&gt;HST^CS_EVENT_DESC_N("E",1)&lt;/Q&gt;&lt;R&gt;1&lt;/R&gt;&lt;C&gt;1&lt;/C&gt;&lt;D xsi:type="xsd:string"&gt;Q1 2026 Earnings Call&lt;/D&gt;&lt;/FQL&gt;&lt;FQL&gt;&lt;Q&gt;CTSH^CS_EVENT_DATEJ_N("E",1)&lt;/Q&gt;&lt;R&gt;0&lt;/R&gt;&lt;C&gt;0&lt;/C&gt;&lt;/FQL&gt;&lt;FQL&gt;&lt;Q&gt;CTSH^CS_EVENT_TIME_N("E",1)&lt;/Q&gt;&lt;R&gt;0&lt;/R&gt;&lt;C&gt;0&lt;/C&gt;&lt;/FQL&gt;&lt;FQL&gt;&lt;Q&gt;CTSH^CS_EVENT_DESC_N("E",1)&lt;/Q&gt;&lt;R&gt;0&lt;/R&gt;&lt;C&gt;0&lt;/C&gt;&lt;/FQL&gt;&lt;FQL&gt;&lt;Q&gt;AEP^CS_EVENT_DATEJ_N("E",1)&lt;/Q&gt;&lt;R&gt;0&lt;/R&gt;&lt;C&gt;0&lt;/C&gt;&lt;/FQL&gt;&lt;FQL&gt;&lt;Q&gt;AEP^CS_EVENT_TIME_N("E",1)&lt;/Q&gt;&lt;R&gt;0&lt;/R&gt;&lt;C&gt;0&lt;/C&gt;&lt;/FQL&gt;&lt;FQL&gt;&lt;Q&gt;AEP^CS_EVENT_DESC_N("E",1)&lt;/Q&gt;&lt;R&gt;0&lt;/R&gt;&lt;C&gt;0&lt;/C&gt;&lt;/FQL&gt;&lt;FQL&gt;&lt;Q&gt;SYK^CS_EVENT_DATEJ_N("E",1)&lt;/Q&gt;&lt;R&gt;0&lt;/R&gt;&lt;C&gt;0&lt;/C&gt;&lt;/FQL&gt;&lt;FQL&gt;&lt;Q&gt;SYK^CS_EVENT_TIME_N("E",1)&lt;/Q&gt;&lt;R&gt;0&lt;/R&gt;&lt;C&gt;0&lt;/C&gt;&lt;/FQL&gt;&lt;FQL&gt;&lt;Q&gt;SYK^CS_EVENT_DESC_N("E",1)&lt;/Q&gt;&lt;R&gt;0&lt;/R&gt;&lt;C&gt;0&lt;/C&gt;&lt;/FQL&gt;&lt;FQL&gt;&lt;Q&gt;GL^CS_EVENT_DATEJ_N("E",1)&lt;/Q&gt;&lt;R&gt;0&lt;/R&gt;&lt;C&gt;0&lt;/C&gt;&lt;/FQL&gt;&lt;FQL&gt;&lt;Q&gt;GL^CS_EVENT_TIME_N("E",1)&lt;/Q&gt;&lt;R&gt;0&lt;/R&gt;&lt;C&gt;0&lt;/C&gt;&lt;/FQL&gt;&lt;FQL&gt;&lt;Q&gt;GL^CS_EVENT_DESC_N("E",1)&lt;/Q&gt;&lt;R&gt;0&lt;/R&gt;&lt;C&gt;0&lt;/C&gt;&lt;/FQL&gt;&lt;FQL&gt;&lt;Q&gt;EBAY^CS_EVENT_DATEJ_N("E",1)&lt;/Q&gt;&lt;R&gt;0&lt;/R&gt;&lt;C&gt;0&lt;/C&gt;&lt;/FQL&gt;&lt;FQL&gt;&lt;Q&gt;EBAY^CS_EVENT_TIME_N("E",1)&lt;/Q&gt;&lt;R&gt;0&lt;/R&gt;&lt;C&gt;0&lt;/C&gt;&lt;/FQL&gt;&lt;FQL&gt;&lt;Q&gt;EBAY^CS_EVENT_DESC_N("E",1)&lt;/Q&gt;&lt;R&gt;0&lt;/R&gt;&lt;C&gt;0&lt;/C&gt;&lt;/FQL&gt;&lt;FQL&gt;&lt;Q&gt;EMR^CS_EVENT_DATEJ_N("E",1)&lt;/Q&gt;&lt;R&gt;0&lt;/R&gt;&lt;C&gt;0&lt;/C&gt;&lt;/FQL&gt;&lt;FQL&gt;&lt;Q&gt;EMR^CS_EVENT_TIME_N("E",1)&lt;/Q&gt;&lt;R&gt;0&lt;/R&gt;&lt;C&gt;0&lt;/C&gt;&lt;/FQL&gt;&lt;FQL&gt;&lt;Q&gt;EMR^CS_EVENT_DESC_N("E",1)&lt;/Q&gt;&lt;R&gt;0&lt;/R&gt;&lt;C&gt;0&lt;/C&gt;&lt;/FQL&gt;&lt;FQL&gt;&lt;Q&gt;COR^CS_EVENT_DATEJ_N("E",1)&lt;/Q&gt;&lt;R&gt;0&lt;/R&gt;&lt;C&gt;0&lt;/C&gt;&lt;/FQL&gt;&lt;FQL&gt;&lt;Q&gt;COR^CS_EVENT_TIME_N("E",1)&lt;/Q&gt;&lt;R&gt;0&lt;/R&gt;&lt;C&gt;0&lt;/C&gt;&lt;/FQL&gt;&lt;FQL&gt;&lt;Q&gt;COR^CS_EVENT_DESC_N("E",1)&lt;/Q&gt;&lt;R&gt;0&lt;/R&gt;&lt;C&gt;0&lt;/C&gt;&lt;/FQL&gt;&lt;FQL&gt;&lt;Q&gt;VTR^CS_EVENT_DATEJ_N("E",1)&lt;/Q&gt;&lt;R&gt;0&lt;/R&gt;&lt;C&gt;0&lt;/C&gt;&lt;/FQL&gt;&lt;FQL&gt;&lt;Q&gt;VTR^CS_EVENT_TIME_N("E",1)&lt;/Q&gt;&lt;R&gt;0&lt;/R&gt;&lt;C&gt;0&lt;/C&gt;&lt;/FQL&gt;&lt;FQL&gt;&lt;Q&gt;VTR^CS_EVENT_DESC_N("E",1)&lt;/Q&gt;&lt;R&gt;0&lt;/R&gt;&lt;C&gt;0&lt;/C&gt;&lt;/FQL&gt;&lt;FQL&gt;&lt;Q&gt;IDXX^CS_EVENT_DATEJ_N("E",1)&lt;/Q&gt;&lt;R&gt;0&lt;/R&gt;&lt;C&gt;0&lt;/C&gt;&lt;/FQL&gt;&lt;FQL&gt;&lt;Q&gt;IDXX^CS_EVENT_TIME_N("E",1)&lt;/Q&gt;&lt;R&gt;0&lt;/R&gt;&lt;C&gt;0&lt;/C&gt;&lt;/FQL&gt;&lt;FQL&gt;&lt;Q&gt;IDXX^CS_EVENT_DESC_N("E",1)&lt;/Q&gt;&lt;R&gt;0&lt;/R&gt;&lt;C&gt;0&lt;/C&gt;&lt;/FQL&gt;&lt;FQL&gt;&lt;Q&gt;TPL^CS_EVENT_DATEJ_N("E",1)&lt;/Q&gt;&lt;R&gt;0&lt;/R&gt;&lt;C&gt;0&lt;/C&gt;&lt;/FQL&gt;&lt;FQL&gt;&lt;Q&gt;TPL^CS_EVENT_TIME_N("E",1)&lt;/Q&gt;&lt;R&gt;0&lt;/R&gt;&lt;C&gt;0&lt;/C&gt;&lt;/FQL&gt;&lt;FQL&gt;&lt;Q&gt;TPL^CS_EVENT_DESC_N("E",1)&lt;/Q&gt;&lt;R&gt;0&lt;/R&gt;&lt;C&gt;0&lt;/C&gt;&lt;/FQL&gt;&lt;FQL&gt;&lt;Q&gt;APA^CS_EVENT_DATEJ_N("E",1)&lt;/Q&gt;&lt;R&gt;0&lt;/R&gt;&lt;C&gt;0&lt;/C&gt;&lt;/FQL&gt;&lt;FQL&gt;&lt;Q&gt;APA^CS_EVENT_TIME_N("E",1)&lt;/Q&gt;&lt;R&gt;0&lt;/R&gt;&lt;C&gt;0&lt;/C&gt;&lt;/FQL&gt;&lt;FQL&gt;&lt;Q&gt;APA^CS_EVENT_DESC_N("E",1)&lt;/Q&gt;&lt;R&gt;0&lt;/R&gt;&lt;C&gt;0&lt;/C&gt;&lt;/FQL&gt;&lt;FQL&gt;&lt;Q&gt;ECL^CS_EVENT_DATEJ_N("ER",1)&lt;/Q&gt;&lt;R&gt;1&lt;/R&gt;&lt;C&gt;1&lt;/C&gt;&lt;D xsi:type="xsd:long"&gt;46140&lt;/D&gt;&lt;/FQL&gt;&lt;FQL&gt;&lt;Q&gt;ECL^CS_EVENT_TIME_N("ER",1)&lt;/Q&gt;&lt;R&gt;1&lt;/R&gt;&lt;C&gt;1&lt;/C&gt;&lt;D xsi:type="xsd:string"&gt;Before Market&lt;/D&gt;&lt;/FQL&gt;&lt;FQL&gt;&lt;Q&gt;ECL^CS_EVENT_DESC_N("ER",1)&lt;/Q&gt;&lt;R&gt;1&lt;/R&gt;&lt;C&gt;1&lt;/C&gt;&lt;D xsi:type="xsd:string"&gt;Q1 2026 Earnings Release&lt;/D&gt;&lt;/FQL&gt;&lt;FQL&gt;&lt;Q&gt;EIX^CS_EVENT_DATEJ_N("ER",1)&lt;/Q&gt;&lt;R&gt;1&lt;/R&gt;&lt;C&gt;1&lt;/C&gt;&lt;D xsi:type="xsd:long"&gt;46140&lt;/D&gt;&lt;/FQL&gt;&lt;FQL&gt;&lt;Q&gt;EIX^CS_EVENT_TIME_N("ER",1)&lt;/Q&gt;&lt;R&gt;1&lt;/R&gt;&lt;C&gt;1&lt;/C&gt;&lt;D xsi:type="xsd:string"&gt;4:05 PM&lt;/D&gt;&lt;/FQL&gt;&lt;FQL&gt;&lt;Q&gt;EIX^CS_EVENT_DESC_N("ER",1)&lt;/Q&gt;&lt;R&gt;1&lt;/R&gt;&lt;C&gt;1&lt;/C&gt;&lt;D xsi:type="xsd:string"&gt;Q1 2026 Earnings Release&lt;/D&gt;&lt;/FQL&gt;&lt;FQL&gt;&lt;Q&gt;UPS^CS_EVENT_DATEJ_N("ER",1)&lt;/Q&gt;&lt;R&gt;1&lt;/R&gt;&lt;C&gt;1&lt;/C&gt;&lt;D xsi:type="xsd:long"&gt;46140&lt;/D&gt;&lt;/FQL&gt;&lt;FQL&gt;&lt;Q&gt;UPS^CS_EVENT_TIME_N("ER",1)&lt;/Q&gt;&lt;R&gt;1&lt;/R&gt;&lt;C&gt;1&lt;/C&gt;&lt;D xsi:type="xsd:string"&gt;6:00 AM&lt;/D&gt;&lt;/FQL&gt;&lt;FQL&gt;&lt;Q&gt;UPS^CS_EVENT_DESC_N("ER",1)&lt;/Q&gt;&lt;R&gt;1&lt;/R&gt;&lt;C&gt;1&lt;/C&gt;&lt;D xsi:type="xsd:string"&gt;Q1 2026 Earnings Release&lt;/D&gt;&lt;/FQL&gt;&lt;FQL&gt;&lt;Q&gt;ACGL^CS_EVENT_DATEJ_N("ER",1)&lt;/Q&gt;&lt;R&gt;1&lt;/R&gt;&lt;C&gt;1&lt;/C&gt;&lt;D xsi:type="xsd:long"&gt;46140&lt;/D&gt;&lt;/FQL&gt;&lt;FQL&gt;&lt;Q&gt;ACGL^CS_EVENT_TIME_N("ER",1)&lt;/Q&gt;&lt;R&gt;1&lt;/R&gt;&lt;C&gt;1&lt;/C&gt;&lt;D xsi:type="xsd:string"&gt;After Market&lt;/D&gt;&lt;/FQL&gt;&lt;FQL&gt;&lt;Q&gt;ACGL^CS_EVENT_DESC_N("ER",1)&lt;/Q&gt;&lt;R&gt;1&lt;/R&gt;&lt;C&gt;1&lt;/C&gt;&lt;D xsi:type="xsd:string"&gt;Q1 2026 Earnings Release&lt;/D&gt;&lt;/FQL&gt;&lt;FQL&gt;&lt;Q&gt;KMB^CS_EVENT_DATEJ_N("ER",1)&lt;/Q&gt;&lt;R&gt;1&lt;/R&gt;&lt;C&gt;1&lt;/C&gt;&lt;D xsi:type="xsd:long"&gt;46140&lt;/D&gt;&lt;/FQL&gt;&lt;FQL&gt;&lt;Q&gt;KMB^CS_EVENT_TIME_N("ER",1)&lt;/Q&gt;&lt;R&gt;1&lt;/R&gt;&lt;C&gt;1&lt;/C&gt;&lt;D xsi:type="xsd:string"&gt;Unspecified&lt;/D&gt;&lt;/FQL&gt;&lt;FQL&gt;&lt;Q&gt;KMB^CS_EVENT_DESC_N("ER",1)&lt;/Q&gt;&lt;R&gt;1&lt;/R&gt;&lt;C&gt;1&lt;/C&gt;&lt;D xsi:type="xsd:string"&gt;Q1 2026 Earnings Release (Projected)&lt;/D&gt;&lt;/FQL&gt;&lt;FQL&gt;&lt;Q&gt;PEP^CS_EVENT_DATEJ_N("ER",1)&lt;/Q&gt;&lt;R&gt;1&lt;/R&gt;&lt;C&gt;1&lt;/C&gt;&lt;D xsi:type="xsd:long"&gt;46140&lt;/D&gt;&lt;/FQL&gt;&lt;FQL&gt;&lt;Q&gt;PEP^CS_EVENT_TIME_N("ER",1)&lt;/Q&gt;&lt;R&gt;1&lt;/R&gt;&lt;C&gt;1&lt;/C&gt;&lt;D xsi:type="xsd:string"&gt;Unspecified&lt;/D&gt;&lt;/FQL&gt;&lt;FQL&gt;&lt;Q&gt;PEP^CS_EVENT_DESC_N("ER",1)&lt;/Q&gt;&lt;R&gt;1&lt;/R&gt;&lt;C&gt;1&lt;/C&gt;&lt;D xsi:type="xsd:string"&gt;Q1 2026 Earnings Release (Projected)&lt;/D&gt;&lt;/FQL&gt;&lt;FQL&gt;&lt;Q&gt;HUBB^CS_EVENT_DATEJ_N("ER",1)&lt;/Q&gt;&lt;R&gt;1&lt;/R</t>
        </r>
      </text>
    </comment>
    <comment ref="A23" authorId="0" shapeId="0" xr:uid="{420279AE-10E5-40D8-8C49-E2FB5302EC73}">
      <text>
        <r>
          <rPr>
            <b/>
            <sz val="9"/>
            <color indexed="81"/>
            <rFont val="Tahoma"/>
            <family val="2"/>
          </rPr>
          <t>&gt;&lt;C&gt;1&lt;/C&gt;&lt;D xsi:type="xsd:long"&gt;46140&lt;/D&gt;&lt;/FQL&gt;&lt;FQL&gt;&lt;Q&gt;HUBB^CS_EVENT_TIME_N("ER",1)&lt;/Q&gt;&lt;R&gt;1&lt;/R&gt;&lt;C&gt;1&lt;/C&gt;&lt;D xsi:type="xsd:string"&gt;Unspecified&lt;/D&gt;&lt;/FQL&gt;&lt;FQL&gt;&lt;Q&gt;HUBB^CS_EVENT_DESC_N("ER",1)&lt;/Q&gt;&lt;R&gt;1&lt;/R&gt;&lt;C&gt;1&lt;/C&gt;&lt;D xsi:type="xsd:string"&gt;Q1 2026 Earnings Release (Projected)&lt;/D&gt;&lt;/FQL&gt;&lt;FQL&gt;&lt;Q&gt;ADM^CS_EVENT_DATEJ_N("ER",1)&lt;/Q&gt;&lt;R&gt;1&lt;/R&gt;&lt;C&gt;1&lt;/C&gt;&lt;D xsi:type="xsd:long"&gt;46140&lt;/D&gt;&lt;/FQL&gt;&lt;FQL&gt;&lt;Q&gt;ADM^CS_EVENT_TIME_N("ER",1)&lt;/Q&gt;&lt;R&gt;1&lt;/R&gt;&lt;C&gt;1&lt;/C&gt;&lt;D xsi:type="xsd:string"&gt;Unspecified&lt;/D&gt;&lt;/FQL&gt;&lt;FQL&gt;&lt;Q&gt;ADM^CS_EVENT_DESC_N("ER",1)&lt;/Q&gt;&lt;R&gt;1&lt;/R&gt;&lt;C&gt;1&lt;/C&gt;&lt;D xsi:type="xsd:string"&gt;Q1 2026 Earnings Release (Projected)&lt;/D&gt;&lt;/FQL&gt;&lt;FQL&gt;&lt;Q&gt;BKNG^CS_EVENT_DATEJ_N("ER",1)&lt;/Q&gt;&lt;R&gt;1&lt;/R&gt;&lt;C&gt;1&lt;/C&gt;&lt;D xsi:type="xsd:long"&gt;46140&lt;/D&gt;&lt;/FQL&gt;&lt;FQL&gt;&lt;Q&gt;BKNG^CS_EVENT_TIME_N("ER",1)&lt;/Q&gt;&lt;R&gt;1&lt;/R&gt;&lt;C&gt;1&lt;/C&gt;&lt;D xsi:type="xsd:string"&gt;4:00 PM&lt;/D&gt;&lt;/FQL&gt;&lt;FQL&gt;&lt;Q&gt;BKNG^CS_EVENT_DESC_N("ER",1)&lt;/Q&gt;&lt;R&gt;1&lt;/R&gt;&lt;C&gt;1&lt;/C&gt;&lt;D xsi:type="xsd:string"&gt;Q1 2026 Earnings Release&lt;/D&gt;&lt;/FQL&gt;&lt;FQL&gt;&lt;Q&gt;MSCI^CS_EVENT_DATEJ_N("ER",1)&lt;/Q&gt;&lt;R&gt;1&lt;/R&gt;&lt;C&gt;1&lt;/C&gt;&lt;D xsi:type="xsd:long"&gt;46140&lt;/D&gt;&lt;/FQL&gt;&lt;FQL&gt;&lt;Q&gt;MSCI^CS_EVENT_TIME_N("ER",1)&lt;/Q&gt;&lt;R&gt;1&lt;/R&gt;&lt;C&gt;1&lt;/C&gt;&lt;D xsi:type="xsd:string"&gt;Unspecified&lt;/D&gt;&lt;/FQL&gt;&lt;FQL&gt;&lt;Q&gt;MSCI^CS_EVENT_DESC_N("ER",1)&lt;/Q&gt;&lt;R&gt;1&lt;/R&gt;&lt;C&gt;1&lt;/C&gt;&lt;D xsi:type="xsd:string"&gt;Q1 2026 Earnings Release (Projected)&lt;/D&gt;&lt;/FQL&gt;&lt;FQL&gt;&lt;Q&gt;GOOGL^CS_EVENT_DATEJ_N("ER",1)&lt;/Q&gt;&lt;R&gt;1&lt;/R&gt;&lt;C&gt;1&lt;/C&gt;&lt;D xsi:type="xsd:long"&gt;46140&lt;/D&gt;&lt;/FQL&gt;&lt;FQL&gt;&lt;Q&gt;GOOGL^CS_EVENT_TIME_N("ER",1)&lt;/Q&gt;&lt;R&gt;1&lt;/R&gt;&lt;C&gt;1&lt;/C&gt;&lt;D xsi:type="xsd:string"&gt;Unspecified&lt;/D&gt;&lt;/FQL&gt;&lt;FQL&gt;&lt;Q&gt;GOOGL^CS_EVENT_DESC_N("ER",1)&lt;/Q&gt;&lt;R&gt;1&lt;/R&gt;&lt;C&gt;1&lt;/C&gt;&lt;D xsi:type="xsd:string"&gt;Q1 2026 Earnings Release (Projected)&lt;/D&gt;&lt;/FQL&gt;&lt;FQL&gt;&lt;Q&gt;GM^CS_EVENT_DATEJ_N("ER",1)&lt;/Q&gt;&lt;R&gt;1&lt;/R&gt;&lt;C&gt;1&lt;/C&gt;&lt;D xsi:type="xsd:long"&gt;46140&lt;/D&gt;&lt;/FQL&gt;&lt;FQL&gt;&lt;Q&gt;GM^CS_EVENT_TIME_N("ER",1)&lt;/Q&gt;&lt;R&gt;1&lt;/R&gt;&lt;C&gt;1&lt;/C&gt;&lt;D xsi:type="xsd:string"&gt;6:30 AM&lt;/D&gt;&lt;/FQL&gt;&lt;FQL&gt;&lt;Q&gt;GM^CS_EVENT_DESC_N("ER",1)&lt;/Q&gt;&lt;R&gt;1&lt;/R&gt;&lt;C&gt;1&lt;/C&gt;&lt;D xsi:type="xsd:string"&gt;Q1 2026 Earnings Release&lt;/D&gt;&lt;/FQL&gt;&lt;FQL&gt;&lt;Q&gt;NEE^CS_EVENT_DATEJ_N("ER",1)&lt;/Q&gt;&lt;R&gt;1&lt;/R&gt;&lt;C&gt;1&lt;/C&gt;&lt;D xsi:type="xsd:long"&gt;46140&lt;/D&gt;&lt;/FQL&gt;&lt;FQL&gt;&lt;Q&gt;NEE^CS_EVENT_TIME_N("ER",1)&lt;/Q&gt;&lt;R&gt;1&lt;/R&gt;&lt;C&gt;1&lt;/C&gt;&lt;D xsi:type="xsd:string"&gt;Unspecified&lt;/D&gt;&lt;/FQL&gt;&lt;FQL&gt;&lt;Q&gt;NEE^CS_EVENT_DESC_N("ER",1)&lt;/Q&gt;&lt;R&gt;1&lt;/R&gt;&lt;C&gt;1&lt;/C&gt;&lt;D xsi:type="xsd:string"&gt;Q1 2026 Earnings Release (Projected)&lt;/D&gt;&lt;/FQL&gt;&lt;FQL&gt;&lt;Q&gt;NXPI^CS_EVENT_DATEJ_N("ER",1)&lt;/Q&gt;&lt;R&gt;1&lt;/R&gt;&lt;C&gt;1&lt;/C&gt;&lt;D xsi:type="xsd:long"&gt;46140&lt;/D&gt;&lt;/FQL&gt;&lt;FQL&gt;&lt;Q&gt;NXPI^CS_EVENT_TIME_N("ER",1)&lt;/Q&gt;&lt;R&gt;1&lt;/R&gt;&lt;C&gt;1&lt;/C&gt;&lt;D xsi:type="xsd:string"&gt;4:10 PM&lt;/D&gt;&lt;/FQL&gt;&lt;FQL&gt;&lt;Q&gt;NXPI^CS_EVENT_DESC_N("ER",1)&lt;/Q&gt;&lt;R&gt;1&lt;/R&gt;&lt;C&gt;1&lt;/C&gt;&lt;D xsi:type="xsd:string"&gt;Q1 2026 Earnings Release&lt;/D&gt;&lt;/FQL&gt;&lt;FQL&gt;&lt;Q&gt;MDLZ^CS_EVENT_DATEJ_N("ER",1)&lt;/Q&gt;&lt;R&gt;1&lt;/R&gt;&lt;C&gt;1&lt;/C&gt;&lt;D xsi:type="xsd:long"&gt;46140&lt;/D&gt;&lt;/FQL&gt;&lt;FQL&gt;&lt;Q&gt;MDLZ^CS_EVENT_TIME_N("ER",1)&lt;/Q&gt;&lt;R&gt;1&lt;/R&gt;&lt;C&gt;1&lt;/C&gt;&lt;D xsi:type="xsd:string"&gt;Unspecified&lt;/D&gt;&lt;/FQL&gt;&lt;FQL&gt;&lt;Q&gt;MDLZ^CS_EVENT_DESC_N("ER",1)&lt;/Q&gt;&lt;R&gt;1&lt;/R&gt;&lt;C&gt;1&lt;/C&gt;&lt;D xsi:type="xsd:string"&gt;Q1 2026 Earnings Release (Projected)&lt;/D&gt;&lt;/FQL&gt;&lt;FQL&gt;&lt;Q&gt;TSLA^CS_EVENT_DATEJ_N("ER",1)&lt;/Q&gt;&lt;R&gt;1&lt;/R&gt;&lt;C&gt;1&lt;/C&gt;&lt;D xsi:type="xsd:long"&gt;46140&lt;/D&gt;&lt;/FQL&gt;&lt;FQL&gt;&lt;Q&gt;TSLA^CS_EVENT_TIME_N("ER",1)&lt;/Q&gt;&lt;R&gt;1&lt;/R&gt;&lt;C&gt;1&lt;/C&gt;&lt;D xsi:type="xsd:string"&gt;Unspecified&lt;/D&gt;&lt;/FQL&gt;&lt;FQL&gt;&lt;Q&gt;TSLA^CS_EVENT_DESC_N("ER",1)&lt;/Q&gt;&lt;R&gt;1&lt;/R&gt;&lt;C&gt;1&lt;/C&gt;&lt;D xsi:type="xsd:string"&gt;Q1 2026 Earnings Release (Projected)&lt;/D&gt;&lt;/FQL&gt;&lt;FQL&gt;&lt;Q&gt;GOOG^CS_EVENT_DATEJ_N("ER",1)&lt;/Q&gt;&lt;R&gt;1&lt;/R&gt;&lt;C&gt;1&lt;/C&gt;&lt;D xsi:type="xsd:long"&gt;46140&lt;/D&gt;&lt;/FQL&gt;&lt;FQL&gt;&lt;Q&gt;GOOG^CS_EVENT_TIME_N("ER",1)&lt;/Q&gt;&lt;R&gt;1&lt;/R&gt;&lt;C&gt;1&lt;/C&gt;&lt;D xsi:type="xsd:string"&gt;Unspecified&lt;/D&gt;&lt;/FQL&gt;&lt;FQL&gt;&lt;Q&gt;GOOG^CS_EVENT_DESC_N("ER",1)&lt;/Q&gt;&lt;R&gt;1&lt;/R&gt;&lt;C&gt;1&lt;/C&gt;&lt;D xsi:type="xsd:string"&gt;Q1 2026 Earnings Release (Projected)&lt;/D&gt;&lt;/FQL&gt;&lt;FQL&gt;&lt;Q&gt;HLT^CS_EVENT_DATEJ_N("ER",1)&lt;/Q&gt;&lt;R&gt;1&lt;/R&gt;&lt;C&gt;1&lt;/C&gt;&lt;D xsi:type="xsd:long"&gt;46140&lt;/D&gt;&lt;/FQL&gt;&lt;FQL&gt;&lt;Q&gt;HLT^CS_EVENT_TIME_N("ER",1)&lt;/Q&gt;&lt;R&gt;1&lt;/R&gt;&lt;C&gt;1&lt;/C&gt;&lt;D xsi:type="xsd:string"&gt;6:00 AM&lt;/D&gt;&lt;/FQL&gt;&lt;FQL&gt;&lt;Q&gt;HLT^CS_EVENT_DESC_N("ER",1)&lt;/Q&gt;&lt;R&gt;1&lt;/R&gt;&lt;C&gt;1&lt;/C&gt;&lt;D xsi:type="xsd:string"&gt;Q1 2026 Earnings Release&lt;/D&gt;&lt;/FQL&gt;&lt;FQL&gt;&lt;Q&gt;IVZ^CS_EVENT_DATEJ_N("ER",1)&lt;/Q&gt;&lt;R&gt;1&lt;/R&gt;&lt;C&gt;1&lt;/C&gt;&lt;D xsi:type="xsd:long"&gt;46140&lt;/D&gt;&lt;/FQL&gt;&lt;FQL&gt;&lt;Q&gt;IVZ^CS_EVENT_TIME_N("ER",1)&lt;/Q&gt;&lt;R&gt;1&lt;/R&gt;&lt;C&gt;1&lt;/C&gt;&lt;D xsi:type="xsd:string"&gt;Unspecified&lt;/D&gt;&lt;/FQL&gt;&lt;FQL&gt;&lt;Q&gt;IVZ^CS_EVENT_DESC_N("ER",1)&lt;/Q&gt;&lt;R&gt;1&lt;/R&gt;&lt;C&gt;1&lt;/C&gt;&lt;D xsi:type="xsd:string"&gt;Q1 2026 Earnings Release (Projected)&lt;/D&gt;&lt;/FQL&gt;&lt;FQL&gt;&lt;Q&gt;EXR^CS_EVENT_DATEJ_N("ER",1)&lt;/Q&gt;&lt;R&gt;1&lt;/R&gt;&lt;C&gt;1&lt;/C&gt;&lt;D xsi:type="xsd:long"&gt;46140&lt;/D&gt;&lt;/FQL&gt;&lt;FQL&gt;&lt;Q&gt;EXR^CS_EVENT_TIME_N("ER",1)&lt;/Q&gt;&lt;R&gt;1&lt;/R&gt;&lt;C&gt;1&lt;/C&gt;&lt;D xsi:type="xsd:string"&gt;After Market&lt;/D&gt;&lt;/FQL&gt;&lt;FQL&gt;&lt;Q&gt;EXR^CS_EVENT_DESC_N("ER",1)&lt;/Q&gt;&lt;R&gt;1&lt;/R&gt;&lt;C&gt;1&lt;/C&gt;&lt;D xsi:type="xsd:string"&gt;Q1 2026 Earnings Release&lt;/D&gt;&lt;/FQL&gt;&lt;FQL&gt;&lt;Q&gt;TMUS^CS_EVENT_DATEJ_N("ER",1)&lt;/Q&gt;&lt;R&gt;1&lt;/R&gt;&lt;C&gt;1&lt;/C&gt;&lt;D xsi:type="xsd:long"&gt;46140&lt;/D&gt;&lt;/FQL&gt;&lt;FQL&gt;&lt;Q&gt;TMUS^CS_EVENT_TIME_N("ER",1)&lt;/Q&gt;&lt;R&gt;1&lt;/R&gt;&lt;C&gt;1&lt;/C&gt;&lt;D xsi:type="xsd:string"&gt;4:05 PM&lt;/D&gt;&lt;/FQL&gt;&lt;FQL&gt;&lt;Q&gt;TMUS^CS_EVENT_DESC_N("ER",1)&lt;/Q&gt;&lt;R&gt;1&lt;/R&gt;&lt;C&gt;1&lt;/C&gt;&lt;D xsi:type="xsd:string"&gt;Q1 2026 Earnings Release&lt;/D&gt;&lt;/FQL&gt;&lt;FQL&gt;&lt;Q&gt;UDR^CS_EVENT_DATEJ_N("ER",1)&lt;/Q&gt;&lt;R&gt;1&lt;/R&gt;&lt;C&gt;1&lt;/C&gt;&lt;D xsi:type="xsd:long"&gt;46140&lt;/D&gt;&lt;/FQL&gt;&lt;FQL&gt;&lt;Q&gt;UDR^CS_EVENT_TIME_N("ER",1)&lt;/Q&gt;&lt;R&gt;1&lt;/R&gt;&lt;C&gt;1&lt;/C&gt;&lt;D xsi:type="xsd:string"&gt;Unspecified&lt;/D&gt;&lt;/FQL&gt;&lt;FQL&gt;&lt;Q&gt;UDR^CS_EVENT_DESC_N("ER",1)&lt;/Q&gt;&lt;R&gt;1&lt;/R&gt;&lt;C&gt;1&lt;/C&gt;&lt;D xsi:type="xsd:string"&gt;Q1 2026 Earnings Release (Projected)&lt;/D&gt;&lt;/FQL&gt;&lt;FQL&gt;&lt;Q&gt;V^CS_EVENT_DATEJ_N("ER",1)&lt;/Q&gt;&lt;R&gt;1&lt;/R&gt;&lt;C&gt;1&lt;/C&gt;&lt;D xsi:type="xsd:long"&gt;46140&lt;/D&gt;&lt;/FQL&gt;&lt;FQL&gt;&lt;Q&gt;V^CS_EVENT_TIME_N("ER",1)&lt;/Q&gt;&lt;R&gt;1&lt;/R&gt;&lt;C&gt;1&lt;/C&gt;&lt;D xsi:type="xsd:string"&gt;Unspecified&lt;/D&gt;&lt;/FQL&gt;&lt;FQL&gt;&lt;Q&gt;V^CS_EVENT_DESC_N("ER",1)&lt;/Q&gt;&lt;R&gt;1&lt;/R&gt;&lt;C&gt;1&lt;/C&gt;&lt;D xsi:type="xsd:string"&gt;Q2 2026 Earnings Release (Projected)&lt;/D&gt;&lt;/FQL&gt;&lt;FQL&gt;&lt;Q&gt;PNR^CS_EVENT_DATEJ_N("ER",1)&lt;/Q&gt;&lt;R&gt;1&lt;/R&gt;&lt;C&gt;1&lt;/C&gt;&lt;D xsi:type="xsd:long"&gt;46140&lt;/D&gt;&lt;/FQL&gt;&lt;FQL&gt;&lt;Q&gt;PNR^CS_EVENT_TIME_N("ER",1)&lt;/Q&gt;&lt;R&gt;1&lt;/R&gt;&lt;C&gt;1&lt;/C&gt;&lt;D xsi:type="xsd:string"&gt;Unspecified&lt;/D&gt;&lt;/FQL&gt;&lt;FQL&gt;&lt;Q&gt;PNR^CS_EVENT_DESC_N("ER",1)&lt;/Q&gt;&lt;R&gt;1&lt;/R&gt;&lt;C&gt;1&lt;/C&gt;&lt;D xsi:type="xsd:string"&gt;Q1 2026 Earnings Release (Projected)&lt;/D&gt;&lt;/FQL&gt;&lt;FQL&gt;&lt;Q&gt;VLTO^CS_EVENT_DATEJ_N("ER",1)&lt;/Q&gt;&lt;R&gt;1&lt;/R&gt;&lt;C&gt;1&lt;/C&gt;&lt;D xsi:type="xsd:long"&gt;46140&lt;/D&gt;&lt;/FQL&gt;&lt;FQL&gt;&lt;Q&gt;VLTO^CS_EVENT_TIME_N("ER",1)&lt;/Q&gt;&lt;R&gt;1&lt;/R&gt;&lt;C&gt;1&lt;/C&gt;&lt;D xsi:type="xsd:string"&gt;Unspecified&lt;/D&gt;&lt;/FQL&gt;&lt;FQL&gt;&lt;Q&gt;VLTO^CS_EVENT_DESC_N("ER",1)&lt;/Q&gt;&lt;R&gt;1&lt;/R&gt;&lt;C&gt;1&lt;/C&gt;&lt;D xsi:type="xsd:string"&gt;Q1 2026 Earnings Release (Projected)&lt;/D&gt;&lt;/FQL&gt;&lt;FQL&gt;&lt;Q&gt;XYL^CS_EVENT_DATEJ_N("ER",1)&lt;/Q&gt;&lt;R&gt;1&lt;/R&gt;&lt;C&gt;1&lt;/C&gt;&lt;D xsi:type="xsd:long"&gt;46140&lt;/D&gt;&lt;/FQL&gt;&lt;FQL&gt;&lt;Q&gt;XYL^CS_EVENT_TIME_N("ER",1)&lt;/Q&gt;&lt;R&gt;1&lt;/R&gt;&lt;C&gt;1&lt;/C&gt;&lt;D xsi:type="xsd:string"&gt;6:55 AM&lt;/D&gt;&lt;/FQL&gt;&lt;FQL&gt;&lt;Q&gt;XYL^CS_EVENT_DESC_N("ER",1)&lt;/Q&gt;&lt;R&gt;1&lt;/R&gt;&lt;C&gt;1&lt;/C&gt;&lt;D xsi:type="xsd:string"&gt;Q1 2026 Earnings Release&lt;/D&gt;&lt;/FQL&gt;&lt;FQL&gt;&lt;Q&gt;MAA^CS_EVENT_DATEJ_N("ER",1)&lt;/Q&gt;&lt;R&gt;1&lt;/R&gt;&lt;C&gt;1&lt;/C&gt;&lt;D xsi:type="xsd:long"&gt;46141&lt;/D&gt;&lt;/FQL&gt;&lt;FQL&gt;&lt;Q&gt;MAA^CS_EVENT_TIME_N("ER",1)&lt;/Q&gt;&lt;R&gt;1&lt;/R&gt;&lt;C&gt;1&lt;/C&gt;&lt;D xsi:type="xsd:string"&gt;Unspecified&lt;/D&gt;&lt;/FQL&gt;&lt;FQL&gt;&lt;Q&gt;MAA^CS_EVENT_DESC_N("ER",1)&lt;/Q&gt;&lt;R&gt;1&lt;/R&gt;&lt;C&gt;1&lt;/C&gt;&lt;D xsi:type="xsd:string"&gt;Q1 2026 Earnings Release (Projected)&lt;/D&gt;&lt;/FQL&gt;&lt;FQL&gt;&lt;Q&gt;EQIX^CS_EVENT_DATEJ_N("ER",1)&lt;/Q&gt;&lt;R&gt;1&lt;/R&gt;&lt;C&gt;1&lt;/C&gt;&lt;D xsi:type="xsd:long"&gt;46141&lt;/D&gt;&lt;/FQL&gt;&lt;FQL&gt;&lt;Q&gt;EQIX^CS_EVENT_TIME_N("ER",1)&lt;/Q&gt;&lt;R&gt;1&lt;/R&gt;&lt;C&gt;1&lt;/C&gt;&lt;D xsi:type="xsd:string"&gt;Unspecified&lt;/D&gt;&lt;/FQL&gt;&lt;FQL&gt;&lt;Q&gt;EQIX^CS_EVENT_DESC_N("ER",1)&lt;/Q&gt;&lt;R&gt;1&lt;/R&gt;&lt;C&gt;1&lt;/C&gt;&lt;D xsi:type="xsd:string"&gt;Q1 2026 Earnings Release (Projected)&lt;/D&gt;&lt;/FQL&gt;&lt;FQL&gt;&lt;Q&gt;GRMN^CS_EVENT_DATEJ_N("ER",1)&lt;/Q&gt;&lt;R&gt;1&lt;/R&gt;&lt;C&gt;1&lt;/C&gt;&lt;D xsi:type="xsd:long"&gt;46141&lt;/D&gt;&lt;/FQL&gt;&lt;FQL&gt;&lt;Q&gt;GRMN^CS_EVENT_TIME_N("ER",1)&lt;/Q&gt;&lt;R&gt;1&lt;/R&gt;&lt;C&gt;1&lt;/C&gt;&lt;D xsi:type="xsd:string"&gt;7:00 AM&lt;/D&gt;&lt;/FQL&gt;&lt;FQL&gt;&lt;Q&gt;GRMN^CS_EVENT_DESC_N("ER",1)&lt;/Q&gt;&lt;R&gt;1&lt;/R&gt;&lt;C&gt;1&lt;/C&gt;&lt;D xsi:type="xsd:string"&gt;Q1 2026 Earnings Release&lt;/D&gt;&lt;/FQL&gt;&lt;FQL&gt;&lt;Q&gt;EW^CS_EVENT_DATEJ_N("ER",1)&lt;/Q&gt;&lt;R&gt;1&lt;/R&gt;&lt;C&gt;1&lt;/C&gt;&lt;D xsi:type="xsd:long"&gt;46141&lt;/D&gt;&lt;/FQL&gt;&lt;FQL&gt;&lt;Q&gt;EW^CS_EVENT_TIME_N("ER",1)&lt;/Q&gt;&lt;R&gt;1&lt;/R&gt;&lt;C&gt;1&lt;/C&gt;&lt;D xsi:type="xsd:string"&gt;Unspecified&lt;/D&gt;&lt;/FQL&gt;&lt;FQL&gt;&lt;Q&gt;EW^CS_EVENT_DESC_N("ER",1)&lt;/Q&gt;&lt;R&gt;1&lt;/R&gt;&lt;C&gt;1&lt;/C&gt;&lt;D xsi:type="xsd:string"&gt;Q1 2026 Earnings Release (Projected)&lt;/D&gt;&lt;/FQL&gt;&lt;FQL&gt;&lt;Q&gt;MGM^CS_EVENT_DATEJ_N("ER",1)&lt;/Q&gt;&lt;R&gt;1&lt;/R&gt;&lt;C&gt;1&lt;/C&gt;&lt;D xsi:type="xsd:long"&gt;46141&lt;/D&gt;&lt;/FQL&gt;&lt;FQL&gt;&lt;Q&gt;MGM^CS_EVENT_TIME_N("ER",1)&lt;/Q&gt;&lt;R&gt;1&lt;/R&gt;&lt;C&gt;1&lt;/C&gt;&lt;D xsi:type="xsd:string"&gt;After Market&lt;/D&gt;&lt;/FQL&gt;&lt;FQL&gt;&lt;Q&gt;MGM^CS_EVENT_DESC_N("ER",1)&lt;/Q&gt;&lt;R&gt;1&lt;/R&gt;&lt;C&gt;1&lt;/C&gt;&lt;D xsi:type="xsd:string"&gt;Q1 2026 Earnings Release&lt;/D&gt;&lt;/FQL&gt;&lt;FQL&gt;&lt;Q&gt;APH^CS_EVENT_DATEJ_N("ER",1)&lt;/Q&gt;&lt;R&gt;1&lt;/R&gt;&lt;C&gt;1&lt;/C&gt;&lt;D xsi:type="xsd:long"&gt;46141&lt;/D&gt;&lt;/FQL&gt;&lt;FQL&gt;&lt;Q&gt;APH^CS_EVENT_TIME_N("ER",1)&lt;/Q&gt;&lt;R&gt;1&lt;/R&gt;&lt;C&gt;1&lt;/C&gt;&lt;D xsi:type="xsd:string"&gt;Unspecified&lt;/D&gt;&lt;/FQL&gt;&lt;FQL&gt;&lt;Q&gt;APH^CS_EVENT_DESC_N("ER",1)&lt;/Q&gt;&lt;R&gt;1&lt;/R&gt;&lt;C&gt;1&lt;/C&gt;&lt;D xsi:type="xsd:string"&gt;Q1 2026 Earnings Release (Projected)&lt;/D&gt;&lt;/FQL&gt;&lt;FQL&gt;&lt;Q&gt;ALL^CS_EVENT_DATEJ_N("ER",1)&lt;/Q&gt;&lt;R&gt;1&lt;/R&gt;&lt;C&gt;1&lt;/C&gt;&lt;D xsi:type="xsd:long"&gt;46141&lt;/D&gt;&lt;/FQL&gt;&lt;FQL&gt;&lt;Q&gt;ALL^CS_EVENT_TIME_N("ER",1)&lt;/Q&gt;&lt;R&gt;1&lt;/R&gt;&lt;C&gt;1&lt;/C&gt;&lt;D xsi:type="xsd:string"&gt;4:15 PM&lt;/D&gt;&lt;/FQL&gt;&lt;FQL&gt;&lt;Q&gt;ALL^CS_EVENT_DESC_N("ER",1)&lt;/Q&gt;&lt;R&gt;1&lt;/R&gt;&lt;C&gt;1&lt;/C&gt;&lt;D xsi:type="xsd:string"&gt;Q1 2026 Earnings Release&lt;/D&gt;&lt;/FQL&gt;&lt;FQL&gt;&lt;Q&gt;SWK^CS_EVENT_DATEJ_N("ER",1)&lt;/Q&gt;&lt;R&gt;1&lt;/R&gt;&lt;C&gt;1&lt;/C&gt;&lt;D xsi:type="xsd:long"&gt;46141&lt;/D&gt;&lt;/FQL&gt;&lt;FQL&gt;&lt;Q&gt;SWK^CS_EVENT_TIME_N("ER",1)&lt;/Q&gt;&lt;R&gt;1&lt;/R&gt;&lt;C&gt;1&lt;/C&gt;&lt;D xsi:type="xsd:string"&gt;Before Market&lt;/D&gt;&lt;/FQL&gt;&lt;FQL&gt;&lt;Q&gt;SWK^CS_EVENT_DESC_N("ER",1)&lt;/Q&gt;&lt;R&gt;1&lt;/R&gt;&lt;C&gt;1&lt;/C&gt;&lt;D xsi:type="xsd:string"&gt;Q1 2026 Earnings Release&lt;/D&gt;&lt;/FQL&gt;&lt;FQL&gt;&lt;Q&gt;REGN^CS_EVENT_DATEJ_N("ER",1)&lt;/Q&gt;&lt;R&gt;1&lt;/R&gt;&lt;C&gt;1&lt;/C&gt;&lt;D xsi:type="xsd:long"&gt;46141&lt;/D&gt;&lt;/FQL&gt;&lt;FQL&gt;&lt;Q&gt;REGN^CS_EVENT_TIME_N("ER",1)&lt;/Q&gt;&lt;R&gt;1&lt;/R&gt;&lt;C&gt;1&lt;/C&gt;&lt;D xsi:type="xsd:string"&gt;6:30 AM&lt;/D&gt;&lt;/FQL&gt;&lt;FQL&gt;&lt;Q&gt;REGN^CS_EVENT_DESC_N("ER",1)&lt;/Q&gt;&lt;R&gt;1&lt;/R&gt;&lt;C&gt;1&lt;/C&gt;&lt;D xsi:type="xsd:string"&gt;Q1 2026 Earnings Release&lt;/D&gt;&lt;/FQL&gt;&lt;FQL&gt;&lt;Q&gt;ODFL^CS_EVENT_DATEJ_N("ER",1)&lt;/Q&gt;&lt;R&gt;1&lt;/R&gt;&lt;C&gt;1&lt;/C&gt;&lt;D xsi:type="xsd:long"&gt;46141&lt;/D&gt;&lt;/FQL&gt;&lt;FQL&gt;&lt;Q&gt;ODFL^CS_EVENT_TIME_N("ER",1)&lt;/Q&gt;&lt;R&gt;1&lt;/R&gt;&lt;C&gt;1&lt;/C&gt;&lt;D xsi:type="xsd:string"&gt;Unspecified&lt;/D&gt;&lt;/FQL&gt;&lt;FQL&gt;&lt;Q&gt;ODFL^CS_EVENT_DESC_N("ER",1)&lt;/Q&gt;&lt;R&gt;1&lt;/R&gt;&lt;C&gt;1&lt;/C&gt;&lt;D xsi:type="xsd:string"&gt;Q1 2026 Earnings Release (Projected)&lt;/D&gt;&lt;/FQL&gt;&lt;FQL&gt;&lt;Q&gt;ALGN^CS_EVENT_DATEJ_N("ER",1)&lt;/Q&gt;&lt;R&gt;1&lt;/R&gt;&lt;C&gt;1&lt;/C&gt;&lt;D xsi:type="xsd:long"&gt;46141&lt;/D&gt;&lt;/FQL&gt;&lt;FQL&gt;&lt;Q&gt;ALGN^CS_EVENT_TIME_N("ER",1)&lt;/Q&gt;&lt;R&gt;1&lt;/R&gt;&lt;C&gt;1&lt;/C&gt;&lt;D xsi:type="xsd:string"&gt;Unspecified&lt;/D&gt;&lt;/FQL&gt;&lt;FQL&gt;&lt;Q&gt;ALGN^CS_EVENT_DESC_N("ER",1)&lt;/Q&gt;&lt;R&gt;1&lt;/R&gt;&lt;C&gt;1&lt;/C&gt;&lt;D xsi:type="xsd:string"&gt;Q1 2026 Earnings Release&lt;/D&gt;&lt;/FQL&gt;&lt;FQL&gt;&lt;Q&gt;GD^CS_EVENT_DATEJ_N("ER",1)&lt;/Q&gt;&lt;R&gt;1&lt;/R&gt;&lt;C&gt;1&lt;/C&gt;&lt;D xsi:type="xsd:long"&gt;46141&lt;/D&gt;&lt;/FQL&gt;&lt;FQL&gt;&lt;Q&gt;GD^CS_EVENT_TIME_N("ER",1)&lt;/Q&gt;&lt;R&gt;1&lt;/R&gt;&lt;C&gt;1&lt;/C&gt;&lt;D xsi:type="xsd:string"&gt;Unspecified&lt;/D&gt;&lt;/FQL&gt;&lt;FQL&gt;&lt;Q&gt;GD^CS_EVENT_DESC_N("ER",1)&lt;/Q&gt;&lt;R&gt;1&lt;/R&gt;&lt;C&gt;1&lt;/C&gt;&lt;D xsi:type="xsd:string"&gt;Q1 2026 Earnings Release (Projected)&lt;/D&gt;&lt;/FQL&gt;&lt;FQL&gt;&lt;Q&gt;ETR^CS_EVENT_DATEJ_N("ER",1)&lt;/Q&gt;&lt;R&gt;1&lt;/R&gt;&lt;C&gt;1&lt;/C&gt;&lt;D xsi:type="xsd:long"&gt;46141&lt;/D&gt;&lt;/FQL&gt;&lt;FQL&gt;&lt;Q&gt;ETR^CS_EVENT_TIME_N("ER",1)&lt;/Q&gt;&lt;R&gt;1&lt;/R&gt;&lt;C&gt;1&lt;/C&gt;&lt;D xsi:type="xsd:string"&gt;Unspecified&lt;/D&gt;&lt;/FQL&gt;&lt;FQL&gt;&lt;Q&gt;ETR^CS_EVENT_DESC_N("ER",1)&lt;/Q&gt;&lt;R&gt;1&lt;/R&gt;&lt;C&gt;1&lt;/C&gt;&lt;D xsi:type="xsd:string"&gt;Q1 2026 Earnings Release (Projected)&lt;/D&gt;&lt;/FQL&gt;&lt;FQL&gt;&lt;Q&gt;EG^CS_EVENT_DATEJ_N("ER",1)&lt;/Q&gt;&lt;R&gt;1&lt;/R&gt;&lt;C&gt;1&lt;/C&gt;&lt;D xsi:type="xsd:long"&gt;46141&lt;/D&gt;&lt;/FQL&gt;&lt;FQL&gt;&lt;Q&gt;EG^CS_EVENT_TIME_N("ER",1)&lt;/Q&gt;&lt;R&gt;1&lt;/R&gt;&lt;C&gt;1&lt;/C&gt;&lt;D xsi:type="xsd:string"&gt;After Market&lt;/D&gt;&lt;/FQL&gt;&lt;FQL&gt;&lt;Q&gt;EG^CS_EVENT_DESC_N("ER",1)&lt;/Q&gt;&lt;R&gt;1&lt;/R&gt;&lt;C&gt;1&lt;/C&gt;&lt;D xsi:type="xsd:string"&gt;Q1 2026 Earnings Release&lt;/D&gt;&lt;/FQL&gt;&lt;FQL&gt;&lt;Q&gt;FIX^CS_EVENT_DATEJ_N("ER",1)&lt;/Q&gt;&lt;R&gt;1&lt;/R&gt;&lt;C&gt;1&lt;/C&gt;&lt;D xsi:type="xsd:long"&gt;46141&lt;/D&gt;&lt;/FQL&gt;&lt;FQL&gt;&lt;Q&gt;FIX^CS_EVENT_TIME_N("ER",1)&lt;/Q&gt;&lt;R&gt;1&lt;/R&gt;&lt;C&gt;1&lt;/C&gt;&lt;D xsi:type="xsd:string"&gt;Unspecified&lt;/D&gt;&lt;/FQL&gt;&lt;FQL&gt;&lt;Q&gt;FIX^CS_EVENT_DESC_N("ER",1)&lt;/Q&gt;&lt;R&gt;1&lt;/R&gt;&lt;C&gt;1&lt;/C&gt;&lt;D xsi:type="xsd:string"&gt;Q1 2026 Earnings Release (Projected)&lt;/D&gt;&lt;/FQL&gt;&lt;FQL&gt;&lt;Q&gt;ROL^CS_EVENT_DATEJ_N("ER",1)&lt;/Q&gt;&lt;R&gt;1&lt;/R&gt;&lt;C&gt;1&lt;/C&gt;&lt;D xsi:type="xsd:long"&gt;46141&lt;/D&gt;&lt;/FQL&gt;&lt;FQL&gt;&lt;Q&gt;ROL^CS_EVENT_TIME_N("ER",1)&lt;/Q&gt;&lt;R&gt;1&lt;/R&gt;&lt;C&gt;1&lt;/C&gt;&lt;D xsi:type="xsd:string"&gt;Unspecified&lt;/D&gt;&lt;/FQL&gt;&lt;FQL&gt;&lt;Q&gt;ROL^CS_EVENT_DESC_N("ER",1)&lt;/Q&gt;&lt;R&gt;1&lt;/R&gt;&lt;C&gt;1&lt;/C&gt;&lt;D xsi:type="xsd:string"&gt;Q1 2026 Earnings Release (Projected)&lt;/D&gt;&lt;/FQL&gt;&lt;FQL&gt;&lt;Q&gt;ADP^CS_EVENT_DATEJ_N("ER",1)&lt;/Q&gt;&lt;R&gt;1&lt;/R&gt;&lt;C&gt;1&lt;/C&gt;&lt;D xsi:type="xsd:long"&gt;46141&lt;/D&gt;&lt;/FQL&gt;&lt;FQL&gt;&lt;Q&gt;ADP^CS_EVENT_TIME_N("ER",1)&lt;/Q&gt;&lt;R&gt;1&lt;/R&gt;&lt;C&gt;1&lt;/C&gt;&lt;D xsi:type="xsd:string"&gt;Before Market&lt;/D&gt;&lt;/FQL&gt;&lt;FQL&gt;&lt;Q&gt;ADP^CS_EVENT_DESC_N("ER",1)&lt;/Q&gt;&lt;R&gt;1&lt;/R&gt;&lt;C&gt;1&lt;/C&gt;&lt;D xsi:type="xsd:string"&gt;Q3 2026 Earnings Release&lt;/D&gt;&lt;/FQL&gt;&lt;FQL&gt;&lt;Q&gt;TDY^CS_EVENT_DATEJ_N("ER",1)&lt;/Q&gt;&lt;R&gt;1&lt;/R&gt;&lt;C&gt;1&lt;/C&gt;&lt;D xsi:type="xsd:long"&gt;46141&lt;/D&gt;&lt;/FQL&gt;&lt;FQL&gt;&lt;Q&gt;TDY^CS_EVENT_TIME_N("ER",1)&lt;/Q&gt;&lt;R&gt;1&lt;/R&gt;&lt;C&gt;1&lt;/C&gt;&lt;D xsi:type="xsd:string"&gt;Unspecified&lt;/D&gt;&lt;/FQL&gt;&lt;FQL&gt;&lt;Q&gt;TDY^CS_EVENT_DESC_N("ER",1)&lt;/Q&gt;&lt;R&gt;1&lt;/R&gt;&lt;C&gt;1&lt;/C&gt;&lt;D xsi:type="xsd:string"&gt;Q1 2026 Earnings Release (Projected)&lt;/D&gt;&lt;/FQL&gt;&lt;FQL&gt;&lt;Q&gt;URI^CS_EVENT_DATEJ_N("ER",1)&lt;/Q&gt;&lt;R&gt;1&lt;/R&gt;&lt;C&gt;1&lt;/C&gt;&lt;D xsi:type="xsd:long"&gt;46141&lt;/D&gt;&lt;/FQL&gt;&lt;FQL&gt;&lt;Q&gt;URI^CS_EVENT_TIME_N("ER",1)&lt;/Q&gt;&lt;R&gt;1&lt;/R&gt;&lt;C&gt;1&lt;/C&gt;&lt;D xsi:type="xsd:string"&gt;Unspecified&lt;/D&gt;&lt;/FQL&gt;&lt;FQL&gt;&lt;Q&gt;URI^CS_EVENT_DESC_N("ER",1)&lt;/Q&gt;&lt;R&gt;1&lt;/R&gt;&lt;C&gt;1&lt;/C&gt;&lt;D xsi:type="xsd:string"&gt;Q1 2026 Earnings Release (Projected)&lt;/D&gt;&lt;/FQL&gt;&lt;FQL&gt;&lt;Q&gt;AMGN^CS_EVENT_DATEJ_N("ER",1)&lt;/Q&gt;&lt;R&gt;1&lt;/R&gt;&lt;C&gt;1&lt;/C&gt;&lt;D xsi:type="xsd:long"&gt;46141&lt;/D&gt;&lt;/FQL&gt;&lt;FQL&gt;&lt;Q&gt;AMGN^CS_EVENT_TIME_N("ER",1)&lt;/Q&gt;&lt;R&gt;1&lt;/R&gt;&lt;C&gt;1&lt;/C&gt;&lt;D xsi:type="xsd:string"&gt;Unspecified&lt;/D&gt;&lt;/FQL&gt;&lt;FQL&gt;&lt;Q&gt;AMGN^CS_EVENT_DESC_N("ER",1)&lt;/Q&gt;&lt;R&gt;1&lt;/R&gt;&lt;C&gt;1&lt;/C&gt;&lt;D xsi:type="xsd:string"&gt;Q1 2026 Earnings Release (Projected)&lt;/D&gt;&lt;/FQL&gt;&lt;FQL&gt;&lt;Q&gt;AVY^CS_EVENT_DATEJ_N("ER",1)&lt;/Q&gt;&lt;R&gt;1&lt;/R&gt;&lt;C&gt;1&lt;/C&gt;&lt;D xsi:type="xsd:long"&gt;46141&lt;/D&gt;&lt;/FQL&gt;&lt;FQL&gt;&lt;Q&gt;AVY^CS_EVENT_TIME_N("ER",1)&lt;/Q&gt;&lt;R&gt;1&lt;/R&gt;&lt;C&gt;1&lt;/C&gt;&lt;D xsi:type="xsd:string"&gt;Unspecified&lt;/D&gt;&lt;/FQL&gt;&lt;FQL&gt;&lt;Q&gt;AVY^CS_EVENT_DESC_N("ER",1)&lt;/Q&gt;&lt;R&gt;1&lt;/R&gt;&lt;C&gt;1&lt;/C&gt;&lt;D xsi:type="xsd:string"&gt;Q1 2026 Earnings Release (Projected)&lt;/D&gt;&lt;/FQL&gt;&lt;FQL&gt;&lt;Q&gt;EQT^CS_EVENT_DATEJ_N("ER",1)&lt;/Q&gt;&lt;R&gt;1&lt;/R&gt;&lt;C&gt;1&lt;/C&gt;&lt;D xsi:type="xsd:long"&gt;46141&lt;/D&gt;&lt;/FQL&gt;&lt;FQL&gt;&lt;Q&gt;EQT^CS_EVENT_TIME_N("ER",1)&lt;/Q&gt;&lt;R&gt;1&lt;/R&gt;&lt;C&gt;1&lt;/C&gt;&lt;D xsi:type="xsd:string"&gt;Unspecified&lt;/D&gt;&lt;/FQL&gt;&lt;FQL&gt;&lt;Q&gt;EQT^CS_EVENT_DESC_N("ER",1)&lt;/Q&gt;&lt;R&gt;1&lt;/R&gt;&lt;C&gt;1&lt;/C&gt;&lt;D xsi:type="xsd:string"&gt;Q1 2026 Earnings Release (Projected)&lt;/D&gt;&lt;/FQL&gt;&lt;FQL&gt;&lt;Q&gt;ORLY^CS_EVENT_DATEJ_N("ER",1)&lt;/Q&gt;&lt;R&gt;1&lt;/R&gt;&lt;C&gt;1&lt;/C&gt;&lt;D xsi:type="xsd:long"&gt;46141&lt;/D&gt;&lt;/FQL&gt;&lt;FQL&gt;&lt;Q&gt;ORLY^CS_EVENT_TIME_N("ER",1)&lt;/Q&gt;&lt;R&gt;1&lt;/R&gt;&lt;C&gt;1&lt;/C&gt;&lt;D xsi:type="xsd:string"&gt;Unspecified&lt;/D&gt;&lt;/FQL&gt;&lt;FQL&gt;&lt;Q&gt;ORLY^CS_EVENT_DESC_N("ER",1)&lt;/Q&gt;&lt;R&gt;1&lt;/R&gt;&lt;C&gt;1&lt;/C&gt;&lt;D xsi:type="xsd:string"&gt;Q1 2026 Earnings Release (Projected)&lt;/D&gt;&lt;/FQL&gt;&lt;FQL&gt;&lt;Q&gt;TMO^CS_EVENT_DATEJ_N("ER",1)&lt;/Q&gt;&lt;R&gt;1&lt;/R&gt;&lt;C&gt;1&lt;/C&gt;&lt;D xsi:type="xsd:long"&gt;46141&lt;/D&gt;&lt;/FQL&gt;&lt;FQL&gt;&lt;Q&gt;TMO^CS_EVENT_TIME_N("ER",1)&lt;/Q&gt;&lt;R&gt;1&lt;/R&gt;&lt;C&gt;1&lt;/C&gt;&lt;D xsi:type="xsd:string"&gt;Unspecified&lt;/D&gt;&lt;/FQL&gt;&lt;FQL&gt;&lt;Q&gt;TMO^CS_EVENT_DESC_N("ER",1)&lt;/Q&gt;&lt;R&gt;1&lt;/R&gt;&lt;C&gt;1&lt;/C&gt;&lt;D xsi:type="xsd:string"&gt;Q1 2026 Earnings Release (Projected)&lt;/D&gt;&lt;/FQL&gt;&lt;FQL&gt;&lt;Q&gt;AVB^CS_EVENT_DATEJ_N("ER",1)&lt;/Q&gt;&lt;R&gt;1&lt;/R&gt;&lt;C&gt;1&lt;/C&gt;&lt;D xsi:type="xsd:long"&gt;46141&lt;/D&gt;&lt;/FQL&gt;&lt;FQL&gt;&lt;Q&gt;AVB^CS_EVENT_TIME_N("ER",1)&lt;/Q&gt;&lt;R&gt;1&lt;/R&gt;&lt;C&gt;1&lt;/C&gt;&lt;D xsi:type="xsd:string"&gt;Unspecified&lt;/D&gt;&lt;/FQL&gt;&lt;FQL&gt;&lt;Q&gt;AVB^CS_EVENT_DESC_N("ER",1)&lt;/Q&gt;&lt;R&gt;1&lt;/R&gt;&lt;C&gt;1&lt;/C&gt;&lt;D xsi:type="xsd:string"&gt;Q1 2026 Earnings Release (Projected)&lt;/D&gt;&lt;/FQL&gt;&lt;FQL&gt;&lt;Q&gt;LRCX^CS_EVENT_DATEJ_N("ER",1)&lt;/Q&gt;&lt;R&gt;1&lt;/R&gt;&lt;C&gt;1&lt;/C&gt;&lt;D xsi:type="xsd:long"&gt;46141&lt;/D&gt;&lt;/FQL&gt;&lt;FQL&gt;&lt;Q&gt;LRCX^CS_EVENT_TIME_N("ER",1)&lt;/Q&gt;&lt;R&gt;1&lt;/R&gt;&lt;C&gt;1&lt;/C&gt;&lt;D xsi:type="xsd:string"&gt;Unspecified&lt;/D&gt;&lt;/FQL&gt;&lt;FQL&gt;&lt;Q&gt;LRCX^CS_EVENT_DESC_N("ER",1)&lt;/Q&gt;&lt;R&gt;1&lt;/R&gt;&lt;C&gt;1&lt;/C&gt;&lt;D xsi:type="xsd:string"&gt;Q3 2026 Earnings Release (Projected)&lt;/D&gt;&lt;/FQL&gt;&lt;FQL&gt;&lt;Q&gt;TYL^CS_EVENT_DATEJ_N("ER",1)&lt;/Q&gt;&lt;R&gt;1&lt;/R&gt;&lt;C&gt;1&lt;/C&gt;&lt;D xsi:type="xsd:long"&gt;46141&lt;/D&gt;&lt;/FQL&gt;&lt;FQL&gt;&lt;Q&gt;TYL^CS_EVENT_TIME_N("ER",1)&lt;/Q&gt;&lt;R&gt;1&lt;/R&gt;&lt;C&gt;1&lt;/C&gt;&lt;D xsi:type="xsd:string"&gt;Unspecified&lt;/D&gt;&lt;/FQL&gt;&lt;FQL&gt;&lt;Q&gt;TYL^CS_EVENT_DESC_N("ER",1)&lt;/Q&gt;&lt;R&gt;1&lt;/R&gt;&lt;C&gt;1&lt;/C&gt;&lt;D xsi:type="xsd:string"&gt;Q1 2026 Earnings Release (Projected)&lt;/D&gt;&lt;/FQL&gt;&lt;FQL&gt;&lt;Q&gt;REG^CS_EVENT_DATEJ_N("ER",1)&lt;/Q&gt;&lt;R&gt;1&lt;/R&gt;&lt;C&gt;1&lt;/C&gt;&lt;D xsi:type="xsd:long"&gt;46141&lt;/D&gt;&lt;/FQL&gt;&lt;FQL&gt;&lt;Q&gt;REG^CS_EVENT_TIME_N("ER",1)&lt;/Q&gt;&lt;R&gt;1&lt;/R&gt;&lt;C&gt;1&lt;/C&gt;&lt;D xsi:type="xsd:string"&gt;4:15 PM&lt;/D&gt;&lt;/FQL&gt;&lt;FQL&gt;&lt;Q&gt;REG^CS_EVENT_DESC_N("ER",1)&lt;/Q&gt;&lt;R&gt;1&lt;/R&gt;&lt;C&gt;1&lt;/C&gt;&lt;D xsi:type="xsd:string"&gt;Q1 2026 Earnings Release&lt;/D&gt;&lt;/FQL&gt;&lt;FQL&gt;&lt;Q&gt;BG^CS_EVENT_DATEJ_N("ER",1)&lt;/Q&gt;&lt;R&gt;1&lt;/R&gt;&lt;C&gt;1&lt;/C&gt;&lt;D xsi:type="xsd:long"&gt;46141&lt;/D&gt;&lt;/FQL&gt;&lt;FQL&gt;&lt;Q&gt;BG^CS_EVENT_TIME_N("ER",1)&lt;/Q&gt;&lt;R&gt;1&lt;/R&gt;&lt;C&gt;1&lt;/C&gt;&lt;D xsi:type="xsd:string"&gt;6:00 AM&lt;/D&gt;&lt;/FQL&gt;&lt;FQL&gt;&lt;Q&gt;BG^CS_EVENT_DESC_N("ER",1)&lt;/Q&gt;&lt;R&gt;1&lt;/R&gt;&lt;C&gt;1&lt;/C&gt;&lt;D xsi:type="xsd:string"&gt;Q1 2026 Earnings Release&lt;/D&gt;&lt;/FQL&gt;&lt;FQL&gt;&lt;Q&gt;F^CS_EVENT_DATEJ_N("ER",1)&lt;/Q&gt;&lt;R&gt;1&lt;/R&gt;&lt;C&gt;1&lt;/C&gt;&lt;D xsi:type="xsd:long"&gt;46141&lt;/D&gt;&lt;/FQL&gt;&lt;FQL&gt;&lt;Q&gt;F^CS_EVENT_TIME_N("ER",1)&lt;/Q&gt;&lt;R&gt;1&lt;/R&gt;&lt;C&gt;1&lt;/C&gt;&lt;D xsi:type="xsd:string"&gt;4:05 PM&lt;/D&gt;&lt;/FQL&gt;&lt;FQL&gt;&lt;Q&gt;F^CS_EVENT_DESC_N("ER",1)&lt;/Q&gt;&lt;R&gt;1&lt;/R&gt;&lt;C&gt;1&lt;/C&gt;&lt;D xsi:type="xsd:string"&gt;Q1 2026 Earnings Release&lt;/D&gt;&lt;/FQL&gt;&lt;FQL&gt;&lt;Q&gt;AFL^CS_EVENT_DATEJ_N("ER",1)&lt;/Q&gt;&lt;R&gt;1&lt;/R&gt;&lt;C&gt;1&lt;/C&gt;&lt;D xsi:type="xsd:long"&gt;46141&lt;/D&gt;&lt;/FQL&gt;&lt;FQL&gt;&lt;Q&gt;AFL^CS_EVENT_TIME_N("ER",1)&lt;/Q&gt;&lt;R&gt;1&lt;/R&gt;&lt;C&gt;1&lt;/C&gt;&lt;D xsi:type="xsd:string"&gt;4:05 PM&lt;/D&gt;&lt;/FQL&gt;&lt;FQL&gt;&lt;Q&gt;AFL^CS_EVENT_DESC_N("ER",1)&lt;/Q&gt;&lt;R&gt;1&lt;/R&gt;&lt;C&gt;1&lt;/C&gt;&lt;D xsi:type="xsd:string"&gt;Q1 2026 Earnings Release&lt;/D&gt;&lt;/FQL&gt;&lt;FQL&gt;&lt;Q&gt;HUM^CS_EVENT_DATEJ_N("ER",1)&lt;/Q&gt;&lt;R&gt;1&lt;/R&gt;&lt;C&gt;1&lt;/C&gt;&lt;D xsi:type="xsd:long"&gt;46141&lt;/D&gt;&lt;/FQL&gt;&lt;FQL&gt;&lt;Q&gt;HUM^CS_EVENT_TIME_N("ER",1)&lt;/Q&gt;&lt;R&gt;1&lt;/R&gt;&lt;C&gt;1&lt;/C&gt;&lt;D xsi:type="xsd:string"&gt;6:00 AM&lt;/D&gt;&lt;/FQL&gt;&lt;FQL&gt;&lt;Q&gt;HUM^CS_EVENT_DESC_N("ER",1)&lt;/Q&gt;&lt;R&gt;1&lt;/R&gt;&lt;C&gt;1&lt;/C&gt;&lt;D xsi:type="xsd:string"&gt;Q1 2026 Earnings Release&lt;/D&gt;&lt;/FQL&gt;&lt;FQL&gt;&lt;Q&gt;CMG^CS_EVENT_DATEJ_N("ER",1)&lt;/Q&gt;&lt;R&gt;1&lt;/R&gt;&lt;C&gt;1&lt;/C&gt;&lt;D xsi:type="xsd:long"&gt;46141&lt;/D&gt;&lt;/FQL&gt;&lt;FQL&gt;&lt;Q&gt;CMG^CS_EVENT_TIME_N("ER",1)&lt;/Q&gt;&lt;R&gt;1&lt;/R&gt;&lt;C&gt;1&lt;/C&gt;&lt;D xsi:type="xsd:string"&gt;4:10 PM&lt;/D&gt;&lt;/FQL&gt;&lt;FQL&gt;&lt;Q&gt;CMG^CS_EVENT_DESC_N("ER",1)&lt;/Q&gt;&lt;R&gt;1&lt;/R&gt;&lt;C&gt;1&lt;/C&gt;&lt;D xsi:type="xsd:string"&gt;Q1 2026 Earnings Release&lt;/D&gt;&lt;/FQL&gt;&lt;FQL&gt;&lt;Q&gt;ABBV^CS_EVENT_DATEJ_N("ER",1)&lt;/Q&gt;&lt;R&gt;1&lt;/R&gt;&lt;C&gt;1&lt;/C&gt;&lt;D xsi:type="xsd:long"&gt;46141&lt;/D&gt;&lt;/FQL&gt;&lt;FQL&gt;&lt;Q&gt;ABBV^CS_EVENT_TIME_N("ER",1)&lt;/Q&gt;&lt;R&gt;1&lt;/R&gt;&lt;C&gt;1&lt;/C&gt;&lt;D xsi:type="xsd:string"&gt;Before Market&lt;/D&gt;&lt;/FQL&gt;&lt;FQL&gt;&lt;Q&gt;ABBV^CS_EVENT_DESC_N("ER",1)&lt;/Q&gt;&lt;R&gt;1&lt;/R&gt;&lt;C&gt;1&lt;/C&gt;&lt;D xsi:type="xsd:string"&gt;Q1 2026 Earnings Release&lt;/D&gt;&lt;/FQL&gt;&lt;FQL&gt;&lt;Q&gt;STX^CS_EVENT_DATEJ_N("ER",1)&lt;/Q&gt;&lt;R&gt;1&lt;/R&gt;&lt;C&gt;1&lt;/C&gt;&lt;D xsi:type="xsd:long"&gt;46141&lt;/D&gt;&lt;/FQL&gt;&lt;FQL&gt;&lt;Q&gt;STX^CS_EVENT_TIME_N("ER",1)&lt;/Q&gt;&lt;R&gt;1&lt;/R&gt;&lt;C&gt;1&lt;/C&gt;&lt;D xsi:type="xsd:string"&gt;Unspecified&lt;/D&gt;&lt;/FQL&gt;&lt;FQL&gt;&lt;Q&gt;STX^CS_EVENT_DESC_N("ER",1)&lt;/Q&gt;&lt;R&gt;1&lt;/R&gt;&lt;C&gt;1&lt;/C&gt;&lt;D xsi:type="xsd:string"&gt;Q3 2026 Earnings Release (Projected)&lt;/D&gt;&lt;/FQL&gt;&lt;FQL&gt;&lt;Q&gt;PTC^CS_EVENT_DATEJ_N("ER",1)&lt;/Q&gt;&lt;R&gt;1&lt;/R&gt;&lt;C&gt;1&lt;/C&gt;&lt;D xsi:type="xsd:long"&gt;46141&lt;/D&gt;&lt;/FQL&gt;&lt;FQL&gt;&lt;Q&gt;PTC^CS_EVENT_TIME_N("ER",1)&lt;/Q&gt;&lt;R&gt;1&lt;/R&gt;&lt;C&gt;1&lt;/C&gt;&lt;D xsi:type="xsd:string"&gt;Unspecified&lt;/D&gt;&lt;/FQL&gt;&lt;FQL&gt;&lt;Q&gt;PTC^CS_EVENT_DESC_N("ER",1)&lt;/Q&gt;&lt;R&gt;1&lt;/R&gt;&lt;C&gt;1&lt;/C&gt;&lt;D xsi:type="xsd:string"&gt;Q2 2026 Earnings Release (Projected)&lt;/D&gt;&lt;/FQL&gt;&lt;FQL&gt;&lt;Q&gt;CHRW^CS_EVENT_DATEJ_N("ER",1)&lt;/Q&gt;&lt;R&gt;1&lt;/R&gt;&lt;C&gt;1&lt;/C&gt;&lt;D xsi:type="xsd:long"&gt;46141&lt;/D&gt;&lt;/FQL&gt;&lt;FQL&gt;&lt;Q&gt;CHRW^CS_EVENT_TIME_N("ER",1)&lt;/Q&gt;&lt;R&gt;1&lt;/R&gt;&lt;C&gt;1&lt;/C&gt;&lt;D xsi:type="xsd:string"&gt;Unspecified&lt;/D&gt;&lt;/FQL&gt;&lt;FQL&gt;&lt;Q&gt;CHRW^CS_EVENT_DESC_N("ER",1)&lt;/Q&gt;&lt;R&gt;1&lt;/R&gt;&lt;C&gt;1&lt;/C&gt;&lt;D xsi:type="xsd:string"&gt;Q1 2026 Earnings Release (Projected)&lt;/D&gt;&lt;/FQL&gt;&lt;FQL&gt;&lt;Q&gt;LVS^CS_EVENT_DATEJ_N("ER",1)&lt;/Q&gt;&lt;R&gt;1&lt;/R&gt;&lt;C&gt;1&lt;/C&gt;&lt;D xsi:type="xsd:long"&gt;46141&lt;/D&gt;&lt;/FQL&gt;&lt;FQL&gt;&lt;Q&gt;LVS^CS_EVENT_TIME_N("ER",1)&lt;/Q&gt;&lt;R&gt;1&lt;/R&gt;&lt;C&gt;1&lt;/C&gt;&lt;D xsi:type="xsd:string"&gt;Unspecified&lt;/D&gt;&lt;/FQL&gt;&lt;FQL&gt;&lt;Q&gt;LVS^CS_EVENT_DESC_N("ER",1)&lt;/Q&gt;&lt;R&gt;1&lt;/R&gt;&lt;C&gt;1&lt;/C&gt;&lt;D xsi:type="xsd:string"&gt;Q1 2026 Earnings Release (Projected)&lt;/D&gt;&lt;/FQL&gt;&lt;FQL&gt;&lt;Q&gt;TEL^CS_EVENT_DATEJ_N("ER",1)&lt;/Q&gt;&lt;R&gt;1&lt;/R&gt;&lt;C&gt;1&lt;/C&gt;&lt;D xsi:type="xsd:long"&gt;46141&lt;/D&gt;&lt;/FQL&gt;&lt;FQL&gt;&lt;Q&gt;TEL^CS_EVENT_TIME_N("ER",1)&lt;/Q&gt;&lt;R&gt;1&lt;/R&gt;&lt;C&gt;1&lt;/C&gt;&lt;D xsi:type="xsd:string"&gt;Unspecified&lt;/D&gt;&lt;/FQL&gt;&lt;FQL&gt;&lt;Q&gt;TEL^CS_EVENT_DESC_N("ER",1)&lt;/Q&gt;&lt;R&gt;1&lt;/R&gt;&lt;C&gt;1&lt;/C&gt;&lt;D xsi:type="xsd:string"&gt;Q2 2026 Earnings Release (Projected)&lt;/D&gt;&lt;/FQL&gt;&lt;FQL&gt;&lt;Q&gt;META^CS_EVENT_DATEJ_N("ER",1)&lt;/Q&gt;&lt;R&gt;1&lt;/R&gt;&lt;C&gt;1&lt;/C&gt;&lt;D xsi:type="xsd:long"&gt;46141&lt;/D&gt;&lt;/FQL&gt;&lt;FQL&gt;&lt;Q&gt;META^CS_EVENT_TIME_N("ER",1)&lt;/Q&gt;&lt;R&gt;1&lt;/R&gt;&lt;C&gt;1&lt;/C&gt;&lt;D xsi:type="xsd:string"&gt;Unspecified&lt;/D&gt;&lt;/FQL&gt;&lt;FQL&gt;&lt;Q&gt;META^CS_EVENT_DESC_N("ER",1)&lt;/Q&gt;&lt;R&gt;1&lt;/R&gt;&lt;C&gt;1&lt;/C&gt;&lt;D xsi:type="xsd:string"&gt;Q1 2026 Earnings Release (Projected)&lt;/D&gt;&lt;/FQL&gt;&lt;FQL&gt;&lt;Q&gt;PSX^CS_EVENT_DATEJ_N("ER",1)&lt;/Q&gt;&lt;R&gt;1&lt;/R&gt;&lt;C&gt;1&lt;/C&gt;&lt;D xsi:type="xsd:long"&gt;46141&lt;/D&gt;&lt;/FQL&gt;&lt;FQL&gt;&lt;Q&gt;PSX^CS_EVENT_TIME_N("ER",1)&lt;/Q&gt;&lt;R&gt;1&lt;/R&gt;&lt;C&gt;1&lt;/C&gt;&lt;D xsi:type="xsd:string"&gt;Unspecified&lt;/D&gt;&lt;/FQL&gt;&lt;FQL&gt;&lt;Q&gt;PSX^CS_EVENT_DESC_N("ER",1)&lt;/Q&gt;&lt;R&gt;1&lt;/R&gt;&lt;C&gt;1&lt;/C&gt;&lt;D xsi:type="xsd:string"&gt;Q1 2026 Earnings Release&lt;/D&gt;&lt;/FQL&gt;&lt;FQL&gt;&lt;Q&gt;NOW^CS_EVENT_DATEJ_N("ER",1)&lt;/Q&gt;&lt;R&gt;1&lt;/R&gt;&lt;C&gt;1&lt;/C&gt;&lt;D xsi:type="xsd:long"&gt;46141&lt;/D&gt;&lt;/FQL&gt;&lt;FQL&gt;&lt;Q&gt;NOW^CS_EVENT_TIME_N("ER",1)&lt;/Q&gt;&lt;R&gt;1&lt;/R&gt;&lt;C&gt;1&lt;/C&gt;&lt;D xsi:type="xsd:string"&gt;Unspecified&lt;/D&gt;&lt;/FQL&gt;&lt;FQL&gt;&lt;Q&gt;NOW^CS_EVENT_DESC_N("ER",1)&lt;/Q&gt;&lt;R&gt;1&lt;/R&gt;&lt;C&gt;1&lt;/C&gt;&lt;D xsi:type="xsd:string"&gt;Q1 2026 Earnings Release (Projected)&lt;/D&gt;&lt;/FQL&gt;&lt;FQL&gt;&lt;Q&gt;VICI^CS_EVENT_DATEJ_N("ER",1)&lt;/Q&gt;&lt;R&gt;1&lt;/R&gt;&lt;C&gt;1&lt;/C&gt;&lt;D xsi:type="xsd:long"&gt;46141&lt;/D&gt;&lt;/FQL&gt;&lt;FQL&gt;&lt;Q&gt;VICI^CS_EVENT_TIME_N("ER",1)&lt;/Q&gt;&lt;R&gt;1&lt;/R&gt;&lt;C&gt;1&lt;/C&gt;&lt;D xsi:type="xsd:string"&gt;4:15 PM&lt;/D&gt;&lt;/FQL&gt;&lt;FQL&gt;&lt;Q&gt;VICI^CS_EVENT_DESC_N("ER",1)&lt;/Q&gt;&lt;R&gt;1&lt;/R&gt;&lt;C&gt;1&lt;/C&gt;&lt;D xsi:type="xsd:string"&gt;Q1 2026 Earnings Release&lt;/D&gt;&lt;/FQL&gt;&lt;FQL&gt;&lt;Q&gt;VRT^CS_EVENT_DATEJ_N("ER",1)&lt;/Q&gt;&lt;R&gt;1&lt;/R&gt;&lt;C&gt;1&lt;/C&gt;&lt;D xsi:type="xsd:long"&gt;46141&lt;/D&gt;&lt;/FQL&gt;&lt;FQL&gt;&lt;Q&gt;VRT^CS_EVENT_TIME_N("ER",1)&lt;/Q&gt;&lt;R&gt;1&lt;/R&gt;&lt;C&gt;1&lt;/C&gt;&lt;D xsi:type="xsd:string"&gt;Unspecified&lt;/D&gt;&lt;/FQL&gt;&lt;FQL&gt;&lt;Q&gt;VRT^CS_EVENT_DESC_N("ER",1)&lt;/Q&gt;&lt;R&gt;1&lt;/R&gt;&lt;C&gt;1&lt;/C&gt;&lt;D xsi:type="xsd:string"&gt;Q1 2026 Earnings Release (Projected)&lt;/D&gt;&lt;/FQL&gt;&lt;FQL&gt;&lt;Q&gt;OTIS^CS_EVENT_DATEJ_N("ER",1)&lt;/Q&gt;&lt;R&gt;1&lt;/R&gt;&lt;C&gt;1&lt;/C&gt;&lt;D xsi:type="xsd:long"&gt;46141&lt;/D&gt;&lt;/FQL&gt;&lt;FQL&gt;&lt;Q&gt;OTIS^CS_EVENT_TIME_N("ER",1)&lt;/Q&gt;&lt;R&gt;1&lt;/R&gt;&lt;C&gt;1&lt;/C&gt;&lt;D xsi:type="xsd:string"&gt;Unspecified&lt;/D&gt;&lt;/FQL&gt;&lt;FQL&gt;&lt;Q&gt;OTIS^CS_EVENT_DESC_N("ER",1)&lt;/Q&gt;&lt;R&gt;1&lt;/R&gt;&lt;C&gt;1&lt;/C&gt;&lt;D xsi:type="xsd:string"&gt;Q1 2026 Earnings Release (Projected)&lt;/D&gt;&lt;/FQL&gt;&lt;FQL&gt;&lt;Q&gt;AES^CS_EVENT_DATEJ_N("ER",1)&lt;/Q&gt;&lt;R&gt;1&lt;/R&gt;&lt;C&gt;1&lt;/C&gt;&lt;D xsi:type="xsd:long"&gt;46142&lt;/D&gt;&lt;/FQL&gt;&lt;FQL&gt;&lt;Q&gt;AES^CS_EVENT_TIME_N("ER",1)&lt;/Q&gt;&lt;R&gt;1&lt;/R&gt;&lt;C&gt;1&lt;/C&gt;&lt;D xsi:type="xsd:string"&gt;Unspecified&lt;/D&gt;&lt;/FQL&gt;&lt;FQL&gt;&lt;Q&gt;AES^CS_EVENT_DESC_N("ER",1)&lt;/Q&gt;&lt;R&gt;1&lt;/R&gt;&lt;C&gt;1&lt;/C&gt;&lt;D xsi:type="xsd:string"&gt;Q1 2026 Earnings Release (Projected)&lt;/D&gt;&lt;/FQL&gt;&lt;FQL&gt;&lt;Q&gt;ED^CS_EVENT_DATEJ_N("ER",1)&lt;/Q&gt;&lt;R&gt;1&lt;/R&gt;&lt;C&gt;1&lt;/C&gt;&lt;D xsi:type="xsd:long"&gt;46142&lt;/D&gt;&lt;/FQL&gt;&lt;FQL&gt;&lt;Q&gt;ED^CS_EVENT_TIME_N("ER",1)&lt;/Q&gt;&lt;R&gt;1&lt;/R&gt;&lt;C&gt;1&lt;/C&gt;&lt;D xsi:type="xsd:string"&gt;Unspecified&lt;/D&gt;&lt;/FQL&gt;&lt;FQL&gt;&lt;Q&gt;ED^CS_EVENT_DESC_N("ER",1)&lt;/Q&gt;&lt;R&gt;1&lt;/R&gt;&lt;C&gt;1&lt;/C&gt;&lt;D xsi:type="xsd:string"&gt;Q1 2026 Earnings Release (Projected)&lt;/D&gt;&lt;/FQL&gt;&lt;FQL&gt;&lt;Q&gt;SO^CS_EVENT_DATEJ_N("ER",1)&lt;/Q&gt;&lt;R&gt;1&lt;/R&gt;&lt;C&gt;1&lt;/C&gt;&lt;D xsi:type="xsd:long"&gt;46142&lt;/D&gt;&lt;/FQL&gt;&lt;FQL&gt;&lt;Q&gt;SO^CS_EVENT_TIME_N("ER",1)&lt;/Q&gt;&lt;R&gt;1&lt;/R&gt;&lt;C&gt;1&lt;/C&gt;&lt;D xsi:type="xsd:string"&gt;7:30 AM&lt;/D&gt;&lt;/FQL&gt;&lt;FQL&gt;&lt;Q&gt;SO^CS_EVENT_DESC_N("ER",1)&lt;/Q&gt;&lt;R&gt;1&lt;/R&gt;&lt;C&gt;1&lt;/C&gt;&lt;D xsi:type="xsd:string"&gt;Q1 2026 Earnings Release&lt;/D&gt;&lt;/FQL&gt;&lt;FQL&gt;&lt;Q&gt;IP^CS_EVENT_DATEJ_N("ER",1)&lt;/Q&gt;&lt;R&gt;1&lt;/R&gt;&lt;C&gt;1&lt;/C&gt;&lt;D xsi:type="xsd:long"&gt;46142&lt;/D&gt;&lt;/FQL&gt;&lt;FQL&gt;&lt;Q&gt;IP^CS_EVENT_TIME_N("ER",1)&lt;/Q&gt;&lt;R&gt;1&lt;/R&gt;&lt;C&gt;1&lt;/C&gt;&lt;D xsi:type="xsd:string"&gt;7:00 AM&lt;/D&gt;&lt;/FQL&gt;&lt;FQL&gt;&lt;Q&gt;IP^CS_EVENT_DESC_N("ER",1)&lt;/Q&gt;&lt;R&gt;1&lt;/R&gt;&lt;C&gt;1&lt;/C&gt;&lt;D xsi:type="xsd:string"&gt;Q1 2026 Earnings Release&lt;/D&gt;&lt;/FQL&gt;&lt;FQL&gt;&lt;Q&gt;BAX^CS_EVENT_DATEJ_N("ER",1)&lt;/Q&gt;&lt;R&gt;1&lt;/R&gt;&lt;C&gt;1&lt;/C&gt;&lt;D xsi:type="xsd:long"&gt;46142&lt;/D&gt;&lt;/FQL&gt;&lt;FQL&gt;&lt;Q&gt;BAX^CS_EVENT_TIME_N("ER",1)&lt;/Q&gt;&lt;R&gt;1&lt;/R&gt;&lt;C&gt;1&lt;/C&gt;&lt;D xsi:type="xsd:string"&gt;Unspecified&lt;/D&gt;&lt;/FQL&gt;&lt;FQL&gt;&lt;Q&gt;BAX^CS_EVENT_DESC_N("ER",1)&lt;/Q&gt;&lt;R&gt;1&lt;/R&gt;&lt;C&gt;1&lt;/C&gt;&lt;D xsi:type="xsd:string"&gt;Q1 2026 Earnings Release (Projected)&lt;/D&gt;&lt;/FQL&gt;&lt;FQL&gt;&lt;Q&gt;MNST^CS_EVENT_DATEJ_N("ER",1)&lt;/Q&gt;&lt;R&gt;1&lt;/R&gt;&lt;C&gt;1&lt;/C&gt;&lt;D xsi:type="xsd:long"&gt;46142&lt;/D&gt;&lt;/FQL&gt;&lt;FQL&gt;&lt;Q&gt;MNST^CS_EVENT_TIME_N("ER",1)&lt;/Q&gt;&lt;R&gt;1&lt;/R&gt;&lt;C&gt;1&lt;/C&gt;&lt;D xsi:type="xsd:string"&gt;Unspecified&lt;/D&gt;&lt;/FQL&gt;&lt;FQL&gt;&lt;Q&gt;MNST^CS_EVENT_DESC_N("ER",1)&lt;/Q&gt;&lt;R&gt;1&lt;/R&gt;&lt;C&gt;1&lt;/C&gt;&lt;D xsi:type="xsd:string"&gt;Q1 2026 Earnings Release (Projected)&lt;/D&gt;&lt;/FQL&gt;&lt;FQL&gt;&lt;Q&gt;CAH^CS_EVENT_DATEJ_N("ER",1)&lt;/Q&gt;&lt;R&gt;1&lt;/R&gt;&lt;C&gt;1&lt;/C&gt;&lt;D xsi:type="xsd:long"&gt;46142&lt;/D&gt;&lt;/FQL&gt;&lt;FQL&gt;&lt;Q&gt;CAH^CS_EVENT_TIME_N("ER",1)&lt;/Q&gt;&lt;R&gt;1&lt;/R&gt;&lt;C&gt;1&lt;/C&gt;&lt;D xsi:type="xsd:string"&gt;Before Market&lt;/D&gt;&lt;/FQL&gt;&lt;FQL&gt;&lt;Q&gt;CAH^CS_EVENT_DESC_N("ER",1)&lt;/Q&gt;&lt;R&gt;1&lt;/R&gt;&lt;C&gt;1&lt;/C&gt;&lt;D xsi:type="xsd:string"&gt;Q3 2026 Earnings Release&lt;/D&gt;&lt;/FQL&gt;&lt;FQL&gt;&lt;Q&gt;LHX^CS_EVENT_DATEJ_N("ER",1)&lt;/Q&gt;&lt;R&gt;1&lt;/R&gt;&lt;C&gt;1&lt;/C&gt;&lt;D xsi:type="xsd:long"&gt;46142&lt;/D&gt;&lt;/FQL&gt;&lt;FQL&gt;&lt;Q&gt;LHX^CS_EVENT_TIME_N("ER",1)&lt;/Q&gt;&lt;R&gt;1&lt;/R&gt;&lt;C&gt;1&lt;/C&gt;&lt;D xsi:type="xsd:string"&gt;6:55 AM&lt;/D&gt;&lt;/FQL&gt;&lt;FQL&gt;&lt;Q&gt;LHX^CS_EVENT_DESC_N("ER",1)&lt;/Q&gt;&lt;R&gt;1&lt;/R&gt;&lt;C&gt;1&lt;/C&gt;&lt;D xsi:type="xsd:string"&gt;Q1 2026 Earnings Release&lt;/D&gt;&lt;/FQL&gt;&lt;FQL&gt;&lt;Q&gt;AIG^CS_EVENT_DATEJ_N("ER",1)&lt;/Q&gt;&lt;R&gt;1&lt;/R&gt;&lt;C&gt;1&lt;/C&gt;&lt;D xsi:type="xsd:long"&gt;46142&lt;/D&gt;&lt;/FQL&gt;&lt;FQL&gt;&lt;Q&gt;AIG^CS_EVENT_TIME_N("ER",1)&lt;/Q&gt;&lt;R&gt;1&lt;/R&gt;&lt;C&gt;1&lt;/C&gt;&lt;D xsi:type="xsd:string"&gt;Unspecified&lt;/D&gt;&lt;/FQL&gt;&lt;FQL&gt;&lt;Q&gt;AIG^CS_EVENT_DESC_N("ER",1)&lt;/Q&gt;&lt;R&gt;1&lt;/R&gt;&lt;C&gt;1&lt;/C&gt;&lt;D xsi:type="xsd:string"&gt;Q1 2026 Earnings Release (Projected)&lt;/D&gt;&lt;/FQL&gt;&lt;FQL&gt;&lt;Q&gt;LLY^CS_EVENT_DATEJ_N("ER",1)&lt;/Q&gt;&lt;R&gt;1&lt;/R&gt;&lt;C&gt;1&lt;/C&gt;&lt;D xsi:type="xsd:long"&gt;46142&lt;/D&gt;&lt;/FQL&gt;&lt;FQL&gt;&lt;Q&gt;LLY^CS_EVENT_TIME_N("ER",1)&lt;/Q&gt;&lt;R&gt;1&lt;/R&gt;&lt;C&gt;1&lt;/C&gt;&lt;D xsi:type="xsd:string"&gt;6:45 AM&lt;/D&gt;&lt;/FQL&gt;&lt;FQL&gt;&lt;Q&gt;LLY^CS_EVENT_DESC_N("ER",1)&lt;/Q&gt;&lt;R&gt;1&lt;/R&gt;&lt;C&gt;1&lt;/C&gt;&lt;D xsi:type="xsd:string"&gt;Q1 2026 Earnings Release&lt;/D&gt;&lt;/FQL&gt;&lt;FQL&gt;&lt;Q&gt;LH^CS_EVENT_DATEJ_N("ER",1)&lt;/Q&gt;&lt;R&gt;1&lt;/R&gt;&lt;C&gt;1&lt;/C&gt;&lt;D xsi:type="xsd:long"&gt;46142&lt;/D&gt;&lt;/FQL&gt;&lt;FQL&gt;&lt;Q&gt;LH^CS_EVENT_TIME_N("ER",1)&lt;/Q&gt;&lt;R&gt;1&lt;/R&gt;&lt;C&gt;1&lt;/C&gt;&lt;D xsi:type="xsd:string"&gt;6:50 AM&lt;/D&gt;&lt;/FQL&gt;&lt;FQL&gt;&lt;Q&gt;LH^CS_EVENT_DESC_N("ER",1)&lt;/Q&gt;&lt;R&gt;1&lt;/R&gt;&lt;C&gt;1&lt;/C&gt;&lt;D xsi:type="xsd:string"&gt;Q1 2026 Earnings Release&lt;/D&gt;&lt;/FQL&gt;&lt;FQL&gt;&lt;Q&gt;BMY^CS_EVENT_DATEJ_N("ER",1)&lt;/Q&gt;&lt;R&gt;1&lt;/R&gt;&lt;C&gt;1&lt;/C&gt;&lt;D xsi:type="xsd:long"&gt;46142&lt;/D&gt;&lt;/FQL&gt;&lt;FQL&gt;&lt;Q&gt;BMY^CS_EVENT_TIME_N("ER",1)&lt;/Q&gt;&lt;R&gt;1&lt;/R&gt;&lt;C&gt;1&lt;/C&gt;&lt;D xsi:type="xsd:string"&gt;6:59 AM&lt;/D&gt;&lt;/FQL&gt;&lt;FQL&gt;&lt;Q&gt;BMY^CS_EVENT_DESC_N("ER",1)&lt;/Q&gt;&lt;R&gt;1&lt;/R&gt;&lt;C&gt;1&lt;/C&gt;&lt;D xsi:type="xsd:string"&gt;Q1 2026 Earnings Release&lt;/D&gt;&lt;/FQL&gt;&lt;FQL&gt;&lt;Q&gt;LNT^CS_EVENT_DATEJ_N("ER",1)&lt;/Q&gt;&lt;R&gt;1&lt;/R&gt;&lt;C&gt;1&lt;/C&gt;&lt;D xsi:type="xsd:long"&gt;46142&lt;/D&gt;&lt;/FQL&gt;&lt;FQL&gt;&lt;Q&gt;LNT^CS_EVENT_TIME_N("ER",1)&lt;/Q&gt;&lt;R&gt;1&lt;/R&gt;&lt;C&gt;1&lt;/C&gt;&lt;D xsi:type="xsd:string"&gt;Unspecified&lt;/D&gt;&lt;/FQL&gt;&lt;FQL&gt;&lt;Q&gt;LNT^CS_EVENT_DESC_N("ER",1)&lt;/Q&gt;&lt;R&gt;1&lt;/R&gt;&lt;C&gt;1&lt;/C&gt;&lt;D xsi:type="xsd:string"&gt;Q1 2026 Earnings Release (Projected)&lt;/D&gt;&lt;/FQL&gt;&lt;FQL&gt;&lt;Q&gt;APD^CS_EVENT_DATEJ_N("ER",1)&lt;/Q&gt;&lt;R&gt;1&lt;/R&gt;&lt;C&gt;1&lt;/C&gt;&lt;D xsi:type="xsd:long"&gt;46142&lt;/D&gt;&lt;/FQL&gt;&lt;FQL&gt;&lt;Q&gt;APD^CS_EVENT_TIME_N("ER",1)&lt;/Q&gt;&lt;R&gt;1&lt;/R&gt;&lt;C&gt;1&lt;/C&gt;&lt;D xsi:type="xsd:string"&gt;Unspecified&lt;/D&gt;&lt;/FQL&gt;&lt;FQL&gt;&lt;Q&gt;APD^CS_EVENT_DESC_N("ER",1)&lt;/Q&gt;&lt;R&gt;1&lt;/R&gt;&lt;C&gt;1&lt;/C&gt;&lt;D xsi:type="xsd:string"&gt;Q2 2026 Earnings Release (Projected)&lt;/D&gt;&lt;/FQL&gt;&lt;FQL&gt;&lt;Q&gt;SRE^CS_EVENT_DATEJ_N("ER",1)&lt;/Q&gt;&lt;R&gt;1&lt;/R&gt;&lt;C&gt;1&lt;/C&gt;&lt;D xsi:type="xsd:long"&gt;46142&lt;/D&gt;&lt;/FQL&gt;&lt;FQL&gt;&lt;Q&gt;SRE^CS_EVENT_TIME_N("ER",1)&lt;/Q&gt;&lt;R&gt;1&lt;/R&gt;&lt;C&gt;1&lt;/C&gt;&lt;D xsi:type="xsd:string"&gt;Unspecified&lt;/D&gt;&lt;/FQL&gt;&lt;FQL&gt;&lt;Q&gt;SRE^CS_EVENT_DESC_N("ER",1)&lt;/Q&gt;&lt;R&gt;1&lt;/R&gt;&lt;C&gt;1&lt;/C&gt;&lt;D xsi:type="xsd:string"&gt;Q1 2026 Earnings Release (Projected)&lt;/D&gt;&lt;/FQL&gt;&lt;FQL&gt;&lt;Q&gt;PPL^CS_EVENT_DATEJ_N("ER",1)&lt;/Q&gt;&lt;R&gt;1&lt;/R&gt;&lt;C&gt;1&lt;/C&gt;&lt;D xsi:type="xsd:long"&gt;46142&lt;/D&gt;&lt;/FQL&gt;&lt;FQL&gt;&lt;Q&gt;PPL^CS_EVENT_TIME_N("ER",1)&lt;/Q&gt;&lt;R&gt;1&lt;/R&gt;&lt;C&gt;1&lt;/C&gt;&lt;D xsi:type="xsd:string"&gt;Unspecified&lt;/D&gt;&lt;/FQL&gt;&lt;FQL&gt;&lt;Q&gt;PPL^CS_EVENT_DESC_N("ER",1)&lt;/Q&gt;&lt;R&gt;1&lt;/R&gt;&lt;C&gt;1&lt;/C&gt;&lt;D xsi:type="xsd:string"&gt;Q1 2026 Earnings Release (Projected)&lt;/D&gt;&lt;/FQL&gt;&lt;FQL&gt;&lt;Q&gt;TXT^CS_EVENT_DATEJ_N("ER",1)&lt;/Q&gt;&lt;R&gt;1&lt;/R&gt;&lt;C&gt;1&lt;/C&gt;&lt;D xsi:type="xsd:long"&gt;46142&lt;/D&gt;&lt;/FQL&gt;&lt;FQL&gt;&lt;Q&gt;TXT^CS_EVENT_TIME_N("ER",1)&lt;/Q&gt;&lt;R&gt;1&lt;/R&gt;&lt;C&gt;1&lt;/C&gt;&lt;D xsi:type="xsd:string"&gt;6:30 AM&lt;/D&gt;&lt;/FQL&gt;&lt;FQL&gt;&lt;Q&gt;TXT^CS_EVENT_DESC_N("ER",1)&lt;/Q&gt;&lt;R&gt;1&lt;/R&gt;&lt;C&gt;1&lt;/C&gt;&lt;D xsi:type="xsd:string"&gt;Q1 2026 Earnings Release&lt;/D&gt;&lt;/FQL&gt;&lt;FQL&gt;&lt;Q&gt;AEE^CS_EVENT_DATEJ_N("ER",1)&lt;/Q&gt;&lt;R&gt;1&lt;/R&gt;&lt;C&gt;1&lt;/C&gt;&lt;D xsi:type="xsd:long"&gt;46142&lt;/D&gt;&lt;/FQL&gt;&lt;FQL&gt;&lt;Q&gt;AEE^CS_EVENT_TIME_N("ER",1)&lt;/Q&gt;&lt;R&gt;1&lt;/R&gt;&lt;C&gt;1&lt;/C&gt;&lt;D xsi:type="xsd:string"&gt;Unspecified&lt;/D&gt;&lt;/FQL&gt;&lt;FQL&gt;&lt;Q&gt;AEE^CS_EVENT_DESC_N("ER",1)&lt;/Q&gt;&lt;R&gt;1&lt;/R&gt;&lt;C&gt;1&lt;/C&gt;&lt;D xsi:type="xsd:string"&gt;Q1 2026 Earnings Release (Projected)&lt;/D&gt;&lt;/FQL&gt;&lt;FQL&gt;&lt;Q&gt;TRGP^CS_EVENT_DATEJ_N("ER",1)&lt;/Q&gt;&lt;R&gt;1&lt;/R&gt;&lt;C&gt;1&lt;/C&gt;&lt;D xsi:type="xsd:long"&gt;46142&lt;/D&gt;&lt;/FQL&gt;&lt;FQL&gt;&lt;Q&gt;TRGP^CS_EVENT_TIME_N("ER",1)&lt;/Q&gt;&lt;R&gt;1&lt;/R&gt;&lt;C&gt;1&lt;/C&gt;&lt;D xsi:type="xsd:string"&gt;Unspecified&lt;/D&gt;&lt;/FQL&gt;&lt;FQL&gt;&lt;Q&gt;TRGP^CS_EVENT_DESC_N("ER",1)&lt;/Q&gt;&lt;R&gt;1&lt;/R&gt;&lt;C&gt;1&lt;/C&gt;&lt;D xsi:type="xsd:string"&gt;Q1 2026 Earnings Release (Projected)&lt;/D&gt;&lt;/FQL&gt;&lt;FQL&gt;&lt;Q&gt;MTD^CS_EVENT_DATEJ_N("ER",1)&lt;/Q&gt;&lt;R&gt;1&lt;/R&gt;&lt;C&gt;1&lt;/C&gt;&lt;D xsi:type="xsd:long"&gt;46142&lt;/D&gt;&lt;/FQL&gt;&lt;FQL&gt;&lt;Q&gt;MTD^CS_EVENT_TIME_N("ER",1)&lt;/Q&gt;&lt;R&gt;1&lt;/R&gt;&lt;C&gt;1&lt;/C&gt;&lt;D xsi:type="xsd:string"&gt;Unspecified&lt;/D&gt;&lt;/FQL&gt;&lt;FQL&gt;&lt;Q&gt;MTD^CS_EVENT_DESC_N("ER",1)&lt;/Q&gt;&lt;R&gt;1&lt;/R&gt;&lt;C&gt;1&lt;/C&gt;&lt;D xsi:type="xsd:string"&gt;Q1 2026 Earnings Release (Projected)&lt;/D&gt;&lt;/FQL&gt;&lt;FQL&gt;&lt;Q&gt;APO^CS_EVENT_DATEJ_N("ER",1)&lt;/Q&gt;&lt;R&gt;1&lt;/R&gt;&lt;C&gt;1&lt;/C&gt;&lt;D xsi:type="xsd:long"&gt;46142&lt;/D&gt;&lt;/FQL&gt;&lt;FQL&gt;&lt;Q&gt;APO^CS_EVENT_TIME_N("ER",1)&lt;/Q&gt;&lt;R&gt;1&lt;/R&gt;&lt;C&gt;1&lt;/C&gt;&lt;D xsi:type="xsd:string"&gt;Unspecified&lt;/D&gt;&lt;/FQL&gt;&lt;FQL&gt;&lt;Q&gt;APO^CS_EVENT_DESC_N("ER",1)&lt;/Q&gt;&lt;R&gt;1&lt;/R&gt;&lt;C&gt;1&lt;/C&gt;&lt;D xsi:type="xsd:string"&gt;Q1 2026 Earnings Release (Projected)&lt;/D&gt;&lt;/FQL&gt;&lt;FQL&gt;&lt;Q&gt;D^CS_EVENT_DATEJ_N("ER",1)&lt;/Q&gt;&lt;R&gt;1&lt;/R&gt;&lt;C&gt;1&lt;/C&gt;&lt;D xsi:type="xsd:long"&gt;46142&lt;/D&gt;&lt;/FQL&gt;&lt;FQL&gt;&lt;Q&gt;D^CS_EVENT_TIME_N("ER",1)&lt;/Q&gt;&lt;R&gt;1&lt;/R&gt;&lt;C&gt;1&lt;/C&gt;&lt;D xsi:type="xsd:string"&gt;Unspecified&lt;/D&gt;&lt;/FQL&gt;&lt;FQL&gt;&lt;Q&gt;D^CS_EVENT_DESC_N("ER",1)&lt;/Q&gt;&lt;R&gt;1&lt;/R&gt;&lt;C&gt;1&lt;/C&gt;&lt;D xsi:type="xsd:string"&gt;Q1 2026 Earnings Release (Projected)&lt;/D&gt;&lt;/FQL&gt;&lt;FQL&gt;&lt;Q&gt;VLO^CS_EVENT_DATEJ_N("ER",1)&lt;/Q&gt;&lt;R&gt;1&lt;/R&gt;&lt;C&gt;1&lt;/C&gt;&lt;D xsi:type="xsd:long"&gt;46142&lt;/D&gt;&lt;/FQL&gt;&lt;FQL&gt;&lt;Q&gt;VLO^CS_EVENT_TIME_N("ER",1)&lt;/Q&gt;&lt;R&gt;1&lt;/R&gt;&lt;C&gt;1&lt;/C&gt;&lt;D xsi:type="xsd:string"&gt;6:30 AM&lt;/D&gt;&lt;/FQL&gt;&lt;FQL&gt;&lt;Q&gt;VLO^CS_EVENT_DESC_N("ER",1)&lt;/Q&gt;&lt;R&gt;1&lt;/R&gt;&lt;C&gt;1&lt;/C&gt;&lt;D xsi:type="xsd:string"&gt;Q1 2026 Earnings Release&lt;/D&gt;&lt;/FQL&gt;&lt;FQL&gt;&lt;Q&gt;PH^CS_EVENT_DATEJ_N("ER",1)&lt;/Q&gt;&lt;R&gt;1&lt;/R&gt;&lt;C&gt;1&lt;/C&gt;&lt;D xsi:type="xsd:long"&gt;46142&lt;/D&gt;&lt;/FQL&gt;&lt;FQL&gt;&lt;Q&gt;PH^CS_EVENT_TIME_N("ER",1)&lt;/Q&gt;&lt;R&gt;1&lt;/R&gt;&lt;C&gt;1&lt;/C&gt;&lt;D xsi:type="xsd:string"&gt;Unspecified&lt;/D&gt;&lt;/FQL&gt;&lt;FQL&gt;&lt;Q&gt;PH^CS_EVENT_DESC_N("ER",1)&lt;/Q&gt;&lt;R&gt;1&lt;/R&gt;&lt;C&gt;1&lt;/C&gt;&lt;D xsi:type="xsd:string"&gt;Q3 2026 Earnings Release (Projected)&lt;/D&gt;&lt;/FQL&gt;&lt;FQL&gt;&lt;Q&gt;AAPL^CS_EVENT_DATEJ_N("ER",1)&lt;/Q&gt;&lt;R&gt;1&lt;/R&gt;&lt;C&gt;1&lt;/C&gt;&lt;D xsi:type="xsd:long"&gt;46142&lt;/D&gt;&lt;/FQL&gt;&lt;FQL&gt;&lt;Q&gt;AAPL^CS_EVENT_TIME_N("ER",1)&lt;/Q&gt;&lt;R&gt;1&lt;/R&gt;&lt;C&gt;1&lt;/C&gt;&lt;D xsi:type="xsd:string"&gt;Unspecified&lt;/D&gt;&lt;/FQL&gt;&lt;FQL&gt;&lt;Q&gt;AAPL^CS_EVENT_DESC_N("ER",1)&lt;/Q&gt;&lt;R&gt;1&lt;/R&gt;&lt;C&gt;1&lt;/C&gt;&lt;D xsi:type="xsd:string"&gt;Q2 2026 Earnings Release (Projected)&lt;/D&gt;&lt;/FQL&gt;&lt;FQL&gt;&lt;Q&gt;WY^CS_EVENT_DATEJ_N("ER",1)&lt;/Q&gt;&lt;R&gt;1&lt;/R&gt;&lt;C&gt;1&lt;/C&gt;&lt;D xsi:type="xsd:long"&gt;46142&lt;/D&gt;&lt;/FQL&gt;&lt;FQL&gt;&lt;Q&gt;WY^CS_EVENT_TIME_N("ER",1)&lt;/Q&gt;&lt;R&gt;1&lt;/R&gt;&lt;C&gt;1&lt;/C&gt;&lt;D xsi:type="xsd:string"&gt;After Market&lt;/D&gt;&lt;/FQL&gt;&lt;FQL&gt;&lt;Q&gt;WY^CS_EVENT_DESC_N("ER",1)&lt;/Q&gt;&lt;R&gt;1&lt;/R&gt;&lt;C&gt;1&lt;/C&gt;&lt;D xsi:type="xsd:string"&gt;Q1 2026 Earnings Release&lt;/D&gt;&lt;/FQL&gt;&lt;FQL&gt;&lt;Q&gt;PWR^CS_EVENT_DATEJ_N("ER",1)&lt;/Q&gt;&lt;R&gt;1&lt;/R&gt;&lt;C&gt;1&lt;/C&gt;&lt;D xsi:type="xsd:long"&gt;46142&lt;/D&gt;&lt;/FQL&gt;&lt;FQL&gt;&lt;Q&gt;PWR^CS_EVENT_TIME_N("ER",1)&lt;/Q&gt;&lt;R&gt;1&lt;/R&gt;&lt;C&gt;1&lt;/C&gt;&lt;D xsi:type="xsd:string"&gt;Unspecified&lt;/D&gt;&lt;/FQL&gt;&lt;FQL&gt;&lt;Q&gt;PWR^CS_EVENT_DESC_N("ER",1)&lt;/Q&gt;&lt;R&gt;1&lt;/R&gt;&lt;C&gt;1&lt;/C&gt;&lt;D xsi:type="xsd:string"&gt;Q1 2026 Earnings Release (Projected)&lt;/D&gt;&lt;/FQL&gt;&lt;FQL&gt;&lt;Q&gt;CTRA^CS_EVENT_DATEJ_N("ER",1)&lt;/Q&gt;&lt;R&gt;1&lt;/R&gt;&lt;C&gt;1&lt;/C&gt;&lt;D xsi:type="xsd:long"&gt;46142&lt;/D&gt;&lt;/FQL&gt;&lt;FQL&gt;&lt;Q&gt;CTRA^CS_EVENT_TIME_N("ER",1)&lt;/Q&gt;&lt;R&gt;1&lt;/R&gt;&lt;C&gt;1&lt;/C&gt;&lt;D xsi:type="xsd:string"&gt;Unspecified&lt;/D&gt;&lt;/FQL&gt;&lt;FQL&gt;&lt;Q&gt;CTRA^CS_EVENT_DESC_N("ER",1)&lt;/Q&gt;&lt;R&gt;1&lt;/R&gt;&lt;C&gt;1&lt;/C&gt;&lt;D xsi:type="xsd:string"&gt;Q1 2026 Earnings Release (Projected)&lt;/D&gt;&lt;/FQL&gt;&lt;FQL&gt;&lt;Q&gt;RCL^CS_EVENT_DATEJ_N("ER",1)&lt;/Q&gt;&lt;R&gt;1&lt;/R&gt;&lt;C&gt;1&lt;/C&gt;&lt;D xsi:type="xsd:long"&gt;46142&lt;/D&gt;&lt;/FQL&gt;&lt;FQL&gt;&lt;Q&gt;RCL^CS_EVENT_TIME_N("ER",1)&lt;/Q&gt;&lt;R&gt;1&lt;/R&gt;&lt;C&gt;1&lt;/C&gt;&lt;D xsi:type="xsd:string"&gt;Unspecified&lt;/D&gt;&lt;/FQL&gt;&lt;FQL&gt;&lt;Q&gt;RCL^CS_EVENT_DESC_N("ER",1)&lt;/Q&gt;&lt;R&gt;1&lt;/R&gt;&lt;C&gt;1&lt;/C&gt;&lt;D xsi:type="xsd:string"&gt;Q1 2026 Earnings Release (Projected)&lt;/D&gt;&lt;/FQL&gt;&lt;FQL&gt;&lt;Q&gt;BDX^CS_EVENT_DATEJ_N("ER",1)&lt;/Q&gt;&lt;R&gt;1&lt;/R&gt;&lt;C&gt;1&lt;/C&gt;&lt;D xsi:type="xsd:long"&gt;46142&lt;/D&gt;&lt;/FQL&gt;&lt;FQL&gt;&lt;Q&gt;BDX^CS_EVENT_TIME_N("ER",1)&lt;/Q&gt;&lt;R&gt;1&lt;/R&gt;&lt;C&gt;1&lt;/C&gt;&lt;D xsi:type="xsd:string"&gt;Unspecified&lt;/D&gt;&lt;/FQL&gt;&lt;FQL&gt;&lt;Q&gt;BDX^CS_EVENT_DESC_N("ER",1)&lt;/Q&gt;&lt;R&gt;1&lt;/R&gt;&lt;C&gt;1&lt;/C&gt;&lt;D xsi:type="xsd:string"&gt;Q2 2026 Earnings Release (Projected)&lt;/D&gt;&lt;/FQL&gt;&lt;FQL&gt;&lt;Q&gt;BALL^CS_EVENT_DATEJ_N("ER",1)&lt;/Q&gt;&lt;R&gt;1&lt;/R&gt;&lt;C&gt;1&lt;/C&gt;&lt;D xsi:type="xsd:long"&gt;46142&lt;/D&gt;&lt;/FQL&gt;&lt;FQL&gt;&lt;Q&gt;BALL^CS_EVENT_TIME_N("ER",1)&lt;/Q&gt;&lt;R&gt;1&lt;/R&gt;&lt;C&gt;1&lt;/C&gt;&lt;D xsi:type="xsd:string"&gt;Unspecified&lt;/D&gt;&lt;/FQL&gt;&lt;FQL&gt;&lt;Q&gt;BALL^CS_EVENT_DESC_N("ER",1)&lt;/Q&gt;&lt;R&gt;1&lt;/R&gt;&lt;C&gt;1&lt;/C&gt;&lt;D xsi:type="xsd:string"&gt;Q1 2026 Earnings Release (Projected)&lt;/D&gt;&lt;/FQL&gt;&lt;FQL&gt;&lt;Q&gt;CI^CS_EVENT_DATEJ_N("ER",1)&lt;/Q&gt;&lt;R&gt;1&lt;/R&gt;&lt;C&gt;1&lt;/C&gt;&lt;D xsi:type="xsd:long"&gt;46142&lt;/D&gt;&lt;/FQL&gt;&lt;FQL&gt;&lt;Q&gt;CI^CS_EVENT_TIME_N("ER",1)&lt;/Q&gt;&lt;R&gt;1&lt;/R&gt;&lt;C&gt;1&lt;/C&gt;&lt;D xsi:type="xsd:string"&gt;Before Market&lt;/D&gt;&lt;/FQL&gt;&lt;FQL&gt;&lt;Q&gt;CI^CS_EVENT_DESC_N("ER",1)&lt;/Q&gt;&lt;R&gt;1&lt;/R&gt;&lt;C&gt;1&lt;/C&gt;&lt;D xsi:type="xsd:string"&gt;Q1 2026 Earnings Release&lt;/D&gt;&lt;/FQL&gt;&lt;FQL&gt;&lt;Q&gt;HOLX^CS_EVENT_DATEJ_N("ER",1)&lt;/Q&gt;&lt;R&gt;1&lt;/R&gt;&lt;C&gt;1&lt;/C&gt;&lt;D xsi:type="xsd:long"&gt;46142&lt;/D&gt;&lt;/FQL&gt;&lt;FQL&gt;&lt;Q&gt;HOLX^CS_EVENT_TIME_N("ER",1)&lt;/Q&gt;&lt;R&gt;1&lt;/R&gt;&lt;C&gt;1&lt;/C&gt;&lt;D xsi:type="xsd:string"&gt;Unspecified&lt;/D&gt;&lt;/FQL&gt;&lt;FQL&gt;&lt;Q&gt;HOLX^CS_EVENT_DESC_N("ER",1)&lt;/Q&gt;&lt;R&gt;1&lt;/R&gt;&lt;C&gt;1&lt;/C&gt;&lt;D xsi:type="xsd:string"&gt;Q2 2026 Earnings Release (Projected)&lt;/D&gt;&lt;/FQL&gt;&lt;FQL&gt;&lt;Q&gt;IRM^CS_EVENT_DATEJ_N("ER",1)&lt;/Q&gt;&lt;R&gt;1&lt;/R&gt;&lt;C&gt;1&lt;/C&gt;&lt;D xsi:type="xsd:long"&gt;46142&lt;/D&gt;&lt;/FQL&gt;&lt;FQL&gt;&lt;Q&gt;IRM^CS_EVENT_TIME_N("ER",1)&lt;/Q&gt;&lt;R&gt;1&lt;/R&gt;&lt;C&gt;1&lt;/C&gt;&lt;D xsi:type="xsd:string"&gt;Unspecified&lt;/D&gt;&lt;/FQL&gt;&lt;FQL&gt;&lt;Q&gt;IRM^CS_EVENT_DESC_N("ER",1)&lt;/Q&gt;&lt;R&gt;1&lt;/R&gt;&lt;C&gt;1&lt;/C&gt;&lt;D xsi:type="xsd:string"&gt;Q1 2026 Earnings Release (Projected)&lt;/D&gt;&lt;/FQL&gt;&lt;FQL&gt;&lt;Q&gt;COP^CS_EVENT_DATEJ_N("ER",1)&lt;/Q&gt;&lt;R&gt;1&lt;/R&gt;&lt;C&gt;1&lt;/C&gt;&lt;D xsi:type="xsd:long"&gt;46142&lt;/D&gt;&lt;/FQL&gt;&lt;FQL&gt;&lt;Q&gt;COP^CS_EVENT_TIME_N("ER",1)&lt;/Q&gt;&lt;R&gt;1&lt;/R&gt;&lt;C&gt;1&lt;/C&gt;&lt;D xsi:type="xsd:string"&gt;7:00 AM&lt;/D&gt;&lt;/FQL&gt;&lt;FQL&gt;&lt;Q&gt;COP^CS_EVENT_DESC_N("ER",1)&lt;/Q&gt;&lt;R&gt;1&lt;/R&gt;&lt;C&gt;1&lt;/C&gt;&lt;D xsi:type="xsd:string"&gt;Q1 2026 Earnings Release&lt;/D&gt;&lt;/FQL&gt;&lt;FQL&gt;&lt;Q&gt;DVA^CS_EVENT_DATEJ_N("ER",1)&lt;/Q&gt;&lt;R&gt;1&lt;/R&gt;&lt;C&gt;1&lt;/C&gt;&lt;D xsi:type="xsd:long"&gt;46142&lt;/D&gt;&lt;/FQL&gt;&lt;FQL&gt;&lt;Q&gt;DVA^CS_EVENT_TIME_N("ER",1)&lt;/Q&gt;&lt;R&gt;1&lt;/R&gt;&lt;C&gt;1&lt;/C&gt;&lt;D xsi:type="xsd:string"&gt;Unspecified&lt;/D&gt;&lt;/FQL&gt;&lt;FQL&gt;&lt;Q&gt;DVA^CS_EVENT_DESC_N("ER",1)&lt;/Q&gt;&lt;R&gt;1&lt;/R&gt;&lt;C&gt;1&lt;/C&gt;&lt;D xsi:type="xsd:string"&gt;Q1 2026 Earnings Release (Projected)&lt;/D&gt;&lt;/FQL&gt;&lt;FQL&gt;&lt;Q&gt;MPWR^CS_EVENT_DATEJ_N("ER",1)&lt;/Q&gt;&lt;R&gt;1&lt;/R&gt;&lt;C&gt;1&lt;/C&gt;&lt;D xsi:type="xsd:long"&gt;46142&lt;/D&gt;&lt;/FQL&gt;&lt;FQL&gt;&lt;Q&gt;MPWR^CS_EVENT_TIME_N("ER",1)&lt;/Q&gt;&lt;R&gt;1&lt;/R&gt;&lt;C&gt;1&lt;/C&gt;&lt;D xsi:type="xsd:string"&gt;Unspecified&lt;/D&gt;&lt;/FQL&gt;&lt;FQL&gt;&lt;Q&gt;MPWR^CS_EVENT_DESC_N("ER",1)&lt;/Q&gt;&lt;R&gt;1&lt;/R&gt;&lt;C&gt;1&lt;/C&gt;&lt;D xsi:type="xsd:string"&gt;Q1 2026 Earnings Release (Projected)&lt;/D&gt;&lt;/FQL&gt;&lt;FQL&gt;&lt;Q&gt;MO^CS_EVENT_DATEJ_N("ER",1)&lt;/Q&gt;&lt;R&gt;1&lt;/R&gt;&lt;C&gt;1&lt;/C&gt;&lt;D xsi:type="xsd:long"&gt;46142&lt;/D&gt;&lt;/FQL&gt;&lt;FQL&gt;&lt;Q&gt;MO^CS_EVENT_TIME_N("ER",1)&lt;/Q&gt;&lt;R&gt;1&lt;/R&gt;&lt;C&gt;1&lt;/C&gt;&lt;D xsi:type="xsd:string"&gt;7:00 AM&lt;/D&gt;&lt;/FQL&gt;&lt;FQL&gt;&lt;Q&gt;MO^CS_EVENT_DESC_N("ER",1)&lt;/Q&gt;&lt;R&gt;1&lt;/R&gt;&lt;C&gt;1&lt;/C&gt;&lt;D xsi:type="xsd:string"&gt;Q1 2026 Earnings Release&lt;/D&gt;&lt;/FQL&gt;&lt;FQL&gt;&lt;Q&gt;PNW^CS_EVENT_DATEJ_N("ER",1)&lt;/Q&gt;&lt;R&gt;1&lt;/R&gt;&lt;C&gt;1&lt;/C&gt;&lt;D xsi:type="xsd:long"&gt;46142&lt;/D&gt;&lt;/FQL&gt;&lt;FQL&gt;&lt;Q&gt;PNW^CS_EVENT_TIME_N("ER",1)&lt;/Q&gt;&lt;R&gt;1&lt;/R&gt;&lt;C&gt;1&lt;/C&gt;&lt;D xsi:type="xsd:string"&gt;Unspecified&lt;/D&gt;&lt;/FQL&gt;&lt;FQL&gt;&lt;Q&gt;PNW^CS_EVENT_DESC_N("ER",1)&lt;/Q&gt;&lt;R&gt;1&lt;/R&gt;&lt;C&gt;1&lt;/C</t>
        </r>
      </text>
    </comment>
    <comment ref="A24" authorId="0" shapeId="0" xr:uid="{BE3D78F4-901F-4BA5-B213-885F375A64B2}">
      <text>
        <r>
          <rPr>
            <b/>
            <sz val="9"/>
            <color indexed="81"/>
            <rFont val="Tahoma"/>
            <family val="2"/>
          </rPr>
          <t>&gt;&lt;D xsi:type="xsd:string"&gt;Q1 2026 Earnings Release (Projected)&lt;/D&gt;&lt;/FQL&gt;&lt;FQL&gt;&lt;Q&gt;NRG^CS_EVENT_DATEJ_N("ER",1)&lt;/Q&gt;&lt;R&gt;1&lt;/R&gt;&lt;C&gt;1&lt;/C&gt;&lt;D xsi:type="xsd:long"&gt;46142&lt;/D&gt;&lt;/FQL&gt;&lt;FQL&gt;&lt;Q&gt;NRG^CS_EVENT_TIME_N("ER",1)&lt;/Q&gt;&lt;R&gt;1&lt;/R&gt;&lt;C&gt;1&lt;/C&gt;&lt;D xsi:type="xsd:string"&gt;Unspecified&lt;/D&gt;&lt;/FQL&gt;&lt;FQL&gt;&lt;Q&gt;NRG^CS_EVENT_DESC_N("ER",1)&lt;/Q&gt;&lt;R&gt;1&lt;/R&gt;&lt;C&gt;1&lt;/C&gt;&lt;D xsi:type="xsd:string"&gt;Q1 2026 Earnings Release (Projected)&lt;/D&gt;&lt;/FQL&gt;&lt;FQL&gt;&lt;Q&gt;GDDY^CS_EVENT_DATEJ_N("ER",1)&lt;/Q&gt;&lt;R&gt;1&lt;/R&gt;&lt;C&gt;1&lt;/C&gt;&lt;D xsi:type="xsd:long"&gt;46142&lt;/D&gt;&lt;/FQL&gt;&lt;FQL&gt;&lt;Q&gt;GDDY^CS_EVENT_TIME_N("ER",1)&lt;/Q&gt;&lt;R&gt;1&lt;/R&gt;&lt;C&gt;1&lt;/C&gt;&lt;D xsi:type="xsd:string"&gt;Unspecified&lt;/D&gt;&lt;/FQL&gt;&lt;FQL&gt;&lt;Q&gt;GDDY^CS_EVENT_DESC_N("ER",1)&lt;/Q&gt;&lt;R&gt;1&lt;/R&gt;&lt;C&gt;1&lt;/C&gt;&lt;D xsi:type="xsd:string"&gt;Q1 2026 Earnings Release (Projected)&lt;/D&gt;&lt;/FQL&gt;&lt;FQL&gt;&lt;Q&gt;MRK^CS_EVENT_DATEJ_N("ER",1)&lt;/Q&gt;&lt;R&gt;1&lt;/R&gt;&lt;C&gt;1&lt;/C&gt;&lt;D xsi:type="xsd:long"&gt;46142&lt;/D&gt;&lt;/FQL&gt;&lt;FQL&gt;&lt;Q&gt;MRK^CS_EVENT_TIME_N("ER",1)&lt;/Q&gt;&lt;R&gt;1&lt;/R&gt;&lt;C&gt;1&lt;/C&gt;&lt;D xsi:type="xsd:string"&gt;6:30 AM&lt;/D&gt;&lt;/FQL&gt;&lt;FQL&gt;&lt;Q&gt;MRK^CS_EVENT_DESC_N("ER",1)&lt;/Q&gt;&lt;R&gt;1&lt;/R&gt;&lt;C&gt;1&lt;/C&gt;&lt;D xsi:type="xsd:string"&gt;Q1 2026 Earnings Release&lt;/D&gt;&lt;/FQL&gt;&lt;FQL&gt;&lt;Q&gt;LYV^CS_EVENT_DATEJ_N("ER",1)&lt;/Q&gt;&lt;R&gt;1&lt;/R&gt;&lt;C&gt;1&lt;/C&gt;&lt;D xsi:type="xsd:long"&gt;46142&lt;/D&gt;&lt;/FQL&gt;&lt;FQL&gt;&lt;Q&gt;LYV^CS_EVENT_TIME_N("ER",1)&lt;/Q&gt;&lt;R&gt;1&lt;/R&gt;&lt;C&gt;1&lt;/C&gt;&lt;D xsi:type="xsd:string"&gt;Unspecified&lt;/D&gt;&lt;/FQL&gt;&lt;FQL&gt;&lt;Q&gt;LYV^CS_EVENT_DESC_N("ER",1)&lt;/Q&gt;&lt;R&gt;1&lt;/R&gt;&lt;C&gt;1&lt;/C&gt;&lt;D xsi:type="xsd:string"&gt;Q1 2026 Earnings Release (Projected)&lt;/D&gt;&lt;/FQL&gt;&lt;FQL&gt;&lt;Q&gt;BLDR^CS_EVENT_DATEJ_N("ER",1)&lt;/Q&gt;&lt;R&gt;1&lt;/R&gt;&lt;C&gt;1&lt;/C&gt;&lt;D xsi:type="xsd:long"&gt;46142&lt;/D&gt;&lt;/FQL&gt;&lt;FQL&gt;&lt;Q&gt;BLDR^CS_EVENT_TIME_N("ER",1)&lt;/Q&gt;&lt;R&gt;1&lt;/R&gt;&lt;C&gt;1&lt;/C&gt;&lt;D xsi:type="xsd:string"&gt;Unspecified&lt;/D&gt;&lt;/FQL&gt;&lt;FQL&gt;&lt;Q&gt;BLDR^CS_EVENT_DESC_N("ER",1)&lt;/Q&gt;&lt;R&gt;1&lt;/R&gt;&lt;C&gt;1&lt;/C&gt;&lt;D xsi:type="xsd:string"&gt;Q1 2026 Earnings Release (Projected)&lt;/D&gt;&lt;/FQL&gt;&lt;FQL&gt;&lt;Q&gt;FTNT^CS_EVENT_DATEJ_N("ER",1)&lt;/Q&gt;&lt;R&gt;1&lt;/R&gt;&lt;C&gt;1&lt;/C&gt;&lt;D xsi:type="xsd:long"&gt;46142&lt;/D&gt;&lt;/FQL&gt;&lt;FQL&gt;&lt;Q&gt;FTNT^CS_EVENT_TIME_N("ER",1)&lt;/Q&gt;&lt;R&gt;1&lt;/R&gt;&lt;C&gt;1&lt;/C&gt;&lt;D xsi:type="xsd:string"&gt;Unspecified&lt;/D&gt;&lt;/FQL&gt;&lt;FQL&gt;&lt;Q&gt;FTNT^CS_EVENT_DESC_N("ER",1)&lt;/Q&gt;&lt;R&gt;1&lt;/R&gt;&lt;C&gt;1&lt;/C&gt;&lt;D xsi:type="xsd:string"&gt;Q1 2026 Earnings Release (Projected)&lt;/D&gt;&lt;/FQL&gt;&lt;FQL&gt;&lt;Q&gt;EPAM^CS_EVENT_DATEJ_N("ER",1)&lt;/Q&gt;&lt;R&gt;1&lt;/R&gt;&lt;C&gt;1&lt;/C&gt;&lt;D xsi:type="xsd:long"&gt;46142&lt;/D&gt;&lt;/FQL&gt;&lt;FQL&gt;&lt;Q&gt;EPAM^CS_EVENT_TIME_N("ER",1)&lt;/Q&gt;&lt;R&gt;1&lt;/R&gt;&lt;C&gt;1&lt;/C&gt;&lt;D xsi:type="xsd:string"&gt;Unspecified&lt;/D&gt;&lt;/FQL&gt;&lt;FQL&gt;&lt;Q&gt;EPAM^CS_EVENT_DESC_N("ER",1)&lt;/Q&gt;&lt;R&gt;1&lt;/R&gt;&lt;C&gt;1&lt;/C&gt;&lt;D xsi:type="xsd:string"&gt;Q1 2026 Earnings Release (Projected)&lt;/D&gt;&lt;/FQL&gt;&lt;FQL&gt;&lt;Q&gt;PODD^CS_EVENT_DATEJ_N("ER",1)&lt;/Q&gt;&lt;R&gt;1&lt;/R&gt;&lt;C&gt;1&lt;/C&gt;&lt;D xsi:type="xsd:long"&gt;46142&lt;/D&gt;&lt;/FQL&gt;&lt;FQL&gt;&lt;Q&gt;PODD^CS_EVENT_TIME_N("ER",1)&lt;/Q&gt;&lt;R&gt;1&lt;/R&gt;&lt;C&gt;1&lt;/C&gt;&lt;D xsi:type="xsd:string"&gt;Unspecified&lt;/D&gt;&lt;/FQL&gt;&lt;FQL&gt;&lt;Q&gt;PODD^CS_EVENT_DESC_N("ER",1)&lt;/Q&gt;&lt;R&gt;1&lt;/R&gt;&lt;C&gt;1&lt;/C&gt;&lt;D xsi:type="xsd:string"&gt;Q1 2026 Earnings Release (Projected)&lt;/D&gt;&lt;/FQL&gt;&lt;FQL&gt;&lt;Q&gt;ZTS^CS_EVENT_DATEJ_N("ER",1)&lt;/Q&gt;&lt;R&gt;1&lt;/R&gt;&lt;C&gt;1&lt;/C&gt;&lt;D xsi:type="xsd:long"&gt;46142&lt;/D&gt;&lt;/FQL&gt;&lt;FQL&gt;&lt;Q&gt;ZTS^CS_EVENT_TIME_N("ER",1)&lt;/Q&gt;&lt;R&gt;1&lt;/R&gt;&lt;C&gt;1&lt;/C&gt;&lt;D xsi:type="xsd:string"&gt;Unspecified&lt;/D&gt;&lt;/FQL&gt;&lt;FQL&gt;&lt;Q&gt;ZTS^CS_EVENT_DESC_N("ER",1)&lt;/Q&gt;&lt;R&gt;1&lt;/R&gt;&lt;C&gt;1&lt;/C&gt;&lt;D xsi:type="xsd:string"&gt;Q1 2026 Earnings Release (Projected)&lt;/D&gt;&lt;/FQL&gt;&lt;FQL&gt;&lt;Q&gt;ICE^CS_EVENT_DATEJ_N("ER",1)&lt;/Q&gt;&lt;R&gt;1&lt;/R&gt;&lt;C&gt;1&lt;/C&gt;&lt;D xsi:type="xsd:long"&gt;46142&lt;/D&gt;&lt;/FQL&gt;&lt;FQL&gt;&lt;Q&gt;ICE^CS_EVENT_TIME_N("ER",1)&lt;/Q&gt;&lt;R&gt;1&lt;/R&gt;&lt;C&gt;1&lt;/C&gt;&lt;D xsi:type="xsd:string"&gt;7:30 AM&lt;/D&gt;&lt;/FQL&gt;&lt;FQL&gt;&lt;Q&gt;ICE^CS_EVENT_DESC_N("ER",1)&lt;/Q&gt;&lt;R&gt;1&lt;/R&gt;&lt;C&gt;1&lt;/C&gt;&lt;D xsi:type="xsd:string"&gt;Q1 2026 Earnings Release&lt;/D&gt;&lt;/FQL&gt;&lt;FQL&gt;&lt;Q&gt;CVNA^CS_EVENT_DATEJ_N("ER",1)&lt;/Q&gt;&lt;R&gt;1&lt;/R&gt;&lt;C&gt;1&lt;/C&gt;&lt;D xsi:type="xsd:long"&gt;46142&lt;/D&gt;&lt;/FQL&gt;&lt;FQL&gt;&lt;Q&gt;CVNA^CS_EVENT_TIME_N("ER",1)&lt;/Q&gt;&lt;R&gt;1&lt;/R&gt;&lt;C&gt;1&lt;/C&gt;&lt;D xsi:type="xsd:string"&gt;Unspecified&lt;/D&gt;&lt;/FQL&gt;&lt;FQL&gt;&lt;Q&gt;CVNA^CS_EVENT_DESC_N("ER",1)&lt;/Q&gt;&lt;R&gt;1&lt;/R&gt;&lt;C&gt;1&lt;/C&gt;&lt;D xsi:type="xsd:string"&gt;Q1 2026 Earnings Release (Projected)&lt;/D&gt;&lt;/FQL&gt;&lt;FQL&gt;&lt;Q&gt;MSI^CS_EVENT_DATEJ_N("ER",1)&lt;/Q&gt;&lt;R&gt;1&lt;/R&gt;&lt;C&gt;1&lt;/C&gt;&lt;D xsi:type="xsd:long"&gt;46142&lt;/D&gt;&lt;/FQL&gt;&lt;FQL&gt;&lt;Q&gt;MSI^CS_EVENT_TIME_N("ER",1)&lt;/Q&gt;&lt;R&gt;1&lt;/R&gt;&lt;C&gt;1&lt;/C&gt;&lt;D xsi:type="xsd:string"&gt;Unspecified&lt;/D&gt;&lt;/FQL&gt;&lt;FQL&gt;&lt;Q&gt;MSI^CS_EVENT_DESC_N("ER",1)&lt;/Q&gt;&lt;R&gt;1&lt;/R&gt;&lt;C&gt;1&lt;/C&gt;&lt;D xsi:type="xsd:string"&gt;Q1 2026 Earnings Release (Projected)&lt;/D&gt;&lt;/FQL&gt;&lt;FQL&gt;&lt;Q&gt;HII^CS_EVENT_DATEJ_N("ER",1)&lt;/Q&gt;&lt;R&gt;1&lt;/R&gt;&lt;C&gt;1&lt;/C&gt;&lt;D xsi:type="xsd:long"&gt;46142&lt;/D&gt;&lt;/FQL&gt;&lt;FQL&gt;&lt;Q&gt;HII^CS_EVENT_TIME_N("ER",1)&lt;/Q&gt;&lt;R&gt;1&lt;/R&gt;&lt;C&gt;1&lt;/C&gt;&lt;D xsi:type="xsd:string"&gt;Unspecified&lt;/D&gt;&lt;/FQL&gt;&lt;FQL&gt;&lt;Q&gt;HII^CS_EVENT_DESC_N("ER",1)&lt;/Q&gt;&lt;R&gt;1&lt;/R&gt;&lt;C&gt;1&lt;/C&gt;&lt;D xsi:type="xsd:string"&gt;Q1 2026 Earnings Release (Projected)&lt;/D&gt;&lt;/FQL&gt;&lt;FQL&gt;&lt;Q&gt;EXPE^CS_EVENT_DATEJ_N("ER",1)&lt;/Q&gt;&lt;R&gt;1&lt;/R&gt;&lt;C&gt;1&lt;/C&gt;&lt;D xsi:type="xsd:long"&gt;46142&lt;/D&gt;&lt;/FQL&gt;&lt;FQL&gt;&lt;Q&gt;EXPE^CS_EVENT_TIME_N("ER",1)&lt;/Q&gt;&lt;R&gt;1&lt;/R&gt;&lt;C&gt;1&lt;/C&gt;&lt;D xsi:type="xsd:string"&gt;Unspecified&lt;/D&gt;&lt;/FQL&gt;&lt;FQL&gt;&lt;Q&gt;EXPE^CS_EVENT_DESC_N("ER",1)&lt;/Q&gt;&lt;R&gt;1&lt;/R&gt;&lt;C&gt;1&lt;/C&gt;&lt;D xsi:type="xsd:string"&gt;Q1 2026 Earnings Release (Projected)&lt;/D&gt;&lt;/FQL&gt;&lt;FQL&gt;&lt;Q&gt;XYZ^CS_EVENT_DATEJ_N("ER",1)&lt;/Q&gt;&lt;R&gt;1&lt;/R&gt;&lt;C&gt;1&lt;/C&gt;&lt;D xsi:type="xsd:long"&gt;46142&lt;/D&gt;&lt;/FQL&gt;&lt;FQL&gt;&lt;Q&gt;XYZ^CS_EVENT_TIME_N("ER",1)&lt;/Q&gt;&lt;R&gt;1&lt;/R&gt;&lt;C&gt;1&lt;/C&gt;&lt;D xsi:type="xsd:string"&gt;Unspecified&lt;/D&gt;&lt;/FQL&gt;&lt;FQL&gt;&lt;Q&gt;XYZ^CS_EVENT_DESC_N("ER",1)&lt;/Q&gt;&lt;R&gt;1&lt;/R&gt;&lt;C&gt;1&lt;/C&gt;&lt;D xsi:type="xsd:string"&gt;Q1 2026 Earnings Release (Projected)&lt;/D&gt;&lt;/FQL&gt;&lt;FQL&gt;&lt;Q&gt;HWM^CS_EVENT_DATEJ_N("ER",1)&lt;/Q&gt;&lt;R&gt;1&lt;/R&gt;&lt;C&gt;1&lt;/C&gt;&lt;D xsi:type="xsd:long"&gt;46142&lt;/D&gt;&lt;/FQL&gt;&lt;FQL&gt;&lt;Q&gt;HWM^CS_EVENT_TIME_N("ER",1)&lt;/Q&gt;&lt;R&gt;1&lt;/R&gt;&lt;C&gt;1&lt;/C&gt;&lt;D xsi:type="xsd:string"&gt;Unspecified&lt;/D&gt;&lt;/FQL&gt;&lt;FQL&gt;&lt;Q&gt;HWM^CS_EVENT_DESC_N("ER",1)&lt;/Q&gt;&lt;R&gt;1&lt;/R&gt;&lt;C&gt;1&lt;/C&gt;&lt;D xsi:type="xsd:string"&gt;Q1 2026 Earnings Release (Projected)&lt;/D&gt;&lt;/FQL&gt;&lt;FQL&gt;&lt;Q&gt;SW^CS_EVENT_DATEJ_N("ER",1)&lt;/Q&gt;&lt;R&gt;1&lt;/R&gt;&lt;C&gt;1&lt;/C&gt;&lt;D xsi:type="xsd:long"&gt;46142&lt;/D&gt;&lt;/FQL&gt;&lt;FQL&gt;&lt;Q&gt;SW^CS_EVENT_TIME_N("ER",1)&lt;/Q&gt;&lt;R&gt;1&lt;/R&gt;&lt;C&gt;1&lt;/C&gt;&lt;D xsi:type="xsd:string"&gt;Unspecified&lt;/D&gt;&lt;/FQL&gt;&lt;FQL&gt;&lt;Q&gt;SW^CS_EVENT_DESC_N("ER",1)&lt;/Q&gt;&lt;R&gt;1&lt;/R&gt;&lt;C&gt;1&lt;/C&gt;&lt;D xsi:type="xsd:string"&gt;Q1 2026 Earnings Release (Projected)&lt;/D&gt;&lt;/FQL&gt;&lt;FQL&gt;&lt;Q&gt;MRNA^CS_EVENT_DATEJ_N("ER",1)&lt;/Q&gt;&lt;R&gt;1&lt;/R&gt;&lt;C&gt;1&lt;/C&gt;&lt;D xsi:type="xsd:long"&gt;46142&lt;/D&gt;&lt;/FQL&gt;&lt;FQL&gt;&lt;Q&gt;MRNA^CS_EVENT_TIME_N("ER",1)&lt;/Q&gt;&lt;R&gt;1&lt;/R&gt;&lt;C&gt;1&lt;/C&gt;&lt;D xsi:type="xsd:string"&gt;Unspecified&lt;/D&gt;&lt;/FQL&gt;&lt;FQL&gt;&lt;Q&gt;MRNA^CS_EVENT_DESC_N("ER",1)&lt;/Q&gt;&lt;R&gt;1&lt;/R&gt;&lt;C&gt;1&lt;/C&gt;&lt;D xsi:type="xsd:string"&gt;Q1 2026 Earnings Release (Projected)&lt;/D&gt;&lt;/FQL&gt;&lt;FQL&gt;&lt;Q&gt;LIN^CS_EVENT_DATEJ_N("ER",1)&lt;/Q&gt;&lt;R&gt;1&lt;/R&gt;&lt;C&gt;1&lt;/C&gt;&lt;D xsi:type="xsd:long"&gt;46142&lt;/D&gt;&lt;/FQL&gt;&lt;FQL&gt;&lt;Q&gt;LIN^CS_EVENT_TIME_N("ER",1)&lt;/Q&gt;&lt;R&gt;1&lt;/R&gt;&lt;C&gt;1&lt;/C&gt;&lt;D xsi:type="xsd:string"&gt;Unspecified&lt;/D&gt;&lt;/FQL&gt;&lt;FQL&gt;&lt;Q&gt;LIN^CS_EVENT_DESC_N("ER",1)&lt;/Q&gt;&lt;R&gt;1&lt;/R&gt;&lt;C&gt;1&lt;/C&gt;&lt;D xsi:type="xsd:string"&gt;Q1 2026 Earnings Release (Projected)&lt;/D&gt;&lt;/FQL&gt;&lt;FQL&gt;&lt;Q&gt;DDOG^CS_EVENT_DATEJ_N("ER",1)&lt;/Q&gt;&lt;R&gt;1&lt;/R&gt;&lt;C&gt;1&lt;/C&gt;&lt;D xsi:type="xsd:long"&gt;46142&lt;/D&gt;&lt;/FQL&gt;&lt;FQL&gt;&lt;Q&gt;DDOG^CS_EVENT_TIME_N("ER",1)&lt;/Q&gt;&lt;R&gt;1&lt;/R&gt;&lt;C&gt;1&lt;/C&gt;&lt;D xsi:type="xsd:string"&gt;Unspecified&lt;/D&gt;&lt;/FQL&gt;&lt;FQL&gt;&lt;Q&gt;DDOG^CS_EVENT_DESC_N("ER",1)&lt;/Q&gt;&lt;R&gt;1&lt;/R&gt;&lt;C&gt;1&lt;/C&gt;&lt;D xsi:type="xsd:string"&gt;Q1 2026 Earnings Release (Projected)&lt;/D&gt;&lt;/FQL&gt;&lt;FQL&gt;&lt;Q&gt;DASH^CS_EVENT_DATEJ_N("ER",1)&lt;/Q&gt;&lt;R&gt;1&lt;/R&gt;&lt;C&gt;1&lt;/C&gt;&lt;D xsi:type="xsd:long"&gt;46142&lt;/D&gt;&lt;/FQL&gt;&lt;FQL&gt;&lt;Q&gt;DASH^CS_EVENT_TIME_N("ER",1)&lt;/Q&gt;&lt;R&gt;1&lt;/R&gt;&lt;C&gt;1&lt;/C&gt;&lt;D xsi:type="xsd:string"&gt;Unspecified&lt;/D&gt;&lt;/FQL&gt;&lt;FQL&gt;&lt;Q&gt;DASH^CS_EVENT_DESC_N("ER",1)&lt;/Q&gt;&lt;R&gt;1&lt;/R&gt;&lt;C&gt;1&lt;/C&gt;&lt;D xsi:type="xsd:string"&gt;Q1 2026 Earnings Release (Projected)&lt;/D&gt;&lt;/FQL&gt;&lt;FQL&gt;&lt;Q&gt;SNDK^CS_EVENT_DATEJ_N("ER",1)&lt;/Q&gt;&lt;R&gt;1&lt;/R&gt;&lt;C&gt;1&lt;/C&gt;&lt;D xsi:type="xsd:long"&gt;46142&lt;/D&gt;&lt;/FQL&gt;&lt;FQL&gt;&lt;Q&gt;SNDK^CS_EVENT_TIME_N("ER",1)&lt;/Q&gt;&lt;R&gt;1&lt;/R&gt;&lt;C&gt;1&lt;/C&gt;&lt;D xsi:type="xsd:string"&gt;After Market&lt;/D&gt;&lt;/FQL&gt;&lt;FQL&gt;&lt;Q&gt;SNDK^CS_EVENT_DESC_N("ER",1)&lt;/Q&gt;&lt;R&gt;1&lt;/R&gt;&lt;C&gt;1&lt;/C&gt;&lt;D xsi:type="xsd:string"&gt;Q3 2026 Earnings Release&lt;/D&gt;&lt;/FQL&gt;&lt;FQL&gt;&lt;Q&gt;EVRG^CS_EVENT_DATEJ_N("ER",1)&lt;/Q&gt;&lt;R&gt;1&lt;/R&gt;&lt;C&gt;1&lt;/C&gt;&lt;D xsi:type="xsd:long"&gt;46143&lt;/D&gt;&lt;/FQL&gt;&lt;FQL&gt;&lt;Q&gt;EVRG^CS_EVENT_TIME_N("ER",1)&lt;/Q&gt;&lt;R&gt;1&lt;/R&gt;&lt;C&gt;1&lt;/C&gt;&lt;D xsi:type="xsd:string"&gt;Unspecified&lt;/D&gt;&lt;/FQL&gt;&lt;FQL&gt;&lt;Q&gt;EVRG^CS_EVENT_DESC_N("ER",1)&lt;/Q&gt;&lt;R&gt;1&lt;/R&gt;&lt;C&gt;1&lt;/C&gt;&lt;D xsi:type="xsd:string"&gt;Q1 2026 Earnings Release (Projected)&lt;/D&gt;&lt;/FQL&gt;&lt;FQL&gt;&lt;Q&gt;FRT^CS_EVENT_DATEJ_N("ER",1)&lt;/Q&gt;&lt;R&gt;1&lt;/R&gt;&lt;C&gt;1&lt;/C&gt;&lt;D xsi:type="xsd:long"&gt;46143&lt;/D&gt;&lt;/FQL&gt;&lt;FQL&gt;&lt;Q&gt;FRT^CS_EVENT_TIME_N("ER",1)&lt;/Q&gt;&lt;R&gt;1&lt;/R&gt;&lt;C&gt;1&lt;/C&gt;&lt;D xsi:type="xsd:string"&gt;Before Market&lt;/D&gt;&lt;/FQL&gt;&lt;FQL&gt;&lt;Q&gt;FRT^CS_EVENT_DESC_N("ER",1)&lt;/Q&gt;&lt;R&gt;1&lt;/R&gt;&lt;C&gt;1&lt;/C&gt;&lt;D xsi:type="xsd:string"&gt;Q1 2026 Earnings Release&lt;/D&gt;&lt;/FQL&gt;&lt;FQL&gt;&lt;Q&gt;CL^CS_EVENT_DATEJ_N("ER",1)&lt;/Q&gt;&lt;R&gt;1&lt;/R&gt;&lt;C&gt;1&lt;/C&gt;&lt;D xsi:type="xsd:long"&gt;46143&lt;/D&gt;&lt;/FQL&gt;&lt;FQL&gt;&lt;Q&gt;CL^CS_EVENT_TIME_N("ER",1)&lt;/Q&gt;&lt;R&gt;1&lt;/R&gt;&lt;C&gt;1&lt;/C&gt;&lt;D xsi:type="xsd:string"&gt;6:55 AM&lt;/D&gt;&lt;/FQL&gt;&lt;FQL&gt;&lt;Q&gt;CL^CS_EVENT_DESC_N("ER",1)&lt;/Q&gt;&lt;R&gt;1&lt;/R&gt;&lt;C&gt;1&lt;/C&gt;&lt;D xsi:type="xsd:string"&gt;Q1 2026 Earnings Release&lt;/D&gt;&lt;/FQL&gt;&lt;FQL&gt;&lt;Q&gt;EL^CS_EVENT_DATEJ_N("ER",1)&lt;/Q&gt;&lt;R&gt;1&lt;/R&gt;&lt;C&gt;1&lt;/C&gt;&lt;D xsi:type="xsd:long"&gt;46143&lt;/D&gt;&lt;/FQL&gt;&lt;FQL&gt;&lt;Q&gt;EL^CS_EVENT_TIME_N("ER",1)&lt;/Q&gt;&lt;R&gt;1&lt;/R&gt;&lt;C&gt;1&lt;/C&gt;&lt;D xsi:type="xsd:string"&gt;Before Market&lt;/D&gt;&lt;/FQL&gt;&lt;FQL&gt;&lt;Q&gt;EL^CS_EVENT_DESC_N("ER",1)&lt;/Q&gt;&lt;R&gt;1&lt;/R&gt;&lt;C&gt;1&lt;/C&gt;&lt;D xsi:type="xsd:string"&gt;Q3 2026 Earnings Release&lt;/D&gt;&lt;/FQL&gt;&lt;FQL&gt;&lt;Q&gt;CHD^CS_EVENT_DATEJ_N("ER",1)&lt;/Q&gt;&lt;R&gt;1&lt;/R&gt;&lt;C&gt;1&lt;/C&gt;&lt;D xsi:type="xsd:long"&gt;46143&lt;/D&gt;&lt;/FQL&gt;&lt;FQL&gt;&lt;Q&gt;CHD^CS_EVENT_TIME_N("ER",1)&lt;/Q&gt;&lt;R&gt;1&lt;/R&gt;&lt;C&gt;1&lt;/C&gt;&lt;D xsi:type="xsd:string"&gt;Unspecified&lt;/D&gt;&lt;/FQL&gt;&lt;FQL&gt;&lt;Q&gt;CHD^CS_EVENT_DESC_N("ER",1)&lt;/Q&gt;&lt;R&gt;1&lt;/R&gt;&lt;C&gt;1&lt;/C&gt;&lt;D xsi:type="xsd:string"&gt;Q1 2026 Earnings Release&lt;/D&gt;&lt;/FQL&gt;&lt;FQL&gt;&lt;Q&gt;CBOE^CS_EVENT_DATEJ_N("ER",1)&lt;/Q&gt;&lt;R&gt;1&lt;/R&gt;&lt;C&gt;1&lt;/C&gt;&lt;D xsi:type="xsd:long"&gt;46143&lt;/D&gt;&lt;/FQL&gt;&lt;FQL&gt;&lt;Q&gt;CBOE^CS_EVENT_TIME_N("ER",1)&lt;/Q&gt;&lt;R&gt;1&lt;/R&gt;&lt;C&gt;1&lt;/C&gt;&lt;D xsi:type="xsd:string"&gt;7:30 AM&lt;/D&gt;&lt;/FQL&gt;&lt;FQL&gt;&lt;Q&gt;CBOE^CS_EVENT_DESC_N("ER",1)&lt;/Q&gt;&lt;R&gt;1&lt;/R&gt;&lt;C&gt;1&lt;/C&gt;&lt;D xsi:type="xsd:string"&gt;Q1 2026 Earnings Release&lt;/D&gt;&lt;/FQL&gt;&lt;FQL&gt;&lt;Q&gt;JCI^CS_EVENT_DATEJ_N("ER",1)&lt;/Q&gt;&lt;R&gt;1&lt;/R&gt;&lt;C&gt;1&lt;/C&gt;&lt;D xsi:type="xsd:long"&gt;46143&lt;/D&gt;&lt;/FQL&gt;&lt;FQL&gt;&lt;Q&gt;JCI^CS_EVENT_TIME_N("ER",1)&lt;/Q&gt;&lt;R&gt;1&lt;/R&gt;&lt;C&gt;1&lt;/C&gt;&lt;D xsi:type="xsd:string"&gt;Unspecified&lt;/D&gt;&lt;/FQL&gt;&lt;FQL&gt;&lt;Q&gt;JCI^CS_EVENT_DESC_N("ER",1)&lt;/Q&gt;&lt;R&gt;1&lt;/R&gt;&lt;C&gt;1&lt;/C&gt;&lt;D xsi:type="xsd:string"&gt;Q2 2026 Earnings Release (Projected)&lt;/D&gt;&lt;/FQL&gt;&lt;FQL&gt;&lt;Q&gt;WEC^CS_EVENT_DATEJ_N("ER",1)&lt;/Q&gt;&lt;R&gt;1&lt;/R&gt;&lt;C&gt;1&lt;/C&gt;&lt;D xsi:type="xsd:long"&gt;46146&lt;/D&gt;&lt;/FQL&gt;&lt;FQL&gt;&lt;Q&gt;WEC^CS_EVENT_TIME_N("ER",1)&lt;/Q&gt;&lt;R&gt;1&lt;/R&gt;&lt;C&gt;1&lt;/C&gt;&lt;D xsi:type="xsd:string"&gt;Unspecified&lt;/D&gt;&lt;/FQL&gt;&lt;FQL&gt;&lt;Q&gt;WEC^CS_EVENT_DESC_N("ER",1)&lt;/Q&gt;&lt;R&gt;1&lt;/R&gt;&lt;C&gt;1&lt;/C&gt;&lt;D xsi:type="xsd:string"&gt;Q1 2026 Earnings Release (Projected)&lt;/D&gt;&lt;/FQL&gt;&lt;FQL&gt;&lt;Q&gt;BEN^CS_EVENT_DATEJ_N("ER",1)&lt;/Q&gt;&lt;R&gt;1&lt;/R&gt;&lt;C&gt;1&lt;/C&gt;&lt;D xsi:type="xsd:long"&gt;46146&lt;/D&gt;&lt;/FQL&gt;&lt;FQL&gt;&lt;Q&gt;BEN^CS_EVENT_TIME_N("ER",1)&lt;/Q&gt;&lt;R&gt;1&lt;/R&gt;&lt;C&gt;1&lt;/C&gt;&lt;D xsi:type="xsd:string"&gt;Unspecified&lt;/D&gt;&lt;/FQL&gt;&lt;FQL&gt;&lt;Q&gt;BEN^CS_EVENT_DESC_N("ER",1)&lt;/Q&gt;&lt;R&gt;1&lt;/R&gt;&lt;C&gt;1&lt;/C&gt;&lt;D xsi:type="xsd:string"&gt;Q2 2026 Earnings Release (Projected)&lt;/D&gt;&lt;/FQL&gt;&lt;FQL&gt;&lt;Q&gt;WMB^CS_EVENT_DATEJ_N("ER",1)&lt;/Q&gt;&lt;R&gt;1&lt;/R&gt;&lt;C&gt;1&lt;/C&gt;&lt;D xsi:type="xsd:long"&gt;46146&lt;/D&gt;&lt;/FQL&gt;&lt;FQL&gt;&lt;Q&gt;WMB^CS_EVENT_TIME_N("ER",1)&lt;/Q&gt;&lt;R&gt;1&lt;/R&gt;&lt;C&gt;1&lt;/C&gt;&lt;D xsi:type="xsd:string"&gt;Unspecified&lt;/D&gt;&lt;/FQL&gt;&lt;FQL&gt;&lt;Q&gt;WMB^CS_EVENT_DESC_N("ER",1)&lt;/Q&gt;&lt;R&gt;1&lt;/R&gt;&lt;C&gt;1&lt;/C&gt;&lt;D xsi:type="xsd:string"&gt;Q1 2026 Earnings Release (Projected)&lt;/D&gt;&lt;/FQL&gt;&lt;FQL&gt;&lt;Q&gt;SBAC^CS_EVENT_DATEJ_N("ER",1)&lt;/Q&gt;&lt;R&gt;1&lt;/R&gt;&lt;C&gt;1&lt;/C&gt;&lt;D xsi:type="xsd:long"&gt;46146&lt;/D&gt;&lt;/FQL&gt;&lt;FQL&gt;&lt;Q&gt;SBAC^CS_EVENT_TIME_N("ER",1)&lt;/Q&gt;&lt;R&gt;1&lt;/R&gt;&lt;C&gt;1&lt;/C&gt;&lt;D xsi:type="xsd:string"&gt;Unspecified&lt;/D&gt;&lt;/FQL&gt;&lt;FQL&gt;&lt;Q&gt;SBAC^CS_EVENT_DESC_N("ER",1)&lt;/Q&gt;&lt;R&gt;1&lt;/R&gt;&lt;C&gt;1&lt;/C&gt;&lt;D xsi:type="xsd:string"&gt;Q1 2026 Earnings Release (Projected)&lt;/D&gt;&lt;/FQL&gt;&lt;FQL&gt;&lt;Q&gt;WELL^CS_EVENT_DATEJ_N("ER",1)&lt;/Q&gt;&lt;R&gt;1&lt;/R&gt;&lt;C&gt;1&lt;/C&gt;&lt;D xsi:type="xsd:long"&gt;46146&lt;/D&gt;&lt;/FQL&gt;&lt;FQL&gt;&lt;Q&gt;WELL^CS_EVENT_TIME_N("ER",1)&lt;/Q&gt;&lt;R&gt;1&lt;/R&gt;&lt;C&gt;1&lt;/C&gt;&lt;D xsi:type="xsd:string"&gt;Unspecified&lt;/D&gt;&lt;/FQL&gt;&lt;FQL&gt;&lt;Q&gt;WELL^CS_EVENT_DESC_N("ER",1)&lt;/Q&gt;&lt;R&gt;1&lt;/R&gt;&lt;C&gt;1&lt;/C&gt;&lt;D xsi:type="xsd:string"&gt;Q1 2026 Earnings Release (Projected)&lt;/D&gt;&lt;/FQL&gt;&lt;FQL&gt;&lt;Q&gt;L^CS_EVENT_DATEJ_N("ER",1)&lt;/Q&gt;&lt;R&gt;1&lt;/R&gt;&lt;C&gt;1&lt;/C&gt;&lt;D xsi:type="xsd:long"&gt;46146&lt;/D&gt;&lt;/FQL&gt;&lt;FQL&gt;&lt;Q&gt;L^CS_EVENT_TIME_N("ER",1)&lt;/Q&gt;&lt;R&gt;1&lt;/R&gt;&lt;C&gt;1&lt;/C&gt;&lt;D xsi:type="xsd:string"&gt;Unspecified&lt;/D&gt;&lt;/FQL&gt;&lt;FQL&gt;&lt;Q&gt;L^CS_EVENT_DESC_N("ER",1)&lt;/Q&gt;&lt;R&gt;1&lt;/R&gt;&lt;C&gt;1&lt;/C&gt;&lt;D xsi:type="xsd:string"&gt;Q1 2026 Earnings Release (Projected)&lt;/D&gt;&lt;/FQL&gt;&lt;FQL&gt;&lt;Q&gt;ON^CS_EVENT_DATEJ_N("ER",1)&lt;/Q&gt;&lt;R&gt;1&lt;/R&gt;&lt;C&gt;1&lt;/C&gt;&lt;D xsi:type="xsd:long"&gt;46146&lt;/D&gt;&lt;/FQL&gt;&lt;FQL&gt;&lt;Q&gt;ON^CS_EVENT_TIME_N("ER",1)&lt;/Q&gt;&lt;R&gt;1&lt;/R&gt;&lt;C&gt;1&lt;/C&gt;&lt;D xsi:type="xsd:string"&gt;Unspecified&lt;/D&gt;&lt;/FQL&gt;&lt;FQL&gt;&lt;Q&gt;ON^CS_EVENT_DESC_N("ER",1)&lt;/Q&gt;&lt;R&gt;1&lt;/R&gt;&lt;C&gt;1&lt;/C&gt;&lt;D xsi:type="xsd:string"&gt;Q1 2026 Earnings Release (Projected)&lt;/D&gt;&lt;/FQL&gt;&lt;FQL&gt;&lt;Q&gt;GPN^CS_EVENT_DATEJ_N("ER",1)&lt;/Q&gt;&lt;R&gt;1&lt;/R&gt;&lt;C&gt;1&lt;/C&gt;&lt;D xsi:type="xsd:long"&gt;46146&lt;/D&gt;&lt;/FQL&gt;&lt;FQL&gt;&lt;Q&gt;GPN^CS_EVENT_TIME_N("ER",1)&lt;/Q&gt;&lt;R&gt;1&lt;/R&gt;&lt;C&gt;1&lt;/C&gt;&lt;D xsi:type="xsd:string"&gt;Unspecified&lt;/D&gt;&lt;/FQL&gt;&lt;FQL&gt;&lt;Q&gt;GPN^CS_EVENT_DESC_N("ER",1)&lt;/Q&gt;&lt;R&gt;1&lt;/R&gt;&lt;C&gt;1&lt;/C&gt;&lt;D xsi:type="xsd:string"&gt;Q1 2026 Earnings Release (Projected)&lt;/D&gt;&lt;/FQL&gt;&lt;FQL&gt;&lt;Q&gt;FFIV^CS_EVENT_DATEJ_N("ER",1)&lt;/Q&gt;&lt;R&gt;1&lt;/R&gt;&lt;C&gt;1&lt;/C&gt;&lt;D xsi:type="xsd:long"&gt;46146&lt;/D&gt;&lt;/FQL&gt;&lt;FQL&gt;&lt;Q&gt;FFIV^CS_EVENT_TIME_N("ER",1)&lt;/Q&gt;&lt;R&gt;1&lt;/R&gt;&lt;C&gt;1&lt;/C&gt;&lt;D xsi:type="xsd:string"&gt;Unspecified&lt;/D&gt;&lt;/FQL&gt;&lt;FQL&gt;&lt;Q&gt;FFIV^CS_EVENT_DESC_N("ER",1)&lt;/Q&gt;&lt;R&gt;1&lt;/R&gt;&lt;C&gt;1&lt;/C&gt;&lt;D xsi:type="xsd:string"&gt;Q2 2026 Earnings Release (Projected)&lt;/D&gt;&lt;/FQL&gt;&lt;FQL&gt;&lt;Q&gt;RVTY^CS_EVENT_DATEJ_N("ER",1)&lt;/Q&gt;&lt;R&gt;1&lt;/R&gt;&lt;C&gt;1&lt;/C&gt;&lt;D xsi:type="xsd:long"&gt;46146&lt;/D&gt;&lt;/FQL&gt;&lt;FQL&gt;&lt;Q&gt;RVTY^CS_EVENT_TIME_N("ER",1)&lt;/Q&gt;&lt;R&gt;1&lt;/R&gt;&lt;C&gt;1&lt;/C&gt;&lt;D xsi:type="xsd:string"&gt;Unspecified&lt;/D&gt;&lt;/FQL&gt;&lt;FQL&gt;&lt;Q&gt;RVTY^CS_EVENT_DESC_N("ER",1)&lt;/Q&gt;&lt;R&gt;1&lt;/R&gt;&lt;C&gt;1&lt;/C&gt;&lt;D xsi:type="xsd:string"&gt;Q1 2026 Earnings Release (Projected)&lt;/D&gt;&lt;/FQL&gt;&lt;FQL&gt;&lt;Q&gt;BRK.B^CS_EVENT_DATEJ_N("ER",1)&lt;/Q&gt;&lt;R&gt;1&lt;/R&gt;&lt;C&gt;1&lt;/C&gt;&lt;D xsi:type="xsd:long"&gt;46146&lt;/D&gt;&lt;/FQL&gt;&lt;FQL&gt;&lt;Q&gt;BRK.B^CS_EVENT_TIME_N("ER",1)&lt;/Q&gt;&lt;R&gt;1&lt;/R&gt;&lt;C&gt;1&lt;/C&gt;&lt;D xsi:type="xsd:string"&gt;Unspecified&lt;/D&gt;&lt;/FQL&gt;&lt;FQL&gt;&lt;Q&gt;BRK.B^CS_EVENT_DESC_N("ER",1)&lt;/Q&gt;&lt;R&gt;1&lt;/R&gt;&lt;C&gt;1&lt;/C&gt;&lt;D xsi:type="xsd:string"&gt;Q1 2026 Earnings Release (Projected)&lt;/D&gt;&lt;/FQL&gt;&lt;FQL&gt;&lt;Q&gt;ANET^CS_EVENT_DATEJ_N("ER",1)&lt;/Q&gt;&lt;R&gt;1&lt;/R&gt;&lt;C&gt;1&lt;/C&gt;&lt;D xsi:type="xsd:long"&gt;46146&lt;/D&gt;&lt;/FQL&gt;&lt;FQL&gt;&lt;Q&gt;ANET^CS_EVENT_TIME_N("ER",1)&lt;/Q&gt;&lt;R&gt;1&lt;/R&gt;&lt;C&gt;1&lt;/C&gt;&lt;D xsi:type="xsd:string"&gt;Unspecified&lt;/D&gt;&lt;/FQL&gt;&lt;FQL&gt;&lt;Q&gt;ANET^CS_EVENT_DESC_N("ER",1)&lt;/Q&gt;&lt;R&gt;1&lt;/R&gt;&lt;C&gt;1&lt;/C&gt;&lt;D xsi:type="xsd:string"&gt;Q1 2026 Earnings Release (Projected)&lt;/D&gt;&lt;/FQL&gt;&lt;FQL&gt;&lt;Q&gt;FANG^CS_EVENT_DATEJ_N("ER",1)&lt;/Q&gt;&lt;R&gt;1&lt;/R&gt;&lt;C&gt;1&lt;/C&gt;&lt;D xsi:type="xsd:long"&gt;46146&lt;/D&gt;&lt;/FQL&gt;&lt;FQL&gt;&lt;Q&gt;FANG^CS_EVENT_TIME_N("ER",1)&lt;/Q&gt;&lt;R&gt;1&lt;/R&gt;&lt;C&gt;1&lt;/C&gt;&lt;D xsi:type="xsd:string"&gt;Unspecified&lt;/D&gt;&lt;/FQL&gt;&lt;FQL&gt;&lt;Q&gt;FANG^CS_EVENT_DESC_N("ER",1)&lt;/Q&gt;&lt;R&gt;1&lt;/R&gt;&lt;C&gt;1&lt;/C&gt;&lt;D xsi:type="xsd:string"&gt;Q1 2026 Earnings Release (Projected)&lt;/D&gt;&lt;/FQL&gt;&lt;FQL&gt;&lt;Q&gt;PRU^CS_EVENT_DATEJ_N("ER",1)&lt;/Q&gt;&lt;R&gt;1&lt;/R&gt;&lt;C&gt;1&lt;/C&gt;&lt;D xsi:type="xsd:long"&gt;46147&lt;/D&gt;&lt;/FQL&gt;&lt;FQL&gt;&lt;Q&gt;PRU^CS_EVENT_TIME_N("ER",1)&lt;/Q&gt;&lt;R&gt;1&lt;/R&gt;&lt;C&gt;1&lt;/C&gt;&lt;D xsi:type="xsd:string"&gt;Unspecified&lt;/D&gt;&lt;/FQL&gt;&lt;FQL&gt;&lt;Q&gt;PRU^CS_EVENT_DESC_N("ER",1)&lt;/Q&gt;&lt;R&gt;1&lt;/R&gt;&lt;C&gt;1&lt;/C&gt;&lt;D xsi:type="xsd:string"&gt;Q1 2026 Earnings Release (Projected)&lt;/D&gt;&lt;/FQL&gt;&lt;FQL&gt;&lt;Q&gt;AME^CS_EVENT_DATEJ_N("ER",1)&lt;/Q&gt;&lt;R&gt;1&lt;/R&gt;&lt;C&gt;1&lt;/C&gt;&lt;D xsi:type="xsd:long"&gt;46147&lt;/D&gt;&lt;/FQL&gt;&lt;FQL&gt;&lt;Q&gt;AME^CS_EVENT_TIME_N("ER",1)&lt;/Q&gt;&lt;R&gt;1&lt;/R&gt;&lt;C&gt;1&lt;/C&gt;&lt;D xsi:type="xsd:string"&gt;Unspecified&lt;/D&gt;&lt;/FQL&gt;&lt;FQL&gt;&lt;Q&gt;AME^CS_EVENT_DESC_N("ER",1)&lt;/Q&gt;&lt;R&gt;1&lt;/R&gt;&lt;C&gt;1&lt;/C&gt;&lt;D xsi:type="xsd:string"&gt;Q1 2026 Earnings Release (Projected)&lt;/D&gt;&lt;/FQL&gt;&lt;FQL&gt;&lt;Q&gt;MLM^CS_EVENT_DATEJ_N("ER",1)&lt;/Q&gt;&lt;R&gt;1&lt;/R&gt;&lt;C&gt;1&lt;/C&gt;&lt;D xsi:type="xsd:long"&gt;46147&lt;/D&gt;&lt;/FQL&gt;&lt;FQL&gt;&lt;Q&gt;MLM^CS_EVENT_TIME_N("ER",1)&lt;/Q&gt;&lt;R&gt;1&lt;/R&gt;&lt;C&gt;1&lt;/C&gt;&lt;D xsi:type="xsd:string"&gt;Unspecified&lt;/D&gt;&lt;/FQL&gt;&lt;FQL&gt;&lt;Q&gt;MLM^CS_EVENT_DESC_N("ER",1)&lt;/Q&gt;&lt;R&gt;1&lt;/R&gt;&lt;C&gt;1&lt;/C&gt;&lt;D xsi:type="xsd:string"&gt;Q1 2026 Earnings Release (Projected)&lt;/D&gt;&lt;/FQL&gt;&lt;FQL&gt;&lt;Q&gt;ITW^CS_EVENT_DATEJ_N("ER",1)&lt;/Q&gt;&lt;R&gt;1&lt;/R&gt;&lt;C&gt;1&lt;/C&gt;&lt;D xsi:type="xsd:long"&gt;46147&lt;/D&gt;&lt;/FQL&gt;&lt;FQL&gt;&lt;Q&gt;ITW^CS_EVENT_TIME_N("ER",1)&lt;/Q&gt;&lt;R&gt;1&lt;/R&gt;&lt;C&gt;1&lt;/C&gt;&lt;D xsi:type="xsd:string"&gt;Unspecified&lt;/D&gt;&lt;/FQL&gt;&lt;FQL&gt;&lt;Q&gt;ITW^CS_EVENT_DESC_N("ER",1)&lt;/Q&gt;&lt;R&gt;1&lt;/R&gt;&lt;C&gt;1&lt;/C&gt;&lt;D xsi:type="xsd:string"&gt;Q1 2026 Earnings Release (Projected)&lt;/D&gt;&lt;/FQL&gt;&lt;FQL&gt;&lt;Q&gt;SBUX^CS_EVENT_DATEJ_N("ER",1)&lt;/Q&gt;&lt;R&gt;1&lt;/R&gt;&lt;C&gt;1&lt;/C&gt;&lt;D xsi:type="xsd:long"&gt;46147&lt;/D&gt;&lt;/FQL&gt;&lt;FQL&gt;&lt;Q&gt;SBUX^CS_EVENT_TIME_N("ER",1)&lt;/Q&gt;&lt;R&gt;1&lt;/R&gt;&lt;C&gt;1&lt;/C&gt;&lt;D xsi:type="xsd:string"&gt;Unspecified&lt;/D&gt;&lt;/FQL&gt;&lt;FQL&gt;&lt;Q&gt;SBUX^CS_EVENT_DESC_N("ER",1)&lt;/Q&gt;&lt;R&gt;1&lt;/R&gt;&lt;C&gt;1&lt;/C&gt;&lt;D xsi:type="xsd:string"&gt;Q2 2026 Earnings Release (Projected)&lt;/D&gt;&lt;/FQL&gt;&lt;FQL&gt;&lt;Q&gt;GLW^CS_EVENT_DATEJ_N("ER",1)&lt;/Q&gt;&lt;R&gt;1&lt;/R&gt;&lt;C&gt;1&lt;/C&gt;&lt;D xsi:type="xsd:long"&gt;46147&lt;/D&gt;&lt;/FQL&gt;&lt;FQL&gt;&lt;Q&gt;GLW^CS_EVENT_TIME_N("ER",1)&lt;/Q&gt;&lt;R&gt;1&lt;/R&gt;&lt;C&gt;1&lt;/C&gt;&lt;D xsi:type="xsd:string"&gt;Unspecified&lt;/D&gt;&lt;/FQL&gt;&lt;FQL&gt;&lt;Q&gt;GLW^CS_EVENT_DESC_N("ER",1)&lt;/Q&gt;&lt;R&gt;1&lt;/R&gt;&lt;C&gt;1&lt;/C&gt;&lt;D xsi:type="xsd:string"&gt;Q1 2026 Earnings Release (Projected)&lt;/D&gt;&lt;/FQL&gt;&lt;FQL&gt;&lt;Q&gt;CLX^CS_EVENT_DATEJ_N("ER",1)&lt;/Q&gt;&lt;R&gt;1&lt;/R&gt;&lt;C&gt;1&lt;/C&gt;&lt;D xsi:type="xsd:long"&gt;46147&lt;/D&gt;&lt;/FQL&gt;&lt;FQL&gt;&lt;Q&gt;CLX^CS_EVENT_TIME_N("ER",1)&lt;/Q&gt;&lt;R&gt;1&lt;/R&gt;&lt;C&gt;1&lt;/C&gt;&lt;D xsi:type="xsd:string"&gt;Unspecified&lt;/D&gt;&lt;/FQL&gt;&lt;FQL&gt;&lt;Q&gt;CLX^CS_EVENT_DESC_N("ER",1)&lt;/Q&gt;&lt;R&gt;1&lt;/R&gt;&lt;C&gt;1&lt;/C&gt;&lt;D xsi:type="xsd:string"&gt;Q3 2026 Earnings Release (Projected)&lt;/D&gt;&lt;/FQL&gt;&lt;FQL&gt;&lt;Q&gt;DVN^CS_EVENT_DATEJ_N("ER",1)&lt;/Q&gt;&lt;R&gt;1&lt;/R&gt;&lt;C&gt;1&lt;/C&gt;&lt;D xsi:type="xsd:long"&gt;46147&lt;/D&gt;&lt;/FQL&gt;&lt;FQL&gt;&lt;Q&gt;DVN^CS_EVENT_TIME_N("ER",1)&lt;/Q&gt;&lt;R&gt;1&lt;/R&gt;&lt;C&gt;1&lt;/C&gt;&lt;D xsi:type="xsd:string"&gt;Unspecified&lt;/D&gt;&lt;/FQL&gt;&lt;FQL&gt;&lt;Q&gt;DVN^CS_EVENT_DESC_N("ER",1)&lt;/Q&gt;&lt;R&gt;1&lt;/R&gt;&lt;C&gt;1&lt;/C&gt;&lt;D xsi:type="xsd:string"&gt;Q1 2026 Earnings Release (Projected)&lt;/D&gt;&lt;/FQL&gt;&lt;FQL&gt;&lt;Q&gt;SWKS^CS_EVENT_DATEJ_N("ER",1)&lt;/Q&gt;&lt;R&gt;1&lt;/R&gt;&lt;C&gt;1&lt;/C&gt;&lt;D xsi:type="xsd:long"&gt;46147&lt;/D&gt;&lt;/FQL&gt;&lt;FQL&gt;&lt;Q&gt;SWKS^CS_EVENT_TIME_N("ER",1)&lt;/Q&gt;&lt;R&gt;1&lt;/R&gt;&lt;C&gt;1&lt;/C&gt;&lt;D xsi:type="xsd:string"&gt;Unspecified&lt;/D&gt;&lt;/FQL&gt;&lt;FQL&gt;&lt;Q&gt;SWKS^CS_EVENT_DESC_N("ER",1)&lt;/Q&gt;&lt;R&gt;1&lt;/R&gt;&lt;C&gt;1&lt;/C&gt;&lt;D xsi:type="xsd:string"&gt;Q2 2026 Earnings Release (Projected)&lt;/D&gt;&lt;/FQL&gt;&lt;FQL&gt;&lt;Q&gt;OKE^CS_EVENT_DATEJ_N("ER",1)&lt;/Q&gt;&lt;R&gt;1&lt;/R&gt;&lt;C&gt;1&lt;/C&gt;&lt;D xsi:type="xsd:long"&gt;46147&lt;/D&gt;&lt;/FQL&gt;&lt;FQL&gt;&lt;Q&gt;OKE^CS_EVENT_TIME_N("ER",1)&lt;/Q&gt;&lt;R&gt;1&lt;/R&gt;&lt;C&gt;1&lt;/C&gt;&lt;D xsi:type="xsd:string"&gt;Unspecified&lt;/D&gt;&lt;/FQL&gt;&lt;FQL&gt;&lt;Q&gt;OKE^CS_EVENT_DESC_N("ER",1)&lt;/Q&gt;&lt;R&gt;1&lt;/R&gt;&lt;C&gt;1&lt;/C&gt;&lt;D xsi:type="xsd:string"&gt;Q1 2026 Earnings Release (Projected)&lt;/D&gt;&lt;/FQL&gt;&lt;FQL&gt;&lt;Q&gt;BXP^CS_EVENT_DATEJ_N("ER",1)&lt;/Q&gt;&lt;R&gt;1&lt;/R&gt;&lt;C&gt;1&lt;/C&gt;&lt;D xsi:type="xsd:long"&gt;46147&lt;/D&gt;&lt;/FQL&gt;&lt;FQL&gt;&lt;Q&gt;BXP^CS_EVENT_TIME_N("ER",1)&lt;/Q&gt;&lt;R&gt;1&lt;/R&gt;&lt;C&gt;1&lt;/C&gt;&lt;D xsi:type="xsd:string"&gt;Unspecified&lt;/D&gt;&lt;/FQL&gt;&lt;FQL&gt;&lt;Q&gt;BXP^CS_EVENT_DESC_N("ER",1)&lt;/Q&gt;&lt;R&gt;1&lt;/R&gt;&lt;C&gt;1&lt;/C&gt;&lt;D xsi:type="xsd:string"&gt;Q1 2026 Earnings Release (Projected)&lt;/D&gt;&lt;/FQL&gt;&lt;FQL&gt;&lt;Q&gt;SYY^CS_EVENT_DATEJ_N("ER",1)&lt;/Q&gt;&lt;R&gt;1&lt;/R&gt;&lt;C&gt;1&lt;/C&gt;&lt;D xsi:type="xsd:long"&gt;46147&lt;/D&gt;&lt;/FQL&gt;&lt;FQL&gt;&lt;Q&gt;SYY^CS_EVENT_TIME_N("ER",1)&lt;/Q&gt;&lt;R&gt;1&lt;/R&gt;&lt;C&gt;1&lt;/C&gt;&lt;D xsi:type="xsd:string"&gt;Unspecified&lt;/D&gt;&lt;/FQL&gt;&lt;FQL&gt;&lt;Q&gt;SYY^CS_EVENT_DESC_N("ER",1)&lt;/Q&gt;&lt;R&gt;1&lt;/R&gt;&lt;C&gt;1&lt;/C&gt;&lt;D xsi:type="xsd:string"&gt;Q3 2026 Earnings Release (Projected)&lt;/D&gt;&lt;/FQL&gt;&lt;FQL&gt;&lt;Q&gt;ETN^CS_EVENT_DATEJ_N("ER",1)&lt;/Q&gt;&lt;R&gt;1&lt;/R&gt;&lt;C&gt;1&lt;/C&gt;&lt;D xsi:type="xsd:long"&gt;46147&lt;/D&gt;&lt;/FQL&gt;&lt;FQL&gt;&lt;Q&gt;ETN^CS_EVENT_TIME_N("ER",1)&lt;/Q&gt;&lt;R&gt;1&lt;/R&gt;&lt;C&gt;1&lt;/C&gt;&lt;D xsi:type="xsd:string"&gt;Unspecified&lt;/D&gt;&lt;/FQL&gt;&lt;FQL&gt;&lt;Q&gt;ETN^CS_EVENT_DESC_N("ER",1)&lt;/Q&gt;&lt;R&gt;1&lt;/R&gt;&lt;C&gt;1&lt;/C&gt;&lt;D xsi:type="xsd:string"&gt;Q1 2026 Earnings Release (Projected)&lt;/D&gt;&lt;/FQL&gt;&lt;FQL&gt;&lt;Q&gt;PEG^CS_EVENT_DATEJ_N("ER",1)&lt;/Q&gt;&lt;R&gt;1&lt;/R&gt;&lt;C&gt;1&lt;/C&gt;&lt;D xsi:type="xsd:long"&gt;46147&lt;/D&gt;&lt;/FQL&gt;&lt;FQL&gt;&lt;Q&gt;PEG^CS_EVENT_TIME_N("ER",1)&lt;/Q&gt;&lt;R&gt;1&lt;/R&gt;&lt;C&gt;1&lt;/C&gt;&lt;D xsi:type="xsd:string"&gt;Unspecified&lt;/D&gt;&lt;/FQL&gt;&lt;FQL&gt;&lt;Q&gt;PEG^CS_EVENT_DESC_N("ER",1)&lt;/Q&gt;&lt;R&gt;1&lt;/R&gt;&lt;C&gt;1&lt;/C&gt;&lt;D xsi:type="xsd:string"&gt;Q1 2026 Earnings Release (Projected)&lt;/D&gt;&lt;/FQL&gt;&lt;FQL&gt;&lt;Q&gt;AMD^CS_EVENT_DATEJ_N("ER",1)&lt;/Q&gt;&lt;R&gt;1&lt;/R&gt;&lt;C&gt;1&lt;/C&gt;&lt;D xsi:type="xsd:long"&gt;46147&lt;/D&gt;&lt;/FQL&gt;&lt;FQL&gt;&lt;Q&gt;AMD^CS_EVENT_TIME_N("ER",1)&lt;/Q&gt;&lt;R&gt;1&lt;/R&gt;&lt;C&gt;1&lt;/C&gt;&lt;D xsi:type="xsd:string"&gt;Unspecified&lt;/D&gt;&lt;/FQL&gt;&lt;FQL&gt;&lt;Q&gt;AMD^CS_EVENT_DESC_N("ER",1)&lt;/Q&gt;&lt;R&gt;1&lt;/R&gt;&lt;C&gt;1&lt;/C&gt;&lt;D xsi:type="xsd:string"&gt;Q1 2026 Earnings Release (Projected)&lt;/D&gt;&lt;/FQL&gt;&lt;FQL&gt;&lt;Q&gt;AIZ^CS_EVENT_DATEJ_N("ER",1)&lt;/Q&gt;&lt;R&gt;1&lt;/R&gt;&lt;C&gt;1&lt;/C&gt;&lt;D xsi:type="xsd:long"&gt;46147&lt;/D&gt;&lt;/FQL&gt;&lt;FQL&gt;&lt;Q&gt;AIZ^CS_EVENT_TIME_N("ER",1)&lt;/Q&gt;&lt;R&gt;1&lt;/R&gt;&lt;C&gt;1&lt;/C&gt;&lt;D xsi:type="xsd:string"&gt;Unspecified&lt;/D&gt;&lt;/FQL&gt;&lt;FQL&gt;&lt;Q&gt;AIZ^CS_EVENT_DESC_N("ER",1)&lt;/Q&gt;&lt;R&gt;1&lt;/R&gt;&lt;C&gt;1&lt;/C&gt;&lt;D xsi:type="xsd:string"&gt;Q1 2026 Earnings Release (Projected)&lt;/D&gt;&lt;/FQL&gt;&lt;FQL&gt;&lt;Q&gt;INCY^CS_EVENT_DATEJ_N("ER",1)&lt;/Q&gt;&lt;R&gt;1&lt;/R&gt;&lt;C&gt;1&lt;/C&gt;&lt;D xsi:type="xsd:long"&gt;46147&lt;/D&gt;&lt;/FQL&gt;&lt;FQL&gt;&lt;Q&gt;INCY^CS_EVENT_TIME_N("ER",1)&lt;/Q&gt;&lt;R&gt;1&lt;/R&gt;&lt;C&gt;1&lt;/C&gt;&lt;D xsi:type="xsd:string"&gt;Unspecified&lt;/D&gt;&lt;/FQL&gt;&lt;FQL&gt;&lt;Q&gt;INCY^CS_EVENT_DESC_N("ER",1)&lt;/Q&gt;&lt;R&gt;1&lt;/R&gt;&lt;C&gt;1&lt;/C&gt;&lt;D xsi:type="xsd:string"&gt;Q1 2026 Earnings Release (Projected)&lt;/D&gt;&lt;/FQL&gt;&lt;FQL&gt;&lt;Q&gt;PSA^CS_EVENT_DATEJ_N("ER",1)&lt;/Q&gt;&lt;R&gt;1&lt;/R&gt;&lt;C&gt;1&lt;/C&gt;&lt;D xsi:type="xsd:long"&gt;46147&lt;/D&gt;&lt;/FQL&gt;&lt;FQL&gt;&lt;Q&gt;PSA^CS_EVENT_TIME_N("ER",1)&lt;/Q&gt;&lt;R&gt;1&lt;/R&gt;&lt;C&gt;1&lt;/C&gt;&lt;D xsi:type="xsd:string"&gt;Unspecified&lt;/D&gt;&lt;/FQL&gt;&lt;FQL&gt;&lt;Q&gt;PSA^CS_EVENT_DESC_N("ER",1)&lt;/Q&gt;&lt;R&gt;1&lt;/R&gt;&lt;C&gt;1&lt;/C&gt;&lt;D xsi:type="xsd:string"&gt;Q1 2026 Earnings Release (Projected)&lt;/D&gt;&lt;/FQL&gt;&lt;FQL&gt;&lt;Q&gt;EA^CS_EVENT_DATEJ_N("ER",1)&lt;/Q&gt;&lt;R&gt;1&lt;/R&gt;&lt;C&gt;1&lt;/C&gt;&lt;D xsi:type="xsd:long"&gt;46147&lt;/D&gt;&lt;/FQL&gt;&lt;FQL&gt;&lt;Q&gt;EA^CS_EVENT_TIME_N("ER",1)&lt;/Q&gt;&lt;R&gt;1&lt;/R&gt;&lt;C&gt;1&lt;/C&gt;&lt;D xsi:type="xsd:string"&gt;4:05 PM&lt;/D&gt;&lt;/FQL&gt;&lt;FQL&gt;&lt;Q&gt;EA^CS_EVENT_DESC_N("ER",1)&lt;/Q&gt;&lt;R&gt;1&lt;/R&gt;&lt;C&gt;1&lt;/C&gt;&lt;D xsi:type="xsd:string"&gt;Q4 2026 Earnings Release&lt;/D&gt;&lt;/FQL&gt;&lt;FQL&gt;&lt;Q&gt;PFE^CS_EVENT_DATEJ_N("ER",1)&lt;/Q&gt;&lt;R&gt;1&lt;/R&gt;&lt;C&gt;1&lt;/C&gt;&lt;D xsi:type="xsd:long"&gt;46147&lt;/D&gt;&lt;/FQL&gt;&lt;FQL&gt;&lt;Q&gt;PFE^CS_EVENT_TIME_N("ER",1)&lt;/Q&gt;&lt;R&gt;1&lt;/R&gt;&lt;C&gt;1&lt;/C&gt;&lt;D xsi:type="xsd:string"&gt;6:45 AM&lt;/D&gt;&lt;/FQL&gt;&lt;FQL&gt;&lt;Q&gt;PFE^CS_EVENT_DESC_N("ER",1)&lt;/Q&gt;&lt;R&gt;1&lt;/R&gt;&lt;C&gt;1&lt;/C&gt;&lt;D xsi:type="xsd:string"&gt;Q1 2026 Earnings Release&lt;/D&gt;&lt;/FQL&gt;&lt;FQL&gt;&lt;Q&gt;CMI^CS_EVENT_DATEJ_N("ER",1)&lt;/Q&gt;&lt;R&gt;1&lt;/R&gt;&lt;C&gt;1&lt;/C&gt;&lt;D xsi:type="xsd:long"&gt;46147&lt;/D&gt;&lt;/FQL&gt;&lt;FQL&gt;&lt;Q&gt;CMI^CS_EVENT_TIME_N("ER",1)&lt;/Q&gt;&lt;R&gt;1&lt;/R&gt;&lt;C&gt;1&lt;/C&gt;&lt;D xsi:type="xsd:string"&gt;Unspecified&lt;/D&gt;&lt;/FQL&gt;&lt;FQL&gt;&lt;Q&gt;CMI^CS_EVENT_DESC_N("ER",1)&lt;/Q&gt;&lt;R&gt;1&lt;/R&gt;&lt;C&gt;1&lt;/C&gt;&lt;D xsi:type="xsd:string"&gt;Q1 2026 Earnings Release (Projected)&lt;/D&gt;&lt;/FQL&gt;&lt;FQL&gt;&lt;Q&gt;ROK^CS_EVENT_DATEJ_N("ER",1)&lt;/Q&gt;&lt;R&gt;1&lt;/R&gt;&lt;C&gt;1&lt;/C&gt;&lt;D xsi:type="xsd:long"&gt;46147&lt;/D&gt;&lt;/FQL&gt;&lt;FQL&gt;&lt;Q&gt;ROK^CS_EVENT_TIME_N("ER",1)&lt;/Q&gt;&lt;R&gt;1&lt;/R&gt;&lt;C&gt;1&lt;/C&gt;&lt;D xsi:type="xsd:string"&gt;Unspecified&lt;/D&gt;&lt;/FQL&gt;&lt;FQL&gt;&lt;Q&gt;ROK^CS_EVENT_DESC_N("ER",1)&lt;/Q&gt;&lt;R&gt;1&lt;/R&gt;&lt;C&gt;1&lt;/C&gt;&lt;D xsi:type="xsd:string"&gt;Q2 2026 Earnings Release (Projected)&lt;/D&gt;&lt;/FQL&gt;&lt;FQL&gt;&lt;Q&gt;EOG^CS_EVENT_DATEJ_N("ER",1)&lt;/Q&gt;&lt;R&gt;1&lt;/R&gt;&lt;C&gt;1&lt;/C&gt;&lt;D xsi:type="xsd:long"&gt;46147&lt;/D&gt;&lt;/FQL&gt;&lt;FQL&gt;&lt;Q&gt;EOG^CS_EVENT_TIME_N("ER",1)&lt;/Q&gt;&lt;R&gt;1&lt;/R&gt;&lt;C&gt;1&lt;/C&gt;&lt;D xsi:type="xsd:string"&gt;After Market&lt;/D&gt;&lt;/FQL&gt;&lt;FQL&gt;&lt;Q&gt;EOG^CS_EVENT_DESC_N("ER",1)&lt;/Q&gt;&lt;R&gt;1&lt;/R&gt;&lt;C&gt;1&lt;/C&gt;&lt;D xsi:type="xsd:string"&gt;Q1 2026 Earnings Release&lt;/D&gt;&lt;/FQL&gt;&lt;FQL&gt;&lt;Q&gt;ZBH^CS_EVENT_DATEJ_N("ER",1)&lt;/Q&gt;&lt;R&gt;1&lt;/R&gt;&lt;C&gt;1&lt;/C&gt;&lt;D xsi:type="xsd:long"&gt;46147&lt;/D&gt;&lt;/FQL&gt;&lt;FQL&gt;&lt;Q&gt;ZBH^CS_EVENT_TIME_N("ER",1)&lt;/Q&gt;&lt;R&gt;1&lt;/R&gt;&lt;C&gt;1&lt;/C&gt;&lt;D xsi:type="xsd:string"&gt;Unspecified&lt;/D&gt;&lt;/FQL&gt;&lt;FQL&gt;&lt;Q&gt;ZBH^CS_EVENT_DESC_N("ER",1)&lt;/Q&gt;&lt;R&gt;1&lt;/R&gt;&lt;C&gt;1&lt;/C&gt;&lt;D xsi:type="xsd:string"&gt;Q1 2026 Earnings Release (Projected)&lt;/D&gt;&lt;/FQL&gt;&lt;FQL&gt;&lt;Q&gt;LDOS^CS_EVENT_DATEJ_N("ER",1)&lt;/Q&gt;&lt;R&gt;1&lt;/R&gt;&lt;C&gt;1&lt;/C&gt;&lt;D xsi:type="xsd:long"&gt;46147&lt;/D&gt;&lt;/FQL&gt;&lt;FQL&gt;&lt;Q&gt;LDOS^CS_EVENT_TIME_N("ER",1)&lt;/Q&gt;&lt;R&gt;1&lt;/R&gt;&lt;C&gt;1&lt;/C&gt;&lt;D xsi:type="xsd:string"&gt;Unspecified&lt;/D&gt;&lt;/FQL&gt;&lt;FQL&gt;&lt;Q&gt;LDOS^CS_EVENT_DESC_N("ER",1)&lt;/Q&gt;&lt;R&gt;1&lt;/R&gt;&lt;C&gt;1&lt;/C&gt;&lt;D xsi:type="xsd:string"&gt;Q1 2026 Earnings Release (Projected)&lt;/D&gt;&lt;/FQL&gt;&lt;FQL&gt;&lt;Q&gt;KKR^CS_EVENT_DATEJ_N("ER",1)&lt;/Q&gt;&lt;R&gt;1&lt;/R&gt;&lt;C&gt;1&lt;/C&gt;&lt;D xsi:type="xsd:long"&gt;46147&lt;/D&gt;&lt;/FQL&gt;&lt;FQL&gt;&lt;Q&gt;KKR^CS_EVENT_TIME_N("ER",1)&lt;/Q&gt;&lt;R&gt;1&lt;/R&gt;&lt;C&gt;1&lt;/C&gt;&lt;D xsi:type="xsd:string"&gt;Unspecified&lt;/D&gt;&lt;/FQL&gt;&lt;FQL&gt;&lt;Q&gt;KKR^CS_EVENT_DESC_N("ER",1)&lt;/Q&gt;&lt;R&gt;1&lt;/R&gt;&lt;C&gt;1&lt;/C&gt;&lt;D xsi:type="xsd:string"&gt;Q1 2026 Earnings Release (Projected)&lt;/D&gt;&lt;/FQL&gt;&lt;FQL&gt;&lt;Q&gt;VRSK^CS_EVENT_DATEJ_N("ER",1)&lt;/Q&gt;&lt;R&gt;1&lt;/R&gt;&lt;C&gt;1&lt;/C&gt;&lt;D xsi:type="xsd:long"&gt;46147&lt;/D&gt;&lt;/FQL&gt;&lt;FQL&gt;&lt;Q&gt;VRSK^CS_EVENT_TIME_N("ER",1)&lt;/Q&gt;&lt;R&gt;1&lt;/R&gt;&lt;C&gt;1&lt;/C&gt;&lt;D xsi:type="xsd:string"&gt;Unspecified&lt;/D&gt;&lt;/FQL&gt;&lt;FQL&gt;&lt;Q&gt;VRSK^CS_EVENT_DESC_N("ER",1)&lt;/Q&gt;&lt;R&gt;1&lt;/R&gt;&lt;C&gt;1&lt;/C&gt;&lt;D xsi:type="xsd:string"&gt;Q1 2026 Earnings Release (Projected)&lt;/D&gt;&lt;/FQL&gt;&lt;FQL&gt;&lt;Q&gt;TAP^CS_EVENT_DATEJ_N("ER",1)&lt;/Q&gt;&lt;R&gt;1&lt;/R&gt;&lt;C&gt;1&lt;/C&gt;&lt;D xsi:type="xsd:long"&gt;46147&lt;/D&gt;&lt;/FQL&gt;&lt;FQL&gt;&lt;Q&gt;TAP^CS_EVENT_TIME_N("ER",1)&lt;/Q&gt;&lt;R&gt;1&lt;/R&gt;&lt;C&gt;1&lt;/C&gt;&lt;D xsi:type="xsd:string"&gt;Unspecified&lt;/D&gt;&lt;/FQL&gt;&lt;FQL&gt;&lt;Q&gt;TAP^CS_EVENT_DESC_N("ER",1)&lt;/Q&gt;&lt;R&gt;1&lt;/R&gt;&lt;C&gt;1&lt;/C&gt;&lt;D xsi:type="xsd:string"&gt;Q1 2026 Earnings Release (Projected)&lt;/D&gt;&lt;/FQL&gt;&lt;FQL&gt;&lt;Q&gt;SMCI^CS_EVENT_DATEJ_N("ER",1)&lt;/Q&gt;&lt;R&gt;1&lt;/R&gt;&lt;C&gt;1&lt;/C&gt;&lt;D xsi:type="xsd:long"&gt;46147&lt;/D&gt;&lt;/FQL&gt;&lt;FQL&gt;&lt;Q&gt;SMCI^CS_EVENT_TIME_N("ER",1)&lt;/Q&gt;&lt;R&gt;1&lt;/R&gt;&lt;C&gt;1&lt;/C&gt;&lt;D xsi:type="xsd:string"&gt;Unspecified&lt;/D&gt;&lt;/FQL&gt;&lt;FQL&gt;&lt;Q&gt;SMCI^CS_EVENT_DESC_N("ER",1)&lt;/Q&gt;&lt;R&gt;1&lt;/R&gt;&lt;C&gt;1&lt;/C&gt;&lt;D xsi:type="xsd:string"&gt;Q3 2026 Earnings Release (Projected)&lt;/D&gt;&lt;/FQL&gt;&lt;FQL&gt;&lt;Q&gt;BR^CS_EVENT_DATEJ_N("ER",1)&lt;/Q&gt;&lt;R&gt;1&lt;/R&gt;&lt;C&gt;1&lt;/C&gt;&lt;D xsi:type="xsd:long"&gt;46147&lt;/D&gt;&lt;/FQL&gt;&lt;FQL&gt;&lt;Q&gt;BR^CS_EVENT_TIME_N("ER",1)&lt;/Q&gt;&lt;R&gt;1&lt;/R&gt;&lt;C&gt;1&lt;/C&gt;&lt;D xsi:type="xsd:string"&gt;Unspecified&lt;/D&gt;&lt;/FQL&gt;&lt;FQL&gt;&lt;Q&gt;BR^CS_EVENT_DESC_N("ER",1)&lt;/Q&gt;&lt;R&gt;1&lt;/R&gt;&lt;C&gt;1&lt;/C&gt;&lt;D xsi:type="xsd:string"&gt;Q3 2026 Earnings Release (Projected)&lt;/D&gt;&lt;/FQL&gt;&lt;FQL&gt;&lt;Q&gt;MPC^CS_EVENT_DATEJ_N("ER",1)&lt;/Q&gt;&lt;R&gt;1&lt;/R&gt;&lt;C&gt;1&lt;/C&gt;&lt;D xsi:type="xsd:long"&gt;46147&lt;/D&gt;&lt;/FQL&gt;&lt;FQL&gt;&lt;Q&gt;MPC^CS_EVENT_TIME_N("ER",1)&lt;/Q&gt;&lt;R&gt;1&lt;/R&gt;&lt;C&gt;1&lt;/C&gt;&lt;D xsi:type="xsd:string"&gt;6:30 AM&lt;/D&gt;&lt;/FQL&gt;&lt;FQL&gt;&lt;Q&gt;MPC^CS_EVENT_DESC_N("ER",1)&lt;/Q&gt;&lt;R&gt;1&lt;/R&gt;&lt;C&gt;1&lt;/C&gt;&lt;D xsi:type="xsd:string"&gt;Q1 2026 Earnings Release&lt;/D&gt;&lt;/FQL&gt;&lt;FQL&gt;&lt;Q&gt;PYPL^CS_EVENT_DATEJ_N("ER",1)&lt;/Q&gt;&lt;R&gt;1&lt;/R&gt;&lt;C&gt;1&lt;/C&gt;&lt;D xsi:type="xsd:long"&gt;46147&lt;/D&gt;&lt;/FQL&gt;&lt;FQL&gt;&lt;Q&gt;PYPL^CS_EVENT_TIME_N("ER",1)&lt;/Q&gt;&lt;R&gt;1&lt;/R&gt;&lt;C&gt;1&lt;/C&gt;&lt;D xsi:type="xsd:string"&gt;Before Market&lt;/D&gt;&lt;/FQL&gt;&lt;FQL&gt;&lt;Q&gt;PYPL^CS_EVENT_DESC_N("ER",1)&lt;/Q&gt;&lt;R&gt;1&lt;/R&gt;&lt;C&gt;1&lt;/C&gt;&lt;D xsi:type="xsd:string"&gt;Q1 2026 Earnings Release&lt;/D&gt;&lt;/FQL&gt;&lt;FQL&gt;&lt;Q&gt;INVH^CS_EVENT_DATEJ_N("ER",1)&lt;/Q&gt;&lt;R&gt;1&lt;/R&gt;&lt;C&gt;1&lt;/C&gt;&lt;D xsi:type="xsd:long"&gt;46147&lt;/D&gt;&lt;/FQL&gt;&lt;FQL&gt;&lt;Q&gt;INVH^CS_EVENT_TIME_N("ER",1)&lt;/Q&gt;&lt;R&gt;1&lt;/R&gt;&lt;C&gt;1&lt;/C&gt;&lt;D xsi:type="xsd:string"&gt;Unspecified&lt;/D&gt;&lt;/FQL&gt;&lt;FQL&gt;&lt;Q&gt;INVH^CS_EVENT_DESC_N("ER",1)&lt;/Q&gt;&lt;R&gt;1&lt;/R&gt;&lt;C&gt;1&lt;/C&gt;&lt;D xsi:type="xsd:string"&gt;Q1 2026 Earnings Release (Projected)&lt;/D&gt;&lt;/FQL&gt;&lt;FQL&gt;&lt;Q&gt;APTV^CS_EVENT_DATEJ_N("ER",1)&lt;/Q&gt;&lt;R&gt;1&lt;/R&gt;&lt;C&gt;1&lt;/C&gt;&lt;D xsi:type="xsd:long"&gt;46147&lt;/D&gt;&lt;/FQL&gt;&lt;FQL&gt;&lt;Q&gt;APTV^CS_EVENT_TIME_N("ER",1)&lt;/Q&gt;&lt;R&gt;1&lt;/R&gt;&lt;C&gt;1&lt;/C&gt;&lt;D xsi:type="xsd:string"&gt;6:45 AM&lt;/D&gt;&lt;/FQL&gt;&lt;FQL&gt;&lt;Q&gt;APTV^CS_EVENT_DESC_N("ER",1)&lt;/Q&gt;&lt;R&gt;1&lt;/R&gt;&lt;C&gt;1&lt;/C&gt;&lt;D xsi:type="xsd:string"&gt;Q1 2026 Earnings Release&lt;/D&gt;&lt;/FQL&gt;&lt;FQL&gt;&lt;Q&gt;CTVA^CS_EVENT_DATEJ_N("ER",1)&lt;/Q&gt;&lt;R&gt;1&lt;/R&gt;&lt;C&gt;1&lt;/C&gt;&lt;D xsi:type="xsd:long"&gt;46147&lt;/D&gt;&lt;/FQL&gt;&lt;FQL&gt;&lt;Q&gt;CTVA^CS_EVENT_TIME_N("ER",1)&lt;/Q&gt;&lt;R&gt;1&lt;/R&gt;&lt;C&gt;1&lt;/C&gt;&lt;D xsi:type="xsd:string"&gt;After Market&lt;/D&gt;&lt;/FQL&gt;&lt;FQL&gt;&lt;Q&gt;CTVA^CS_EVENT_DESC_N("ER",1)&lt;/Q&gt;&lt;R&gt;1&lt;/R&gt;&lt;C&gt;1&lt;/C&gt;&lt;D xsi:type="xsd:string"&gt;Q1 2026 Earnings Release&lt;/D&gt;&lt;/FQL&gt;&lt;FQL&gt;&lt;Q&gt;DD^CS_EVENT_DATEJ_N("ER",1)&lt;/Q&gt;&lt;R&gt;1&lt;/R&gt;&lt;C&gt;1&lt;/C&gt;&lt;D xsi:type="xsd:long"&gt;46147&lt;/D&gt;&lt;/FQL&gt;&lt;FQL&gt;&lt;Q&gt;DD^CS_EVENT_TIME_N("ER",1)&lt;/Q&gt;&lt;R&gt;1&lt;/R&gt;&lt;C&gt;1&lt;/C&gt;&lt;D xsi:type="xsd:string"&gt;Unspecified&lt;/D&gt;&lt;/FQL&gt;&lt;FQL&gt;&lt;Q&gt;DD^CS_EVENT_DESC_N("ER",1)&lt;/Q&gt;&lt;R&gt;1&lt;/R&gt;&lt;C&gt;1&lt;/C&gt;&lt;D xsi:type="xsd:string"&gt;Q1 2026 Earnings Release (Projected)&lt;/D&gt;&lt;/FQL&gt;&lt;FQL&gt;&lt;Q&gt;AMCR^CS_EVENT_DATEJ_N("ER",1)&lt;/Q&gt;&lt;R&gt;1&lt;/R&gt;&lt;C&gt;1&lt;/C&gt;&lt;D xsi:type="xsd:long"&gt;46147&lt;/D&gt;&lt;/FQL&gt;&lt;FQL&gt;&lt;Q&gt;AMCR^CS_EVENT_TIME_N("ER",1)&lt;/Q&gt;&lt;R&gt;1&lt;/R&gt;&lt;C&gt;1&lt;/C&gt;&lt;D xsi:type="xsd:string"&gt;Unspecified&lt;/D&gt;&lt;/FQL&gt;&lt;FQL&gt;&lt;Q&gt;AMCR^CS_EVENT_DESC_N("ER",1)&lt;/Q&gt;&lt;R&gt;1&lt;/R&gt;&lt;C&gt;1&lt;/C&gt;&lt;D xsi:type="xsd:string"&gt;Q3 2026 Earnings Release (Projected)&lt;/D&gt;&lt;/FQL&gt;&lt;FQL&gt;&lt;Q&gt;EXE^CS_EVENT_DATEJ_N("ER",1)&lt;/Q&gt;&lt;R&gt;1&lt;/R&gt;&lt;C&gt;1&lt;/C&gt;&lt;D xsi:type="xsd:long"&gt;46147&lt;/D&gt;&lt;/FQL&gt;&lt;FQL&gt;&lt;Q&gt;EXE^CS_EVENT_TIME_N("ER",1)&lt;/Q&gt;&lt;R&gt;1&lt;/R&gt;&lt;C&gt;1&lt;/C&gt;&lt;D xsi:type="xsd:string"&gt;Unspecified&lt;/D&gt;&lt;/FQL&gt;&lt;FQL&gt;&lt;Q&gt;EXE^CS_EVENT_DESC_N("ER",1)&lt;/Q&gt;&lt;R&gt;1&lt;/R&gt;&lt;C&gt;1&lt;/C&gt;&lt;D xsi:type="xsd:string"&gt;Q1 2026 Earnings Release (Projected)&lt;/D&gt;&lt;/FQL&gt;&lt;FQL&gt;&lt;Q&gt;MAR^CS_EVENT_DATEJ_N("ER",1)&lt;/Q&gt;&lt;R&gt;1&lt;/R&gt;&lt;C&gt;1&lt;/C&gt;&lt;D xsi:type="xsd:long"&gt;46148&lt;/D&gt;&lt;/FQL&gt;&lt;FQL&gt;&lt;Q&gt;MAR^CS_EVENT_TIME_N("ER",1)&lt;/Q&gt;&lt;R&gt;1&lt;/R&gt;&lt;C&gt;1&lt;/C&gt;&lt;D xsi:type="xsd:string"&gt;Unspecified&lt;/D&gt;&lt;/FQL&gt;&lt;FQL&gt;&lt;Q&gt;MAR^CS_EVENT_DESC_N("ER",1)&lt;/Q&gt;&lt;R&gt;1&lt;/R&gt;&lt;C&gt;1&lt;/C&gt;&lt;D xsi:type="xsd:string"&gt;Q1 2026 Earnings Release (Projected)&lt;/D&gt;&lt;/FQL&gt;&lt;FQL&gt;&lt;Q&gt;VMC^CS_EVENT_DATEJ_N("ER",1)&lt;/Q&gt;&lt;R&gt;1&lt;/R&gt;&lt;C&gt;1&lt;/C&gt;&lt;D xsi:type="xsd:long"&gt;46148&lt;/D&gt;&lt;/FQL&gt;&lt;FQL&gt;&lt;Q&gt;VMC^CS_EVENT_TIME_N("ER",1)&lt;/Q&gt;&lt;R&gt;1&lt;/R&gt;&lt;C&gt;1&lt;/C&gt;&lt;D xsi:type="xsd:string"&gt;Unspecified&lt;/D&gt;&lt;/FQL&gt;&lt;FQL&gt;&lt;Q&gt;VMC^CS_EVENT_DESC_N("ER",1)&lt;/Q&gt;&lt;R&gt;1&lt;/R&gt;&lt;C&gt;1&lt;/C&gt;&lt;D xsi:type="xsd:string"&gt;Q1 2026 Earnings Release (Projected)&lt;/D&gt;&lt;/FQL&gt;&lt;FQL&gt;&lt;Q&gt;TECH^CS_EVENT_DATEJ_N("ER",1)&lt;/Q&gt;&lt;R&gt;1&lt;/R&gt;&lt;C&gt;1&lt;/C&gt;&lt;D xsi:type="xsd:long"&gt;46148&lt;/D&gt;&lt;/FQL&gt;&lt;FQL&gt;&lt;Q&gt;TECH^CS_EVENT_TIME_N("ER",1)&lt;/Q&gt;&lt;R&gt;1&lt;/R&gt;&lt;C&gt;1&lt;/C&gt;&lt;D xsi:type="xsd:string"&gt;Unspecified&lt;/D&gt;&lt;/FQL&gt;&lt;FQL&gt;&lt;Q&gt;TECH^CS_EVENT_DESC_N("ER",1)&lt;/Q&gt;&lt;R&gt;1&lt;/R&gt;&lt;C&gt;1&lt;/C&gt;&lt;D xsi:type="xsd:string"&gt;Q3 2026 Earnings Release (Projected)&lt;/D&gt;&lt;/FQL&gt;&lt;FQL&gt;&lt;Q&gt;QCOM^CS_EVENT_DATEJ_N("ER",1)&lt;/Q&gt;&lt;R&gt;1&lt;/R&gt;&lt;C&gt;1&lt;/C&gt;&lt;D xsi:type="xsd:long"&gt;46148&lt;/D&gt;&lt;/FQL&gt;&lt;FQL&gt;&lt;Q&gt;QCOM^CS_EVENT_TIME_N("ER",1)&lt;/Q&gt;&lt;R&gt;1&lt;/R&gt;&lt;C&gt;1&lt;/C&gt;&lt;D xsi:type="xsd:string"&gt;Unspecified&lt;/D&gt;&lt;/FQL&gt;&lt;FQL&gt;&lt;Q&gt;QCOM^CS_EVENT_DESC_N("ER",1)&lt;/Q&gt;&lt;R&gt;1&lt;/R&gt;&lt;C&gt;1&lt;/C&gt;&lt;D xsi:type="xsd:string"&gt;Q2 2026 Earnings Release (Projected)&lt;/D&gt;&lt;/FQL&gt;&lt;FQL&gt;&lt;Q&gt;ES^CS_EVENT_DATEJ_N("ER",1)&lt;/Q&gt;&lt;R&gt;1&lt;/R&gt;&lt;C&gt;1&lt;/C&gt;&lt;D xsi:type="xsd:long"&gt;46148&lt;/D&gt;&lt;/FQL&gt;&lt;FQL&gt;&lt;Q&gt;ES^CS_EVENT_TIME_N("ER",1)&lt;/Q&gt;&lt;R&gt;1&lt;/R&gt;&lt;C&gt;1&lt;/C&gt;&lt;D xsi:type="xsd:string"&gt;Unspecified&lt;/D&gt;&lt;/FQL&gt;&lt;FQL&gt;&lt;Q&gt;ES^CS_EVENT_DESC_N("ER",1)&lt;/Q&gt;&lt;R&gt;1&lt;/R&gt;&lt;C&gt;1&lt;/C&gt;&lt;D xsi:type="xsd:string"&gt;Q1 2026 Earnings Release (Projected)&lt;/D&gt;&lt;/FQL&gt;&lt;FQL&gt;&lt;Q&gt;FICO^CS_EVENT_DATEJ_N("ER",1)&lt;/Q&gt;&lt;R&gt;1&lt;/R&gt;&lt;C&gt;1&lt;/C&gt;&lt;D xsi:type="xsd:long"&gt;46148&lt;/D&gt;&lt;/FQL&gt;&lt;FQL&gt;&lt;Q&gt;FICO^CS_EVENT_TIME_N("ER",1)&lt;/Q&gt;&lt;R&gt;1&lt;/R&gt;&lt;C&gt;1&lt;/C&gt;&lt;D xsi:type="xsd:string"&gt;Unspecified&lt;/D&gt;&lt;/FQL&gt;&lt;FQL&gt;&lt;Q&gt;FICO^CS_EVENT_DESC_N("ER",1)&lt;/Q&gt;&lt;R&gt;1&lt;/R&gt;&lt;C&gt;1&lt;/C&gt;&lt;D xsi:type="xsd:string"&gt;Q2 2026 Earnings Release (Projected)&lt;/D&gt;&lt;/FQL&gt;&lt;FQL&gt;&lt;Q&gt;BIIB^CS_EVENT_DATEJ_N("ER",1)&lt;/Q&gt;&lt;R&gt;1&lt;/R&gt;&lt;C&gt;1&lt;/C&gt;&lt;D xsi:type="xsd:long"&gt;46148&lt;/D&gt;&lt;/FQL&gt;&lt;FQL&gt;&lt;Q&gt;BIIB^CS_EVENT_TIME_N("ER",1)&lt;/Q&gt;&lt;R&gt;1&lt;/R&gt;&lt;C&gt;1&lt;/C&gt;&lt;D xsi:type="xsd:string"&gt;Unspecified&lt;/D&gt;&lt;/FQL&gt;&lt;FQL&gt;&lt;Q&gt;BIIB^CS_EVENT_DESC_N("ER",1)&lt;/Q&gt;&lt;R&gt;1&lt;/R&gt;&lt;C&gt;1&lt;/C&gt;&lt;D xsi:type="xsd:string"&gt;Q1 2026 Earnings Release (Projected)&lt;/D&gt;&lt;/FQL&gt;&lt;FQL&gt;&lt;Q&gt;O^CS_EVENT_DATEJ_N("ER",1)&lt;/Q&gt;&lt;R&gt;1&lt;/R&gt;&lt;C&gt;1&lt;/C&gt;&lt;D xsi:type="xsd:long"&gt;46148&lt;/D&gt;&lt;/FQL&gt;&lt;FQL&gt;&lt;Q&gt;O^CS_EVENT_TIME_N("ER",1)&lt;/Q&gt;&lt;R&gt;1&lt;/R&gt;&lt;C&gt;1&lt;/C&gt;&lt;D xsi:type="xsd:string"&gt;Unspecified&lt;/D&gt;&lt;/FQL&gt;&lt;FQL&gt;&lt;Q&gt;O^CS_EVENT_DESC_N("ER",1)&lt;/Q&gt;&lt;R&gt;1&lt;/R&gt;&lt;C&gt;1&lt;/C&gt;&lt;D xsi:type="xsd:string"&gt;Q1 2026 Earnings Release (Projected)&lt;/D&gt;&lt;/FQL&gt;&lt;FQL&gt;&lt;Q&gt;TRMB^CS_EVENT_DATEJ_N("ER",1)&lt;/Q&gt;&lt;R&gt;1&lt;/R&gt;&lt;C&gt;1&lt;/C&gt;&lt;D xsi:type="xsd:long"&gt;46148&lt;/D&gt;&lt;/FQL&gt;&lt;FQL&gt;&lt;Q&gt;TRMB^CS_EVENT_TIME_N("ER",1)&lt;/Q&gt;&lt;R&gt;1&lt;/R&gt;&lt;C&gt;1&lt;/C&gt;&lt;D xsi:type="xsd:string"&gt;Unspecified&lt;/D&gt;&lt;/FQL&gt;&lt;FQL&gt;&lt;Q&gt;TRMB^CS_EVENT_DESC_N("ER",1)&lt;/Q&gt;&lt;R&gt;1&lt;/R&gt;&lt;C&gt;1&lt;/C&gt;&lt;D xsi:type="xsd:string"&gt;Q1 2026 Earnings Release (Projected)&lt;/D&gt;&lt;/FQL&gt;&lt;FQL&gt;&lt;Q&gt;ALB^CS_EVENT_DATEJ_N("ER",1)&lt;/Q&gt;&lt;R&gt;1&lt;/R&gt;&lt;C&gt;1&lt;/C&gt;&lt;D xsi:type="xsd:long"&gt;46148&lt;/D&gt;&lt;/FQL&gt;&lt;FQL&gt;&lt;Q&gt;ALB^CS_EVENT_TIME_N("ER",1)&lt;/Q&gt;&lt;R&gt;1&lt;/R&gt;&lt;C&gt;1&lt;/C&gt;&lt;D xsi:type="xsd:string"&gt;Unspecified&lt;/D&gt;&lt;/FQL&gt;&lt;FQL&gt;&lt;Q&gt;ALB^CS_EVENT_DESC_N("ER",1)&lt;/Q&gt;&lt;R&gt;1&lt;/R&gt;&lt;C&gt;1&lt;/C&gt;&lt;D xsi:type="xsd:string"&gt;Q1 2026 Earnings Release (Projected)&lt;/D&gt;&lt;/FQL&gt;&lt;FQL&gt;&lt;Q&gt;YUM^CS_EVENT_DATEJ_N("ER",1)&lt;/Q&gt;&lt;R&gt;1&lt;/R&gt;&lt;C&gt;1&lt;/C&gt;&lt;D xsi:type="xsd:long"&gt;46148&lt;/D&gt;&lt;/FQL&gt;&lt;FQL&gt;&lt;Q&gt;YUM^CS_EVENT_TIME_N("ER",1)&lt;/Q&gt;&lt;R&gt;1&lt;/R&gt;&lt;C&gt;1&lt;/C&gt;&lt;D xsi:type="xsd:string"&gt;Unspecified&lt;/D&gt;&lt;/FQL&gt;&lt;FQL&gt;&lt;Q&gt;YUM^CS_EVENT_DESC_N("ER",1)&lt;/Q&gt;&lt;R&gt;1&lt;/R&gt;&lt;C&gt;1&lt;/C&gt;&lt;D xsi:type="xsd:string"&gt;Q1 2026 Earnings Release (Projected)&lt;/D&gt;&lt;/FQL&gt;&lt;FQL&gt;&lt;Q&gt;TT^CS_EVENT_DATEJ_N("ER",1)&lt;/Q&gt;&lt;R&gt;1&lt;/R&gt;&lt;C&gt;1&lt;/C&gt;&lt;D xsi:type="xsd:long"&gt;46148&lt;/D&gt;&lt;/FQL&gt;&lt;FQL&gt;&lt;Q&gt;TT^CS_EVENT_TIME_N("ER",1)&lt;/Q&gt;&lt;R&gt;1&lt;/R&gt;&lt;C&gt;1&lt;/C&gt;&lt;D xsi:type="xsd:string"&gt;Unspecified&lt;/D&gt;&lt;/FQL&gt;&lt;FQL&gt;&lt;Q&gt;TT^CS_EVENT_DESC_N("ER",1)&lt;/Q&gt;&lt;R&gt;1&lt;/R&gt;&lt;C&gt;1&lt;/C&gt;&lt;D xsi:type="xsd:string"&gt;Q1 2026 Earnings Release (Projected)&lt;/D&gt;&lt;/FQL&gt;&lt;FQL&gt;&lt;Q&gt;HST^CS_EVENT_DATEJ_N("ER",1)&lt;/Q&gt;&lt;R&gt;1&lt;/R&gt;&lt;C&gt;1&lt;/C&gt;&lt;D xsi:type="xsd:long"&gt;46148&lt;/D&gt;&lt;/FQL&gt;&lt;FQL&gt;&lt;Q&gt;HST^CS_EVENT_TIME_N("ER",1)&lt;/Q&gt;&lt;R&gt;1&lt;/R&gt;&lt;C&gt;1&lt;/C&gt;&lt;D xsi:type="xsd:string"&gt;After Market&lt;/D&gt;&lt;/FQL&gt;&lt;FQL&gt;&lt;Q&gt;HST^CS_EVENT_DESC_N("ER",1)&lt;/Q&gt;&lt;R&gt;1&lt;/R&gt;&lt;C&gt;1&lt;/C&gt;&lt;D xsi:type="xsd:string"&gt;Q1 2026 Earnings Release&lt;/D&gt;&lt;/FQL&gt;&lt;FQL&gt;&lt;Q&gt;CTSH^CS_EVENT_DATEJ_N("ER",1)&lt;/Q&gt;&lt;R&gt;1&lt;/R&gt;&lt;C&gt;1&lt;/C&gt;&lt;D xsi:type="xsd:long"&gt;46148&lt;/D&gt;&lt;/FQL&gt;&lt;FQL&gt;&lt;Q&gt;CTSH^CS_EVENT_TIME_N("ER",1)&lt;/Q&gt;&lt;R&gt;1&lt;/R&gt;&lt;C&gt;1&lt;/C&gt;&lt;D xsi:type="xsd:string"&gt;Unspecified&lt;/D&gt;&lt;/FQL&gt;&lt;FQL&gt;&lt;Q&gt;CTSH^CS_EVENT_DESC_N("ER",1)&lt;/Q&gt;&lt;R&gt;1&lt;/R&gt;&lt;C&gt;1&lt;/C&gt;&lt;D xsi:type="xsd:string"&gt;Q1 2026 Earnings Release (Projected)&lt;/D&gt;&lt;/FQL&gt;&lt;FQL&gt;&lt;Q&gt;AEP^CS_EVENT_DATEJ_N("ER",1)&lt;/Q&gt;&lt;R&gt;1&lt;/R&gt;&lt;C&gt;1&lt;/C&gt;&lt;D xsi:type="xsd:long"&gt;46148&lt;/D&gt;&lt;/FQL&gt;&lt;FQL&gt;&lt;Q&gt;AEP^CS_EVENT_TIME_N("ER",1)&lt;/Q&gt;&lt;R&gt;1&lt;/R&gt;&lt;C&gt;1&lt;/C&gt;&lt;D xsi:type="xsd:string"&gt;Unspecified&lt;/D&gt;&lt;/FQL&gt;&lt;FQL&gt;&lt;Q&gt;AEP^CS_EVENT_DESC_N("ER",1)&lt;/Q&gt;&lt;R&gt;1&lt;/R&gt;&lt;C&gt;1&lt;/C&gt;&lt;D xsi:type="xsd:string"&gt;Q1 2026 Earnings Release (Projected)&lt;/D&gt;&lt;/FQL&gt;&lt;FQL&gt;&lt;Q&gt;SYK^CS_EVENT_DATEJ_N("ER",1)&lt;/Q&gt;&lt;R&gt;1&lt;/R&gt;&lt;C&gt;1&lt;/C&gt;&lt;D xsi:type="xsd:long"&gt;46148&lt;/D&gt;&lt;/FQL&gt;&lt;FQL&gt;&lt;Q&gt;SYK^CS_EVENT_TIME_N("ER",1)&lt;/Q&gt;&lt;R&gt;1&lt;/R&gt;&lt;C&gt;1&lt;/C&gt;&lt;D xsi:type="xsd:string"&gt;Unspecified&lt;/D&gt;&lt;/FQL&gt;&lt;FQL&gt;&lt;Q&gt;SYK^CS_EVENT_DESC_N("ER",1)&lt;/Q&gt;&lt;R&gt;1&lt;/R&gt;&lt;C&gt;1&lt;/C&gt;&lt;D xsi:type="xsd:string"&gt;Q1 2026 Earnings Release (Projected)&lt;/D&gt;&lt;/FQL&gt;&lt;FQL&gt;&lt;Q&gt;GL^CS_EVENT_DATEJ_N("ER",1)&lt;/Q&gt;&lt;R&gt;1&lt;/R&gt;&lt;C&gt;1&lt;/C&gt;&lt;D xsi:type="xsd:long"&gt;46148&lt;/D&gt;&lt;/FQL&gt;&lt;FQL&gt;&lt;Q&gt;GL^CS_EVENT_TIME_N("ER",1)&lt;/Q&gt;&lt;R&gt;1&lt;/R&gt;&lt;C&gt;1&lt;/C&gt;&lt;D xsi:type="xsd:string"&gt;Unspecified&lt;/D&gt;&lt;/FQL&gt;&lt;FQL&gt;&lt;Q&gt;GL^CS_EVENT_DESC_N("ER",1)&lt;/Q&gt;&lt;R&gt;1&lt;/R&gt;&lt;C&gt;1&lt;/C&gt;&lt;D xsi:type="xsd:string"&gt;Q1 2026 Earnings Release (Projected)&lt;/D&gt;&lt;/FQL&gt;&lt;FQL&gt;&lt;Q&gt;EBAY^CS_EVENT_DATEJ_N("ER",1)&lt;/Q&gt;&lt;R&gt;1&lt;/R&gt;&lt;C&gt;1&lt;/C&gt;&lt;D xsi:type="xsd:long"&gt;46148&lt;/D&gt;&lt;/FQL&gt;&lt;FQL&gt;&lt;Q&gt;EBAY^CS_EVENT_TIME_N("ER",1)&lt;/Q&gt;&lt;R&gt;1&lt;/R&gt;&lt;C&gt;1&lt;/C&gt;&lt;D xsi:type="xsd:string"&gt;Unspecified&lt;/D&gt;&lt;/FQL&gt;&lt;FQL&gt;&lt;Q&gt;EBAY^CS_EVENT_DESC_N("ER",1)&lt;/Q&gt;&lt;R&gt;1&lt;/R&gt;&lt;C&gt;1&lt;/C&gt;&lt;D xsi:type="xsd:string"&gt;Q1 2026 Earnings Release (Projected)&lt;/D&gt;&lt;/FQL&gt;&lt;FQL&gt;&lt;Q&gt;EMR^CS_EVENT_DATEJ_N("ER",1)&lt;/Q&gt;&lt;R&gt;1&lt;/R&gt;&lt;C&gt;1&lt;/C&gt;&lt;D xsi:type="xsd:long"&gt;46148&lt;/D&gt;&lt;/FQL&gt;&lt;FQL&gt;&lt;Q&gt;EMR^CS_EVENT_TIME_N("ER",1)&lt;/Q&gt;&lt;R&gt;1&lt;/R&gt;&lt;C&gt;1&lt;/C&gt;&lt;D xsi:type="xsd:string"&gt;Unspecified&lt;/D&gt;&lt;/FQL&gt;&lt;FQL&gt;&lt;Q&gt;EMR^CS_EVENT_DESC_N("ER",1)&lt;/Q&gt;&lt;R&gt;1&lt;/R&gt;&lt;C&gt;1&lt;/C&gt;&lt;D xsi:type="xsd:string"&gt;Q2 2026 Earnings Release (Projected)&lt;/D&gt;&lt;/FQL&gt;&lt;FQL&gt;&lt;Q&gt;COR^CS_EVENT_DATEJ_N("ER",1)&lt;/Q&gt;&lt;R&gt;1&lt;/R&gt;&lt;C&gt;1&lt;/C&gt;&lt;D xsi:type="xsd:long"&gt;46148&lt;/D&gt;&lt;/FQL&gt;&lt;FQL&gt;&lt;Q&gt;COR^CS_EVENT_TIME_N("ER",1)&lt;/Q&gt;&lt;R&gt;1&lt;/R&gt;&lt;C&gt;1&lt;/C&gt;&lt;D xsi:type="xsd:string"&gt;Unspecified&lt;/D&gt;&lt;/FQL&gt;&lt;FQL&gt;&lt;Q&gt;COR^CS_EVENT_DESC_N("ER",1)&lt;/Q&gt;&lt;R&gt;1&lt;/R&gt;&lt;C&gt;1&lt;/C&gt;&lt;D xsi:type="xsd:string"&gt;Q2 2026 Earnings Release (Projected)&lt;/D&gt;&lt;/FQL&gt;&lt;FQL&gt;&lt;Q&gt;VTR^CS_EVENT_DATEJ_N("ER",1)&lt;/Q&gt;&lt;R&gt;1&lt;/R&gt;&lt;C&gt;1&lt;/C&gt;&lt;D xsi:type="xsd:long"&gt;46148&lt;/D&gt;&lt;/FQL&gt;&lt;FQL&gt;&lt;Q&gt;VTR^CS_EVENT_TIME_N("ER",1)&lt;/Q&gt;&lt;R&gt;1&lt;/R&gt;&lt;C&gt;1&lt;/C&gt;&lt;D xsi:type="xsd:string"&gt;Unspecified&lt;/D&gt;&lt;/FQL&gt;&lt;FQL&gt;&lt;Q&gt;VTR^CS_EVENT_DESC_N("ER",1)&lt;/Q&gt;&lt;R&gt;1&lt;/R&gt;&lt;C&gt;1&lt;/C&gt;&lt;D xsi:type="xsd:string"&gt;Q1 2026 Earnings Release (Projected)&lt;/D&gt;&lt;/FQL&gt;&lt;FQL&gt;&lt;Q&gt;IDXX^CS_EVENT_DATEJ_N("ER",1)&lt;/Q&gt;&lt;R&gt;1&lt;/R&gt;&lt;C&gt;1&lt;/C&gt;&lt;D xsi:type="xsd:long"&gt;46148&lt;/D&gt;&lt;/FQL&gt;&lt;FQL&gt;&lt;Q&gt;IDXX^CS_EVENT_TIME_N("ER",1)&lt;/Q&gt;&lt;R&gt;1&lt;/R&gt;&lt;C&gt;1&lt;/C&gt;&lt;D xsi:type="xsd:string"&gt;Unspecified&lt;/D&gt;&lt;/FQL&gt;&lt;FQL&gt;&lt;Q&gt;IDXX^CS_EVENT_DESC_N("ER",1)&lt;/Q&gt;&lt;R&gt;1&lt;/R&gt;&lt;C&gt;1&lt;/C&gt;&lt;D xsi:type="xsd:string"&gt;Q1 2026 Earnings Release (Projected)&lt;/D&gt;&lt;/FQL&gt;&lt;FQL&gt;&lt;Q&gt;TPL^CS_EVENT_DATEJ_N("ER",1)&lt;/Q&gt;&lt;R&gt;1&lt;/R&gt;&lt;C&gt;1&lt;/C&gt;&lt;D xsi:type="xsd:long"&gt;46148&lt;/D&gt;</t>
        </r>
      </text>
    </comment>
    <comment ref="A25" authorId="0" shapeId="0" xr:uid="{0D37AB4E-98B1-49F3-B3B9-666027C6CE0D}">
      <text>
        <r>
          <rPr>
            <b/>
            <sz val="9"/>
            <color indexed="81"/>
            <rFont val="Tahoma"/>
            <family val="2"/>
          </rPr>
          <t>&lt;/FQL&gt;&lt;FQL&gt;&lt;Q&gt;TPL^CS_EVENT_TIME_N("ER",1)&lt;/Q&gt;&lt;R&gt;1&lt;/R&gt;&lt;C&gt;1&lt;/C&gt;&lt;D xsi:type="xsd:string"&gt;Unspecified&lt;/D&gt;&lt;/FQL&gt;&lt;FQL&gt;&lt;Q&gt;TPL^CS_EVENT_DESC_N("ER",1)&lt;/Q&gt;&lt;R&gt;1&lt;/R&gt;&lt;C&gt;1&lt;/C&gt;&lt;D xsi:type="xsd:string"&gt;Q1 2026 Earnings Release (Projected)&lt;/D&gt;&lt;/FQL&gt;&lt;FQL&gt;&lt;Q&gt;APA^CS_EVENT_DATEJ_N("ER",1)&lt;/Q&gt;&lt;R&gt;1&lt;/R&gt;&lt;C&gt;1&lt;/C&gt;&lt;D xsi:type="xsd:long"&gt;46148&lt;/D&gt;&lt;/FQL&gt;&lt;FQL&gt;&lt;Q&gt;APA^CS_EVENT_TIME_N("ER",1)&lt;/Q&gt;&lt;R&gt;1&lt;/R&gt;&lt;C&gt;1&lt;/C&gt;&lt;D xsi:type="xsd:string"&gt;Unspecified&lt;/D&gt;&lt;/FQL&gt;&lt;FQL&gt;&lt;Q&gt;APA^CS_EVENT_DESC_N("ER",1)&lt;/Q&gt;&lt;R&gt;1&lt;/R&gt;&lt;C&gt;1&lt;/C&gt;&lt;D xsi:type="xsd:string"&gt;Q1 2026 Earnings Release (Projected)&lt;/D&gt;&lt;/FQL&gt;&lt;FQL&gt;&lt;Q&gt;RSG^CS_EVENT_DATEJ_N("ER",1)&lt;/Q&gt;&lt;R&gt;1&lt;/R&gt;&lt;C&gt;1&lt;/C&gt;&lt;D xsi:type="xsd:long"&gt;46148&lt;/D&gt;&lt;/FQL&gt;&lt;FQL&gt;&lt;Q&gt;RSG^CS_EVENT_TIME_N("ER",1)&lt;/Q&gt;&lt;R&gt;1&lt;/R&gt;&lt;C&gt;1&lt;/C&gt;&lt;D xsi:type="xsd:string"&gt;Unspecified&lt;/D&gt;&lt;/FQL&gt;&lt;FQL&gt;&lt;Q&gt;RSG^CS_EVENT_DESC_N("ER",1)&lt;/Q&gt;&lt;R&gt;1&lt;/R&gt;&lt;C&gt;1&lt;/C&gt;&lt;D xsi:type="xsd:string"&gt;Q1 2026 Earnings Release (Projected)&lt;/D&gt;&lt;/FQL&gt;&lt;FQL&gt;&lt;Q&gt;MET^CS_EVENT_DATEJ_N("ER",1)&lt;/Q&gt;&lt;R&gt;1&lt;/R&gt;&lt;C&gt;1&lt;/C&gt;&lt;D xsi:type="xsd:long"&gt;46148&lt;/D&gt;&lt;/FQL&gt;&lt;FQL&gt;&lt;Q&gt;MET^CS_EVENT_TIME_N("ER",1)&lt;/Q&gt;&lt;R&gt;1&lt;/R&gt;&lt;C&gt;1&lt;/C&gt;&lt;D xsi:type="xsd:string"&gt;Unspecified&lt;/D&gt;&lt;/FQL&gt;&lt;FQL&gt;&lt;Q&gt;MET^CS_EVENT_DESC_N("ER",1)&lt;/Q&gt;&lt;R&gt;1&lt;/R&gt;&lt;C&gt;1&lt;/C&gt;&lt;D xsi:type="xsd:string"&gt;Q1 2026 Earnings Release (Projected)&lt;/D&gt;&lt;/FQL&gt;&lt;FQL&gt;&lt;Q&gt;CVS^CS_EVENT_DATEJ_N("ER",1)&lt;/Q&gt;&lt;R&gt;1&lt;/R&gt;&lt;C&gt;1&lt;/C&gt;&lt;D xsi:type="xsd:long"&gt;46148&lt;/D&gt;&lt;/FQL&gt;&lt;FQL&gt;&lt;Q&gt;CVS^CS_EVENT_TIME_N("ER",1)&lt;/Q&gt;&lt;R&gt;1&lt;/R&gt;&lt;C&gt;1&lt;/C&gt;&lt;D xsi:type="xsd:string"&gt;Unspecified&lt;/D&gt;&lt;/FQL&gt;&lt;FQL&gt;&lt;Q&gt;CVS^CS_EVENT_DESC_N("ER",1)&lt;/Q&gt;&lt;R&gt;1&lt;/R&gt;&lt;C&gt;1&lt;/C&gt;&lt;D xsi:type="xsd:string"&gt;Q1 2026 Earnings Release (Projected)&lt;/D&gt;&lt;/FQL&gt;&lt;FQL&gt;&lt;Q&gt;VRTX^CS_EVENT_DATEJ_N("ER",1)&lt;/Q&gt;&lt;R&gt;1&lt;/R&gt;&lt;C&gt;1&lt;/C&gt;&lt;D xsi:type="xsd:long"&gt;46148&lt;/D&gt;&lt;/FQL&gt;&lt;FQL&gt;&lt;Q&gt;VRTX^CS_EVENT_TIME_N("ER",1)&lt;/Q&gt;&lt;R&gt;1&lt;/R&gt;&lt;C&gt;1&lt;/C&gt;&lt;D xsi:type="xsd:string"&gt;Unspecified&lt;/D&gt;&lt;/FQL&gt;&lt;FQL&gt;&lt;Q&gt;VRTX^CS_EVENT_DESC_N("ER",1)&lt;/Q&gt;&lt;R&gt;1&lt;/R&gt;&lt;C&gt;1&lt;/C&gt;&lt;D xsi:type="xsd:string"&gt;Q1 2026 Earnings Release (Projected)&lt;/D&gt;&lt;/FQL&gt;&lt;FQL&gt;&lt;Q&gt;EXC^CS_EVENT_DATEJ_N("ER",1)&lt;/Q&gt;&lt;R&gt;1&lt;/R&gt;&lt;C&gt;1&lt;/C&gt;&lt;D xsi:type="xsd:long"&gt;46148&lt;/D&gt;&lt;/FQL&gt;&lt;FQL&gt;&lt;Q&gt;EXC^CS_EVENT_TIME_N("ER",1)&lt;/Q&gt;&lt;R&gt;1&lt;/R&gt;&lt;C&gt;1&lt;/C&gt;&lt;D xsi:type="xsd:string"&gt;Unspecified&lt;/D&gt;&lt;/FQL&gt;&lt;FQL&gt;&lt;Q&gt;EXC^CS_EVENT_DESC_N("ER",1)&lt;/Q&gt;&lt;R&gt;1&lt;/R&gt;&lt;C&gt;1&lt;/C&gt;&lt;D xsi:type="xsd:string"&gt;Q1 2026 Earnings Release (Projected)&lt;/D&gt;&lt;/FQL&gt;&lt;FQL&gt;&lt;Q&gt;GNRC^CS_EVENT_DATEJ_N("ER",1)&lt;/Q&gt;&lt;R&gt;1&lt;/R&gt;&lt;C&gt;1&lt;/C&gt;&lt;D xsi:type="xsd:long"&gt;46148&lt;/D&gt;&lt;/FQL&gt;&lt;FQL&gt;&lt;Q&gt;GNRC^CS_EVENT_TIME_N("ER",1)&lt;/Q&gt;&lt;R&gt;1&lt;/R&gt;&lt;C&gt;1&lt;/C&gt;&lt;D xsi:type="xsd:string"&gt;Unspecified&lt;/D&gt;&lt;/FQL&gt;&lt;FQL&gt;&lt;Q&gt;GNRC^CS_EVENT_DESC_N("ER",1)&lt;/Q&gt;&lt;R&gt;1&lt;/R&gt;&lt;C&gt;1&lt;/C&gt;&lt;D xsi:type="xsd:string"&gt;Q1 2026 Earnings Release (Projected)&lt;/D&gt;&lt;/FQL&gt;&lt;FQL&gt;&lt;Q&gt;CPAY^CS_EVENT_DATEJ_N("ER",1)&lt;/Q&gt;&lt;R&gt;1&lt;/R&gt;&lt;C&gt;1&lt;/C&gt;&lt;D xsi:type="xsd:long"&gt;46148&lt;/D&gt;&lt;/FQL&gt;&lt;FQL&gt;&lt;Q&gt;CPAY^CS_EVENT_TIME_N("ER",1)&lt;/Q&gt;&lt;R&gt;1&lt;/R&gt;&lt;C&gt;1&lt;/C&gt;&lt;D xsi:type="xsd:string"&gt;Unspecified&lt;/D&gt;&lt;/FQL&gt;&lt;FQL&gt;&lt;Q&gt;CPAY^CS_EVENT_DESC_N("ER",1)&lt;/Q&gt;&lt;R&gt;1&lt;/R&gt;&lt;C&gt;1&lt;/C&gt;&lt;D xsi:type="xsd:string"&gt;Q1 2026 Earnings Release (Projected)&lt;/D&gt;&lt;/FQL&gt;&lt;FQL&gt;&lt;Q&gt;CDW^CS_EVENT_DATEJ_N("ER",1)&lt;/Q&gt;&lt;R&gt;1&lt;/R&gt;&lt;C&gt;1&lt;/C&gt;&lt;D xsi:type="xsd:long"&gt;46148&lt;/D&gt;&lt;/FQL&gt;&lt;FQL&gt;&lt;Q&gt;CDW^CS_EVENT_TIME_N("ER",1)&lt;/Q&gt;&lt;R&gt;1&lt;/R&gt;&lt;C&gt;1&lt;/C&gt;&lt;D xsi:type="xsd:string"&gt;Unspecified&lt;/D&gt;&lt;/FQL&gt;&lt;FQL&gt;&lt;Q&gt;CDW^CS_EVENT_DESC_N("ER",1)&lt;/Q&gt;&lt;R&gt;1&lt;/R&gt;&lt;C&gt;1&lt;/C&gt;&lt;D xsi:type="xsd:string"&gt;Q1 2026 Earnings Release (Projected)&lt;/D&gt;&lt;/FQL&gt;&lt;FQL&gt;&lt;Q&gt;AWK^CS_EVENT_DATEJ_N("ER",1)&lt;/Q&gt;&lt;R&gt;1&lt;/R&gt;&lt;C&gt;1&lt;/C&gt;&lt;D xsi:type="xsd:long"&gt;46148&lt;/D&gt;&lt;/FQL&gt;&lt;FQL&gt;&lt;Q&gt;AWK^CS_EVENT_TIME_N("ER",1)&lt;/Q&gt;&lt;R&gt;1&lt;/R&gt;&lt;C&gt;1&lt;/C&gt;&lt;D xsi:type="xsd:string"&gt;Unspecified&lt;/D&gt;&lt;/FQL&gt;&lt;FQL&gt;&lt;Q&gt;AWK^CS_EVENT_DESC_N("ER",1)&lt;/Q&gt;&lt;R&gt;1&lt;/R&gt;&lt;C&gt;1&lt;/C&gt;&lt;D xsi:type="xsd:string"&gt;Q1 2026 Earnings Release (Projected)&lt;/D&gt;&lt;/FQL&gt;&lt;FQL&gt;&lt;Q&gt;IR^CS_EVENT_DATEJ_N("ER",1)&lt;/Q&gt;&lt;R&gt;1&lt;/R&gt;&lt;C&gt;1&lt;/C&gt;&lt;D xsi:type="xsd:long"&gt;46148&lt;/D&gt;&lt;/FQL&gt;&lt;FQL&gt;&lt;Q&gt;IR^CS_EVENT_TIME_N("ER",1)&lt;/Q&gt;&lt;R&gt;1&lt;/R&gt;&lt;C&gt;1&lt;/C&gt;&lt;D xsi:type="xsd:string"&gt;Unspecified&lt;/D&gt;&lt;/FQL&gt;&lt;FQL&gt;&lt;Q&gt;IR^CS_EVENT_DESC_N("ER",1)&lt;/Q&gt;&lt;R&gt;1&lt;/R&gt;&lt;C&gt;1&lt;/C&gt;&lt;D xsi:type="xsd:string"&gt;Q1 2026 Earnings Release (Projected)&lt;/D&gt;&lt;/FQL&gt;&lt;FQL&gt;&lt;Q&gt;FIS^CS_EVENT_DATEJ_N("ER",1)&lt;/Q&gt;&lt;R&gt;1&lt;/R&gt;&lt;C&gt;1&lt;/C&gt;&lt;D xsi:type="xsd:long"&gt;46148&lt;/D&gt;&lt;/FQL&gt;&lt;FQL&gt;&lt;Q&gt;FIS^CS_EVENT_TIME_N("ER",1)&lt;/Q&gt;&lt;R&gt;1&lt;/R&gt;&lt;C&gt;1&lt;/C&gt;&lt;D xsi:type="xsd:string"&gt;Unspecified&lt;/D&gt;&lt;/FQL&gt;&lt;FQL&gt;&lt;Q&gt;FIS^CS_EVENT_DESC_N("ER",1)&lt;/Q&gt;&lt;R&gt;1&lt;/R&gt;&lt;C&gt;1&lt;/C&gt;&lt;D xsi:type="xsd:string"&gt;Q1 2026 Earnings Release (Projected)&lt;/D&gt;&lt;/FQL&gt;&lt;FQL&gt;&lt;Q&gt;NCLH^CS_EVENT_DATEJ_N("ER",1)&lt;/Q&gt;&lt;R&gt;1&lt;/R&gt;&lt;C&gt;1&lt;/C&gt;&lt;D xsi:type="xsd:long"&gt;46148&lt;/D&gt;&lt;/FQL&gt;&lt;FQL&gt;&lt;Q&gt;NCLH^CS_EVENT_TIME_N("ER",1)&lt;/Q&gt;&lt;R&gt;1&lt;/R&gt;&lt;C&gt;1&lt;/C&gt;&lt;D xsi:type="xsd:string"&gt;Unspecified&lt;/D&gt;&lt;/FQL&gt;&lt;FQL&gt;&lt;Q&gt;NCLH^CS_EVENT_DESC_N("ER",1)&lt;/Q&gt;&lt;R&gt;1&lt;/R&gt;&lt;C&gt;1&lt;/C&gt;&lt;D xsi:type="xsd:string"&gt;Q1 2026 Earnings Release (Projected)&lt;/D&gt;&lt;/FQL&gt;&lt;FQL&gt;&lt;Q&gt;CF^CS_EVENT_DATEJ_N("ER",1)&lt;/Q&gt;&lt;R&gt;1&lt;/R&gt;&lt;C&gt;1&lt;/C&gt;&lt;D xsi:type="xsd:long"&gt;46148&lt;/D&gt;&lt;/FQL&gt;&lt;FQL&gt;&lt;Q&gt;CF^CS_EVENT_TIME_N("ER",1)&lt;/Q&gt;&lt;R&gt;1&lt;/R&gt;&lt;C&gt;1&lt;/C&gt;&lt;D xsi:type="xsd:string"&gt;4:30 PM&lt;/D&gt;&lt;/FQL&gt;&lt;FQL&gt;&lt;Q&gt;CF^CS_EVENT_DESC_N("ER",1)&lt;/Q&gt;&lt;R&gt;1&lt;/R&gt;&lt;C&gt;1&lt;/C&gt;&lt;D xsi:type="xsd:string"&gt;Q1 2026 Earnings Release&lt;/D&gt;&lt;/FQL&gt;&lt;FQL&gt;&lt;Q&gt;MOS^CS_EVENT_DATEJ_N("ER",1)&lt;/Q&gt;&lt;R&gt;1&lt;/R&gt;&lt;C&gt;1&lt;/C&gt;&lt;D xsi:type="xsd:long"&gt;46148&lt;/D&gt;&lt;/FQL&gt;&lt;FQL&gt;&lt;Q&gt;MOS^CS_EVENT_TIME_N("ER",1)&lt;/Q&gt;&lt;R&gt;1&lt;/R&gt;&lt;C&gt;1&lt;/C&gt;&lt;D xsi:type="xsd:string"&gt;Unspecified&lt;/D&gt;&lt;/FQL&gt;&lt;FQL&gt;&lt;Q&gt;MOS^CS_EVENT_DESC_N("ER",1)&lt;/Q&gt;&lt;R&gt;1&lt;/R&gt;&lt;C&gt;1&lt;/C&gt;&lt;D xsi:type="xsd:string"&gt;Q1 2026 Earnings Release (Projected)&lt;/D&gt;&lt;/FQL&gt;&lt;FQL&gt;&lt;Q&gt;KHC^CS_EVENT_DATEJ_N("ER",1)&lt;/Q&gt;&lt;R&gt;1&lt;/R&gt;&lt;C&gt;1&lt;/C&gt;&lt;D xsi:type="xsd:long"&gt;46148&lt;/D&gt;&lt;/FQL&gt;&lt;FQL&gt;&lt;Q&gt;KHC^CS_EVENT_TIME_N("ER",1)&lt;/Q&gt;&lt;R&gt;1&lt;/R&gt;&lt;C&gt;1&lt;/C&gt;&lt;D xsi:type="xsd:string"&gt;Unspecified&lt;/D&gt;&lt;/FQL&gt;&lt;FQL&gt;&lt;Q&gt;KHC^CS_EVENT_DESC_N("ER",1)&lt;/Q&gt;&lt;R&gt;1&lt;/R&gt;&lt;C&gt;1&lt;/C&gt;&lt;D xsi:type="xsd:string"&gt;Q1 2026 Earnings Release (Projected)&lt;/D&gt;&lt;/FQL&gt;&lt;FQL&gt;&lt;Q&gt;UBER^CS_EVENT_DATEJ_N("ER",1)&lt;/Q&gt;&lt;R&gt;1&lt;/R&gt;&lt;C&gt;1&lt;/C&gt;&lt;D xsi:type="xsd:long"&gt;46148&lt;/D&gt;&lt;/FQL&gt;&lt;FQL&gt;&lt;Q&gt;UBER^CS_EVENT_TIME_N("ER",1)&lt;/Q&gt;&lt;R&gt;1&lt;/R&gt;&lt;C&gt;1&lt;/C&gt;&lt;D xsi:type="xsd:string"&gt;Unspecified&lt;/D&gt;&lt;/FQL&gt;&lt;FQL&gt;&lt;Q&gt;UBER^CS_EVENT_DESC_N("ER",1)&lt;/Q&gt;&lt;R&gt;1&lt;/R&gt;&lt;C&gt;1&lt;/C&gt;&lt;D xsi:type="xsd:string"&gt;Q1 2026 Earnings Release (Projected)&lt;/D&gt;&lt;/FQL&gt;&lt;FQL&gt;&lt;Q&gt;PSKY^CS_EVENT_DATEJ_N("ER",1)&lt;/Q&gt;&lt;R&gt;1&lt;/R&gt;&lt;C&gt;1&lt;/C&gt;&lt;D xsi:type="xsd:long"&gt;46148&lt;/D&gt;&lt;/FQL&gt;&lt;FQL&gt;&lt;Q&gt;PSKY^CS_EVENT_TIME_N("ER",1)&lt;/Q&gt;&lt;R&gt;1&lt;/R&gt;&lt;C&gt;1&lt;/C&gt;&lt;D xsi:type="xsd:string"&gt;Unspecified&lt;/D&gt;&lt;/FQL&gt;&lt;FQL&gt;&lt;Q&gt;PSKY^CS_EVENT_DESC_N("ER",1)&lt;/Q&gt;&lt;R&gt;1&lt;/R&gt;&lt;C&gt;1&lt;/C&gt;&lt;D xsi:type="xsd:string"&gt;Q1 2026 Earnings Release (Projected)&lt;/D&gt;&lt;/FQL&gt;&lt;FQL&gt;&lt;Q&gt;GEHC^CS_EVENT_DATEJ_N("ER",1)&lt;/Q&gt;&lt;R&gt;1&lt;/R&gt;&lt;C&gt;1&lt;/C&gt;&lt;D xsi:type="xsd:long"&gt;46148&lt;/D&gt;&lt;/FQL&gt;&lt;FQL&gt;&lt;Q&gt;GEHC^CS_EVENT_TIME_N("ER",1)&lt;/Q&gt;&lt;R&gt;1&lt;/R&gt;&lt;C&gt;1&lt;/C&gt;&lt;D xsi:type="xsd:string"&gt;Unspecified&lt;/D&gt;&lt;/FQL&gt;&lt;FQL&gt;&lt;Q&gt;GEHC^CS_EVENT_DESC_N("ER",1)&lt;/Q&gt;&lt;R&gt;1&lt;/R&gt;&lt;C&gt;1&lt;/C&gt;&lt;D xsi:type="xsd:string"&gt;Q1 2026 Earnings Release (Projected)&lt;/D&gt;&lt;/FQL&gt;&lt;FQL&gt;&lt;Q&gt;GEN^CS_EVENT_DATEJ_N("ER",1)&lt;/Q&gt;&lt;R&gt;1&lt;/R&gt;&lt;C&gt;1&lt;/C&gt;&lt;D xsi:type="xsd:long"&gt;46149&lt;/D&gt;&lt;/FQL&gt;&lt;FQL&gt;&lt;Q&gt;GEN^CS_EVENT_TIME_N("ER",1)&lt;/Q&gt;&lt;R&gt;1&lt;/R&gt;&lt;C&gt;1&lt;/C&gt;&lt;D xsi:type="xsd:string"&gt;Unspecified&lt;/D&gt;&lt;/FQL&gt;&lt;FQL&gt;&lt;Q&gt;GEN^CS_EVENT_DESC_N("ER",1)&lt;/Q&gt;&lt;R&gt;1&lt;/R&gt;&lt;C&gt;1&lt;/C&gt;&lt;D xsi:type="xsd:string"&gt;Q4 2026 Earnings Release (Projected)&lt;/D&gt;&lt;/FQL&gt;&lt;FQL&gt;&lt;Q&gt;TPR^CS_EVENT_DATEJ_N("ER",1)&lt;/Q&gt;&lt;R&gt;1&lt;/R&gt;&lt;C&gt;1&lt;/C&gt;&lt;D xsi:type="xsd:long"&gt;46149&lt;/D&gt;&lt;/FQL&gt;&lt;FQL&gt;&lt;Q&gt;TPR^CS_EVENT_TIME_N("ER",1)&lt;/Q&gt;&lt;R&gt;1&lt;/R&gt;&lt;C&gt;1&lt;/C&gt;&lt;D xsi:type="xsd:string"&gt;Unspecified&lt;/D&gt;&lt;/FQL&gt;&lt;FQL&gt;&lt;Q&gt;TPR^CS_EVENT_DESC_N("ER",1)&lt;/Q&gt;&lt;R&gt;1&lt;/R&gt;&lt;C&gt;1&lt;/C&gt;&lt;D xsi:type="xsd:string"&gt;Q3 2026 Earnings Release (Projected)&lt;/D&gt;&lt;/FQL&gt;&lt;FQL&gt;&lt;Q&gt;MCK^CS_EVENT_DATEJ_N("ER",1)&lt;/Q&gt;&lt;R&gt;1&lt;/R&gt;&lt;C&gt;1&lt;/C&gt;&lt;D xsi:type="xsd:long"&gt;46149&lt;/D&gt;&lt;/FQL&gt;&lt;FQL&gt;&lt;Q&gt;MCK^CS_EVENT_TIME_N("ER",1)&lt;/Q&gt;&lt;R&gt;1&lt;/R&gt;&lt;C&gt;1&lt;/C&gt;&lt;D xsi:type="xsd:string"&gt;After Market&lt;/D&gt;&lt;/FQL&gt;&lt;FQL&gt;&lt;Q&gt;MCK^CS_EVENT_DESC_N("ER",1)&lt;/Q&gt;&lt;R&gt;1&lt;/R&gt;&lt;C&gt;1&lt;/C&gt;&lt;D xsi:type="xsd:string"&gt;Q4 2026 Earnings Release&lt;/D&gt;&lt;/FQL&gt;&lt;FQL&gt;&lt;Q&gt;AKAM^CS_EVENT_DATEJ_N("ER",1)&lt;/Q&gt;&lt;R&gt;1&lt;/R&gt;&lt;C&gt;1&lt;/C&gt;&lt;D xsi:type="xsd:long"&gt;46149&lt;/D&gt;&lt;/FQL&gt;&lt;FQL&gt;&lt;Q&gt;AKAM^CS_EVENT_TIME_N("ER",1)&lt;/Q&gt;&lt;R&gt;1&lt;/R&gt;&lt;C&gt;1&lt;/C&gt;&lt;D xsi:type="xsd:string"&gt;Unspecified&lt;/D&gt;&lt;/FQL&gt;&lt;FQL&gt;&lt;Q&gt;AKAM^CS_EVENT_DESC_N("ER",1)&lt;/Q&gt;&lt;R&gt;1&lt;/R&gt;&lt;C&gt;1&lt;/C&gt;&lt;D xsi:type="xsd:string"&gt;Q1 2026 Earnings Release (Projected)&lt;/D&gt;&lt;/FQL&gt;&lt;FQL&gt;&lt;Q&gt;GWW^CS_EVENT_DATEJ_N("ER",1)&lt;/Q&gt;&lt;R&gt;1&lt;/R&gt;&lt;C&gt;1&lt;/C&gt;&lt;D xsi:type="xsd:long"&gt;46149&lt;/D&gt;&lt;/FQL&gt;&lt;FQL&gt;&lt;Q&gt;GWW^CS_EVENT_TIME_N("ER",1)&lt;/Q&gt;&lt;R&gt;1&lt;/R&gt;&lt;C&gt;1&lt;/C&gt;&lt;D xsi:type="xsd:string"&gt;8:00 AM&lt;/D&gt;&lt;/FQL&gt;&lt;FQL&gt;&lt;Q&gt;GWW^CS_EVENT_DESC_N("ER",1)&lt;/Q&gt;&lt;R&gt;1&lt;/R&gt;&lt;C&gt;1&lt;/C&gt;&lt;D xsi:type="xsd:string"&gt;Q1 2026 Earnings Release&lt;/D&gt;&lt;/FQL&gt;&lt;FQL&gt;&lt;Q&gt;CRL^CS_EVENT_DATEJ_N("ER",1)&lt;/Q&gt;&lt;R&gt;1&lt;/R&gt;&lt;C&gt;1&lt;/C&gt;&lt;D xsi:type="xsd:long"&gt;46149&lt;/D&gt;&lt;/FQL&gt;&lt;FQL&gt;&lt;Q&gt;CRL^CS_EVENT_TIME_N("ER",1)&lt;/Q&gt;&lt;R&gt;1&lt;/R&gt;&lt;C&gt;1&lt;/C&gt;&lt;D xsi:type="xsd:string"&gt;Unspecified&lt;/D&gt;&lt;/FQL&gt;&lt;FQL&gt;&lt;Q&gt;CRL^CS_EVENT_DESC_N("ER",1)&lt;/Q&gt;&lt;R&gt;1&lt;/R&gt;&lt;C&gt;1&lt;/C&gt;&lt;D xsi:type="xsd:string"&gt;Q1 2026 Earnings Release (Projected)&lt;/D&gt;&lt;/FQL&gt;&lt;FQL&gt;&lt;Q&gt;SATS^CS_EVENT_DATEJ_N("ER",1)&lt;/Q&gt;&lt;R&gt;1&lt;/R&gt;&lt;C&gt;1&lt;/C&gt;&lt;D xsi:type="xsd:long"&gt;46149&lt;/D&gt;&lt;/FQL&gt;&lt;FQL&gt;&lt;Q&gt;SATS^CS_EVENT_TIME_N("ER",1)&lt;/Q&gt;&lt;R&gt;1&lt;/R&gt;&lt;C&gt;1&lt;/C&gt;&lt;D xsi:type="xsd:string"&gt;Unspecified&lt;/D&gt;&lt;/FQL&gt;&lt;FQL&gt;&lt;Q&gt;SATS^CS_EVENT_DESC_N("ER",1)&lt;/Q&gt;&lt;R&gt;1&lt;/R&gt;&lt;C&gt;1&lt;/C&gt;&lt;D xsi:type="xsd:string"&gt;Q1 2026 Earnings Release (Projected)&lt;/D&gt;&lt;/FQL&gt;&lt;FQL&gt;&lt;Q&gt;CEG^CS_EVENT_DATEJ_N("ER",1)&lt;/Q&gt;&lt;R&gt;1&lt;/R&gt;&lt;C&gt;1&lt;/C&gt;&lt;D xsi:type="xsd:long"&gt;46149&lt;/D&gt;&lt;/FQL&gt;&lt;FQL&gt;&lt;Q&gt;CEG^CS_EVENT_TIME_N("ER",1)&lt;/Q&gt;&lt;R&gt;1&lt;/R&gt;&lt;C&gt;1&lt;/C&gt;&lt;D xsi:type="xsd:string"&gt;Unspecified&lt;/D&gt;&lt;/FQL&gt;&lt;FQL&gt;&lt;Q&gt;CEG^CS_EVENT_DESC_N("ER",1)&lt;/Q&gt;&lt;R&gt;1&lt;/R&gt;&lt;C&gt;1&lt;/C&gt;&lt;D xsi:type="xsd:string"&gt;Q1 2026 Earnings Release (Projected)&lt;/D&gt;&lt;/FQL&gt;&lt;FQL&gt;&lt;Q&gt;NWS^CS_EVENT_DATEJ_N("ER",1)&lt;/Q&gt;&lt;R&gt;1&lt;/R&gt;&lt;C&gt;1&lt;/C&gt;&lt;D xsi:type="xsd:long"&gt;46149&lt;/D&gt;&lt;/FQL&gt;&lt;FQL&gt;&lt;Q&gt;NWS^CS_EVENT_TIME_N("ER",1)&lt;/Q&gt;&lt;R&gt;1&lt;/R&gt;&lt;C&gt;1&lt;/C&gt;&lt;D xsi:type="xsd:string"&gt;Unspecified&lt;/D&gt;&lt;/FQL&gt;&lt;FQL&gt;&lt;Q&gt;NWS^CS_EVENT_DESC_N("ER",1)&lt;/Q&gt;&lt;R&gt;1&lt;/R&gt;&lt;C&gt;1&lt;/C&gt;&lt;D xsi:type="xsd:string"&gt;Q3 2026 Earnings Release (Projected)&lt;/D&gt;&lt;/FQL&gt;&lt;FQL&gt;&lt;Q&gt;NWSA^CS_EVENT_DATEJ_N("ER",1)&lt;/Q&gt;&lt;R&gt;1&lt;/R&gt;&lt;C&gt;1&lt;/C&gt;&lt;D xsi:type="xsd:long"&gt;46149&lt;/D&gt;&lt;/FQL&gt;&lt;FQL&gt;&lt;Q&gt;NWSA^CS_EVENT_TIME_N("ER",1)&lt;/Q&gt;&lt;R&gt;1&lt;/R&gt;&lt;C&gt;1&lt;/C&gt;&lt;D xsi:type="xsd:string"&gt;Unspecified&lt;/D&gt;&lt;/FQL&gt;&lt;FQL&gt;&lt;Q&gt;NWSA^CS_EVENT_DESC_N("ER",1)&lt;/Q&gt;&lt;R&gt;1&lt;/R&gt;&lt;C&gt;1&lt;/C&gt;&lt;D xsi:type="xsd:string"&gt;Q3 2026 Earnings Release (Projected)&lt;/D&gt;&lt;/FQL&gt;&lt;FQL&gt;&lt;Q&gt;COIN^CS_EVENT_DATEJ_N("ER",1)&lt;/Q&gt;&lt;R&gt;1&lt;/R&gt;&lt;C&gt;1&lt;/C&gt;&lt;D xsi:type="xsd:long"&gt;46149&lt;/D&gt;&lt;/FQL&gt;&lt;FQL&gt;&lt;Q&gt;COIN^CS_EVENT_TIME_N("ER",1)&lt;/Q&gt;&lt;R&gt;1&lt;/R&gt;&lt;C&gt;1&lt;/C&gt;&lt;D xsi:type="xsd:string"&gt;Unspecified&lt;/D&gt;&lt;/FQL&gt;&lt;FQL&gt;&lt;Q&gt;COIN^CS_EVENT_DESC_N("ER",1)&lt;/Q&gt;&lt;R&gt;1&lt;/R&gt;&lt;C&gt;1&lt;/C&gt;&lt;D xsi:type="xsd:string"&gt;Q1 2026 Earnings Release (Projected)&lt;/D&gt;&lt;/FQL&gt;&lt;FQL&gt;&lt;Q&gt;TKO^CS_EVENT_DATEJ_N("ER",1)&lt;/Q&gt;&lt;R&gt;1&lt;/R&gt;&lt;C&gt;1&lt;/C&gt;&lt;D xsi:type="xsd:long"&gt;46149&lt;/D&gt;&lt;/FQL&gt;&lt;FQL&gt;&lt;Q&gt;TKO^CS_EVENT_TIME_N("ER",1)&lt;/Q&gt;&lt;R&gt;1&lt;/R&gt;&lt;C&gt;1&lt;/C&gt;&lt;D xsi:type="xsd:string"&gt;Unspecified&lt;/D&gt;&lt;/FQL&gt;&lt;FQL&gt;&lt;Q&gt;TKO^CS_EVENT_DESC_N("ER",1)&lt;/Q&gt;&lt;R&gt;1&lt;/R&gt;&lt;C&gt;1&lt;/C&gt;&lt;D xsi:type="xsd:string"&gt;Q1 2026 Earnings Release (Projected)&lt;/D&gt;&lt;/FQL&gt;&lt;FQL&gt;&lt;Q&gt;WBD^CS_EVENT_DATEJ_N("ER",1)&lt;/Q&gt;&lt;R&gt;1&lt;/R&gt;&lt;C&gt;1&lt;/C&gt;&lt;D xsi:type="xsd:long"&gt;46149&lt;/D&gt;&lt;/FQL&gt;&lt;FQL&gt;&lt;Q&gt;WBD^CS_EVENT_TIME_N("ER",1)&lt;/Q&gt;&lt;R&gt;1&lt;/R&gt;&lt;C&gt;1&lt;/C&gt;&lt;D xsi:type="xsd:string"&gt;Unspecified&lt;/D&gt;&lt;/FQL&gt;&lt;FQL&gt;&lt;Q&gt;WBD^CS_EVENT_DESC_N("ER",1)&lt;/Q&gt;&lt;R&gt;1&lt;/R&gt;&lt;C&gt;1&lt;/C&gt;&lt;D xsi:type="xsd:string"&gt;Q1 2026 Earnings Release (Projected)&lt;/D&gt;&lt;/FQL&gt;&lt;FQL&gt;&lt;Q&gt;SOLV^CS_EVENT_DATEJ_N("ER",1)&lt;/Q&gt;&lt;R&gt;1&lt;/R&gt;&lt;C&gt;1&lt;/C&gt;&lt;D xsi:type="xsd:long"&gt;46149&lt;/D&gt;&lt;/FQL&gt;&lt;FQL&gt;&lt;Q&gt;SOLV^CS_EVENT_TIME_N("ER",1)&lt;/Q&gt;&lt;R&gt;1&lt;/R&gt;&lt;C&gt;1&lt;/C&gt;&lt;D xsi:type="xsd:string"&gt;Unspecified&lt;/D&gt;&lt;/FQL&gt;&lt;FQL&gt;&lt;Q&gt;SOLV^CS_EVENT_DESC_N("ER",1)&lt;/Q&gt;&lt;R&gt;1&lt;/R&gt;&lt;C&gt;1&lt;/C&gt;&lt;D xsi:type="xsd:string"&gt;Q1 2026 Earnings Release (Projected)&lt;/D&gt;&lt;/FQL&gt;&lt;FQL&gt;&lt;Q&gt;TSN^CS_EVENT_DATEJ_N("ER",1)&lt;/Q&gt;&lt;R&gt;1&lt;/R&gt;&lt;C&gt;1&lt;/C&gt;&lt;D xsi:type="xsd:long"&gt;46153&lt;/D&gt;&lt;/FQL&gt;&lt;FQL&gt;&lt;Q&gt;TSN^CS_EVENT_TIME_N("ER",1)&lt;/Q&gt;&lt;R&gt;1&lt;/R&gt;&lt;C&gt;1&lt;/C&gt;&lt;D xsi:type="xsd:string"&gt;Unspecified&lt;/D&gt;&lt;/FQL&gt;&lt;FQL&gt;&lt;Q&gt;TSN^CS_EVENT_DESC_N("ER",1)&lt;/Q&gt;&lt;R&gt;1&lt;/R&gt;&lt;C&gt;1&lt;/C&gt;&lt;D xsi:type="xsd:string"&gt;Q2 2026 Earnings Release (Projected)&lt;/D&gt;&lt;/FQL&gt;&lt;FQL&gt;&lt;Q&gt;MCHP^CS_EVENT_DATEJ_N("ER",1)&lt;/Q&gt;&lt;R&gt;1&lt;/R&gt;&lt;C&gt;1&lt;/C&gt;&lt;D xsi:type="xsd:long"&gt;46153&lt;/D&gt;&lt;/FQL&gt;&lt;FQL&gt;&lt;Q&gt;MCHP^CS_EVENT_TIME_N("ER",1)&lt;/Q&gt;&lt;R&gt;1&lt;/R&gt;&lt;C&gt;1&lt;/C&gt;&lt;D xsi:type="xsd:string"&gt;Unspecified&lt;/D&gt;&lt;/FQL&gt;&lt;FQL&gt;&lt;Q&gt;MCHP^CS_EVENT_DESC_N("ER",1)&lt;/Q&gt;&lt;R&gt;1&lt;/R&gt;&lt;C&gt;1&lt;/C&gt;&lt;D xsi:type="xsd:string"&gt;Q4 2026 Earnings Release (Projected)&lt;/D&gt;&lt;/FQL&gt;&lt;FQL&gt;&lt;Q&gt;SPG^CS_EVENT_DATEJ_N("ER",1)&lt;/Q&gt;&lt;R&gt;1&lt;/R&gt;&lt;C&gt;1&lt;/C&gt;&lt;D xsi:type="xsd:long"&gt;46153&lt;/D&gt;&lt;/FQL&gt;&lt;FQL&gt;&lt;Q&gt;SPG^CS_EVENT_TIME_N("ER",1)&lt;/Q&gt;&lt;R&gt;1&lt;/R&gt;&lt;C&gt;1&lt;/C&gt;&lt;D xsi:type="xsd:string"&gt;Unspecified&lt;/D&gt;&lt;/FQL&gt;&lt;FQL&gt;&lt;Q&gt;SPG^CS_EVENT_DESC_N("ER",1)&lt;/Q&gt;&lt;R&gt;1&lt;/R&gt;&lt;C&gt;1&lt;/C&gt;&lt;D xsi:type="xsd:string"&gt;Q1 2026 Earnings Release (Projected)&lt;/D&gt;&lt;/FQL&gt;&lt;FQL&gt;&lt;Q&gt;IFF^CS_EVENT_DATEJ_N("ER",1)&lt;/Q&gt;&lt;R&gt;1&lt;/R&gt;&lt;C&gt;1&lt;/C&gt;&lt;D xsi:type="xsd:long"&gt;46153&lt;/D&gt;&lt;/FQL&gt;&lt;FQL&gt;&lt;Q&gt;IFF^CS_EVENT_TIME_N("ER",1)&lt;/Q&gt;&lt;R&gt;1&lt;/R&gt;&lt;C&gt;1&lt;/C&gt;&lt;D xsi:type="xsd:string"&gt;Unspecified&lt;/D&gt;&lt;/FQL&gt;&lt;FQL&gt;&lt;Q&gt;IFF^CS_EVENT_DESC_N("ER",1)&lt;/Q&gt;&lt;R&gt;1&lt;/R&gt;&lt;C&gt;1&lt;/C&gt;&lt;D xsi:type="xsd:string"&gt;Q1 2026 Earnings Release (Projected)&lt;/D&gt;&lt;/FQL&gt;&lt;FQL&gt;&lt;Q&gt;VTRS^CS_EVENT_DATEJ_N("ER",1)&lt;/Q&gt;&lt;R&gt;1&lt;/R&gt;&lt;C&gt;1&lt;/C&gt;&lt;D xsi:type="xsd:long"&gt;46153&lt;/D&gt;&lt;/FQL&gt;&lt;FQL&gt;&lt;Q&gt;VTRS^CS_EVENT_TIME_N("ER",1)&lt;/Q&gt;&lt;R&gt;1&lt;/R&gt;&lt;C&gt;1&lt;/C&gt;&lt;D xsi:type="xsd:string"&gt;Unspecified&lt;/D&gt;&lt;/FQL&gt;&lt;FQL&gt;&lt;Q&gt;VTRS^CS_EVENT_DESC_N("ER",1)&lt;/Q&gt;&lt;R&gt;1&lt;/R&gt;&lt;C&gt;1&lt;/C&gt;&lt;D xsi:type="xsd:string"&gt;Q1 2026 Earnings Release (Projected)&lt;/D&gt;&lt;/FQL&gt;&lt;FQL&gt;&lt;Q&gt;PLTR^CS_EVENT_DATEJ_N("ER",1)&lt;/Q&gt;&lt;R&gt;1&lt;/R&gt;&lt;C&gt;1&lt;/C&gt;&lt;D xsi:type="xsd:long"&gt;46153&lt;/D&gt;&lt;/FQL&gt;&lt;FQL&gt;&lt;Q&gt;PLTR^CS_EVENT_TIME_N("ER",1)&lt;/Q&gt;&lt;R&gt;1&lt;/R&gt;&lt;C&gt;1&lt;/C&gt;&lt;D xsi:type="xsd:string"&gt;Unspecified&lt;/D&gt;&lt;/FQL&gt;&lt;FQL&gt;&lt;Q&gt;PLTR^CS_EVENT_DESC_N("ER",1)&lt;/Q&gt;&lt;R&gt;1&lt;/R&gt;&lt;C&gt;1&lt;/C&gt;&lt;D xsi:type="xsd:string"&gt;Q1 2026 Earnings Release (Projected)&lt;/D&gt;&lt;/FQL&gt;&lt;FQL&gt;&lt;Q&gt;HSIC^CS_EVENT_DATEJ_N("ER",1)&lt;/Q&gt;&lt;R&gt;1&lt;/R&gt;&lt;C&gt;1&lt;/C&gt;&lt;D xsi:type="xsd:long"&gt;46154&lt;/D&gt;&lt;/FQL&gt;&lt;FQL&gt;&lt;Q&gt;HSIC^CS_EVENT_TIME_N("ER",1)&lt;/Q&gt;&lt;R&gt;1&lt;/R&gt;&lt;C&gt;1&lt;/C&gt;&lt;D xsi:type="xsd:string"&gt;Unspecified&lt;/D&gt;&lt;/FQL&gt;&lt;FQL&gt;&lt;Q&gt;HSIC^CS_EVENT_DESC_N("ER",1)&lt;/Q&gt;&lt;R&gt;1&lt;/R&gt;&lt;C&gt;1&lt;/C&gt;&lt;D xsi:type="xsd:string"&gt;Q1 2026 Earnings Release (Projected)&lt;/D&gt;&lt;/FQL&gt;&lt;FQL&gt;&lt;Q&gt;JKHY^CS_EVENT_DATEJ_N("ER",1)&lt;/Q&gt;&lt;R&gt;1&lt;/R&gt;&lt;C&gt;1&lt;/C&gt;&lt;D xsi:type="xsd:long"&gt;46154&lt;/D&gt;&lt;/FQL&gt;&lt;FQL&gt;&lt;Q&gt;JKHY^CS_EVENT_TIME_N("ER",1)&lt;/Q&gt;&lt;R&gt;1&lt;/R&gt;&lt;C&gt;1&lt;/C&gt;&lt;D xsi:type="xsd:string"&gt;Unspecified&lt;/D&gt;&lt;/FQL&gt;&lt;FQL&gt;&lt;Q&gt;JKHY^CS_EVENT_DESC_N("ER",1)&lt;/Q&gt;&lt;R&gt;1&lt;/R&gt;&lt;C&gt;1&lt;/C&gt;&lt;D xsi:type="xsd:string"&gt;Q3 2026 Earnings Release (Projected)&lt;/D&gt;&lt;/FQL&gt;&lt;FQL&gt;&lt;Q&gt;AXON^CS_EVENT_DATEJ_N("ER",1)&lt;/Q&gt;&lt;R&gt;1&lt;/R&gt;&lt;C&gt;1&lt;/C&gt;&lt;D xsi:type="xsd:long"&gt;46154&lt;/D&gt;&lt;/FQL&gt;&lt;FQL&gt;&lt;Q&gt;AXON^CS_EVENT_TIME_N("ER",1)&lt;/Q&gt;&lt;R&gt;1&lt;/R&gt;&lt;C&gt;1&lt;/C&gt;&lt;D xsi:type="xsd:string"&gt;Unspecified&lt;/D&gt;&lt;/FQL&gt;&lt;FQL&gt;&lt;Q&gt;AXON^CS_EVENT_DESC_N("ER",1)&lt;/Q&gt;&lt;R&gt;1&lt;/R&gt;&lt;C&gt;1&lt;/C&gt;&lt;D xsi:type="xsd:string"&gt;Q1 2026 Earnings Release (Projected)&lt;/D&gt;&lt;/FQL&gt;&lt;FQL&gt;&lt;Q&gt;WAT^CS_EVENT_DATEJ_N("ER",1)&lt;/Q&gt;&lt;R&gt;1&lt;/R&gt;&lt;C&gt;1&lt;/C&gt;&lt;D xsi:type="xsd:long"&gt;46154&lt;/D&gt;&lt;/FQL&gt;&lt;FQL&gt;&lt;Q&gt;WAT^CS_EVENT_TIME_N("ER",1)&lt;/Q&gt;&lt;R&gt;1&lt;/R&gt;&lt;C&gt;1&lt;/C&gt;&lt;D xsi:type="xsd:string"&gt;Unspecified&lt;/D&gt;&lt;/FQL&gt;&lt;FQL&gt;&lt;Q&gt;WAT^CS_EVENT_DESC_N("ER",1)&lt;/Q&gt;&lt;R&gt;1&lt;/R&gt;&lt;C&gt;1&lt;/C&gt;&lt;D xsi:type="xsd:string"&gt;Q1 2026 Earnings Release (Projected)&lt;/D&gt;&lt;/FQL&gt;&lt;FQL&gt;&lt;Q&gt;ZBRA^CS_EVENT_DATEJ_N("ER",1)&lt;/Q&gt;&lt;R&gt;1&lt;/R&gt;&lt;C&gt;1&lt;/C&gt;&lt;D xsi:type="xsd:long"&gt;46154&lt;/D&gt;&lt;/FQL&gt;&lt;FQL&gt;&lt;Q&gt;ZBRA^CS_EVENT_TIME_N("ER",1)&lt;/Q&gt;&lt;R&gt;1&lt;/R&gt;&lt;C&gt;1&lt;/C&gt;&lt;D xsi:type="xsd:string"&gt;6:30 AM&lt;/D&gt;&lt;/FQL&gt;&lt;FQL&gt;&lt;Q&gt;ZBRA^CS_EVENT_DESC_N("ER",1)&lt;/Q&gt;&lt;R&gt;1&lt;/R&gt;&lt;C&gt;1&lt;/C&gt;&lt;D xsi:type="xsd:string"&gt;Q1 2026 Earnings Release&lt;/D&gt;&lt;/FQL&gt;&lt;FQL&gt;&lt;Q&gt;EXPD^CS_EVENT_DATEJ_N("ER",1)&lt;/Q&gt;&lt;R&gt;1&lt;/R&gt;&lt;C&gt;1&lt;/C&gt;&lt;D xsi:type="xsd:long"&gt;46154&lt;/D&gt;&lt;/FQL&gt;&lt;FQL&gt;&lt;Q&gt;EXPD^CS_EVENT_TIME_N("ER",1)&lt;/Q&gt;&lt;R&gt;1&lt;/R&gt;&lt;C&gt;1&lt;/C&gt;&lt;D xsi:type="xsd:string"&gt;Unspecified&lt;/D&gt;&lt;/FQL&gt;&lt;FQL&gt;&lt;Q&gt;EXPD^CS_EVENT_DESC_N("ER",1)&lt;/Q&gt;&lt;R&gt;1&lt;/R&gt;&lt;C&gt;1&lt;/C&gt;&lt;D xsi:type="xsd:string"&gt;Q1 2026 Earnings Release (Projected)&lt;/D&gt;&lt;/FQL&gt;&lt;FQL&gt;&lt;Q&gt;OXY^CS_EVENT_DATEJ_N("ER",1)&lt;/Q&gt;&lt;R&gt;1&lt;/R&gt;&lt;C&gt;1&lt;/C&gt;&lt;D xsi:type="xsd:long"&gt;46154&lt;/D&gt;&lt;/FQL&gt;&lt;FQL&gt;&lt;Q&gt;OXY^CS_EVENT_TIME_N("ER",1)&lt;/Q&gt;&lt;R&gt;1&lt;/R&gt;&lt;C&gt;1&lt;/C&gt;&lt;D xsi:type="xsd:string"&gt;Unspecified&lt;/D&gt;&lt;/FQL&gt;&lt;FQL&gt;&lt;Q&gt;OXY^CS_EVENT_DESC_N("ER",1)&lt;/Q&gt;&lt;R&gt;1&lt;/R&gt;&lt;C&gt;1&lt;/C&gt;&lt;D xsi:type="xsd:string"&gt;Q1 2026 Earnings Release (Projected)&lt;/D&gt;&lt;/FQL&gt;&lt;FQL&gt;&lt;Q&gt;WYNN^CS_EVENT_DATEJ_N("ER",1)&lt;/Q&gt;&lt;R&gt;1&lt;/R&gt;&lt;C&gt;1&lt;/C&gt;&lt;D xsi:type="xsd:long"&gt;46154&lt;/D&gt;&lt;/FQL&gt;&lt;FQL&gt;&lt;Q&gt;WYNN^CS_EVENT_TIME_N("ER",1)&lt;/Q&gt;&lt;R&gt;1&lt;/R&gt;&lt;C&gt;1&lt;/C&gt;&lt;D xsi:type="xsd:string"&gt;Unspecified&lt;/D&gt;&lt;/FQL&gt;&lt;FQL&gt;&lt;Q&gt;WYNN^CS_EVENT_DESC_N("ER",1)&lt;/Q&gt;&lt;R&gt;1&lt;/R&gt;&lt;C&gt;1&lt;/C&gt;&lt;D xsi:type="xsd:string"&gt;Q1 2026 Earnings Release (Projected)&lt;/D&gt;&lt;/FQL&gt;&lt;FQL&gt;&lt;Q&gt;J^CS_EVENT_DATEJ_N("ER",1)&lt;/Q&gt;&lt;R&gt;1&lt;/R&gt;&lt;C&gt;1&lt;/C&gt;&lt;D xsi:type="xsd:long"&gt;46154&lt;/D&gt;&lt;/FQL&gt;&lt;FQL&gt;&lt;Q&gt;J^CS_EVENT_TIME_N("ER",1)&lt;/Q&gt;&lt;R&gt;1&lt;/R&gt;&lt;C&gt;1&lt;/C&gt;&lt;D xsi:type="xsd:string"&gt;Unspecified&lt;/D&gt;&lt;/FQL&gt;&lt;FQL&gt;&lt;Q&gt;J^CS_EVENT_DESC_N("ER",1)&lt;/Q&gt;&lt;R&gt;1&lt;/R&gt;&lt;C&gt;1&lt;/C&gt;&lt;D xsi:type="xsd:string"&gt;Q2 2026 Earnings Release (Projected)&lt;/D&gt;&lt;/FQL&gt;&lt;FQL&gt;&lt;Q&gt;TDG^CS_EVENT_DATEJ_N("ER",1)&lt;/Q&gt;&lt;R&gt;1&lt;/R&gt;&lt;C&gt;1&lt;/C&gt;&lt;D xsi:type="xsd:long"&gt;46154&lt;/D&gt;&lt;/FQL&gt;&lt;FQL&gt;&lt;Q&gt;TDG^CS_EVENT_TIME_N("ER",1)&lt;/Q&gt;&lt;R&gt;1&lt;/R&gt;&lt;C&gt;1&lt;/C&gt;&lt;D xsi:type="xsd:string"&gt;Unspecified&lt;/D&gt;&lt;/FQL&gt;&lt;FQL&gt;&lt;Q&gt;TDG^CS_EVENT_DESC_N("ER",1)&lt;/Q&gt;&lt;R&gt;1&lt;/R&gt;&lt;C&gt;1&lt;/C&gt;&lt;D xsi:type="xsd:string"&gt;Q2 2026 Earnings Release (Projected)&lt;/D&gt;&lt;/FQL&gt;&lt;FQL&gt;&lt;Q&gt;DUK^CS_EVENT_DATEJ_N("ER",1)&lt;/Q&gt;&lt;R&gt;1&lt;/R&gt;&lt;C&gt;1&lt;/C&gt;&lt;D xsi:type="xsd:long"&gt;46154&lt;/D&gt;&lt;/FQL&gt;&lt;FQL&gt;&lt;Q&gt;DUK^CS_EVENT_TIME_N("ER",1)&lt;/Q&gt;&lt;R&gt;1&lt;/R&gt;&lt;C&gt;1&lt;/C&gt;&lt;D xsi:type="xsd:string"&gt;Unspecified&lt;/D&gt;&lt;/FQL&gt;&lt;FQL&gt;&lt;Q&gt;DUK^CS_EVENT_DESC_N("ER",1)&lt;/Q&gt;&lt;R&gt;1&lt;/R&gt;&lt;C&gt;1&lt;/C&gt;&lt;D xsi:type="xsd:string"&gt;Q1 2026 Earnings Release (Projected)&lt;/D&gt;&lt;/FQL&gt;&lt;FQL&gt;&lt;Q&gt;LITE^CS_EVENT_DATEJ_N("ER",1)&lt;/Q&gt;&lt;R&gt;1&lt;/R&gt;&lt;C&gt;1&lt;/C&gt;&lt;D xsi:type="xsd:long"&gt;46154&lt;/D&gt;&lt;/FQL&gt;&lt;FQL&gt;&lt;Q&gt;LITE^CS_EVENT_TIME_N("ER",1)&lt;/Q&gt;&lt;R&gt;1&lt;/R&gt;&lt;C&gt;1&lt;/C&gt;&lt;D xsi:type="xsd:string"&gt;Unspecified&lt;/D&gt;&lt;/FQL&gt;&lt;FQL&gt;&lt;Q&gt;LITE^CS_EVENT_DESC_N("ER",1)&lt;/Q&gt;&lt;R&gt;1&lt;/R&gt;&lt;C&gt;1&lt;/C&gt;&lt;D xsi:type="xsd:string"&gt;Q3 2026 Earnings Release (Projected)&lt;/D&gt;&lt;/FQL&gt;&lt;FQL&gt;&lt;Q&gt;FOX^CS_EVENT_DATEJ_N("ER",1)&lt;/Q&gt;&lt;R&gt;1&lt;/R&gt;&lt;C&gt;1&lt;/C&gt;&lt;D xsi:type="xsd:long"&gt;46154&lt;/D&gt;&lt;/FQL&gt;&lt;FQL&gt;&lt;Q&gt;FOX^CS_EVENT_TIME_N("ER",1)&lt;/Q&gt;&lt;R&gt;1&lt;/R&gt;&lt;C&gt;1&lt;/C&gt;&lt;D xsi:type="xsd:string"&gt;Unspecified&lt;/D&gt;&lt;/FQL&gt;&lt;FQL&gt;&lt;Q&gt;FOX^CS_EVENT_DESC_N("ER",1)&lt;/Q&gt;&lt;R&gt;1&lt;/R&gt;&lt;C&gt;1&lt;/C&gt;&lt;D xsi:type="xsd:string"&gt;Q3 2026 Earnings Release (Projected)&lt;/D&gt;&lt;/FQL&gt;&lt;FQL&gt;&lt;Q&gt;FOXA^CS_EVENT_DATEJ_N("ER",1)&lt;/Q&gt;&lt;R&gt;1&lt;/R&gt;&lt;C&gt;1&lt;/C&gt;&lt;D xsi:type="xsd:long"&gt;46154&lt;/D&gt;&lt;/FQL&gt;&lt;FQL&gt;&lt;Q&gt;FOXA^CS_EVENT_TIME_N("ER",1)&lt;/Q&gt;&lt;R&gt;1&lt;/R&gt;&lt;C&gt;1&lt;/C&gt;&lt;D xsi:type="xsd:string"&gt;Unspecified&lt;/D&gt;&lt;/FQL&gt;&lt;FQL&gt;&lt;Q&gt;FOXA^CS_EVENT_DESC_N("ER",1)&lt;/Q&gt;&lt;R&gt;1&lt;/R&gt;&lt;C&gt;1&lt;/C&gt;&lt;D xsi:type="xsd:string"&gt;Q3 2026 Earnings Release (Projected)&lt;/D&gt;&lt;/FQL&gt;&lt;FQL&gt;&lt;Q&gt;COHR^CS_EVENT_DATEJ_N("ER",1)&lt;/Q&gt;&lt;R&gt;1&lt;/R&gt;&lt;C&gt;1&lt;/C&gt;&lt;D xsi:type="xsd:long"&gt;46155&lt;/D&gt;&lt;/FQL&gt;&lt;FQL&gt;&lt;Q&gt;COHR^CS_EVENT_TIME_N("ER",1)&lt;/Q&gt;&lt;R&gt;1&lt;/R&gt;&lt;C&gt;1&lt;/C&gt;&lt;D xsi:type="xsd:string"&gt;Unspecified&lt;/D&gt;&lt;/FQL&gt;&lt;FQL&gt;&lt;Q&gt;COHR^CS_EVENT_DESC_N("ER",1)&lt;/Q&gt;&lt;R&gt;1&lt;/R&gt;&lt;C&gt;1&lt;/C&gt;&lt;D xsi:type="xsd:string"&gt;Q3 2026 Earnings Release (Projected)&lt;/D&gt;&lt;/FQL&gt;&lt;FQL&gt;&lt;Q&gt;ATO^CS_EVENT_DATEJ_N("ER",1)&lt;/Q&gt;&lt;R&gt;1&lt;/R&gt;&lt;C&gt;1&lt;/C&gt;&lt;D xsi:type="xsd:long"&gt;46155&lt;/D&gt;&lt;/FQL&gt;&lt;FQL&gt;&lt;Q&gt;ATO^CS_EVENT_TIME_N("ER",1)&lt;/Q&gt;&lt;R&gt;1&lt;/R&gt;&lt;C&gt;1&lt;/C&gt;&lt;D xsi:type="xsd:string"&gt;Unspecified&lt;/D&gt;&lt;/FQL&gt;&lt;FQL&gt;&lt;Q&gt;ATO^CS_EVENT_DESC_N("ER",1)&lt;/Q&gt;&lt;R&gt;1&lt;/R&gt;&lt;C&gt;1&lt;/C&gt;&lt;D xsi:type="xsd:string"&gt;Q2 2026 Earnings Release (Projected)&lt;/D&gt;&lt;/FQL&gt;&lt;FQL&gt;&lt;Q&gt;NI^CS_EVENT_DATEJ_N("ER",1)&lt;/Q&gt;&lt;R&gt;1&lt;/R&gt;&lt;C&gt;1&lt;/C&gt;&lt;D xsi:type="xsd:long"&gt;46155&lt;/D&gt;&lt;/FQL&gt;&lt;FQL&gt;&lt;Q&gt;NI^CS_EVENT_TIME_N("ER",1)&lt;/Q&gt;&lt;R&gt;1&lt;/R&gt;&lt;C&gt;1&lt;/C&gt;&lt;D xsi:type="xsd:string"&gt;Unspecified&lt;/D&gt;&lt;/FQL&gt;&lt;FQL&gt;&lt;Q&gt;NI^CS_EVENT_DESC_N("ER",1)&lt;/Q&gt;&lt;R&gt;1&lt;/R&gt;&lt;C&gt;1&lt;/C&gt;&lt;D xsi:type="xsd:string"&gt;Q1 2026 Earnings Release (Projected)&lt;/D&gt;&lt;/FQL&gt;&lt;FQL&gt;&lt;Q&gt;DIS^CS_EVENT_DATEJ_N("ER",1)&lt;/Q&gt;&lt;R&gt;1&lt;/R&gt;&lt;C&gt;1&lt;/C&gt;&lt;D xsi:type="xsd:long"&gt;46155&lt;/D&gt;&lt;/FQL&gt;&lt;FQL&gt;&lt;Q&gt;DIS^CS_EVENT_TIME_N("ER",1)&lt;/Q&gt;&lt;R&gt;1&lt;/R&gt;&lt;C&gt;1&lt;/C&gt;&lt;D xsi:type="xsd:string"&gt;Unspecified&lt;/D&gt;&lt;/FQL&gt;&lt;FQL&gt;&lt;Q&gt;DIS^CS_EVENT_DESC_N("ER",1)&lt;/Q&gt;&lt;R&gt;1&lt;/R&gt;&lt;C&gt;1&lt;/C&gt;&lt;D xsi:type="xsd:string"&gt;Q2 2026 Earnings Release (Projected)&lt;/D&gt;&lt;/FQL&gt;&lt;FQL&gt;&lt;Q&gt;TTD^CS_EVENT_DATEJ_N("ER",1)&lt;/Q&gt;&lt;R&gt;1&lt;/R&gt;&lt;C&gt;1&lt;/C&gt;&lt;D xsi:type="xsd:long"&gt;46155&lt;/D&gt;&lt;/FQL&gt;&lt;FQL&gt;&lt;Q&gt;TTD^CS_EVENT_TIME_N("ER",1)&lt;/Q&gt;&lt;R&gt;1&lt;/R&gt;&lt;C&gt;1&lt;/C&gt;&lt;D xsi:type="xsd:string"&gt;Unspecified&lt;/D&gt;&lt;/FQL&gt;&lt;FQL&gt;&lt;Q&gt;TTD^CS_EVENT_DESC_N("ER",1)&lt;/Q&gt;&lt;R&gt;1&lt;/R&gt;&lt;C&gt;1&lt;/C&gt;&lt;D xsi:type="xsd:string"&gt;Q1 2026 Earnings Release (Projected)&lt;/D&gt;&lt;/FQL&gt;&lt;FQL&gt;&lt;Q&gt;VST^CS_EVENT_DATEJ_N("ER",1)&lt;/Q&gt;&lt;R&gt;1&lt;/R&gt;&lt;C&gt;1&lt;/C&gt;&lt;D xsi:type="xsd:long"&gt;46155&lt;/D&gt;&lt;/FQL&gt;&lt;FQL&gt;&lt;Q&gt;VST^CS_EVENT_TIME_N("ER",1)&lt;/Q&gt;&lt;R&gt;1&lt;/R&gt;&lt;C&gt;1&lt;/C&gt;&lt;D xsi:type="xsd:string"&gt;Unspecified&lt;/D&gt;&lt;/FQL&gt;&lt;FQL&gt;&lt;Q&gt;VST^CS_EVENT_DESC_N("ER",1)&lt;/Q&gt;&lt;R&gt;1&lt;/R&gt;&lt;C&gt;1&lt;/C&gt;&lt;D xsi:type="xsd:string"&gt;Q1 2026 Earnings Release (Projected)&lt;/D&gt;&lt;/FQL&gt;&lt;FQL&gt;&lt;Q&gt;CRH^CS_EVENT_DATEJ_N("ER",1)&lt;/Q&gt;&lt;R&gt;1&lt;/R&gt;&lt;C&gt;1&lt;/C&gt;&lt;D xsi:type="xsd:long"&gt;46155&lt;/D&gt;&lt;/FQL&gt;&lt;FQL&gt;&lt;Q&gt;CRH^CS_EVENT_TIME_N("ER",1)&lt;/Q&gt;&lt;R&gt;1&lt;/R&gt;&lt;C&gt;1&lt;/C&gt;&lt;D xsi:type="xsd:string"&gt;Unspecified&lt;/D&gt;&lt;/FQL&gt;&lt;FQL&gt;&lt;Q&gt;CRH^CS_EVENT_DESC_N("ER",1)&lt;/Q&gt;&lt;R&gt;1&lt;/R&gt;&lt;C&gt;1&lt;/C&gt;&lt;D xsi:type="xsd:string"&gt;Q1 2026 Earnings Release (Projected)&lt;/D&gt;&lt;/FQL&gt;&lt;FQL&gt;&lt;Q&gt;ABNB^CS_EVENT_DATEJ_N("ER",1)&lt;/Q&gt;&lt;R&gt;1&lt;/R&gt;&lt;C&gt;1&lt;/C&gt;&lt;D xsi:type="xsd:long"&gt;46155&lt;/D&gt;&lt;/FQL&gt;&lt;FQL&gt;&lt;Q&gt;ABNB^CS_EVENT_TIME_N("ER",1)&lt;/Q&gt;&lt;R&gt;1&lt;/R&gt;&lt;C&gt;1&lt;/C&gt;&lt;D xsi:type="xsd:string"&gt;Unspecified&lt;/D&gt;&lt;/FQL&gt;&lt;FQL&gt;&lt;Q&gt;ABNB^CS_EVENT_DESC_N("ER",1)&lt;/Q&gt;&lt;R&gt;1&lt;/R&gt;&lt;C&gt;1&lt;/C&gt;&lt;D xsi:type="xsd:string"&gt;Q1 2026 Earnings Release (Projected)&lt;/D&gt;&lt;/FQL&gt;&lt;FQL&gt;&lt;Q&gt;APP^CS_EVENT_DATEJ_N("ER",1)&lt;/Q&gt;&lt;R&gt;1&lt;/R&gt;&lt;C&gt;1&lt;/C&gt;&lt;D xsi:type="xsd:long"&gt;46155&lt;/D&gt;&lt;/FQL&gt;&lt;FQL&gt;&lt;Q&gt;APP^CS_EVENT_TIME_N("ER",1)&lt;/Q&gt;&lt;R&gt;1&lt;/R&gt;&lt;C&gt;1&lt;/C&gt;&lt;D xsi:type="xsd:string"&gt;Unspecified&lt;/D&gt;&lt;/FQL&gt;&lt;FQL&gt;&lt;Q&gt;APP^CS_EVENT_DESC_N("ER",1)&lt;/Q&gt;&lt;R&gt;1&lt;/R&gt;&lt;C&gt;1&lt;/C&gt;&lt;D xsi:type="xsd:string"&gt;Q1 2026 Earnings Release (Projected)&lt;/D&gt;&lt;/FQL&gt;&lt;FQL&gt;&lt;Q&gt;HOOD^CS_EVENT_DATEJ_N("ER",1)&lt;/Q&gt;&lt;R&gt;1&lt;/R&gt;&lt;C&gt;1&lt;/C&gt;&lt;D xsi:type="xsd:long"&gt;46155&lt;/D&gt;&lt;/FQL&gt;&lt;FQL&gt;&lt;Q&gt;HOOD^CS_EVENT_TIME_N("ER",1)&lt;/Q&gt;&lt;R&gt;1&lt;/R&gt;&lt;C&gt;1&lt;/C&gt;&lt;D xsi:type="xsd:string"&gt;Unspecified&lt;/D&gt;&lt;/FQL&gt;&lt;FQL&gt;&lt;Q&gt;HOOD^CS_EVENT_DESC_N("ER",1)&lt;/Q&gt;&lt;R&gt;1&lt;/R&gt;&lt;C&gt;1&lt;/C&gt;&lt;D xsi:type="xsd:string"&gt;Q1 2026 Earnings Release (Projected)&lt;/D&gt;&lt;/FQL&gt;&lt;FQL&gt;&lt;Q&gt;KVUE^CS_EVENT_DATEJ_N("ER",1)&lt;/Q&gt;&lt;R&gt;1&lt;/R&gt;&lt;C&gt;1&lt;/C&gt;&lt;D xsi:type="xsd:long"&gt;46155&lt;/D&gt;&lt;/FQL&gt;&lt;FQL&gt;&lt;Q&gt;KVUE^CS_EVENT_TIME_N("ER",1)&lt;/Q&gt;&lt;R&gt;1&lt;/R&gt;&lt;C&gt;1&lt;/C&gt;&lt;D xsi:type="xsd:string"&gt;Unspecified&lt;/D&gt;&lt;/FQL&gt;&lt;FQL&gt;&lt;Q&gt;KVUE^CS_EVENT_DESC_N("ER",1)&lt;/Q&gt;&lt;R&gt;1&lt;/R&gt;&lt;C&gt;1&lt;/C&gt;&lt;D xsi:type="xsd:string"&gt;Q1 2026 Earnings Release (Projected)&lt;/D&gt;&lt;/FQL&gt;&lt;FQL&gt;&lt;Q&gt;TTWO^CS_EVENT_DATEJ_N("ER",1)&lt;/Q&gt;&lt;R&gt;1&lt;/R&gt;&lt;C&gt;1&lt;/C&gt;&lt;D xsi:type="xsd:long"&gt;46156&lt;/D&gt;&lt;/FQL&gt;&lt;FQL&gt;&lt;Q&gt;TTWO^CS_EVENT_TIME_N("ER",1)&lt;/Q&gt;&lt;R&gt;1&lt;/R&gt;&lt;C&gt;1&lt;/C&gt;&lt;D xsi:type="xsd:string"&gt;Unspecified&lt;/D&gt;&lt;/FQL&gt;&lt;FQL&gt;&lt;Q&gt;TTWO^CS_EVENT_DESC_N("ER",1)&lt;/Q&gt;&lt;R&gt;1&lt;/R&gt;&lt;C&gt;1&lt;/C&gt;&lt;D xsi:type="xsd:string"&gt;Q4 2026 Earnings Release (Projected)&lt;/D&gt;&lt;/FQL&gt;&lt;FQL&gt;&lt;Q&gt;ROST^CS_EVENT_DATEJ_N("ER",1)&lt;/Q&gt;&lt;R&gt;1&lt;/R&gt;&lt;C&gt;1&lt;/C&gt;&lt;D xsi:type="xsd:long"&gt;46156&lt;/D&gt;&lt;/FQL&gt;&lt;FQL&gt;&lt;Q&gt;ROST^CS_EVENT_TIME_N("ER",1)&lt;/Q&gt;&lt;R&gt;1&lt;/R&gt;&lt;C&gt;1&lt;/C&gt;&lt;D xsi:type="xsd:string"&gt;Unspecified&lt;/D&gt;&lt;/FQL&gt;&lt;FQL&gt;&lt;Q&gt;ROST^CS_EVENT_DESC_N("ER",1)&lt;/Q&gt;&lt;R&gt;1&lt;/R&gt;&lt;C&gt;1&lt;/C&gt;&lt;D xsi:type="xsd:string"&gt;Q1 2026 Earnings Release (Projected)&lt;/D&gt;&lt;/FQL&gt;&lt;FQL&gt;&lt;Q&gt;WMT^CS_EVENT_DATEJ_N("ER",1)&lt;/Q&gt;&lt;R&gt;1&lt;/R&gt;&lt;C&gt;1&lt;/C&gt;&lt;D xsi:type="xsd:long"&gt;46156&lt;/D&gt;&lt;/FQL&gt;&lt;FQL&gt;&lt;Q&gt;WMT^CS_EVENT_TIME_N("ER",1)&lt;/Q&gt;&lt;R&gt;1&lt;/R&gt;&lt;C&gt;1&lt;/C&gt;&lt;D xsi:type="xsd:string"&gt;Unspecified&lt;/D&gt;&lt;/FQL&gt;&lt;FQL&gt;&lt;Q&gt;WMT^CS_EVENT_DESC_N("ER",1)&lt;/Q&gt;&lt;R&gt;1&lt;/R&gt;&lt;C&gt;1&lt;/C&gt;&lt;D xsi:type="xsd:string"&gt;Q1 2027 Earnings Release (Projected)&lt;/D&gt;&lt;/FQL&gt;&lt;FQL&gt;&lt;Q&gt;AMAT^CS_EVENT_DATEJ_N("ER",1)&lt;/Q&gt;&lt;R&gt;1&lt;/R&gt;&lt;C&gt;1&lt;/C&gt;&lt;D xsi:type="xsd:long"&gt;46156&lt;/D&gt;&lt;/FQL&gt;&lt;FQL&gt;&lt;Q&gt;AMAT^CS_EVENT_TIME_N("ER",1)&lt;/Q&gt;&lt;R&gt;1&lt;/R&gt;&lt;C&gt;1&lt;/C&gt;&lt;D xsi:type="xsd:string"&gt;4:01 PM&lt;/D&gt;&lt;/FQL&gt;&lt;FQL&gt;&lt;Q&gt;AMAT^CS_EVENT_DESC_N("ER",1)&lt;/Q&gt;&lt;R&gt;1&lt;/R&gt;&lt;C&gt;1&lt;/C&gt;&lt;D xsi:type="xsd:string"&gt;Q2 2026 Earnings Release&lt;/D&gt;&lt;/FQL&gt;&lt;FQL&gt;&lt;Q&gt;HD^CS_EVENT_DATEJ_N("ER",1)&lt;/Q&gt;&lt;R&gt;1&lt;/R&gt;&lt;C&gt;1&lt;/C&gt;&lt;D xsi:type="xsd:long"&gt;46161&lt;/D&gt;&lt;/FQL&gt;&lt;FQL&gt;&lt;Q&gt;HD^CS_EVENT_TIME_N("ER",1)&lt;/Q&gt;&lt;R&gt;1&lt;/R&gt;&lt;C&gt;1&lt;/C&gt;&lt;D xsi:type="xsd:string"&gt;Unspecified&lt;/D&gt;&lt;/FQL&gt;&lt;FQL&gt;&lt;Q&gt;HD^CS_EVENT_DESC_N("ER",1)&lt;/Q&gt;&lt;R&gt;1&lt;/R&gt;&lt;C&gt;1&lt;/C&gt;&lt;D xsi:type="xsd:string"&gt;Q1 2026 Earnings Release (Projected)&lt;/D&gt;&lt;/FQL&gt;&lt;FQL&gt;&lt;Q&gt;KEYS^CS_EVENT_DATEJ_N("ER",1)&lt;/Q&gt;&lt;R&gt;1&lt;/R&gt;&lt;C&gt;1&lt;/C&gt;&lt;D xsi:type="xsd:long"&gt;46161&lt;/D&gt;&lt;/FQL&gt;&lt;FQL&gt;&lt;Q&gt;KEYS^CS_EVENT_TIME_N("ER",1)&lt;/Q&gt;&lt;R&gt;1&lt;/R&gt;&lt;C&gt;1&lt;/C&gt;&lt;D xsi:type="xsd:string"&gt;Unspecified&lt;/D&gt;&lt;/FQL&gt;&lt;FQL&gt;&lt;Q&gt;KEYS^CS_EVENT_DESC_N("ER",1)&lt;/Q&gt;&lt;R&gt;1&lt;/R&gt;&lt;C&gt;1&lt;/C&gt;&lt;D xsi:type="xsd:string"&gt;Q2 2026 Earnings Release (Projected)&lt;/D&gt;&lt;/FQL&gt;&lt;FQL&gt;&lt;Q&gt;TJX^CS_EVENT_DATEJ_N("ER",1)&lt;/Q&gt;&lt;R&gt;1&lt;/R&gt;&lt;C&gt;1&lt;/C&gt;&lt;D xsi:type="xsd:long"&gt;46162&lt;/D&gt;&lt;/FQL&gt;&lt;FQL&gt;&lt;Q&gt;TJX^CS_EVENT_TIME_N("ER",1)&lt;/Q&gt;&lt;R&gt;1&lt;/R&gt;&lt;C&gt;1&lt;/C&gt;&lt;D xsi:type="xsd:string"&gt;Unspecified&lt;/D&gt;&lt;/FQL&gt;&lt;FQL&gt;&lt;Q&gt;TJX^CS_EVENT_DESC_N("ER",1)&lt;/Q&gt;&lt;R&gt;1&lt;/R&gt;&lt;C&gt;1&lt;/C&gt;&lt;D xsi:type="xsd:string"&gt;Q1 2027 Earnings Release&lt;/D&gt;&lt;/FQL&gt;&lt;FQL&gt;&lt;Q&gt;NVDA^CS_EVENT_DATEJ_N("ER",1)&lt;/Q&gt;&lt;R&gt;1&lt;/R&gt;&lt;C&gt;1&lt;/C&gt;&lt;D xsi:type="xsd:long"&gt;46162&lt;/D&gt;&lt;/FQL&gt;&lt;FQL&gt;&lt;Q&gt;NVDA^CS_EVENT_TIME_N("ER",1)&lt;/Q&gt;&lt;R&gt;1&lt;/R&gt;&lt;C&gt;1&lt;/C&gt;&lt;D xsi:type="xsd:string"&gt;After Market&lt;/D&gt;&lt;/FQL&gt;&lt;FQL&gt;&lt;Q&gt;NVDA^CS_EVENT_DESC_N("ER",1)&lt;/Q&gt;&lt;R&gt;1&lt;/R&gt;&lt;C&gt;1&lt;/C&gt;&lt;D xsi:type="xsd:string"&gt;Q1 2027 Earnings Release&lt;/D&gt;&lt;/FQL&gt;&lt;FQL&gt;&lt;Q&gt;TGT^CS_EVENT_DATEJ_N("ER",1)&lt;/Q&gt;&lt;R&gt;1&lt;/R&gt;&lt;C&gt;1&lt;/C&gt;&lt;D xsi:type="xsd:long"&gt;46162&lt;/D&gt;&lt;/FQL&gt;&lt;FQL&gt;&lt;Q&gt;TGT^CS_EVENT_TIME_N("ER",1)&lt;/Q&gt;&lt;R&gt;1&lt;/R&gt;&lt;C&gt;1&lt;/C&gt;&lt;D xsi:type="xsd:string"&gt;Unspecified&lt;/D&gt;&lt;/FQL&gt;&lt;FQL&gt;&lt;Q&gt;TGT^CS_EVENT_DESC_N("ER",1)&lt;/Q&gt;&lt;R&gt;1&lt;/R&gt;&lt;C&gt;1&lt;/C&gt;&lt;D xsi:type="xsd:string"&gt;Q1 2026 Earnings Release (Projected)&lt;/D&gt;&lt;/FQL&gt;&lt;FQL&gt;&lt;Q&gt;MDT^CS_EVENT_DATEJ_N("ER",1)&lt;/Q&gt;&lt;R&gt;1&lt;/R&gt;&lt;C&gt;1&lt;/C&gt;&lt;D xsi:type="xsd:long"&gt;46162&lt;/D&gt;&lt;/FQL&gt;&lt;FQL&gt;&lt;Q&gt;MDT^CS_EVENT_TIME_N("ER",1)&lt;/Q&gt;&lt;R&gt;1&lt;/R&gt;&lt;C&gt;1&lt;/C&gt;&lt;D xsi:type="xsd:string"&gt;6:45 AM&lt;/D&gt;&lt;/FQL&gt;&lt;FQL&gt;&lt;Q&gt;MDT^CS_EVENT_DESC_N("ER",1)&lt;/Q&gt;&lt;R&gt;1&lt;/R&gt;&lt;C&gt;1&lt;/C&gt;&lt;D xsi:type="xsd:string"&gt;Q4 2026 Earnings Release&lt;/D&gt;&lt;/FQL&gt;&lt;FQL&gt;&lt;Q&gt;SNPS^CS_EVENT_DATEJ_N("ER",1)&lt;/Q&gt;&lt;R&gt;1&lt;/R&gt;&lt;C&gt;1&lt;/C&gt;&lt;D xsi:type="xsd:long"&gt;46162&lt;/D&gt;&lt;/FQL&gt;&lt;FQL&gt;&lt;Q&gt;SNPS^CS_EVENT_TIME_N("ER",1)&lt;/Q&gt;&lt;R&gt;1&lt;/R&gt;&lt;C&gt;1&lt;/C&gt;&lt;D xsi:type="xsd:string"&gt;Unspecified&lt;/D&gt;&lt;/FQL&gt;&lt;FQL&gt;&lt;Q&gt;SNPS^CS_EVENT_DESC_N("ER",1)&lt;/Q&gt;&lt;R&gt;1&lt;/R&gt;&lt;C&gt;1&lt;/C&gt;&lt;D xsi:type="xsd:string"&gt;Q2 2026 Earnings Release (Projected)&lt;/D&gt;&lt;/FQL&gt;&lt;FQL&gt;&lt;Q&gt;CSCO^CS_EVENT_DATEJ_N("ER",1)&lt;/Q&gt;&lt;R&gt;1&lt;/R&gt;&lt;C&gt;1&lt;/C&gt;&lt;D xsi:type="xsd:long"&gt;46162&lt;/D&gt;&lt;/FQL&gt;&lt;FQL&gt;&lt;Q&gt;CSCO^CS_EVENT_TIME_N("ER",1)&lt;/Q&gt;&lt;R&gt;1&lt;/R&gt;&lt;C&gt;1&lt;/C&gt;&lt;D xsi:type="xsd:string"&gt;Unspecified&lt;/D&gt;&lt;/FQL&gt;&lt;FQL&gt;&lt;Q&gt;CSCO^CS_EVENT_DESC_N("ER",1)&lt;/Q&gt;&lt;R&gt;1&lt;/R&gt;&lt;C&gt;1&lt;/C&gt;&lt;D xsi:type="xsd:string"&gt;Q3 2026 Earnings Release (Projected)&lt;/D&gt;&lt;/FQL&gt;&lt;FQL&gt;&lt;Q&gt;CPRT^CS_EVENT_DATEJ_N("ER",1)&lt;/Q&gt;&lt;R&gt;1&lt;/R&gt;&lt;C&gt;1&lt;/C&gt;&lt;D xsi:type="xsd:long"&gt;46162&lt;/D&gt;&lt;/FQL&gt;&lt;FQL&gt;&lt;Q&gt;CPRT^CS_EVENT_TIME_N("ER",1)&lt;/Q&gt;&lt;R&gt;1&lt;/R&gt;&lt;C&gt;1&lt;/C&gt;&lt;D xsi:type="xsd:string"&gt;Unspecified&lt;/D&gt;&lt;/FQL&gt;&lt;FQL&gt;&lt;Q&gt;CPRT^CS_EVENT_DESC_N("ER",1)&lt;/Q&gt;&lt;R&gt;1&lt;/R&gt;&lt;C&gt;1&lt;/C&gt;&lt;D xsi:type="xsd:string"&gt;Q3 2026 Earnings Release (Projected)&lt;/D&gt;&lt;/FQL&gt;&lt;FQL&gt;&lt;Q&gt;STE^CS_EVENT_DATEJ_N("ER",1)&lt;/Q&gt;&lt;R&gt;1&lt;/R&gt;&lt;C&gt;1&lt;/C&gt;&lt;D xsi:type="xsd:long"&gt;46162&lt;/D&gt;&lt;/FQL&gt;&lt;FQL&gt;&lt;Q&gt;STE^CS_EVENT_TIME_N("ER",1)&lt;/Q&gt;&lt;R&gt;1&lt;/R&gt;&lt;C&gt;1&lt;/C&gt;&lt;D xsi:type="xsd:string"&gt;Unspecified&lt;/D&gt;&lt;/FQL&gt;&lt;FQL&gt;&lt;Q&gt;STE^CS_EVENT_DESC_N("ER",1)&lt;/Q&gt;&lt;R&gt;1&lt;/R&gt;&lt;C&gt;1&lt;/C&gt;&lt;D xsi:type="xsd:string"&gt;Q4 2026 Earnings Release (Projected)&lt;/D&gt;&lt;/FQL&gt;&lt;FQL&gt;&lt;Q&gt;ADSK^CS_EVENT_DATEJ_N("ER",1)&lt;/Q&gt;&lt;R&gt;1&lt;/R&gt;&lt;C&gt;1&lt;/C&gt;&lt;D xsi:type="xsd:long"&gt;46163&lt;/D&gt;&lt;/FQL&gt;&lt;FQL&gt;&lt;Q&gt;ADSK^CS_EVENT_TIME_N("ER",1)&lt;/Q&gt;&lt;R&gt;1&lt;/R&gt;&lt;C&gt;1&lt;/C&gt;&lt;D xsi:type="xsd:string"&gt;Unspecified&lt;/D&gt;&lt;/FQL&gt;&lt;FQL&gt;&lt;Q&gt;ADSK^CS_EVENT_DESC_N("ER",1)&lt;/Q&gt;&lt;R&gt;1&lt;/R&gt;&lt;C&gt;1&lt;/C&gt;&lt;D xsi:type="xsd:string"&gt;Q1 2027 Earnings Release (Projected)&lt;/D&gt;&lt;/FQL&gt;&lt;FQL&gt;&lt;Q&gt;DLTR^CS_EVENT_DATEJ_N("ER",1)&lt;/Q&gt;&lt;R&gt;1&lt;/R&gt;&lt;C&gt;1&lt;/C&gt;&lt;D xsi:type="xsd:long"&gt;46163&lt;/D&gt;&lt;/FQL&gt;&lt;FQL&gt;&lt;Q&gt;DLTR^CS_EVENT_TIME_N("ER",1)&lt;/Q&gt;&lt;R&gt;1&lt;/R&gt;&lt;C&gt;1&lt;/C&gt;&lt;D xsi:type="xsd:string"&gt;Unspecified&lt;/D&gt;&lt;/FQL&gt;&lt;FQL&gt;&lt;Q&gt;DLTR^CS_EVENT_DESC_N("ER",1)&lt;/Q&gt;&lt;R&gt;1&lt;/R&gt;&lt;C&gt;1&lt;/C&gt;&lt;D xsi:type="xsd:string"&gt;Q1 2026 Earnings Release (Projected)&lt;/D&gt;&lt;/FQL&gt;&lt;FQL&gt;&lt;Q&gt;DECK^CS_EVENT_DATEJ_N("ER",1)&lt;/Q&gt;&lt;R&gt;1&lt;/R&gt;&lt;C&gt;1&lt;/C&gt;&lt;D xsi:type="xsd:long"&gt;46163&lt;/D&gt;&lt;/FQL&gt;&lt;FQL&gt;&lt;Q&gt;DECK^CS_EVENT_TIME_N("ER",1)&lt;/Q&gt;&lt;R&gt;1&lt;/R&gt;&lt;C&gt;1&lt;/C&gt;&lt;D xsi:type="xsd:string"&gt;Unspecified&lt;/D&gt;&lt;/FQL&gt;&lt;FQL&gt;&lt;Q&gt;DECK^CS_EVENT_DESC_N("ER",1)&lt;/Q&gt;&lt;R&gt;1&lt;/R&gt;&lt;C&gt;1&lt;/C&gt;&lt;D xsi:type="xsd:string"&gt;Q4 2026 Earnings Release (Projected)&lt;/D&gt;&lt;/FQL&gt;&lt;FQL&gt;&lt;Q&gt;DE^CS_EVENT_DATEJ_N("ER",1)&lt;/Q&gt;&lt;R&gt;1&lt;/R&gt;&lt;C&gt;1&lt;/C&gt;&lt;D xsi:type="xsd:long"&gt;46163&lt;/D&gt;&lt;/FQL&gt;&lt;FQL&gt;&lt;Q&gt;DE^CS_EVENT_TIME_N("ER",1)&lt;/Q&gt;&lt;R&gt;1&lt;/R&gt;&lt;C&gt;1&lt;/C&gt;&lt;D xsi:type="xsd:string"&gt;Unspecified&lt;/D&gt;&lt;/FQL&gt;&lt;FQL&gt;&lt;Q&gt;DE^CS_EVENT_DESC_N("ER",1)&lt;/Q&gt;&lt;R&gt;1&lt;/R&gt;&lt;C&gt;1&lt;/C&gt;&lt;D xsi:type="xsd:string"&gt;Q2 2026 Earnings Release&lt;/D&gt;&lt;/FQL&gt;&lt;FQL&gt;&lt;Q&gt;RL^CS_EVENT_DATEJ_N("ER",1)&lt;/Q&gt;&lt;R&gt;1&lt;/R&gt;&lt;C&gt;1&lt;/C&gt;&lt;D xsi:type="xsd:long"&gt;46163&lt;/D&gt;&lt;/FQL&gt;&lt;FQL&gt;&lt;Q&gt;RL^CS_EVENT_TIME_N("ER",1)&lt;/Q&gt;&lt;R&gt;1&lt;/R&gt;&lt;C&gt;1&lt;/C&gt;&lt;D xsi:type="xsd:string"&gt;Unspecified&lt;/D&gt;&lt;/FQL&gt;&lt;FQL&gt;&lt;Q&gt;RL^CS_EVENT_DESC_N("ER",1)&lt;/Q&gt;&lt;R&gt;1&lt;/R&gt;&lt;C&gt;1&lt;/C&gt;&lt;D xsi:type="xsd:string"&gt;Q4 2026 Earnings Release (Projected)&lt;/D&gt;&lt;/FQL&gt;&lt;FQL&gt;&lt;Q&gt;INTU^CS_EVENT_DATEJ_N("ER",1)&lt;/Q&gt;&lt;R&gt;1&lt;/R&gt;&lt;C&gt;1&lt;/C&gt;&lt;D xsi:type="xsd:long"&gt;46163&lt;/D&gt;&lt;/FQL&gt;&lt;FQL&gt;&lt;Q&gt;INTU^CS_EVENT_TIME_N("ER",1)&lt;/Q&gt;&lt;R&gt;1&lt;/R&gt;&lt;C&gt;1&lt;/C&gt;&lt;D xsi:type="xsd:string"&gt;Unspecified&lt;/D&gt;&lt;/FQL&gt;&lt;FQL&gt;&lt;Q&gt;INTU^CS_EVENT_DESC_N("ER",1)&lt;/Q&gt;&lt;R&gt;1&lt;/R&gt;&lt;C&gt;1&lt;/C&gt;&lt;D xsi:type="xsd:string"&gt;Q3 2026 Earnings Release (Projected)&lt;/D&gt;&lt;/FQL&gt;&lt;FQL&gt;&lt;Q&gt;ULTA^CS_EVENT_DATEJ_N("ER",1)&lt;/Q&gt;&lt;R&gt;1&lt;/R&gt;&lt;C&gt;1&lt;/C&gt;&lt;D xsi:type="xsd:long"&gt;46163&lt;/D&gt;&lt;/FQL&gt;&lt;FQL&gt;&lt;Q&gt;ULTA^CS_EVENT_TIME_N("ER",1)&lt;/Q&gt;&lt;R&gt;1&lt;/R&gt;&lt;C&gt;1&lt;/C&gt;&lt;D xsi:type="xsd:string"&gt;Unspecified&lt;/D&gt;&lt;/FQL&gt;&lt;FQL&gt;&lt;Q&gt;ULTA^CS_EVENT_DESC_N("ER",1)&lt;/Q&gt;&lt;R&gt;1&lt;/R&gt;&lt;C&gt;1&lt;/C&gt;&lt;D xsi:type="xsd:string"&gt;Q1 2026 Earnings Release (Projected)&lt;/D&gt;&lt;/FQL&gt;&lt;FQL&gt;&lt;Q&gt;DG^CS_EVENT_DATEJ_N("ER",1)&lt;/Q&gt;&lt;R&gt;1&lt;/R&gt;&lt;C&gt;1&lt;/C&gt;&lt;D xsi:type="xsd:long"&gt;46163&lt;/D&gt;&lt;/FQL&gt;&lt;FQL&gt;&lt;Q&gt;DG^CS_EVENT_TIME_N("ER",1)&lt;/Q&gt;&lt;R&gt;1&lt;/R&gt;&lt;C&gt;1&lt;/C&gt;&lt;D xsi:type="xsd:string"&gt;Unspecified&lt;/D&gt;&lt;/FQL&gt;&lt;FQL&gt;&lt;Q&gt;DG^CS_EVENT_DESC_N("ER",1)&lt;/Q&gt;&lt;R&gt;1&lt;/R&gt;&lt;C&gt;1&lt;/C&gt;&lt;D xsi:type="xsd:string"&gt;Q1 2026 Earnings Release (Projected)&lt;/D&gt;&lt;/FQL&gt;&lt;FQL&gt;&lt;Q&gt;WDAY^CS_EVENT_DATEJ_N("ER",1)&lt;/Q&gt;&lt;R&gt;1&lt;/R&gt;&lt;C&gt;1&lt;/C&gt;&lt;D xsi:type="xsd:long"&gt;46163&lt;/D&gt;&lt;/FQL&gt;&lt;FQL&gt;&lt;Q&gt;WDAY^CS_EVENT_TIME_N("ER",1)&lt;/Q&gt;&lt;R&gt;1&lt;/R&gt;&lt;C&gt;1&lt;/C&gt;&lt;D xsi:type="xsd:string"&gt;Unspecified&lt;/D&gt;&lt;/FQL&gt;&lt;FQL&gt;&lt;Q&gt;WDAY^CS_EVENT_DESC_N("ER",1)&lt;/Q&gt;&lt;R&gt;1&lt;/R&gt;&lt;C&gt;1&lt;/C&gt;&lt;D xsi:type="xsd:string"&gt;Q1 2027 Earnings Release (Projected)&lt;/D&gt;&lt;/FQL&gt;&lt;FQL&gt;&lt;Q&gt;NDSN^CS_EVENT_DATEJ_N("ER",1)&lt;/Q&gt;&lt;R&gt;1&lt;/R&gt;&lt;C&gt;1&lt;/C&gt;&lt;D xsi:type="xsd:long"&gt;46167&lt;/D&gt;&lt;/FQL&gt;&lt;FQL&gt;&lt;Q&gt;NDSN^CS_EVENT_TIME_N("ER",1)&lt;/Q&gt;&lt;R&gt;1&lt;/R&gt;&lt;C&gt;1&lt;/C&gt;&lt;D xsi:type="xsd:string"&gt;Unspecified&lt;/D&gt;&lt;/FQL&gt;&lt;FQL&gt;&lt;Q&gt;NDSN^CS_EVENT_DESC_N("ER",1)&lt;/Q&gt;&lt;R&gt;1&lt;/R&gt;&lt;C&gt;1&lt;/C&gt;&lt;D xsi:type="xsd:string"&gt;Q2 2026 Earnings Release (Projected)&lt;/D&gt;&lt;/FQL&gt;&lt;FQL&gt;&lt;Q&gt;AZO^CS_EVENT_DATEJ_N("ER",1)&lt;/Q&gt;&lt;R&gt;1&lt;/R&gt;&lt;C&gt;1&lt;/C&gt;&lt;D xsi:type="xsd:long"&gt;46168&lt;/D&gt;&lt;/FQL&gt;&lt;FQL&gt;&lt;Q&gt;AZO^CS_EVENT_TIME_N("ER",1)&lt;/Q&gt;&lt;R&gt;1&lt;/R&gt;&lt;C&gt;1&lt;/C&gt;&lt;D xsi:type="xsd:string"&gt;Unspecified&lt;/D&gt;&lt;/FQL&gt;&lt;FQL&gt;&lt;Q&gt;AZO^CS_EVENT_DESC_N("ER",1)&lt;/Q&gt;&lt;R&gt;1&lt;/R&gt;&lt;C&gt;1&lt;/C&gt;&lt;D xsi:type="xsd:string"&gt;Q3 2026 Earnings Release (Projected)&lt;/D&gt;&lt;/FQL&gt;&lt;FQL&gt;&lt;Q&gt;A^CS_EVENT_DATEJ_N("ER",1)&lt;/Q&gt;&lt;R&gt;1&lt;/R&gt;&lt;C&gt;1&lt;/C&gt;&lt;D xsi:type="xsd:long"&gt;46168&lt;/D&gt;&lt;/FQL&gt;&lt;FQL&gt;&lt;Q&gt;A^CS_EVENT_TIME_N("ER",1)&lt;/Q&gt;&lt;R&gt;1&lt;/R&gt;&lt;C&gt;1&lt;/C&gt;&lt;D xsi:type="xsd:string"&gt;Unspecified&lt;/D&gt;&lt;/FQL&gt;&lt;FQL&gt;&lt;Q&gt;A^CS_EVENT_DESC_N("ER",1)&lt;/Q&gt;&lt;R&gt;1&lt;/R&gt;&lt;C&gt;1&lt;/C&gt;&lt;D xsi:type="xsd:string"&gt;Q2 2026 Earnings Release (Projected)&lt;/D&gt;&lt;/FQL&gt;&lt;FQL&gt;&lt;Q&gt;PANW^CS_EVENT_DATEJ_N("ER",1)&lt;/Q&gt;&lt;R&gt;1&lt;/R&gt;&lt;C&gt;1&lt;/C&gt;&lt;D xsi:type="xsd:long"&gt;46168&lt;/D&gt;&lt;/FQL&gt;&lt;FQL&gt;&lt;Q&gt;PANW^CS_EVENT_TIME_N("ER",1)&lt;/Q&gt;&lt;R&gt;1&lt;/R&gt;&lt;C&gt;1&lt;/C&gt;&lt;D xsi:type="xsd:string"&gt;Unspecified&lt;/D&gt;&lt;/FQL&gt;&lt;FQL&gt;&lt;Q&gt;PANW^CS_EVENT_DESC_N("ER",1)&lt;/Q&gt;&lt;R&gt;1&lt;/R&gt;&lt;C&gt;1&lt;/C&gt;&lt;D xsi:type="xsd:string"&gt;Q3 2026 Earnings Release (Projected)&lt;/D&gt;&lt;/FQL&gt;&lt;FQL&gt;&lt;Q&gt;ADI^CS_EVENT_DATEJ_N("ER",1)&lt;/Q&gt;&lt;R&gt;1&lt;/R&gt;&lt;C&gt;1&lt;/C&gt;&lt;D xsi:type="xsd:long"&gt;46169&lt;/D&gt;&lt;/FQL&gt;&lt;FQL&gt;&lt;Q&gt;ADI^CS_EVENT_TIME_N("ER",1)&lt;/Q&gt;&lt;R&gt;1&lt;/R&gt;&lt;C&gt;1&lt;/C&gt;&lt;D xsi:type="xsd:string"&gt;Unspecified&lt;/D&gt;&lt;/FQL&gt;&lt;FQL&gt;&lt;Q&gt;ADI^CS_EVENT_DESC_N("ER",1)&lt;/Q&gt;&lt;R&gt;1&lt;/R&gt;&lt;C&gt;1&lt;/C&gt;&lt;D xsi:type="xsd:string"&gt;Q2 2026 Earnings Release (Projected)&lt;/D&gt;&lt;/FQL&gt;&lt;FQL&gt;&lt;Q&gt;WSM^CS_EVENT_DATEJ_N("ER",1)&lt;/Q&gt;&lt;R&gt;1&lt;/R&gt;&lt;C&gt;1&lt;/C&gt;&lt;D xsi:type="xsd:long"&gt;46169&lt;/D&gt;&lt;/FQL&gt;&lt;FQL&gt;&lt;Q&gt;WSM^CS_EVENT_TIME_N("ER",1)&lt;/Q&gt;&lt;R&gt;1&lt;/R&gt;&lt;C&gt;1&lt;/C&gt;&lt;D xsi:type="xsd:string"&gt;Unspecified&lt;/D&gt;&lt;/FQL&gt;&lt;FQL&gt;&lt;Q&gt;WSM^CS_EVENT_DESC_N("ER",1)&lt;/Q&gt;&lt;R&gt;1&lt;/R&gt;&lt;C&gt;1&lt;/C&gt;&lt;D xsi:type="xsd:string"&gt;Q1 2026 Earnings Release (Projected)&lt;/D&gt;&lt;/FQL&gt;&lt;FQL&gt;&lt;Q&gt;BBY^CS_EVENT_DATEJ_N("ER",1)&lt;/Q&gt;&lt;R&gt;1&lt;/R&gt;&lt;C&gt;1&lt;/C&gt;&lt;D xsi:type="xsd:long"&gt;46169&lt;/D&gt;&lt;/FQL&gt;&lt;FQL&gt;&lt;Q&gt;BBY^CS_EVENT_TIME_N("ER",1)&lt;/Q&gt;&lt;R&gt;1&lt;/R&gt;&lt;C&gt;1&lt;/C&gt;&lt;D xsi:type="xsd:string"&gt;Unspecified&lt;/D&gt;&lt;/FQL&gt;&lt;FQL&gt;&lt;Q&gt;BBY^CS_EVENT_DESC_N("ER",1)&lt;/Q&gt;&lt;R&gt;1&lt;/R&gt;&lt;C&gt;1&lt;/C&gt;&lt;D xsi:type="xsd:string"&gt;Q1 2027 Earnings Release (Projected)&lt;/D&gt;&lt;/FQL&gt;&lt;FQL&gt;&lt;Q&gt;LOW^CS_EVENT_DATEJ_N("ER",1)&lt;/Q&gt;&lt;R&gt;1&lt;/R&gt;&lt;C&gt;1&lt;/C&gt;&lt;D xsi:type="xsd:long"&gt;46169&lt;/D&gt;&lt;/FQL&gt;&lt;FQL&gt;&lt;Q&gt;LOW^CS_EVENT_TIME_N("ER",1)&lt;/Q&gt;&lt;R&gt;1&lt;/R&gt;&lt;C&gt;1&lt;/C&gt;&lt;D xsi:type="xsd:string"&gt;Unspecified&lt;/D&gt;&lt;/FQL&gt;&lt;FQL&gt;&lt;Q&gt;LOW^CS_EVENT_DESC_N("ER",1)&lt;/Q&gt;&lt;R&gt;1&lt;/R&gt;&lt;C&gt;1&lt;/C&gt;&lt;D xsi:type="xsd:string"&gt;Q1 2026 Earnings Release (Projected)&lt;/D&gt;&lt;/FQL&gt;&lt;FQL&gt;&lt;Q&gt;COST^CS_EVENT_DATEJ_N("ER",1)&lt;/Q&gt;&lt;R&gt;1&lt;/R&gt;&lt;C&gt;1&lt;/C&gt;&lt;D xsi:type="xsd:long"&gt;46170&lt;/D&gt;&lt;/FQL&gt;&lt;FQL&gt;&lt;Q&gt;COST^CS_EVENT_TIME_N("ER",1)&lt;/Q&gt;&lt;R&gt;1&lt;/R&gt;&lt;C&gt;1&lt;/C&gt;&lt;D xsi:type="xsd:string"&gt;Unspecified&lt;/D&gt;&lt;/FQL&gt;&lt;FQL&gt;&lt;Q&gt;COST^CS_EVENT_DESC_N("ER",1)&lt;/Q&gt;&lt;R&gt;1&lt;/R&gt;&lt;C&gt;1&lt;/C&gt;&lt;D xsi:type="xsd:string"&gt;Q3 2026 Earnings Release&lt;/D&gt;&lt;/FQL&gt;&lt;FQL&gt;&lt;Q&gt;HRL^CS_EVENT_DATEJ_N("ER",1)&lt;/Q&gt;&lt;R&gt;1&lt;/R&gt;&lt;C&gt;1&lt;/C&gt;&lt;D xsi:type="xsd:long"&gt;46170&lt;/D&gt;&lt;/FQL&gt;&lt;FQL&gt;&lt;Q&gt;HRL^CS_EVENT_TIME_N("ER",1)&lt;/Q&gt;&lt;R&gt;1&lt;/R&gt;&lt;C&gt;1&lt;/C&gt;&lt;D xsi:type="xsd:string"&gt;Unspecified&lt;/D&gt;&lt;/FQL&gt;&lt;FQL&gt;&lt;Q&gt;HRL^CS_EVENT_DESC_N("ER",1)&lt;/Q&gt;&lt;R&gt;1&lt;/R&gt;&lt;C&gt;1&lt;/C&gt;&lt;D xsi:type="xsd:string"&gt;Q2 2026 Earnings Release (Projected)&lt;/D&gt;&lt;/FQL&gt;&lt;FQL&gt;&lt;Q&gt;LULU^CS_EVENT_DATEJ_N("ER",1)&lt;/Q&gt;&lt;R&gt;1&lt;/R&gt;&lt;C&gt;1&lt;/C&gt;&lt;D xsi:type="xsd:long"&gt;46170&lt;/D&gt;&lt;/FQL&gt;&lt;FQL&gt;&lt;Q&gt;LULU^CS_EVENT_TIME_N("ER",1)&lt;/Q&gt;&lt;R&gt;1&lt;/R&gt;&lt;C&gt;1&lt;/C&gt;&lt;D xsi:type="xsd:string"&gt;Unspecified&lt;/D&gt;&lt;/FQL&gt;&lt;FQL&gt;&lt;Q&gt;LULU^CS_EVENT_DESC_N("ER",1)&lt;/Q&gt;&lt;R&gt;1&lt;/R&gt;&lt;C&gt;1&lt;/C&gt;&lt;D xsi:type="xsd:string"&gt;Q1 2026 Earnings Release (Projected)&lt;/D&gt;&lt;/FQL&gt;&lt;FQL&gt;&lt;Q&gt;NTAP^CS_EVENT_DATEJ_N("ER",1)&lt;/Q&gt;&lt;R&gt;1&lt;/R&gt;&lt;C&gt;1&lt;/C&gt;&lt;D xsi:type="xsd:long"&gt;46170&lt;/D&gt;&lt;/FQL&gt;&lt;FQL&gt;&lt;Q&gt;NTAP^CS_EVENT_TIME_N("ER",1)&lt;/Q&gt;&lt;R&gt;1&lt;/R&gt;&lt;C&gt;1&lt;/C&gt;&lt;D xsi:type="xsd:string"&gt;4:01 PM&lt;/D&gt;&lt;/FQL&gt;&lt;FQL&gt;&lt;Q&gt;NTAP^CS_EVENT_DESC_N("ER",1)&lt;/Q&gt;&lt;R&gt;1&lt;/R&gt;&lt;C&gt;1&lt;/C&gt;&lt;D xsi:type="xsd:string"&gt;Q4 2026 Earnings Release&lt;/D&gt;&lt;/FQL&gt;&lt;FQL&gt;&lt;Q&gt;DELL^CS_EVENT_DATEJ_N("ER",1)&lt;/Q&gt;&lt;R&gt;1&lt;/R&gt;&lt;C&gt;1&lt;/C&gt;&lt;D xsi:type="xsd:long"&gt;46170&lt;/D&gt;&lt;/FQL&gt;&lt;FQL&gt;&lt;Q&gt;DELL^CS_EVENT_TIME_N("ER",1)&lt;/Q&gt;&lt;R&gt;1&lt;/R&gt;&lt;C&gt;1&lt;/C&gt;&lt;D xsi:type="xsd:string"&gt;4:05 PM&lt;/D&gt;&lt;/FQL&gt;&lt;FQL&gt;&lt;Q&gt;DELL^CS_EVENT_DESC_N("ER",1)&lt;/Q&gt;&lt;R&gt;1&lt;/R&gt;&lt;C&gt;1&lt;/C&gt;&lt;D xsi:type="xsd:string"&gt;Q1 2027 Earnings Release&lt;/D&gt;&lt;/FQL&gt;&lt;FQL&gt;&lt;Q&gt;CRWD^CS_EVENT_DATEJ_N("ER",1)&lt;/Q&gt;&lt;R&gt;1&lt;/R&gt;&lt;C&gt;1&lt;/C&gt;&lt;D xsi:type="xsd:long"&gt;46170&lt;/D&gt;&lt;/FQL&gt;&lt;FQL&gt;&lt;Q&gt;CRWD^CS_EVENT_TIME_N("ER",1)&lt;/Q&gt;&lt;R&gt;1&lt;/R&gt;&lt;C&gt;1&lt;/C&gt;&lt;D xsi:type="xsd:string"&gt;Unspecified&lt;/D&gt;&lt;/FQL&gt;&lt;FQL&gt;&lt;Q&gt;CRWD^CS_EVENT_DESC_N("ER",1)&lt;/Q&gt;&lt;R&gt;1&lt;/R&gt;&lt;C&gt;1&lt;/C&gt;&lt;D xsi:type="xsd:string"&gt;Q1 2027 Earnings Release (Projected)&lt;/D&gt;&lt;/FQL&gt;&lt;FQL&gt;&lt;Q&gt;COO^CS_EVENT_DATEJ_N("ER",1)&lt;/Q&gt;&lt;R&gt;1&lt;/R&gt;&lt;C&gt;1&lt;/C&gt;&lt;D xsi:type="xsd:long"&gt;46170&lt;/D&gt;&lt;/FQL&gt;&lt;FQL&gt;&lt;Q&gt;COO^CS_EVENT_TIME_N("ER",1)&lt;/Q&gt;&lt;R&gt;1&lt;/R&gt;&lt;C&gt;1&lt;/C&gt;&lt;D xsi:type="xsd:strin</t>
        </r>
      </text>
    </comment>
    <comment ref="A26" authorId="0" shapeId="0" xr:uid="{D38C8446-36D2-48E7-86C8-C3853062983F}">
      <text>
        <r>
          <rPr>
            <b/>
            <sz val="9"/>
            <color indexed="81"/>
            <rFont val="Tahoma"/>
            <family val="2"/>
          </rPr>
          <t>g"&gt;Unspecified&lt;/D&gt;&lt;/FQL&gt;&lt;FQL&gt;&lt;Q&gt;COO^CS_EVENT_DESC_N("ER",1)&lt;/Q&gt;&lt;R&gt;1&lt;/R&gt;&lt;C&gt;1&lt;/C&gt;&lt;D xsi:type="xsd:string"&gt;Q2 2026 Earnings Release (Projected)&lt;/D&gt;&lt;/FQL&gt;&lt;FQL&gt;&lt;Q&gt;HPE^CS_EVENT_DATEJ_N("ER",1)&lt;/Q&gt;&lt;R&gt;1&lt;/R&gt;&lt;C&gt;1&lt;/C&gt;&lt;D xsi:type="xsd:long"&gt;46175&lt;/D&gt;&lt;/FQL&gt;&lt;FQL&gt;&lt;Q&gt;HPE^CS_EVENT_TIME_N("ER",1)&lt;/Q&gt;&lt;R&gt;1&lt;/R&gt;&lt;C&gt;1&lt;/C&gt;&lt;D xsi:type="xsd:string"&gt;Unspecified&lt;/D&gt;&lt;/FQL&gt;&lt;FQL&gt;&lt;Q&gt;HPE^CS_EVENT_DESC_N("ER",1)&lt;/Q&gt;&lt;R&gt;1&lt;/R&gt;&lt;C&gt;1&lt;/C&gt;&lt;D xsi:type="xsd:string"&gt;Q2 2026 Earnings Release (Projected)&lt;/D&gt;&lt;/FQL&gt;&lt;FQL&gt;&lt;Q&gt;CRM^CS_EVENT_DATEJ_N("ER",1)&lt;/Q&gt;&lt;R&gt;1&lt;/R&gt;&lt;C&gt;1&lt;/C&gt;&lt;D xsi:type="xsd:long"&gt;46176&lt;/D&gt;&lt;/FQL&gt;&lt;FQL&gt;&lt;Q&gt;CRM^CS_EVENT_TIME_N("ER",1)&lt;/Q&gt;&lt;R&gt;1&lt;/R&gt;&lt;C&gt;1&lt;/C&gt;&lt;D xsi:type="xsd:string"&gt;Unspecified&lt;/D&gt;&lt;/FQL&gt;&lt;FQL&gt;&lt;Q&gt;CRM^CS_EVENT_DESC_N("ER",1)&lt;/Q&gt;&lt;R&gt;1&lt;/R&gt;&lt;C&gt;1&lt;/C&gt;&lt;D xsi:type="xsd:string"&gt;Q1 2027 Earnings Release (Projected)&lt;/D&gt;&lt;/FQL&gt;&lt;FQL&gt;&lt;Q&gt;HPQ^CS_EVENT_DATEJ_N("ER",1)&lt;/Q&gt;&lt;R&gt;1&lt;/R&gt;&lt;C&gt;1&lt;/C&gt;&lt;D xsi:type="xsd:long"&gt;46176&lt;/D&gt;&lt;/FQL&gt;&lt;FQL&gt;&lt;Q&gt;HPQ^CS_EVENT_TIME_N("ER",1)&lt;/Q&gt;&lt;R&gt;1&lt;/R&gt;&lt;C&gt;1&lt;/C&gt;&lt;D xsi:type="xsd:string"&gt;Unspecified&lt;/D&gt;&lt;/FQL&gt;&lt;FQL&gt;&lt;Q&gt;HPQ^CS_EVENT_DESC_N("ER",1)&lt;/Q&gt;&lt;R&gt;1&lt;/R&gt;&lt;C&gt;1&lt;/C&gt;&lt;D xsi:type="xsd:string"&gt;Q2 2026 Earnings Release (Projected)&lt;/D&gt;&lt;/FQL&gt;&lt;FQL&gt;&lt;Q&gt;SJM^CS_EVENT_DATEJ_N("ER",1)&lt;/Q&gt;&lt;R&gt;1&lt;/R&gt;&lt;C&gt;1&lt;/C&gt;&lt;D xsi:type="xsd:long"&gt;46177&lt;/D&gt;&lt;/FQL&gt;&lt;FQL&gt;&lt;Q&gt;SJM^CS_EVENT_TIME_N("ER",1)&lt;/Q&gt;&lt;R&gt;1&lt;/R&gt;&lt;C&gt;1&lt;/C&gt;&lt;D xsi:type="xsd:string"&gt;Unspecified&lt;/D&gt;&lt;/FQL&gt;&lt;FQL&gt;&lt;Q&gt;SJM^CS_EVENT_DESC_N("ER",1)&lt;/Q&gt;&lt;R&gt;1&lt;/R&gt;&lt;C&gt;1&lt;/C&gt;&lt;D xsi:type="xsd:string"&gt;Q4 2026 Earnings Release (Projected)&lt;/D&gt;&lt;/FQL&gt;&lt;FQL&gt;&lt;Q&gt;CIEN^CS_EVENT_DATEJ_N("ER",1)&lt;/Q&gt;&lt;R&gt;1&lt;/R&gt;&lt;C&gt;1&lt;/C&gt;&lt;D xsi:type="xsd:long"&gt;46177&lt;/D&gt;&lt;/FQL&gt;&lt;FQL&gt;&lt;Q&gt;CIEN^CS_EVENT_TIME_N("ER",1)&lt;/Q&gt;&lt;R&gt;1&lt;/R&gt;&lt;C&gt;1&lt;/C&gt;&lt;D xsi:type="xsd:string"&gt;Unspecified&lt;/D&gt;&lt;/FQL&gt;&lt;FQL&gt;&lt;Q&gt;CIEN^CS_EVENT_DESC_N("ER",1)&lt;/Q&gt;&lt;R&gt;1&lt;/R&gt;&lt;C&gt;1&lt;/C&gt;&lt;D xsi:type="xsd:string"&gt;Q2 2026 Earnings Release (Projected)&lt;/D&gt;&lt;/FQL&gt;&lt;FQL&gt;&lt;Q&gt;AVGO^CS_EVENT_DATEJ_N("ER",1)&lt;/Q&gt;&lt;R&gt;1&lt;/R&gt;&lt;C&gt;1&lt;/C&gt;&lt;D xsi:type="xsd:long"&gt;46177&lt;/D&gt;&lt;/FQL&gt;&lt;FQL&gt;&lt;Q&gt;AVGO^CS_EVENT_TIME_N("ER",1)&lt;/Q&gt;&lt;R&gt;1&lt;/R&gt;&lt;C&gt;1&lt;/C&gt;&lt;D xsi:type="xsd:string"&gt;Unspecified&lt;/D&gt;&lt;/FQL&gt;&lt;FQL&gt;&lt;Q&gt;AVGO^CS_EVENT_DESC_N("ER",1)&lt;/Q&gt;&lt;R&gt;1&lt;/R&gt;&lt;C&gt;1&lt;/C&gt;&lt;D xsi:type="xsd:string"&gt;Q2 2026 Earnings Release (Projected)&lt;/D&gt;&lt;/FQL&gt;&lt;FQL&gt;&lt;Q&gt;CPB^CS_EVENT_DATEJ_N("ER",1)&lt;/Q&gt;&lt;R&gt;1&lt;/R&gt;&lt;C&gt;1&lt;/C&gt;&lt;D xsi:type="xsd:long"&gt;46183&lt;/D&gt;&lt;/FQL&gt;&lt;FQL&gt;&lt;Q&gt;CPB^CS_EVENT_TIME_N("ER",1)&lt;/Q&gt;&lt;R&gt;1&lt;/R&gt;&lt;C&gt;1&lt;/C&gt;&lt;D xsi:type="xsd:string"&gt;Unspecified&lt;/D&gt;&lt;/FQL&gt;&lt;FQL&gt;&lt;Q&gt;CPB^CS_EVENT_DESC_N("ER",1)&lt;/Q&gt;&lt;R&gt;1&lt;/R&gt;&lt;C&gt;1&lt;/C&gt;&lt;D xsi:type="xsd:string"&gt;Q3 2026 Earnings Release (Projected)&lt;/D&gt;&lt;/FQL&gt;&lt;FQL&gt;&lt;Q&gt;BF.B^CS_EVENT_DATEJ_N("ER",1)&lt;/Q&gt;&lt;R&gt;1&lt;/R&gt;&lt;C&gt;1&lt;/C&gt;&lt;D xsi:type="xsd:long"&gt;46183&lt;/D&gt;&lt;/FQL&gt;&lt;FQL&gt;&lt;Q&gt;BF.B^CS_EVENT_TIME_N("ER",1)&lt;/Q&gt;&lt;R&gt;1&lt;/R&gt;&lt;C&gt;1&lt;/C&gt;&lt;D xsi:type="xsd:string"&gt;Unspecified&lt;/D&gt;&lt;/FQL&gt;&lt;FQL&gt;&lt;Q&gt;BF.B^CS_EVENT_DESC_N("ER",1)&lt;/Q&gt;&lt;R&gt;1&lt;/R&gt;&lt;C&gt;1&lt;/C&gt;&lt;D xsi:type="xsd:string"&gt;Q4 2026 Earnings Release (Projected)&lt;/D&gt;&lt;/FQL&gt;&lt;FQL&gt;&lt;Q&gt;ADBE^CS_EVENT_DATEJ_N("ER",1)&lt;/Q&gt;&lt;R&gt;1&lt;/R&gt;&lt;C&gt;1&lt;/C&gt;&lt;D xsi:type="xsd:long"&gt;46184&lt;/D&gt;&lt;/FQL&gt;&lt;FQL&gt;&lt;Q&gt;ADBE^CS_EVENT_TIME_N("ER",1)&lt;/Q&gt;&lt;R&gt;1&lt;/R&gt;&lt;C&gt;1&lt;/C&gt;&lt;D xsi:type="xsd:string"&gt;Unspecified&lt;/D&gt;&lt;/FQL&gt;&lt;FQL&gt;&lt;Q&gt;ADBE^CS_EVENT_DESC_N("ER",1)&lt;/Q&gt;&lt;R&gt;1&lt;/R&gt;&lt;C&gt;1&lt;/C&gt;&lt;D xsi:type="xsd:string"&gt;Q2 2026 Earnings Release (Projected)&lt;/D&gt;&lt;/FQL&gt;&lt;FQL&gt;&lt;Q&gt;KR^CS_EVENT_DATEJ_N("ER",1)&lt;/Q&gt;&lt;R&gt;1&lt;/R&gt;&lt;C&gt;1&lt;/C&gt;&lt;D xsi:type="xsd:long"&gt;46184&lt;/D&gt;&lt;/FQL&gt;&lt;FQL&gt;&lt;Q&gt;KR^CS_EVENT_TIME_N("ER",1)&lt;/Q&gt;&lt;R&gt;1&lt;/R&gt;&lt;C&gt;1&lt;/C&gt;&lt;D xsi:type="xsd:string"&gt;Unspecified&lt;/D&gt;&lt;/FQL&gt;&lt;FQL&gt;&lt;Q&gt;KR^CS_EVENT_DESC_N("ER",1)&lt;/Q&gt;&lt;R&gt;1&lt;/R&gt;&lt;C&gt;1&lt;/C&gt;&lt;D xsi:type="xsd:string"&gt;Q1 2026 Earnings Release (Projected)&lt;/D&gt;&lt;/FQL&gt;&lt;FQL&gt;&lt;Q&gt;ORCL^CS_EVENT_DATEJ_N("ER",1)&lt;/Q&gt;&lt;R&gt;1&lt;/R&gt;&lt;C&gt;1&lt;/C&gt;&lt;D xsi:type="xsd:long"&gt;46189&lt;/D&gt;&lt;/FQL&gt;&lt;FQL&gt;&lt;Q&gt;ORCL^CS_EVENT_TIME_N("ER",1)&lt;/Q&gt;&lt;R&gt;1&lt;/R&gt;&lt;C&gt;1&lt;/C&gt;&lt;D xsi:type="xsd:string"&gt;Unspecified&lt;/D&gt;&lt;/FQL&gt;&lt;FQL&gt;&lt;Q&gt;ORCL^CS_EVENT_DESC_N("ER",1)&lt;/Q&gt;&lt;R&gt;1&lt;/R&gt;&lt;C&gt;1&lt;/C&gt;&lt;D xsi:type="xsd:string"&gt;Q4 2026 Earnings Release (Projected)&lt;/D&gt;&lt;/FQL&gt;&lt;FQL&gt;&lt;Q&gt;ACN^CS_EVENT_DATEJ_N("ER",1)&lt;/Q&gt;&lt;R&gt;1&lt;/R&gt;&lt;C&gt;1&lt;/C&gt;&lt;D xsi:type="xsd:long"&gt;46191&lt;/D&gt;&lt;/FQL&gt;&lt;FQL&gt;&lt;Q&gt;ACN^CS_EVENT_TIME_N("ER",1)&lt;/Q&gt;&lt;R&gt;1&lt;/R&gt;&lt;C&gt;1&lt;/C&gt;&lt;D xsi:type="xsd:string"&gt;Unspecified&lt;/D&gt;&lt;/FQL&gt;&lt;FQL&gt;&lt;Q&gt;ACN^CS_EVENT_DESC_N("ER",1)&lt;/Q&gt;&lt;R&gt;1&lt;/R&gt;&lt;C&gt;1&lt;/C&gt;&lt;D xsi:type="xsd:string"&gt;Q3 2026 Earnings Release (Projected)&lt;/D&gt;&lt;/FQL&gt;&lt;FQL&gt;&lt;Q&gt;JBL^CS_EVENT_DATEJ_N("ER",1)&lt;/Q&gt;&lt;R&gt;1&lt;/R&gt;&lt;C&gt;1&lt;/C&gt;&lt;D xsi:type="xsd:long"&gt;46191&lt;/D&gt;&lt;/FQL&gt;&lt;FQL&gt;&lt;Q&gt;JBL^CS_EVENT_TIME_N("ER",1)&lt;/Q&gt;&lt;R&gt;1&lt;/R&gt;&lt;C&gt;1&lt;/C&gt;&lt;D xsi:type="xsd:string"&gt;Unspecified&lt;/D&gt;&lt;/FQL&gt;&lt;FQL&gt;&lt;Q&gt;JBL^CS_EVENT_DESC_N("ER",1)&lt;/Q&gt;&lt;R&gt;1&lt;/R&gt;&lt;C&gt;1&lt;/C&gt;&lt;D xsi:type="xsd:string"&gt;Q3 2026 Earnings Release (Projected)&lt;/D&gt;&lt;/FQL&gt;&lt;FQL&gt;&lt;Q&gt;DRI^CS_EVENT_DATEJ_N("ER",1)&lt;/Q&gt;&lt;R&gt;1&lt;/R&gt;&lt;C&gt;1&lt;/C&gt;&lt;D xsi:type="xsd:long"&gt;46191&lt;/D&gt;&lt;/FQL&gt;&lt;FQL&gt;&lt;Q&gt;DRI^CS_EVENT_TIME_N("ER",1)&lt;/Q&gt;&lt;R&gt;1&lt;/R&gt;&lt;C&gt;1&lt;/C&gt;&lt;D xsi:type="xsd:string"&gt;Unspecified&lt;/D&gt;&lt;/FQL&gt;&lt;FQL&gt;&lt;Q&gt;DRI^CS_EVENT_DESC_N("ER",1)&lt;/Q&gt;&lt;R&gt;1&lt;/R&gt;&lt;C&gt;1&lt;/C&gt;&lt;D xsi:type="xsd:string"&gt;Q4 2026 Earnings Release (Projected)&lt;/D&gt;&lt;/FQL&gt;&lt;FQL&gt;&lt;Q&gt;FDS^CS_EVENT_DATEJ_N("ER",1)&lt;/Q&gt;&lt;R&gt;1&lt;/R&gt;&lt;C&gt;1&lt;/C&gt;&lt;D xsi:type="xsd:long"&gt;46192&lt;/D&gt;&lt;/FQL&gt;&lt;FQL&gt;&lt;Q&gt;FDS^CS_EVENT_TIME_N("ER",1)&lt;/Q&gt;&lt;R&gt;1&lt;/R&gt;&lt;C&gt;1&lt;/C&gt;&lt;D xsi:type="xsd:string"&gt;Unspecified&lt;/D&gt;&lt;/FQL&gt;&lt;FQL&gt;&lt;Q&gt;FDS^CS_EVENT_DESC_N("ER",1)&lt;/Q&gt;&lt;R&gt;1&lt;/R&gt;&lt;C&gt;1&lt;/C&gt;&lt;D xsi:type="xsd:string"&gt;Q3 2026 Earnings Release (Projected)&lt;/D&gt;&lt;/FQL&gt;&lt;FQL&gt;&lt;Q&gt;LEN^CS_EVENT_DATEJ_N("ER",1)&lt;/Q&gt;&lt;R&gt;1&lt;/R&gt;&lt;C&gt;1&lt;/C&gt;&lt;D xsi:type="xsd:long"&gt;46195&lt;/D&gt;&lt;/FQL&gt;&lt;FQL&gt;&lt;Q&gt;LEN^CS_EVENT_TIME_N("ER",1)&lt;/Q&gt;&lt;R&gt;1&lt;/R&gt;&lt;C&gt;1&lt;/C&gt;&lt;D xsi:type="xsd:string"&gt;Unspecified&lt;/D&gt;&lt;/FQL&gt;&lt;FQL&gt;&lt;Q&gt;LEN^CS_EVENT_DESC_N("ER",1)&lt;/Q&gt;&lt;R&gt;1&lt;/R&gt;&lt;C&gt;1&lt;/C&gt;&lt;D xsi:type="xsd:string"&gt;Q2 2026 Earnings Release (Projected)&lt;/D&gt;&lt;/FQL&gt;&lt;FQL&gt;&lt;Q&gt;FDX^CS_EVENT_DATEJ_N("ER",1)&lt;/Q&gt;&lt;R&gt;1&lt;/R&gt;&lt;C&gt;1&lt;/C&gt;&lt;D xsi:type="xsd:long"&gt;46196&lt;/D&gt;&lt;/FQL&gt;&lt;FQL&gt;&lt;Q&gt;FDX^CS_EVENT_TIME_N("ER",1)&lt;/Q&gt;&lt;R&gt;1&lt;/R&gt;&lt;C&gt;1&lt;/C&gt;&lt;D xsi:type="xsd:string"&gt;Unspecified&lt;/D&gt;&lt;/FQL&gt;&lt;FQL&gt;&lt;Q&gt;FDX^CS_EVENT_DESC_N("ER",1)&lt;/Q&gt;&lt;R&gt;1&lt;/R&gt;&lt;C&gt;1&lt;/C&gt;&lt;D xsi:type="xsd:string"&gt;Q4 2026 Earnings Release&lt;/D&gt;&lt;/FQL&gt;&lt;FQL&gt;&lt;Q&gt;MKC^CS_EVENT_DATEJ_N("ER",1)&lt;/Q&gt;&lt;R&gt;1&lt;/R&gt;&lt;C&gt;1&lt;/C&gt;&lt;D xsi:type="xsd:long"&gt;46198&lt;/D&gt;&lt;/FQL&gt;&lt;FQL&gt;&lt;Q&gt;MKC^CS_EVENT_TIME_N("ER",1)&lt;/Q&gt;&lt;R&gt;1&lt;/R&gt;&lt;C&gt;1&lt;/C&gt;&lt;D xsi:type="xsd:string"&gt;Unspecified&lt;/D&gt;&lt;/FQL&gt;&lt;FQL&gt;&lt;Q&gt;MKC^CS_EVENT_DESC_N("ER",1)&lt;/Q&gt;&lt;R&gt;1&lt;/R&gt;&lt;C&gt;1&lt;/C&gt;&lt;D xsi:type="xsd:string"&gt;Q2 2026 Earnings Release (Projected)&lt;/D&gt;&lt;/FQL&gt;&lt;FQL&gt;&lt;Q&gt;NKE^CS_EVENT_DATEJ_N("ER",1)&lt;/Q&gt;&lt;R&gt;1&lt;/R&gt;&lt;C&gt;1&lt;/C&gt;&lt;D xsi:type="xsd:long"&gt;46198&lt;/D&gt;&lt;/FQL&gt;&lt;FQL&gt;&lt;Q&gt;NKE^CS_EVENT_TIME_N("ER",1)&lt;/Q&gt;&lt;R&gt;1&lt;/R&gt;&lt;C&gt;1&lt;/C&gt;&lt;D xsi:type="xsd:string"&gt;Unspecified&lt;/D&gt;&lt;/FQL&gt;&lt;FQL&gt;&lt;Q&gt;NKE^CS_EVENT_DESC_N("ER",1)&lt;/Q&gt;&lt;R&gt;1&lt;/R&gt;&lt;C&gt;1&lt;/C&gt;&lt;D xsi:type="xsd:string"&gt;Q4 2026 Earnings Release (Projected)&lt;/D&gt;&lt;/FQL&gt;&lt;FQL&gt;&lt;Q&gt;CCL^CS_EVENT_DATEJ_N("ER",1)&lt;/Q&gt;&lt;R&gt;1&lt;/R&gt;&lt;C&gt;1&lt;/C&gt;&lt;D xsi:type="xsd:long"&gt;46203&lt;/D&gt;&lt;/FQL&gt;&lt;FQL&gt;&lt;Q&gt;CCL^CS_EVENT_TIME_N("ER",1)&lt;/Q&gt;&lt;R&gt;1&lt;/R&gt;&lt;C&gt;1&lt;/C&gt;&lt;D xsi:type="xsd:string"&gt;Unspecified&lt;/D&gt;&lt;/FQL&gt;&lt;FQL&gt;&lt;Q&gt;CCL^CS_EVENT_DESC_N("ER",1)&lt;/Q&gt;&lt;R&gt;1&lt;/R&gt;&lt;C&gt;1&lt;/C&gt;&lt;D xsi:type="xsd:string"&gt;Q2 2026 Earnings Release (Projected)&lt;/D&gt;&lt;/FQL&gt;&lt;FQL&gt;&lt;Q&gt;GIS^CS_EVENT_DATEJ_N("ER",1)&lt;/Q&gt;&lt;R&gt;1&lt;/R&gt;&lt;C&gt;1&lt;/C&gt;&lt;D xsi:type="xsd:long"&gt;46204&lt;/D&gt;&lt;/FQL&gt;&lt;FQL&gt;&lt;Q&gt;GIS^CS_EVENT_TIME_N("ER",1)&lt;/Q&gt;&lt;R&gt;1&lt;/R&gt;&lt;C&gt;1&lt;/C&gt;&lt;D xsi:type="xsd:string"&gt;Unspecified&lt;/D&gt;&lt;/FQL&gt;&lt;FQL&gt;&lt;Q&gt;GIS^CS_EVENT_DESC_N("ER",1)&lt;/Q&gt;&lt;R&gt;1&lt;/R&gt;&lt;C&gt;1&lt;/C&gt;&lt;D xsi:type="xsd:string"&gt;Q4 2026 Earnings Release (Projected)&lt;/D&gt;&lt;/FQL&gt;&lt;FQL&gt;&lt;Q&gt;MU^CS_EVENT_DATEJ_N("ER",1)&lt;/Q&gt;&lt;R&gt;1&lt;/R&gt;&lt;C&gt;1&lt;/C&gt;&lt;D xsi:type="xsd:long"&gt;46204&lt;/D&gt;&lt;/FQL&gt;&lt;FQL&gt;&lt;Q&gt;MU^CS_EVENT_TIME_N("ER",1)&lt;/Q&gt;&lt;R&gt;1&lt;/R&gt;&lt;C&gt;1&lt;/C&gt;&lt;D xsi:type="xsd:string"&gt;Unspecified&lt;/D&gt;&lt;/FQL&gt;&lt;FQL&gt;&lt;Q&gt;MU^CS_EVENT_DESC_N("ER",1)&lt;/Q&gt;&lt;R&gt;1&lt;/R&gt;&lt;C&gt;1&lt;/C&gt;&lt;D xsi:type="xsd:string"&gt;Q3 2026 Earnings Release (Projected)&lt;/D&gt;&lt;/FQL&gt;&lt;FQL&gt;&lt;Q&gt;PAYX^CS_EVENT_DATEJ_N("ER",1)&lt;/Q&gt;&lt;R&gt;1&lt;/R&gt;&lt;C&gt;1&lt;/C&gt;&lt;D xsi:type="xsd:long"&gt;46204&lt;/D&gt;&lt;/FQL&gt;&lt;FQL&gt;&lt;Q&gt;PAYX^CS_EVENT_TIME_N("ER",1)&lt;/Q&gt;&lt;R&gt;1&lt;/R&gt;&lt;C&gt;1&lt;/C&gt;&lt;D xsi:type="xsd:string"&gt;Unspecified&lt;/D&gt;&lt;/FQL&gt;&lt;FQL&gt;&lt;Q&gt;PAYX^CS_EVENT_DESC_N("ER",1)&lt;/Q&gt;&lt;R&gt;1&lt;/R&gt;&lt;C&gt;1&lt;/C&gt;&lt;D xsi:type="xsd:string"&gt;Q4 2026 Earnings Release (Projected)&lt;/D&gt;&lt;/FQL&gt;&lt;FQL&gt;&lt;Q&gt;CTAS^CS_EVENT_DATEJ_N("ER",1)&lt;/Q&gt;&lt;R&gt;1&lt;/R&gt;&lt;C&gt;1&lt;/C&gt;&lt;D xsi:type="xsd:long"&gt;46212&lt;/D&gt;&lt;/FQL&gt;&lt;FQL&gt;&lt;Q&gt;CTAS^CS_EVENT_TIME_N("ER",1)&lt;/Q&gt;&lt;R&gt;1&lt;/R&gt;&lt;C&gt;1&lt;/C&gt;&lt;D xsi:type="xsd:string"&gt;Unspecified&lt;/D&gt;&lt;/FQL&gt;&lt;FQL&gt;&lt;Q&gt;CTAS^CS_EVENT_DESC_N("ER",1)&lt;/Q&gt;&lt;R&gt;1&lt;/R&gt;&lt;C&gt;1&lt;/C&gt;&lt;D xsi:type="xsd:string"&gt;Q4 2026 Earnings Release (Projected)&lt;/D&gt;&lt;/FQL&gt;&lt;FQL&gt;&lt;Q&gt;AON^CS_EVENT_DATEJ_N("ER",1)&lt;/Q&gt;&lt;R&gt;1&lt;/R&gt;&lt;C&gt;1&lt;/C&gt;&lt;D xsi:type="xsd:long"&gt;46227&lt;/D&gt;&lt;/FQL&gt;&lt;FQL&gt;&lt;Q&gt;AON^CS_EVENT_TIME_N("ER",1)&lt;/Q&gt;&lt;R&gt;1&lt;/R&gt;&lt;C&gt;1&lt;/C&gt;&lt;D xsi:type="xsd:string"&gt;Unspecified&lt;/D&gt;&lt;/FQL&gt;&lt;FQL&gt;&lt;Q&gt;AON^CS_EVENT_DESC_N("ER",1)&lt;/Q&gt;&lt;R&gt;1&lt;/R&gt;&lt;C&gt;1&lt;/C&gt;&lt;D xsi:type="xsd:string"&gt;Q2 2026 Earnings Release (Projected)&lt;/D&gt;&lt;/FQL&gt;&lt;FQL&gt;&lt;Q&gt;IQV^CS_EVENT_DATEJ_N("ER",1)&lt;/Q&gt;&lt;R&gt;1&lt;/R&gt;&lt;C&gt;1&lt;/C&gt;&lt;D xsi:type="xsd:long"&gt;46231&lt;/D&gt;&lt;/FQL&gt;&lt;FQL&gt;&lt;Q&gt;IQV^CS_EVENT_TIME_N("ER",1)&lt;/Q&gt;&lt;R&gt;1&lt;/R&gt;&lt;C&gt;1&lt;/C&gt;&lt;D xsi:type="xsd:string"&gt;Unspecified&lt;/D&gt;&lt;/FQL&gt;&lt;FQL&gt;&lt;Q&gt;IQV^CS_EVENT_DESC_N("ER",1)&lt;/Q&gt;&lt;R&gt;1&lt;/R&gt;&lt;C&gt;1&lt;/C&gt;&lt;D xsi:type="xsd:string"&gt;Q2 2026 Earnings Release (Projected)&lt;/D&gt;&lt;/FQL&gt;&lt;FQL&gt;&lt;Q&gt;IT^CS_EVENT_DATEJ_N("ER",1)&lt;/Q&gt;&lt;R&gt;1&lt;/R&gt;&lt;C&gt;1&lt;/C&gt;&lt;D xsi:type="xsd:long"&gt;46238&lt;/D&gt;&lt;/FQL&gt;&lt;FQL&gt;&lt;Q&gt;IT^CS_EVENT_TIME_N("ER",1)&lt;/Q&gt;&lt;R&gt;1&lt;/R&gt;&lt;C&gt;1&lt;/C&gt;&lt;D xsi:type="xsd:string"&gt;Unspecified&lt;/D&gt;&lt;/FQL&gt;&lt;FQL&gt;&lt;Q&gt;IT^CS_EVENT_DESC_N("ER",1)&lt;/Q&gt;&lt;R&gt;1&lt;/R&gt;&lt;C&gt;1&lt;/C&gt;&lt;D xsi:type="xsd:string"&gt;Q2 2026 Earnings Release (Projected)&lt;/D&gt;&lt;/FQL&gt;&lt;FQL&gt;&lt;Q&gt;T^CS_EVENT_DATEJ_N("ER",1)&lt;/Q&gt;&lt;R&gt;1&lt;/R&gt;&lt;C&gt;1&lt;/C&gt;&lt;D xsi:type="xsd:long"&gt;46134&lt;/D&gt;&lt;/FQL&gt;&lt;FQL&gt;&lt;Q&gt;T^CS_EVENT_TIME_N("ER",1)&lt;/Q&gt;&lt;R&gt;1&lt;/R&gt;&lt;C&gt;1&lt;/C&gt;&lt;D xsi:type="xsd:string"&gt;Before Market&lt;/D&gt;&lt;/FQL&gt;&lt;FQL&gt;&lt;Q&gt;T^CS_EVENT_DESC_N("ER",1)&lt;/Q&gt;&lt;R&gt;1&lt;/R&gt;&lt;C&gt;1&lt;/C&gt;&lt;D xsi:type="xsd:string"&gt;Q1 2026 Earnings Release&lt;/D&gt;&lt;/FQL&gt;&lt;FQL&gt;&lt;Q&gt;PM^CS_EVENT_DATEJ_N("ER",1)&lt;/Q&gt;&lt;R&gt;1&lt;/R&gt;&lt;C&gt;1&lt;/C&gt;&lt;D xsi:type="xsd:long"&gt;46134&lt;/D&gt;&lt;/FQL&gt;&lt;FQL&gt;&lt;Q&gt;PM^CS_EVENT_TIME_N("ER",1)&lt;/Q&gt;&lt;R&gt;1&lt;/R&gt;&lt;C&gt;1&lt;/C&gt;&lt;D xsi:type="xsd:string"&gt;Before Market&lt;/D&gt;&lt;/FQL&gt;&lt;FQL&gt;&lt;Q&gt;PM^CS_EVENT_DESC_N("ER",1)&lt;/Q&gt;&lt;R&gt;1&lt;/R&gt;&lt;C&gt;1&lt;/C&gt;&lt;D xsi:type="xsd:string"&gt;Q1 2026 Earnings Release&lt;/D&gt;&lt;/FQL&gt;&lt;FQL&gt;&lt;Q&gt;GEV^CS_EVENT_DATEJ_N("ER",1)&lt;/Q&gt;&lt;R&gt;1&lt;/R&gt;&lt;C&gt;1&lt;/C&gt;&lt;D xsi:type="xsd:long"&gt;46134&lt;/D&gt;&lt;/FQL&gt;&lt;FQL&gt;&lt;Q&gt;GEV^CS_EVENT_TIME_N("ER",1)&lt;/Q&gt;&lt;R&gt;1&lt;/R&gt;&lt;C&gt;1&lt;/C&gt;&lt;D xsi:type="xsd:string"&gt;Before Market&lt;/D&gt;&lt;/FQL&gt;&lt;FQL&gt;&lt;Q&gt;GEV^CS_EVENT_DESC_N("ER",1)&lt;/Q&gt;&lt;R&gt;1&lt;/R&gt;&lt;C&gt;1&lt;/C&gt;&lt;D xsi:type="xsd:string"&gt;Q1 2026 Earnings Release&lt;/D&gt;&lt;/FQL&gt;&lt;FQL&gt;&lt;Q&gt;PHM^CS_EVENT_DATEJ_N("ER",1)&lt;/Q&gt;&lt;R&gt;1&lt;/R&gt;&lt;C&gt;1&lt;/C&gt;&lt;D xsi:type="xsd:long"&gt;46135&lt;/D&gt;&lt;/FQL&gt;&lt;FQL&gt;&lt;Q&gt;PHM^CS_EVENT_TIME_N("ER",1)&lt;/Q&gt;&lt;R&gt;1&lt;/R&gt;&lt;C&gt;1&lt;/C&gt;&lt;D xsi:type="xsd:string"&gt;Before Market&lt;/D&gt;&lt;/FQL&gt;&lt;FQL&gt;&lt;Q&gt;PHM^CS_EVENT_DESC_N("ER",1)&lt;/Q&gt;&lt;R&gt;1&lt;/R&gt;&lt;C&gt;1&lt;/C&gt;&lt;D xsi:type="xsd:string"&gt;Q1 2026 Earnings Release&lt;/D&gt;&lt;/FQL&gt;&lt;FQL&gt;&lt;Q&gt;CPT^CS_EVENT_DATEJ_N("ER",1)&lt;/Q&gt;&lt;R&gt;1&lt;/R&gt;&lt;C&gt;1&lt;/C&gt;&lt;D xsi:type="xsd:long"&gt;46135&lt;/D&gt;&lt;/FQL&gt;&lt;FQL&gt;&lt;Q&gt;CPT^CS_EVENT_TIME_N("ER",1)&lt;/Q&gt;&lt;R&gt;1&lt;/R&gt;&lt;C&gt;1&lt;/C&gt;&lt;D xsi:type="xsd:string"&gt;Unspecified&lt;/D&gt;&lt;/FQL&gt;&lt;FQL&gt;&lt;Q&gt;CPT^CS_EVENT_DESC_N("ER",1)&lt;/Q&gt;&lt;R&gt;1&lt;/R&gt;&lt;C&gt;1&lt;/C&gt;&lt;D xsi:type="xsd:string"&gt;Q1 2026 Earnings Release (Projected)&lt;/D&gt;&lt;/FQL&gt;&lt;FQL&gt;&lt;Q&gt;WST^CS_EVENT_DATEJ_N("ER",1)&lt;/Q&gt;&lt;R&gt;1&lt;/R&gt;&lt;C&gt;1&lt;/C&gt;&lt;D xsi:type="xsd:long"&gt;46135&lt;/D&gt;&lt;/FQL&gt;&lt;FQL&gt;&lt;Q&gt;WST^CS_EVENT_TIME_N("ER",1)&lt;/Q&gt;&lt;R&gt;1&lt;/R&gt;&lt;C&gt;1&lt;/C&gt;&lt;D xsi:type="xsd:string"&gt;Unspecified&lt;/D&gt;&lt;/FQL&gt;&lt;FQL&gt;&lt;Q&gt;WST^CS_EVENT_DESC_N("ER",1)&lt;/Q&gt;&lt;R&gt;1&lt;/R&gt;&lt;C&gt;1&lt;/C&gt;&lt;D xsi:type="xsd:string"&gt;Q1 2026 Earnings Release (Projected)&lt;/D&gt;&lt;/FQL&gt;&lt;FQL&gt;&lt;Q&gt;RMD^CS_EVENT_DATEJ_N("ER",1)&lt;/Q&gt;&lt;R&gt;1&lt;/R&gt;&lt;C&gt;1&lt;/C&gt;&lt;D xsi:type="xsd:long"&gt;46135&lt;/D&gt;&lt;/FQL&gt;&lt;FQL&gt;&lt;Q&gt;RMD^CS_EVENT_TIME_N("ER",1)&lt;/Q&gt;&lt;R&gt;1&lt;/R&gt;&lt;C&gt;1&lt;/C&gt;&lt;D xsi:type="xsd:string"&gt;Unspecified&lt;/D&gt;&lt;/FQL&gt;&lt;FQL&gt;&lt;Q&gt;RMD^CS_EVENT_DESC_N("ER",1)&lt;/Q&gt;&lt;R&gt;1&lt;/R&gt;&lt;C&gt;1&lt;/C&gt;&lt;D xsi:type="xsd:string"&gt;Q3 2026 Earnings Release (Projected)&lt;/D&gt;&lt;/FQL&gt;&lt;FQL&gt;&lt;Q&gt;HON^CS_EVENT_DATEJ_N("ER",1)&lt;/Q&gt;&lt;R&gt;1&lt;/R&gt;&lt;C&gt;1&lt;/C&gt;&lt;D xsi:type="xsd:long"&gt;46135&lt;/D&gt;&lt;/FQL&gt;&lt;FQL&gt;&lt;Q&gt;HON^CS_EVENT_TIME_N("ER",1)&lt;/Q&gt;&lt;R&gt;1&lt;/R&gt;&lt;C&gt;1&lt;/C&gt;&lt;D xsi:type="xsd:string"&gt;6:00 AM&lt;/D&gt;&lt;/FQL&gt;&lt;FQL&gt;&lt;Q&gt;HON^CS_EVENT_DESC_N("ER",1)&lt;/Q&gt;&lt;R&gt;1&lt;/R&gt;&lt;C&gt;1&lt;/C&gt;&lt;D xsi:type="xsd:string"&gt;Q1 2026 Earnings Release&lt;/D&gt;&lt;/FQL&gt;&lt;FQL&gt;&lt;Q&gt;PCG^CS_EVENT_DATEJ_N("ER",1)&lt;/Q&gt;&lt;R&gt;1&lt;/R&gt;&lt;C&gt;1&lt;/C&gt;&lt;D xsi:type="xsd:long"&gt;46135&lt;/D&gt;&lt;/FQL&gt;&lt;FQL&gt;&lt;Q&gt;PCG^CS_EVENT_TIME_N("ER",1)&lt;/Q&gt;&lt;R&gt;1&lt;/R&gt;&lt;C&gt;1&lt;/C&gt;&lt;D xsi:type="xsd:string"&gt;6:00 AM&lt;/D&gt;&lt;/FQL&gt;&lt;FQL&gt;&lt;Q&gt;PCG^CS_EVENT_DESC_N("ER",1)&lt;/Q&gt;&lt;R&gt;1&lt;/R&gt;&lt;C&gt;1&lt;/C&gt;&lt;D xsi:type="xsd:string"&gt;Q1 2026 Earnings Release&lt;/D&gt;&lt;/FQL&gt;&lt;FQL&gt;&lt;Q&gt;AOS^CS_EVENT_DATEJ_N("ER",1)&lt;/Q&gt;&lt;R&gt;1&lt;/R&gt;&lt;C&gt;1&lt;/C&gt;&lt;D xsi:type="xsd:long"&gt;46135&lt;/D&gt;&lt;/FQL&gt;&lt;FQL&gt;&lt;Q&gt;AOS^CS_EVENT_TIME_N("ER",1)&lt;/Q&gt;&lt;R&gt;1&lt;/R&gt;&lt;C&gt;1&lt;/C&gt;&lt;D xsi:type="xsd:string"&gt;Unspecified&lt;/D&gt;&lt;/FQL&gt;&lt;FQL&gt;&lt;Q&gt;AOS^CS_EVENT_DESC_N("ER",1)&lt;/Q&gt;&lt;R&gt;1&lt;/R&gt;&lt;C&gt;1&lt;/C&gt;&lt;D xsi:type="xsd:string"&gt;Q1 2026 Earnings Release (Projected)&lt;/D&gt;&lt;/FQL&gt;&lt;FQL&gt;&lt;Q&gt;NEM^CS_EVENT_DATEJ_N("ER",1)&lt;/Q&gt;&lt;R&gt;1&lt;/R&gt;&lt;C&gt;1&lt;/C&gt;&lt;D xsi:type="xsd:long"&gt;46135&lt;/D&gt;&lt;/FQL&gt;&lt;FQL&gt;&lt;Q&gt;NEM^CS_EVENT_TIME_N("ER",1)&lt;/Q&gt;&lt;R&gt;1&lt;/R&gt;&lt;C&gt;1&lt;/C&gt;&lt;D xsi:type="xsd:string"&gt;4:05 PM&lt;/D&gt;&lt;/FQL&gt;&lt;FQL&gt;&lt;Q&gt;NEM^CS_EVENT_DESC_N("ER",1)&lt;/Q&gt;&lt;R&gt;1&lt;/R&gt;&lt;C&gt;1&lt;/C&gt;&lt;D xsi:type="xsd:string"&gt;Q1 2026 Earnings Release&lt;/D&gt;&lt;/FQL&gt;&lt;FQL&gt;&lt;Q&gt;KIM^CS_EVENT_DATEJ_N("ER",1)&lt;/Q&gt;&lt;R&gt;1&lt;/R&gt;&lt;C&gt;1&lt;/C&gt;&lt;D xsi:type="xsd:long"&gt;46135&lt;/D&gt;&lt;/FQL&gt;&lt;FQL&gt;&lt;Q&gt;KIM^CS_EVENT_TIME_N("ER",1)&lt;/Q&gt;&lt;R&gt;1&lt;/R&gt;&lt;C&gt;1&lt;/C&gt;&lt;D xsi:type="xsd:string"&gt;Unspecified&lt;/D&gt;&lt;/FQL&gt;&lt;FQL&gt;&lt;Q&gt;KIM^CS_EVENT_DESC_N("ER",1)&lt;/Q&gt;&lt;R&gt;1&lt;/R&gt;&lt;C&gt;1&lt;/C&gt;&lt;D xsi:type="xsd:string"&gt;Q1 2026 Earnings Release (Projected)&lt;/D&gt;&lt;/FQL&gt;&lt;FQL&gt;&lt;Q&gt;HSY^CS_EVENT_DATEJ_N("ER",1)&lt;/Q&gt;&lt;R&gt;1&lt;/R&gt;&lt;C&gt;1&lt;/C&gt;&lt;D xsi:type="xsd:long"&gt;46135&lt;/D&gt;&lt;/FQL&gt;&lt;FQL&gt;&lt;Q&gt;HSY^CS_EVENT_TIME_N("ER",1)&lt;/Q&gt;&lt;R&gt;1&lt;/R&gt;&lt;C&gt;1&lt;/C&gt;&lt;D xsi:type="xsd:string"&gt;Unspecified&lt;/D&gt;&lt;/FQL&gt;&lt;FQL&gt;&lt;Q&gt;HSY^CS_EVENT_DESC_N("ER",1)&lt;/Q&gt;&lt;R&gt;1&lt;/R&gt;&lt;C&gt;1&lt;/C&gt;&lt;D xsi:type="xsd:string"&gt;Q1 2026 Earnings Release (Projected)&lt;/D&gt;&lt;/FQL&gt;&lt;FQL&gt;&lt;Q&gt;VRSN^CS_EVENT_DATEJ_N("ER",1)&lt;/Q&gt;&lt;R&gt;1&lt;/R&gt;&lt;C&gt;1&lt;/C&gt;&lt;D xsi:type="xsd:long"&gt;46135&lt;/D&gt;&lt;/FQL&gt;&lt;FQL&gt;&lt;Q&gt;VRSN^CS_EVENT_TIME_N("ER",1)&lt;/Q&gt;&lt;R&gt;1&lt;/R&gt;&lt;C&gt;1&lt;/C&gt;&lt;D xsi:type="xsd:string"&gt;Unspecified&lt;/D&gt;&lt;/FQL&gt;&lt;FQL&gt;&lt;Q&gt;VRSN^CS_EVENT_DESC_N("ER",1)&lt;/Q&gt;&lt;R&gt;1&lt;/R&gt;&lt;C&gt;1&lt;/C&gt;&lt;D xsi:type="xsd:string"&gt;Q1 2026 Earnings Release (Projected)&lt;/D&gt;&lt;/FQL&gt;&lt;FQL&gt;&lt;Q&gt;CINF^CS_EVENT_DATEJ_N("ER",1)&lt;/Q&gt;&lt;R&gt;1&lt;/R&gt;&lt;C&gt;1&lt;/C&gt;&lt;D xsi:type="xsd:long"&gt;46135&lt;/D&gt;&lt;/FQL&gt;&lt;FQL&gt;&lt;Q&gt;CINF^CS_EVENT_TIME_N("ER",1)&lt;/Q&gt;&lt;R&gt;1&lt;/R&gt;&lt;C&gt;1&lt;/C&gt;&lt;D xsi:type="xsd:string"&gt;Unspecified&lt;/D&gt;&lt;/FQL&gt;&lt;FQL&gt;&lt;Q&gt;CINF^CS_EVENT_DESC_N("ER",1)&lt;/Q&gt;&lt;R&gt;1&lt;/R&gt;&lt;C&gt;1&lt;/C&gt;&lt;D xsi:type="xsd:string"&gt;Q1 2026 Earnings Release (Projected)&lt;/D&gt;&lt;/FQL&gt;&lt;FQL&gt;&lt;Q&gt;AJG^CS_EVENT_DATEJ_N("ER",1)&lt;/Q&gt;&lt;R&gt;1&lt;/R&gt;&lt;C&gt;1&lt;/C&gt;&lt;D xsi:type="xsd:long"&gt;46135&lt;/D&gt;&lt;/FQL&gt;&lt;FQL&gt;&lt;Q&gt;AJG^CS_EVENT_TIME_N("ER",1)&lt;/Q&gt;&lt;R&gt;1&lt;/R&gt;&lt;C&gt;1&lt;/C&gt;&lt;D xsi:type="xsd:string"&gt;Unspecified&lt;/D&gt;&lt;/FQL&gt;&lt;FQL&gt;&lt;Q&gt;AJG^CS_EVENT_DESC_N("ER",1)&lt;/Q&gt;&lt;R&gt;1&lt;/R&gt;&lt;C&gt;1&lt;/C&gt;&lt;D xsi:type="xsd:string"&gt;Q1 2026 Earnings Release (Projected)&lt;/D&gt;&lt;/FQL&gt;&lt;FQL&gt;&lt;Q&gt;WTW^CS_EVENT_DATEJ_N("ER",1)&lt;/Q&gt;&lt;R&gt;1&lt;/R&gt;&lt;C&gt;1&lt;/C&gt;&lt;D xsi:type="xsd:long"&gt;46135&lt;/D&gt;&lt;/FQL&gt;&lt;FQL&gt;&lt;Q&gt;WTW^CS_EVENT_TIME_N("ER",1)&lt;/Q&gt;&lt;R&gt;1&lt;/R&gt;&lt;C&gt;1&lt;/C&gt;&lt;D xsi:type="xsd:string"&gt;Unspecified&lt;/D&gt;&lt;/FQL&gt;&lt;FQL&gt;&lt;Q&gt;WTW^CS_EVENT_DESC_N("ER",1)&lt;/Q&gt;&lt;R&gt;1&lt;/R&gt;&lt;C&gt;1&lt;/C&gt;&lt;D xsi:type="xsd:string"&gt;Q1 2026 Earnings Release (Projected)&lt;/D&gt;&lt;/FQL&gt;&lt;FQL&gt;&lt;Q&gt;GILD^CS_EVENT_DATEJ_N("ER",1)&lt;/Q&gt;&lt;R&gt;1&lt;/R&gt;&lt;C&gt;1&lt;/C&gt;&lt;D xsi:type="xsd:long"&gt;46135&lt;/D&gt;&lt;/FQL&gt;&lt;FQL&gt;&lt;Q&gt;GILD^CS_EVENT_TIME_N("ER",1)&lt;/Q&gt;&lt;R&gt;1&lt;/R&gt;&lt;C&gt;1&lt;/C&gt;&lt;D xsi:type="xsd:string"&gt;Unspecified&lt;/D&gt;&lt;/FQL&gt;&lt;FQL&gt;&lt;Q&gt;GILD^CS_EVENT_DESC_N("ER",1)&lt;/Q&gt;&lt;R&gt;1&lt;/R&gt;&lt;C&gt;1&lt;/C&gt;&lt;D xsi:type="xsd:string"&gt;Q1 2026 Earnings Release (Projected)&lt;/D&gt;&lt;/FQL&gt;&lt;FQL&gt;&lt;Q&gt;ERIE^CS_EVENT_DATEJ_N("ER",1)&lt;/Q&gt;&lt;R&gt;1&lt;/R&gt;&lt;C&gt;1&lt;/C&gt;&lt;D xsi:type="xsd:long"&gt;46135&lt;/D&gt;&lt;/FQL&gt;&lt;FQL&gt;&lt;Q&gt;ERIE^CS_EVENT_TIME_N("ER",1)&lt;/Q&gt;&lt;R&gt;1&lt;/R&gt;&lt;C&gt;1&lt;/C&gt;&lt;D xsi:type="xsd:string"&gt;Unspecified&lt;/D&gt;&lt;/FQL&gt;&lt;FQL&gt;&lt;Q&gt;ERIE^CS_EVENT_DESC_N("ER",1)&lt;/Q&gt;&lt;R&gt;1&lt;/R&gt;&lt;C&gt;1&lt;/C&gt;&lt;D xsi:type="xsd:string"&gt;Q1 2026 Earnings Release (Projected)&lt;/D&gt;&lt;/FQL&gt;&lt;FQL&gt;&lt;Q&gt;DOV^CS_EVENT_DATEJ_N("ER",1)&lt;/Q&gt;&lt;R&gt;1&lt;/R&gt;&lt;C&gt;1&lt;/C&gt;&lt;D xsi:type="xsd:long"&gt;46135&lt;/D&gt;&lt;/FQL&gt;&lt;FQL&gt;&lt;Q&gt;DOV^CS_EVENT_TIME_N("ER",1)&lt;/Q&gt;&lt;R&gt;1&lt;/R&gt;&lt;C&gt;1&lt;/C&gt;&lt;D xsi:type="xsd:string"&gt;7:00 AM&lt;/D&gt;&lt;/FQL&gt;&lt;FQL&gt;&lt;Q&gt;DOV^CS_EVENT_DESC_N("ER",1)&lt;/Q&gt;&lt;R&gt;1&lt;/R&gt;&lt;C&gt;1&lt;/C&gt;&lt;D xsi:type="xsd:string"&gt;Q1 2026 Earnings Release&lt;/D&gt;&lt;/FQL&gt;&lt;FQL&gt;&lt;Q&gt;DTE^CS_EVENT_DATEJ_N("ER",1)&lt;/Q&gt;&lt;R&gt;1&lt;/R&gt;&lt;C&gt;1&lt;/C&gt;&lt;D xsi:type="xsd:long"&gt;46135&lt;/D&gt;&lt;/FQL&gt;&lt;FQL&gt;&lt;Q&gt;DTE^CS_EVENT_TIME_N("ER",1)&lt;/Q&gt;&lt;R&gt;1&lt;/R&gt;&lt;C&gt;1&lt;/C&gt;&lt;D xsi:type="xsd:string"&gt;Unspecified&lt;/D&gt;&lt;/FQL&gt;&lt;FQL&gt;&lt;Q&gt;DTE^CS_EVENT_DESC_N("ER",1)&lt;/Q&gt;&lt;R&gt;1&lt;/R&gt;&lt;C&gt;1&lt;/C&gt;&lt;D xsi:type="xsd:string"&gt;Q1 2026 Earnings Release (Projected)&lt;/D&gt;&lt;/FQL&gt;&lt;FQL&gt;&lt;Q&gt;HAS^CS_EVENT_DATEJ_N("ER",1)&lt;/Q&gt;&lt;R&gt;1&lt;/R&gt;&lt;C&gt;1&lt;/C&gt;&lt;D xsi:type="xsd:long"&gt;46135&lt;/D&gt;&lt;/FQL&gt;&lt;FQL&gt;&lt;Q&gt;HAS^CS_EVENT_TIME_N("ER",1)&lt;/Q&gt;&lt;R&gt;1&lt;/R&gt;&lt;C&gt;1&lt;/C&gt;&lt;D xsi:type="xsd:string"&gt;Unspecified&lt;/D&gt;&lt;/FQL&gt;&lt;FQL&gt;&lt;Q&gt;HAS^CS_EVENT_DESC_N("ER",1)&lt;/Q&gt;&lt;R&gt;1&lt;/R&gt;&lt;C&gt;1&lt;/C&gt;&lt;D xsi:type="xsd:string"&gt;Q1 2026 Earnings Release (Projected)&lt;/D&gt;&lt;/FQL&gt;&lt;FQL&gt;&lt;Q&gt;AMZN^CS_EVENT_DATEJ_N("ER",1)&lt;/Q&gt;&lt;R&gt;1&lt;/R&gt;&lt;C&gt;1&lt;/C&gt;&lt;D xsi:type="xsd:long"&gt;46135&lt;/D&gt;&lt;/FQL&gt;&lt;FQL&gt;&lt;Q&gt;AMZN^CS_EVENT_TIME_N("ER",1)&lt;/Q&gt;&lt;R&gt;1&lt;/R&gt;&lt;C&gt;1&lt;/C&gt;&lt;D xsi:type="xsd:string"&gt;Unspecified&lt;/D&gt;&lt;/FQL&gt;&lt;FQL&gt;&lt;Q&gt;AMZN^CS_EVENT_DESC_N("ER",1)&lt;/Q&gt;&lt;R&gt;1&lt;/R&gt;&lt;C&gt;1&lt;/C&gt;&lt;D xsi:type="xsd:string"&gt;Q1 2026 Earnings Release (Projected)&lt;/D&gt;&lt;/FQL&gt;&lt;FQL&gt;&lt;Q&gt;HIG^CS_EVENT_DATEJ_N("ER",1)&lt;/Q&gt;&lt;R&gt;1&lt;/R&gt;&lt;C&gt;1&lt;/C&gt;&lt;D xsi:type="xsd:long"&gt;46135&lt;/D&gt;&lt;/FQL&gt;&lt;FQL&gt;&lt;Q&gt;HIG^CS_EVENT_TIME_N("ER",1)&lt;/Q&gt;&lt;R&gt;1&lt;/R&gt;&lt;C&gt;1&lt;/C&gt;&lt;D xsi:type="xsd:string"&gt;Unspecified&lt;/D&gt;&lt;/FQL&gt;&lt;FQL&gt;&lt;Q&gt;HIG^CS_EVENT_DESC_N("ER",1)&lt;/Q&gt;&lt;R&gt;1&lt;/R&gt;&lt;C&gt;1&lt;/C&gt;&lt;D xsi:type="xsd:string"&gt;Q1 2026 Earnings Release (Projected)&lt;/D&gt;&lt;/FQL&gt;&lt;FQL&gt;&lt;Q&gt;HBAN^CS_EVENT_DATEJ_N("ER",1)&lt;/Q&gt;&lt;R&gt;1&lt;/R&gt;&lt;C&gt;1&lt;/C&gt;&lt;D xsi:type="xsd:long"&gt;46135&lt;/D&gt;&lt;/FQL&gt;&lt;FQL&gt;&lt;Q&gt;HBAN^CS_EVENT_TIME_N("ER",1)&lt;/Q&gt;&lt;R&gt;1&lt;/R&gt;&lt;C&gt;1&lt;/C&gt;&lt;D xsi:type="xsd:string"&gt;Before Market&lt;/D&gt;&lt;/FQL&gt;&lt;FQL&gt;&lt;Q&gt;HBAN^CS_EVENT_DESC_N("ER",1)&lt;/Q&gt;&lt;R&gt;1&lt;/R&gt;&lt;C&gt;1&lt;/C&gt;&lt;D xsi:type="xsd:string"&gt;Q1 2026 Earnings Release&lt;/D&gt;&lt;/FQL&gt;&lt;FQL&gt;&lt;Q&gt;EME^CS_EVENT_DATEJ_N("ER",1)&lt;/Q&gt;&lt;R&gt;1&lt;/R&gt;&lt;C&gt;1&lt;/C&gt;&lt;D xsi:type="xsd:long"&gt;46135&lt;/D&gt;&lt;/FQL&gt;&lt;FQL&gt;&lt;Q&gt;EME^CS_EVENT_TIME_N("ER",1)&lt;/Q&gt;&lt;R&gt;1&lt;/R&gt;&lt;C&gt;1&lt;/C&gt;&lt;D xsi:type="xsd:string"&gt;Unspecified&lt;/D&gt;&lt;/FQL&gt;&lt;FQL&gt;&lt;Q&gt;EME^CS_EVENT_DESC_N("ER",1)&lt;/Q&gt;&lt;R&gt;1&lt;/R&gt;&lt;C&gt;1&lt;/C&gt;&lt;D xsi:type="xsd:string"&gt;Q1 2026 Earnings Release (Projected)&lt;/D&gt;&lt;/FQL&gt;&lt;FQL&gt;&lt;Q&gt;KLAC^CS_EVENT_DATEJ_N("ER",1)&lt;/Q&gt;&lt;R&gt;1&lt;/R&gt;&lt;C&gt;1&lt;/C&gt;&lt;D xsi:type="xsd:long"&gt;46135&lt;/D&gt;&lt;/FQL&gt;&lt;FQL&gt;&lt;Q&gt;KLAC^CS_EVENT_TIME_N("ER",1)&lt;/Q&gt;&lt;R&gt;1&lt;/R&gt;&lt;C&gt;1&lt;/C&gt;&lt;D xsi:type="xsd:string"&gt;Unspecified&lt;/D&gt;&lt;/FQL&gt;&lt;FQL&gt;&lt;Q&gt;KLAC^CS_EVENT_DESC_N("ER",1)&lt;/Q&gt;&lt;R&gt;1&lt;/R&gt;&lt;C&gt;1&lt;/C&gt;&lt;D xsi:type="xsd:string"&gt;Q3 2026 Earnings Release (Projected)&lt;/D&gt;&lt;/FQL&gt;&lt;FQL&gt;&lt;Q&gt;TROW^CS_EVENT_DATEJ_N("ER",1)&lt;/Q&gt;&lt;R&gt;1&lt;/R&gt;&lt;C&gt;1&lt;/C&gt;&lt;D xsi:type="xsd:long"&gt;46135&lt;/D&gt;&lt;/FQL&gt;&lt;FQL&gt;&lt;Q&gt;TROW^CS_EVENT_TIME_N("ER",1)&lt;/Q&gt;&lt;R&gt;1&lt;/R&gt;&lt;C&gt;1&lt;/C&gt;&lt;D xsi:type="xsd:string"&gt;Unspecified&lt;/D&gt;&lt;/FQL&gt;&lt;FQL&gt;&lt;Q&gt;TROW^CS_EVENT_DESC_N("ER",1)&lt;/Q&gt;&lt;R&gt;1&lt;/R&gt;&lt;C&gt;1&lt;/C&gt;&lt;D xsi:type="xsd:string"&gt;Q1 2026 Earnings Release (Projected)&lt;/D&gt;&lt;/FQL&gt;&lt;FQL&gt;&lt;Q&gt;AXP^CS_EVENT_DATEJ_N("ER",1)&lt;/Q&gt;&lt;R&gt;1&lt;/R&gt;&lt;C&gt;1&lt;/C&gt;&lt;D xsi:type="xsd:long"&gt;46135&lt;/D&gt;&lt;/FQL&gt;&lt;FQL&gt;&lt;Q&gt;AXP^CS_EVENT_TIME_N("ER",1)&lt;/Q&gt;&lt;R&gt;1&lt;/R&gt;&lt;C&gt;1&lt;/C&gt;&lt;D xsi:type="xsd:string"&gt;7:00 AM&lt;/D&gt;&lt;/FQL&gt;&lt;FQL&gt;&lt;Q&gt;AXP^CS_EVENT_DESC_N("ER",1)&lt;/Q&gt;&lt;R&gt;1&lt;/R&gt;&lt;C&gt;1&lt;/C&gt;&lt;D xsi:type="xsd:string"&gt;Q1 2026 Earnings Release&lt;/D&gt;&lt;/FQL&gt;&lt;FQL&gt;&lt;Q&gt;CNP^CS_EVENT_DATEJ_N("ER",1)&lt;/Q&gt;&lt;R&gt;1&lt;/R&gt;&lt;C&gt;1&lt;/C&gt;&lt;D xsi:type="xsd:long"&gt;46135&lt;/D&gt;&lt;/FQL&gt;&lt;FQL&gt;&lt;Q&gt;CNP^CS_EVENT_TIME_N("ER",1)&lt;/Q&gt;&lt;R&gt;1&lt;/R&gt;&lt;C&gt;1&lt;/C&gt;&lt;D xsi:type="xsd:string"&gt;Before Market&lt;/D&gt;&lt;/FQL&gt;&lt;FQL&gt;&lt;Q&gt;CNP^CS_EVENT_DESC_N("ER",1)&lt;/Q&gt;&lt;R&gt;1&lt;/R&gt;&lt;C&gt;1&lt;/C&gt;&lt;D xsi:type="xsd:string"&gt;Q1 2026 Earnings Release&lt;/D&gt;&lt;/FQL&gt;&lt;FQL&gt;&lt;Q&gt;WDC^CS_EVENT_DATEJ_N("ER",1)&lt;/Q&gt;&lt;R&gt;1&lt;/R&gt;&lt;C&gt;1&lt;/C&gt;&lt;D xsi:type="xsd:long"&gt;46135&lt;/D&gt;&lt;/FQL&gt;&lt;FQL&gt;&lt;Q&gt;WDC^CS_EVENT_TIME_N("ER",1)&lt;/Q&gt;&lt;R&gt;1&lt;/R&gt;&lt;C&gt;1&lt;/C&gt;&lt;D xsi:type="xsd:string"&gt;Unspecified&lt;/D&gt;&lt;/FQL&gt;&lt;FQL&gt;&lt;Q&gt;WDC^CS_EVENT_DESC_N("ER",1)&lt;/Q&gt;&lt;R&gt;1&lt;/R&gt;&lt;C&gt;1&lt;/C&gt;&lt;D xsi:type="xsd:string"&gt;Q3 2026 Earnings Release (Projected)&lt;/D&gt;&lt;/FQL&gt;&lt;FQL&gt;&lt;Q&gt;PFG^CS_EVENT_DATEJ_N("ER",1)&lt;/Q&gt;&lt;R&gt;1&lt;/R&gt;&lt;C&gt;1&lt;/C&gt;&lt;D xsi:type="xsd:long"&gt;46135&lt;/D&gt;&lt;/FQL&gt;&lt;FQL&gt;&lt;Q&gt;PFG^CS_EVENT_TIME_N("ER",1)&lt;/Q&gt;&lt;R&gt;1&lt;/R&gt;&lt;C&gt;1&lt;/C&gt;&lt;D xsi:type="xsd:string"&gt;Unspecified&lt;/D&gt;&lt;/FQL&gt;&lt;FQL&gt;&lt;Q&gt;PFG^CS_EVENT_DESC_N("ER",1)&lt;/Q&gt;&lt;R&gt;1&lt;/R&gt;&lt;C&gt;1&lt;/C&gt;&lt;D xsi:type="xsd:string"&gt;Q1 2026 Earnings Release (Projected)&lt;/D&gt;&lt;/FQL&gt;&lt;FQL&gt;&lt;Q&gt;INTC^CS_EVENT_DATEJ_N("ER",1)&lt;/Q&gt;&lt;R&gt;1&lt;/R&gt;&lt;C&gt;1&lt;/C&gt;&lt;D xsi:type="xsd:long"&gt;46135&lt;/D&gt;&lt;/FQL&gt;&lt;FQL&gt;&lt;Q&gt;INTC^CS_EVENT_TIME_N("ER",1)&lt;/Q&gt;&lt;R&gt;1&lt;/R&gt;&lt;C&gt;1&lt;/C&gt;&lt;D xsi:type="xsd:string"&gt;After Market&lt;/D&gt;&lt;/FQL&gt;&lt;FQL&gt;&lt;Q&gt;INTC^CS_EVENT_DESC_N("ER",1)&lt;/Q&gt;&lt;R&gt;1&lt;/R&gt;&lt;C&gt;1&lt;/C&gt;&lt;D xsi:type="xsd:string"&gt;Q1 2026 Earnings Release&lt;/D&gt;&lt;/FQL&gt;&lt;FQL&gt;&lt;Q&gt;FE^CS_EVENT_DATEJ_N("ER",1)&lt;/Q&gt;&lt;R&gt;1&lt;/R&gt;&lt;C&gt;1&lt;/C&gt;&lt;D xsi:type="xsd:long"&gt;46135&lt;/D&gt;&lt;/FQL&gt;&lt;FQL&gt;&lt;Q&gt;FE^CS_EVENT_TIME_N("ER",1)&lt;/Q&gt;&lt;R&gt;1&lt;/R&gt;&lt;C&gt;1&lt;/C&gt;&lt;D xsi:type="xsd:string"&gt;Unspecified&lt;/D&gt;&lt;/FQL&gt;&lt;FQL&gt;&lt;Q&gt;FE^CS_EVENT_DESC_N("ER",1)&lt;/Q&gt;&lt;R&gt;1&lt;/R&gt;&lt;C&gt;1&lt;/C&gt;&lt;D xsi:type="xsd:string"&gt;Q1 2026 Earnings Release (Projected)&lt;/D&gt;&lt;/FQL&gt;&lt;FQL&gt;&lt;Q&gt;CAT^CS_EVENT_DATEJ_N("ER",1)&lt;/Q&gt;&lt;R&gt;1&lt;/R&gt;&lt;C&gt;1&lt;/C&gt;&lt;D xsi:type="xsd:long"&gt;46135&lt;/D&gt;&lt;/FQL&gt;&lt;FQL&gt;&lt;Q&gt;CAT^CS_EVENT_TIME_N("ER",1)&lt;/Q&gt;&lt;R&gt;1&lt;/R&gt;&lt;C&gt;1&lt;/C&gt;&lt;D xsi:type="xsd:string"&gt;Unspecified&lt;/D&gt;&lt;/FQL&gt;&lt;FQL&gt;&lt;Q&gt;CAT^CS_EVENT_DESC_N("ER",1)&lt;/Q&gt;&lt;R&gt;1&lt;/R&gt;&lt;C&gt;1&lt;/C&gt;&lt;D xsi:type="xsd:string"&gt;Q1 2026 Earnings Release (Projected)&lt;/D&gt;&lt;/FQL&gt;&lt;FQL&gt;&lt;Q&gt;MCD^CS_EVENT_DATEJ_N("ER",1)&lt;/Q&gt;&lt;R&gt;1&lt;/R&gt;&lt;C&gt;1&lt;/C&gt;&lt;D xsi:type="xsd:long"&gt;46135&lt;/D&gt;&lt;/FQL&gt;&lt;FQL&gt;&lt;Q&gt;MCD^CS_EVENT_TIME_N("ER",1)&lt;/Q&gt;&lt;R&gt;1&lt;/R&gt;&lt;C&gt;1&lt;/C&gt;&lt;D xsi:type="xsd:string"&gt;Unspecified&lt;/D&gt;&lt;/FQL&gt;&lt;FQL&gt;&lt;Q&gt;MCD^CS_EVENT_DESC_N("ER",1)&lt;/Q&gt;&lt;R&gt;1&lt;/R&gt;&lt;C&gt;1&lt;/C&gt;&lt;D xsi:type="xsd:string"&gt;Q1 2026 Earnings Release (Projected)&lt;/D&gt;&lt;/FQL&gt;&lt;FQL&gt;&lt;Q&gt;UNP^CS_EVENT_DATEJ_N("ER",1)&lt;/Q&gt;&lt;R&gt;1&lt;/R&gt;&lt;C&gt;1&lt;/C&gt;&lt;D xsi:type="xsd:long"&gt;46135&lt;/D&gt;&lt;/FQL&gt;&lt;FQL&gt;&lt;Q&gt;UNP^CS_EVENT_TIME_N("ER",1)&lt;/Q&gt;&lt;R&gt;1&lt;/R&gt;&lt;C&gt;1&lt;/C&gt;&lt;D xsi:type="xsd:string"&gt;7:45 AM&lt;/D&gt;&lt;/FQL&gt;&lt;FQL&gt;&lt;Q&gt;UNP^CS_EVENT_DESC_N("ER",1)&lt;/Q&gt;&lt;R&gt;1&lt;/R&gt;&lt;C&gt;1&lt;/C&gt;&lt;D xsi:type="xsd:string"&gt;Q1 2026 Earnings Release&lt;/D&gt;&lt;/FQL&gt;&lt;FQL&gt;&lt;Q&gt;XEL^CS_EVENT_DATEJ_N("ER",1)&lt;/Q&gt;&lt;R&gt;1&lt;/R&gt;&lt;C&gt;1&lt;/C&gt;&lt;D xsi:type="xsd:long"&gt;46135&lt;/D&gt;&lt;/FQL&gt;&lt;FQL&gt;&lt;Q&gt;XEL^CS_EVENT_TIME_N("ER",1)&lt;/Q&gt;&lt;R&gt;1&lt;/R&gt;&lt;C&gt;1&lt;/C&gt;&lt;D xsi:type="xsd:string"&gt;Unspecified&lt;/D&gt;&lt;/FQL&gt;&lt;FQL&gt;&lt;Q&gt;XEL^CS_EVENT_DESC_N("ER",1)&lt;/Q&gt;&lt;R&gt;1&lt;/R&gt;&lt;C&gt;1&lt;/C&gt;&lt;D xsi:type="xsd:string"&gt;Q1 2026 Earnings Release (Projected)&lt;/D&gt;&lt;/FQL&gt;&lt;FQL&gt;&lt;Q&gt;CMS^CS_EVENT_DATEJ_N("ER",1)&lt;/Q&gt;&lt;R&gt;1&lt;/R&gt;&lt;C&gt;1&lt;/C&gt;&lt;D xsi:type="xsd:long"&gt;46135&lt;/D&gt;&lt;/FQL&gt;&lt;FQL&gt;&lt;Q&gt;CMS^CS_EVENT_TIME_N("ER",1)&lt;/Q&gt;&lt;R&gt;1&lt;/R&gt;&lt;C&gt;1&lt;/C&gt;&lt;D xsi:type="xsd:string"&gt;Unspecified&lt;/D&gt;&lt;/FQL&gt;&lt;FQL&gt;&lt;Q&gt;CMS^CS_EVENT_DESC_N("ER",1)&lt;/Q&gt;&lt;R&gt;1&lt;/R&gt;&lt;C&gt;1&lt;/C&gt;&lt;D xsi:type="xsd:string"&gt;Q1 2026 Earnings Release (Projected)&lt;/D&gt;&lt;/FQL&gt;&lt;FQL&gt;&lt;Q&gt;MA^CS_EVENT_DATEJ_N("ER",1)&lt;/Q&gt;&lt;R&gt;1&lt;/R&gt;&lt;C&gt;1&lt;/C&gt;&lt;D xsi:type="xsd:long"&gt;46135&lt;/D&gt;&lt;/FQL&gt;&lt;FQL&gt;&lt;Q&gt;MA^CS_EVENT_TIME_N("ER",1)&lt;/Q&gt;&lt;R&gt;1&lt;/R&gt;&lt;C&gt;1&lt;/C&gt;&lt;D xsi:type="xsd:string"&gt;Unspecified&lt;/D&gt;&lt;/FQL&gt;&lt;FQL&gt;&lt;Q&gt;MA^CS_EVENT_DESC_N("ER",1)&lt;/Q&gt;&lt;R&gt;1&lt;/R&gt;&lt;C&gt;1&lt;/C&gt;&lt;D xsi:type="xsd:string"&gt;Q1 2026 Earnings Release (Projected)&lt;/D&gt;&lt;/FQL&gt;&lt;FQL&gt;&lt;Q&gt;DXCM^CS_EVENT_DATEJ_N("ER",1)&lt;/Q&gt;&lt;R&gt;1&lt;/R&gt;&lt;C&gt;1&lt;/C&gt;&lt;D xsi:type="xsd:long"&gt;46135&lt;/D&gt;&lt;/FQL&gt;&lt;FQL&gt;&lt;Q&gt;DXCM^CS_EVENT_TIME_N("ER",1)&lt;/Q&gt;&lt;R&gt;1&lt;/R&gt;&lt;C&gt;1&lt;/C&gt;&lt;D xsi:type="xsd:string"&gt;Unspecified&lt;/D&gt;&lt;/FQL&gt;&lt;FQL&gt;&lt;Q&gt;DXCM^CS_EVENT_DESC_N("ER",1)&lt;/Q&gt;&lt;R&gt;1&lt;/R&gt;&lt;C&gt;1&lt;/C&gt;&lt;D xsi:type="xsd:string"&gt;Q1 2026 Earnings Release (Projected)&lt;/D&gt;&lt;/FQL&gt;&lt;FQL&gt;&lt;Q&gt;ALLE^CS_EVENT_DATEJ_N("ER",1)&lt;/Q&gt;&lt;R&gt;1&lt;/R&gt;&lt;C&gt;1&lt;/C&gt;&lt;D xsi:type="xsd:long"&gt;46135&lt;/D&gt;&lt;/FQL&gt;&lt;FQL&gt;&lt;Q&gt;ALLE^CS_EVENT_TIME_N("ER",1)&lt;/Q&gt;&lt;R&gt;1&lt;/R&gt;&lt;C&gt;1&lt;/C&gt;&lt;D xsi:type="xsd:string"&gt;Unspecified&lt;/D&gt;&lt;/FQL&gt;&lt;FQL&gt;&lt;Q&gt;ALLE^CS_EVENT_DESC_N("ER",1)&lt;/Q&gt;&lt;R&gt;1&lt;/R&gt;&lt;C&gt;1&lt;/C&gt;&lt;D xsi:type="xsd:string"&gt;Q1 2026 Earnings Release (Projected)&lt;/D&gt;&lt;/FQL&gt;&lt;FQL&gt;&lt;Q&gt;DLR^CS_EVENT_DATEJ_N("ER",1)&lt;/Q&gt;&lt;R&gt;1&lt;/R&gt;&lt;C&gt;1&lt;/C&gt;&lt;D xsi:type="xsd:long"&gt;46135&lt;/D&gt;&lt;/FQL&gt;&lt;FQL&gt;&lt;Q&gt;DLR^CS_EVENT_TIME_N("ER",1)&lt;/Q&gt;&lt;R&gt;1&lt;/R&gt;&lt;C&gt;1&lt;/C&gt;&lt;D xsi:type="xsd:string"&gt;4:05 PM&lt;/D&gt;&lt;/FQL&gt;&lt;FQL&gt;&lt;Q&gt;DLR^CS_EVENT_DESC_N("ER",1)&lt;/Q&gt;&lt;R&gt;1&lt;/R&gt;&lt;C&gt;1&lt;/C&gt;&lt;D xsi:type="xsd:string"&gt;Q1 2026 Earnings Release&lt;/D&gt;&lt;/FQL&gt;&lt;FQL&gt;&lt;Q&gt;KDP^CS_EVENT_DATEJ_N("ER",1)&lt;/Q&gt;&lt;R&gt;1&lt;/R&gt;&lt;C&gt;1&lt;/C&gt;&lt;D xsi:type="xsd:long"&gt;46135&lt;/D&gt;&lt;/FQL&gt;&lt;FQL&gt;&lt;Q&gt;KDP^CS_EVENT_TIME_N("ER",1)&lt;/Q&gt;&lt;R&gt;1&lt;/R&gt;&lt;C&gt;1&lt;/C&gt;&lt;D xsi:type="xsd:string"&gt;Before Market&lt;/D&gt;&lt;/FQL&gt;&lt;FQL&gt;&lt;Q&gt;KDP^CS_EVENT_DESC_N("ER",1)&lt;/Q&gt;&lt;R&gt;1&lt;/R&gt;&lt;C&gt;1&lt;/C&gt;&lt;D xsi:type="xsd:string"&gt;Q1 2026 Earnings Release&lt;/D&gt;&lt;/FQL&gt;&lt;FQL&gt;&lt;Q&gt;BKR^CS_EVENT_DATEJ_N("ER",1)&lt;/Q&gt;&lt;R&gt;1&lt;/R&gt;&lt;C&gt;1&lt;/C&gt;&lt;D xsi:type="xsd:long"&gt;46135&lt;/D&gt;&lt;/FQL&gt;&lt;FQL&gt;&lt;Q&gt;BKR^CS_EVENT_TIME_N("ER",1)&lt;/Q&gt;&lt;R&gt;1&lt;/R&gt;&lt;C&gt;1&lt;/C&gt;&lt;D xsi:type="xsd:string"&gt;5:00 PM&lt;/D&gt;&lt;/FQL&gt;&lt;FQL&gt;&lt;Q&gt;BKR^CS_EVENT_DESC_N("ER",1)&lt;/Q&gt;&lt;R&gt;1&lt;/R&gt;&lt;C&gt;1&lt;/C&gt;&lt;D xsi:type="xsd:string"&gt;Q1 2026 Earnings Release&lt;/D&gt;&lt;/FQL&gt;&lt;FQL&gt;&lt;Q&gt;CMCSA^CS_EVENT_DATEJ_N("ER",1)&lt;/Q&gt;&lt;R&gt;1&lt;/R&gt;&lt;C&gt;1&lt;/C&gt;&lt;D xsi:type="xsd:long"&gt;46135&lt;/D&gt;&lt;/FQL&gt;&lt;FQL&gt;&lt;Q&gt;CMCSA^CS_EVENT_TIME_N("ER",1)&lt;/Q&gt;&lt;R&gt;1&lt;/R&gt;&lt;C&gt;1&lt;/C&gt;&lt;D xsi:type="xsd:string"&gt;Before Market&lt;/D&gt;&lt;/FQL&gt;&lt;FQL&gt;&lt;Q&gt;CMCSA^CS_EVENT_DESC_N("ER",1)&lt;/Q&gt;&lt;R&gt;1&lt;/R&gt;&lt;C&gt;1&lt;/C&gt;&lt;D xsi:type="xsd:string"&gt;Q1 2026 Earnings Release&lt;/D&gt;&lt;/FQL&gt;&lt;FQL&gt;&lt;Q&gt;CBRE^CS_EVENT_DATEJ_N("ER",1)&lt;/Q&gt;&lt;R&gt;1&lt;/R&gt;&lt;C&gt;1&lt;/C&gt;&lt;D xsi:type="xsd:long"&gt;46135&lt;/D&gt;&lt;/FQL&gt;&lt;FQL&gt;&lt;Q&gt;CBRE^CS_EVENT_TIME_N("ER",1)&lt;/Q&gt;&lt;R&gt;1&lt;/R&gt;&lt;C&gt;1&lt;/C&gt;&lt;D xsi:type="xsd:string"&gt;6:55 AM&lt;/D&gt;&lt;/FQL&gt;&lt;FQL&gt;&lt;Q&gt;CBRE^CS_EVENT_DESC_N("ER",1)&lt;/Q&gt;&lt;R&gt;1&lt;/R&gt;&lt;C&gt;1&lt;/C&gt;&lt;D xsi:type="xsd:string"&gt;Q1 2026 Earnings Release&lt;/D&gt;&lt;/FQL&gt;&lt;FQL&gt;&lt;Q&gt;DOC^CS_EVENT_DATEJ_N("ER",1)&lt;/Q&gt;&lt;R&gt;1&lt;/R&gt;&lt;C&gt;1&lt;/C&gt;&lt;D xsi:type="xsd:long"&gt;46135&lt;/D&gt;&lt;/FQL&gt;&lt;FQL&gt;&lt;Q&gt;DOC^CS_EVENT_TIME_N("ER",1)&lt;/Q&gt;&lt;R&gt;1&lt;/R&gt;&lt;C&gt;1&lt;/C&gt;&lt;D xsi:type="xsd:string"&gt;Unspecified&lt;/D&gt;&lt;/FQL&gt;&lt;FQL&gt;&lt;Q&gt;DOC^CS_EVENT_DESC_N("ER",1)&lt;/Q&gt;&lt;R&gt;1&lt;/R&gt;&lt;C&gt;1&lt;/C&gt;&lt;D xsi:type="xsd:string"&gt;Q1 2026 Earnings Release (Projected)&lt;/D&gt;&lt;/FQL&gt;&lt;FQL&gt;&lt;Q&gt;AMP^CS_EVENT_DATEJ_N("ER",1)&lt;/Q&gt;&lt;R&gt;1&lt;/R&gt;&lt;C&gt;1&lt;/C&gt;&lt;D xsi:type="xsd:long"&gt;46135&lt;/D&gt;&lt;/FQL&gt;&lt;FQL&gt;&lt;Q&gt;AMP^CS_EVENT_TIME_N("ER",1)&lt;/Q&gt;&lt;R&gt;1&lt;/R&gt;&lt;C&gt;1&lt;/C&gt;&lt;D xsi:type="xsd:string"&gt;4:15 PM&lt;/D&gt;&lt;/FQL&gt;&lt;FQL&gt;&lt;Q&gt;AMP^CS_EVENT_DESC_N("ER",1)&lt;/Q&gt;&lt;R&gt;1&lt;/R&gt;&lt;C&gt;1&lt;/C&gt;&lt;D xsi:type="xsd:string"&gt;Q1 2026 Earnings Release&lt;/D&gt;&lt;/FQL&gt;&lt;FQL&gt;&lt;Q&gt;FSLR^CS_EVENT_DATEJ_N("ER",1)&lt;/Q&gt;&lt;R&gt;1&lt;/R&gt;&lt;C&gt;1&lt;/C&gt;&lt;D xsi:type="xsd:long"&gt;46135&lt;/D&gt;&lt;/FQL&gt;&lt;FQL&gt;&lt;Q&gt;FSLR^CS_EVENT_TIME_N("ER",1)&lt;/Q&gt;&lt;R&gt;1&lt;/R&gt;&lt;C&gt;1&lt;/C&gt;&lt;D xsi:type="xsd:string"&gt;Unspecified&lt;/D&gt;&lt;/FQL&gt;&lt;FQL&gt;&lt;Q&gt;FSLR^CS_EVENT_DESC_N("ER",1)&lt;/Q&gt;&lt;R&gt;1&lt;/R&gt;&lt;C&gt;1&lt;/C&gt;&lt;D xsi:type="xsd:string"&gt;Q1 2026 Earnings Release (Projected)&lt;/D&gt;&lt;/FQL&gt;&lt;FQL&gt;&lt;Q&gt;FTV^CS_EVENT_DATEJ_N("ER",1)&lt;/Q&gt;&lt;R&gt;1&lt;/R&gt;&lt;C&gt;1&lt;/C&gt;&lt;D xsi:type="xsd:long"&gt;46135&lt;/D&gt;&lt;/FQL&gt;&lt;FQL&gt;&lt;Q&gt;FTV^CS_EVENT_TIME_N("ER",1)&lt;/Q&gt;&lt;R&gt;1&lt;/R&gt;&lt;C&gt;1&lt;/C&gt;&lt;D xsi:type="xsd:string"&gt;Unspecified&lt;/D&gt;&lt;/FQL&gt;&lt;FQL&gt;&lt;Q&gt;FTV^CS_EVENT_DESC_N("ER",1)&lt;/Q&gt;&lt;R&gt;1&lt;/R&gt;&lt;C&gt;1&lt;/C&gt;&lt;D xsi:type="xsd:string"&gt;Q1 2026 Earnings Release (Projected)&lt;/D&gt;&lt;/FQL&gt;&lt;FQL&gt;&lt;Q&gt;DOW^CS_EVENT_DATEJ_N("ER",1)&lt;/Q&gt;&lt;R&gt;1&lt;/R&gt;&lt;C&gt;1&lt;/C&gt;&lt;D xsi:type="xsd:long"&gt;46135&lt;/D&gt;&lt;/FQL&gt;&lt;FQL&gt;&lt;Q&gt;DOW^CS_EVENT_TIME_N("ER",1)&lt;/Q&gt;&lt;R&gt;1&lt;/R&gt;&lt;C&gt;1&lt;/C&gt;&lt;D xsi:type="xsd:string"&gt;6:00 AM&lt;/D&gt;&lt;/FQL&gt;&lt;FQL&gt;&lt;Q&gt;DOW^CS_EVENT_DESC_N("ER",1)&lt;/Q&gt;&lt;R&gt;1&lt;/R&gt;&lt;C&gt;1&lt;/C&gt;&lt;D xsi:type="xsd:string"&gt;Q1 2026 Earnings Release&lt;/D&gt;&lt;/FQL&gt;&lt;FQL&gt;&lt;Q&gt;CARR^CS_EVENT_DATEJ_N("ER",1)&lt;/Q&gt;&lt;R&gt;1&lt;/R&gt;&lt;C&gt;1&lt;/C&gt;&lt;D xsi:type="xsd:long"&gt;46135&lt;/D&gt;&lt;/FQL&gt;&lt;FQL&gt;&lt;Q&gt;CARR^CS_EVENT_TIME_N("ER",1)&lt;/Q&gt;&lt;R&gt;1&lt;/R&gt;&lt;C&gt;1&lt;/C&gt;&lt;D xsi:type="xsd:string"&gt;Unspecified&lt;/D&gt;&lt;/FQL&gt;&lt;FQL&gt;&lt;Q&gt;CARR^CS_EVENT_DESC_N("ER",1)&lt;/Q&gt;&lt;R&gt;1&lt;/R&gt;&lt;C&gt;1&lt;/C&gt;&lt;D xsi:type="xsd:string"&gt;Q1 2026 Earnings Release (Projected)&lt;/D&gt;&lt;/FQL&gt;&lt;FQL&gt;&lt;Q&gt;CVX^CS_EVENT_DATEJ_N("ER",1)&lt;/Q&gt;&lt;R&gt;1&lt;/R&gt;&lt;C&gt;1&lt;/C&gt;&lt;D xsi:type="xsd:long"&gt;46136&lt;/D&gt;&lt;/FQL&gt;&lt;FQL&gt;&lt;Q&gt;CVX^CS_EVENT_TIME_N("ER",1)&lt;/Q&gt;&lt;R&gt;1&lt;/R&gt;&lt;C&gt;1&lt;/C&gt;&lt;D xsi:type="xsd:string"&gt;Unspecified&lt;/D&gt;&lt;/FQL&gt;&lt;FQL&gt;&lt;Q&gt;CVX^CS_EVENT_DESC_N("ER",1)&lt;/Q&gt;&lt;R&gt;1&lt;/R&gt;&lt;C&gt;1&lt;/C&gt;&lt;D xsi:type="xsd:string"&gt;Q1 2026 Earnings Release (Projected)&lt;/D&gt;&lt;/FQL&gt;&lt;FQL&gt;&lt;Q&gt;PG^CS_EVENT_DATEJ_N("ER",1)&lt;/Q&gt;&lt;R&gt;1&lt;/R&gt;&lt;C&gt;1&lt;/C&gt;&lt;D xsi:type="xsd:long"&gt;46136&lt;/D&gt;&lt;/FQL&gt;&lt;FQL&gt;&lt;Q&gt;PG^CS_EVENT_TIME_N("ER",1)&lt;/Q&gt;&lt;R&gt;1&lt;/R&gt;&lt;C&gt;1&lt;/C&gt;&lt;D xsi:type="xsd:string"&gt;7:00 AM&lt;/D&gt;&lt;/FQL&gt;&lt;FQL&gt;&lt;Q&gt;PG^CS_EVENT_DESC_N("ER",1)&lt;/Q&gt;&lt;R&gt;1&lt;/R&gt;&lt;C&gt;1&lt;/C&gt;&lt;D xsi:type="xsd:string"&gt;Q3 2026 Earnings Release&lt;/D&gt;&lt;/FQL&gt;&lt;FQL&gt;&lt;Q&gt;NSC^CS_EVENT_DATEJ_N("ER",1)&lt;/Q&gt;&lt;R&gt;1&lt;/R&gt;&lt;C&gt;1&lt;/C&gt;&lt;D xsi:type="xsd:long"&gt;46136&lt;/D&gt;&lt;/FQL&gt;&lt;FQL&gt;&lt;Q&gt;NSC^CS_EVENT_TIME_N("ER",1)&lt;/Q&gt;&lt;R&gt;1&lt;/R&gt;&lt;C&gt;1&lt;/C&gt;&lt;D xsi:type="xsd:string"&gt;Before Market&lt;/D&gt;&lt;/FQL&gt;&lt;FQL&gt;&lt;Q&gt;NSC^CS_EVENT_DESC_N("ER",1)&lt;/Q&gt;&lt;R&gt;1&lt;/R&gt;&lt;C&gt;1&lt;/C&gt;&lt;D xsi:type="xsd:string"&gt;Q1 2026 Earnings Release&lt;/D&gt;&lt;/FQL&gt;&lt;FQL&gt;&lt;Q&gt;XOM^CS_EVENT_DATEJ_N("ER",1)&lt;/Q&gt;&lt;R&gt;1&lt;/R&gt;&lt;C&gt;1&lt;/C&gt;&lt;D xsi:type="xsd:long"&gt;46136&lt;/D&gt;&lt;/FQL&gt;&lt;FQL&gt;&lt;Q&gt;XOM^CS_EVENT_TIME_N("ER",1)&lt;/Q&gt;&lt;R&gt;1&lt;/R&gt;&lt;C&gt;1&lt;/C&gt;&lt;D xsi:type="xsd:string"&gt;Unspecified&lt;/D&gt;&lt;/FQL&gt;&lt;FQL&gt;&lt;Q&gt;XOM^CS_EVENT_DESC_N("ER",1)&lt;/Q&gt;&lt;R&gt;1&lt;/R&gt;&lt;C&gt;1&lt;/C&gt;&lt;D xsi:type="xsd:string"&gt;Q1 2026 Earnings Release (Projected)&lt;/D&gt;&lt;/FQL&gt;&lt;FQL&gt;&lt;Q&gt;SLB^CS_EVENT_DATEJ_N("ER",1)&lt;/Q&gt;&lt;R&gt;1&lt;/R&gt;&lt;C&gt;1&lt;/C&gt;&lt;D xsi:type="xsd:long"&gt;46136&lt;/D&gt;&lt;/FQL&gt;&lt;FQL&gt;&lt;Q&gt;SLB^CS_EVENT_TIME_N("ER",1)&lt;/Q&gt;&lt;R&gt;1&lt;/R&gt;&lt;C&gt;1&lt;/C&gt;&lt;D xsi:type="xsd:string"&gt;7:00 AM&lt;/D&gt;&lt;/FQL&gt;&lt;FQL&gt;&lt;Q&gt;SLB^CS_EVENT_DESC_N("ER",1)&lt;/Q&gt;&lt;R&gt;1&lt;/R&gt;&lt;C&gt;1&lt;/C&gt;&lt;D xsi:type="xsd:string"&gt;Q1 2026 Earnings Release&lt;/D&gt;&lt;/FQL&gt;&lt;FQL&gt;&lt;Q&gt;HCA^CS_EVENT_DATEJ_N("ER",1)&lt;/Q&gt;&lt;R&gt;1&lt;/R&gt;&lt;C&gt;1&lt;/C&gt;&lt;D xsi:type="xsd:long"&gt;46136&lt;/D&gt;&lt;/FQL&gt;&lt;FQL&gt;&lt;Q&gt;HCA^CS_EVENT_TIME_N("ER",1)&lt;/Q&gt;&lt;R&gt;1&lt;/R&gt;&lt;C&gt;1&lt;/C&gt;&lt;D xsi:type="xsd:string"&gt;Before Market&lt;/D&gt;&lt;/FQL&gt;&lt;FQL&gt;&lt;Q&gt;HCA^CS_EVENT_DESC_N("ER",1)&lt;/Q&gt;&lt;R&gt;1&lt;/R&gt;&lt;C&gt;1&lt;/C&gt;&lt;D xsi:type="xsd:string"&gt;Q1 2026 Earnings Release&lt;/D&gt;&lt;/FQL&gt;&lt;FQL&gt;&lt;Q&gt;CHTR^CS_EVENT_DATEJ_N("ER",1)&lt;/Q&gt;&lt;R&gt;1&lt;/R&gt;&lt;C&gt;1&lt;/C&gt;&lt;D xsi:type="xsd:long"&gt;46136&lt;/D&gt;&lt;/FQL&gt;&lt;FQL&gt;&lt;Q&gt;CHTR^CS_EVENT_TIME_N("ER",1)&lt;/Q&gt;&lt;R&gt;1&lt;/R&gt;&lt;C&gt;1&lt;/C&gt;&lt;D xsi:type="xsd:string"&gt;7:00 AM&lt;/D&gt;&lt;/FQL&gt;&lt;FQL&gt;&lt;Q&gt;CHTR^CS_EVENT_DESC_N("ER",1)&lt;/Q&gt;&lt;R&gt;1&lt;/R&gt;&lt;C&gt;1&lt;/C&gt;&lt;D xsi:type="xsd:string"&gt;Q1 2026 Earnings Release&lt;/D&gt;&lt;/FQL&gt;&lt;FQL&gt;&lt;Q&gt;LYB^CS_EVENT_DATEJ_N("ER",1)&lt;/Q&gt;&lt;R&gt;1&lt;/R&gt;&lt;C&gt;1&lt;/C&gt;&lt;D xsi:type="xsd:long"&gt;46136&lt;/D&gt;&lt;/FQL&gt;&lt;FQL&gt;&lt;Q&gt;LYB^CS_EVENT_TIME_N("ER",1)&lt;/Q&gt;&lt;R&gt;1&lt;/R&gt;&lt;C&gt;1&lt;/C&gt;&lt;D xsi:type="xsd:string"&gt;Unspecified&lt;/D&gt;&lt;/FQL&gt;&lt;FQL&gt;&lt;Q&gt;LYB^CS_EVENT_DESC_N("ER",1)&lt;/Q&gt;&lt;R&gt;1&lt;/R&gt;&lt;C&gt;1&lt;/C&gt;&lt;D xsi:type="xsd:string"&gt;Q1 2026 Earnings Release (Projected)&lt;/D&gt;&lt;/FQL&gt;&lt;FQL&gt;&lt;Q&gt;ARES^CS_EVENT_DATEJ_N("ER",1)&lt;/Q&gt;&lt;R&gt;1&lt;/R&gt;&lt;C&gt;1&lt;/C&gt;&lt;D xsi:type="xsd:long"&gt;46136&lt;/D&gt;&lt;/FQL&gt;&lt;FQL&gt;&lt;Q&gt;ARES^CS_EVENT_TIME_N("ER",1)&lt;/Q&gt;&lt;R&gt;1&lt;/R&gt;&lt;C&gt;1&lt;/C&gt;&lt;D xsi:type="xsd:string"&gt;Unspecified&lt;/D&gt;&lt;/FQL&gt;&lt;FQL&gt;&lt;Q&gt;ARES^CS_EVENT_DESC_N("ER",1)&lt;/Q&gt;&lt;R&gt;1&lt;/R&gt;&lt;C&gt;1&lt;/C&gt;&lt;D xsi:type="xsd:string"&gt;Q1 2026 Earnings Release (Projected)&lt;/D&gt;&lt;/FQL&gt;&lt;FQL&gt;&lt;Q&gt;UHS^CS_EVENT_DATEJ_N("ER",1)&lt;/Q&gt;&lt;R&gt;1&lt;/R&gt;&lt;C&gt;1&lt;/C&gt;&lt;D xsi:type="xsd:long"&gt;46139&lt;/D&gt;&lt;/FQL&gt;&lt;FQL&gt;&lt;Q&gt;UHS^CS_EVENT_TIME_N("ER",1)&lt;/Q&gt;&lt;R&gt;1&lt;/R&gt;&lt;C&gt;1&lt;/C&gt;&lt;D xsi:type="xsd:string"&gt;Unspecified&lt;/D&gt;&lt;/FQL&gt;&lt;FQL&gt;&lt;Q&gt;UHS^CS_EVENT_DESC_N("ER",1)&lt;/Q&gt;&lt;R&gt;1&lt;/R&gt;&lt;C&gt;1&lt;/C&gt;&lt;D xsi:type="xsd:string"&gt;Q1 2026 Earnings Release (Projected)&lt;/D&gt;&lt;/FQL&gt;&lt;FQL&gt;&lt;Q&gt;ARE^CS_EVENT_DATEJ_N("ER",1)&lt;/Q&gt;&lt;R&gt;1&lt;/R&gt;&lt;C&gt;1&lt;/C&gt;&lt;D xsi:type="xsd:long"&gt;46139&lt;/D&gt;&lt;/FQL&gt;&lt;FQL&gt;&lt;Q&gt;ARE^CS_EVENT_TIME_N("ER",1)&lt;/Q&gt;&lt;R&gt;1&lt;/R&gt;&lt;C&gt;1&lt;/C&gt;&lt;D xsi:type="xsd:string"&gt;4:10 PM&lt;/D&gt;&lt;/FQL&gt;&lt;FQL&gt;&lt;Q&gt;ARE^CS_EVENT_DESC_N("ER",1)&lt;/Q&gt;&lt;R&gt;1&lt;/R&gt;&lt;C&gt;1&lt;/C&gt;&lt;D xsi:type="xsd:string"&gt;Q1 2026 Earnings Release&lt;/D&gt;&lt;/FQL&gt;&lt;FQL&gt;&lt;Q&gt;VZ^CS_EVENT_DATEJ_N("ER",1)&lt;/Q&gt;&lt;R&gt;1&lt;/R&gt;&lt;C&gt;1&lt;/C&gt;&lt;D xsi:type="xsd:long"&gt;46139&lt;/D&gt;&lt;/FQL&gt;&lt;FQL&gt;&lt;Q&gt;VZ^CS_EVENT_TIME_N("ER",1)&lt;/Q&gt;&lt;R&gt;1&lt;/R&gt;&lt;C&gt;1&lt;/C&gt;&lt;D xsi:type="xsd:string"&gt;7:00 AM&lt;/D&gt;&lt;/FQL&gt;&lt;FQL&gt;&lt;Q&gt;VZ^CS_EVENT_DESC_N("ER",1)&lt;/Q&gt;&lt;R&gt;1&lt;/R&gt;&lt;C&gt;1&lt;/C&gt;&lt;D xsi:type="xsd:string"&gt;Q1 2026 Earnings Release&lt;/D&gt;&lt;/FQL&gt;&lt;FQL&gt;&lt;Q&gt;BRO^CS_EVENT_DATEJ_N("ER",1)&lt;/Q&gt;&lt;R&gt;1&lt;/R&gt;&lt;C&gt;1&lt;/C&gt;&lt;D xsi:type="xsd:long"&gt;46139&lt;/D&gt;&lt;/FQL&gt;&lt;FQL&gt;&lt;Q&gt;BRO^CS_EVENT_TIME_N("ER",1)&lt;/Q&gt;&lt;R&gt;1&lt;/R&gt;&lt;C&gt;1&lt;/C&gt;&lt;D xsi:type="xsd:string"&gt;After Market&lt;/D&gt;&lt;/FQL&gt;&lt;FQL&gt;&lt;Q&gt;BRO^CS_EVENT_DESC_N("ER",1)&lt;/Q&gt;&lt;R&gt;1&lt;/R&gt;&lt;C&gt;1&lt;/C&gt;&lt;D xsi:type="xsd:string"&gt;Q1 2026 Earnings Release&lt;/D&gt;&lt;/FQL&gt;&lt;FQL&gt;&lt;Q&gt;CDNS^CS_EVENT_DATEJ_N("ER",1)&lt;/Q&gt;&lt;R&gt;1&lt;/R&gt;&lt;C&gt;1&lt;/C&gt;&lt;D xsi:type="xsd:long"&gt;46139&lt;/D&gt;&lt;/FQL&gt;&lt;FQL&gt;&lt;Q&gt;CDNS^CS_EVENT_TIME_N("ER",1)&lt;/Q&gt;&lt;R&gt;1&lt;/R&gt;&lt;C&gt;1&lt;/C&gt;&lt;D xsi:type="xsd:string"&gt;Unspecified&lt;/D&gt;&lt;/FQL&gt;&lt;FQL&gt;&lt;Q&gt;CDNS^CS_EVENT_DESC_N("ER",1)&lt;/Q&gt;&lt;R&gt;1&lt;/R&gt;&lt;C&gt;1&lt;/C&gt;&lt;D xsi:type="xsd:string"&gt;Q1 2026 Earnings Release (Projected)&lt;/D&gt;&lt;/FQL&gt;&lt;FQL&gt;&lt;Q&gt;NUE^CS_EVENT_DATEJ_N("ER",1)&lt;/Q&gt;&lt;R&gt;1&lt;/R&gt;&lt;C&gt;1&lt;/C&gt;&lt;D xsi:type="xsd:long"&gt;46139&lt;/D&gt;&lt;/FQL&gt;&lt;FQL&gt;&lt;Q&gt;NUE^CS_EVENT_TIME_N("ER",1)&lt;/Q&gt;&lt;R&gt;1&lt;/R&gt;&lt;C&gt;1&lt;/C&gt;&lt;D xsi:type="xsd:string"&gt;4:30 PM&lt;/D&gt;&lt;/FQL&gt;&lt;FQL&gt;&lt;Q&gt;NUE^CS_EVENT_DESC_N("ER",1)&lt;/Q&gt;&lt;R&gt;1&lt;/R&gt;&lt;C&gt;1&lt;/C&gt;&lt;D xsi:type="xsd:string"&gt;Q1 2026 Earnings Release&lt;/D&gt;&lt;/FQL&gt;&lt;FQL&gt;&lt;Q&gt;LII^CS_EVENT_DATEJ_N("ER",1)&lt;/Q&gt;&lt;R&gt;1&lt;/R&gt;&lt;C&gt;1&lt;/C&gt;&lt;D xsi:type="xsd:long"&gt;46139&lt;/D&gt;&lt;/FQL&gt;&lt;FQL&gt;&lt;Q&gt;LII^CS_EVENT_TIME_N("ER",1)&lt;/Q&gt;&lt;R&gt;1&lt;/R&gt;&lt;C&gt;1&lt;/C&gt;&lt;D xsi:type="xsd:string"&gt;Unspecified&lt;/D&gt;&lt;/FQL&gt;&lt;FQL&gt;&lt;Q&gt;LII^CS_EVENT_DESC_N("ER",1)&lt;/Q&gt;&lt;R&gt;1&lt;/R&gt;&lt;C&gt;1&lt;/C&gt;&lt;D xsi:type="xsd:string"&gt;Q1 2026 Earnings Release (Projected)&lt;/D&gt;&lt;/FQL&gt;&lt;FQL&gt;&lt;Q&gt;DPZ^CS_EVENT_DATEJ_N("ER",1)&lt;/Q&gt;&lt;R&gt;1&lt;/R&gt;&lt;C&gt;1&lt;/C&gt;&lt;D xsi:type="xsd:long"&gt;46139&lt;/D&gt;&lt;/FQL&gt;&lt;FQL&gt;&lt;Q&gt;DPZ^CS_EVENT_TIME_N("ER",1)&lt;/Q&gt;&lt;R&gt;1&lt;/R&gt;&lt;C&gt;1&lt;/C&gt;&lt;D xsi:type="xsd:string"&gt;6:05 AM&lt;/D&gt;&lt;/FQL&gt;&lt;FQL&gt;&lt;Q&gt;DPZ^CS_EVENT_DESC_N("ER",1)&lt;/Q&gt;&lt;R&gt;1&lt;/R&gt;&lt;C&gt;1&lt;/C&gt;&lt;D xsi:type="xsd:string"&gt;Q1 2026 Earnings Release&lt;/D&gt;&lt;/FQL&gt;&lt;FQL&gt;&lt;Q&gt;MSFT^CS_EVENT_DATEJ_N("ER",1)&lt;/Q&gt;&lt;R&gt;1&lt;/R&gt;&lt;C&gt;1&lt;/C&gt;&lt;D xsi:type="xsd:long"&gt;46140&lt;/D&gt;&lt;/FQL&gt;&lt;FQL&gt;&lt;Q&gt;MSFT^CS_EVENT_TIME_N("ER",1)&lt;/Q&gt;&lt;R&gt;1&lt;/R&gt;&lt;C&gt;1&lt;/C&gt;&lt;D xsi:type="xsd:string"&gt;Unspecified&lt;/D&gt;&lt;/FQL&gt;&lt;FQL&gt;&lt;Q&gt;MSFT^CS_EVENT_DESC_N("ER",1)&lt;/Q&gt;&lt;R&gt;1&lt;/R&gt;&lt;C&gt;1&lt;/C&gt;&lt;D xsi:type="xsd:string"&gt;Q3 2026 Earnings Release (Projected)&lt;/D&gt;&lt;/FQL&gt;&lt;FQL&gt;&lt;Q&gt;MCO^CS_EVENT_DATEJ_N("ER",1)&lt;/Q&gt;&lt;R&gt;1&lt;/R&gt;&lt;C&gt;1&lt;/C&gt;&lt;D xsi:type="xsd:long"&gt;46140&lt;/D&gt;&lt;/FQL&gt;&lt;FQL&gt;&lt;Q&gt;MCO^CS_EVENT_TIME_N("ER",1)&lt;/Q&gt;&lt;R&gt;1&lt;/R&gt;&lt;C&gt;1&lt;/C&gt;&lt;D xsi:type="xsd:string"&gt;Unspecified&lt;/D&gt;&lt;/FQL&gt;&lt;FQL&gt;&lt;Q&gt;MCO^CS_EVENT_DESC_N("ER",1)&lt;/Q&gt;&lt;R&gt;1&lt;/R&gt;&lt;C&gt;1&lt;/C&gt;&lt;D xsi:type="xsd:string"&gt;Q1 2026 Earnings Release (Projected)&lt;/D&gt;&lt;/FQL&gt;&lt;FQL&gt;&lt;Q&gt;KO^CS_EVENT_DATEJ_N("ER",1)&lt;/Q&gt;&lt;R&gt;1&lt;/R&gt;&lt;C&gt;1&lt;/C&gt;&lt;D xsi:type="xsd:long"&gt;46140&lt;/D&gt;&lt;/FQL&gt;&lt;FQL&gt;&lt;Q&gt;KO^CS_EVENT_TIME_N("ER",1)&lt;/Q&gt;&lt;R&gt;1&lt;/R&gt;&lt;C&gt;1&lt;/C&gt;&lt;D xsi:type="xsd:string"&gt;6:55 AM&lt;/D&gt;&lt;/FQL&gt;&lt;FQL&gt;&lt;Q&gt;KO^CS_EVENT_DESC_N("ER",1)&lt;/Q&gt;&lt;R&gt;1&lt;/R&gt;&lt;C&gt;1&lt;/C&gt;&lt;D xsi:type="xsd:string"&gt;Q1 2026 Earnings Release&lt;/D&gt;&lt;/FQL&gt;&lt;FQL&gt;&lt;Q&gt;FISV^CS_EVENT_DATEJ_N("ER",1)&lt;/Q&gt;&lt;R&gt;1&lt;/R&gt;&lt;C&gt;1&lt;/C&gt;&lt;D xsi:type="xsd:long"&gt;46140&lt;/D&gt;&lt;/FQL&gt;&lt;FQL&gt;&lt;Q&gt;FISV^CS_EVENT_TIME_N("ER",1)&lt;/Q&gt;&lt;R&gt;1&lt;/R&gt;&lt;C&gt;1&lt;/C&gt;&lt;D xsi:type="xsd:string"&gt;Unspecified&lt;/D&gt;&lt;/FQL&gt;&lt;FQL&gt;&lt;Q&gt;FISV^CS_EVENT_DESC_N("ER",1)&lt;/Q&gt;&lt;R&gt;1&lt;/R&gt;&lt;C&gt;1&lt;/C&gt;&lt;D xsi:type="xsd:string"&gt;Q1 2026 Earnings Release (Projected)&lt;/D&gt;&lt;/FQL&gt;&lt;FQL&gt;&lt;Q&gt;AMT^CS_EVENT_DATEJ_N("ER",1)&lt;/Q&gt;&lt;R&gt;1&lt;/R&gt;&lt;C&gt;1&lt;/C&gt;&lt;D xsi:type="xsd:long"&gt;46140&lt;/D&gt;&lt;/FQL&gt;&lt;FQL&gt;&lt;Q&gt;AMT^CS_EVENT_TIME_N("ER",1)&lt;/Q&gt;&lt;R&gt;1&lt;/R&gt;&lt;C&gt;1&lt;/C&gt;&lt;D xsi:type="xsd:string"&gt;7:00 AM&lt;/D&gt;&lt;/FQL&gt;&lt;FQL&gt;&lt;Q&gt;AMT^CS_EVENT_DESC_N("ER",1)&lt;/Q&gt;&lt;R&gt;1&lt;/R&gt;&lt;C&gt;1&lt;/C&gt;&lt;D xsi:type="xsd:string"&gt;Q1 2026 Earnings Release&lt;/D&gt;&lt;/FQL&gt;&lt;FQL&gt;&lt;Q&gt;NVR^CS_EVENT_DATEJ_N("ER",1)&lt;/Q&gt;&lt;R&gt;1&lt;/R&gt;&lt;C&gt;1&lt;/C&gt;&lt;D xsi:type="xsd:long"&gt;46140&lt;/D&gt;&lt;/FQL&gt;&lt;FQL&gt;&lt;Q&gt;NVR^CS_EVENT_TIME_N("ER",1)&lt;/Q&gt;&lt;R&gt;1&lt;/R&gt;&lt;C&gt;1&lt;/C&gt;&lt;D xsi:type="xsd:string"&gt;Unspecified&lt;/D&gt;&lt;/FQL&gt;&lt;FQL&gt;&lt;Q&gt;NVR^CS_EVENT_DESC_N("ER",1)&lt;/Q&gt;&lt;R&gt;1&lt;/R&gt;&lt;C&gt;1&lt;/C&gt;&lt;D xsi:type="xsd:string"&gt;Q1</t>
        </r>
      </text>
    </comment>
    <comment ref="A27" authorId="0" shapeId="0" xr:uid="{0E3BA8A1-CC3E-4F19-B33E-EFD4A7C5C085}">
      <text>
        <r>
          <rPr>
            <b/>
            <sz val="9"/>
            <color indexed="81"/>
            <rFont val="Tahoma"/>
            <family val="2"/>
          </rPr>
          <t xml:space="preserve"> 2026 Earnings Release (Projected)&lt;/D&gt;&lt;/FQL&gt;&lt;FQL&gt;&lt;Q&gt;ROP^CS_EVENT_DATEJ_N("ER",1)&lt;/Q&gt;&lt;R&gt;1&lt;/R&gt;&lt;C&gt;1&lt;/C&gt;&lt;D xsi:type="xsd:long"&gt;46140&lt;/D&gt;&lt;/FQL&gt;&lt;FQL&gt;&lt;Q&gt;ROP^CS_EVENT_TIME_N("ER",1)&lt;/Q&gt;&lt;R&gt;1&lt;/R&gt;&lt;C&gt;1&lt;/C&gt;&lt;D xsi:type="xsd:string"&gt;Unspecified&lt;/D&gt;&lt;/FQL&gt;&lt;FQL&gt;&lt;Q&gt;ROP^CS_EVENT_DESC_N("ER",1)&lt;/Q&gt;&lt;R&gt;1&lt;/R&gt;&lt;C&gt;1&lt;/C&gt;&lt;D xsi:type="xsd:string"&gt;Q1 2026 Earnings Release (Projected)&lt;/D&gt;&lt;/FQL&gt;&lt;FQL&gt;&lt;Q&gt;TER^CS_EVENT_DATEJ_N("ER",1)&lt;/Q&gt;&lt;R&gt;1&lt;/R&gt;&lt;C&gt;1&lt;/C&gt;&lt;D xsi:type="xsd:long"&gt;46140&lt;/D&gt;&lt;/FQL&gt;&lt;FQL&gt;&lt;Q&gt;TER^CS_EVENT_TIME_N("ER",1)&lt;/Q&gt;&lt;R&gt;1&lt;/R&gt;&lt;C&gt;1&lt;/C&gt;&lt;D xsi:type="xsd:string"&gt;Unspecified&lt;/D&gt;&lt;/FQL&gt;&lt;FQL&gt;&lt;Q&gt;TER^CS_EVENT_DESC_N("ER",1)&lt;/Q&gt;&lt;R&gt;1&lt;/R&gt;&lt;C&gt;1&lt;/C&gt;&lt;D xsi:type="xsd:string"&gt;Q1 2026 Earnings Release (Projected)&lt;/D&gt;&lt;/FQL&gt;&lt;FQL&gt;&lt;Q&gt;MMM^CS_EVENT_DATEJ_N("ER",1)&lt;/Q&gt;&lt;R&gt;1&lt;/R&gt;&lt;C&gt;1&lt;/C&gt;&lt;D xsi:type="xsd:long"&gt;46140&lt;/D&gt;&lt;/FQL&gt;&lt;FQL&gt;&lt;Q&gt;MMM^CS_EVENT_TIME_N("ER",1)&lt;/Q&gt;&lt;R&gt;1&lt;/R&gt;&lt;C&gt;1&lt;/C&gt;&lt;D xsi:type="xsd:string"&gt;Unspecified&lt;/D&gt;&lt;/FQL&gt;&lt;FQL&gt;&lt;Q&gt;MMM^CS_EVENT_DESC_N("ER",1)&lt;/Q&gt;&lt;R&gt;1&lt;/R&gt;&lt;C&gt;1&lt;/C&gt;&lt;D xsi:type="xsd:string"&gt;Q1 2026 Earnings Release (Projected)&lt;/D&gt;&lt;/FQL&gt;&lt;FQL&gt;&lt;Q&gt;IEX^CS_EVENT_DATEJ_N("ER",1)&lt;/Q&gt;&lt;R&gt;1&lt;/R&gt;&lt;C&gt;1&lt;/C&gt;&lt;D xsi:type="xsd:long"&gt;46140&lt;/D&gt;&lt;/FQL&gt;&lt;FQL&gt;&lt;Q&gt;IEX^CS_EVENT_TIME_N("ER",1)&lt;/Q&gt;&lt;R&gt;1&lt;/R&gt;&lt;C&gt;1&lt;/C&gt;&lt;D xsi:type="xsd:string"&gt;Unspecified&lt;/D&gt;&lt;/FQL&gt;&lt;FQL&gt;&lt;Q&gt;IEX^CS_EVENT_DESC_N("ER",1)&lt;/Q&gt;&lt;R&gt;1&lt;/R&gt;&lt;C&gt;1&lt;/C&gt;&lt;D xsi:type="xsd:string"&gt;Q1 2026 Earnings Release (Projected)&lt;/D&gt;&lt;/FQL&gt;&lt;FQL&gt;&lt;Q&gt;CSGP^CS_EVENT_DATEJ_N("ER",1)&lt;/Q&gt;&lt;R&gt;1&lt;/R&gt;&lt;C&gt;1&lt;/C&gt;&lt;D xsi:type="xsd:long"&gt;46140&lt;/D&gt;&lt;/FQL&gt;&lt;FQL&gt;&lt;Q&gt;CSGP^CS_EVENT_TIME_N("ER",1)&lt;/Q&gt;&lt;R&gt;1&lt;/R&gt;&lt;C&gt;1&lt;/C&gt;&lt;D xsi:type="xsd:string"&gt;Unspecified&lt;/D&gt;&lt;/FQL&gt;&lt;FQL&gt;&lt;Q&gt;CSGP^CS_EVENT_DESC_N("ER",1)&lt;/Q&gt;&lt;R&gt;1&lt;/R&gt;&lt;C&gt;1&lt;/C&gt;&lt;D xsi:type="xsd:string"&gt;Q1 2026 Earnings Release (Projected)&lt;/D&gt;&lt;/FQL&gt;&lt;FQL&gt;&lt;Q&gt;CCI^CS_EVENT_DATEJ_N("ER",1)&lt;/Q&gt;&lt;R&gt;1&lt;/R&gt;&lt;C&gt;1&lt;/C&gt;&lt;D xsi:type="xsd:long"&gt;46134&lt;/D&gt;&lt;/FQL&gt;&lt;FQL&gt;&lt;Q&gt;CCI^CS_EVENT_TIME_N("ER",1)&lt;/Q&gt;&lt;R&gt;1&lt;/R&gt;&lt;C&gt;1&lt;/C&gt;&lt;D xsi:type="xsd:string"&gt;Unspecified&lt;/D&gt;&lt;/FQL&gt;&lt;FQL&gt;&lt;Q&gt;CCI^CS_EVENT_DESC_N("ER",1)&lt;/Q&gt;&lt;R&gt;1&lt;/R&gt;&lt;C&gt;1&lt;/C&gt;&lt;D xsi:type="xsd:string"&gt;Q1 2026 Earnings Release (Projected)&lt;/D&gt;&lt;/FQL&gt;&lt;FQL&gt;&lt;Q&gt;EFX^CS_EVENT_DATEJ_N("ER",1)&lt;/Q&gt;&lt;R&gt;1&lt;/R&gt;&lt;C&gt;1&lt;/C&gt;&lt;D xsi:type="xsd:long"&gt;46134&lt;/D&gt;&lt;/FQL&gt;&lt;FQL&gt;&lt;Q&gt;EFX^CS_EVENT_TIME_N("ER",1)&lt;/Q&gt;&lt;R&gt;1&lt;/R&gt;&lt;C&gt;1&lt;/C&gt;&lt;D xsi:type="xsd:string"&gt;Unspecified&lt;/D&gt;&lt;/FQL&gt;&lt;FQL&gt;&lt;Q&gt;EFX^CS_EVENT_DESC_N("ER",1)&lt;/Q&gt;&lt;R&gt;1&lt;/R&gt;&lt;C&gt;1&lt;/C&gt;&lt;D xsi:type="xsd:string"&gt;Q1 2026 Earnings Release (Projected)&lt;/D&gt;&lt;/FQL&gt;&lt;FQL&gt;&lt;Q&gt;RJF^CS_EVENT_DATEJ_N("ER",1)&lt;/Q&gt;&lt;R&gt;1&lt;/R&gt;&lt;C&gt;1&lt;/C&gt;&lt;D xsi:type="xsd:long"&gt;46134&lt;/D&gt;&lt;/FQL&gt;&lt;FQL&gt;&lt;Q&gt;RJF^CS_EVENT_TIME_N("ER",1)&lt;/Q&gt;&lt;R&gt;1&lt;/R&gt;&lt;C&gt;1&lt;/C&gt;&lt;D xsi:type="xsd:string"&gt;4:15 PM&lt;/D&gt;&lt;/FQL&gt;&lt;FQL&gt;&lt;Q&gt;RJF^CS_EVENT_DESC_N("ER",1)&lt;/Q&gt;&lt;R&gt;1&lt;/R&gt;&lt;C&gt;1&lt;/C&gt;&lt;D xsi:type="xsd:string"&gt;Q2 2026 Earnings Release&lt;/D&gt;&lt;/FQL&gt;&lt;FQL&gt;&lt;Q&gt;IBM^CS_EVENT_DATEJ_N("ER",1)&lt;/Q&gt;&lt;R&gt;1&lt;/R&gt;&lt;C&gt;1&lt;/C&gt;&lt;D xsi:type="xsd:long"&gt;46134&lt;/D&gt;&lt;/FQL&gt;&lt;FQL&gt;&lt;Q&gt;IBM^CS_EVENT_TIME_N("ER",1)&lt;/Q&gt;&lt;R&gt;1&lt;/R&gt;&lt;C&gt;1&lt;/C&gt;&lt;D xsi:type="xsd:string"&gt;4:08 PM&lt;/D&gt;&lt;/FQL&gt;&lt;FQL&gt;&lt;Q&gt;IBM^CS_EVENT_DESC_N("ER",1)&lt;/Q&gt;&lt;R&gt;1&lt;/R&gt;&lt;C&gt;1&lt;/C&gt;&lt;D xsi:type="xsd:string"&gt;Q1 2026 Earnings Release&lt;/D&gt;&lt;/FQL&gt;&lt;FQL&gt;&lt;Q&gt;Q^CS_EVENT_DATEJ_N("ER",1)&lt;/Q&gt;&lt;R&gt;0&lt;/R&gt;&lt;C&gt;0&lt;/C&gt;&lt;/FQL&gt;&lt;FQL&gt;&lt;Q&gt;Q^CS_EVENT_TIME_N("ER",1)&lt;/Q&gt;&lt;R&gt;0&lt;/R&gt;&lt;C&gt;0&lt;/C&gt;&lt;/FQL&gt;&lt;FQL&gt;&lt;Q&gt;Q^CS_EVENT_DESC_N("ER",1)&lt;/Q&gt;&lt;R&gt;0&lt;/R&gt;&lt;C&gt;0&lt;/C&gt;&lt;/FQL&gt;&lt;FQL&gt;&lt;Q&gt;CAG^CS_EVENT_DATEJ_N("ER",1)&lt;/Q&gt;&lt;R&gt;1&lt;/R&gt;&lt;C&gt;1&lt;/C&gt;&lt;D xsi:type="xsd:long"&gt;46113&lt;/D&gt;&lt;/FQL&gt;&lt;FQL&gt;&lt;Q&gt;CAG^CS_EVENT_TIME_N("ER",1)&lt;/Q&gt;&lt;R&gt;1&lt;/R&gt;&lt;C&gt;1&lt;/C&gt;&lt;D xsi:type="xsd:string"&gt;7:30 AM&lt;/D&gt;&lt;/FQL&gt;&lt;FQL&gt;&lt;Q&gt;CAG^CS_EVENT_DESC_N("ER",1)&lt;/Q&gt;&lt;R&gt;1&lt;/R&gt;&lt;C&gt;1&lt;/C&gt;&lt;D xsi:type="xsd:string"&gt;Q3 2026 Earnings Release&lt;/D&gt;&lt;/FQL&gt;&lt;FQL&gt;&lt;Q&gt;STZ^CS_EVENT_DATEJ_N("ER",1)&lt;/Q&gt;&lt;R&gt;1&lt;/R&gt;&lt;C&gt;1&lt;/C&gt;&lt;D xsi:type="xsd:long"&gt;46120&lt;/D&gt;&lt;/FQL&gt;&lt;FQL&gt;&lt;Q&gt;STZ^CS_EVENT_TIME_N("ER",1)&lt;/Q&gt;&lt;R&gt;1&lt;/R&gt;&lt;C&gt;1&lt;/C&gt;&lt;D xsi:type="xsd:string"&gt;After Market&lt;/D&gt;&lt;/FQL&gt;&lt;FQL&gt;&lt;Q&gt;STZ^CS_EVENT_DESC_N("ER",1)&lt;/Q&gt;&lt;R&gt;1&lt;/R&gt;&lt;C&gt;1&lt;/C&gt;&lt;D xsi:type="xsd:string"&gt;Q4 2026 Earnings Release&lt;/D&gt;&lt;/FQL&gt;&lt;FQL&gt;&lt;Q&gt;DAL^CS_EVENT_DATEJ_N("ER",1)&lt;/Q&gt;&lt;R&gt;1&lt;/R&gt;&lt;C&gt;1&lt;/C&gt;&lt;D xsi:type="xsd:long"&gt;46120&lt;/D&gt;&lt;/FQL&gt;&lt;FQL&gt;&lt;Q&gt;DAL^CS_EVENT_TIME_N("ER",1)&lt;/Q&gt;&lt;R&gt;1&lt;/R&gt;&lt;C&gt;1&lt;/C&gt;&lt;D xsi:type="xsd:string"&gt;6:30 AM&lt;/D&gt;&lt;/FQL&gt;&lt;FQL&gt;&lt;Q&gt;DAL^CS_EVENT_DESC_N("ER",1)&lt;/Q&gt;&lt;R&gt;1&lt;/R&gt;&lt;C&gt;1&lt;/C&gt;&lt;D xsi:type="xsd:string"&gt;Q1 2026 Earnings Release&lt;/D&gt;&lt;/FQL&gt;&lt;FQL&gt;&lt;Q&gt;PGR^CS_EVENT_DATEJ_N("ER",1)&lt;/Q&gt;&lt;R&gt;1&lt;/R&gt;&lt;C&gt;1&lt;/C&gt;&lt;D xsi:type="xsd:long"&gt;46121&lt;/D&gt;&lt;/FQL&gt;&lt;FQL&gt;&lt;Q&gt;PGR^CS_EVENT_TIME_N("ER",1)&lt;/Q&gt;&lt;R&gt;1&lt;/R&gt;&lt;C&gt;1&lt;/C&gt;&lt;D xsi:type="xsd:string"&gt;Unspecified&lt;/D&gt;&lt;/FQL&gt;&lt;FQL&gt;&lt;Q&gt;PGR^CS_EVENT_DESC_N("ER",1)&lt;/Q&gt;&lt;R&gt;1&lt;/R&gt;&lt;C&gt;1&lt;/C&gt;&lt;D xsi:type="xsd:string"&gt;Q1 2026 Earnings Release (Projected)&lt;/D&gt;&lt;/FQL&gt;&lt;FQL&gt;&lt;Q&gt;FAST^CS_EVENT_DATEJ_N("ER",1)&lt;/Q&gt;&lt;R&gt;1&lt;/R&gt;&lt;C&gt;1&lt;/C&gt;&lt;D xsi:type="xsd:long"&gt;46125&lt;/D&gt;&lt;/FQL&gt;&lt;FQL&gt;&lt;Q&gt;FAST^CS_EVENT_TIME_N("ER",1)&lt;/Q&gt;&lt;R&gt;1&lt;/R&gt;&lt;C&gt;1&lt;/C&gt;&lt;D xsi:type="xsd:string"&gt;7:00 AM&lt;/D&gt;&lt;/FQL&gt;&lt;FQL&gt;&lt;Q&gt;FAST^CS_EVENT_DESC_N("ER",1)&lt;/Q&gt;&lt;R&gt;1&lt;/R&gt;&lt;C&gt;1&lt;/C&gt;&lt;D xsi:type="xsd:string"&gt;Q1 2026 Earnings Release&lt;/D&gt;&lt;/FQL&gt;&lt;FQL&gt;&lt;Q&gt;GS^CS_EVENT_DATEJ_N("ER",1)&lt;/Q&gt;&lt;R&gt;1&lt;/R&gt;&lt;C&gt;1&lt;/C&gt;&lt;D xsi:type="xsd:long"&gt;46125&lt;/D&gt;&lt;/FQL&gt;&lt;FQL&gt;&lt;Q&gt;GS^CS_EVENT_TIME_N("ER",1)&lt;/Q&gt;&lt;R&gt;1&lt;/R&gt;&lt;C&gt;1&lt;/C&gt;&lt;D xsi:type="xsd:string"&gt;7:30 AM&lt;/D&gt;&lt;/FQL&gt;&lt;FQL&gt;&lt;Q&gt;GS^CS_EVENT_DESC_N("ER",1)&lt;/Q&gt;&lt;R&gt;1&lt;/R&gt;&lt;C&gt;1&lt;/C&gt;&lt;D xsi:type="xsd:string"&gt;Q1 2026 Earnings Release&lt;/D&gt;&lt;/FQL&gt;&lt;FQL&gt;&lt;Q&gt;JPM^CS_EVENT_DATEJ_N("ER",1)&lt;/Q&gt;&lt;R&gt;1&lt;/R&gt;&lt;C&gt;1&lt;/C&gt;&lt;D xsi:type="xsd:long"&gt;46126&lt;/D&gt;&lt;/FQL&gt;&lt;FQL&gt;&lt;Q&gt;JPM^CS_EVENT_TIME_N("ER",1)&lt;/Q&gt;&lt;R&gt;1&lt;/R&gt;&lt;C&gt;1&lt;/C&gt;&lt;D xsi:type="xsd:string"&gt;7:00 AM&lt;/D&gt;&lt;/FQL&gt;&lt;FQL&gt;&lt;Q&gt;JPM^CS_EVENT_DESC_N("ER",1)&lt;/Q&gt;&lt;R&gt;1&lt;/R&gt;&lt;C&gt;1&lt;/C&gt;&lt;D xsi:type="xsd:string"&gt;Q1 2026 Earnings Release&lt;/D&gt;&lt;/FQL&gt;&lt;FQL&gt;&lt;Q&gt;WFC^CS_EVENT_DATEJ_N("ER",1)&lt;/Q&gt;&lt;R&gt;1&lt;/R&gt;&lt;C&gt;1&lt;/C&gt;&lt;D xsi:type="xsd:long"&gt;46126&lt;/D&gt;&lt;/FQL&gt;&lt;FQL&gt;&lt;Q&gt;WFC^CS_EVENT_TIME_N("ER",1)&lt;/Q&gt;&lt;R&gt;1&lt;/R&gt;&lt;C&gt;1&lt;/C&gt;&lt;D xsi:type="xsd:string"&gt;7:00 AM&lt;/D&gt;&lt;/FQL&gt;&lt;FQL&gt;&lt;Q&gt;WFC^CS_EVENT_DESC_N("ER",1)&lt;/Q&gt;&lt;R&gt;1&lt;/R&gt;&lt;C&gt;1&lt;/C&gt;&lt;D xsi:type="xsd:string"&gt;Q1 2026 Earnings Release&lt;/D&gt;&lt;/FQL&gt;&lt;FQL&gt;&lt;Q&gt;JNJ^CS_EVENT_DATEJ_N("ER",1)&lt;/Q&gt;&lt;R&gt;1&lt;/R&gt;&lt;C&gt;1&lt;/C&gt;&lt;D xsi:type="xsd:long"&gt;46126&lt;/D&gt;&lt;/FQL&gt;&lt;FQL&gt;&lt;Q&gt;JNJ^CS_EVENT_TIME_N("ER",1)&lt;/Q&gt;&lt;R&gt;1&lt;/R&gt;&lt;C&gt;1&lt;/C&gt;&lt;D xsi:type="xsd:string"&gt;6:45 AM&lt;/D&gt;&lt;/FQL&gt;&lt;FQL&gt;&lt;Q&gt;JNJ^CS_EVENT_DESC_N("ER",1)&lt;/Q&gt;&lt;R&gt;1&lt;/R&gt;&lt;C&gt;1&lt;/C&gt;&lt;D xsi:type="xsd:string"&gt;Q1 2026 Earnings Release&lt;/D&gt;&lt;/FQL&gt;&lt;FQL&gt;&lt;Q&gt;BLK^CS_EVENT_DATEJ_N("ER",1)&lt;/Q&gt;&lt;R&gt;1&lt;/R&gt;&lt;C&gt;1&lt;/C&gt;&lt;D xsi:type="xsd:long"&gt;46126&lt;/D&gt;&lt;/FQL&gt;&lt;FQL&gt;&lt;Q&gt;BLK^CS_EVENT_TIME_N("ER",1)&lt;/Q&gt;&lt;R&gt;1&lt;/R&gt;&lt;C&gt;1&lt;/C&gt;&lt;D xsi:type="xsd:string"&gt;6:00 AM&lt;/D&gt;&lt;/FQL&gt;&lt;FQL&gt;&lt;Q&gt;BLK^CS_EVENT_DESC_N("ER",1)&lt;/Q&gt;&lt;R&gt;1&lt;/R&gt;&lt;C&gt;1&lt;/C&gt;&lt;D xsi:type="xsd:string"&gt;Q1 2026 Earnings Release&lt;/D&gt;&lt;/FQL&gt;&lt;FQL&gt;&lt;Q&gt;C^CS_EVENT_DATEJ_N("ER",1)&lt;/Q&gt;&lt;R&gt;1&lt;/R&gt;&lt;C&gt;1&lt;/C&gt;&lt;D xsi:type="xsd:long"&gt;46126&lt;/D&gt;&lt;/FQL&gt;&lt;FQL&gt;&lt;Q&gt;C^CS_EVENT_TIME_N("ER",1)&lt;/Q&gt;&lt;R&gt;1&lt;/R&gt;&lt;C&gt;1&lt;/C&gt;&lt;D xsi:type="xsd:string"&gt;8:00 AM&lt;/D&gt;&lt;/FQL&gt;&lt;FQL&gt;&lt;Q&gt;C^CS_EVENT_DESC_N("ER",1)&lt;/Q&gt;&lt;R&gt;1&lt;/R&gt;&lt;C&gt;1&lt;/C&gt;&lt;D xsi:type="xsd:string"&gt;Q1 2026 Earnings Release&lt;/D&gt;&lt;/FQL&gt;&lt;FQL&gt;&lt;Q&gt;BAC^CS_EVENT_DATEJ_N("ER",1)&lt;/Q&gt;&lt;R&gt;1&lt;/R&gt;&lt;C&gt;1&lt;/C&gt;&lt;D xsi:type="xsd:long"&gt;46127&lt;/D&gt;&lt;/FQL&gt;&lt;FQL&gt;&lt;Q&gt;BAC^CS_EVENT_TIME_N("ER",1)&lt;/Q&gt;&lt;R&gt;1&lt;/R&gt;&lt;C&gt;1&lt;/C&gt;&lt;D xsi:type="xsd:string"&gt;6:45 AM&lt;/D&gt;&lt;/FQL&gt;&lt;FQL&gt;&lt;Q&gt;BAC^CS_EVENT_DESC_N("ER",1)&lt;/Q&gt;&lt;R&gt;1&lt;/R&gt;&lt;C&gt;1&lt;/C&gt;&lt;D xsi:type="xsd:string"&gt;Q1 2026 Earnings Release&lt;/D&gt;&lt;/FQL&gt;&lt;FQL&gt;&lt;Q&gt;MS^CS_EVENT_DATEJ_N("ER",1)&lt;/Q&gt;&lt;R&gt;1&lt;/R&gt;&lt;C&gt;1&lt;/C&gt;&lt;D xsi:type="xsd:long"&gt;46127&lt;/D&gt;&lt;/FQL&gt;&lt;FQL&gt;&lt;Q&gt;MS^CS_EVENT_TIME_N("ER",1)&lt;/Q&gt;&lt;R&gt;1&lt;/R&gt;&lt;C&gt;1&lt;/C&gt;&lt;D xsi:type="xsd:string"&gt;7:30 AM&lt;/D&gt;&lt;/FQL&gt;&lt;FQL&gt;&lt;Q&gt;MS^CS_EVENT_DESC_N("ER",1)&lt;/Q&gt;&lt;R&gt;1&lt;/R&gt;&lt;C&gt;1&lt;/C&gt;&lt;D xsi:type="xsd:string"&gt;Q1 2026 Earnings Release&lt;/D&gt;&lt;/FQL&gt;&lt;FQL&gt;&lt;Q&gt;MTB^CS_EVENT_DATEJ_N("ER",1)&lt;/Q&gt;&lt;R&gt;1&lt;/R&gt;&lt;C&gt;1&lt;/C&gt;&lt;D xsi:type="xsd:long"&gt;46127&lt;/D&gt;&lt;/FQL&gt;&lt;FQL&gt;&lt;Q&gt;MTB^CS_EVENT_TIME_N("ER",1)&lt;/Q&gt;&lt;R&gt;1&lt;/R&gt;&lt;C&gt;1&lt;/C&gt;&lt;D xsi:type="xsd:string"&gt;Before Market&lt;/D&gt;&lt;/FQL&gt;&lt;FQL&gt;&lt;Q&gt;MTB^CS_EVENT_DESC_N("ER",1)&lt;/Q&gt;&lt;R&gt;1&lt;/R&gt;&lt;C&gt;1&lt;/C&gt;&lt;D xsi:type="xsd:string"&gt;Q1 2026 Earnings Release&lt;/D&gt;&lt;/FQL&gt;&lt;FQL&gt;&lt;Q&gt;PNC^CS_EVENT_DATEJ_N("ER",1)&lt;/Q&gt;&lt;R&gt;1&lt;/R&gt;&lt;C&gt;1&lt;/C&gt;&lt;D xsi:type="xsd:long"&gt;46127&lt;/D&gt;&lt;/FQL&gt;&lt;FQL&gt;&lt;Q&gt;PNC^CS_EVENT_TIME_N("ER",1)&lt;/Q&gt;&lt;R&gt;1&lt;/R&gt;&lt;C&gt;1&lt;/C&gt;&lt;D xsi:type="xsd:string"&gt;Before Market&lt;/D&gt;&lt;/FQL&gt;&lt;FQL&gt;&lt;Q&gt;PNC^CS_EVENT_DESC_N("ER",1)&lt;/Q&gt;&lt;R&gt;1&lt;/R&gt;&lt;C&gt;1&lt;/C&gt;&lt;D xsi:type="xsd:string"&gt;Q1 2026 Earnings Release&lt;/D&gt;&lt;/FQL&gt;&lt;FQL&gt;&lt;Q&gt;KEY^CS_EVENT_DATEJ_N("ER",1)&lt;/Q&gt;&lt;R&gt;1&lt;/R&gt;&lt;C&gt;1&lt;/C&gt;&lt;D xsi:type="xsd:long"&gt;46128&lt;/D&gt;&lt;/FQL&gt;&lt;FQL&gt;&lt;Q&gt;KEY^CS_EVENT_TIME_N("ER",1)&lt;/Q&gt;&lt;R&gt;1&lt;/R&gt;&lt;C&gt;1&lt;/C&gt;&lt;D xsi:type="xsd:string"&gt;6:30 AM&lt;/D&gt;&lt;/FQL&gt;&lt;FQL&gt;&lt;Q&gt;KEY^CS_EVENT_DESC_N("ER",1)&lt;/Q&gt;&lt;R&gt;1&lt;/R&gt;&lt;C&gt;1&lt;/C&gt;&lt;D xsi:type="xsd:string"&gt;Q1 2026 Earnings Release&lt;/D&gt;&lt;/FQL&gt;&lt;FQL&gt;&lt;Q&gt;FCX^CS_EVENT_DATEJ_N("ER",1)&lt;/Q&gt;&lt;R&gt;1&lt;/R&gt;&lt;C&gt;1&lt;/C&gt;&lt;D xsi:type="xsd:long"&gt;46128&lt;/D&gt;&lt;/FQL&gt;&lt;FQL&gt;&lt;Q&gt;FCX^CS_EVENT_TIME_N("ER",1)&lt;/Q&gt;&lt;R&gt;1&lt;/R&gt;&lt;C&gt;1&lt;/C&gt;&lt;D xsi:type="xsd:string"&gt;Unspecified&lt;/D&gt;&lt;/FQL&gt;&lt;FQL&gt;&lt;Q&gt;FCX^CS_EVENT_DESC_N("ER",1)&lt;/Q&gt;&lt;R&gt;1&lt;/R&gt;&lt;C&gt;1&lt;/C&gt;&lt;D xsi:type="xsd:string"&gt;Q1 2026 Earnings Release (Projected)&lt;/D&gt;&lt;/FQL&gt;&lt;FQL&gt;&lt;Q&gt;USB^CS_EVENT_DATEJ_N("ER",1)&lt;/Q&gt;&lt;R&gt;1&lt;/R&gt;&lt;C&gt;1&lt;/C&gt;&lt;D xsi:type="xsd:long"&gt;46128&lt;/D&gt;&lt;/FQL&gt;&lt;FQL&gt;&lt;Q&gt;USB^CS_EVENT_TIME_N("ER",1)&lt;/Q&gt;&lt;R&gt;1&lt;/R&gt;&lt;C&gt;1&lt;/C&gt;&lt;D xsi:type="xsd:string"&gt;6:45 AM&lt;/D&gt;&lt;/FQL&gt;&lt;FQL&gt;&lt;Q&gt;USB^CS_EVENT_DESC_N("ER",1)&lt;/Q&gt;&lt;R&gt;1&lt;/R&gt;&lt;C&gt;1&lt;/C&gt;&lt;D xsi:type="xsd:string"&gt;Q1 2026 Earnings Release&lt;/D&gt;&lt;/FQL&gt;&lt;FQL&gt;&lt;Q&gt;POOL^CS_EVENT_DATEJ_N("ER",1)&lt;/Q&gt;&lt;R&gt;1&lt;/R&gt;&lt;C&gt;1&lt;/C&gt;&lt;D xsi:type="xsd:long"&gt;46128&lt;/D&gt;&lt;/FQL&gt;&lt;FQL&gt;&lt;Q&gt;POOL^CS_EVENT_TIME_N("ER",1)&lt;/Q&gt;&lt;R&gt;1&lt;/R&gt;&lt;C&gt;1&lt;/C&gt;&lt;D xsi:type="xsd:string"&gt;Unspecified&lt;/D&gt;&lt;/FQL&gt;&lt;FQL&gt;&lt;Q&gt;POOL^CS_EVENT_DESC_N("ER",1)&lt;/Q&gt;&lt;R&gt;1&lt;/R&gt;&lt;C&gt;1&lt;/C&gt;&lt;D xsi:type="xsd:string"&gt;Q1 2026 Earnings Release (Projected)&lt;/D&gt;&lt;/FQL&gt;&lt;FQL&gt;&lt;Q&gt;SNA^CS_EVENT_DATEJ_N("ER",1)&lt;/Q&gt;&lt;R&gt;1&lt;/R&gt;&lt;C&gt;1&lt;/C&gt;&lt;D xsi:type="xsd:long"&gt;46128&lt;/D&gt;&lt;/FQL&gt;&lt;FQL&gt;&lt;Q&gt;SNA^CS_EVENT_TIME_N("ER",1)&lt;/Q&gt;&lt;R&gt;1&lt;/R&gt;&lt;C&gt;1&lt;/C&gt;&lt;D xsi:type="xsd:string"&gt;Unspecified&lt;/D&gt;&lt;/FQL&gt;&lt;FQL&gt;&lt;Q&gt;SNA^CS_EVENT_DESC_N("ER",1)&lt;/Q&gt;&lt;R&gt;1&lt;/R&gt;&lt;C&gt;1&lt;/C&gt;&lt;D xsi:type="xsd:string"&gt;Q1 2026 Earnings Release (Projected)&lt;/D&gt;&lt;/FQL&gt;&lt;FQL&gt;&lt;Q&gt;MRSH^CS_EVENT_DATEJ_N("ER",1)&lt;/Q&gt;&lt;R&gt;1&lt;/R&gt;&lt;C&gt;1&lt;/C&gt;&lt;D xsi:type="xsd:long"&gt;46128&lt;/D&gt;&lt;/FQL&gt;&lt;FQL&gt;&lt;Q&gt;MRSH^CS_EVENT_TIME_N("ER",1)&lt;/Q&gt;&lt;R&gt;1&lt;/R&gt;&lt;C&gt;1&lt;/C&gt;&lt;D xsi:type="xsd:string"&gt;Before Market&lt;/D&gt;&lt;/FQL&gt;&lt;FQL&gt;&lt;Q&gt;MRSH^CS_EVENT_DESC_N("ER",1)&lt;/Q&gt;&lt;R&gt;1&lt;/R&gt;&lt;C&gt;1&lt;/C&gt;&lt;D xsi:type="xsd:string"&gt;Q1 2026 Earnings Release&lt;/D&gt;&lt;/FQL&gt;&lt;FQL&gt;&lt;Q&gt;NFLX^CS_EVENT_DATEJ_N("ER",1)&lt;/Q&gt;&lt;R&gt;1&lt;/R&gt;&lt;C&gt;1&lt;/C&gt;&lt;D xsi:type="xsd:long"&gt;46128&lt;/D&gt;&lt;/FQL&gt;&lt;FQL&gt;&lt;Q&gt;NFLX^CS_EVENT_TIME_N("ER",1)&lt;/Q&gt;&lt;R&gt;1&lt;/R&gt;&lt;C&gt;1&lt;/C&gt;&lt;D xsi:type="xsd:string"&gt;4:01 PM&lt;/D&gt;&lt;/FQL&gt;&lt;FQL&gt;&lt;Q&gt;NFLX^CS_EVENT_DESC_N("ER",1)&lt;/Q&gt;&lt;R&gt;1&lt;/R&gt;&lt;C&gt;1&lt;/C&gt;&lt;D xsi:type="xsd:string"&gt;Q1 2026 Earnings Release&lt;/D&gt;&lt;/FQL&gt;&lt;FQL&gt;&lt;Q&gt;PLD^CS_EVENT_DATEJ_N("ER",1)&lt;/Q&gt;&lt;R&gt;1&lt;/R&gt;&lt;C&gt;1&lt;/C&gt;&lt;D xsi:type="xsd:long"&gt;46128&lt;/D&gt;&lt;/FQL&gt;&lt;FQL&gt;&lt;Q&gt;PLD^CS_EVENT_TIME_N("ER",1)&lt;/Q&gt;&lt;R&gt;1&lt;/R&gt;&lt;C&gt;1&lt;/C&gt;&lt;D xsi:type="xsd:string"&gt;8:00 AM&lt;/D&gt;&lt;/FQL&gt;&lt;FQL&gt;&lt;Q&gt;PLD^CS_EVENT_DESC_N("ER",1)&lt;/Q&gt;&lt;R&gt;1&lt;/R&gt;&lt;C&gt;1&lt;/C&gt;&lt;D xsi:type="xsd:string"&gt;Q1 2026 Earnings Release&lt;/D&gt;&lt;/FQL&gt;&lt;FQL&gt;&lt;Q&gt;ABT^CS_EVENT_DATEJ_N("ER",1)&lt;/Q&gt;&lt;R&gt;1&lt;/R&gt;&lt;C&gt;1&lt;/C&gt;&lt;D xsi:type="xsd:long"&gt;46128&lt;/D&gt;&lt;/FQL&gt;&lt;FQL&gt;&lt;Q&gt;ABT^CS_EVENT_TIME_N("ER",1)&lt;/Q&gt;&lt;R&gt;1&lt;/R&gt;&lt;C&gt;1&lt;/C&gt;&lt;D xsi:type="xsd:string"&gt;7:30 AM&lt;/D&gt;&lt;/FQL&gt;&lt;FQL&gt;&lt;Q&gt;ABT^CS_EVENT_DESC_N("ER",1)&lt;/Q&gt;&lt;R&gt;1&lt;/R&gt;&lt;C&gt;1&lt;/C&gt;&lt;D xsi:type="xsd:string"&gt;Q1 2026 Earnings Release&lt;/D&gt;&lt;/FQL&gt;&lt;FQL&gt;&lt;Q&gt;PPG^CS_EVENT_DATEJ_N("ER",1)&lt;/Q&gt;&lt;R&gt;1&lt;/R&gt;&lt;C&gt;1&lt;/C&gt;&lt;D xsi:type="xsd:long"&gt;46128&lt;/D&gt;&lt;/FQL&gt;&lt;FQL&gt;&lt;Q&gt;PPG^CS_EVENT_TIME_N("ER",1)&lt;/Q&gt;&lt;R&gt;1&lt;/R&gt;&lt;C&gt;1&lt;/C&gt;&lt;D xsi:type="xsd:string"&gt;Unspecified&lt;/D&gt;&lt;/FQL&gt;&lt;FQL&gt;&lt;Q&gt;PPG^CS_EVENT_DESC_N("ER",1)&lt;/Q&gt;&lt;R&gt;1&lt;/R&gt;&lt;C&gt;1&lt;/C&gt;&lt;D xsi:type="xsd:string"&gt;Q1 2026 Earnings Release (Projected)&lt;/D&gt;&lt;/FQL&gt;&lt;FQL&gt;&lt;Q&gt;BK^CS_EVENT_DATEJ_N("ER",1)&lt;/Q&gt;&lt;R&gt;1&lt;/R&gt;&lt;C&gt;1&lt;/C&gt;&lt;D xsi:type="xsd:long"&gt;46128&lt;/D&gt;&lt;/FQL&gt;&lt;FQL&gt;&lt;Q&gt;BK^CS_EVENT_TIME_N("ER",1)&lt;/Q&gt;&lt;R&gt;1&lt;/R&gt;&lt;C&gt;1&lt;/C&gt;&lt;D xsi:type="xsd:string"&gt;6:30 AM&lt;/D&gt;&lt;/FQL&gt;&lt;FQL&gt;&lt;Q&gt;BK^CS_EVENT_DESC_N("ER",1)&lt;/Q&gt;&lt;R&gt;1&lt;/R&gt;&lt;C&gt;1&lt;/C&gt;&lt;D xsi:type="xsd:string"&gt;Q1 2026 Earnings Release&lt;/D&gt;&lt;/FQL&gt;&lt;FQL&gt;&lt;Q&gt;TRV^CS_EVENT_DATEJ_N("ER",1)&lt;/Q&gt;&lt;R&gt;1&lt;/R&gt;&lt;C&gt;1&lt;/C&gt;&lt;D xsi:type="xsd:long"&gt;46128&lt;/D&gt;&lt;/FQL&gt;&lt;FQL&gt;&lt;Q&gt;TRV^CS_EVENT_TIME_N("ER",1)&lt;/Q&gt;&lt;R&gt;1&lt;/R&gt;&lt;C&gt;1&lt;/C&gt;&lt;D xsi:type="xsd:string"&gt;6:57 AM&lt;/D&gt;&lt;/FQL&gt;&lt;FQL&gt;&lt;Q&gt;TRV^CS_EVENT_DESC_N("ER",1)&lt;/Q&gt;&lt;R&gt;1&lt;/R&gt;&lt;C&gt;1&lt;/C&gt;&lt;D xsi:type="xsd:string"&gt;Q1 2026 Earnings Release&lt;/D&gt;&lt;/FQL&gt;&lt;FQL&gt;&lt;Q&gt;BX^CS_EVENT_DATEJ_N("ER",1)&lt;/Q&gt;&lt;R&gt;1&lt;/R&gt;&lt;C&gt;1&lt;/C&gt;&lt;D xsi:type="xsd:long"&gt;46128&lt;/D&gt;&lt;/FQL&gt;&lt;FQL&gt;&lt;Q&gt;BX^CS_EVENT_TIME_N("ER",1)&lt;/Q&gt;&lt;R&gt;1&lt;/R&gt;&lt;C&gt;1&lt;/C&gt;&lt;D xsi:type="xsd:string"&gt;Unspecified&lt;/D&gt;&lt;/FQL&gt;&lt;FQL&gt;&lt;Q&gt;BX^CS_EVENT_DESC_N("ER",1)&lt;/Q&gt;&lt;R&gt;1&lt;/R&gt;&lt;C&gt;1&lt;/C&gt;&lt;D xsi:type="xsd:string"&gt;Q1 2026 Earnings Release (Projected)&lt;/D&gt;&lt;/FQL&gt;&lt;FQL&gt;&lt;Q&gt;CFG^CS_EVENT_DATEJ_N("ER",1)&lt;/Q&gt;&lt;R&gt;1&lt;/R&gt;&lt;C&gt;1&lt;/C&gt;&lt;D xsi:type="xsd:long"&gt;46128&lt;/D&gt;&lt;/FQL&gt;&lt;FQL&gt;&lt;Q&gt;CFG^CS_EVENT_TIME_N("ER",1)&lt;/Q&gt;&lt;R&gt;1&lt;/R&gt;&lt;C&gt;1&lt;/C&gt;&lt;D xsi:type="xsd:string"&gt;6:20 AM&lt;/D&gt;&lt;/FQL&gt;&lt;FQL&gt;&lt;Q&gt;CFG^CS_EVENT_DESC_N("ER",1)&lt;/Q&gt;&lt;R&gt;1&lt;/R&gt;&lt;C&gt;1&lt;/C&gt;&lt;D xsi:type="xsd:string"&gt;Q1 2026 Earnings Release&lt;/D&gt;&lt;/FQL&gt;&lt;FQL&gt;&lt;Q&gt;FITB^CS_EVENT_DATEJ_N("ER",1)&lt;/Q&gt;&lt;R&gt;1&lt;/R&gt;&lt;C&gt;1&lt;/C&gt;&lt;D xsi:type="xsd:long"&gt;46129&lt;/D&gt;&lt;/FQL&gt;&lt;FQL&gt;&lt;Q&gt;FITB^CS_EVENT_TIME_N("ER",1)&lt;/Q&gt;&lt;R&gt;1&lt;/R&gt;&lt;C&gt;1&lt;/C&gt;&lt;D xsi:type="xsd:string"&gt;6:30 AM&lt;/D&gt;&lt;/FQL&gt;&lt;FQL&gt;&lt;Q&gt;FITB^CS_EVENT_DESC_N("ER",1)&lt;/Q&gt;&lt;R&gt;1&lt;/R&gt;&lt;C&gt;1&lt;/C&gt;&lt;D xsi:type="xsd:string"&gt;Q1 2026 Earnings Release&lt;/D&gt;&lt;/FQL&gt;&lt;FQL&gt;&lt;Q&gt;TFC^CS_EVENT_DATEJ_N("ER",1)&lt;/Q&gt;&lt;R&gt;1&lt;/R&gt;&lt;C&gt;1&lt;/C&gt;&lt;D xsi:type="xsd:long"&gt;46129&lt;/D&gt;&lt;/FQL&gt;&lt;FQL&gt;&lt;Q&gt;TFC^CS_EVENT_TIME_N("ER",1)&lt;/Q&gt;&lt;R&gt;1&lt;/R&gt;&lt;C&gt;1&lt;/C&gt;&lt;D xsi:type="xsd:string"&gt;Before Market&lt;/D&gt;&lt;/FQL&gt;&lt;FQL&gt;&lt;Q&gt;TFC^CS_EVENT_DESC_N("ER",1)&lt;/Q&gt;&lt;R&gt;1&lt;/R&gt;&lt;C&gt;1&lt;/C&gt;&lt;D xsi:type="xsd:string"&gt;Q1 2026 Earnings Release&lt;/D&gt;&lt;/FQL&gt;&lt;FQL&gt;&lt;Q&gt;STT^CS_EVENT_DATEJ_N("ER",1)&lt;/Q&gt;&lt;R&gt;1&lt;/R&gt;&lt;C&gt;1&lt;/C&gt;&lt;D xsi:type="xsd:long"&gt;46129&lt;/D&gt;&lt;/FQL&gt;&lt;FQL&gt;&lt;Q&gt;STT^CS_EVENT_TIME_N("ER",1)&lt;/Q&gt;&lt;R&gt;1&lt;/R&gt;&lt;C&gt;1&lt;/C&gt;&lt;D xsi:type="xsd:string"&gt;7:30 AM&lt;/D&gt;&lt;/FQL&gt;&lt;FQL&gt;&lt;Q&gt;STT^CS_EVENT_DESC_N("ER",1)&lt;/Q&gt;&lt;R&gt;1&lt;/R&gt;&lt;C&gt;1&lt;/C&gt;&lt;D xsi:type="xsd:string"&gt;Q1 2026 Earnings Release&lt;/D&gt;&lt;/FQL&gt;&lt;FQL&gt;&lt;Q&gt;RF^CS_EVENT_DATEJ_N("ER",1)&lt;/Q&gt;&lt;R&gt;1&lt;/R&gt;&lt;C&gt;1&lt;/C&gt;&lt;D xsi:type="xsd:long"&gt;46129&lt;/D&gt;&lt;/FQL&gt;&lt;FQL&gt;&lt;Q&gt;RF^CS_EVENT_TIME_N("ER",1)&lt;/Q&gt;&lt;R&gt;1&lt;/R&gt;&lt;C&gt;1&lt;/C&gt;&lt;D xsi:type="xsd:string"&gt;6:00 AM&lt;/D&gt;&lt;/FQL&gt;&lt;FQL&gt;&lt;Q&gt;RF^CS_EVENT_DESC_N("ER",1)&lt;/Q&gt;&lt;R&gt;1&lt;/R&gt;&lt;C&gt;1&lt;/C&gt;&lt;D xsi:type="xsd:string"&gt;Q1 2026 Earnings Release&lt;/D&gt;&lt;/FQL&gt;&lt;FQL&gt;&lt;Q&gt;STLD^CS_EVENT_DATEJ_N("ER",1)&lt;/Q&gt;&lt;R&gt;1&lt;/R&gt;&lt;C&gt;1&lt;/C&gt;&lt;D xsi:type="xsd:long"&gt;46132&lt;/D&gt;&lt;/FQL&gt;&lt;FQL&gt;&lt;Q&gt;STLD^CS_EVENT_TIME_N("ER",1)&lt;/Q&gt;&lt;R&gt;1&lt;/R&gt;&lt;C&gt;1&lt;/C&gt;&lt;D xsi:type="xsd:string"&gt;After Market&lt;/D&gt;&lt;/FQL&gt;&lt;FQL&gt;&lt;Q&gt;STLD^CS_EVENT_DESC_N("ER",1)&lt;/Q&gt;&lt;R&gt;1&lt;/R&gt;&lt;C&gt;1&lt;/C&gt;&lt;D xsi:type="xsd:string"&gt;Q1 2026 Earnings Release&lt;/D&gt;&lt;/FQL&gt;&lt;FQL&gt;&lt;Q&gt;SCHW^CS_EVENT_DATEJ_N("ER",1)&lt;/Q&gt;&lt;R&gt;1&lt;/R&gt;&lt;C&gt;1&lt;/C&gt;&lt;D xsi:type="xsd:long"&gt;46132&lt;/D&gt;&lt;/FQL&gt;&lt;FQL&gt;&lt;Q&gt;SCHW^CS_EVENT_TIME_N("ER",1)&lt;/Q&gt;&lt;R&gt;1&lt;/R&gt;&lt;C&gt;1&lt;/C&gt;&lt;D xsi:type="xsd:string"&gt;Unspecified&lt;/D&gt;&lt;/FQL&gt;&lt;FQL&gt;&lt;Q&gt;SCHW^CS_EVENT_DESC_N("ER",1)&lt;/Q&gt;&lt;R&gt;1&lt;/R&gt;&lt;C&gt;1&lt;/C&gt;&lt;D xsi:type="xsd:string"&gt;Q1 2026 Earnings Release (Projected)&lt;/D&gt;&lt;/FQL&gt;&lt;FQL&gt;&lt;Q&gt;JBHT^CS_EVENT_DATEJ_N("ER",1)&lt;/Q&gt;&lt;R&gt;1&lt;/R&gt;&lt;C&gt;1&lt;/C&gt;&lt;D xsi:type="xsd:long"&gt;46132&lt;/D&gt;&lt;/FQL&gt;&lt;FQL&gt;&lt;Q&gt;JBHT^CS_EVENT_TIME_N("ER",1)&lt;/Q&gt;&lt;R&gt;1&lt;/R&gt;&lt;C&gt;1&lt;/C&gt;&lt;D xsi:type="xsd:string"&gt;Unspecified&lt;/D&gt;&lt;/FQL&gt;&lt;FQL&gt;&lt;Q&gt;JBHT^CS_EVENT_DESC_N("ER",1)&lt;/Q&gt;&lt;R&gt;1&lt;/R&gt;&lt;C&gt;1&lt;/C&gt;&lt;D xsi:type="xsd:string"&gt;Q1 2026 Earnings Release (Projected)&lt;/D&gt;&lt;/FQL&gt;&lt;FQL&gt;&lt;Q&gt;RTX^CS_EVENT_DATEJ_N("ER",1)&lt;/Q&gt;&lt;R&gt;1&lt;/R&gt;&lt;C&gt;1&lt;/C&gt;&lt;D xsi:type="xsd:long"&gt;46133&lt;/D&gt;&lt;/FQL&gt;&lt;FQL&gt;&lt;Q&gt;RTX^CS_EVENT_TIME_N("ER",1)&lt;/Q&gt;&lt;R&gt;1&lt;/R&gt;&lt;C&gt;1&lt;/C&gt;&lt;D xsi:type="xsd:string"&gt;6:55 AM&lt;/D&gt;&lt;/FQL&gt;&lt;FQL&gt;&lt;Q&gt;RTX^CS_EVENT_DESC_N("ER",1)&lt;/Q&gt;&lt;R&gt;1&lt;/R&gt;&lt;C&gt;1&lt;/C&gt;&lt;D xsi:type="xsd:string"&gt;Q1 2026 Earnings Release&lt;/D&gt;&lt;/FQL&gt;&lt;FQL&gt;&lt;Q&gt;LMT^CS_EVENT_DATEJ_N("ER",1)&lt;/Q&gt;&lt;R&gt;1&lt;/R&gt;&lt;C&gt;1&lt;/C&gt;&lt;D xsi:type="xsd:long"&gt;46133&lt;/D&gt;&lt;/FQL&gt;&lt;FQL&gt;&lt;Q&gt;LMT^CS_EVENT_TIME_N("ER",1)&lt;/Q&gt;&lt;R&gt;1&lt;/R&gt;&lt;C&gt;1&lt;/C&gt;&lt;D xsi:type="xsd:string"&gt;Unspecified&lt;/D&gt;&lt;/FQL&gt;&lt;FQL&gt;&lt;Q&gt;LMT^CS_EVENT_DESC_N("ER",1)&lt;/Q&gt;&lt;R&gt;1&lt;/R&gt;&lt;C&gt;1&lt;/C&gt;&lt;D xsi:type="xsd:string"&gt;Q1 2026 Earnings Release (Projected)&lt;/D&gt;&lt;/FQL&gt;&lt;FQL&gt;&lt;Q&gt;DHR^CS_EVENT_DATEJ_N("ER",1)&lt;/Q&gt;&lt;R&gt;1&lt;/R&gt;&lt;C&gt;1&lt;/C&gt;&lt;D xsi:type="xsd:long"&gt;46133&lt;/D&gt;&lt;/FQL&gt;&lt;FQL&gt;&lt;Q&gt;DHR^CS_EVENT_TIME_N("ER",1)&lt;/Q&gt;&lt;R&gt;1&lt;/R&gt;&lt;C&gt;1&lt;/C&gt;&lt;D xsi:type="xsd:string"&gt;6:00 AM&lt;/D&gt;&lt;/FQL&gt;&lt;FQL&gt;&lt;Q&gt;DHR^CS_EVENT_DESC_N("ER",1)&lt;/Q&gt;&lt;R&gt;1&lt;/R&gt;&lt;C&gt;1&lt;/C&gt;&lt;D xsi:type="xsd:string"&gt;Q1 2026 Earnings Release&lt;/D&gt;&lt;/FQL&gt;&lt;FQL&gt;&lt;Q&gt;UNH^CS_EVENT_DATEJ_N("ER",1)&lt;/Q&gt;&lt;R&gt;1&lt;/R&gt;&lt;C&gt;1&lt;/C&gt;&lt;D xsi:type="xsd:long"&gt;46133&lt;/D&gt;&lt;/FQL&gt;&lt;FQL&gt;&lt;Q&gt;UNH^CS_EVENT_TIME_N("ER",1)&lt;/Q&gt;&lt;R&gt;1&lt;/R&gt;&lt;C&gt;1&lt;/C&gt;&lt;D xsi:type="xsd:string"&gt;5:55 AM&lt;/D&gt;&lt;/FQL&gt;&lt;FQL&gt;&lt;Q&gt;UNH^CS_EVENT_DESC_N("ER",1)&lt;/Q&gt;&lt;R&gt;1&lt;/R&gt;&lt;C&gt;1&lt;/C&gt;&lt;D xsi:type="xsd:string"&gt;Q1 2026 Earnings Release&lt;/D&gt;&lt;/FQL&gt;&lt;FQL&gt;&lt;Q&gt;HAL^CS_EVENT_DATEJ_N("ER",1)&lt;/Q&gt;&lt;R&gt;1&lt;/R&gt;&lt;C&gt;1&lt;/C&gt;&lt;D xsi:type="xsd:long"&gt;46133&lt;/D&gt;&lt;/FQL&gt;&lt;FQL&gt;&lt;Q&gt;HAL^CS_EVENT_TIME_N("ER",1)&lt;/Q&gt;&lt;R&gt;1&lt;/R&gt;&lt;C&gt;1&lt;/C&gt;&lt;D xsi:type="xsd:string"&gt;6:45 AM&lt;/D&gt;&lt;/FQL&gt;&lt;FQL&gt;&lt;Q&gt;HAL^CS_EVENT_DESC_N("ER",1)&lt;/Q&gt;&lt;R&gt;1&lt;/R&gt;&lt;C&gt;1&lt;/C&gt;&lt;D xsi:type="xsd:string"&gt;Q1 2026 Earnings Release&lt;/D&gt;&lt;/FQL&gt;&lt;FQL&gt;&lt;Q&gt;WRB^CS_EVENT_DATEJ_N("ER",1)&lt;/Q&gt;&lt;R&gt;1&lt;/R&gt;&lt;C&gt;1&lt;/C&gt;&lt;D xsi:type="xsd:long"&gt;46133&lt;/D&gt;&lt;/FQL&gt;&lt;FQL&gt;&lt;Q&gt;WRB^CS_EVENT_TIME_N("ER",1)&lt;/Q&gt;&lt;R&gt;1&lt;/R&gt;&lt;C&gt;1&lt;/C&gt;&lt;D xsi:type="xsd:string"&gt;After Market&lt;/D&gt;&lt;/FQL&gt;&lt;FQL&gt;&lt;Q&gt;WRB^CS_EVENT_DESC_N("ER",1)&lt;/Q&gt;&lt;R&gt;1&lt;/R&gt;&lt;C&gt;1&lt;/C&gt;&lt;D xsi:type="xsd:string"&gt;Q1 2026 Earnings Release&lt;/D&gt;&lt;/FQL&gt;&lt;FQL&gt;&lt;Q&gt;COF^CS_EVENT_DATEJ_N("ER",1)&lt;/Q&gt;&lt;R&gt;1&lt;/R&gt;&lt;C&gt;1&lt;/C&gt;&lt;D xsi:type="xsd:long"&gt;46133&lt;/D&gt;&lt;/FQL&gt;&lt;FQL&gt;&lt;Q&gt;COF^CS_EVENT_TIME_N("ER",1)&lt;/Q&gt;&lt;R&gt;1&lt;/R&gt;&lt;C&gt;1&lt;/C&gt;&lt;D xsi:type="xsd:string"&gt;4:05 PM&lt;/D&gt;&lt;/FQL&gt;&lt;FQL&gt;&lt;Q&gt;COF^CS_EVENT_DESC_N("ER",1)&lt;/Q&gt;&lt;R&gt;1&lt;/R&gt;&lt;C&gt;1&lt;/C&gt;&lt;D xsi:type="xsd:string"&gt;Q1 2026 Earnings Release&lt;/D&gt;&lt;/FQL&gt;&lt;FQL&gt;&lt;Q&gt;TSCO^CS_EVENT_DATEJ_N("ER",1)&lt;/Q&gt;&lt;R&gt;1&lt;/R&gt;&lt;C&gt;1&lt;/C&gt;&lt;D xsi:type="xsd:long"&gt;46133&lt;/D&gt;&lt;/FQL&gt;&lt;FQL&gt;&lt;Q&gt;TSCO^CS_EVENT_TIME_N("ER",1)&lt;/Q&gt;&lt;R&gt;1&lt;/R&gt;&lt;C&gt;1&lt;/C&gt;&lt;D xsi:type="xsd:string"&gt;6:55 AM&lt;/D&gt;&lt;/FQL&gt;&lt;FQL&gt;&lt;Q&gt;TSCO^CS_EVENT_DESC_N("ER",1)&lt;/Q&gt;&lt;R&gt;1&lt;/R&gt;&lt;C&gt;1&lt;/C&gt;&lt;D xsi:type="xsd:string"&gt;Q1 2026 Earnings Release&lt;/D&gt;&lt;/FQL&gt;&lt;FQL&gt;&lt;Q&gt;GE^CS_EVENT_DATEJ_N("ER",1)&lt;/Q&gt;&lt;R&gt;1&lt;/R&gt;&lt;C&gt;1&lt;/C&gt;&lt;D xsi:type="xsd:long"&gt;46133&lt;/D&gt;&lt;/FQL&gt;&lt;FQL&gt;&lt;Q&gt;GE^CS_EVENT_TIME_N("ER",1)&lt;/Q&gt;&lt;R&gt;1&lt;/R&gt;&lt;C&gt;1&lt;/C&gt;&lt;D xsi:type="xsd:string"&gt;Before Market&lt;/D&gt;&lt;/FQL&gt;&lt;FQL&gt;&lt;Q&gt;GE^CS_EVENT_DESC_N("ER",1)&lt;/Q&gt;&lt;R&gt;1&lt;/R&gt;&lt;C&gt;1&lt;/C&gt;&lt;D xsi:type="xsd:string"&gt;Q1 2026 Earnings Release&lt;/D&gt;&lt;/FQL&gt;&lt;FQL&gt;&lt;Q&gt;Q^FG_COMPANY_NAME&lt;/Q&gt;&lt;R&gt;1&lt;/R&gt;&lt;C&gt;1&lt;/C&gt;&lt;D xsi:type="xsd:string"&gt;Qnity Electronics, Inc.&lt;/D&gt;&lt;/FQL&gt;&lt;FQL&gt;&lt;Q&gt;CAG^FG_COMPANY_NAME&lt;/Q&gt;&lt;R&gt;1&lt;/R&gt;&lt;C&gt;1&lt;/C&gt;&lt;D xsi:type="xsd:string"&gt;Conagra Brands, Inc.&lt;/D&gt;&lt;/FQL&gt;&lt;FQL&gt;&lt;Q&gt;STZ^FG_COMPANY_NAME&lt;/Q&gt;&lt;R&gt;1&lt;/R&gt;&lt;C&gt;1&lt;/C&gt;&lt;D xsi:type="xsd:string"&gt;Constellation Brands, Inc. Class A&lt;/D&gt;&lt;/FQL&gt;&lt;FQL&gt;&lt;Q&gt;DAL^FG_COMPANY_NAME&lt;/Q&gt;&lt;R&gt;1&lt;/R&gt;&lt;C&gt;1&lt;/C&gt;&lt;D xsi:type="xsd:string"&gt;Delta Air Lines, Inc.&lt;/D&gt;&lt;/FQL&gt;&lt;FQL&gt;&lt;Q&gt;PGR^FG_COMPANY_NAME&lt;/Q&gt;&lt;R&gt;1&lt;/R&gt;&lt;C&gt;1&lt;/C&gt;&lt;D xsi:type="xsd:string"&gt;Progressive Corporation&lt;/D&gt;&lt;/FQL&gt;&lt;FQL&gt;&lt;Q&gt;FAST^FG_COMPANY_NAME&lt;/Q&gt;&lt;R&gt;1&lt;/R&gt;&lt;C&gt;1&lt;/C&gt;&lt;D xsi:type="xsd:string"&gt;Fastenal Company&lt;/D&gt;&lt;/FQL&gt;&lt;FQL&gt;&lt;Q&gt;GS^FG_COMPANY_NAME&lt;/Q&gt;&lt;R&gt;1&lt;/R&gt;&lt;C&gt;1&lt;/C&gt;&lt;D xsi:type="xsd:string"&gt;Goldman Sachs Group, Inc.&lt;/D&gt;&lt;/FQL&gt;&lt;FQL&gt;&lt;Q&gt;JPM^FG_COMPANY_NAME&lt;/Q&gt;&lt;R&gt;1&lt;/R&gt;&lt;C&gt;1&lt;/C&gt;&lt;D xsi:type="xsd:string"&gt;JPMorgan Chase &amp;amp; Co.&lt;/D&gt;&lt;/FQL&gt;&lt;FQL&gt;&lt;Q&gt;WFC^FG_COMPANY_NAME&lt;/Q&gt;&lt;R&gt;1&lt;/R&gt;&lt;C&gt;1&lt;/C&gt;&lt;D xsi:type="xsd:string"&gt;Wells Fargo &amp;amp; Company&lt;/D&gt;&lt;/FQL&gt;&lt;FQL&gt;&lt;Q&gt;JNJ^FG_COMPANY_NAME&lt;/Q&gt;&lt;R&gt;1&lt;/R&gt;&lt;C&gt;1&lt;/C&gt;&lt;D xsi:type="xsd:string"&gt;Johnson &amp;amp; Johnson&lt;/D&gt;&lt;/FQL&gt;&lt;FQL&gt;&lt;Q&gt;BLK^FG_COMPANY_NAME&lt;/Q&gt;&lt;R&gt;1&lt;/R&gt;&lt;C&gt;1&lt;/C&gt;&lt;D xsi:type="xsd:string"&gt;BlackRock, Inc.&lt;/D&gt;&lt;/FQL&gt;&lt;FQL&gt;&lt;Q&gt;C^FG_COMPANY_NAME&lt;/Q&gt;&lt;R&gt;1&lt;/R&gt;&lt;C&gt;1&lt;/C&gt;&lt;D xsi:type="xsd:string"&gt;Citigroup Inc.&lt;/D&gt;&lt;/FQL&gt;&lt;FQL&gt;&lt;Q&gt;BAC^FG_COMPANY_NAME&lt;/Q&gt;&lt;R&gt;1&lt;/R&gt;&lt;C&gt;1&lt;/C&gt;&lt;D xsi:type="xsd:string"&gt;Bank of America Corp&lt;/D&gt;&lt;/FQL&gt;&lt;FQL&gt;&lt;Q&gt;MS^FG_COMPANY_NAME&lt;/Q&gt;&lt;R&gt;1&lt;/R&gt;&lt;C&gt;1&lt;/C&gt;&lt;D xsi:type="xsd:string"&gt;Morgan Stanley&lt;/D&gt;&lt;/FQL&gt;&lt;FQL&gt;&lt;Q&gt;MTB^FG_COMPANY_NAME&lt;/Q&gt;&lt;R&gt;1&lt;/R&gt;&lt;C&gt;1&lt;/C&gt;&lt;D xsi:type="xsd:string"&gt;M&amp;amp;T Bank Corporation&lt;/D&gt;&lt;/FQL&gt;&lt;FQL&gt;&lt;Q&gt;PNC^FG_COMPANY_NAME&lt;/Q&gt;&lt;R&gt;1&lt;/R&gt;&lt;C&gt;1&lt;/C&gt;&lt;D xsi:type="xsd:string"&gt;PNC Financial Services Group, Inc.&lt;/D&gt;&lt;/FQL&gt;&lt;FQL&gt;&lt;Q&gt;KEY^FG_COMPANY_NAME&lt;/Q&gt;&lt;R&gt;1&lt;/R&gt;&lt;C&gt;1&lt;/C&gt;&lt;D xsi:type="xsd:string"&gt;KeyCorp&lt;/D&gt;&lt;/FQL&gt;&lt;FQL&gt;&lt;Q&gt;FCX^FG_COMPANY_NAME&lt;/Q&gt;&lt;R&gt;1&lt;/R&gt;&lt;C&gt;1&lt;/C&gt;&lt;D xsi:type="xsd:string"&gt;Freeport-McMoRan, Inc.&lt;/D&gt;&lt;/FQL&gt;&lt;FQL&gt;&lt;Q&gt;USB^FG_COMPANY_NAME&lt;/Q&gt;&lt;R&gt;1&lt;/R&gt;&lt;C&gt;1&lt;/C&gt;&lt;D xsi:type="xsd:string"&gt;U.S. Bancorp&lt;/D&gt;&lt;/FQL&gt;&lt;FQL&gt;&lt;Q&gt;POOL^FG_COMPANY_NAME&lt;/Q&gt;&lt;R&gt;1&lt;/R&gt;&lt;C&gt;1&lt;/C&gt;&lt;D xsi:type="xsd:string"&gt;Pool Corporation&lt;/D&gt;&lt;/FQL&gt;&lt;FQL&gt;&lt;Q&gt;SNA^FG_COMPANY_NAME&lt;/Q&gt;&lt;R&gt;1&lt;/R&gt;&lt;C&gt;1&lt;/C&gt;&lt;D xsi:type="xsd:string"&gt;Snap-on Incorporated&lt;/D&gt;&lt;/FQL&gt;&lt;FQL&gt;&lt;Q&gt;MRSH^FG_COMPANY_NAME&lt;/Q&gt;&lt;R&gt;1&lt;/R&gt;&lt;C&gt;1&lt;/C&gt;&lt;D xsi:type="xsd:string"&gt;Marsh &amp;amp; McLennan Companies, Inc.&lt;/D&gt;&lt;/FQL&gt;&lt;FQL&gt;&lt;Q&gt;NFLX^FG_COMPANY_NAME&lt;/Q&gt;&lt;R&gt;1&lt;/R&gt;&lt;C&gt;1&lt;/C&gt;&lt;D xsi:type="xsd:string"&gt;Netflix, Inc.&lt;/D&gt;&lt;/FQL&gt;&lt;FQL&gt;&lt;Q&gt;PLD^FG_COMPANY_NAME&lt;/Q&gt;&lt;R&gt;1&lt;/R&gt;&lt;C&gt;1&lt;/C&gt;&lt;D xsi:type="xsd:string"&gt;Prologis, Inc.&lt;/D&gt;&lt;/FQL&gt;&lt;FQL&gt;&lt;Q&gt;ABT^FG_COMPANY_NAME&lt;/Q&gt;&lt;R&gt;1&lt;/R&gt;&lt;C&gt;1&lt;/C&gt;&lt;D xsi:type="xsd:string"&gt;Abbott Laboratories&lt;/D&gt;&lt;/FQL&gt;&lt;FQL&gt;&lt;Q&gt;PPG^FG_COMPANY_NAME&lt;/Q&gt;&lt;R&gt;1&lt;/R&gt;&lt;C&gt;1&lt;/C&gt;&lt;D xsi:type="xsd:string"&gt;PPG Industries, Inc.&lt;/D&gt;&lt;/FQL&gt;&lt;FQL&gt;&lt;Q&gt;BK^FG_COMPANY_NAME&lt;/Q&gt;&lt;R&gt;1&lt;/R&gt;&lt;C&gt;1&lt;/C&gt;&lt;D xsi:type="xsd:string"&gt;Bank of New York Mellon Corp&lt;/D&gt;&lt;/FQL&gt;&lt;FQL&gt;&lt;Q&gt;TRV^FG_COMPANY_NAME&lt;/Q&gt;&lt;R&gt;1&lt;/R&gt;&lt;C&gt;1&lt;/C&gt;&lt;D xsi:type="xsd:string"&gt;Travelers Companies, Inc.&lt;/D&gt;&lt;/FQL&gt;&lt;FQL&gt;&lt;Q&gt;BX^FG_COMPANY_NAME&lt;/Q&gt;&lt;R&gt;1&lt;/R&gt;&lt;C&gt;1&lt;/C&gt;&lt;D xsi:type="xsd:string"&gt;Blackstone Inc.&lt;/D&gt;&lt;/FQL&gt;&lt;FQL&gt;&lt;Q&gt;CFG^FG_COMPANY_NAME&lt;/Q&gt;&lt;R&gt;1&lt;/R&gt;&lt;C&gt;1&lt;/C&gt;&lt;D xsi:type="xsd:string"&gt;Citizens Financial Group, Inc.&lt;/D&gt;&lt;/FQL&gt;&lt;FQL&gt;&lt;Q&gt;FITB^FG_COMPANY_NAME&lt;/Q&gt;&lt;R&gt;1&lt;/R&gt;&lt;C&gt;1&lt;/C&gt;&lt;D xsi:type="xsd:string"&gt;Fifth Third Bancorp&lt;/D&gt;&lt;/FQL&gt;&lt;FQL&gt;&lt;Q&gt;TFC^FG_COMPANY_NAME&lt;/Q&gt;&lt;R&gt;1&lt;/R&gt;&lt;C&gt;1&lt;/C&gt;&lt;D xsi:type="xsd:string"&gt;Truist Financial Corporation&lt;/D&gt;&lt;/FQL&gt;&lt;FQL&gt;&lt;Q&gt;STT^FG_COMPANY_NAME&lt;/Q&gt;&lt;R&gt;1&lt;/R&gt;&lt;C&gt;1&lt;/C&gt;&lt;D xsi:type="xsd:string"&gt;State Street Corporation&lt;/D&gt;&lt;/FQL&gt;&lt;FQL&gt;&lt;Q&gt;RF^FG_COMPANY_NAME&lt;/Q&gt;&lt;R&gt;1&lt;/R&gt;&lt;C&gt;1&lt;/C&gt;&lt;D xsi:type="xsd:string"&gt;Regions Financial Corporation&lt;/D&gt;&lt;/FQL&gt;&lt;FQL&gt;&lt;Q&gt;STLD^FG_COMPANY_NAME&lt;/Q&gt;&lt;R&gt;1&lt;/R&gt;&lt;C&gt;1&lt;/C&gt;&lt;D xsi:type="xsd:string"&gt;Steel Dynamics, Inc.&lt;/D&gt;&lt;/FQL&gt;&lt;FQL&gt;&lt;Q&gt;SCHW^FG_COMPANY_NAME&lt;/Q&gt;&lt;R&gt;1&lt;/R&gt;&lt;C&gt;1&lt;/C&gt;&lt;D xsi:type="xsd:string"&gt;Charles Schwab Corp&lt;/D&gt;&lt;/FQL&gt;&lt;FQL&gt;&lt;Q&gt;JBHT^FG_COMPANY_NAME&lt;/Q&gt;&lt;R&gt;1&lt;/R&gt;&lt;C&gt;1&lt;/C&gt;&lt;D xsi:type="xsd:string"&gt;J.B. Hunt Transport Services, Inc.&lt;/D&gt;&lt;/FQL&gt;&lt;FQL&gt;&lt;Q&gt;RTX^FG_COMPANY_NAME&lt;/Q&gt;&lt;R&gt;1&lt;/R&gt;&lt;C&gt;1&lt;/C&gt;&lt;D xsi:type="xsd:string"&gt;RTX Corporation&lt;/D&gt;&lt;/FQL&gt;&lt;FQL&gt;&lt;Q&gt;LMT^FG_COMPANY_NAME&lt;/Q&gt;&lt;R&gt;1&lt;/R&gt;&lt;C&gt;1&lt;/C&gt;&lt;D xsi:type="xsd:string"&gt;Lockheed Martin Corporation&lt;/D&gt;&lt;/FQL&gt;&lt;FQL&gt;&lt;Q&gt;DHR^FG_COMPANY_NAME&lt;/Q&gt;&lt;R&gt;1&lt;/R&gt;&lt;C&gt;1&lt;/C&gt;&lt;D xsi:type="xsd:string"&gt;Danaher Corporation&lt;/D&gt;&lt;/FQL&gt;&lt;FQL&gt;&lt;Q&gt;UNH^FG_COMPANY_NAME&lt;/Q&gt;&lt;R&gt;1&lt;/R&gt;&lt;C&gt;1&lt;/C&gt;&lt;D xsi:type="xsd:string"&gt;UnitedHealth Group Incorporated&lt;/D&gt;&lt;/FQL&gt;&lt;FQL&gt;&lt;Q&gt;HAL^FG_COMPANY_NAME&lt;/Q&gt;&lt;R&gt;1&lt;/R&gt;&lt;C&gt;1&lt;/C&gt;&lt;D xsi:type="xsd:string"&gt;Halliburton Company&lt;/D&gt;&lt;/FQL&gt;&lt;FQL&gt;&lt;Q&gt;WRB^FG_COMPANY_NAME&lt;/Q&gt;&lt;R&gt;1&lt;/R&gt;&lt;C&gt;1&lt;/C&gt;&lt;D xsi:type="xsd:string"&gt;W. R. Berkley Corporation&lt;/D&gt;&lt;/FQL&gt;&lt;FQL&gt;&lt;Q&gt;COF^FG_COMPANY_NAME&lt;/Q&gt;&lt;R&gt;1&lt;/R&gt;&lt;C&gt;1&lt;/C&gt;&lt;D xsi:type="xsd:string"&gt;Capital One Financial Corp&lt;/D&gt;&lt;/FQL&gt;&lt;FQL&gt;&lt;Q&gt;TSCO^FG_COMPANY_NAME&lt;/Q&gt;&lt;R&gt;1&lt;/R&gt;&lt;C&gt;1&lt;/C&gt;&lt;D xsi:type="xsd:string"&gt;Tractor Supply Company&lt;/D&gt;&lt;/FQL&gt;&lt;FQL&gt;&lt;Q&gt;GE^FG_COMPANY_NAME&lt;/Q&gt;&lt;R&gt;1&lt;/R&gt;&lt;C&gt;1&lt;/C&gt;&lt;D xsi:type="xsd:string"&gt;GE Aerospace&lt;/D&gt;&lt;/FQL&gt;&lt;FQL&gt;&lt;Q&gt;GPC^FG_COMPANY_NAME&lt;/Q&gt;&lt;R&gt;1&lt;/R&gt;&lt;C&gt;1&lt;/C&gt;&lt;D xsi:type="xsd:string"&gt;Genuine Parts Company&lt;/D&gt;&lt;/FQL&gt;&lt;FQL&gt;&lt;Q&gt;NOC^FG_COMPANY_NAME&lt;/Q&gt;&lt;R&gt;1&lt;/R&gt;&lt;C&gt;1&lt;/C&gt;&lt;D xsi:type="xsd:string"&gt;Northrop Grumman Corp.&lt;/D&gt;&lt;/FQL&gt;&lt;FQL&gt;&lt;Q&gt;DGX^FG_COMPANY_NAME&lt;/Q&gt;&lt;R&gt;1&lt;/R&gt;&lt;C&gt;1&lt;/C&gt;&lt;D xsi:type="xsd:string"&gt;Quest Diagnostics Incorporated&lt;/D&gt;&lt;/FQL&gt;&lt;FQL&gt;&lt;Q&gt;DHI^FG_COMPANY_NAME&lt;/Q&gt;&lt;R&gt;1&lt;/R&gt;&lt;C&gt;1&lt;/C&gt;&lt;D xsi:type="xsd:string"&gt;D.R. Horton, Inc.&lt;/D&gt;&lt;/FQL&gt;&lt;FQL&gt;&lt;Q&gt;OMC^FG_COMPANY_NAME&lt;/Q&gt;&lt;R&gt;1&lt;/R&gt;&lt;C&gt;1&lt;/C&gt;&lt;D xsi:type="xsd:string"&gt;Omnicom Group Inc&lt;/D&gt;&lt;/FQL&gt;&lt;FQL&gt;&lt;Q&gt;ISRG^FG_COMPANY_NAME&lt;/Q&gt;&lt;R&gt;1&lt;/R&gt;&lt;C&gt;1&lt;/C&gt;&lt;D xsi:type="xsd:string"&gt;Intuitive Surgical, Inc.&lt;/D&gt;&lt;/FQL&gt;&lt;FQL&gt;&lt;Q&gt;NTRS^FG_COMPANY_NAME&lt;/Q&gt;&lt;R&gt;1&lt;/R&gt;&lt;C&gt;1&lt;/C&gt;&lt;D xsi:type="xsd:string"&gt;Northern Trust Corporation&lt;/D&gt;&lt;/FQL&gt;&lt;FQL&gt;&lt;Q&gt;UAL^FG_COMPANY_NAME&lt;/Q&gt;&lt;R&gt;1&lt;/R&gt;&lt;C&gt;1&lt;/C&gt;&lt;D xsi:type="xsd:string"&gt;United Airlines Holdings, Inc.&lt;/D&gt;&lt;/FQL&gt;&lt;FQL&gt;&lt;Q&gt;IBKR^FG_COMPANY_NAME&lt;/Q&gt;&lt;R&gt;1&lt;/R&gt;&lt;C&gt;1&lt;/C&gt;&lt;D xsi:type="xsd:string"&gt;Interactive Brokers Group, Inc. Class A&lt;/D&gt;&lt;/FQL&gt;&lt;FQL&gt;&lt;Q&gt;CB^FG_COMPANY_NAME&lt;/Q&gt;&lt;R&gt;1&lt;/R&gt;&lt;C&gt;1&lt;/C&gt;&lt;D xsi:type="xsd:string"&gt;Chubb Limited&lt;/D&gt;&lt;/FQL&gt;&lt;FQL&gt;&lt;Q&gt;SYF^FG_COMPANY_NAME&lt;/Q&gt;&lt;R&gt;1&lt;/R&gt;&lt;C&gt;1&lt;/C&gt;&lt;D xsi:type="xsd:string"&gt;Synchrony Financial&lt;/D&gt;&lt;/FQL&gt;&lt;FQL&gt;&lt;Q&gt;BSX^FG_COMPANY_NAME&lt;/Q&gt;&lt;R&gt;1&lt;/R&gt;&lt;C&gt;1&lt;/C&gt;&lt;D xsi:type="xsd:string"&gt;Boston Scientific Corporation&lt;/D&gt;&lt;/FQL&gt;&lt;FQL&gt;&lt;Q&gt;CCI^FG_COMPANY_NAME&lt;/Q&gt;&lt;R&gt;1&lt;/R&gt;&lt;C&gt;1&lt;/C&gt;&lt;D xsi:type="xsd:string"&gt;Crown Castle Inc.&lt;/D&gt;&lt;/FQL&gt;&lt;FQL&gt;&lt;Q&gt;EFX^FG_COMPANY_NAME&lt;/Q&gt;&lt;R&gt;1&lt;/R&gt;&lt;C&gt;1&lt;/C&gt;&lt;D xsi:type="xsd:string"&gt;Equifax Inc.&lt;/D&gt;&lt;/FQL&gt;&lt;FQL&gt;&lt;Q&gt;RJF^FG_COMPANY_NAME&lt;/Q&gt;&lt;R&gt;1&lt;/R&gt;&lt;C&gt;1&lt;/C&gt;&lt;D xsi:type="xsd:string"&gt;Raymond James Financial, Inc.&lt;/D&gt;&lt;/FQL&gt;&lt;FQL&gt;&lt;Q&gt;IBM^FG_COMPANY_NAME&lt;/Q&gt;&lt;R&gt;1&lt;/R&gt;&lt;C&gt;1&lt;/C&gt;&lt;D xsi:type="xsd:string"&gt;International Business Machines Corporation&lt;/D&gt;&lt;/FQL&gt;&lt;FQL&gt;&lt;Q&gt;BA^FG_COMPANY_NAME&lt;/Q&gt;&lt;R&gt;1&lt;/R&gt;&lt;C&gt;1&lt;/C&gt;&lt;D xsi:type="xsd:string"&gt;Boeing Company&lt;/D&gt;&lt;/FQL&gt;&lt;FQL&gt;&lt;Q&gt;MAS^FG_COMPANY_NAME&lt;/Q&gt;&lt;R&gt;1&lt;/R&gt;&lt;C&gt;1&lt;/C&gt;&lt;D xsi:type="xsd:string"&gt;Masco Corporation&lt;/D&gt;&lt;/FQL&gt;&lt;FQL&gt;&lt;Q&gt;WAB^FG_COMPANY_NAME&lt;/Q&gt;&lt;R&gt;1&lt;/R&gt;&lt;C&gt;1&lt;/C&gt;&lt;D xsi:type="xsd:string"&gt;Westinghouse Air Brake Technologies Corporation&lt;/D&gt;&lt;/FQL&gt;&lt;FQL&gt;&lt;Q&gt;CSX^FG_COMPANY_NAME&lt;/Q&gt;&lt;R&gt;1&lt;/R&gt;&lt;C&gt;1&lt;/C&gt;&lt;D xsi:type="xsd:string"&gt;CSX Corporation&lt;/D&gt;&lt;/FQL&gt;&lt;FQL&gt;&lt;Q&gt;LUV^FG_COMPANY_NAME&lt;/Q&gt;&lt;R&gt;1&lt;/R&gt;&lt;C&gt;1&lt;/C&gt;&lt;D xsi:type="xsd:string"&gt;Southwest Airlines Co.&lt;/D&gt;&lt;/FQL&gt;&lt;FQL&gt;&lt;Q&gt;PKG^FG_COMPANY_NAME&lt;/Q&gt;&lt;R&gt;1&lt;/R&gt;&lt;C&gt;1&lt;/C&gt;&lt;D xsi:type="xsd:string"&gt;Packaging Corporation of America&lt;/D&gt;&lt;/FQL&gt;&lt;FQL&gt;&lt;Q&gt;KMI^FG_COMPANY_NAME&lt;/Q&gt;&lt;R&gt;1&lt;/R&gt;&lt;C&gt;1&lt;/C&gt;&lt;D xsi:type="xsd:string"&gt;Kinder Morgan Inc Class P&lt;/D&gt;&lt;/FQL&gt;&lt;FQL&gt;&lt;Q&gt;NDAQ^FG_COMPANY_NAME&lt;/Q&gt;&lt;R&gt;1&lt;/R&gt;&lt;C&gt;1&lt;/C&gt;&lt;D xsi:type="xsd:string"&gt;Nasdaq, Inc.&lt;/D&gt;&lt;/FQL&gt;&lt;FQL&gt;&lt;Q&gt;ELV^FG_COMPANY_NAME&lt;/Q&gt;&lt;R&gt;1&lt;/R&gt;&lt;C&gt;1&lt;/C&gt;&lt;D xsi:type="xsd:string"&gt;Elevance Health, Inc.&lt;/D&gt;&lt;/FQL&gt;&lt;FQL&gt;&lt;Q&gt;CME^FG_COMPANY_NAME&lt;/Q&gt;&lt;R&gt;1&lt;/R&gt;&lt;C&gt;1&lt;/C&gt;&lt;D xsi:type="xsd:string"&gt;CME Group Inc. Class A&lt;/D&gt;&lt;/FQL&gt;&lt;FQL&gt;&lt;Q&gt;T^FG_COMPANY_NAME&lt;/Q&gt;&lt;R&gt;1&lt;/R&gt;&lt;C&gt;1&lt;/C&gt;&lt;D xsi:type="xsd:string"&gt;AT&amp;amp;T Inc&lt;/D&gt;&lt;/FQL&gt;&lt;FQL&gt;&lt;Q&gt;PM^FG_COMPANY_NAME&lt;/Q&gt;&lt;R&gt;1&lt;/R&gt;&lt;C&gt;1&lt;/C&gt;&lt;D xsi:type="xsd:string"&gt;Philip Morris International Inc.&lt;/D&gt;&lt;/FQL&gt;&lt;FQL&gt;&lt;Q&gt;GEV^FG_COMPANY_NAME&lt;/Q&gt;&lt;R&gt;1&lt;/R&gt;&lt;C&gt;1&lt;/C&gt;&lt;D xsi:type="xsd:string"&gt;GE Vernova Inc.&lt;/D&gt;&lt;/FQL&gt;&lt;FQL&gt;&lt;Q&gt;PHM^FG_COMPANY_NAME&lt;/Q&gt;&lt;R&gt;1&lt;/R&gt;&lt;C&gt;1&lt;/C&gt;&lt;D xsi:type="xsd:string"&gt;PulteGroup, Inc.&lt;/D&gt;&lt;/FQL&gt;&lt;FQL&gt;&lt;Q&gt;CPT^FG_COMPANY_NAME&lt;/Q&gt;&lt;R&gt;1&lt;/R&gt;&lt;C&gt;1&lt;/C&gt;&lt;D xsi:type="xsd:string"&gt;Camden Property Trust&lt;/D&gt;&lt;/FQL&gt;&lt;FQL&gt;&lt;Q&gt;WST^FG_COMPANY_NAME&lt;/Q&gt;&lt;R&gt;1&lt;/R&gt;&lt;C&gt;1&lt;/C&gt;&lt;D xsi:type="xsd:string"&gt;West Pharmaceutical Services, Inc.&lt;/D&gt;&lt;/FQL&gt;&lt;FQL&gt;&lt;Q&gt;RMD^FG_COMPANY_NAME&lt;/Q&gt;&lt;R&gt;1&lt;/R&gt;&lt;C&gt;1&lt;/C&gt;&lt;D xsi:type="xsd:string"&gt;ResMed Inc.&lt;/D&gt;&lt;/FQL&gt;&lt;FQL&gt;&lt;Q&gt;HON^FG_COMPANY_NAME&lt;/Q&gt;&lt;R&gt;1&lt;/R&gt;&lt;C&gt;1&lt;/C&gt;&lt;D xsi:type="xsd:string"&gt;Honeywell International Inc.&lt;/D&gt;&lt;/FQL&gt;&lt;FQL&gt;&lt;Q&gt;PCG^FG_COMPANY_NAME&lt;/Q&gt;&lt;R&gt;1&lt;/R&gt;&lt;C&gt;1&lt;/C&gt;&lt;D xsi:type="xsd:string"&gt;PG&amp;amp;E Corporation&lt;/D&gt;&lt;/FQL&gt;&lt;FQL&gt;&lt;Q&gt;AOS^FG_COMPANY_NAME&lt;/Q&gt;&lt;R&gt;1&lt;/R&gt;&lt;C&gt;1&lt;/C&gt;&lt;D xsi:type="xsd:string"&gt;A. O. Smith Corporation&lt;/D&gt;&lt;/FQL&gt;&lt;FQL&gt;&lt;Q&gt;NEM^FG_COMPANY_NAME&lt;/Q&gt;&lt;R&gt;1&lt;/R&gt;&lt;C&gt;1&lt;/C&gt;&lt;D xsi:type="xsd:string"&gt;Newmont Corporation&lt;/D&gt;&lt;/FQL&gt;&lt;FQL&gt;&lt;Q&gt;KIM^FG_COMPANY_NAME&lt;/Q&gt;&lt;R&gt;1&lt;/R&gt;&lt;C&gt;1&lt;/C&gt;&lt;D xsi:type="xsd:string"&gt;Kimco Realty Corporation&lt;/D&gt;&lt;/FQL&gt;&lt;FQL&gt;&lt;Q&gt;HSY^FG_COMPANY_NAME&lt;/Q&gt;&lt;R&gt;1&lt;/R&gt;&lt;C&gt;1&lt;/C&gt;&lt;D xsi:type="xsd:string"&gt;Hershey Company&lt;/D&gt;&lt;/FQL&gt;&lt;FQL&gt;&lt;Q&gt;VRSN^FG_COMPANY_NAME&lt;/Q&gt;&lt;R&gt;1&lt;/R&gt;&lt;C&gt;1&lt;/C&gt;&lt;D xsi:type="xsd:string"&gt;VeriSign, Inc.&lt;/D&gt;&lt;/FQL&gt;&lt;FQL&gt;&lt;Q&gt;CINF^FG_COMPANY_NAME&lt;/Q&gt;&lt;R&gt;1&lt;/R&gt;&lt;C&gt;1&lt;/C&gt;&lt;D xsi:type="xsd:string"&gt;Cincinnati Financial Corporation&lt;/D&gt;&lt;/FQL&gt;&lt;FQL&gt;&lt;Q&gt;AJG^FG_COMPANY_NAME&lt;/Q&gt;&lt;R&gt;1&lt;/R&gt;&lt;C&gt;1&lt;/C&gt;&lt;D xsi:type="xsd:string"&gt;Arthur J. Gallagher &amp;amp; Co.&lt;/D&gt;&lt;/FQL&gt;&lt;FQL&gt;&lt;Q&gt;WTW^FG_COMPANY_NAME&lt;/Q&gt;&lt;R&gt;1&lt;/R&gt;&lt;C&gt;1&lt;/C&gt;&lt;D xsi:type="xsd:string"&gt;Willis Towers Watson Public Limited Company&lt;/D&gt;&lt;/FQL&gt;&lt;FQL&gt;&lt;Q&gt;GILD^FG_COMPANY_NAME&lt;/Q&gt;&lt;R&gt;1&lt;/R&gt;&lt;C&gt;1&lt;/C&gt;&lt;D xsi:type="xsd:string"&gt;Gilead Sciences, Inc.&lt;/D&gt;&lt;/FQL&gt;&lt;FQL&gt;&lt;Q&gt;ERIE^FG_COMPANY_NAME&lt;/Q&gt;&lt;R&gt;1&lt;/R&gt;&lt;C&gt;1&lt;/C&gt;&lt;D xsi:type="xsd:string"&gt;Erie Indemnity Company Class A&lt;/D&gt;&lt;/FQL&gt;&lt;FQL&gt;&lt;Q&gt;DOV^FG_COMPANY_NAME&lt;/Q&gt;&lt;R&gt;1&lt;/R&gt;&lt;C&gt;1&lt;/C&gt;&lt;D xsi:type="xsd:string"&gt;Dover Corporation&lt;/D&gt;&lt;/FQL&gt;&lt;FQL&gt;&lt;Q&gt;DTE^FG_COMPANY_NAME&lt;/Q&gt;&lt;R&gt;1&lt;/R&gt;&lt;C&gt;1&lt;/C&gt;&lt;D xsi:type="xsd:string"&gt;DTE Energy Company&lt;/D&gt;&lt;/FQL&gt;&lt;FQL&gt;&lt;Q&gt;HAS^FG_COMPANY_NAME&lt;/Q&gt;&lt;R&gt;1&lt;/R&gt;&lt;C&gt;1&lt;/C&gt;&lt;D xsi:type="xsd:string"&gt;Hasbro, Inc.&lt;/D&gt;&lt;/FQL&gt;&lt;FQL&gt;&lt;Q&gt;AMZN^FG_COMPANY_NAME&lt;/Q&gt;&lt;R&gt;1&lt;/R&gt;&lt;C&gt;1&lt;/C&gt;&lt;D xsi:type="xsd:string"&gt;Amazon.com, Inc.&lt;/D&gt;&lt;/FQL&gt;&lt;FQL&gt;&lt;Q&gt;HIG^FG_COMPANY_NAME&lt;/Q&gt;&lt;R&gt;1&lt;/R&gt;&lt;C&gt;1&lt;/C&gt;&lt;D xsi:type="xsd:string"&gt;Hartford Insurance Group, Inc.&lt;/D&gt;&lt;/FQL&gt;&lt;FQL&gt;&lt;Q&gt;HBAN^FG_COMPANY_NAME&lt;/Q&gt;&lt;R&gt;1&lt;/R&gt;&lt;C&gt;1&lt;/C&gt;&lt;D xsi:type="xsd:string"&gt;Huntington Bancshares Incorporated&lt;/D&gt;&lt;/FQL&gt;&lt;FQL&gt;&lt;Q&gt;EME^FG_COMPANY_NAME&lt;/Q&gt;&lt;R&gt;1&lt;/R&gt;&lt;C&gt;1&lt;/C&gt;&lt;D xsi:type="xsd:string"&gt;EMCOR Group, Inc.&lt;/D&gt;&lt;/FQL&gt;&lt;FQL&gt;&lt;Q&gt;KLAC^FG_COMPANY_NAME&lt;/Q&gt;&lt;R&gt;1&lt;/R&gt;&lt;C&gt;1&lt;/C&gt;&lt;D xsi:type="xsd:string"&gt;KLA Corporation&lt;/D&gt;&lt;/FQL&gt;&lt;FQL&gt;&lt;Q&gt;TROW^FG_COMPANY_NAME&lt;/Q&gt;&lt;R&gt;1&lt;/R&gt;&lt;C&gt;1&lt;/C&gt;&lt;D xsi:type="xsd:string"&gt;T. Rowe Price Group, Inc.&lt;/D&gt;&lt;/FQL&gt;&lt;FQL&gt;&lt;Q&gt;AXP^FG_COMPANY_NAME&lt;/Q&gt;&lt;R&gt;1&lt;/R&gt;&lt;C&gt;1&lt;/C&gt;&lt;D xsi:type="xsd:string"&gt;American Express Company&lt;/D&gt;&lt;/FQL&gt;&lt;FQL&gt;&lt;Q&gt;CNP^FG_COMPANY_NAME&lt;/Q&gt;&lt;R&gt;1&lt;/R&gt;&lt;C&gt;1&lt;/C&gt;&lt;D xsi:type="xsd:string"&gt;CenterPoint Energy, Inc.&lt;/D&gt;&lt;/FQL&gt;&lt;FQL&gt;&lt;Q&gt;WDC^FG_COMPANY_NAME&lt;/Q&gt;&lt;R&gt;1&lt;/R&gt;&lt;C&gt;1&lt;/C&gt;&lt;D xsi:type="xsd:string"&gt;Western Digital Corporation&lt;/D&gt;&lt;/FQL&gt;&lt;FQL&gt;&lt;Q&gt;PFG^FG_COMPANY_NAME&lt;/Q&gt;&lt;R&gt;1&lt;/R&gt;&lt;C&gt;1&lt;/C&gt;&lt;D xsi:type="xsd:string"&gt;Principal Financial Group, Inc.&lt;/D&gt;&lt;/FQL&gt;&lt;FQL&gt;&lt;Q&gt;INTC^FG_COMPANY_NAME&lt;/Q&gt;&lt;R&gt;1&lt;/R&gt;&lt;C&gt;1&lt;/C&gt;&lt;D xsi:type="xsd:string"&gt;Intel Corporation&lt;/D&gt;&lt;/FQL&gt;&lt;FQL&gt;&lt;Q&gt;FE^FG_COMPANY_NAME&lt;/Q&gt;&lt;R&gt;1&lt;/R&gt;&lt;C&gt;1&lt;/C&gt;&lt;D xsi:type="xsd:string"&gt;FirstEnergy Corp.&lt;/D&gt;&lt;/FQL&gt;&lt;FQL&gt;&lt;Q&gt;CAT^FG_COMPANY_NAME&lt;/Q&gt;&lt;R&gt;1&lt;/R&gt;&lt;C&gt;1&lt;/C&gt;&lt;D xsi:type="xsd:string"&gt;Caterpillar Inc.&lt;/D&gt;&lt;/FQL&gt;&lt;FQL&gt;&lt;Q&gt;MCD^FG_COMPANY_NAME&lt;/Q&gt;&lt;R&gt;1&lt;/R&gt;&lt;C&gt;1&lt;/C&gt;&lt;D xsi:type="xsd:string"&gt;McDonald's Corporation&lt;/D&gt;&lt;/FQL&gt;&lt;FQL&gt;&lt;Q&gt;UNP^FG_COMPANY_NAME&lt;/Q&gt;&lt;R&gt;1&lt;/R&gt;&lt;C&gt;1&lt;/C&gt;&lt;D xsi:type="xsd:string"&gt;Union Pacific Corporation&lt;/D&gt;&lt;/FQL&gt;&lt;FQL&gt;&lt;Q&gt;XEL^FG_COMPANY_NAME&lt;/Q&gt;&lt;R&gt;1&lt;/R&gt;&lt;C&gt;1&lt;/C&gt;&lt;D xsi:type="xsd:string"&gt;Xcel Energy Inc.&lt;/D&gt;&lt;/FQL&gt;&lt;FQL&gt;&lt;Q&gt;CMS^FG_COMPANY_NAME&lt;/Q&gt;&lt;R&gt;1&lt;/R&gt;&lt;C&gt;1&lt;/C&gt;&lt;D xsi:type="xsd:string"&gt;CMS Energy Corporation&lt;/D&gt;&lt;/FQL&gt;&lt;FQL&gt;&lt;Q&gt;MA^FG_COMPANY_NAME&lt;/Q&gt;&lt;R&gt;1&lt;/R&gt;&lt;C&gt;1&lt;/C&gt;&lt;D xsi:type="xsd:string"&gt;Mastercard Incorporated Class A&lt;/D&gt;&lt;/FQL&gt;&lt;FQL&gt;&lt;Q&gt;DXCM^FG_COMPANY_NAME&lt;/Q&gt;&lt;R&gt;1&lt;/R&gt;&lt;C&gt;1&lt;/C&gt;&lt;D xsi:type="xsd:string"&gt;DexCom, Inc.&lt;/D&gt;&lt;/FQL&gt;&lt;FQL&gt;&lt;Q&gt;ALLE^FG_COMPANY_NAME&lt;/Q&gt;&lt;R&gt;1&lt;/R&gt;&lt;C&gt;1&lt;/C&gt;&lt;D xsi:type="xsd:string"&gt;Allegion Public Limited Company&lt;/D&gt;&lt;/FQL&gt;&lt;FQL&gt;&lt;Q&gt;DLR^FG_COMPANY_NAME&lt;/Q&gt;&lt;R&gt;1&lt;/R&gt;&lt;C&gt;1&lt;/C&gt;&lt;D xsi:type="xsd:string"&gt;Digital Realty Trust, Inc.&lt;/D&gt;&lt;/FQL&gt;&lt;FQL&gt;&lt;Q&gt;KDP^FG_COMPANY_NAME&lt;/Q&gt;&lt;R&gt;1&lt;/R&gt;&lt;C&gt;1&lt;/C&gt;&lt;D xsi:type="xsd:string"&gt;Keurig Dr Pepper Inc.&lt;/D&gt;&lt;/FQL&gt;&lt;FQL&gt;&lt;Q&gt;BKR^FG_COMPANY_NAME&lt;/Q&gt;&lt;R&gt;1&lt;/R&gt;&lt;C&gt;1&lt;/C&gt;&lt;D xsi:type="xsd:string"&gt;Baker Hughes Company Class A&lt;/D&gt;&lt;/FQL&gt;&lt;FQL&gt;&lt;Q&gt;CMCSA^FG_COMPANY_NAME&lt;/Q&gt;&lt;R&gt;1&lt;/R&gt;&lt;C&gt;1&lt;/C&gt;&lt;D xsi:type="xsd:string"&gt;Comcast Corporation Class A&lt;/D&gt;&lt;/FQL&gt;&lt;FQL&gt;&lt;Q&gt;CBRE^FG_COMPANY_NAME&lt;/Q&gt;&lt;R&gt;1&lt;/R&gt;&lt;C&gt;1&lt;/C&gt;&lt;D xsi:type="xsd:string"&gt;CBRE Group, Inc. Class A&lt;/D&gt;&lt;/FQL&gt;&lt;FQL&gt;&lt;Q&gt;DOC^FG_COMPANY_NAME&lt;/Q&gt;&lt;R&gt;1&lt;/R&gt;&lt;C&gt;1&lt;/C&gt;&lt;D xsi:type="xsd:string"&gt;Healthpeak Properties, Inc.&lt;/D&gt;&lt;/FQL&gt;&lt;FQL&gt;&lt;Q&gt;AMP^FG_COMPANY_NAME&lt;/Q&gt;&lt;R&gt;1&lt;/R&gt;&lt;C&gt;1&lt;/C&gt;&lt;D xsi:type="xsd:string"&gt;Ameriprise Financial, Inc.&lt;/D&gt;&lt;/FQL&gt;&lt;FQL&gt;&lt;Q&gt;FSLR^FG_COMPANY_NAME&lt;/Q&gt;&lt;R&gt;1&lt;/R&gt;&lt;C&gt;1&lt;/C&gt;&lt;D xsi:type="xsd:string"&gt;First Solar, Inc.&lt;/D&gt;&lt;/FQL&gt;&lt;FQL&gt;&lt;Q&gt;FTV^FG_COMPANY_NAME&lt;/Q&gt;&lt;R&gt;1&lt;/R&gt;&lt;C&gt;1&lt;/C&gt;&lt;D xsi:type="xsd:string"&gt;Fortive Corp.&lt;/D&gt;&lt;/FQL&gt;&lt;FQL&gt;&lt;Q&gt;DOW^FG_COMPANY_NAME&lt;/Q&gt;&lt;R&gt;1&lt;/R&gt;&lt;C&gt;1&lt;/C&gt;&lt;D xsi:type="xsd:string"&gt;Dow, Inc.&lt;/D&gt;&lt;/FQL&gt;&lt;FQL&gt;&lt;Q&gt;CARR^FG_COMPANY_NAME&lt;/Q&gt;&lt;R&gt;1&lt;/R&gt;&lt;C&gt;1&lt;/C&gt;&lt;D xsi:type="xsd:string"&gt;Carrier Global Corp.&lt;/D&gt;&lt;/FQL&gt;&lt;FQL&gt;&lt;Q&gt;CVX^FG_COMPANY_NAME&lt;/Q&gt;&lt;R&gt;1&lt;/R&gt;&lt;C&gt;1&lt;/C&gt;&lt;D xsi:type="xsd:string"&gt;Chevron Corporation&lt;/D&gt;&lt;/FQL&gt;&lt;FQL&gt;&lt;Q&gt;PG^FG_COMPANY_NAME&lt;/Q&gt;&lt;R&gt;1&lt;/R&gt;&lt;C&gt;1&lt;/C&gt;&lt;D xsi:type="xsd:string"&gt;Procter &amp;amp; Gamble Company&lt;/D&gt;&lt;/FQL&gt;&lt;FQL&gt;&lt;Q&gt;NSC^FG_COMPANY_NAME&lt;/Q&gt;&lt;R&gt;1&lt;/R&gt;&lt;C&gt;1&lt;/C&gt;&lt;D xsi:type="xsd:string"&gt;Norfolk Southern Corporation&lt;/D&gt;&lt;/FQL&gt;&lt;FQL&gt;&lt;Q&gt;XOM^FG_COMPANY_NAME&lt;/Q&gt;&lt;R&gt;1&lt;/R&gt;&lt;C&gt;1&lt;/C&gt;&lt;D xsi:type="xsd:string"&gt;Exxon Mobil Corporation&lt;/D&gt;&lt;/FQL&gt;&lt;FQL&gt;&lt;Q&gt;SLB^FG_COMPANY_NAME&lt;/Q&gt;&lt;R&gt;1&lt;/R&gt;&lt;C&gt;1&lt;/C&gt;&lt;D xsi:type="xsd:string"&gt;SLB Limited&lt;/D&gt;&lt;/FQL&gt;&lt;FQL&gt;&lt;Q&gt;HCA^FG_COMPANY_NAME&lt;/Q&gt;&lt;R&gt;1&lt;/R&gt;&lt;C&gt;1&lt;/C&gt;&lt;D xsi:type="xsd:string"&gt;HCA Healthcare Inc&lt;/D&gt;&lt;/FQL&gt;&lt;FQL&gt;&lt;Q&gt;CHTR^FG_COMPANY_NAME&lt;/Q&gt;&lt;R&gt;1&lt;/R&gt;&lt;C&gt;1&lt;/C&gt;&lt;D xsi:type="xsd:string"&gt;Charter Communications, Inc. Class A&lt;/D&gt;&lt;/FQL&gt;&lt;FQL&gt;&lt;Q&gt;LYB^FG_COMPANY_NAME&lt;/Q&gt;&lt;R&gt;1&lt;/R&gt;&lt;C&gt;1&lt;/C&gt;&lt;D xsi:type="xsd:string"&gt;LyondellBasell Industries NV&lt;/D&gt;&lt;/FQL&gt;&lt;FQL&gt;&lt;Q&gt;ARES^FG_COMPANY_NAME&lt;/Q&gt;&lt;R&gt;1&lt;/R&gt;&lt;C&gt;1&lt;/C&gt;&lt;D xsi:type="xsd:string"&gt;Ares Management Corporation&lt;/D&gt;&lt;/FQL&gt;&lt;FQL&gt;&lt;Q&gt;UHS^FG_COMPANY_NAME&lt;/Q&gt;&lt;R&gt;1&lt;/R&gt;&lt;C&gt;1&lt;/C&gt;&lt;D xsi:type="xsd:string"&gt;Universal Health Services, Inc. Class B&lt;/D&gt;&lt;/FQL&gt;&lt;FQL&gt;&lt;Q&gt;ARE^FG_COMPANY_NAME&lt;/Q&gt;&lt;R&gt;1&lt;/R&gt;&lt;C&gt;1&lt;/C&gt;&lt;D xsi:type="xsd:string"&gt;Alexandria Real Estate Equities, Inc.&lt;/D&gt;&lt;/FQL&gt;&lt;FQL&gt;&lt;Q&gt;VZ^FG_COMPANY_NAME&lt;/Q&gt;&lt;R&gt;1&lt;/R&gt;&lt;C&gt;1&lt;/C&gt;&lt;D xsi:type="xsd:string"&gt;Verizon Communications Inc.&lt;/D&gt;&lt;/FQL&gt;&lt;FQL&gt;&lt;Q&gt;BRO^FG_COMPANY_NAME&lt;/Q&gt;&lt;R&gt;1&lt;/R&gt;&lt;C&gt;1&lt;/C&gt;&lt;D xsi:type="xsd:string"&gt;Brown &amp;amp; Brown, Inc.&lt;/D&gt;&lt;/FQL&gt;&lt;FQL&gt;&lt;Q&gt;CDNS^FG_COMPANY_NAME&lt;/Q&gt;&lt;R&gt;1&lt;/R&gt;&lt;C&gt;1&lt;/C&gt;&lt;D xsi:type="xsd:string"&gt;Cadence Design Systems, Inc.&lt;/D&gt;&lt;/FQL&gt;&lt;FQL&gt;&lt;Q&gt;NUE^FG_COMPANY_NAME&lt;/Q&gt;&lt;R&gt;1&lt;/R&gt;&lt;C&gt;1&lt;/C&gt;&lt;D xsi:type="xsd:string"&gt;Nucor Corporation&lt;/D&gt;&lt;/FQL&gt;&lt;FQL&gt;&lt;Q&gt;LII^FG_COMPANY_NAME&lt;/Q&gt;&lt;R&gt;1&lt;/R&gt;&lt;C&gt;1&lt;/C&gt;&lt;D xsi:type="xsd:string"&gt;Lennox International Inc.&lt;/D&gt;&lt;/FQL&gt;&lt;FQL&gt;&lt;Q&gt;DPZ^FG_COMPANY_NAME&lt;/Q&gt;&lt;R&gt;1&lt;/R&gt;&lt;C&gt;1&lt;/C&gt;&lt;D xsi:type="xsd:string"&gt;Domino's Pizza, Inc.&lt;/D&gt;&lt;/FQL&gt;&lt;FQL&gt;&lt;Q&gt;MSFT^FG_COMPANY_NAME&lt;/Q&gt;&lt;R&gt;1&lt;/R&gt;&lt;C&gt;1&lt;/C&gt;&lt;D xsi:type="xsd:string"&gt;Microsoft Corporation&lt;/D&gt;&lt;/FQL&gt;&lt;FQL&gt;&lt;Q&gt;MCO^FG_COMPANY_NAME&lt;/Q&gt;&lt;R&gt;1&lt;/R&gt;&lt;C&gt;1&lt;/C&gt;&lt;D xsi:type="xsd:string"&gt;Moody's Corporation&lt;/D&gt;&lt;/FQL&gt;&lt;FQL&gt;&lt;Q&gt;KO^FG_COMPANY_NAME&lt;/Q&gt;&lt;R&gt;1&lt;/R&gt;&lt;C&gt;1&lt;/C&gt;&lt;D xsi:type="xsd:string"&gt;Coca-Cola Company&lt;/D&gt;&lt;/FQL&gt;&lt;FQL&gt;&lt;Q&gt;FISV^FG_COMPANY_NAME&lt;/Q&gt;&lt;R&gt;1&lt;/R&gt;&lt;C&gt;1&lt;/C&gt;&lt;D xsi:type="xsd:string"&gt;Fiserv, Inc.&lt;/D&gt;&lt;/FQL&gt;&lt;FQL&gt;&lt;Q&gt;AMT^FG_COMPANY_NAME&lt;/Q&gt;&lt;R&gt;1&lt;/R&gt;&lt;C&gt;1&lt;/C&gt;&lt;D xsi:type="xsd:string"&gt;American Tower Corporation&lt;/D&gt;&lt;/FQL&gt;&lt;FQL&gt;&lt;Q&gt;NVR^FG_COMPANY_NAME&lt;/Q&gt;&lt;R&gt;1&lt;/R&gt;&lt;C&gt;1&lt;/C&gt;&lt;D xsi:type="xsd:string"&gt;NVR, Inc.&lt;/D&gt;&lt;/FQL&gt;&lt;FQL&gt;&lt;Q&gt;ROP^FG_COMPANY_NAME&lt;/Q&gt;&lt;R&gt;1&lt;/R&gt;&lt;C&gt;1&lt;/C&gt;&lt;D xsi:type="xsd:string"&gt;Roper Technologies, Inc.&lt;/D&gt;&lt;/FQL&gt;&lt;FQL&gt;&lt;Q&gt;TER^FG_COMPANY_NAME&lt;/Q&gt;&lt;R&gt;1&lt;/R&gt;&lt;C&gt;1&lt;/C&gt;&lt;D xsi:type="xsd:string"&gt;Teradyne, Inc.&lt;/D&gt;&lt;/FQL&gt;&lt;FQL&gt;&lt;Q&gt;MMM^FG_COMPANY_NAME&lt;/Q&gt;&lt;R&gt;1&lt;/R&gt;&lt;C&gt;1&lt;/C&gt;&lt;D xsi:type="xsd:string"&gt;3M Company&lt;/D&gt;&lt;</t>
        </r>
      </text>
    </comment>
    <comment ref="A28" authorId="0" shapeId="0" xr:uid="{D7AAEB9A-5ECA-462E-A94E-17A3DA9AA89C}">
      <text>
        <r>
          <rPr>
            <b/>
            <sz val="9"/>
            <color indexed="81"/>
            <rFont val="Tahoma"/>
            <family val="2"/>
          </rPr>
          <t>/FQL&gt;&lt;FQL&gt;&lt;Q&gt;IEX^FG_COMPANY_NAME&lt;/Q&gt;&lt;R&gt;1&lt;/R&gt;&lt;C&gt;1&lt;/C&gt;&lt;D xsi:type="xsd:string"&gt;IDEX Corporation&lt;/D&gt;&lt;/FQL&gt;&lt;FQL&gt;&lt;Q&gt;CSGP^FG_COMPANY_NAME&lt;/Q&gt;&lt;R&gt;1&lt;/R&gt;&lt;C&gt;1&lt;/C&gt;&lt;D xsi:type="xsd:string"&gt;CoStar Group, Inc.&lt;/D&gt;&lt;/FQL&gt;&lt;FQL&gt;&lt;Q&gt;TXN^FG_COMPANY_NAME&lt;/Q&gt;&lt;R&gt;1&lt;/R&gt;&lt;C&gt;1&lt;/C&gt;&lt;D xsi:type="xsd:string"&gt;Texas Instruments Incorporated&lt;/D&gt;&lt;/FQL&gt;&lt;FQL&gt;&lt;Q&gt;ESS^FG_COMPANY_NAME&lt;/Q&gt;&lt;R&gt;1&lt;/R&gt;&lt;C&gt;1&lt;/C&gt;&lt;D xsi:type="xsd:string"&gt;Essex Property Trust, Inc.&lt;/D&gt;&lt;/FQL&gt;&lt;FQL&gt;&lt;Q&gt;CNC^FG_COMPANY_NAME&lt;/Q&gt;&lt;R&gt;1&lt;/R&gt;&lt;C&gt;1&lt;/C&gt;&lt;D xsi:type="xsd:string"&gt;Centene Corporation&lt;/D&gt;&lt;/FQL&gt;&lt;FQL&gt;&lt;Q&gt;WM^FG_COMPANY_NAME&lt;/Q&gt;&lt;R&gt;1&lt;/R&gt;&lt;C&gt;1&lt;/C&gt;&lt;D xsi:type="xsd:string"&gt;Waste Management, Inc.&lt;/D&gt;&lt;/FQL&gt;&lt;FQL&gt;&lt;Q&gt;EQR^FG_COMPANY_NAME&lt;/Q&gt;&lt;R&gt;1&lt;/R&gt;&lt;C&gt;1&lt;/C&gt;&lt;D xsi:type="xsd:string"&gt;Equity Residential&lt;/D&gt;&lt;/FQL&gt;&lt;FQL&gt;&lt;Q&gt;PCAR^FG_COMPANY_NAME&lt;/Q&gt;&lt;R&gt;1&lt;/R&gt;&lt;C&gt;1&lt;/C&gt;&lt;D xsi:type="xsd:string"&gt;PACCAR Inc&lt;/D&gt;&lt;/FQL&gt;&lt;FQL&gt;&lt;Q&gt;SPGI^FG_COMPANY_NAME&lt;/Q&gt;&lt;R&gt;1&lt;/R&gt;&lt;C&gt;1&lt;/C&gt;&lt;D xsi:type="xsd:string"&gt;S&amp;amp;P Global, Inc.&lt;/D&gt;&lt;/FQL&gt;&lt;FQL&gt;&lt;Q&gt;SHW^FG_COMPANY_NAME&lt;/Q&gt;&lt;R&gt;1&lt;/R&gt;&lt;C&gt;1&lt;/C&gt;&lt;D xsi:type="xsd:string"&gt;Sherwin-Williams Company&lt;/D&gt;&lt;/FQL&gt;&lt;FQL&gt;&lt;Q&gt;ECL^FG_COMPANY_NAME&lt;/Q&gt;&lt;R&gt;1&lt;/R&gt;&lt;C&gt;1&lt;/C&gt;&lt;D xsi:type="xsd:string"&gt;Ecolab Inc.&lt;/D&gt;&lt;/FQL&gt;&lt;FQL&gt;&lt;Q&gt;EIX^FG_COMPANY_NAME&lt;/Q&gt;&lt;R&gt;1&lt;/R&gt;&lt;C&gt;1&lt;/C&gt;&lt;D xsi:type="xsd:string"&gt;Edison International&lt;/D&gt;&lt;/FQL&gt;&lt;FQL&gt;&lt;Q&gt;UPS^FG_COMPANY_NAME&lt;/Q&gt;&lt;R&gt;1&lt;/R&gt;&lt;C&gt;1&lt;/C&gt;&lt;D xsi:type="xsd:string"&gt;United Parcel Service, Inc. Class B&lt;/D&gt;&lt;/FQL&gt;&lt;FQL&gt;&lt;Q&gt;ACGL^FG_COMPANY_NAME&lt;/Q&gt;&lt;R&gt;1&lt;/R&gt;&lt;C&gt;1&lt;/C&gt;&lt;D xsi:type="xsd:string"&gt;Arch Capital Group Ltd.&lt;/D&gt;&lt;/FQL&gt;&lt;FQL&gt;&lt;Q&gt;KMB^FG_COMPANY_NAME&lt;/Q&gt;&lt;R&gt;1&lt;/R&gt;&lt;C&gt;1&lt;/C&gt;&lt;D xsi:type="xsd:string"&gt;Kimberly-Clark Corporation&lt;/D&gt;&lt;/FQL&gt;&lt;FQL&gt;&lt;Q&gt;PEP^FG_COMPANY_NAME&lt;/Q&gt;&lt;R&gt;1&lt;/R&gt;&lt;C&gt;1&lt;/C&gt;&lt;D xsi:type="xsd:string"&gt;PepsiCo, Inc.&lt;/D&gt;&lt;/FQL&gt;&lt;FQL&gt;&lt;Q&gt;HUBB^FG_COMPANY_NAME&lt;/Q&gt;&lt;R&gt;1&lt;/R&gt;&lt;C&gt;1&lt;/C&gt;&lt;D xsi:type="xsd:string"&gt;Hubbell Incorporated&lt;/D&gt;&lt;/FQL&gt;&lt;FQL&gt;&lt;Q&gt;ADM^FG_COMPANY_NAME&lt;/Q&gt;&lt;R&gt;1&lt;/R&gt;&lt;C&gt;1&lt;/C&gt;&lt;D xsi:type="xsd:string"&gt;Archer-Daniels-Midland Company&lt;/D&gt;&lt;/FQL&gt;&lt;FQL&gt;&lt;Q&gt;BKNG^FG_COMPANY_NAME&lt;/Q&gt;&lt;R&gt;1&lt;/R&gt;&lt;C&gt;1&lt;/C&gt;&lt;D xsi:type="xsd:string"&gt;Booking Holdings Inc.&lt;/D&gt;&lt;/FQL&gt;&lt;FQL&gt;&lt;Q&gt;MSCI^FG_COMPANY_NAME&lt;/Q&gt;&lt;R&gt;1&lt;/R&gt;&lt;C&gt;1&lt;/C&gt;&lt;D xsi:type="xsd:string"&gt;MSCI Inc. Class A&lt;/D&gt;&lt;/FQL&gt;&lt;FQL&gt;&lt;Q&gt;GOOGL^FG_COMPANY_NAME&lt;/Q&gt;&lt;R&gt;1&lt;/R&gt;&lt;C&gt;1&lt;/C&gt;&lt;D xsi:type="xsd:string"&gt;Alphabet Inc. Class A&lt;/D&gt;&lt;/FQL&gt;&lt;FQL&gt;&lt;Q&gt;GM^FG_COMPANY_NAME&lt;/Q&gt;&lt;R&gt;1&lt;/R&gt;&lt;C&gt;1&lt;/C&gt;&lt;D xsi:type="xsd:string"&gt;General Motors Company&lt;/D&gt;&lt;/FQL&gt;&lt;FQL&gt;&lt;Q&gt;NEE^FG_COMPANY_NAME&lt;/Q&gt;&lt;R&gt;1&lt;/R&gt;&lt;C&gt;1&lt;/C&gt;&lt;D xsi:type="xsd:string"&gt;NextEra Energy, Inc.&lt;/D&gt;&lt;/FQL&gt;&lt;FQL&gt;&lt;Q&gt;NXPI^FG_COMPANY_NAME&lt;/Q&gt;&lt;R&gt;1&lt;/R&gt;&lt;C&gt;1&lt;/C&gt;&lt;D xsi:type="xsd:string"&gt;NXP Semiconductors NV&lt;/D&gt;&lt;/FQL&gt;&lt;FQL&gt;&lt;Q&gt;MDLZ^FG_COMPANY_NAME&lt;/Q&gt;&lt;R&gt;1&lt;/R&gt;&lt;C&gt;1&lt;/C&gt;&lt;D xsi:type="xsd:string"&gt;Mondelez International, Inc. Class A&lt;/D&gt;&lt;/FQL&gt;&lt;FQL&gt;&lt;Q&gt;TSLA^FG_COMPANY_NAME&lt;/Q&gt;&lt;R&gt;1&lt;/R&gt;&lt;C&gt;1&lt;/C&gt;&lt;D xsi:type="xsd:string"&gt;Tesla, Inc.&lt;/D&gt;&lt;/FQL&gt;&lt;FQL&gt;&lt;Q&gt;GOOG^FG_COMPANY_NAME&lt;/Q&gt;&lt;R&gt;1&lt;/R&gt;&lt;C&gt;1&lt;/C&gt;&lt;D xsi:type="xsd:string"&gt;Alphabet Inc. Class C&lt;/D&gt;&lt;/FQL&gt;&lt;FQL&gt;&lt;Q&gt;HLT^FG_COMPANY_NAME&lt;/Q&gt;&lt;R&gt;1&lt;/R&gt;&lt;C&gt;1&lt;/C&gt;&lt;D xsi:type="xsd:string"&gt;Hilton Worldwide Holdings Inc.&lt;/D&gt;&lt;/FQL&gt;&lt;FQL&gt;&lt;Q&gt;IVZ^FG_COMPANY_NAME&lt;/Q&gt;&lt;R&gt;1&lt;/R&gt;&lt;C&gt;1&lt;/C&gt;&lt;D xsi:type="xsd:string"&gt;Invesco Ltd.&lt;/D&gt;&lt;/FQL&gt;&lt;FQL&gt;&lt;Q&gt;EXR^FG_COMPANY_NAME&lt;/Q&gt;&lt;R&gt;1&lt;/R&gt;&lt;C&gt;1&lt;/C&gt;&lt;D xsi:type="xsd:string"&gt;Extra Space Storage Inc.&lt;/D&gt;&lt;/FQL&gt;&lt;FQL&gt;&lt;Q&gt;TMUS^FG_COMPANY_NAME&lt;/Q&gt;&lt;R&gt;1&lt;/R&gt;&lt;C&gt;1&lt;/C&gt;&lt;D xsi:type="xsd:string"&gt;T-Mobile US, Inc.&lt;/D&gt;&lt;/FQL&gt;&lt;FQL&gt;&lt;Q&gt;UDR^FG_COMPANY_NAME&lt;/Q&gt;&lt;R&gt;1&lt;/R&gt;&lt;C&gt;1&lt;/C&gt;&lt;D xsi:type="xsd:string"&gt;UDR, Inc.&lt;/D&gt;&lt;/FQL&gt;&lt;FQL&gt;&lt;Q&gt;V^FG_COMPANY_NAME&lt;/Q&gt;&lt;R&gt;1&lt;/R&gt;&lt;C&gt;1&lt;/C&gt;&lt;D xsi:type="xsd:string"&gt;Visa Inc. Class A&lt;/D&gt;&lt;/FQL&gt;&lt;FQL&gt;&lt;Q&gt;PNR^FG_COMPANY_NAME&lt;/Q&gt;&lt;R&gt;1&lt;/R&gt;&lt;C&gt;1&lt;/C&gt;&lt;D xsi:type="xsd:string"&gt;Pentair plc&lt;/D&gt;&lt;/FQL&gt;&lt;FQL&gt;&lt;Q&gt;VLTO^FG_COMPANY_NAME&lt;/Q&gt;&lt;R&gt;1&lt;/R&gt;&lt;C&gt;1&lt;/C&gt;&lt;D xsi:type="xsd:string"&gt;Veralto Corporation&lt;/D&gt;&lt;/FQL&gt;&lt;FQL&gt;&lt;Q&gt;XYL^FG_COMPANY_NAME&lt;/Q&gt;&lt;R&gt;1&lt;/R&gt;&lt;C&gt;1&lt;/C&gt;&lt;D xsi:type="xsd:string"&gt;Xylem Inc.&lt;/D&gt;&lt;/FQL&gt;&lt;FQL&gt;&lt;Q&gt;MAA^FG_COMPANY_NAME&lt;/Q&gt;&lt;R&gt;1&lt;/R&gt;&lt;C&gt;1&lt;/C&gt;&lt;D xsi:type="xsd:string"&gt;Mid-America Apartment Communities, Inc.&lt;/D&gt;&lt;/FQL&gt;&lt;FQL&gt;&lt;Q&gt;EQIX^FG_COMPANY_NAME&lt;/Q&gt;&lt;R&gt;1&lt;/R&gt;&lt;C&gt;1&lt;/C&gt;&lt;D xsi:type="xsd:string"&gt;Equinix, Inc.&lt;/D&gt;&lt;/FQL&gt;&lt;FQL&gt;&lt;Q&gt;GRMN^FG_COMPANY_NAME&lt;/Q&gt;&lt;R&gt;1&lt;/R&gt;&lt;C&gt;1&lt;/C&gt;&lt;D xsi:type="xsd:string"&gt;Garmin Ltd.&lt;/D&gt;&lt;/FQL&gt;&lt;FQL&gt;&lt;Q&gt;EW^FG_COMPANY_NAME&lt;/Q&gt;&lt;R&gt;1&lt;/R&gt;&lt;C&gt;1&lt;/C&gt;&lt;D xsi:type="xsd:string"&gt;Edwards Lifesciences Corporation&lt;/D&gt;&lt;/FQL&gt;&lt;FQL&gt;&lt;Q&gt;MGM^FG_COMPANY_NAME&lt;/Q&gt;&lt;R&gt;1&lt;/R&gt;&lt;C&gt;1&lt;/C&gt;&lt;D xsi:type="xsd:string"&gt;MGM Resorts International&lt;/D&gt;&lt;/FQL&gt;&lt;FQL&gt;&lt;Q&gt;APH^FG_COMPANY_NAME&lt;/Q&gt;&lt;R&gt;1&lt;/R&gt;&lt;C&gt;1&lt;/C&gt;&lt;D xsi:type="xsd:string"&gt;Amphenol Corporation Class A&lt;/D&gt;&lt;/FQL&gt;&lt;FQL&gt;&lt;Q&gt;ALL^FG_COMPANY_NAME&lt;/Q&gt;&lt;R&gt;1&lt;/R&gt;&lt;C&gt;1&lt;/C&gt;&lt;D xsi:type="xsd:string"&gt;Allstate Corporation&lt;/D&gt;&lt;/FQL&gt;&lt;FQL&gt;&lt;Q&gt;SWK^FG_COMPANY_NAME&lt;/Q&gt;&lt;R&gt;1&lt;/R&gt;&lt;C&gt;1&lt;/C&gt;&lt;D xsi:type="xsd:string"&gt;Stanley Black &amp;amp; Decker, Inc.&lt;/D&gt;&lt;/FQL&gt;&lt;FQL&gt;&lt;Q&gt;REGN^FG_COMPANY_NAME&lt;/Q&gt;&lt;R&gt;1&lt;/R&gt;&lt;C&gt;1&lt;/C&gt;&lt;D xsi:type="xsd:string"&gt;Regeneron Pharmaceuticals, Inc.&lt;/D&gt;&lt;/FQL&gt;&lt;FQL&gt;&lt;Q&gt;ODFL^FG_COMPANY_NAME&lt;/Q&gt;&lt;R&gt;1&lt;/R&gt;&lt;C&gt;1&lt;/C&gt;&lt;D xsi:type="xsd:string"&gt;Old Dominion Freight Line, Inc.&lt;/D&gt;&lt;/FQL&gt;&lt;FQL&gt;&lt;Q&gt;ALGN^FG_COMPANY_NAME&lt;/Q&gt;&lt;R&gt;1&lt;/R&gt;&lt;C&gt;1&lt;/C&gt;&lt;D xsi:type="xsd:string"&gt;Align Technology, Inc.&lt;/D&gt;&lt;/FQL&gt;&lt;FQL&gt;&lt;Q&gt;GD^FG_COMPANY_NAME&lt;/Q&gt;&lt;R&gt;1&lt;/R&gt;&lt;C&gt;1&lt;/C&gt;&lt;D xsi:type="xsd:string"&gt;General Dynamics Corporation&lt;/D&gt;&lt;/FQL&gt;&lt;FQL&gt;&lt;Q&gt;ETR^FG_COMPANY_NAME&lt;/Q&gt;&lt;R&gt;1&lt;/R&gt;&lt;C&gt;1&lt;/C&gt;&lt;D xsi:type="xsd:string"&gt;Entergy Corporation&lt;/D&gt;&lt;/FQL&gt;&lt;FQL&gt;&lt;Q&gt;EG^FG_COMPANY_NAME&lt;/Q&gt;&lt;R&gt;1&lt;/R&gt;&lt;C&gt;1&lt;/C&gt;&lt;D xsi:type="xsd:string"&gt;Everest Group, Ltd.&lt;/D&gt;&lt;/FQL&gt;&lt;FQL&gt;&lt;Q&gt;FIX^FG_COMPANY_NAME&lt;/Q&gt;&lt;R&gt;1&lt;/R&gt;&lt;C&gt;1&lt;/C&gt;&lt;D xsi:type="xsd:string"&gt;Comfort Systems USA, Inc.&lt;/D&gt;&lt;/FQL&gt;&lt;FQL&gt;&lt;Q&gt;ROL^FG_COMPANY_NAME&lt;/Q&gt;&lt;R&gt;1&lt;/R&gt;&lt;C&gt;1&lt;/C&gt;&lt;D xsi:type="xsd:string"&gt;Rollins, Inc.&lt;/D&gt;&lt;/FQL&gt;&lt;FQL&gt;&lt;Q&gt;ADP^FG_COMPANY_NAME&lt;/Q&gt;&lt;R&gt;1&lt;/R&gt;&lt;C&gt;1&lt;/C&gt;&lt;D xsi:type="xsd:string"&gt;Automatic Data Processing, Inc.&lt;/D&gt;&lt;/FQL&gt;&lt;FQL&gt;&lt;Q&gt;TDY^FG_COMPANY_NAME&lt;/Q&gt;&lt;R&gt;1&lt;/R&gt;&lt;C&gt;1&lt;/C&gt;&lt;D xsi:type="xsd:string"&gt;Teledyne Technologies Incorporated&lt;/D&gt;&lt;/FQL&gt;&lt;FQL&gt;&lt;Q&gt;URI^FG_COMPANY_NAME&lt;/Q&gt;&lt;R&gt;1&lt;/R&gt;&lt;C&gt;1&lt;/C&gt;&lt;D xsi:type="xsd:string"&gt;United Rentals, Inc.&lt;/D&gt;&lt;/FQL&gt;&lt;FQL&gt;&lt;Q&gt;AMGN^FG_COMPANY_NAME&lt;/Q&gt;&lt;R&gt;1&lt;/R&gt;&lt;C&gt;1&lt;/C&gt;&lt;D xsi:type="xsd:string"&gt;Amgen Inc.&lt;/D&gt;&lt;/FQL&gt;&lt;FQL&gt;&lt;Q&gt;AVY^FG_COMPANY_NAME&lt;/Q&gt;&lt;R&gt;1&lt;/R&gt;&lt;C&gt;1&lt;/C&gt;&lt;D xsi:type="xsd:string"&gt;Avery Dennison Corporation&lt;/D&gt;&lt;/FQL&gt;&lt;FQL&gt;&lt;Q&gt;EQT^FG_COMPANY_NAME&lt;/Q&gt;&lt;R&gt;1&lt;/R&gt;&lt;C&gt;1&lt;/C&gt;&lt;D xsi:type="xsd:string"&gt;EQT Corporation&lt;/D&gt;&lt;/FQL&gt;&lt;FQL&gt;&lt;Q&gt;ORLY^FG_COMPANY_NAME&lt;/Q&gt;&lt;R&gt;1&lt;/R&gt;&lt;C&gt;1&lt;/C&gt;&lt;D xsi:type="xsd:string"&gt;O'Reilly Automotive, Inc.&lt;/D&gt;&lt;/FQL&gt;&lt;FQL&gt;&lt;Q&gt;TMO^FG_COMPANY_NAME&lt;/Q&gt;&lt;R&gt;1&lt;/R&gt;&lt;C&gt;1&lt;/C&gt;&lt;D xsi:type="xsd:string"&gt;Thermo Fisher Scientific Inc.&lt;/D&gt;&lt;/FQL&gt;&lt;FQL&gt;&lt;Q&gt;AVB^FG_COMPANY_NAME&lt;/Q&gt;&lt;R&gt;1&lt;/R&gt;&lt;C&gt;1&lt;/C&gt;&lt;D xsi:type="xsd:string"&gt;AvalonBay Communities, Inc.&lt;/D&gt;&lt;/FQL&gt;&lt;FQL&gt;&lt;Q&gt;LRCX^FG_COMPANY_NAME&lt;/Q&gt;&lt;R&gt;1&lt;/R&gt;&lt;C&gt;1&lt;/C&gt;&lt;D xsi:type="xsd:string"&gt;Lam Research Corporation&lt;/D&gt;&lt;/FQL&gt;&lt;FQL&gt;&lt;Q&gt;TYL^FG_COMPANY_NAME&lt;/Q&gt;&lt;R&gt;1&lt;/R&gt;&lt;C&gt;1&lt;/C&gt;&lt;D xsi:type="xsd:string"&gt;Tyler Technologies, Inc.&lt;/D&gt;&lt;/FQL&gt;&lt;FQL&gt;&lt;Q&gt;REG^FG_COMPANY_NAME&lt;/Q&gt;&lt;R&gt;1&lt;/R&gt;&lt;C&gt;1&lt;/C&gt;&lt;D xsi:type="xsd:string"&gt;Regency Centers Corporation&lt;/D&gt;&lt;/FQL&gt;&lt;FQL&gt;&lt;Q&gt;BG^FG_COMPANY_NAME&lt;/Q&gt;&lt;R&gt;1&lt;/R&gt;&lt;C&gt;1&lt;/C&gt;&lt;D xsi:type="xsd:string"&gt;Bunge Global SA&lt;/D&gt;&lt;/FQL&gt;&lt;FQL&gt;&lt;Q&gt;F^FG_COMPANY_NAME&lt;/Q&gt;&lt;R&gt;1&lt;/R&gt;&lt;C&gt;1&lt;/C&gt;&lt;D xsi:type="xsd:string"&gt;Ford Motor Company&lt;/D&gt;&lt;/FQL&gt;&lt;FQL&gt;&lt;Q&gt;AFL^FG_COMPANY_NAME&lt;/Q&gt;&lt;R&gt;1&lt;/R&gt;&lt;C&gt;1&lt;/C&gt;&lt;D xsi:type="xsd:string"&gt;Aflac Incorporated&lt;/D&gt;&lt;/FQL&gt;&lt;FQL&gt;&lt;Q&gt;HUM^FG_COMPANY_NAME&lt;/Q&gt;&lt;R&gt;1&lt;/R&gt;&lt;C&gt;1&lt;/C&gt;&lt;D xsi:type="xsd:string"&gt;Humana Inc.&lt;/D&gt;&lt;/FQL&gt;&lt;FQL&gt;&lt;Q&gt;CMG^FG_COMPANY_NAME&lt;/Q&gt;&lt;R&gt;1&lt;/R&gt;&lt;C&gt;1&lt;/C&gt;&lt;D xsi:type="xsd:string"&gt;Chipotle Mexican Grill, Inc.&lt;/D&gt;&lt;/FQL&gt;&lt;FQL&gt;&lt;Q&gt;ABBV^FG_COMPANY_NAME&lt;/Q&gt;&lt;R&gt;1&lt;/R&gt;&lt;C&gt;1&lt;/C&gt;&lt;D xsi:type="xsd:string"&gt;AbbVie, Inc.&lt;/D&gt;&lt;/FQL&gt;&lt;FQL&gt;&lt;Q&gt;STX^FG_COMPANY_NAME&lt;/Q&gt;&lt;R&gt;1&lt;/R&gt;&lt;C&gt;1&lt;/C&gt;&lt;D xsi:type="xsd:string"&gt;Seagate Technology Holdings PLC&lt;/D&gt;&lt;/FQL&gt;&lt;FQL&gt;&lt;Q&gt;PTC^FG_COMPANY_NAME&lt;/Q&gt;&lt;R&gt;1&lt;/R&gt;&lt;C&gt;1&lt;/C&gt;&lt;D xsi:type="xsd:string"&gt;PTC Inc.&lt;/D&gt;&lt;/FQL&gt;&lt;FQL&gt;&lt;Q&gt;CHRW^FG_COMPANY_NAME&lt;/Q&gt;&lt;R&gt;1&lt;/R&gt;&lt;C&gt;1&lt;/C&gt;&lt;D xsi:type="xsd:string"&gt;C.H. Robinson Worldwide, Inc.&lt;/D&gt;&lt;/FQL&gt;&lt;FQL&gt;&lt;Q&gt;LVS^FG_COMPANY_NAME&lt;/Q&gt;&lt;R&gt;1&lt;/R&gt;&lt;C&gt;1&lt;/C&gt;&lt;D xsi:type="xsd:string"&gt;Las Vegas Sands Corp.&lt;/D&gt;&lt;/FQL&gt;&lt;FQL&gt;&lt;Q&gt;TEL^FG_COMPANY_NAME&lt;/Q&gt;&lt;R&gt;1&lt;/R&gt;&lt;C&gt;1&lt;/C&gt;&lt;D xsi:type="xsd:string"&gt;TE Connectivity plc&lt;/D&gt;&lt;/FQL&gt;&lt;FQL&gt;&lt;Q&gt;META^FG_COMPANY_NAME&lt;/Q&gt;&lt;R&gt;1&lt;/R&gt;&lt;C&gt;1&lt;/C&gt;&lt;D xsi:type="xsd:string"&gt;Meta Platforms Inc Class A&lt;/D&gt;&lt;/FQL&gt;&lt;FQL&gt;&lt;Q&gt;PSX^FG_COMPANY_NAME&lt;/Q&gt;&lt;R&gt;1&lt;/R&gt;&lt;C&gt;1&lt;/C&gt;&lt;D xsi:type="xsd:string"&gt;Phillips 66&lt;/D&gt;&lt;/FQL&gt;&lt;FQL&gt;&lt;Q&gt;NOW^FG_COMPANY_NAME&lt;/Q&gt;&lt;R&gt;1&lt;/R&gt;&lt;C&gt;1&lt;/C&gt;&lt;D xsi:type="xsd:string"&gt;ServiceNow, Inc.&lt;/D&gt;&lt;/FQL&gt;&lt;FQL&gt;&lt;Q&gt;VICI^FG_COMPANY_NAME&lt;/Q&gt;&lt;R&gt;1&lt;/R&gt;&lt;C&gt;1&lt;/C&gt;&lt;D xsi:type="xsd:string"&gt;VICI Properties Inc&lt;/D&gt;&lt;/FQL&gt;&lt;FQL&gt;&lt;Q&gt;VRT^FG_COMPANY_NAME&lt;/Q&gt;&lt;R&gt;1&lt;/R&gt;&lt;C&gt;1&lt;/C&gt;&lt;D xsi:type="xsd:string"&gt;Vertiv Holdings Co. Class A&lt;/D&gt;&lt;/FQL&gt;&lt;FQL&gt;&lt;Q&gt;OTIS^FG_COMPANY_NAME&lt;/Q&gt;&lt;R&gt;1&lt;/R&gt;&lt;C&gt;1&lt;/C&gt;&lt;D xsi:type="xsd:string"&gt;Otis Worldwide Corporation&lt;/D&gt;&lt;/FQL&gt;&lt;FQL&gt;&lt;Q&gt;AES^FG_COMPANY_NAME&lt;/Q&gt;&lt;R&gt;1&lt;/R&gt;&lt;C&gt;1&lt;/C&gt;&lt;D xsi:type="xsd:string"&gt;AES Corporation&lt;/D&gt;&lt;/FQL&gt;&lt;FQL&gt;&lt;Q&gt;ED^FG_COMPANY_NAME&lt;/Q&gt;&lt;R&gt;1&lt;/R&gt;&lt;C&gt;1&lt;/C&gt;&lt;D xsi:type="xsd:string"&gt;Consolidated Edison, Inc.&lt;/D&gt;&lt;/FQL&gt;&lt;FQL&gt;&lt;Q&gt;SO^FG_COMPANY_NAME&lt;/Q&gt;&lt;R&gt;1&lt;/R&gt;&lt;C&gt;1&lt;/C&gt;&lt;D xsi:type="xsd:string"&gt;Southern Company&lt;/D&gt;&lt;/FQL&gt;&lt;FQL&gt;&lt;Q&gt;IP^FG_COMPANY_NAME&lt;/Q&gt;&lt;R&gt;1&lt;/R&gt;&lt;C&gt;1&lt;/C&gt;&lt;D xsi:type="xsd:string"&gt;International Paper Company&lt;/D&gt;&lt;/FQL&gt;&lt;FQL&gt;&lt;Q&gt;BAX^FG_COMPANY_NAME&lt;/Q&gt;&lt;R&gt;1&lt;/R&gt;&lt;C&gt;1&lt;/C&gt;&lt;D xsi:type="xsd:string"&gt;Baxter International Inc.&lt;/D&gt;&lt;/FQL&gt;&lt;FQL&gt;&lt;Q&gt;MNST^FG_COMPANY_NAME&lt;/Q&gt;&lt;R&gt;1&lt;/R&gt;&lt;C&gt;1&lt;/C&gt;&lt;D xsi:type="xsd:string"&gt;Monster Beverage Corporation&lt;/D&gt;&lt;/FQL&gt;&lt;FQL&gt;&lt;Q&gt;CAH^FG_COMPANY_NAME&lt;/Q&gt;&lt;R&gt;1&lt;/R&gt;&lt;C&gt;1&lt;/C&gt;&lt;D xsi:type="xsd:string"&gt;Cardinal Health, Inc.&lt;/D&gt;&lt;/FQL&gt;&lt;FQL&gt;&lt;Q&gt;LHX^FG_COMPANY_NAME&lt;/Q&gt;&lt;R&gt;1&lt;/R&gt;&lt;C&gt;1&lt;/C&gt;&lt;D xsi:type="xsd:string"&gt;L3Harris Technologies Inc&lt;/D&gt;&lt;/FQL&gt;&lt;FQL&gt;&lt;Q&gt;AIG^FG_COMPANY_NAME&lt;/Q&gt;&lt;R&gt;1&lt;/R&gt;&lt;C&gt;1&lt;/C&gt;&lt;D xsi:type="xsd:string"&gt;American International Group, Inc.&lt;/D&gt;&lt;/FQL&gt;&lt;FQL&gt;&lt;Q&gt;LLY^FG_COMPANY_NAME&lt;/Q&gt;&lt;R&gt;1&lt;/R&gt;&lt;C&gt;1&lt;/C&gt;&lt;D xsi:type="xsd:string"&gt;Eli Lilly and Company&lt;/D&gt;&lt;/FQL&gt;&lt;FQL&gt;&lt;Q&gt;LH^FG_COMPANY_NAME&lt;/Q&gt;&lt;R&gt;1&lt;/R&gt;&lt;C&gt;1&lt;/C&gt;&lt;D xsi:type="xsd:string"&gt;Labcorp Holdings Inc.&lt;/D&gt;&lt;/FQL&gt;&lt;FQL&gt;&lt;Q&gt;BMY^FG_COMPANY_NAME&lt;/Q&gt;&lt;R&gt;1&lt;/R&gt;&lt;C&gt;1&lt;/C&gt;&lt;D xsi:type="xsd:string"&gt;Bristol-Myers Squibb Company&lt;/D&gt;&lt;/FQL&gt;&lt;FQL&gt;&lt;Q&gt;LNT^FG_COMPANY_NAME&lt;/Q&gt;&lt;R&gt;1&lt;/R&gt;&lt;C&gt;1&lt;/C&gt;&lt;D xsi:type="xsd:string"&gt;Alliant Energy Corporation&lt;/D&gt;&lt;/FQL&gt;&lt;FQL&gt;&lt;Q&gt;APD^FG_COMPANY_NAME&lt;/Q&gt;&lt;R&gt;1&lt;/R&gt;&lt;C&gt;1&lt;/C&gt;&lt;D xsi:type="xsd:string"&gt;Air Products and Chemicals, Inc.&lt;/D&gt;&lt;/FQL&gt;&lt;FQL&gt;&lt;Q&gt;SRE^FG_COMPANY_NAME&lt;/Q&gt;&lt;R&gt;1&lt;/R&gt;&lt;C&gt;1&lt;/C&gt;&lt;D xsi:type="xsd:string"&gt;Sempra&lt;/D&gt;&lt;/FQL&gt;&lt;FQL&gt;&lt;Q&gt;PPL^FG_COMPANY_NAME&lt;/Q&gt;&lt;R&gt;1&lt;/R&gt;&lt;C&gt;1&lt;/C&gt;&lt;D xsi:type="xsd:string"&gt;PPL Corporation&lt;/D&gt;&lt;/FQL&gt;&lt;FQL&gt;&lt;Q&gt;TXT^FG_COMPANY_NAME&lt;/Q&gt;&lt;R&gt;1&lt;/R&gt;&lt;C&gt;1&lt;/C&gt;&lt;D xsi:type="xsd:string"&gt;Textron Inc.&lt;/D&gt;&lt;/FQL&gt;&lt;FQL&gt;&lt;Q&gt;AEE^FG_COMPANY_NAME&lt;/Q&gt;&lt;R&gt;1&lt;/R&gt;&lt;C&gt;1&lt;/C&gt;&lt;D xsi:type="xsd:string"&gt;Ameren Corporation&lt;/D&gt;&lt;/FQL&gt;&lt;FQL&gt;&lt;Q&gt;TRGP^FG_COMPANY_NAME&lt;/Q&gt;&lt;R&gt;1&lt;/R&gt;&lt;C&gt;1&lt;/C&gt;&lt;D xsi:type="xsd:string"&gt;Targa Resources Corp.&lt;/D&gt;&lt;/FQL&gt;&lt;FQL&gt;&lt;Q&gt;MTD^FG_COMPANY_NAME&lt;/Q&gt;&lt;R&gt;1&lt;/R&gt;&lt;C&gt;1&lt;/C&gt;&lt;D xsi:type="xsd:string"&gt;Mettler-Toledo International Inc.&lt;/D&gt;&lt;/FQL&gt;&lt;FQL&gt;&lt;Q&gt;APO^FG_COMPANY_NAME&lt;/Q&gt;&lt;R&gt;1&lt;/R&gt;&lt;C&gt;1&lt;/C&gt;&lt;D xsi:type="xsd:string"&gt;Apollo Global Management Inc&lt;/D&gt;&lt;/FQL&gt;&lt;FQL&gt;&lt;Q&gt;D^FG_COMPANY_NAME&lt;/Q&gt;&lt;R&gt;1&lt;/R&gt;&lt;C&gt;1&lt;/C&gt;&lt;D xsi:type="xsd:string"&gt;Dominion Energy Inc&lt;/D&gt;&lt;/FQL&gt;&lt;FQL&gt;&lt;Q&gt;VLO^FG_COMPANY_NAME&lt;/Q&gt;&lt;R&gt;1&lt;/R&gt;&lt;C&gt;1&lt;/C&gt;&lt;D xsi:type="xsd:string"&gt;Valero Energy Corporation&lt;/D&gt;&lt;/FQL&gt;&lt;FQL&gt;&lt;Q&gt;PH^FG_COMPANY_NAME&lt;/Q&gt;&lt;R&gt;1&lt;/R&gt;&lt;C&gt;1&lt;/C&gt;&lt;D xsi:type="xsd:string"&gt;Parker-Hannifin Corporation&lt;/D&gt;&lt;/FQL&gt;&lt;FQL&gt;&lt;Q&gt;AAPL^FG_COMPANY_NAME&lt;/Q&gt;&lt;R&gt;1&lt;/R&gt;&lt;C&gt;1&lt;/C&gt;&lt;D xsi:type="xsd:string"&gt;Apple Inc.&lt;/D&gt;&lt;/FQL&gt;&lt;FQL&gt;&lt;Q&gt;WY^FG_COMPANY_NAME&lt;/Q&gt;&lt;R&gt;1&lt;/R&gt;&lt;C&gt;1&lt;/C&gt;&lt;D xsi:type="xsd:string"&gt;Weyerhaeuser Company&lt;/D&gt;&lt;/FQL&gt;&lt;FQL&gt;&lt;Q&gt;PWR^FG_COMPANY_NAME&lt;/Q&gt;&lt;R&gt;1&lt;/R&gt;&lt;C&gt;1&lt;/C&gt;&lt;D xsi:type="xsd:string"&gt;Quanta Services, Inc.&lt;/D&gt;&lt;/FQL&gt;&lt;FQL&gt;&lt;Q&gt;CTRA^FG_COMPANY_NAME&lt;/Q&gt;&lt;R&gt;1&lt;/R&gt;&lt;C&gt;1&lt;/C&gt;&lt;D xsi:type="xsd:string"&gt;Coterra Energy Inc.&lt;/D&gt;&lt;/FQL&gt;&lt;FQL&gt;&lt;Q&gt;RCL^FG_COMPANY_NAME&lt;/Q&gt;&lt;R&gt;1&lt;/R&gt;&lt;C&gt;1&lt;/C&gt;&lt;D xsi:type="xsd:string"&gt;Royal Caribbean Group&lt;/D&gt;&lt;/FQL&gt;&lt;FQL&gt;&lt;Q&gt;BDX^FG_COMPANY_NAME&lt;/Q&gt;&lt;R&gt;1&lt;/R&gt;&lt;C&gt;1&lt;/C&gt;&lt;D xsi:type="xsd:string"&gt;Becton, Dickinson and Company&lt;/D&gt;&lt;/FQL&gt;&lt;FQL&gt;&lt;Q&gt;BALL^FG_COMPANY_NAME&lt;/Q&gt;&lt;R&gt;1&lt;/R&gt;&lt;C&gt;1&lt;/C&gt;&lt;D xsi:type="xsd:string"&gt;Ball Corporation&lt;/D&gt;&lt;/FQL&gt;&lt;FQL&gt;&lt;Q&gt;CI^FG_COMPANY_NAME&lt;/Q&gt;&lt;R&gt;1&lt;/R&gt;&lt;C&gt;1&lt;/C&gt;&lt;D xsi:type="xsd:string"&gt;Cigna Group&lt;/D&gt;&lt;/FQL&gt;&lt;FQL&gt;&lt;Q&gt;HOLX^FG_COMPANY_NAME&lt;/Q&gt;&lt;R&gt;1&lt;/R&gt;&lt;C&gt;1&lt;/C&gt;&lt;D xsi:type="xsd:string"&gt;Hologic, Inc.&lt;/D&gt;&lt;/FQL&gt;&lt;FQL&gt;&lt;Q&gt;IRM^FG_COMPANY_NAME&lt;/Q&gt;&lt;R&gt;1&lt;/R&gt;&lt;C&gt;1&lt;/C&gt;&lt;D xsi:type="xsd:string"&gt;Iron Mountain, Inc.&lt;/D&gt;&lt;/FQL&gt;&lt;FQL&gt;&lt;Q&gt;COP^FG_COMPANY_NAME&lt;/Q&gt;&lt;R&gt;1&lt;/R&gt;&lt;C&gt;1&lt;/C&gt;&lt;D xsi:type="xsd:string"&gt;ConocoPhillips&lt;/D&gt;&lt;/FQL&gt;&lt;FQL&gt;&lt;Q&gt;DVA^FG_COMPANY_NAME&lt;/Q&gt;&lt;R&gt;1&lt;/R&gt;&lt;C&gt;1&lt;/C&gt;&lt;D xsi:type="xsd:string"&gt;DaVita Inc.&lt;/D&gt;&lt;/FQL&gt;&lt;FQL&gt;&lt;Q&gt;MPWR^FG_COMPANY_NAME&lt;/Q&gt;&lt;R&gt;1&lt;/R&gt;&lt;C&gt;1&lt;/C&gt;&lt;D xsi:type="xsd:string"&gt;Monolithic Power Systems, Inc.&lt;/D&gt;&lt;/FQL&gt;&lt;FQL&gt;&lt;Q&gt;MO^FG_COMPANY_NAME&lt;/Q&gt;&lt;R&gt;1&lt;/R&gt;&lt;C&gt;1&lt;/C&gt;&lt;D xsi:type="xsd:string"&gt;Altria Group, Inc.&lt;/D&gt;&lt;/FQL&gt;&lt;FQL&gt;&lt;Q&gt;PNW^FG_COMPANY_NAME&lt;/Q&gt;&lt;R&gt;1&lt;/R&gt;&lt;C&gt;1&lt;/C&gt;&lt;D xsi:type="xsd:string"&gt;Pinnacle West Capital Corp&lt;/D&gt;&lt;/FQL&gt;&lt;FQL&gt;&lt;Q&gt;NRG^FG_COMPANY_NAME&lt;/Q&gt;&lt;R&gt;1&lt;/R&gt;&lt;C&gt;1&lt;/C&gt;&lt;D xsi:type="xsd:string"&gt;NRG Energy, Inc.&lt;/D&gt;&lt;/FQL&gt;&lt;FQL&gt;&lt;Q&gt;GDDY^FG_COMPANY_NAME&lt;/Q&gt;&lt;R&gt;1&lt;/R&gt;&lt;C&gt;1&lt;/C&gt;&lt;D xsi:type="xsd:string"&gt;GoDaddy, Inc. Class A&lt;/D&gt;&lt;/FQL&gt;&lt;FQL&gt;&lt;Q&gt;MRK^FG_COMPANY_NAME&lt;/Q&gt;&lt;R&gt;1&lt;/R&gt;&lt;C&gt;1&lt;/C&gt;&lt;D xsi:type="xsd:string"&gt;Merck &amp;amp; Co., Inc.&lt;/D&gt;&lt;/FQL&gt;&lt;FQL&gt;&lt;Q&gt;LYV^FG_COMPANY_NAME&lt;/Q&gt;&lt;R&gt;1&lt;/R&gt;&lt;C&gt;1&lt;/C&gt;&lt;D xsi:type="xsd:string"&gt;Live Nation Entertainment, Inc.&lt;/D&gt;&lt;/FQL&gt;&lt;FQL&gt;&lt;Q&gt;BLDR^FG_COMPANY_NAME&lt;/Q&gt;&lt;R&gt;1&lt;/R&gt;&lt;C&gt;1&lt;/C&gt;&lt;D xsi:type="xsd:string"&gt;Builders FirstSource, Inc.&lt;/D&gt;&lt;/FQL&gt;&lt;FQL&gt;&lt;Q&gt;FTNT^FG_COMPANY_NAME&lt;/Q&gt;&lt;R&gt;1&lt;/R&gt;&lt;C&gt;1&lt;/C&gt;&lt;D xsi:type="xsd:string"&gt;Fortinet, Inc.&lt;/D&gt;&lt;/FQL&gt;&lt;FQL&gt;&lt;Q&gt;EPAM^FG_COMPANY_NAME&lt;/Q&gt;&lt;R&gt;1&lt;/R&gt;&lt;C&gt;1&lt;/C&gt;&lt;D xsi:type="xsd:string"&gt;EPAM Systems, Inc.&lt;/D&gt;&lt;/FQL&gt;&lt;FQL&gt;&lt;Q&gt;PODD^FG_COMPANY_NAME&lt;/Q&gt;&lt;R&gt;1&lt;/R&gt;&lt;C&gt;1&lt;/C&gt;&lt;D xsi:type="xsd:string"&gt;Insulet Corporation&lt;/D&gt;&lt;/FQL&gt;&lt;FQL&gt;&lt;Q&gt;ZTS^FG_COMPANY_NAME&lt;/Q&gt;&lt;R&gt;1&lt;/R&gt;&lt;C&gt;1&lt;/C&gt;&lt;D xsi:type="xsd:string"&gt;Zoetis, Inc. Class A&lt;/D&gt;&lt;/FQL&gt;&lt;FQL&gt;&lt;Q&gt;ICE^FG_COMPANY_NAME&lt;/Q&gt;&lt;R&gt;1&lt;/R&gt;&lt;C&gt;1&lt;/C&gt;&lt;D xsi:type="xsd:string"&gt;Intercontinental Exchange, Inc.&lt;/D&gt;&lt;/FQL&gt;&lt;FQL&gt;&lt;Q&gt;CVNA^FG_COMPANY_NAME&lt;/Q&gt;&lt;R&gt;1&lt;/R&gt;&lt;C&gt;1&lt;/C&gt;&lt;D xsi:type="xsd:string"&gt;Carvana Co. Class A&lt;/D&gt;&lt;/FQL&gt;&lt;FQL&gt;&lt;Q&gt;MSI^FG_COMPANY_NAME&lt;/Q&gt;&lt;R&gt;1&lt;/R&gt;&lt;C&gt;1&lt;/C&gt;&lt;D xsi:type="xsd:string"&gt;Motorola Solutions, Inc.&lt;/D&gt;&lt;/FQL&gt;&lt;FQL&gt;&lt;Q&gt;HII^FG_COMPANY_NAME&lt;/Q&gt;&lt;R&gt;1&lt;/R&gt;&lt;C&gt;1&lt;/C&gt;&lt;D xsi:type="xsd:string"&gt;Huntington Ingalls Industries, Inc.&lt;/D&gt;&lt;/FQL&gt;&lt;FQL&gt;&lt;Q&gt;EXPE^FG_COMPANY_NAME&lt;/Q&gt;&lt;R&gt;1&lt;/R&gt;&lt;C&gt;1&lt;/C&gt;&lt;D xsi:type="xsd:string"&gt;Expedia Group, Inc.&lt;/D&gt;&lt;/FQL&gt;&lt;FQL&gt;&lt;Q&gt;XYZ^FG_COMPANY_NAME&lt;/Q&gt;&lt;R&gt;1&lt;/R&gt;&lt;C&gt;1&lt;/C&gt;&lt;D xsi:type="xsd:string"&gt;Block, Inc. Class A&lt;/D&gt;&lt;/FQL&gt;&lt;FQL&gt;&lt;Q&gt;HWM^FG_COMPANY_NAME&lt;/Q&gt;&lt;R&gt;1&lt;/R&gt;&lt;C&gt;1&lt;/C&gt;&lt;D xsi:type="xsd:string"&gt;Howmet Aerospace Inc.&lt;/D&gt;&lt;/FQL&gt;&lt;FQL&gt;&lt;Q&gt;SW^FG_COMPANY_NAME&lt;/Q&gt;&lt;R&gt;1&lt;/R&gt;&lt;C&gt;1&lt;/C&gt;&lt;D xsi:type="xsd:string"&gt;Smurfit Westrock PLC&lt;/D&gt;&lt;/FQL&gt;&lt;FQL&gt;&lt;Q&gt;MRNA^FG_COMPANY_NAME&lt;/Q&gt;&lt;R&gt;1&lt;/R&gt;&lt;C&gt;1&lt;/C&gt;&lt;D xsi:type="xsd:string"&gt;Moderna, Inc.&lt;/D&gt;&lt;/FQL&gt;&lt;FQL&gt;&lt;Q&gt;LIN^FG_COMPANY_NAME&lt;/Q&gt;&lt;R&gt;1&lt;/R&gt;&lt;C&gt;1&lt;/C&gt;&lt;D xsi:type="xsd:string"&gt;Linde plc&lt;/D&gt;&lt;/FQL&gt;&lt;FQL&gt;&lt;Q&gt;DDOG^FG_COMPANY_NAME&lt;/Q&gt;&lt;R&gt;1&lt;/R&gt;&lt;C&gt;1&lt;/C&gt;&lt;D xsi:type="xsd:string"&gt;Datadog, Inc. Class A&lt;/D&gt;&lt;/FQL&gt;&lt;FQL&gt;&lt;Q&gt;DASH^FG_COMPANY_NAME&lt;/Q&gt;&lt;R&gt;1&lt;/R&gt;&lt;C&gt;1&lt;/C&gt;&lt;D xsi:type="xsd:string"&gt;DoorDash, Inc. Class A&lt;/D&gt;&lt;/FQL&gt;&lt;FQL&gt;&lt;Q&gt;SNDK^FG_COMPANY_NAME&lt;/Q&gt;&lt;R&gt;1&lt;/R&gt;&lt;C&gt;1&lt;/C&gt;&lt;D xsi:type="xsd:string"&gt;Sandisk Corporation&lt;/D&gt;&lt;/FQL&gt;&lt;FQL&gt;&lt;Q&gt;EVRG^FG_COMPANY_NAME&lt;/Q&gt;&lt;R&gt;1&lt;/R&gt;&lt;C&gt;1&lt;/C&gt;&lt;D xsi:type="xsd:string"&gt;Evergy, Inc.&lt;/D&gt;&lt;/FQL&gt;&lt;FQL&gt;&lt;Q&gt;FRT^FG_COMPANY_NAME&lt;/Q&gt;&lt;R&gt;1&lt;/R&gt;&lt;C&gt;1&lt;/C&gt;&lt;D xsi:type="xsd:string"&gt;Federal Realty Investment Trust&lt;/D&gt;&lt;/FQL&gt;&lt;FQL&gt;&lt;Q&gt;CL^FG_COMPANY_NAME&lt;/Q&gt;&lt;R&gt;1&lt;/R&gt;&lt;C&gt;1&lt;/C&gt;&lt;D xsi:type="xsd:string"&gt;Colgate-Palmolive Company&lt;/D&gt;&lt;/FQL&gt;&lt;FQL&gt;&lt;Q&gt;EL^FG_COMPANY_NAME&lt;/Q&gt;&lt;R&gt;1&lt;/R&gt;&lt;C&gt;1&lt;/C&gt;&lt;D xsi:type="xsd:string"&gt;Estee Lauder Companies Inc. Class A&lt;/D&gt;&lt;/FQL&gt;&lt;FQL&gt;&lt;Q&gt;CHD^FG_COMPANY_NAME&lt;/Q&gt;&lt;R&gt;1&lt;/R&gt;&lt;C&gt;1&lt;/C&gt;&lt;D xsi:type="xsd:string"&gt;Church &amp;amp; Dwight Co., Inc.&lt;/D&gt;&lt;/FQL&gt;&lt;FQL&gt;&lt;Q&gt;CBOE^FG_COMPANY_NAME&lt;/Q&gt;&lt;R&gt;1&lt;/R&gt;&lt;C&gt;1&lt;/C&gt;&lt;D xsi:type="xsd:string"&gt;Cboe Global Markets Inc&lt;/D&gt;&lt;/FQL&gt;&lt;FQL&gt;&lt;Q&gt;JCI^FG_COMPANY_NAME&lt;/Q&gt;&lt;R&gt;1&lt;/R&gt;&lt;C&gt;1&lt;/C&gt;&lt;D xsi:type="xsd:string"&gt;Johnson Controls International plc&lt;/D&gt;&lt;/FQL&gt;&lt;FQL&gt;&lt;Q&gt;WEC^FG_COMPANY_NAME&lt;/Q&gt;&lt;R&gt;1&lt;/R&gt;&lt;C&gt;1&lt;/C&gt;&lt;D xsi:type="xsd:string"&gt;WEC Energy Group Inc&lt;/D&gt;&lt;/FQL&gt;&lt;FQL&gt;&lt;Q&gt;BEN^FG_COMPANY_NAME&lt;/Q&gt;&lt;R&gt;1&lt;/R&gt;&lt;C&gt;1&lt;/C&gt;&lt;D xsi:type="xsd:string"&gt;Franklin Resources, Inc.&lt;/D&gt;&lt;/FQL&gt;&lt;FQL&gt;&lt;Q&gt;WMB^FG_COMPANY_NAME&lt;/Q&gt;&lt;R&gt;1&lt;/R&gt;&lt;C&gt;1&lt;/C&gt;&lt;D xsi:type="xsd:string"&gt;Williams Companies, Inc.&lt;/D&gt;&lt;/FQL&gt;&lt;FQL&gt;&lt;Q&gt;SBAC^FG_COMPANY_NAME&lt;/Q&gt;&lt;R&gt;1&lt;/R&gt;&lt;C&gt;1&lt;/C&gt;&lt;D xsi:type="xsd:string"&gt;SBA Communications Corp. Class A&lt;/D&gt;&lt;/FQL&gt;&lt;FQL&gt;&lt;Q&gt;WELL^FG_COMPANY_NAME&lt;/Q&gt;&lt;R&gt;1&lt;/R&gt;&lt;C&gt;1&lt;/C&gt;&lt;D xsi:type="xsd:string"&gt;Welltower Inc.&lt;/D&gt;&lt;/FQL&gt;&lt;FQL&gt;&lt;Q&gt;L^FG_COMPANY_NAME&lt;/Q&gt;&lt;R&gt;1&lt;/R&gt;&lt;C&gt;1&lt;/C&gt;&lt;D xsi:type="xsd:string"&gt;Loews Corporation&lt;/D&gt;&lt;/FQL&gt;&lt;FQL&gt;&lt;Q&gt;ON^FG_COMPANY_NAME&lt;/Q&gt;&lt;R&gt;1&lt;/R&gt;&lt;C&gt;1&lt;/C&gt;&lt;D xsi:type="xsd:string"&gt;ON Semiconductor Corporation&lt;/D&gt;&lt;/FQL&gt;&lt;FQL&gt;&lt;Q&gt;GPN^FG_COMPANY_NAME&lt;/Q&gt;&lt;R&gt;1&lt;/R&gt;&lt;C&gt;1&lt;/C&gt;&lt;D xsi:type="xsd:string"&gt;Global Payments Inc.&lt;/D&gt;&lt;/FQL&gt;&lt;FQL&gt;&lt;Q&gt;FFIV^FG_COMPANY_NAME&lt;/Q&gt;&lt;R&gt;1&lt;/R&gt;&lt;C&gt;1&lt;/C&gt;&lt;D xsi:type="xsd:string"&gt;F5, Inc.&lt;/D&gt;&lt;/FQL&gt;&lt;FQL&gt;&lt;Q&gt;RVTY^FG_COMPANY_NAME&lt;/Q&gt;&lt;R&gt;1&lt;/R&gt;&lt;C&gt;1&lt;/C&gt;&lt;D xsi:type="xsd:string"&gt;Revvity, Inc.&lt;/D&gt;&lt;/FQL&gt;&lt;FQL&gt;&lt;Q&gt;BRK.B^FG_COMPANY_NAME&lt;/Q&gt;&lt;R&gt;1&lt;/R&gt;&lt;C&gt;1&lt;/C&gt;&lt;D xsi:type="xsd:string"&gt;Berkshire Hathaway Inc. Class B&lt;/D&gt;&lt;/FQL&gt;&lt;FQL&gt;&lt;Q&gt;ANET^FG_COMPANY_NAME&lt;/Q&gt;&lt;R&gt;1&lt;/R&gt;&lt;C&gt;1&lt;/C&gt;&lt;D xsi:type="xsd:string"&gt;Arista Networks, Inc.&lt;/D&gt;&lt;/FQL&gt;&lt;FQL&gt;&lt;Q&gt;FANG^FG_COMPANY_NAME&lt;/Q&gt;&lt;R&gt;1&lt;/R&gt;&lt;C&gt;1&lt;/C&gt;&lt;D xsi:type="xsd:string"&gt;Diamondback Energy, Inc.&lt;/D&gt;&lt;/FQL&gt;&lt;FQL&gt;&lt;Q&gt;PRU^FG_COMPANY_NAME&lt;/Q&gt;&lt;R&gt;1&lt;/R&gt;&lt;C&gt;1&lt;/C&gt;&lt;D xsi:type="xsd:string"&gt;Prudential Financial, Inc.&lt;/D&gt;&lt;/FQL&gt;&lt;FQL&gt;&lt;Q&gt;AME^FG_COMPANY_NAME&lt;/Q&gt;&lt;R&gt;1&lt;/R&gt;&lt;C&gt;1&lt;/C&gt;&lt;D xsi:type="xsd:string"&gt;AMETEK, Inc.&lt;/D&gt;&lt;/FQL&gt;&lt;FQL&gt;&lt;Q&gt;MLM^FG_COMPANY_NAME&lt;/Q&gt;&lt;R&gt;1&lt;/R&gt;&lt;C&gt;1&lt;/C&gt;&lt;D xsi:type="xsd:string"&gt;Martin Marietta Materials, Inc.&lt;/D&gt;&lt;/FQL&gt;&lt;FQL&gt;&lt;Q&gt;ITW^FG_COMPANY_NAME&lt;/Q&gt;&lt;R&gt;1&lt;/R&gt;&lt;C&gt;1&lt;/C&gt;&lt;D xsi:type="xsd:string"&gt;Illinois Tool Works Inc.&lt;/D&gt;&lt;/FQL&gt;&lt;FQL&gt;&lt;Q&gt;SBUX^FG_COMPANY_NAME&lt;/Q&gt;&lt;R&gt;1&lt;/R&gt;&lt;C&gt;1&lt;/C&gt;&lt;D xsi:type="xsd:string"&gt;Starbucks Corporation&lt;/D&gt;&lt;/FQL&gt;&lt;FQL&gt;&lt;Q&gt;GLW^FG_COMPANY_NAME&lt;/Q&gt;&lt;R&gt;1&lt;/R&gt;&lt;C&gt;1&lt;/C&gt;&lt;D xsi:type="xsd:string"&gt;Corning Inc&lt;/D&gt;&lt;/FQL&gt;&lt;FQL&gt;&lt;Q&gt;CLX^FG_COMPANY_NAME&lt;/Q&gt;&lt;R&gt;1&lt;/R&gt;&lt;C&gt;1&lt;/C&gt;&lt;D xsi:type="xsd:string"&gt;Clorox Company&lt;/D&gt;&lt;/FQL&gt;&lt;FQL&gt;&lt;Q&gt;DVN^FG_COMPANY_NAME&lt;/Q&gt;&lt;R&gt;1&lt;/R&gt;&lt;C&gt;1&lt;/C&gt;&lt;D xsi:type="xsd:string"&gt;Devon Energy Corporation&lt;/D&gt;&lt;/FQL&gt;&lt;FQL&gt;&lt;Q&gt;SWKS^FG_COMPANY_NAME&lt;/Q&gt;&lt;R&gt;1&lt;/R&gt;&lt;C&gt;1&lt;/C&gt;&lt;D xsi:type="xsd:string"&gt;Skyworks Solutions, Inc.&lt;/D&gt;&lt;/FQL&gt;&lt;FQL&gt;&lt;Q&gt;OKE^FG_COMPANY_NAME&lt;/Q&gt;&lt;R&gt;1&lt;/R&gt;&lt;C&gt;1&lt;/C&gt;&lt;D xsi:type="xsd:string"&gt;ONEOK, Inc.&lt;/D&gt;&lt;/FQL&gt;&lt;FQL&gt;&lt;Q&gt;BXP^FG_COMPANY_NAME&lt;/Q&gt;&lt;R&gt;1&lt;/R&gt;&lt;C&gt;1&lt;/C&gt;&lt;D xsi:type="xsd:string"&gt;BXP Inc&lt;/D&gt;&lt;/FQL&gt;&lt;FQL&gt;&lt;Q&gt;SYY^FG_COMPANY_NAME&lt;/Q&gt;&lt;R&gt;1&lt;/R&gt;&lt;C&gt;1&lt;/C&gt;&lt;D xsi:type="xsd:string"&gt;Sysco Corporation&lt;/D&gt;&lt;/FQL&gt;&lt;FQL&gt;&lt;Q&gt;ETN^FG_COMPANY_NAME&lt;/Q&gt;&lt;R&gt;1&lt;/R&gt;&lt;C&gt;1&lt;/C&gt;&lt;D xsi:type="xsd:string"&gt;Eaton Corp. Plc&lt;/D&gt;&lt;/FQL&gt;&lt;FQL&gt;&lt;Q&gt;PEG^FG_COMPANY_NAME&lt;/Q&gt;&lt;R&gt;1&lt;/R&gt;&lt;C&gt;1&lt;/C&gt;&lt;D xsi:type="xsd:string"&gt;Public Service Enterprise Group Inc&lt;/D&gt;&lt;/FQL&gt;&lt;FQL&gt;&lt;Q&gt;AMD^FG_COMPANY_NAME&lt;/Q&gt;&lt;R&gt;1&lt;/R&gt;&lt;C&gt;1&lt;/C&gt;&lt;D xsi:type="xsd:string"&gt;Advanced Micro Devices, Inc.&lt;/D&gt;&lt;/FQL&gt;&lt;FQL&gt;&lt;Q&gt;AIZ^FG_COMPANY_NAME&lt;/Q&gt;&lt;R&gt;1&lt;/R&gt;&lt;C&gt;1&lt;/C&gt;&lt;D xsi:type="xsd:string"&gt;Assurant, Inc.&lt;/D&gt;&lt;/FQL&gt;&lt;FQL&gt;&lt;Q&gt;INCY^FG_COMPANY_NAME&lt;/Q&gt;&lt;R&gt;1&lt;/R&gt;&lt;C&gt;1&lt;/C&gt;&lt;D xsi:type="xsd:string"&gt;Incyte Corporation&lt;/D&gt;&lt;/FQL&gt;&lt;FQL&gt;&lt;Q&gt;PSA^FG_COMPANY_NAME&lt;/Q&gt;&lt;R&gt;1&lt;/R&gt;&lt;C&gt;1&lt;/C&gt;&lt;D xsi:type="xsd:string"&gt;Public Storage&lt;/D&gt;&lt;/FQL&gt;&lt;FQL&gt;&lt;Q&gt;EA^FG_COMPANY_NAME&lt;/Q&gt;&lt;R&gt;1&lt;/R&gt;&lt;C&gt;1&lt;/C&gt;&lt;D xsi:type="xsd:string"&gt;Electronic Arts Inc.&lt;/D&gt;&lt;/FQL&gt;&lt;FQL&gt;&lt;Q&gt;PFE^FG_COMPANY_NAME&lt;/Q&gt;&lt;R&gt;1&lt;/R&gt;&lt;C&gt;1&lt;/C&gt;&lt;D xsi:type="xsd:string"&gt;Pfizer Inc.&lt;/D&gt;&lt;/FQL&gt;&lt;FQL&gt;&lt;Q&gt;CMI^FG_COMPANY_NAME&lt;/Q&gt;&lt;R&gt;1&lt;/R&gt;&lt;C&gt;1&lt;/C&gt;&lt;D xsi:type="xsd:string"&gt;Cummins Inc.&lt;/D&gt;&lt;/FQL&gt;&lt;FQL&gt;&lt;Q&gt;ROK^FG_COMPANY_NAME&lt;/Q&gt;&lt;R&gt;1&lt;/R&gt;&lt;C&gt;1&lt;/C&gt;&lt;D xsi:type="xsd:string"&gt;Rockwell Automation, Inc.&lt;/D&gt;&lt;/FQL&gt;&lt;FQL&gt;&lt;Q&gt;EOG^FG_COMPANY_NAME&lt;/Q&gt;&lt;R&gt;1&lt;/R&gt;&lt;C&gt;1&lt;/C&gt;&lt;D xsi:type="xsd:string"&gt;EOG Resources, Inc.&lt;/D&gt;&lt;/FQL&gt;&lt;FQL&gt;&lt;Q&gt;ZBH^FG_COMPANY_NAME&lt;/Q&gt;&lt;R&gt;1&lt;/R&gt;&lt;C&gt;1&lt;/C&gt;&lt;D xsi:type="xsd:string"&gt;Zimmer Biomet Holdings, Inc.&lt;/D&gt;&lt;/FQL&gt;&lt;FQL&gt;&lt;Q&gt;LDOS^FG_COMPANY_NAME&lt;/Q&gt;&lt;R&gt;1&lt;/R&gt;&lt;C&gt;1&lt;/C&gt;&lt;D xsi:type="xsd:string"&gt;Leidos Holdings, Inc.&lt;/D&gt;&lt;/FQL&gt;&lt;FQL&gt;&lt;Q&gt;KKR^FG_COMPANY_NAME&lt;/Q&gt;&lt;R&gt;1&lt;/R&gt;&lt;C&gt;1&lt;/C&gt;&lt;D xsi:type="xsd:string"&gt;KKR &amp;amp; Co Inc&lt;/D&gt;&lt;/FQL&gt;&lt;FQL&gt;&lt;Q&gt;VRSK^FG_COMPANY_NAME&lt;/Q&gt;&lt;R&gt;1&lt;/R&gt;&lt;C&gt;1&lt;/C&gt;&lt;D xsi:type="xsd:string"&gt;Verisk Analytics, Inc.&lt;/D&gt;&lt;/FQL&gt;&lt;FQL&gt;&lt;Q&gt;TAP^FG_COMPANY_NAME&lt;/Q&gt;&lt;R&gt;1&lt;/R&gt;&lt;C&gt;1&lt;/C&gt;&lt;D xsi:type="xsd:string"&gt;Molson Coors Beverage Company Class B&lt;/D&gt;&lt;/FQL&gt;&lt;FQL&gt;&lt;Q&gt;SMCI^FG_COMPANY_NAME&lt;/Q&gt;&lt;R&gt;1&lt;/R&gt;&lt;C&gt;1&lt;/C&gt;&lt;D xsi:type="xsd:string"&gt;Super Micro Computer, Inc.&lt;/D&gt;&lt;/FQL&gt;&lt;FQL&gt;&lt;Q&gt;BR^FG_COMPANY_NAME&lt;/Q&gt;&lt;R&gt;1&lt;/R&gt;&lt;C&gt;1&lt;/C&gt;&lt;D xsi:type="xsd:string"&gt;Broadridge Financial Solutions, Inc.&lt;/D&gt;&lt;/FQL&gt;&lt;FQL&gt;&lt;Q&gt;MPC^FG_COMPANY_NAME&lt;/Q&gt;&lt;R&gt;1&lt;/R&gt;&lt;C&gt;1&lt;/C&gt;&lt;D xsi:type="xsd:string"&gt;Marathon Petroleum Corporation&lt;/D&gt;&lt;/FQL&gt;&lt;FQL&gt;&lt;Q&gt;PYPL^FG_COMPANY_NAME&lt;/Q&gt;&lt;R&gt;1&lt;/R&gt;&lt;C&gt;1&lt;/C&gt;&lt;D xsi:type="xsd:string"&gt;PayPal Holdings, Inc.&lt;/D&gt;&lt;/FQL&gt;&lt;FQL&gt;&lt;Q&gt;INVH^FG_COMPANY_NAME&lt;/Q&gt;&lt;R&gt;1&lt;/R&gt;&lt;C&gt;1&lt;/C&gt;&lt;D xsi:type="xsd:string"&gt;Invitation Homes, Inc.&lt;/D&gt;&lt;/FQL&gt;&lt;FQL&gt;&lt;Q&gt;APTV^FG_COMPANY_NAME&lt;/Q&gt;&lt;R&gt;1&lt;/R&gt;&lt;C&gt;1&lt;/C&gt;&lt;D xsi:type="xsd:string"&gt;Aptiv PLC&lt;/D&gt;&lt;/FQL&gt;&lt;FQL&gt;&lt;Q&gt;CTVA^FG_COMPANY_NAME&lt;/Q&gt;&lt;R&gt;1&lt;/R&gt;&lt;C&gt;1&lt;/C&gt;&lt;D xsi:type="xsd:string"&gt;Corteva Inc&lt;/D&gt;&lt;/FQL&gt;&lt;FQL&gt;&lt;Q&gt;DD^FG_COMPANY_NAME&lt;/Q&gt;&lt;R&gt;1&lt;/R&gt;&lt;C&gt;1&lt;/C&gt;&lt;D xsi:type="xsd:string"&gt;DuPont de Nemours, Inc.&lt;/D&gt;&lt;/FQL&gt;&lt;FQL&gt;&lt;Q&gt;AMCR^FG_COMPANY_NAME&lt;/Q&gt;&lt;R&gt;1&lt;/R&gt;&lt;C&gt;1&lt;/C&gt;&lt;D xsi:type="xsd:string"&gt;Amcor PLC&lt;/D&gt;&lt;/FQL&gt;&lt;FQL&gt;&lt;Q&gt;EXE^FG_COMPANY_NAME&lt;/Q&gt;&lt;R&gt;1&lt;/R&gt;&lt;C&gt;1&lt;/C&gt;&lt;D xsi:type="xsd:string"&gt;Expand Energy Corporation&lt;/D&gt;&lt;/FQL&gt;&lt;FQL&gt;&lt;Q&gt;MAR^FG_COMPANY_NAME&lt;/Q&gt;&lt;R&gt;1&lt;/R&gt;&lt;C&gt;1&lt;/C&gt;&lt;D xsi:type="xsd:string"&gt;Marriott International, Inc. Class A&lt;/D&gt;&lt;/FQL&gt;&lt;FQL&gt;&lt;Q&gt;VMC^FG_COMPANY_NAME&lt;/Q&gt;&lt;R&gt;1&lt;/R&gt;&lt;C&gt;1&lt;/C&gt;&lt;D xsi:type="xsd:string"&gt;Vulcan Materials Company&lt;/D&gt;&lt;/FQL&gt;&lt;FQL&gt;&lt;Q&gt;TECH^FG_COMPANY_NAME&lt;/Q&gt;&lt;R&gt;1&lt;/R&gt;&lt;C&gt;1&lt;/C&gt;&lt;D xsi:type="xsd:string"&gt;Bio-Techne Corporation&lt;/D&gt;&lt;/FQL&gt;&lt;FQL&gt;&lt;Q&gt;QCOM^FG_COMPANY_NAME&lt;/Q&gt;&lt;R&gt;1&lt;/R&gt;&lt;C&gt;1&lt;/C&gt;&lt;D xsi:type="xsd:string"&gt;QUALCOMM Incorporated&lt;/D&gt;&lt;/FQL&gt;&lt;FQL&gt;&lt;Q&gt;ES^FG_COMPANY_NAME&lt;/Q&gt;&lt;R&gt;1&lt;/R&gt;&lt;C&gt;1&lt;/C&gt;&lt;D xsi:type="xsd:string"&gt;Eversource Energy&lt;/D&gt;&lt;/FQL&gt;&lt;FQL&gt;&lt;Q&gt;FICO^FG_COMPANY_NAME&lt;/Q&gt;&lt;R&gt;1&lt;/R&gt;&lt;C&gt;1&lt;/C&gt;&lt;D xsi:type="xsd:string"&gt;Fair Isaac Corporation&lt;/D&gt;&lt;/FQL&gt;&lt;FQL&gt;&lt;Q&gt;BIIB^FG_COMPANY_NAME&lt;/Q&gt;&lt;R&gt;1&lt;/R&gt;&lt;C&gt;1&lt;/C&gt;&lt;D xsi:type="xsd:string"&gt;Biogen Inc.&lt;/D&gt;&lt;/FQL&gt;&lt;FQL&gt;&lt;Q&gt;O^FG_COMPANY_NAME&lt;/Q&gt;&lt;R&gt;1&lt;/R&gt;&lt;C&gt;1&lt;/C&gt;&lt;D xsi:type="xsd:string"&gt;Realty Income Corporation&lt;/D&gt;&lt;/FQL&gt;&lt;FQL&gt;&lt;Q&gt;TRMB^FG_COMPANY_NAME&lt;/Q&gt;&lt;R&gt;1&lt;/R&gt;&lt;C&gt;1&lt;/C&gt;&lt;D xsi:type="xsd:string"&gt;Trimble Inc.&lt;/D&gt;&lt;/FQL&gt;&lt;FQL&gt;&lt;Q&gt;ALB^FG_COMPANY_NAME&lt;/Q&gt;&lt;R&gt;1&lt;/R&gt;&lt;C&gt;1&lt;/C&gt;&lt;D xsi:type="xsd:string"&gt;Albemarle Corporation&lt;/D&gt;&lt;/FQL&gt;&lt;FQL&gt;&lt;Q&gt;YUM^FG_COMPANY_NAME&lt;/Q&gt;&lt;R&gt;1&lt;/R&gt;&lt;C&gt;1&lt;/C&gt;&lt;D xsi:type="xsd:string"&gt;Yum! Brands, Inc.&lt;/D&gt;&lt;/FQL&gt;&lt;FQL&gt;&lt;Q&gt;TT^FG_COMPANY_NAME&lt;/Q&gt;&lt;R&gt;1&lt;/R&gt;&lt;C&gt;1&lt;/C&gt;&lt;D xsi:type="xsd:string"&gt;Trane Technologies plc&lt;/D&gt;&lt;/FQL&gt;&lt;FQL&gt;&lt;Q&gt;HST^FG_COMPANY_NAME&lt;/Q&gt;&lt;R&gt;1&lt;/R&gt;&lt;C&gt;1&lt;/C&gt;&lt;D xsi:type="xsd:string"&gt;Host Hotels &amp;amp; Resorts, Inc.&lt;/D&gt;&lt;/FQL&gt;&lt;FQL&gt;&lt;Q&gt;CTSH^FG_COMPANY_NAME&lt;/Q&gt;&lt;R&gt;1&lt;/R&gt;&lt;C&gt;1&lt;/C&gt;&lt;D xsi:type="xsd:string"&gt;Cognizant Technology Solutions Corporation Class A&lt;/D&gt;&lt;/FQL&gt;&lt;FQL&gt;&lt;Q&gt;AEP^FG_COMPANY_NAME&lt;/Q&gt;&lt;R&gt;1&lt;/R&gt;&lt;C&gt;1&lt;/C&gt;&lt;D xsi:type="xsd:string"&gt;American Electric Power Company, Inc.&lt;/D&gt;&lt;/FQL&gt;&lt;FQL&gt;&lt;Q&gt;SYK^FG_COMPANY_NAME&lt;/Q&gt;&lt;R&gt;1&lt;/R&gt;&lt;C&gt;1&lt;/C&gt;&lt;D xsi:type="xsd:string"&gt;Stryker Corporation&lt;/D&gt;&lt;/FQL&gt;&lt;FQL&gt;&lt;Q&gt;GL^FG_COMPANY_NAME&lt;/Q&gt;&lt;R&gt;1&lt;/R&gt;&lt;C&gt;1&lt;/C&gt;&lt;D xsi:type="xsd:string"&gt;Globe Life Inc.&lt;/D&gt;&lt;/FQL&gt;&lt;FQL&gt;&lt;Q&gt;EBAY^FG_COMPANY_NAME&lt;/Q&gt;&lt;R&gt;1&lt;/R&gt;&lt;C&gt;1&lt;/C&gt;&lt;D xsi:type="xsd:string"&gt;eBay Inc.&lt;/D&gt;&lt;/FQL&gt;&lt;FQL&gt;&lt;Q&gt;EMR^FG_COMPANY_NAME&lt;/Q&gt;&lt;R&gt;1&lt;/R&gt;&lt;C&gt;1&lt;/C&gt;&lt;D xsi:type="xsd:string"&gt;Emerson Electric Co.&lt;/D&gt;&lt;/FQL&gt;&lt;FQL&gt;&lt;Q&gt;COR^FG_COMPANY_NAME&lt;/Q&gt;&lt;R&gt;1&lt;/R&gt;&lt;C&gt;1&lt;/C&gt;&lt;D xsi:type="xsd:string"&gt;Cencora, Inc.&lt;/D&gt;&lt;/FQL&gt;&lt;FQL&gt;&lt;Q&gt;VTR^FG_COMPANY_NAME&lt;/Q&gt;&lt;R&gt;1&lt;/R&gt;&lt;C&gt;1&lt;/C&gt;&lt;D xsi:type="xsd:string"&gt;Ventas, Inc.&lt;/D&gt;&lt;/FQL&gt;&lt;FQL&gt;&lt;Q&gt;IDXX^FG_COMPANY_NAME&lt;/Q&gt;&lt;R&gt;1&lt;/R&gt;&lt;C&gt;1&lt;/C&gt;&lt;D xsi:type="xsd:string"&gt;IDEXX Laboratories, Inc.&lt;/D&gt;&lt;/FQL&gt;&lt;FQL&gt;&lt;Q&gt;TPL^FG_COMPANY_NAME&lt;/Q&gt;&lt;R&gt;1&lt;/R&gt;&lt;C&gt;1&lt;/C&gt;&lt;D xsi:type="xsd:string"&gt;Texas Pacific Land Corporation&lt;/D&gt;&lt;/FQL&gt;&lt;FQL&gt;&lt;Q&gt;APA^FG_COMPANY_NAME&lt;/Q&gt;&lt;R&gt;1&lt;/R&gt;&lt;C&gt;1&lt;/C&gt;&lt;D xsi:type="xsd:string"&gt;APA Corporation&lt;/D&gt;&lt;/FQL&gt;&lt;FQL&gt;&lt;Q&gt;RSG^FG_COMPANY_NAME&lt;/Q&gt;&lt;R&gt;1&lt;/R&gt;&lt;C&gt;1&lt;/C&gt;&lt;D xsi:type="xsd:string"&gt;Republic Services, Inc.&lt;/D&gt;&lt;/FQL&gt;&lt;FQL&gt;&lt;Q&gt;MET^FG_COMPANY_NAME&lt;/Q&gt;&lt;R&gt;1&lt;/R&gt;&lt;C&gt;1&lt;/C&gt;&lt;D xsi:type="xsd:string"&gt;MetLife, Inc.&lt;/D&gt;&lt;/FQL&gt;&lt;FQL&gt;&lt;Q&gt;CVS^FG_COMPANY_NAME&lt;/Q&gt;&lt;R&gt;1&lt;/R&gt;&lt;C&gt;1&lt;/C&gt;&lt;D xsi:type="xsd:string"&gt;CVS Health Corporation&lt;/D&gt;&lt;/FQL&gt;&lt;FQL&gt;&lt;Q&gt;VRTX^FG_COMPANY_NAME&lt;/Q&gt;&lt;R&gt;1&lt;/R&gt;&lt;C&gt;1&lt;/C&gt;&lt;D xsi:type="xsd:string"&gt;Vertex Pharmaceuticals Incorporated&lt;/D&gt;&lt;/FQL&gt;&lt;FQL&gt;&lt;Q&gt;EXC^FG_COMPANY_NAME&lt;/Q&gt;&lt;R&gt;1&lt;/R&gt;&lt;C&gt;1&lt;/C&gt;&lt;D xsi:type="xsd:string"&gt;Exelon Corporation&lt;/D&gt;&lt;/FQL&gt;&lt;FQL&gt;&lt;Q&gt;GNRC^FG_COMPANY_NAME&lt;/Q&gt;&lt;R&gt;1&lt;/R&gt;&lt;C&gt;1&lt;/C&gt;&lt;D xsi:type="xsd:string"&gt;Generac Holdings Inc.&lt;/D&gt;&lt;/FQL&gt;&lt;FQL&gt;&lt;Q&gt;CPAY^FG_COMPANY_NAME&lt;/Q&gt;&lt;R&gt;1&lt;/R&gt;&lt;C&gt;1&lt;/C&gt;&lt;D xsi:type="xsd:string"&gt;Corpay, Inc.&lt;/D&gt;&lt;/FQL&gt;&lt;FQL&gt;&lt;Q&gt;CDW^FG_COMPANY_NAME&lt;/Q&gt;&lt;R&gt;1&lt;/R&gt;&lt;C&gt;1&lt;/C&gt;&lt;D xsi:type="xsd:string"&gt;CDW Corporation&lt;/D&gt;&lt;/FQL&gt;&lt;FQL&gt;&lt;Q&gt;AWK^FG_COMPANY_NAME&lt;/Q&gt;&lt;R&gt;1&lt;/R&gt;&lt;C&gt;1&lt;/C&gt;&lt;D xsi:type="xsd:string"&gt;American Water Works Company, Inc.&lt;/D&gt;&lt;/FQL&gt;&lt;FQL&gt;&lt;Q&gt;IR^FG_COMPANY_NAME&lt;/Q&gt;&lt;R&gt;1&lt;/R&gt;&lt;C&gt;1&lt;/C&gt;&lt;D xsi:type="xsd:string"&gt;Ingersoll Rand Inc.&lt;/D&gt;&lt;/FQL&gt;&lt;FQL&gt;&lt;Q&gt;FIS^FG_COMPANY_NAME&lt;/Q&gt;&lt;R&gt;1&lt;/R&gt;&lt;C&gt;1&lt;/C&gt;&lt;D xsi:type="xsd:string"&gt;Fidelity National Information Services, Inc.&lt;/D&gt;&lt;/FQL&gt;&lt;FQL&gt;&lt;Q&gt;NCLH^FG_COMPANY_NAME&lt;/Q&gt;&lt;R&gt;1&lt;/R&gt;&lt;C&gt;1&lt;/C&gt;&lt;D xsi:type="xsd:string"&gt;Norwegian Cruise Line Holdings Ltd.&lt;/D&gt;&lt;/FQL&gt;&lt;FQL&gt;&lt;Q&gt;CF^FG_COMPANY_NAME&lt;/Q&gt;&lt;R&gt;1&lt;/R&gt;&lt;C&gt;1&lt;/C&gt;&lt;D xsi:type="xsd:string"&gt;CF Industries Holdings, Inc.&lt;/D&gt;&lt;/FQL&gt;&lt;FQL&gt;&lt;Q&gt;MOS^FG_COMPANY_NAME&lt;/Q&gt;&lt;R&gt;1&lt;/R&gt;&lt;C&gt;1&lt;/C&gt;&lt;D xsi:type="xsd:string"&gt;Mosaic Company&lt;/D&gt;&lt;/FQL&gt;&lt;FQL&gt;&lt;Q&gt;KHC^FG_COMPANY_NAME&lt;/Q&gt;&lt;R&gt;1&lt;/R&gt;&lt;C&gt;1&lt;/C&gt;&lt;D xsi:type="xsd:string"&gt;Kraft Heinz Company&lt;/D&gt;&lt;/FQL&gt;&lt;FQL&gt;&lt;Q&gt;UBER^FG_COMPANY_NAME&lt;/Q&gt;&lt;R&gt;1&lt;/R&gt;&lt;C&gt;1&lt;/C&gt;&lt;D xsi:type="xsd:string"&gt;Uber Technologies, Inc.&lt;/D&gt;&lt;/FQL&gt;&lt;FQL&gt;&lt;Q&gt;PSKY^FG_COMPANY_NAME&lt;/Q&gt;&lt;R&gt;1&lt;/R&gt;&lt;C&gt;1&lt;/C&gt;&lt;D xsi:type="xsd:string"&gt;Paramount Skydance Corporation Class B&lt;/D&gt;&lt;/FQL&gt;&lt;FQL&gt;&lt;Q&gt;GEHC^FG_COMPANY_NAME&lt;/Q&gt;&lt;R&gt;1&lt;/R&gt;&lt;C&gt;1&lt;/C&gt;&lt;D xsi:type="xsd:string"&gt;GE Healthcare Technologies Inc.&lt;/D&gt;&lt;/FQL&gt;&lt;FQL&gt;&lt;Q&gt;GEN^FG_COMPANY_NAME&lt;/Q&gt;&lt;R&gt;1&lt;/R&gt;&lt;C&gt;1&lt;/C&gt;&lt;D xsi:type="xsd:string"&gt;Gen Digital Inc.&lt;/D&gt;&lt;/FQL&gt;&lt;FQL&gt;&lt;Q&gt;TPR^FG_COMPANY_NAME&lt;/Q&gt;&lt;R&gt;1&lt;/R&gt;&lt;C&gt;1&lt;/C&gt;&lt;D xsi:type="xsd:string"&gt;Tapestry, Inc.&lt;/D&gt;&lt;/FQL&gt;&lt;FQL&gt;&lt;Q&gt;MCK^FG_COMPANY_NAME&lt;/Q&gt;&lt;R&gt;1&lt;/R&gt;&lt;C&gt;1&lt;/C&gt;&lt;D xsi:type="xsd:string"&gt;McKesson Corporation&lt;/D&gt;&lt;/FQL&gt;&lt;FQL&gt;&lt;Q&gt;AKAM^FG_COMPANY_NAME&lt;/Q&gt;&lt;R&gt;1&lt;/R&gt;&lt;C&gt;1&lt;/C&gt;&lt;D xsi:type="xsd:string"&gt;Akamai Technologies, Inc.&lt;/D&gt;&lt;/FQL&gt;&lt;FQL&gt;&lt;Q&gt;GWW^FG_COMPANY_NAME&lt;/Q&gt;&lt;R&gt;1&lt;/R&gt;&lt;C&gt;1&lt;/C&gt;&lt;D xsi:type="xsd:string"&gt;W.W. Grainger, Inc.&lt;/D&gt;&lt;/FQL&gt;&lt;FQL&gt;&lt;Q&gt;CRL^FG_COMPANY_NAME&lt;/Q&gt;&lt;R&gt;1&lt;/R&gt;&lt;C&gt;1&lt;/C&gt;&lt;D xsi:type="xsd:string"&gt;Charles River Laboratories International, Inc.&lt;/D&gt;&lt;/FQL&gt;&lt;FQL&gt;&lt;Q&gt;SATS^FG_COMPANY_NAME&lt;/Q&gt;&lt;R&gt;1&lt;/R&gt;&lt;C&gt;1&lt;/C&gt;&lt;D xsi:type="xsd:string"&gt;EchoStar Corporation Class A&lt;/D&gt;&lt;/FQL&gt;&lt;FQL&gt;&lt;Q&gt;CEG^FG_COMPANY_NAME&lt;/Q&gt;&lt;R&gt;1&lt;/R&gt;&lt;C&gt;1&lt;/C&gt;&lt;D xsi:type="xsd:string"&gt;Constellation Energy Corporation&lt;/D&gt;&lt;/FQL&gt;&lt;FQL&gt;&lt;Q&gt;NWS^FG_COMPANY_NAME&lt;/Q&gt;&lt;R&gt;1&lt;/R&gt;&lt;C&gt;1&lt;/C&gt;&lt;D xsi:type="xsd:string"&gt;News Corporation Class B&lt;/D&gt;&lt;/FQL&gt;&lt;FQL&gt;&lt;Q&gt;NWSA^FG_COMPANY_NAME&lt;/Q&gt;&lt;R&gt;1&lt;/R&gt;&lt;C&gt;1&lt;/C&gt;&lt;D xsi:type="xsd:string"&gt;News Corporation Class A&lt;/D&gt;&lt;/FQL&gt;&lt;FQL&gt;&lt;Q&gt;COIN^FG_COMPANY_NAME&lt;/Q&gt;&lt;R&gt;1&lt;/R&gt;&lt;C&gt;1&lt;/C&gt;&lt;D xsi:type="xsd:string"&gt;Coinbase Global, Inc. Class A&lt;/D&gt;&lt;/FQL&gt;&lt;FQL&gt;&lt;Q&gt;TKO^FG_COMPANY_NAME&lt;/Q&gt;&lt;R&gt;1&lt;/R&gt;&lt;C&gt;1&lt;/C&gt;&lt;D xsi:type="xsd:string"&gt;TKO Group Holdings, Inc. Class A&lt;/D&gt;&lt;/FQL&gt;&lt;FQL&gt;&lt;Q&gt;WBD^FG_COMPANY_NAME&lt;/Q&gt;&lt;R&gt;1&lt;/R&gt;&lt;C&gt;1&lt;/C&gt;&lt;D xsi:type="xsd:string"&gt;Warner Bros. Discovery, Inc. Series A&lt;/D&gt;&lt;/FQL&gt;&lt;FQL&gt;&lt;Q&gt;SOLV^FG_COMPANY_NAME&lt;/Q&gt;&lt;R&gt;1&lt;/R&gt;&lt;C&gt;1&lt;/C&gt;&lt;D xsi:type="xsd:string"&gt;Solventum Corporation&lt;/D&gt;&lt;/FQL&gt;&lt;FQL&gt;&lt;Q&gt;TSN^FG_COMPANY_NAME&lt;/Q&gt;&lt;R&gt;1&lt;/R&gt;&lt;C&gt;1&lt;/C&gt;&lt;D xsi:type="xsd:string"&gt;Tyson Foods, Inc. Class A&lt;/D&gt;&lt;/FQL&gt;&lt;FQL&gt;&lt;Q&gt;MCHP^FG_COMPANY_NAME&lt;/Q&gt;&lt;R&gt;1&lt;/R&gt;&lt;C&gt;1&lt;/C&gt;&lt;D xsi:type="xsd:string"&gt;Microchip Technology Incorporated&lt;/D&gt;&lt;/FQL&gt;&lt;FQL&gt;&lt;Q&gt;SPG^FG_COMPANY_NAME&lt;/Q&gt;&lt;R&gt;1&lt;/R&gt;&lt;C&gt;1&lt;/C&gt;&lt;D xsi:type="xsd:string"&gt;Simon Property Group, Inc.&lt;/D&gt;&lt;/FQL&gt;&lt;FQL&gt;&lt;Q&gt;IFF^FG_COMPANY_NAME&lt;/Q&gt;&lt;R&gt;1&lt;/R&gt;&lt;C&gt;1&lt;/C&gt;&lt;D xsi:type="xsd:string"&gt;International Flavors &amp;amp; Fragrances Inc.&lt;/D&gt;&lt;/FQL&gt;&lt;FQL&gt;&lt;Q&gt;VTRS^FG_COMPANY_NAME&lt;/Q&gt;&lt;R&gt;1&lt;/R&gt;&lt;C&gt;1&lt;/C&gt;&lt;D xsi:type="xsd:string"&gt;Viatris, Inc.&lt;/D&gt;&lt;/FQL&gt;&lt;FQL&gt;&lt;Q&gt;PLTR^FG_COMPANY_NAME&lt;/Q&gt;&lt;R&gt;1&lt;/R&gt;&lt;C&gt;1&lt;/C&gt;&lt;D xsi:type="xsd:string"&gt;Palantir Technologies Inc. Class A&lt;/D&gt;&lt;/FQL&gt;&lt;FQL&gt;&lt;Q&gt;HSIC^FG_COMPANY_NAME&lt;/Q&gt;&lt;R&gt;1&lt;/R&gt;&lt;C&gt;1&lt;/C&gt;&lt;D xsi:type="xsd:string"&gt;Henry Schein, Inc.&lt;/D&gt;&lt;/FQL&gt;&lt;FQL&gt;&lt;Q&gt;JKHY^FG_COMPANY_NAME&lt;/Q&gt;&lt;R&gt;1&lt;/R&gt;&lt;C&gt;1&lt;/C&gt;&lt;D xsi:type="xsd:string"&gt;Jack Henry &amp;amp; Associates, Inc.&lt;/D&gt;&lt;/FQL&gt;&lt;FQL&gt;&lt;Q&gt;AXON^FG_COMPANY_NAME&lt;/Q&gt;&lt;R&gt;1&lt;/R&gt;&lt;C&gt;1&lt;/C&gt;&lt;D xsi:type="xsd:string"&gt;Axon Enterprise Inc&lt;/D&gt;&lt;/FQL&gt;&lt;FQL&gt;&lt;Q&gt;WAT^FG_COMPANY_NAME&lt;/Q&gt;&lt;R&gt;1&lt;/R&gt;&lt;C&gt;1&lt;/C&gt;&lt;D xsi:type="xsd:string"&gt;Waters Corporation&lt;/D&gt;&lt;/FQL&gt;&lt;FQL&gt;&lt;Q&gt;ZBRA^FG_COMPANY_NAME&lt;/Q&gt;&lt;R&gt;1&lt;/R&gt;&lt;C&gt;1&lt;/C&gt;&lt;D xsi:type="xsd:string"&gt;Zebra Technologies Corporation Class A&lt;/D&gt;&lt;/FQL&gt;&lt;FQL&gt;&lt;Q&gt;EXPD^FG_COMPANY_NAME&lt;/Q&gt;&lt;R&gt;1&lt;/R&gt;&lt;C&gt;1&lt;/C&gt;&lt;D xsi:type="xsd:string"&gt;Expeditors International of Washington, Inc.&lt;/D&gt;&lt;/FQL&gt;&lt;FQL&gt;&lt;Q&gt;OXY^FG_COMPANY_NAME&lt;/Q&gt;&lt;R&gt;1&lt;/R&gt;&lt;C&gt;1&lt;/C&gt;&lt;D xsi:type="xsd:string"&gt;Occidental Petroleum Corporation&lt;/D&gt;&lt;/FQL&gt;&lt;FQL&gt;&lt;Q&gt;WYNN^FG_COMPANY_NAME&lt;/Q&gt;&lt;R&gt;1&lt;/R&gt;&lt;C&gt;1&lt;/C&gt;&lt;D xsi:type="xsd:string"&gt;Wynn Resorts, Limited&lt;/D&gt;&lt;/FQL&gt;&lt;FQL&gt;&lt;Q&gt;J^FG_COMPANY_NAME&lt;/Q&gt;&lt;R&gt;1&lt;/R&gt;&lt;C&gt;1&lt;/C&gt;&lt;D xsi:type="xsd:string"&gt;Jacobs Solutions Inc.&lt;/D&gt;&lt;/FQL&gt;&lt;FQL&gt;&lt;Q&gt;TDG^FG_COMPANY_NAME&lt;/Q&gt;&lt;R&gt;1&lt;/R&gt;&lt;C&gt;1&lt;/C&gt;&lt;D xsi:type="xsd:string"&gt;TransDigm Group Incorporated&lt;/D&gt;&lt;/FQL&gt;&lt;FQL&gt;&lt;Q&gt;DUK^FG_COMPANY_NAME&lt;/Q&gt;&lt;R&gt;1&lt;/R&gt;&lt;C&gt;1&lt;/C&gt;&lt;D xsi:type="xsd:string"&gt;Duke Energy Corporation&lt;/D&gt;&lt;/FQL&gt;&lt;FQL&gt;&lt;Q&gt;LITE^FG_COMPANY_NAME&lt;/Q&gt;&lt;R&gt;1&lt;/R&gt;&lt;C&gt;1&lt;/C&gt;&lt;D xsi:type="xsd:string"&gt;Lumentum Holdings, Inc.&lt;/D&gt;&lt;/FQL&gt;&lt;FQL&gt;&lt;Q&gt;FOX^FG_COMPANY_NAME&lt;/Q&gt;&lt;R&gt;1&lt;/R&gt;&lt;C&gt;1&lt;/C&gt;&lt;D xsi:type="xsd:string"&gt;Fox Corporation Class B&lt;/D&gt;&lt;/FQL&gt;&lt;FQL&gt;&lt;Q&gt;FOXA^FG_COMPANY_NAME&lt;/Q&gt;&lt;R&gt;1&lt;/R&gt;&lt;C&gt;1&lt;/C&gt;&lt;D xsi:type="xsd:string"&gt;Fox Corporation Class A&lt;/D&gt;&lt;/FQL&gt;&lt;FQL&gt;&lt;Q&gt;COHR^FG_COMPANY_NAME&lt;/Q&gt;&lt;R&gt;1&lt;/R&gt;&lt;C&gt;1&lt;/C&gt;&lt;D xsi:type="xsd:string"&gt;Coherent Corp.&lt;/D&gt;&lt;/FQL&gt;&lt;FQL&gt;&lt;Q&gt;ATO^FG_COMPANY_NAME&lt;/Q&gt;&lt;R&gt;1&lt;/R&gt;&lt;C&gt;1&lt;/C&gt;&lt;D xsi:type="xsd:string"&gt;Atmos Energy Corporation&lt;/D&gt;&lt;/FQL&gt;&lt;FQL&gt;&lt;Q&gt;NI^FG_COMPANY_NAME&lt;/Q&gt;&lt;R&gt;1&lt;/R&gt;&lt;C&gt;1&lt;/C&gt;&lt;D xsi:type="xsd:string"&gt;NiSource Inc&lt;/D&gt;&lt;/FQL&gt;&lt;FQL&gt;&lt;Q&gt;DIS^FG_COMPANY_NAME&lt;/Q&gt;&lt;R&gt;1&lt;/R&gt;&lt;C&gt;1&lt;/C&gt;&lt;D xsi:type="xsd:string"&gt;Walt Disney Company&lt;/D&gt;&lt;/FQL&gt;&lt;FQL&gt;&lt;Q&gt;TTD^FG_COMPANY_NAME&lt;/Q&gt;&lt;R&gt;1&lt;/R&gt;&lt;C&gt;1&lt;/C&gt;&lt;D xsi:type="xsd:string"&gt;Trade Desk, Inc. Class A&lt;/D&gt;&lt;/FQL&gt;&lt;FQL&gt;&lt;Q&gt;VST^FG_COMPANY_NAME&lt;/Q&gt;&lt;R&gt;1&lt;/R&gt;&lt;C&gt;1&lt;/C&gt;&lt;D xsi:type="xsd:string"&gt;Vistra Corp.&lt;/D&gt;&lt;/FQL&gt;&lt;FQL&gt;&lt;Q&gt;CRH^FG_COMPANY_NAME&lt;/Q&gt;&lt;R&gt;1&lt;/R&gt;&lt;C&gt;1&lt;/C&gt;&lt;D xsi:type="xsd:string"&gt;CRH public limited company&lt;/D&gt;&lt;/FQL&gt;&lt;FQL&gt;&lt;Q&gt;ABNB^FG_COMPANY_NAME&lt;/Q&gt;&lt;R&gt;1&lt;/R&gt;&lt;C&gt;1&lt;/C&gt;&lt;D xsi:type="xsd:string"&gt;Airbnb, Inc. Class A&lt;/D&gt;&lt;/FQL&gt;&lt;FQL&gt;&lt;Q&gt;APP^FG_COMPANY_NAME&lt;/Q&gt;&lt;R&gt;1&lt;/R&gt;&lt;C&gt;1&lt;/C&gt;&lt;D xsi:type="xsd:string"&gt;AppLovin Corp. Class A&lt;/D&gt;&lt;/FQL&gt;&lt;FQL&gt;&lt;Q&gt;HOOD^FG_COMPANY_NAME&lt;/Q&gt;&lt;R&gt;1&lt;/R&gt;&lt;C&gt;1&lt;/C&gt;&lt;D xsi:type="xsd:string"&gt;Robinhood Markets, Inc. Class A&lt;/D&gt;&lt;/FQL&gt;&lt;FQL&gt;&lt;Q&gt;KVUE^FG_COMPANY_NAME&lt;/Q&gt;&lt;R&gt;1&lt;/R&gt;&lt;C&gt;1&lt;/C&gt;&lt;D xsi:type="xsd:string"&gt;Kenvue, Inc.&lt;/D&gt;&lt;/FQL&gt;&lt;FQL&gt;&lt;Q&gt;TTWO^FG_COMPANY_NAME&lt;/Q&gt;&lt;R&gt;1&lt;/R&gt;&lt;C&gt;1&lt;/C&gt;&lt;D xsi:type="xsd:string"&gt;Take-Two Interactive Software, Inc.&lt;/D&gt;&lt;/FQL&gt;&lt;FQL&gt;&lt;Q&gt;ROST^FG_COMPANY_NAME&lt;/Q&gt;&lt;R&gt;1&lt;/R&gt;&lt;C&gt;1&lt;/C&gt;&lt;D xsi:type="xsd:string"&gt;Ross Stores, Inc.&lt;/D&gt;&lt;/FQL&gt;&lt;FQL&gt;&lt;Q&gt;WMT^FG_COMPANY_NAME&lt;/Q&gt;&lt;R&gt;1&lt;/R&gt;&lt;C&gt;1&lt;/C&gt;&lt;D xsi:type="xsd:string"&gt;Walmart Inc.&lt;/D&gt;&lt;/FQL&gt;&lt;FQL&gt;&lt;Q&gt;AMAT^FG_COMPANY_NAME&lt;/Q&gt;&lt;R&gt;1&lt;/R&gt;&lt;C&gt;1&lt;/C&gt;&lt;D xsi:type="xsd:string"&gt;Applied Materials, Inc.&lt;/D&gt;&lt;/FQL&gt;&lt;FQL&gt;&lt;Q&gt;HD^FG_COMPANY_NAME&lt;/Q&gt;&lt;R&gt;1&lt;/R&gt;&lt;C&gt;1&lt;/C&gt;&lt;D xsi:type="xsd:string"&gt;Home Depot, Inc.&lt;/D&gt;&lt;/FQL&gt;&lt;FQL&gt;&lt;Q&gt;KEYS^FG_COMPANY_NAME&lt;/Q&gt;&lt;R&gt;1&lt;/R&gt;&lt;C&gt;1&lt;/C&gt;&lt;D xsi:type="xsd:string"&gt;Keysight Technologies Inc&lt;/D&gt;&lt;/FQL&gt;&lt;FQL&gt;&lt;Q&gt;TJX^FG_COMPANY_NAME&lt;/Q&gt;&lt;R&gt;1&lt;/R&gt;&lt;C&gt;1&lt;/C&gt;&lt;D xsi:type="xsd:string"&gt;TJX Companies Inc&lt;/D&gt;&lt;/FQL&gt;&lt;FQL&gt;&lt;Q&gt;NVDA^FG_COMPANY_NAME&lt;/Q&gt;&lt;R&gt;1&lt;/R&gt;&lt;C&gt;1&lt;/C&gt;&lt;D xsi:type="xsd:string"&gt;NVIDIA Corporation&lt;/D&gt;&lt;/FQL&gt;&lt;FQL&gt;&lt;Q&gt;TGT^FG_COMPANY_NAME&lt;/Q&gt;&lt;R&gt;1&lt;/R&gt;&lt;C&gt;1&lt;/C&gt;&lt;D xsi:type="xsd:string"&gt;Target Corporation&lt;/D&gt;&lt;/FQL&gt;&lt;FQL&gt;&lt;Q&gt;MDT^FG_COMPANY_NAME&lt;/Q&gt;&lt;R&gt;1&lt;/R&gt;&lt;C&gt;1&lt;/C&gt;&lt;D xsi:type="xsd:string"&gt;Medtronic Plc&lt;/D&gt;&lt;/FQL&gt;&lt;FQL&gt;&lt;Q&gt;SNPS^FG_COMPANY_NAME&lt;/Q&gt;&lt;R&gt;1&lt;/R&gt;&lt;C&gt;1&lt;/C&gt;&lt;D xsi:type="xsd:string"&gt;Synopsys, Inc.&lt;/D&gt;&lt;/FQL&gt;&lt;FQL&gt;&lt;Q&gt;CSCO^FG_COMPANY_NAME&lt;/Q&gt;&lt;R&gt;1&lt;/R&gt;&lt;C&gt;1&lt;/C&gt;&lt;D xsi:type="xsd:string"&gt;Cisco Systems, Inc.&lt;/D&gt;&lt;/FQL&gt;&lt;FQL&gt;&lt;Q&gt;CPRT^FG_COMPANY_NAME&lt;/Q&gt;&lt;R&gt;1&lt;/R&gt;&lt;C&gt;1&lt;/C&gt;&lt;D xsi:type="xsd:string"&gt;Copart, Inc.&lt;/D&gt;&lt;/FQL&gt;&lt;FQL&gt;&lt;Q&gt;STE^FG_COMPANY_NAME&lt;/Q&gt;&lt;R&gt;1&lt;/R&gt;&lt;C&gt;1&lt;/C&gt;&lt;D xsi:type="xsd:string"&gt;STERIS plc&lt;/D&gt;&lt;/FQL&gt;&lt;FQL&gt;&lt;Q&gt;ADSK^FG_COMPANY_NAME&lt;/Q&gt;&lt;R&gt;1&lt;/R&gt;&lt;C&gt;1&lt;/C&gt;&lt;D xsi:type="xsd:string"&gt;Autodesk, Inc.&lt;/D&gt;&lt;/FQL&gt;&lt;FQL&gt;&lt;Q&gt;DLTR^FG_COMPANY_NAME&lt;/Q&gt;&lt;R&gt;1&lt;/R&gt;&lt;C&gt;1&lt;/C&gt;&lt;D xsi:type="xsd:string"&gt;Dollar Tree, Inc.&lt;/D&gt;&lt;/FQL&gt;&lt;FQL&gt;&lt;Q&gt;DECK^FG_COMPANY_NAME&lt;/Q&gt;&lt;R&gt;1&lt;/R&gt;&lt;C&gt;1&lt;/C&gt;&lt;D xsi:type="xsd:string"&gt;Deckers Outdoor Corporation&lt;/D&gt;&lt;/FQL&gt;&lt;FQL&gt;&lt;Q&gt;DE^FG_COMPANY_NAME&lt;/Q&gt;&lt;R&gt;1&lt;/R&gt;&lt;C&gt;1&lt;/C&gt;&lt;D xsi:type="xsd:string"&gt;Deere &amp;amp; Company&lt;/D&gt;&lt;/FQL&gt;&lt;FQL&gt;&lt;Q&gt;RL^FG_COMPANY_NAME&lt;/Q&gt;&lt;R&gt;1&lt;/R&gt;&lt;C&gt;1&lt;/C&gt;&lt;D xsi:type="xsd:string"&gt;Ralph Lauren Corporation Class A&lt;/D&gt;&lt;/FQL&gt;&lt;FQL&gt;&lt;Q&gt;INTU^FG_COMPANY_NAME&lt;/Q&gt;&lt;R&gt;1&lt;/R&gt;&lt;C&gt;1&lt;/C&gt;&lt;D xsi:type="xsd:string"&gt;Intuit Inc.&lt;/D&gt;&lt;/FQL&gt;&lt;FQL&gt;&lt;Q&gt;ULTA^FG_COMPANY_NAME&lt;/Q&gt;&lt;R&gt;1&lt;/R&gt;&lt;C&gt;1&lt;/C&gt;&lt;D xsi:type="xsd:string"&gt;Ulta Beauty Inc.&lt;/D&gt;&lt;/FQL&gt;&lt;FQL&gt;&lt;Q&gt;DG^FG_COMPANY_NAME&lt;/Q&gt;&lt;R&gt;1&lt;/R&gt;&lt;C&gt;1&lt;/C&gt;&lt;D xsi:type="xsd:string"&gt;Dollar General Corporation&lt;/D&gt;&lt;/FQL&gt;&lt;FQL&gt;&lt;Q&gt;WDAY^FG_COMPANY_NAME&lt;/Q&gt;&lt;R&gt;1&lt;/R&gt;&lt;C&gt;1&lt;/C&gt;&lt;D xsi:type="xsd:string"&gt;Workday, Inc. Class A&lt;/D&gt;&lt;/FQL&gt;&lt;FQL&gt;&lt;Q&gt;NDSN^FG_COMPANY_NAME&lt;/Q&gt;&lt;R&gt;1&lt;/R&gt;&lt;C&gt;1&lt;/C&gt;&lt;D xsi:type="xsd:string"&gt;Nordson Corporation&lt;/D&gt;&lt;/FQL&gt;&lt;FQL&gt;&lt;Q&gt;AZO^FG_COMPANY_NAME&lt;/Q&gt;&lt;R&gt;1&lt;/R&gt;&lt;C&gt;1&lt;/C&gt;&lt;D xsi:type="xsd:string"&gt;AutoZone, Inc.&lt;/D&gt;&lt;/FQL&gt;&lt;FQL&gt;&lt;Q&gt;A^FG_COMPANY_NAME&lt;/Q&gt;&lt;R&gt;1&lt;/R&gt;&lt;C&gt;1&lt;/C&gt;&lt;D xsi:type="xsd:string"&gt;Agilent Technologies, Inc.&lt;/D&gt;&lt;/FQL&gt;&lt;FQL&gt;&lt;Q&gt;PANW^FG_COMPANY_NAME&lt;/Q&gt;&lt;R&gt;1&lt;/R&gt;&lt;C&gt;1&lt;/C&gt;&lt;D xsi:type="xsd:string"&gt;Palo Alto Networks, Inc.&lt;/D&gt;&lt;/FQL&gt;&lt;FQL&gt;&lt;Q&gt;ADI^FG_COMPANY_NAME&lt;/Q&gt;&lt;R&gt;1&lt;/R&gt;&lt;C&gt;1&lt;/C&gt;&lt;D xsi:type="xsd:string"&gt;Analog Dev</t>
        </r>
      </text>
    </comment>
    <comment ref="A29" authorId="0" shapeId="0" xr:uid="{6616CB59-BC76-4E61-99E3-F9818667D97E}">
      <text>
        <r>
          <rPr>
            <b/>
            <sz val="9"/>
            <color indexed="81"/>
            <rFont val="Tahoma"/>
            <family val="2"/>
          </rPr>
          <t>ices, Inc.&lt;/D&gt;&lt;/FQL&gt;&lt;FQL&gt;&lt;Q&gt;WSM^FG_COMPANY_NAME&lt;/Q&gt;&lt;R&gt;1&lt;/R&gt;&lt;C&gt;1&lt;/C&gt;&lt;D xsi:type="xsd:string"&gt;Williams-Sonoma, Inc.&lt;/D&gt;&lt;/FQL&gt;&lt;FQL&gt;&lt;Q&gt;BBY^FG_COMPANY_NAME&lt;/Q&gt;&lt;R&gt;1&lt;/R&gt;&lt;C&gt;1&lt;/C&gt;&lt;D xsi:type="xsd:string"&gt;Best Buy Co., Inc.&lt;/D&gt;&lt;/FQL&gt;&lt;FQL&gt;&lt;Q&gt;LOW^FG_COMPANY_NAME&lt;/Q&gt;&lt;R&gt;1&lt;/R&gt;&lt;C&gt;1&lt;/C&gt;&lt;D xsi:type="xsd:string"&gt;Lowe's Companies, Inc.&lt;/D&gt;&lt;/FQL&gt;&lt;FQL&gt;&lt;Q&gt;COST^FG_COMPANY_NAME&lt;/Q&gt;&lt;R&gt;1&lt;/R&gt;&lt;C&gt;1&lt;/C&gt;&lt;D xsi:type="xsd:string"&gt;Costco Wholesale Corporation&lt;/D&gt;&lt;/FQL&gt;&lt;FQL&gt;&lt;Q&gt;HRL^FG_COMPANY_NAME&lt;/Q&gt;&lt;R&gt;1&lt;/R&gt;&lt;C&gt;1&lt;/C&gt;&lt;D xsi:type="xsd:string"&gt;Hormel Foods Corporation&lt;/D&gt;&lt;/FQL&gt;&lt;FQL&gt;&lt;Q&gt;LULU^FG_COMPANY_NAME&lt;/Q&gt;&lt;R&gt;1&lt;/R&gt;&lt;C&gt;1&lt;/C&gt;&lt;D xsi:type="xsd:string"&gt;lululemon athletica inc.&lt;/D&gt;&lt;/FQL&gt;&lt;FQL&gt;&lt;Q&gt;NTAP^FG_COMPANY_NAME&lt;/Q&gt;&lt;R&gt;1&lt;/R&gt;&lt;C&gt;1&lt;/C&gt;&lt;D xsi:type="xsd:string"&gt;NetApp, Inc.&lt;/D&gt;&lt;/FQL&gt;&lt;FQL&gt;&lt;Q&gt;DELL^FG_COMPANY_NAME&lt;/Q&gt;&lt;R&gt;1&lt;/R&gt;&lt;C&gt;1&lt;/C&gt;&lt;D xsi:type="xsd:string"&gt;Dell Technologies, Inc. Class C&lt;/D&gt;&lt;/FQL&gt;&lt;FQL&gt;&lt;Q&gt;CRWD^FG_COMPANY_NAME&lt;/Q&gt;&lt;R&gt;1&lt;/R&gt;&lt;C&gt;1&lt;/C&gt;&lt;D xsi:type="xsd:string"&gt;CrowdStrike Holdings, Inc. Class A&lt;/D&gt;&lt;/FQL&gt;&lt;FQL&gt;&lt;Q&gt;COO^FG_COMPANY_NAME&lt;/Q&gt;&lt;R&gt;1&lt;/R&gt;&lt;C&gt;1&lt;/C&gt;&lt;D xsi:type="xsd:string"&gt;Cooper Companies, Inc.&lt;/D&gt;&lt;/FQL&gt;&lt;FQL&gt;&lt;Q&gt;HPE^FG_COMPANY_NAME&lt;/Q&gt;&lt;R&gt;1&lt;/R&gt;&lt;C&gt;1&lt;/C&gt;&lt;D xsi:type="xsd:string"&gt;Hewlett Packard Enterprise Co.&lt;/D&gt;&lt;/FQL&gt;&lt;FQL&gt;&lt;Q&gt;CRM^FG_COMPANY_NAME&lt;/Q&gt;&lt;R&gt;1&lt;/R&gt;&lt;C&gt;1&lt;/C&gt;&lt;D xsi:type="xsd:string"&gt;Salesforce, Inc.&lt;/D&gt;&lt;/FQL&gt;&lt;FQL&gt;&lt;Q&gt;HPQ^FG_COMPANY_NAME&lt;/Q&gt;&lt;R&gt;1&lt;/R&gt;&lt;C&gt;1&lt;/C&gt;&lt;D xsi:type="xsd:string"&gt;HP Inc.&lt;/D&gt;&lt;/FQL&gt;&lt;FQL&gt;&lt;Q&gt;SJM^FG_COMPANY_NAME&lt;/Q&gt;&lt;R&gt;1&lt;/R&gt;&lt;C&gt;1&lt;/C&gt;&lt;D xsi:type="xsd:string"&gt;J.M. Smucker Company&lt;/D&gt;&lt;/FQL&gt;&lt;FQL&gt;&lt;Q&gt;CIEN^FG_COMPANY_NAME&lt;/Q&gt;&lt;R&gt;1&lt;/R&gt;&lt;C&gt;1&lt;/C&gt;&lt;D xsi:type="xsd:string"&gt;Ciena Corporation&lt;/D&gt;&lt;/FQL&gt;&lt;FQL&gt;&lt;Q&gt;AVGO^FG_COMPANY_NAME&lt;/Q&gt;&lt;R&gt;1&lt;/R&gt;&lt;C&gt;1&lt;/C&gt;&lt;D xsi:type="xsd:string"&gt;Broadcom Inc.&lt;/D&gt;&lt;/FQL&gt;&lt;FQL&gt;&lt;Q&gt;CPB^FG_COMPANY_NAME&lt;/Q&gt;&lt;R&gt;1&lt;/R&gt;&lt;C&gt;1&lt;/C&gt;&lt;D xsi:type="xsd:string"&gt;Campbell's Company&lt;/D&gt;&lt;/FQL&gt;&lt;FQL&gt;&lt;Q&gt;BF.B^FG_COMPANY_NAME&lt;/Q&gt;&lt;R&gt;1&lt;/R&gt;&lt;C&gt;1&lt;/C&gt;&lt;D xsi:type="xsd:string"&gt;Brown-Forman Corporation Class B&lt;/D&gt;&lt;/FQL&gt;&lt;FQL&gt;&lt;Q&gt;ADBE^FG_COMPANY_NAME&lt;/Q&gt;&lt;R&gt;1&lt;/R&gt;&lt;C&gt;1&lt;/C&gt;&lt;D xsi:type="xsd:string"&gt;Adobe Inc.&lt;/D&gt;&lt;/FQL&gt;&lt;FQL&gt;&lt;Q&gt;KR^FG_COMPANY_NAME&lt;/Q&gt;&lt;R&gt;1&lt;/R&gt;&lt;C&gt;1&lt;/C&gt;&lt;D xsi:type="xsd:string"&gt;Kroger Co.&lt;/D&gt;&lt;/FQL&gt;&lt;FQL&gt;&lt;Q&gt;ORCL^FG_COMPANY_NAME&lt;/Q&gt;&lt;R&gt;1&lt;/R&gt;&lt;C&gt;1&lt;/C&gt;&lt;D xsi:type="xsd:string"&gt;Oracle Corporation&lt;/D&gt;&lt;/FQL&gt;&lt;FQL&gt;&lt;Q&gt;ACN^FG_COMPANY_NAME&lt;/Q&gt;&lt;R&gt;1&lt;/R&gt;&lt;C&gt;1&lt;/C&gt;&lt;D xsi:type="xsd:string"&gt;Accenture Plc Class A&lt;/D&gt;&lt;/FQL&gt;&lt;FQL&gt;&lt;Q&gt;JBL^FG_COMPANY_NAME&lt;/Q&gt;&lt;R&gt;1&lt;/R&gt;&lt;C&gt;1&lt;/C&gt;&lt;D xsi:type="xsd:string"&gt;Jabil Inc.&lt;/D&gt;&lt;/FQL&gt;&lt;FQL&gt;&lt;Q&gt;DRI^FG_COMPANY_NAME&lt;/Q&gt;&lt;R&gt;1&lt;/R&gt;&lt;C&gt;1&lt;/C&gt;&lt;D xsi:type="xsd:string"&gt;Darden Restaurants, Inc.&lt;/D&gt;&lt;/FQL&gt;&lt;FQL&gt;&lt;Q&gt;FDS^FG_COMPANY_NAME&lt;/Q&gt;&lt;R&gt;1&lt;/R&gt;&lt;C&gt;1&lt;/C&gt;&lt;D xsi:type="xsd:string"&gt;FactSet Research Systems Inc.&lt;/D&gt;&lt;/FQL&gt;&lt;FQL&gt;&lt;Q&gt;LEN^FG_COMPANY_NAME&lt;/Q&gt;&lt;R&gt;1&lt;/R&gt;&lt;C&gt;1&lt;/C&gt;&lt;D xsi:type="xsd:string"&gt;Lennar Corporation Class A&lt;/D&gt;&lt;/FQL&gt;&lt;FQL&gt;&lt;Q&gt;FDX^FG_COMPANY_NAME&lt;/Q&gt;&lt;R&gt;1&lt;/R&gt;&lt;C&gt;1&lt;/C&gt;&lt;D xsi:type="xsd:string"&gt;FedEx Corporation&lt;/D&gt;&lt;/FQL&gt;&lt;FQL&gt;&lt;Q&gt;MKC^FG_COMPANY_NAME&lt;/Q&gt;&lt;R&gt;1&lt;/R&gt;&lt;C&gt;1&lt;/C&gt;&lt;D xsi:type="xsd:string"&gt;McCormick &amp;amp; Company, Incorporated&lt;/D&gt;&lt;/FQL&gt;&lt;FQL&gt;&lt;Q&gt;NKE^FG_COMPANY_NAME&lt;/Q&gt;&lt;R&gt;1&lt;/R&gt;&lt;C&gt;1&lt;/C&gt;&lt;D xsi:type="xsd:string"&gt;NIKE, Inc. Class B&lt;/D&gt;&lt;/FQL&gt;&lt;FQL&gt;&lt;Q&gt;CCL^FG_COMPANY_NAME&lt;/Q&gt;&lt;R&gt;1&lt;/R&gt;&lt;C&gt;1&lt;/C&gt;&lt;D xsi:type="xsd:string"&gt;Carnival Corporation&lt;/D&gt;&lt;/FQL&gt;&lt;FQL&gt;&lt;Q&gt;GIS^FG_COMPANY_NAME&lt;/Q&gt;&lt;R&gt;1&lt;/R&gt;&lt;C&gt;1&lt;/C&gt;&lt;D xsi:type="xsd:string"&gt;General Mills, Inc.&lt;/D&gt;&lt;/FQL&gt;&lt;FQL&gt;&lt;Q&gt;MU^FG_COMPANY_NAME&lt;/Q&gt;&lt;R&gt;1&lt;/R&gt;&lt;C&gt;1&lt;/C&gt;&lt;D xsi:type="xsd:string"&gt;Micron Technology, Inc.&lt;/D&gt;&lt;/FQL&gt;&lt;FQL&gt;&lt;Q&gt;PAYX^FG_COMPANY_NAME&lt;/Q&gt;&lt;R&gt;1&lt;/R&gt;&lt;C&gt;1&lt;/C&gt;&lt;D xsi:type="xsd:string"&gt;Paychex, Inc.&lt;/D&gt;&lt;/FQL&gt;&lt;FQL&gt;&lt;Q&gt;CTAS^FG_COMPANY_NAME&lt;/Q&gt;&lt;R&gt;1&lt;/R&gt;&lt;C&gt;1&lt;/C&gt;&lt;D xsi:type="xsd:string"&gt;Cintas Corporation&lt;/D&gt;&lt;/FQL&gt;&lt;FQL&gt;&lt;Q&gt;AON^FG_COMPANY_NAME&lt;/Q&gt;&lt;R&gt;1&lt;/R&gt;&lt;C&gt;1&lt;/C&gt;&lt;D xsi:type="xsd:string"&gt;Aon Plc Class A&lt;/D&gt;&lt;/FQL&gt;&lt;FQL&gt;&lt;Q&gt;IQV^FG_COMPANY_NAME&lt;/Q&gt;&lt;R&gt;1&lt;/R&gt;&lt;C&gt;1&lt;/C&gt;&lt;D xsi:type="xsd:string"&gt;IQVIA Holdings Inc&lt;/D&gt;&lt;/FQL&gt;&lt;FQL&gt;&lt;Q&gt;IT^FG_COMPANY_NAME&lt;/Q&gt;&lt;R&gt;1&lt;/R&gt;&lt;C&gt;1&lt;/C&gt;&lt;D xsi:type="xsd:string"&gt;Gartner, Inc.&lt;/D&gt;&lt;/FQL&gt;&lt;FQL&gt;&lt;Q&gt;NOTICKER^SUBARRAY(SORT(TRANSPOSE(SECTPERF[2].VALUE),2),0,10)&lt;/Q&gt;&lt;R&gt;10&lt;/R&gt;&lt;C&gt;1&lt;/C&gt;&lt;D xsi:type="xsd:double"&gt;0.04416311&lt;/D&gt;&lt;D xsi:type="xsd:double"&gt;0.04235041&lt;/D&gt;&lt;D xsi:type="xsd:double"&gt;0.032762647&lt;/D&gt;&lt;D xsi:type="xsd:double"&gt;0.032351255&lt;/D&gt;&lt;D xsi:type="xsd:double"&gt;0.021266341&lt;/D&gt;&lt;D xsi:type="xsd:double"&gt;0.019407272&lt;/D&gt;&lt;D xsi:type="xsd:double"&gt;0.018511534&lt;/D&gt;&lt;D xsi:type="xsd:double"&gt;0.014975667&lt;/D&gt;&lt;D xsi:type="xsd:double"&gt;0.00017011166&lt;/D&gt;&lt;D xsi:type="xsd:double"&gt;-0.0008691549&lt;/D&gt;&lt;/FQL&gt;&lt;FQL&gt;&lt;Q&gt;NOTICKER^SUBARRAY(SORT_INDIRECT(TRANSPOSE(SECTPERF[1].VALUE),TRANSPOSE(SECTPERF[2].VALUE),2),0,10)&lt;/Q&gt;&lt;R&gt;10&lt;/R&gt;&lt;C&gt;1&lt;/C&gt;&lt;D xsi:type="xsd:string"&gt;Communication Services&lt;/D&gt;&lt;D xsi:type="xsd:string"&gt;Information Technology&lt;/D&gt;&lt;D xsi:type="xsd:string"&gt;Consumer Discretionary&lt;/D&gt;&lt;D xsi:type="xsd:string"&gt;Industrials&lt;/D&gt;&lt;D xsi:type="xsd:string"&gt;Financials&lt;/D&gt;&lt;D xsi:type="xsd:string"&gt;Health Care&lt;/D&gt;&lt;D xsi:type="xsd:string"&gt;Materials&lt;/D&gt;&lt;D xsi:type="xsd:string"&gt;Real Estate&lt;/D&gt;&lt;D xsi:type="xsd:string"&gt;Consumer Staples&lt;/D&gt;&lt;D xsi:type="xsd:string"&gt;Utilities&lt;/D&gt;&lt;/FQL&gt;&lt;/Schema&gt;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Theophile Gurliat</author>
  </authors>
  <commentList>
    <comment ref="O10" authorId="0" shapeId="0" xr:uid="{00000000-0006-0000-0100-000001000000}">
      <text>
        <r>
          <rPr>
            <sz val="9"/>
            <rFont val="Tahoma"/>
            <family val="2"/>
          </rPr>
          <t>do not delete</t>
        </r>
      </text>
    </comment>
    <comment ref="P10" authorId="0" shapeId="0" xr:uid="{00000000-0006-0000-0100-000002000000}">
      <text>
        <r>
          <rPr>
            <sz val="9"/>
            <rFont val="Tahoma"/>
            <family val="2"/>
          </rPr>
          <t>do not delete</t>
        </r>
      </text>
    </comment>
    <comment ref="O26" authorId="0" shapeId="0" xr:uid="{00000000-0006-0000-0100-000003000000}">
      <text>
        <r>
          <rPr>
            <sz val="9"/>
            <rFont val="Tahoma"/>
            <family val="2"/>
          </rPr>
          <t>do not delete</t>
        </r>
      </text>
    </comment>
    <comment ref="U26" authorId="0" shapeId="0" xr:uid="{00000000-0006-0000-0100-000004000000}">
      <text>
        <r>
          <rPr>
            <sz val="9"/>
            <rFont val="Tahoma"/>
            <family val="2"/>
          </rPr>
          <t>do not delete</t>
        </r>
      </text>
    </comment>
    <comment ref="U42" authorId="0" shapeId="0" xr:uid="{00000000-0006-0000-0100-000005000000}">
      <text>
        <r>
          <rPr>
            <b/>
            <sz val="9"/>
            <rFont val="Tahoma"/>
            <family val="2"/>
          </rPr>
          <t>Do not delete</t>
        </r>
      </text>
    </comment>
    <comment ref="V42" authorId="0" shapeId="0" xr:uid="{00000000-0006-0000-0100-000006000000}">
      <text>
        <r>
          <rPr>
            <sz val="9"/>
            <rFont val="Tahoma"/>
            <family val="2"/>
          </rPr>
          <t>do not delete</t>
        </r>
      </text>
    </comment>
    <comment ref="U60" authorId="0" shapeId="0" xr:uid="{00000000-0006-0000-0100-000007000000}">
      <text>
        <r>
          <rPr>
            <b/>
            <sz val="9"/>
            <rFont val="Tahoma"/>
            <family val="2"/>
          </rPr>
          <t>Do not delete</t>
        </r>
      </text>
    </comment>
    <comment ref="V60" authorId="0" shapeId="0" xr:uid="{00000000-0006-0000-0100-000008000000}">
      <text>
        <r>
          <rPr>
            <sz val="9"/>
            <rFont val="Tahoma"/>
            <family val="2"/>
          </rPr>
          <t>do not delete</t>
        </r>
      </text>
    </comment>
    <comment ref="P76" authorId="0" shapeId="0" xr:uid="{00000000-0006-0000-0100-000009000000}">
      <text>
        <r>
          <rPr>
            <b/>
            <sz val="9"/>
            <rFont val="Tahoma"/>
            <family val="2"/>
          </rPr>
          <t>Do not delete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<sst xmlns="http://schemas.openxmlformats.org/spreadsheetml/2006/main" count="386" uniqueCount="230">
  <si>
    <t>This sheet contains FactSet XML data for use with this workbook's =FDS codes.  Modifying the worksheet's contents may damage the workbook's =FDS functionality.</t>
  </si>
  <si>
    <t>Template Name</t>
  </si>
  <si>
    <t>Disclaimer</t>
  </si>
  <si>
    <t>Index Snapshot</t>
  </si>
  <si>
    <t>Description</t>
  </si>
  <si>
    <t>Instructions:</t>
  </si>
  <si>
    <t>The Index Snapshot Worksheet consolidates and summarizes key index information, serving as a starting point for index-level analysis. 
The Index - Earnings Calendar Worksheet generates the dates and times of upcoming Earning and Sales Releases for the constituent companies of the selected index.</t>
  </si>
  <si>
    <r>
      <rPr>
        <b/>
        <sz val="9"/>
        <color rgb="FF000000"/>
        <rFont val="Arial"/>
        <family val="2"/>
      </rPr>
      <t xml:space="preserve">Worksheet: Index Snapshot 
</t>
    </r>
    <r>
      <rPr>
        <sz val="9"/>
        <color rgb="FF000000"/>
        <rFont val="Arial"/>
        <family val="2"/>
      </rPr>
      <t>Choose from a list of indices from cell D3 (In order to use the index dropdown, leave D5 blank). Alternatively, insert your own index identifier in Cell D5. Then Refresh Worksheet.</t>
    </r>
  </si>
  <si>
    <t>Worksheet: Index - Earnings Calendar</t>
  </si>
  <si>
    <t>Cell D8: Choose index from Dropdown</t>
  </si>
  <si>
    <t>Links</t>
  </si>
  <si>
    <t>Refresh Worksheet</t>
  </si>
  <si>
    <t>Link to associated Workstation Report</t>
  </si>
  <si>
    <t>Link to associated FactSet Web Report</t>
  </si>
  <si>
    <t>Need Support?</t>
  </si>
  <si>
    <r>
      <t>Contact the consultant delegated to your firm OR FactSet Consulting Services. FactSet Consulting Services is available 24 hours a day, seven days a week via </t>
    </r>
    <r>
      <rPr>
        <b/>
        <u/>
        <sz val="9"/>
        <color rgb="FF4F52B2"/>
        <rFont val="Arial"/>
        <family val="2"/>
      </rPr>
      <t>support@factset.com</t>
    </r>
    <r>
      <rPr>
        <sz val="9"/>
        <color rgb="FF242424"/>
        <rFont val="Arial"/>
        <family val="2"/>
      </rPr>
      <t> or by phone at one of the support numbers: </t>
    </r>
    <r>
      <rPr>
        <b/>
        <u/>
        <sz val="9"/>
        <color rgb="FF4F52B2"/>
        <rFont val="Arial"/>
        <family val="2"/>
      </rPr>
      <t>https://go.factset.com/support-numbers</t>
    </r>
  </si>
  <si>
    <t>Color</t>
  </si>
  <si>
    <t>Reference</t>
  </si>
  <si>
    <t>Blue</t>
  </si>
  <si>
    <r>
      <rPr>
        <b/>
        <sz val="9"/>
        <color rgb="FF0000FF"/>
        <rFont val="Arial"/>
        <family val="2"/>
      </rPr>
      <t xml:space="preserve">Blue </t>
    </r>
    <r>
      <rPr>
        <sz val="9"/>
        <color theme="1"/>
        <rFont val="Arial"/>
        <family val="2"/>
      </rPr>
      <t>text with yellow background are manual data input</t>
    </r>
  </si>
  <si>
    <t>Purple</t>
  </si>
  <si>
    <r>
      <rPr>
        <b/>
        <sz val="9"/>
        <color rgb="FF800080"/>
        <rFont val="Arial"/>
        <family val="2"/>
      </rPr>
      <t>Purple</t>
    </r>
    <r>
      <rPr>
        <sz val="9"/>
        <color rgb="FF000000"/>
        <rFont val="Arial"/>
        <family val="2"/>
      </rPr>
      <t xml:space="preserve"> are FactSet Formulas</t>
    </r>
  </si>
  <si>
    <t>Black</t>
  </si>
  <si>
    <r>
      <rPr>
        <b/>
        <sz val="9"/>
        <rFont val="Arial"/>
        <family val="2"/>
      </rPr>
      <t>Black</t>
    </r>
    <r>
      <rPr>
        <sz val="9"/>
        <rFont val="Arial"/>
        <family val="2"/>
      </rPr>
      <t xml:space="preserve"> are excel formulas</t>
    </r>
  </si>
  <si>
    <t>Green</t>
  </si>
  <si>
    <r>
      <rPr>
        <b/>
        <sz val="9"/>
        <color rgb="FF008000"/>
        <rFont val="Arial"/>
        <family val="2"/>
      </rPr>
      <t>Green</t>
    </r>
    <r>
      <rPr>
        <sz val="9"/>
        <rFont val="Arial"/>
        <family val="2"/>
      </rPr>
      <t xml:space="preserve"> are links to another worksheet</t>
    </r>
  </si>
  <si>
    <r>
      <rPr>
        <b/>
        <u/>
        <sz val="9"/>
        <color rgb="FF0000FF"/>
        <rFont val="Arial"/>
        <family val="2"/>
      </rPr>
      <t>Blue with underline</t>
    </r>
    <r>
      <rPr>
        <sz val="9"/>
        <color theme="1"/>
        <rFont val="Arial"/>
        <family val="2"/>
      </rPr>
      <t xml:space="preserve"> are FactSet workstation hyperlinks</t>
    </r>
  </si>
  <si>
    <r>
      <t xml:space="preserve">Choose from a list of indices from cell D3 (In order to use the index dropdown, </t>
    </r>
    <r>
      <rPr>
        <b/>
        <u/>
        <sz val="9"/>
        <color rgb="FFFF3737"/>
        <rFont val="Arial"/>
        <family val="2"/>
      </rPr>
      <t>leave D5 blank</t>
    </r>
    <r>
      <rPr>
        <sz val="9"/>
        <color rgb="FFFF3737"/>
        <rFont val="Arial"/>
        <family val="2"/>
      </rPr>
      <t>). Alternatively, insert your own index identifier in Cell D5. Then</t>
    </r>
    <r>
      <rPr>
        <b/>
        <sz val="9"/>
        <color rgb="FFFF3737"/>
        <rFont val="Arial"/>
        <family val="2"/>
      </rPr>
      <t xml:space="preserve"> Refresh Worksheet</t>
    </r>
    <r>
      <rPr>
        <sz val="9"/>
        <color rgb="FFFF3737"/>
        <rFont val="Arial"/>
        <family val="2"/>
      </rPr>
      <t>.</t>
    </r>
  </si>
  <si>
    <t>Index Name:</t>
  </si>
  <si>
    <t>S&amp;P 500</t>
  </si>
  <si>
    <t>Last update :</t>
  </si>
  <si>
    <t>Index Identifier:</t>
  </si>
  <si>
    <t>Top 10 Constituents % Weight</t>
  </si>
  <si>
    <t>Revenue Exposure By Country/Region</t>
  </si>
  <si>
    <t>Index Provider</t>
  </si>
  <si>
    <t>Vendor Currencies</t>
  </si>
  <si>
    <t>Ticker</t>
  </si>
  <si>
    <t>Company Name</t>
  </si>
  <si>
    <t>Market cap</t>
  </si>
  <si>
    <t>Weight</t>
  </si>
  <si>
    <t>Revenue Exposure By Country</t>
  </si>
  <si>
    <t>Market Value</t>
  </si>
  <si>
    <t>Country</t>
  </si>
  <si>
    <t>% Chg (Y/Y)</t>
  </si>
  <si>
    <t>Trend Line</t>
  </si>
  <si>
    <t>Constituents</t>
  </si>
  <si>
    <t>Top 10 Constituents % Change</t>
  </si>
  <si>
    <t xml:space="preserve"> </t>
  </si>
  <si>
    <t>Revenue Exposure by Super Region</t>
  </si>
  <si>
    <t>Price</t>
  </si>
  <si>
    <t>Total Return</t>
  </si>
  <si>
    <t>Super Region</t>
  </si>
  <si>
    <t>Americas</t>
  </si>
  <si>
    <t>Prev. Close</t>
  </si>
  <si>
    <t>1 Day</t>
  </si>
  <si>
    <t>0D</t>
  </si>
  <si>
    <t>Europe</t>
  </si>
  <si>
    <t>1 Week</t>
  </si>
  <si>
    <t>1W</t>
  </si>
  <si>
    <t>Asia/Pacific</t>
  </si>
  <si>
    <t>52 Wk High</t>
  </si>
  <si>
    <t>1 Month</t>
  </si>
  <si>
    <t>1AM</t>
  </si>
  <si>
    <t>Africa and Middle East</t>
  </si>
  <si>
    <t>52 Wk Low</t>
  </si>
  <si>
    <t>3 Months</t>
  </si>
  <si>
    <t>3AM</t>
  </si>
  <si>
    <t>6 Months</t>
  </si>
  <si>
    <t>6AM</t>
  </si>
  <si>
    <t>Revenue Exposure by Economy</t>
  </si>
  <si>
    <t>1 Day Chg (%)</t>
  </si>
  <si>
    <t>1 Year</t>
  </si>
  <si>
    <t>1AY</t>
  </si>
  <si>
    <t>Economy</t>
  </si>
  <si>
    <t>1 Mo Chg (%)</t>
  </si>
  <si>
    <t>Developed</t>
  </si>
  <si>
    <t>3 Mo Chg (%)</t>
  </si>
  <si>
    <t>Emerging</t>
  </si>
  <si>
    <t>6 Mo Chg (%)</t>
  </si>
  <si>
    <t>Frontier</t>
  </si>
  <si>
    <t>YTD Chg (%)</t>
  </si>
  <si>
    <t>Rest of World</t>
  </si>
  <si>
    <t>1 Yr Chg (%)</t>
  </si>
  <si>
    <t>Level 1</t>
  </si>
  <si>
    <t>ONE</t>
  </si>
  <si>
    <t>Level 2</t>
  </si>
  <si>
    <t>TWO</t>
  </si>
  <si>
    <t>Level 3</t>
  </si>
  <si>
    <t>THREE</t>
  </si>
  <si>
    <t>Level 4</t>
  </si>
  <si>
    <t>FOUR</t>
  </si>
  <si>
    <t>Advance/Decline</t>
  </si>
  <si>
    <t>Advances</t>
  </si>
  <si>
    <t>% of Total</t>
  </si>
  <si>
    <t>Advancing Volume</t>
  </si>
  <si>
    <t>% of total</t>
  </si>
  <si>
    <t>Declines</t>
  </si>
  <si>
    <t>Declining Volume</t>
  </si>
  <si>
    <t>Moving Average</t>
  </si>
  <si>
    <t>1 Day % Change</t>
  </si>
  <si>
    <t>1D</t>
  </si>
  <si>
    <t>1 Week % Change</t>
  </si>
  <si>
    <t>50 Day Moving Average</t>
  </si>
  <si>
    <t>1 Month % Change</t>
  </si>
  <si>
    <t>% Above</t>
  </si>
  <si>
    <t>3 Months % Change</t>
  </si>
  <si>
    <t>% Below</t>
  </si>
  <si>
    <t>6 Months % Change</t>
  </si>
  <si>
    <t>1 Year % Change</t>
  </si>
  <si>
    <t>200 Day Moving Average</t>
  </si>
  <si>
    <t>Sector Performance</t>
  </si>
  <si>
    <t>P/E</t>
  </si>
  <si>
    <t>Div Yield</t>
  </si>
  <si>
    <t>P/BV</t>
  </si>
  <si>
    <t>LTM</t>
  </si>
  <si>
    <t>NTM</t>
  </si>
  <si>
    <t>CY1</t>
  </si>
  <si>
    <t>CY2</t>
  </si>
  <si>
    <t>Identifier</t>
  </si>
  <si>
    <t>EV / Sales</t>
  </si>
  <si>
    <t>EV / EBITDA</t>
  </si>
  <si>
    <t>EV / EBIT</t>
  </si>
  <si>
    <t>P / Sales</t>
  </si>
  <si>
    <t>Chart Data</t>
  </si>
  <si>
    <t>DATA: DO NOT DELETE</t>
  </si>
  <si>
    <t>Date</t>
  </si>
  <si>
    <t>% Above MAVG - 200 Day (Chart)</t>
  </si>
  <si>
    <t>% Above MAVG - 50 Day (Chart)</t>
  </si>
  <si>
    <t>AMERICAS</t>
  </si>
  <si>
    <t>DJ 30 Industrials Average</t>
  </si>
  <si>
    <t>000001107</t>
  </si>
  <si>
    <t>000001172</t>
  </si>
  <si>
    <t>NASDAQ Composite</t>
  </si>
  <si>
    <t>000001297</t>
  </si>
  <si>
    <t>NASDAQ-100 Index</t>
  </si>
  <si>
    <t>12490H10</t>
  </si>
  <si>
    <t>Russell 1000</t>
  </si>
  <si>
    <t>12496H108</t>
  </si>
  <si>
    <t>Russell 2000</t>
  </si>
  <si>
    <t>124835109</t>
  </si>
  <si>
    <t>S&amp;P TSX</t>
  </si>
  <si>
    <t>Brazil Bovespa Index</t>
  </si>
  <si>
    <t>180264</t>
  </si>
  <si>
    <t>S&amp;P/BMV IPC</t>
  </si>
  <si>
    <t>180731</t>
  </si>
  <si>
    <t>ASIA</t>
  </si>
  <si>
    <t>S&amp;P ASX 200</t>
  </si>
  <si>
    <t>186745</t>
  </si>
  <si>
    <t>ASX All Ordinaries</t>
  </si>
  <si>
    <t>SSE Composite Index</t>
  </si>
  <si>
    <t>China Shenzhen SE Component Index</t>
  </si>
  <si>
    <t>China Shenzhen SE / CSI 300 Index</t>
  </si>
  <si>
    <t>173185</t>
  </si>
  <si>
    <t>Star 50</t>
  </si>
  <si>
    <t>STAR50XX</t>
  </si>
  <si>
    <t>SSE 50</t>
  </si>
  <si>
    <t>Hang Seng Index</t>
  </si>
  <si>
    <t>Taiwan TAIEX</t>
  </si>
  <si>
    <t>180530</t>
  </si>
  <si>
    <t>Japan Nikkei 225</t>
  </si>
  <si>
    <t>TOPIX</t>
  </si>
  <si>
    <t>180460</t>
  </si>
  <si>
    <t>KOSPI Composite Index</t>
  </si>
  <si>
    <t>FTSE Straits Times Index</t>
  </si>
  <si>
    <t>India S&amp;P BSE SENSEX</t>
  </si>
  <si>
    <t>180353</t>
  </si>
  <si>
    <t>Nifty 50</t>
  </si>
  <si>
    <t>157385</t>
  </si>
  <si>
    <t>EUROPE</t>
  </si>
  <si>
    <t>FTSE 100</t>
  </si>
  <si>
    <t>FTSE 250</t>
  </si>
  <si>
    <t>FTSE 350</t>
  </si>
  <si>
    <t>FTSE All-Share</t>
  </si>
  <si>
    <t>FTSE AIM All-Share</t>
  </si>
  <si>
    <t>Germany DAX (TR)</t>
  </si>
  <si>
    <t>France CAC 40</t>
  </si>
  <si>
    <t>France Cac All-Tradable</t>
  </si>
  <si>
    <t>IBEX 35</t>
  </si>
  <si>
    <t>IBEX Nuevo Mercado</t>
  </si>
  <si>
    <t>Portugal PSI 20</t>
  </si>
  <si>
    <t>Portugal PSI General</t>
  </si>
  <si>
    <t>FTSE MIB</t>
  </si>
  <si>
    <t>Netherlands AEX</t>
  </si>
  <si>
    <t>Switzerland SMI (PR)</t>
  </si>
  <si>
    <t>Belgium BEL-20</t>
  </si>
  <si>
    <t>188928</t>
  </si>
  <si>
    <t>Austrian Traded Index (ATX)</t>
  </si>
  <si>
    <t>188931</t>
  </si>
  <si>
    <t>Ireland ISEQ Overall</t>
  </si>
  <si>
    <t>180371</t>
  </si>
  <si>
    <t>OMX Stockholm 30</t>
  </si>
  <si>
    <t>Norway OSE Benchmark</t>
  </si>
  <si>
    <t>OMX Copenhagen 20</t>
  </si>
  <si>
    <t>OMX Copenhagen Allshare</t>
  </si>
  <si>
    <t>OMX Helsinki 25</t>
  </si>
  <si>
    <t>OMX Helsinki Allshare</t>
  </si>
  <si>
    <t>MIDDLE EAST &amp; AFRICA</t>
  </si>
  <si>
    <t>Israel TA-125</t>
  </si>
  <si>
    <t>Saudi Arabia All Share (TASI)</t>
  </si>
  <si>
    <t>FTSE JSE All Share</t>
  </si>
  <si>
    <t>168636</t>
  </si>
  <si>
    <t>FTSE/JSE Capped Shareholder Weighted All Share Index</t>
  </si>
  <si>
    <t>J433XXXX</t>
  </si>
  <si>
    <t>FTSE JSE 40</t>
  </si>
  <si>
    <t>168635</t>
  </si>
  <si>
    <t>FTSE JSE Shareholder Weighted All Share</t>
  </si>
  <si>
    <t>FTSE JSE Capped All Share</t>
  </si>
  <si>
    <t>140376</t>
  </si>
  <si>
    <t>Inputs:</t>
  </si>
  <si>
    <t>Event Type:</t>
  </si>
  <si>
    <t>Earnings Release &amp; Call Details</t>
  </si>
  <si>
    <t>Time (ET)</t>
  </si>
  <si>
    <t>"ER"</t>
  </si>
  <si>
    <t>"E"</t>
  </si>
  <si>
    <t>Earnings Release Details</t>
  </si>
  <si>
    <t>Earnings Call Details</t>
  </si>
  <si>
    <t>Upcoming Earnings Release 2</t>
  </si>
  <si>
    <t>Upcoming Earnings Release 3</t>
  </si>
  <si>
    <t>Upcoming Earnings Release 4</t>
  </si>
  <si>
    <t>Sales Release &amp; Call Details</t>
  </si>
  <si>
    <t>"SR"</t>
  </si>
  <si>
    <t>"SA"</t>
  </si>
  <si>
    <t>Sales &amp; Revenue Release Details</t>
  </si>
  <si>
    <t>Sales &amp; Revenue Call Details</t>
  </si>
  <si>
    <t>Upcoming Sales &amp; Revenue Release 2</t>
  </si>
  <si>
    <t>Upcoming Sales &amp; Revenue Release 3</t>
  </si>
  <si>
    <t>Upcoming Sales &amp; Revenue Release 4</t>
  </si>
  <si>
    <t>00000110</t>
  </si>
  <si>
    <t>Breakdown</t>
  </si>
  <si>
    <t>Top 10 Sector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</si>
</sst>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quot;#,##0.00_);[Red]\(&quot;$&quot;#,##0.00\)"/>
    <numFmt numFmtId="41" formatCode="_(* #,##0_);_(* \(#,##0\);_(* &quot;-&quot;_);_(@_)"/>
    <numFmt numFmtId="44" formatCode="_(&quot;$&quot;* #,##0.00_);_(&quot;$&quot;* \(#,##0.00\);_(&quot;$&quot;* &quot;-&quot;??_);_(@_)"/>
    <numFmt numFmtId="43" formatCode="_(* #,##0.00_);_(* \(#,##0.00\);_(* &quot;-&quot;??_);_(@_)"/>
    <numFmt numFmtId="164" formatCode="0.0%"/>
    <numFmt numFmtId="165" formatCode="#,##0.0"/>
    <numFmt numFmtId="166" formatCode="0.0\x"/>
    <numFmt numFmtId="167" formatCode="_(* #,##0_);_(* \(#,##0\);_(* &quot;-&quot;?_);_(@_)"/>
    <numFmt numFmtId="168" formatCode="dd\-mmm\-yyyy"/>
    <numFmt numFmtId="169" formatCode="_(* #,##0_);_(* \(#,##0\);_(* &quot;-&quot;??_);_(@_)"/>
    <numFmt numFmtId="170" formatCode="0.0"/>
    <numFmt numFmtId="171" formatCode="mmm\-yyyy"/>
  </numFmts>
  <fonts count="84" x14ac:knownFonts="1">
    <font>
      <sz val="10"/>
      <name val="Arial"/>
      <family val="2"/>
    </font>
    <font>
      <sz val="10"/>
      <color theme="1"/>
      <name val="Arial"/>
      <family val="2"/>
    </font>
    <font>
      <sz val="11"/>
      <color theme="1"/>
      <name val="Arial"/>
      <family val="2"/>
      <scheme val="minor"/>
    </font>
    <font>
      <sz val="10"/>
      <name val="Times New Roman"/>
      <family val="1"/>
    </font>
    <font>
      <sz val="8"/>
      <name val="Trebuchet MS"/>
      <family val="2"/>
    </font>
    <font>
      <sz val="8"/>
      <color indexed="8"/>
      <name val="Trebuchet MS"/>
      <family val="2"/>
    </font>
    <font>
      <b/>
      <sz val="8"/>
      <color indexed="62"/>
      <name val="Trebuchet MS"/>
      <family val="2"/>
    </font>
    <font>
      <b/>
      <sz val="8"/>
      <color indexed="63"/>
      <name val="Trebuchet MS"/>
      <family val="2"/>
    </font>
    <font>
      <sz val="10"/>
      <name val="Trebuchet MS"/>
      <family val="2"/>
    </font>
    <font>
      <sz val="8"/>
      <color indexed="62"/>
      <name val="Trebuchet MS"/>
      <family val="2"/>
    </font>
    <font>
      <b/>
      <sz val="9"/>
      <color indexed="9"/>
      <name val="Trebuchet MS"/>
      <family val="2"/>
    </font>
    <font>
      <sz val="8"/>
      <name val="Wingdings"/>
      <family val="2"/>
      <charset val="2"/>
    </font>
    <font>
      <b/>
      <sz val="9"/>
      <color indexed="55"/>
      <name val="Trebuchet MS"/>
      <family val="2"/>
    </font>
    <font>
      <sz val="10"/>
      <color indexed="8"/>
      <name val="Trebuchet MS"/>
      <family val="2"/>
    </font>
    <font>
      <b/>
      <sz val="9"/>
      <color indexed="63"/>
      <name val="Trebuchet MS"/>
      <family val="2"/>
    </font>
    <font>
      <b/>
      <sz val="14"/>
      <color theme="1"/>
      <name val="Arial"/>
      <family val="2"/>
    </font>
    <font>
      <b/>
      <sz val="12"/>
      <name val="Arial"/>
      <family val="2"/>
    </font>
    <font>
      <u/>
      <sz val="10"/>
      <color indexed="12"/>
      <name val="Arial"/>
      <family val="2"/>
    </font>
    <font>
      <b/>
      <sz val="10"/>
      <name val="Arial"/>
      <family val="2"/>
    </font>
    <font>
      <sz val="11"/>
      <color theme="1"/>
      <name val="Arial"/>
      <family val="2"/>
    </font>
    <font>
      <sz val="9"/>
      <name val="Arial"/>
      <family val="2"/>
    </font>
    <font>
      <sz val="10"/>
      <color rgb="FF0066CC"/>
      <name val="Arial"/>
      <family val="2"/>
    </font>
    <font>
      <sz val="10"/>
      <name val="Tahoma"/>
      <family val="2"/>
    </font>
    <font>
      <u/>
      <sz val="10"/>
      <name val="Arial"/>
      <family val="2"/>
    </font>
    <font>
      <sz val="10"/>
      <color indexed="8"/>
      <name val="Arial"/>
      <family val="2"/>
    </font>
    <font>
      <i/>
      <sz val="10"/>
      <name val="Arial"/>
      <family val="2"/>
    </font>
    <font>
      <b/>
      <sz val="11"/>
      <name val="Arial"/>
      <family val="2"/>
    </font>
    <font>
      <sz val="9"/>
      <color indexed="9"/>
      <name val="Arial"/>
      <family val="2"/>
    </font>
    <font>
      <i/>
      <sz val="10"/>
      <color indexed="8"/>
      <name val="Arial"/>
      <family val="2"/>
    </font>
    <font>
      <i/>
      <sz val="9"/>
      <name val="Arial"/>
      <family val="2"/>
    </font>
    <font>
      <b/>
      <u/>
      <sz val="10"/>
      <name val="Arial"/>
      <family val="2"/>
    </font>
    <font>
      <b/>
      <sz val="9"/>
      <name val="Arial"/>
      <family val="2"/>
    </font>
    <font>
      <sz val="10"/>
      <color indexed="9"/>
      <name val="Arial"/>
      <family val="2"/>
    </font>
    <font>
      <sz val="10"/>
      <color indexed="22"/>
      <name val="Arial"/>
      <family val="2"/>
    </font>
    <font>
      <sz val="10"/>
      <color rgb="FFC0C0C0"/>
      <name val="Arial"/>
      <family val="2"/>
    </font>
    <font>
      <sz val="14"/>
      <color indexed="22"/>
      <name val="Arial"/>
      <family val="2"/>
    </font>
    <font>
      <sz val="11"/>
      <color theme="0"/>
      <name val="Arial"/>
      <family val="2"/>
    </font>
    <font>
      <sz val="10"/>
      <color theme="0" tint="-0.3499252296517838"/>
      <name val="Arial"/>
      <family val="2"/>
    </font>
    <font>
      <sz val="10"/>
      <color theme="0"/>
      <name val="Arial"/>
      <family val="2"/>
    </font>
    <font>
      <sz val="10"/>
      <color theme="9"/>
      <name val="Arial"/>
      <family val="2"/>
    </font>
    <font>
      <b/>
      <sz val="9"/>
      <name val="Tahoma"/>
      <family val="2"/>
    </font>
    <font>
      <sz val="9"/>
      <name val="Tahoma"/>
      <family val="2"/>
    </font>
    <font>
      <u/>
      <sz val="11"/>
      <color theme="0"/>
      <name val="Arial"/>
      <family val="2"/>
      <scheme val="minor"/>
    </font>
    <font>
      <sz val="9"/>
      <color theme="9"/>
      <name val="Arial"/>
      <family val="2"/>
    </font>
    <font>
      <sz val="10"/>
      <color theme="1"/>
      <name val="Arial"/>
      <family val="2"/>
      <scheme val="minor"/>
    </font>
    <font>
      <b/>
      <sz val="11"/>
      <color rgb="FF000000"/>
      <name val="Arial"/>
      <family val="2"/>
    </font>
    <font>
      <sz val="9"/>
      <color rgb="FFFF0000"/>
      <name val="Arial"/>
      <family val="2"/>
    </font>
    <font>
      <sz val="10"/>
      <color rgb="FFFF0000"/>
      <name val="Arial"/>
      <family val="2"/>
    </font>
    <font>
      <sz val="9"/>
      <color theme="1"/>
      <name val="Arial"/>
      <family val="2"/>
    </font>
    <font>
      <i/>
      <sz val="9"/>
      <color theme="1"/>
      <name val="Arial"/>
      <family val="2"/>
    </font>
    <font>
      <sz val="10"/>
      <color rgb="FF800080"/>
      <name val="Arial"/>
      <family val="2"/>
    </font>
    <font>
      <sz val="9"/>
      <color rgb="FF800080"/>
      <name val="Arial"/>
      <family val="2"/>
    </font>
    <font>
      <sz val="8"/>
      <color rgb="FF800080"/>
      <name val="Arial"/>
      <family val="2"/>
    </font>
    <font>
      <sz val="9"/>
      <color rgb="FF0000FF"/>
      <name val="Arial"/>
      <family val="2"/>
    </font>
    <font>
      <b/>
      <sz val="11"/>
      <color theme="0"/>
      <name val="Arial"/>
      <family val="2"/>
    </font>
    <font>
      <b/>
      <sz val="11"/>
      <color rgb="FF0000FF"/>
      <name val="Arial"/>
      <family val="2"/>
    </font>
    <font>
      <b/>
      <sz val="11"/>
      <color rgb="FF800080"/>
      <name val="Arial"/>
      <family val="2"/>
    </font>
    <font>
      <sz val="11"/>
      <color theme="0" tint="-0.3499252296517838"/>
      <name val="Arial"/>
      <family val="2"/>
    </font>
    <font>
      <sz val="9"/>
      <color rgb="FF000000"/>
      <name val="Arial"/>
      <family val="2"/>
    </font>
    <font>
      <b/>
      <u/>
      <sz val="9"/>
      <color theme="1"/>
      <name val="Arial"/>
      <family val="2"/>
    </font>
    <font>
      <sz val="9"/>
      <color rgb="FF242424"/>
      <name val="Arial"/>
      <family val="2"/>
    </font>
    <font>
      <b/>
      <u/>
      <sz val="9"/>
      <color rgb="FF4F52B2"/>
      <name val="Arial"/>
      <family val="2"/>
    </font>
    <font>
      <b/>
      <u/>
      <sz val="9"/>
      <name val="Arial"/>
      <family val="2"/>
    </font>
    <font>
      <u/>
      <sz val="9"/>
      <color theme="1"/>
      <name val="Arial"/>
      <family val="2"/>
    </font>
    <font>
      <b/>
      <sz val="9"/>
      <color rgb="FF0000FF"/>
      <name val="Arial"/>
      <family val="2"/>
    </font>
    <font>
      <b/>
      <sz val="10"/>
      <color rgb="FF0066CC"/>
      <name val="Arial"/>
      <family val="2"/>
    </font>
    <font>
      <b/>
      <sz val="9"/>
      <color rgb="FF800080"/>
      <name val="Arial"/>
      <family val="2"/>
    </font>
    <font>
      <b/>
      <sz val="9"/>
      <color rgb="FF008000"/>
      <name val="Arial"/>
      <family val="2"/>
    </font>
    <font>
      <b/>
      <u/>
      <sz val="9"/>
      <color rgb="FF0000FF"/>
      <name val="Arial"/>
      <family val="2"/>
    </font>
    <font>
      <sz val="9"/>
      <color theme="0"/>
      <name val="Arial"/>
      <family val="2"/>
    </font>
    <font>
      <sz val="9"/>
      <color rgb="FFFF3737"/>
      <name val="Arial"/>
      <family val="2"/>
    </font>
    <font>
      <b/>
      <u/>
      <sz val="9"/>
      <color rgb="FFFF3737"/>
      <name val="Arial"/>
      <family val="2"/>
    </font>
    <font>
      <b/>
      <sz val="9"/>
      <color rgb="FFFF3737"/>
      <name val="Arial"/>
      <family val="2"/>
    </font>
    <font>
      <sz val="9"/>
      <color theme="0" tint="-0.3499252296517838"/>
      <name val="Arial"/>
      <family val="2"/>
    </font>
    <font>
      <b/>
      <u/>
      <sz val="9"/>
      <color rgb="FFFF0000"/>
      <name val="Arial"/>
      <family val="2"/>
    </font>
    <font>
      <b/>
      <sz val="9"/>
      <color rgb="FF000000"/>
      <name val="Arial"/>
      <family val="2"/>
    </font>
    <font>
      <b/>
      <sz val="11"/>
      <color theme="1"/>
      <name val="Arial"/>
      <family val="2"/>
      <scheme val="minor"/>
    </font>
    <font>
      <b/>
      <sz val="9"/>
      <color theme="1"/>
      <name val="Arial"/>
      <family val="2"/>
    </font>
    <font>
      <b/>
      <u/>
      <sz val="9"/>
      <color rgb="FF000000"/>
      <name val="Arial"/>
      <family val="2"/>
    </font>
    <font>
      <u/>
      <sz val="11"/>
      <color theme="10"/>
      <name val="Arial"/>
      <family val="2"/>
      <scheme val="minor"/>
    </font>
    <font>
      <u/>
      <sz val="9"/>
      <color theme="10"/>
      <name val="Arial"/>
      <family val="2"/>
      <scheme val="minor"/>
    </font>
    <font>
      <sz val="9"/>
      <color rgb="FF000000"/>
      <name val="Courier New"/>
      <family val="3"/>
    </font>
    <font>
      <sz val="10"/>
      <name val="Arial"/>
      <family val="2"/>
    </font>
    <font>
      <b/>
      <sz val="9"/>
      <color indexed="81"/>
      <name val="Tahoma"/>
      <family val="2"/>
    </font>
  </fonts>
  <fills count="17">
    <fill>
      <patternFill patternType="none"/>
    </fill>
    <fill>
      <patternFill patternType="gray125"/>
    </fill>
    <fill>
      <patternFill patternType="solid">
        <fgColor indexed="55"/>
        <bgColor indexed="64"/>
      </patternFill>
    </fill>
    <fill>
      <patternFill patternType="solid">
        <fgColor indexed="9"/>
        <bgColor indexed="64"/>
      </patternFill>
    </fill>
    <fill>
      <patternFill patternType="mediumGray">
        <fgColor indexed="9"/>
        <bgColor indexed="22"/>
      </patternFill>
    </fill>
    <fill>
      <patternFill patternType="solid">
        <fgColor indexed="63"/>
        <bgColor indexed="64"/>
      </patternFill>
    </fill>
    <fill>
      <patternFill patternType="solid">
        <fgColor indexed="22"/>
        <bgColor indexed="64"/>
      </patternFill>
    </fill>
    <fill>
      <patternFill patternType="solid">
        <fgColor rgb="FFEFF6FB"/>
        <bgColor indexed="64"/>
      </patternFill>
    </fill>
    <fill>
      <patternFill patternType="solid">
        <fgColor theme="0"/>
        <bgColor indexed="64"/>
      </patternFill>
    </fill>
    <fill>
      <patternFill patternType="solid">
        <fgColor rgb="FF323232"/>
        <bgColor indexed="64"/>
      </patternFill>
    </fill>
    <fill>
      <gradientFill degree="90">
        <stop position="0">
          <color theme="0"/>
        </stop>
        <stop position="1">
          <color rgb="FFE1E1E1"/>
        </stop>
      </gradientFill>
    </fill>
    <fill>
      <patternFill patternType="solid">
        <fgColor rgb="FFF1F3F5"/>
        <bgColor indexed="64"/>
      </patternFill>
    </fill>
    <fill>
      <patternFill patternType="solid">
        <fgColor theme="0" tint="-0.14993743705557422"/>
        <bgColor indexed="64"/>
      </patternFill>
    </fill>
    <fill>
      <patternFill patternType="solid">
        <fgColor rgb="FFFFFFCC"/>
        <bgColor indexed="64"/>
      </patternFill>
    </fill>
    <fill>
      <patternFill patternType="solid">
        <fgColor rgb="FFF2F2F2"/>
        <bgColor indexed="64"/>
      </patternFill>
    </fill>
    <fill>
      <patternFill patternType="solid">
        <fgColor rgb="FFFFFFFF"/>
        <bgColor indexed="64"/>
      </patternFill>
    </fill>
    <fill>
      <patternFill patternType="solid">
        <fgColor rgb="FFD9D9D9"/>
        <bgColor indexed="64"/>
      </patternFill>
    </fill>
  </fills>
  <borders count="31">
    <border>
      <left/>
      <right/>
      <top/>
      <bottom/>
      <diagonal/>
    </border>
    <border>
      <left style="hair">
        <color indexed="22"/>
      </left>
      <right style="hair">
        <color indexed="22"/>
      </right>
      <top style="hair">
        <color indexed="22"/>
      </top>
      <bottom style="hair">
        <color indexed="22"/>
      </bottom>
      <diagonal/>
    </border>
    <border>
      <left/>
      <right/>
      <top/>
      <bottom style="medium">
        <color indexed="63"/>
      </bottom>
      <diagonal/>
    </border>
    <border>
      <left/>
      <right/>
      <top/>
      <bottom style="thin">
        <color rgb="FFC8C8C8"/>
      </bottom>
      <diagonal/>
    </border>
    <border>
      <left/>
      <right/>
      <top style="thin">
        <color rgb="FFC8C8C8"/>
      </top>
      <bottom style="thin">
        <color rgb="FFC8C8C8"/>
      </bottom>
      <diagonal/>
    </border>
    <border>
      <left/>
      <right/>
      <top style="thin">
        <color theme="0" tint="-0.2499160740989410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14993743705557422"/>
      </left>
      <right/>
      <top/>
      <bottom/>
      <diagonal/>
    </border>
    <border>
      <left/>
      <right style="thin">
        <color theme="0" tint="-0.14993743705557422"/>
      </right>
      <top/>
      <bottom/>
      <diagonal/>
    </border>
    <border>
      <left style="thin">
        <color theme="0" tint="-0.14993743705557422"/>
      </left>
      <right/>
      <top/>
      <bottom style="thin">
        <color theme="0" tint="-0.14993743705557422"/>
      </bottom>
      <diagonal/>
    </border>
    <border>
      <left/>
      <right/>
      <top/>
      <bottom style="thin">
        <color theme="0" tint="-0.14993743705557422"/>
      </bottom>
      <diagonal/>
    </border>
    <border>
      <left/>
      <right style="thin">
        <color theme="0" tint="-0.14993743705557422"/>
      </right>
      <top/>
      <bottom style="thin">
        <color theme="0" tint="-0.14993743705557422"/>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top/>
      <bottom style="thin">
        <color theme="0" tint="-0.14990691854609822"/>
      </bottom>
      <diagonal/>
    </border>
    <border>
      <left/>
      <right style="thin">
        <color theme="0" tint="-0.14993743705557422"/>
      </right>
      <top/>
      <bottom style="thin">
        <color theme="0" tint="-0.149906918546098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theme="0" tint="-0.24988555558946501"/>
      </left>
      <right/>
      <top style="thin">
        <color theme="0" tint="-0.24988555558946501"/>
      </top>
      <bottom style="thin">
        <color theme="0" tint="-0.24988555558946501"/>
      </bottom>
      <diagonal/>
    </border>
    <border>
      <left/>
      <right/>
      <top style="thin">
        <color theme="0" tint="-0.24988555558946501"/>
      </top>
      <bottom style="thin">
        <color theme="0" tint="-0.24988555558946501"/>
      </bottom>
      <diagonal/>
    </border>
    <border>
      <left/>
      <right style="thin">
        <color theme="0" tint="-0.24988555558946501"/>
      </right>
      <top style="thin">
        <color theme="0" tint="-0.24988555558946501"/>
      </top>
      <bottom style="thin">
        <color theme="0" tint="-0.24988555558946501"/>
      </bottom>
      <diagonal/>
    </border>
  </borders>
  <cellStyleXfs count="51">
    <xf numFmtId="0" fontId="0" fillId="0" borderId="0"/>
    <xf numFmtId="43" fontId="82" fillId="0" borderId="0" applyFont="0" applyFill="0" applyBorder="0" applyAlignment="0" applyProtection="0"/>
    <xf numFmtId="9" fontId="82" fillId="0" borderId="0" applyFont="0" applyFill="0" applyBorder="0" applyAlignment="0" applyProtection="0"/>
    <xf numFmtId="0" fontId="11" fillId="0" borderId="1" applyNumberFormat="0" applyBorder="0" applyProtection="0">
      <alignment horizontal="center" vertical="center"/>
    </xf>
    <xf numFmtId="0" fontId="12" fillId="2" borderId="0" applyNumberFormat="0" applyBorder="0" applyProtection="0">
      <alignment horizontal="left" vertical="center" wrapText="1"/>
    </xf>
    <xf numFmtId="0" fontId="4" fillId="3" borderId="0" applyNumberFormat="0" applyBorder="0" applyProtection="0"/>
    <xf numFmtId="0" fontId="4" fillId="3" borderId="1" applyNumberFormat="0" applyBorder="0" applyProtection="0">
      <alignment horizontal="center" vertical="center"/>
    </xf>
    <xf numFmtId="0" fontId="5" fillId="3" borderId="1" applyNumberFormat="0" applyBorder="0" applyProtection="0">
      <alignment horizontal="right" vertical="center"/>
    </xf>
    <xf numFmtId="0" fontId="5" fillId="3" borderId="1" applyNumberFormat="0" applyBorder="0" applyProtection="0">
      <alignment horizontal="right" vertical="center"/>
    </xf>
    <xf numFmtId="0" fontId="4" fillId="3" borderId="1" applyNumberFormat="0" applyBorder="0" applyProtection="0">
      <alignment horizontal="right" vertical="center"/>
    </xf>
    <xf numFmtId="0" fontId="4" fillId="3" borderId="1" applyNumberFormat="0" applyBorder="0" applyProtection="0">
      <alignment horizontal="right" vertical="center"/>
    </xf>
    <xf numFmtId="0" fontId="3" fillId="0" borderId="0" applyNumberFormat="0" applyBorder="0" applyProtection="0"/>
    <xf numFmtId="0" fontId="13" fillId="3" borderId="1" applyNumberFormat="0" applyBorder="0" applyProtection="0">
      <alignment horizontal="right" vertical="center"/>
    </xf>
    <xf numFmtId="0" fontId="3" fillId="4" borderId="0" applyNumberFormat="0" applyBorder="0" applyProtection="0"/>
    <xf numFmtId="0" fontId="9" fillId="0" borderId="1" applyNumberFormat="0" applyBorder="0" applyProtection="0">
      <alignment horizontal="right" vertical="center"/>
    </xf>
    <xf numFmtId="0" fontId="7" fillId="5" borderId="0" applyNumberFormat="0" applyBorder="0" applyProtection="0">
      <alignment horizontal="left" vertical="center"/>
    </xf>
    <xf numFmtId="0" fontId="4" fillId="0" borderId="1" applyNumberFormat="0" applyBorder="0" applyProtection="0">
      <alignment horizontal="right" vertical="center"/>
    </xf>
    <xf numFmtId="0" fontId="4" fillId="0" borderId="1" applyNumberFormat="0" applyBorder="0" applyProtection="0"/>
    <xf numFmtId="0" fontId="4" fillId="0" borderId="1" applyNumberFormat="0" applyBorder="0" applyProtection="0"/>
    <xf numFmtId="0" fontId="82" fillId="0" borderId="0" applyNumberFormat="0" applyBorder="0" applyProtection="0">
      <alignment horizontal="center" wrapText="1"/>
    </xf>
    <xf numFmtId="0" fontId="8" fillId="0" borderId="1" applyNumberFormat="0" applyBorder="0" applyProtection="0">
      <alignment wrapText="1"/>
    </xf>
    <xf numFmtId="0" fontId="10" fillId="2" borderId="0" applyNumberFormat="0" applyBorder="0" applyProtection="0">
      <alignment horizontal="center" vertical="center"/>
    </xf>
    <xf numFmtId="0" fontId="14" fillId="2" borderId="1" applyNumberFormat="0" applyBorder="0" applyProtection="0">
      <alignment horizontal="centerContinuous" vertical="center" wrapText="1"/>
    </xf>
    <xf numFmtId="0" fontId="6" fillId="6" borderId="0" applyNumberFormat="0" applyBorder="0" applyProtection="0">
      <alignment horizontal="right" vertical="center"/>
    </xf>
    <xf numFmtId="0" fontId="6" fillId="3" borderId="1" applyNumberFormat="0" applyBorder="0" applyProtection="0"/>
    <xf numFmtId="0" fontId="10" fillId="2" borderId="2" applyNumberFormat="0" applyBorder="0" applyProtection="0">
      <alignment horizontal="left" vertical="center" wrapText="1"/>
    </xf>
    <xf numFmtId="0" fontId="3" fillId="6" borderId="0" applyNumberFormat="0" applyBorder="0" applyProtection="0">
      <alignment horizontal="left"/>
    </xf>
    <xf numFmtId="0" fontId="17" fillId="0" borderId="0" applyNumberFormat="0" applyFill="0" applyBorder="0">
      <protection locked="0"/>
    </xf>
    <xf numFmtId="0" fontId="19" fillId="7" borderId="0" applyNumberFormat="0" applyFont="0" applyBorder="0" applyAlignment="0" applyProtection="0"/>
    <xf numFmtId="0" fontId="21" fillId="8" borderId="0" applyNumberFormat="0" applyFill="0" applyBorder="0" applyProtection="0">
      <alignment horizontal="left"/>
    </xf>
    <xf numFmtId="0" fontId="82"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28" fillId="8" borderId="0" applyNumberFormat="0" applyFill="0" applyBorder="0" applyProtection="0">
      <alignment horizontal="left"/>
    </xf>
    <xf numFmtId="0" fontId="36" fillId="9" borderId="3">
      <alignment horizontal="right" vertical="center" indent="1"/>
    </xf>
    <xf numFmtId="0" fontId="15" fillId="10" borderId="4"/>
    <xf numFmtId="0" fontId="21" fillId="8" borderId="0" applyNumberFormat="0" applyFill="0" applyBorder="0" applyProtection="0"/>
    <xf numFmtId="0" fontId="36" fillId="9" borderId="3">
      <alignment horizontal="right" vertical="center"/>
    </xf>
    <xf numFmtId="0" fontId="18" fillId="8" borderId="5" applyNumberFormat="0" applyFill="0" applyBorder="0" applyProtection="0">
      <alignment horizontal="left"/>
    </xf>
    <xf numFmtId="43" fontId="1" fillId="0" borderId="0" applyFont="0" applyFill="0" applyBorder="0" applyAlignment="0" applyProtection="0"/>
    <xf numFmtId="0" fontId="1" fillId="0" borderId="0"/>
    <xf numFmtId="0" fontId="1" fillId="0" borderId="0"/>
    <xf numFmtId="0" fontId="2" fillId="0" borderId="0"/>
    <xf numFmtId="0" fontId="2" fillId="0" borderId="0"/>
    <xf numFmtId="0" fontId="65" fillId="8" borderId="0" applyNumberFormat="0" applyFill="0" applyBorder="0" applyProtection="0">
      <alignment horizontal="right"/>
    </xf>
    <xf numFmtId="0" fontId="79" fillId="0" borderId="0" applyNumberFormat="0" applyFill="0" applyBorder="0" applyAlignment="0" applyProtection="0"/>
    <xf numFmtId="0" fontId="2" fillId="0" borderId="0"/>
    <xf numFmtId="43" fontId="1" fillId="0" borderId="0" applyFont="0" applyFill="0" applyBorder="0" applyAlignment="0" applyProtection="0"/>
    <xf numFmtId="0" fontId="76" fillId="0" borderId="0" applyNumberFormat="0" applyFill="0" applyAlignment="0" applyProtection="0"/>
    <xf numFmtId="0" fontId="24" fillId="8" borderId="1" applyNumberFormat="0" applyProtection="0">
      <alignment horizontal="left" vertical="center"/>
    </xf>
  </cellStyleXfs>
  <cellXfs count="339">
    <xf numFmtId="0" fontId="0" fillId="0" borderId="0" xfId="0"/>
    <xf numFmtId="0" fontId="20" fillId="0" borderId="0" xfId="30" applyFont="1"/>
    <xf numFmtId="0" fontId="0" fillId="0" borderId="0" xfId="0" applyAlignment="1">
      <alignment vertical="center"/>
    </xf>
    <xf numFmtId="2" fontId="20" fillId="0" borderId="0" xfId="30" applyNumberFormat="1" applyFont="1"/>
    <xf numFmtId="2" fontId="39" fillId="0" borderId="0" xfId="0" applyNumberFormat="1" applyFont="1"/>
    <xf numFmtId="2" fontId="50" fillId="0" borderId="0" xfId="0" applyNumberFormat="1" applyFont="1"/>
    <xf numFmtId="0" fontId="20" fillId="0" borderId="0" xfId="28" applyFont="1" applyFill="1" applyBorder="1"/>
    <xf numFmtId="0" fontId="0" fillId="0" borderId="0" xfId="28" applyFont="1" applyFill="1"/>
    <xf numFmtId="0" fontId="48" fillId="0" borderId="0" xfId="28" applyFont="1" applyFill="1" applyBorder="1"/>
    <xf numFmtId="0" fontId="42" fillId="0" borderId="0" xfId="27" quotePrefix="1" applyFont="1" applyFill="1" applyBorder="1" applyAlignment="1" applyProtection="1">
      <alignment horizontal="right" vertical="center"/>
    </xf>
    <xf numFmtId="0" fontId="35" fillId="0" borderId="0" xfId="28" applyFont="1" applyFill="1" applyBorder="1" applyAlignment="1">
      <alignment vertical="center"/>
    </xf>
    <xf numFmtId="0" fontId="32" fillId="0" borderId="0" xfId="28" applyFont="1" applyFill="1"/>
    <xf numFmtId="0" fontId="33" fillId="0" borderId="0" xfId="28" applyFont="1" applyFill="1" applyBorder="1" applyAlignment="1">
      <alignment horizontal="right"/>
    </xf>
    <xf numFmtId="0" fontId="33" fillId="0" borderId="0" xfId="28" applyFont="1" applyFill="1" applyBorder="1"/>
    <xf numFmtId="0" fontId="33" fillId="0" borderId="0" xfId="28" applyNumberFormat="1" applyFont="1" applyFill="1" applyBorder="1" applyAlignment="1">
      <alignment horizontal="right"/>
    </xf>
    <xf numFmtId="0" fontId="34" fillId="0" borderId="0" xfId="28" applyNumberFormat="1" applyFont="1" applyFill="1" applyBorder="1" applyAlignment="1"/>
    <xf numFmtId="0" fontId="1" fillId="0" borderId="0" xfId="28" applyFont="1" applyFill="1"/>
    <xf numFmtId="0" fontId="0" fillId="0" borderId="6" xfId="28" applyFont="1" applyFill="1" applyBorder="1"/>
    <xf numFmtId="0" fontId="0" fillId="0" borderId="7" xfId="28" applyFont="1" applyFill="1" applyBorder="1"/>
    <xf numFmtId="0" fontId="0" fillId="0" borderId="8" xfId="28" applyFont="1" applyFill="1" applyBorder="1"/>
    <xf numFmtId="0" fontId="0" fillId="0" borderId="0" xfId="28" applyFont="1" applyFill="1" applyBorder="1"/>
    <xf numFmtId="0" fontId="20" fillId="0" borderId="6" xfId="28" applyFont="1" applyFill="1" applyBorder="1"/>
    <xf numFmtId="0" fontId="20" fillId="0" borderId="7" xfId="28" applyFont="1" applyFill="1" applyBorder="1"/>
    <xf numFmtId="0" fontId="20" fillId="0" borderId="7" xfId="28" applyNumberFormat="1" applyFont="1" applyFill="1" applyBorder="1"/>
    <xf numFmtId="0" fontId="20" fillId="0" borderId="8" xfId="28" applyFont="1" applyFill="1" applyBorder="1"/>
    <xf numFmtId="0" fontId="0" fillId="0" borderId="9" xfId="28" applyFont="1" applyFill="1" applyBorder="1"/>
    <xf numFmtId="0" fontId="26" fillId="0" borderId="0" xfId="28" applyFont="1" applyFill="1" applyBorder="1" applyAlignment="1">
      <alignment vertical="center"/>
    </xf>
    <xf numFmtId="0" fontId="0" fillId="0" borderId="10" xfId="28" applyFont="1" applyFill="1" applyBorder="1"/>
    <xf numFmtId="0" fontId="20" fillId="0" borderId="9" xfId="28" applyFont="1" applyFill="1" applyBorder="1"/>
    <xf numFmtId="0" fontId="0" fillId="0" borderId="0" xfId="28" applyNumberFormat="1" applyFont="1" applyFill="1" applyBorder="1" applyAlignment="1">
      <alignment horizontal="left"/>
    </xf>
    <xf numFmtId="0" fontId="20" fillId="0" borderId="10" xfId="30" applyFont="1" applyBorder="1"/>
    <xf numFmtId="0" fontId="16" fillId="0" borderId="0" xfId="28" applyFont="1" applyFill="1" applyBorder="1" applyAlignment="1">
      <alignment vertical="center"/>
    </xf>
    <xf numFmtId="0" fontId="18" fillId="0" borderId="0" xfId="28" applyFont="1" applyFill="1" applyBorder="1" applyAlignment="1">
      <alignment horizontal="left"/>
    </xf>
    <xf numFmtId="0" fontId="20" fillId="0" borderId="0" xfId="28" applyFont="1" applyFill="1" applyBorder="1" applyAlignment="1">
      <alignment vertical="center"/>
    </xf>
    <xf numFmtId="0" fontId="20" fillId="0" borderId="10" xfId="28" applyNumberFormat="1" applyFont="1" applyFill="1" applyBorder="1"/>
    <xf numFmtId="0" fontId="29" fillId="0" borderId="9" xfId="28" applyFont="1" applyFill="1" applyBorder="1"/>
    <xf numFmtId="0" fontId="18" fillId="0" borderId="0" xfId="30" applyFont="1" applyAlignment="1">
      <alignment horizontal="right" vertical="center"/>
    </xf>
    <xf numFmtId="0" fontId="18" fillId="0" borderId="0" xfId="30" applyFont="1" applyAlignment="1">
      <alignment vertical="center"/>
    </xf>
    <xf numFmtId="0" fontId="29" fillId="0" borderId="10" xfId="30" applyFont="1" applyBorder="1"/>
    <xf numFmtId="10" fontId="20" fillId="0" borderId="0" xfId="30" applyNumberFormat="1" applyFont="1"/>
    <xf numFmtId="0" fontId="51" fillId="0" borderId="0" xfId="30" applyFont="1"/>
    <xf numFmtId="10" fontId="51" fillId="0" borderId="0" xfId="30" applyNumberFormat="1" applyFont="1"/>
    <xf numFmtId="0" fontId="28" fillId="0" borderId="0" xfId="28" applyNumberFormat="1" applyFont="1" applyFill="1" applyBorder="1" applyAlignment="1">
      <alignment horizontal="left"/>
    </xf>
    <xf numFmtId="0" fontId="0" fillId="0" borderId="0" xfId="28" applyNumberFormat="1" applyFont="1" applyFill="1" applyBorder="1" applyAlignment="1">
      <alignment vertical="top" wrapText="1"/>
    </xf>
    <xf numFmtId="0" fontId="29" fillId="0" borderId="0" xfId="28" applyFont="1" applyFill="1" applyBorder="1"/>
    <xf numFmtId="0" fontId="49" fillId="0" borderId="0" xfId="28" applyFont="1" applyFill="1" applyBorder="1"/>
    <xf numFmtId="0" fontId="0" fillId="0" borderId="10" xfId="28" applyNumberFormat="1" applyFont="1" applyFill="1" applyBorder="1" applyAlignment="1">
      <alignment vertical="top" wrapText="1"/>
    </xf>
    <xf numFmtId="165" fontId="21" fillId="0" borderId="0" xfId="28" applyNumberFormat="1" applyFont="1" applyFill="1" applyBorder="1" applyAlignment="1">
      <alignment horizontal="left"/>
    </xf>
    <xf numFmtId="4" fontId="21" fillId="0" borderId="0" xfId="28" applyNumberFormat="1" applyFont="1" applyFill="1" applyBorder="1" applyAlignment="1">
      <alignment horizontal="left"/>
    </xf>
    <xf numFmtId="0" fontId="0" fillId="0" borderId="11" xfId="28" applyFont="1" applyFill="1" applyBorder="1"/>
    <xf numFmtId="0" fontId="0" fillId="0" borderId="12" xfId="28" applyNumberFormat="1" applyFont="1" applyFill="1" applyBorder="1" applyAlignment="1">
      <alignment vertical="top" wrapText="1"/>
    </xf>
    <xf numFmtId="0" fontId="0" fillId="0" borderId="12" xfId="28" applyNumberFormat="1" applyFont="1" applyFill="1" applyBorder="1" applyAlignment="1">
      <alignment vertical="top"/>
    </xf>
    <xf numFmtId="0" fontId="0" fillId="0" borderId="13" xfId="28" applyNumberFormat="1" applyFont="1" applyFill="1" applyBorder="1" applyAlignment="1">
      <alignment vertical="top"/>
    </xf>
    <xf numFmtId="0" fontId="0" fillId="0" borderId="0" xfId="28" applyNumberFormat="1" applyFont="1" applyFill="1" applyBorder="1" applyAlignment="1">
      <alignment vertical="top"/>
    </xf>
    <xf numFmtId="0" fontId="20" fillId="0" borderId="10" xfId="28" applyFont="1" applyFill="1" applyBorder="1" applyAlignment="1">
      <alignment horizontal="right"/>
    </xf>
    <xf numFmtId="0" fontId="20" fillId="0" borderId="0" xfId="28" applyFont="1" applyFill="1"/>
    <xf numFmtId="0" fontId="0" fillId="0" borderId="7" xfId="28" applyNumberFormat="1" applyFont="1" applyFill="1" applyBorder="1" applyAlignment="1">
      <alignment vertical="top" wrapText="1"/>
    </xf>
    <xf numFmtId="0" fontId="29" fillId="0" borderId="11" xfId="28" applyFont="1" applyFill="1" applyBorder="1"/>
    <xf numFmtId="0" fontId="17" fillId="0" borderId="12" xfId="27" applyFill="1" applyBorder="1" applyAlignment="1" applyProtection="1">
      <alignment horizontal="right"/>
    </xf>
    <xf numFmtId="0" fontId="20" fillId="0" borderId="12" xfId="28" applyFont="1" applyFill="1" applyBorder="1"/>
    <xf numFmtId="0" fontId="20" fillId="0" borderId="12" xfId="30" applyFont="1" applyBorder="1"/>
    <xf numFmtId="0" fontId="20" fillId="0" borderId="13" xfId="28" applyFont="1" applyFill="1" applyBorder="1" applyAlignment="1">
      <alignment horizontal="right"/>
    </xf>
    <xf numFmtId="10" fontId="21" fillId="0" borderId="0" xfId="28" applyNumberFormat="1" applyFont="1" applyFill="1" applyBorder="1" applyAlignment="1">
      <alignment horizontal="left"/>
    </xf>
    <xf numFmtId="0" fontId="48" fillId="0" borderId="0" xfId="28" applyFont="1" applyFill="1"/>
    <xf numFmtId="0" fontId="20" fillId="0" borderId="10" xfId="28" applyFont="1" applyFill="1" applyBorder="1"/>
    <xf numFmtId="0" fontId="20" fillId="0" borderId="0" xfId="28" applyFont="1" applyFill="1" applyBorder="1" applyAlignment="1">
      <alignment horizontal="right"/>
    </xf>
    <xf numFmtId="0" fontId="19" fillId="0" borderId="9" xfId="28" applyFont="1" applyFill="1" applyBorder="1"/>
    <xf numFmtId="0" fontId="19" fillId="0" borderId="0" xfId="28" applyFont="1" applyFill="1" applyBorder="1"/>
    <xf numFmtId="0" fontId="18" fillId="0" borderId="10" xfId="28" applyFont="1" applyFill="1" applyBorder="1" applyAlignment="1">
      <alignment horizontal="left"/>
    </xf>
    <xf numFmtId="0" fontId="38" fillId="0" borderId="0" xfId="28" applyNumberFormat="1" applyFont="1" applyFill="1" applyBorder="1" applyAlignment="1">
      <alignment horizontal="left"/>
    </xf>
    <xf numFmtId="0" fontId="21" fillId="0" borderId="0" xfId="28" applyFont="1" applyFill="1" applyBorder="1" applyAlignment="1">
      <alignment horizontal="left"/>
    </xf>
    <xf numFmtId="0" fontId="21" fillId="0" borderId="10" xfId="28" applyFont="1" applyFill="1" applyBorder="1" applyAlignment="1">
      <alignment horizontal="left"/>
    </xf>
    <xf numFmtId="0" fontId="31" fillId="0" borderId="0" xfId="30" applyFont="1"/>
    <xf numFmtId="0" fontId="0" fillId="0" borderId="0" xfId="0" applyAlignment="1">
      <alignment horizontal="left" vertical="center"/>
    </xf>
    <xf numFmtId="0" fontId="29" fillId="0" borderId="10" xfId="28" applyFont="1" applyFill="1" applyBorder="1"/>
    <xf numFmtId="0" fontId="53" fillId="0" borderId="0" xfId="30" applyFont="1" applyAlignment="1">
      <alignment horizontal="right"/>
    </xf>
    <xf numFmtId="0" fontId="29" fillId="0" borderId="0" xfId="30" applyFont="1"/>
    <xf numFmtId="49" fontId="30" fillId="0" borderId="0" xfId="28" applyNumberFormat="1" applyFont="1" applyFill="1" applyBorder="1" applyAlignment="1"/>
    <xf numFmtId="0" fontId="25" fillId="0" borderId="0" xfId="28" applyFont="1" applyFill="1" applyBorder="1"/>
    <xf numFmtId="2" fontId="23" fillId="0" borderId="0" xfId="28" applyNumberFormat="1" applyFont="1" applyFill="1" applyBorder="1" applyAlignment="1">
      <alignment horizontal="right" vertical="top"/>
    </xf>
    <xf numFmtId="0" fontId="20" fillId="0" borderId="0" xfId="30" applyFont="1" applyAlignment="1">
      <alignment horizontal="right"/>
    </xf>
    <xf numFmtId="49" fontId="31" fillId="0" borderId="9" xfId="28" applyNumberFormat="1" applyFont="1" applyFill="1" applyBorder="1"/>
    <xf numFmtId="49" fontId="24" fillId="0" borderId="0" xfId="28" applyNumberFormat="1" applyFont="1" applyFill="1" applyBorder="1" applyAlignment="1">
      <alignment horizontal="left"/>
    </xf>
    <xf numFmtId="3" fontId="21" fillId="0" borderId="0" xfId="28" applyNumberFormat="1" applyFont="1" applyFill="1" applyBorder="1" applyAlignment="1">
      <alignment horizontal="right"/>
    </xf>
    <xf numFmtId="0" fontId="28" fillId="0" borderId="0" xfId="28" applyNumberFormat="1" applyFont="1" applyFill="1" applyBorder="1" applyAlignment="1">
      <alignment horizontal="left" indent="2"/>
    </xf>
    <xf numFmtId="0" fontId="20" fillId="0" borderId="0" xfId="28" applyFont="1" applyFill="1" applyBorder="1" applyAlignment="1">
      <alignment horizontal="left" indent="1"/>
    </xf>
    <xf numFmtId="164" fontId="28" fillId="0" borderId="0" xfId="28" applyNumberFormat="1" applyFont="1" applyFill="1" applyBorder="1" applyAlignment="1">
      <alignment horizontal="right"/>
    </xf>
    <xf numFmtId="49" fontId="20" fillId="0" borderId="9" xfId="28" applyNumberFormat="1" applyFont="1" applyFill="1" applyBorder="1"/>
    <xf numFmtId="41" fontId="21" fillId="0" borderId="0" xfId="28" applyNumberFormat="1" applyFont="1" applyFill="1" applyBorder="1" applyAlignment="1">
      <alignment horizontal="right"/>
    </xf>
    <xf numFmtId="167" fontId="28" fillId="0" borderId="0" xfId="28" applyNumberFormat="1" applyFont="1" applyFill="1" applyBorder="1" applyAlignment="1">
      <alignment horizontal="right"/>
    </xf>
    <xf numFmtId="10" fontId="20" fillId="0" borderId="12" xfId="30" applyNumberFormat="1" applyFont="1" applyBorder="1"/>
    <xf numFmtId="0" fontId="29" fillId="0" borderId="12" xfId="30" applyFont="1" applyBorder="1"/>
    <xf numFmtId="3" fontId="20" fillId="0" borderId="12" xfId="30" applyNumberFormat="1" applyFont="1" applyBorder="1"/>
    <xf numFmtId="49" fontId="28" fillId="0" borderId="0" xfId="28" applyNumberFormat="1" applyFont="1" applyFill="1" applyBorder="1" applyAlignment="1">
      <alignment horizontal="left" indent="2"/>
    </xf>
    <xf numFmtId="167" fontId="21" fillId="0" borderId="0" xfId="28" applyNumberFormat="1" applyFont="1" applyFill="1" applyBorder="1" applyAlignment="1">
      <alignment horizontal="right"/>
    </xf>
    <xf numFmtId="167" fontId="0" fillId="0" borderId="0" xfId="28" applyNumberFormat="1" applyFont="1" applyFill="1" applyBorder="1" applyAlignment="1">
      <alignment horizontal="right"/>
    </xf>
    <xf numFmtId="0" fontId="45" fillId="0" borderId="0" xfId="0" applyFont="1" applyAlignment="1">
      <alignment horizontal="left" vertical="center" readingOrder="1"/>
    </xf>
    <xf numFmtId="0" fontId="44" fillId="0" borderId="0" xfId="0" applyFont="1" applyAlignment="1">
      <alignment vertical="center"/>
    </xf>
    <xf numFmtId="0" fontId="52" fillId="0" borderId="0" xfId="28" applyNumberFormat="1" applyFont="1" applyFill="1" applyBorder="1" applyAlignment="1">
      <alignment horizontal="right" vertical="center" wrapText="1"/>
    </xf>
    <xf numFmtId="0" fontId="46" fillId="0" borderId="0" xfId="28" applyFont="1" applyFill="1" applyBorder="1"/>
    <xf numFmtId="10" fontId="20" fillId="0" borderId="0" xfId="28" applyNumberFormat="1" applyFont="1" applyFill="1" applyBorder="1"/>
    <xf numFmtId="3" fontId="20" fillId="0" borderId="0" xfId="28" applyNumberFormat="1" applyFont="1" applyFill="1" applyBorder="1"/>
    <xf numFmtId="43" fontId="20" fillId="0" borderId="0" xfId="1" applyFont="1" applyFill="1" applyBorder="1" applyAlignment="1">
      <alignment horizontal="right"/>
    </xf>
    <xf numFmtId="8" fontId="28" fillId="0" borderId="10" xfId="28" applyNumberFormat="1" applyFont="1" applyFill="1" applyBorder="1" applyAlignment="1">
      <alignment horizontal="left"/>
    </xf>
    <xf numFmtId="0" fontId="28" fillId="0" borderId="12" xfId="28" applyNumberFormat="1" applyFont="1" applyFill="1" applyBorder="1" applyAlignment="1">
      <alignment horizontal="left" indent="2"/>
    </xf>
    <xf numFmtId="166" fontId="28" fillId="0" borderId="12" xfId="28" applyNumberFormat="1" applyFont="1" applyFill="1" applyBorder="1" applyAlignment="1">
      <alignment horizontal="right"/>
    </xf>
    <xf numFmtId="0" fontId="29" fillId="0" borderId="12" xfId="28" applyFont="1" applyFill="1" applyBorder="1"/>
    <xf numFmtId="0" fontId="29" fillId="0" borderId="13" xfId="28" applyFont="1" applyFill="1" applyBorder="1"/>
    <xf numFmtId="0" fontId="0" fillId="0" borderId="9" xfId="28" applyNumberFormat="1" applyFont="1" applyFill="1" applyBorder="1" applyAlignment="1">
      <alignment vertical="top"/>
    </xf>
    <xf numFmtId="2" fontId="21" fillId="0" borderId="7" xfId="28" applyNumberFormat="1" applyFont="1" applyFill="1" applyBorder="1" applyAlignment="1">
      <alignment horizontal="left"/>
    </xf>
    <xf numFmtId="165" fontId="21" fillId="0" borderId="10" xfId="28" applyNumberFormat="1" applyFont="1" applyFill="1" applyBorder="1" applyAlignment="1">
      <alignment horizontal="left"/>
    </xf>
    <xf numFmtId="0" fontId="31" fillId="0" borderId="0" xfId="30" applyFont="1" applyAlignment="1">
      <alignment horizontal="right"/>
    </xf>
    <xf numFmtId="4" fontId="21" fillId="0" borderId="10" xfId="28" applyNumberFormat="1" applyFont="1" applyFill="1" applyBorder="1" applyAlignment="1">
      <alignment horizontal="left"/>
    </xf>
    <xf numFmtId="43" fontId="20" fillId="0" borderId="0" xfId="1" applyFont="1" applyFill="1" applyBorder="1"/>
    <xf numFmtId="164" fontId="47" fillId="0" borderId="0" xfId="28" applyNumberFormat="1" applyFont="1" applyFill="1" applyBorder="1" applyAlignment="1">
      <alignment horizontal="left"/>
    </xf>
    <xf numFmtId="4" fontId="28" fillId="0" borderId="0" xfId="28" applyNumberFormat="1" applyFont="1" applyFill="1" applyBorder="1" applyAlignment="1">
      <alignment horizontal="left"/>
    </xf>
    <xf numFmtId="166" fontId="28" fillId="0" borderId="0" xfId="28" applyNumberFormat="1" applyFont="1" applyFill="1" applyBorder="1" applyAlignment="1">
      <alignment horizontal="left"/>
    </xf>
    <xf numFmtId="10" fontId="21" fillId="0" borderId="10" xfId="28" applyNumberFormat="1" applyFont="1" applyFill="1" applyBorder="1" applyAlignment="1">
      <alignment horizontal="left"/>
    </xf>
    <xf numFmtId="0" fontId="20" fillId="0" borderId="11" xfId="28" applyFont="1" applyFill="1" applyBorder="1"/>
    <xf numFmtId="0" fontId="20" fillId="0" borderId="13" xfId="28" applyFont="1" applyFill="1" applyBorder="1"/>
    <xf numFmtId="0" fontId="25" fillId="0" borderId="0" xfId="30" applyFont="1" applyAlignment="1">
      <alignment vertical="center"/>
    </xf>
    <xf numFmtId="0" fontId="0" fillId="0" borderId="12" xfId="28" applyFont="1" applyFill="1" applyBorder="1"/>
    <xf numFmtId="0" fontId="0" fillId="0" borderId="13" xfId="28" applyFont="1" applyFill="1" applyBorder="1"/>
    <xf numFmtId="49" fontId="27" fillId="0" borderId="0" xfId="28" applyNumberFormat="1" applyFont="1" applyFill="1" applyBorder="1"/>
    <xf numFmtId="49" fontId="0" fillId="0" borderId="0" xfId="28" applyNumberFormat="1" applyFont="1" applyFill="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2" fontId="50" fillId="0" borderId="0" xfId="0" applyNumberFormat="1" applyFont="1" applyAlignment="1">
      <alignment horizontal="right"/>
    </xf>
    <xf numFmtId="0" fontId="50" fillId="0" borderId="0" xfId="0" applyFont="1" applyAlignment="1">
      <alignment horizontal="left"/>
    </xf>
    <xf numFmtId="0" fontId="0" fillId="0" borderId="0" xfId="0" applyAlignment="1">
      <alignment horizontal="left" indent="1"/>
    </xf>
    <xf numFmtId="0" fontId="0" fillId="0" borderId="11" xfId="0" applyBorder="1"/>
    <xf numFmtId="0" fontId="0" fillId="0" borderId="12" xfId="0" applyBorder="1"/>
    <xf numFmtId="0" fontId="0" fillId="0" borderId="13" xfId="0" applyBorder="1"/>
    <xf numFmtId="0" fontId="20" fillId="0" borderId="6" xfId="30" applyFont="1" applyBorder="1"/>
    <xf numFmtId="0" fontId="20" fillId="0" borderId="7" xfId="30" applyFont="1" applyBorder="1"/>
    <xf numFmtId="0" fontId="20" fillId="0" borderId="8" xfId="30" applyFont="1" applyBorder="1"/>
    <xf numFmtId="0" fontId="20" fillId="0" borderId="9" xfId="30" applyFont="1" applyBorder="1"/>
    <xf numFmtId="49" fontId="18" fillId="0" borderId="0" xfId="30" applyNumberFormat="1" applyFont="1"/>
    <xf numFmtId="0" fontId="82" fillId="0" borderId="0" xfId="30"/>
    <xf numFmtId="0" fontId="82" fillId="0" borderId="0" xfId="30" applyAlignment="1">
      <alignment horizontal="left"/>
    </xf>
    <xf numFmtId="0" fontId="50" fillId="0" borderId="0" xfId="30" applyFont="1"/>
    <xf numFmtId="14" fontId="50" fillId="0" borderId="0" xfId="29" applyNumberFormat="1" applyFont="1" applyFill="1" applyBorder="1">
      <alignment horizontal="left"/>
    </xf>
    <xf numFmtId="4" fontId="50" fillId="0" borderId="0" xfId="29" applyNumberFormat="1" applyFont="1" applyFill="1" applyBorder="1" applyAlignment="1">
      <alignment horizontal="right"/>
    </xf>
    <xf numFmtId="4" fontId="50" fillId="0" borderId="0" xfId="29" applyNumberFormat="1" applyFont="1" applyFill="1" applyBorder="1">
      <alignment horizontal="left"/>
    </xf>
    <xf numFmtId="0" fontId="28" fillId="0" borderId="10" xfId="28" applyNumberFormat="1" applyFont="1" applyFill="1" applyBorder="1" applyAlignment="1">
      <alignment horizontal="left"/>
    </xf>
    <xf numFmtId="0" fontId="21" fillId="0" borderId="0" xfId="29" applyFill="1" applyBorder="1">
      <alignment horizontal="left"/>
    </xf>
    <xf numFmtId="0" fontId="20" fillId="0" borderId="12" xfId="28" applyFont="1" applyFill="1" applyBorder="1" applyAlignment="1">
      <alignment horizontal="right"/>
    </xf>
    <xf numFmtId="0" fontId="0" fillId="0" borderId="12" xfId="28" applyFont="1" applyFill="1" applyBorder="1" applyAlignment="1">
      <alignment horizontal="right"/>
    </xf>
    <xf numFmtId="0" fontId="0" fillId="0" borderId="0" xfId="28" applyFont="1" applyFill="1" applyBorder="1" applyAlignment="1">
      <alignment horizontal="right"/>
    </xf>
    <xf numFmtId="0" fontId="19" fillId="0" borderId="0" xfId="30" applyFont="1" applyAlignment="1">
      <alignment vertical="center"/>
    </xf>
    <xf numFmtId="0" fontId="36" fillId="0" borderId="0" xfId="30" applyFont="1" applyAlignment="1">
      <alignment vertical="center"/>
    </xf>
    <xf numFmtId="0" fontId="54" fillId="0" borderId="0" xfId="30" applyFont="1" applyAlignment="1">
      <alignment horizontal="right" vertical="center"/>
    </xf>
    <xf numFmtId="49" fontId="55" fillId="0" borderId="0" xfId="0" applyNumberFormat="1" applyFont="1" applyAlignment="1">
      <alignment horizontal="center" vertical="center"/>
    </xf>
    <xf numFmtId="168" fontId="38" fillId="0" borderId="0" xfId="35" applyNumberFormat="1" applyFont="1" applyFill="1" applyBorder="1" applyAlignment="1">
      <alignment vertical="center"/>
    </xf>
    <xf numFmtId="0" fontId="37" fillId="0" borderId="0" xfId="35" applyFont="1" applyFill="1" applyBorder="1" applyAlignment="1">
      <alignment horizontal="right" vertical="center"/>
    </xf>
    <xf numFmtId="168" fontId="37" fillId="0" borderId="0" xfId="35" applyNumberFormat="1" applyFont="1" applyFill="1" applyBorder="1" applyAlignment="1">
      <alignment horizontal="left" vertical="center"/>
    </xf>
    <xf numFmtId="0" fontId="20" fillId="0" borderId="0" xfId="28" applyNumberFormat="1" applyFont="1" applyFill="1" applyBorder="1"/>
    <xf numFmtId="0" fontId="56" fillId="11" borderId="0" xfId="30" applyFont="1" applyFill="1" applyAlignment="1">
      <alignment vertical="center"/>
    </xf>
    <xf numFmtId="0" fontId="56" fillId="0" borderId="0" xfId="30" applyFont="1" applyAlignment="1">
      <alignment vertical="center"/>
    </xf>
    <xf numFmtId="0" fontId="57" fillId="0" borderId="0" xfId="35" applyFont="1" applyFill="1" applyBorder="1" applyAlignment="1">
      <alignment horizontal="right" vertical="center"/>
    </xf>
    <xf numFmtId="168" fontId="57" fillId="0" borderId="0" xfId="35" applyNumberFormat="1" applyFont="1" applyFill="1" applyBorder="1" applyAlignment="1">
      <alignment horizontal="left" vertical="center"/>
    </xf>
    <xf numFmtId="14" fontId="51" fillId="0" borderId="0" xfId="29" applyNumberFormat="1" applyFont="1" applyFill="1" applyBorder="1">
      <alignment horizontal="left"/>
    </xf>
    <xf numFmtId="4" fontId="51" fillId="0" borderId="0" xfId="29" applyNumberFormat="1" applyFont="1" applyFill="1" applyBorder="1" applyAlignment="1">
      <alignment horizontal="right"/>
    </xf>
    <xf numFmtId="8" fontId="20" fillId="0" borderId="0" xfId="30" applyNumberFormat="1" applyFont="1"/>
    <xf numFmtId="0" fontId="31" fillId="0" borderId="0" xfId="28" applyFont="1" applyFill="1" applyBorder="1" applyAlignment="1">
      <alignment vertical="center"/>
    </xf>
    <xf numFmtId="0" fontId="51" fillId="0" borderId="0" xfId="28" applyNumberFormat="1" applyFont="1" applyFill="1" applyBorder="1"/>
    <xf numFmtId="0" fontId="51" fillId="0" borderId="0" xfId="28" applyNumberFormat="1" applyFont="1" applyFill="1" applyBorder="1" applyAlignment="1">
      <alignment horizontal="right" vertical="center" wrapText="1"/>
    </xf>
    <xf numFmtId="0" fontId="20" fillId="0" borderId="0" xfId="28" applyNumberFormat="1" applyFont="1" applyFill="1" applyBorder="1" applyAlignment="1">
      <alignment horizontal="left" vertical="top" wrapText="1"/>
    </xf>
    <xf numFmtId="0" fontId="20" fillId="0" borderId="0" xfId="28" applyNumberFormat="1" applyFont="1" applyFill="1" applyBorder="1" applyAlignment="1">
      <alignment vertical="center" wrapText="1"/>
    </xf>
    <xf numFmtId="0" fontId="20" fillId="0" borderId="0" xfId="28" applyNumberFormat="1" applyFont="1" applyFill="1" applyBorder="1" applyAlignment="1">
      <alignment vertical="top" wrapText="1"/>
    </xf>
    <xf numFmtId="0" fontId="31" fillId="0" borderId="0" xfId="30" applyFont="1" applyAlignment="1">
      <alignment vertical="center"/>
    </xf>
    <xf numFmtId="0" fontId="31" fillId="0" borderId="0" xfId="30" applyFont="1" applyAlignment="1">
      <alignment horizontal="right" vertical="center"/>
    </xf>
    <xf numFmtId="0" fontId="18" fillId="0" borderId="0" xfId="28" applyFont="1" applyFill="1" applyBorder="1" applyAlignment="1">
      <alignment vertical="center"/>
    </xf>
    <xf numFmtId="0" fontId="20" fillId="0" borderId="0" xfId="0" applyFont="1"/>
    <xf numFmtId="2" fontId="51" fillId="0" borderId="0" xfId="0" applyNumberFormat="1" applyFont="1"/>
    <xf numFmtId="2" fontId="43" fillId="0" borderId="0" xfId="0" applyNumberFormat="1" applyFont="1"/>
    <xf numFmtId="0" fontId="20" fillId="0" borderId="0" xfId="0" applyFont="1" applyAlignment="1">
      <alignment horizontal="left"/>
    </xf>
    <xf numFmtId="0" fontId="20" fillId="0" borderId="0" xfId="0" applyFont="1" applyAlignment="1">
      <alignment horizontal="left" indent="1"/>
    </xf>
    <xf numFmtId="0" fontId="51" fillId="0" borderId="0" xfId="0" applyFont="1" applyAlignment="1">
      <alignment horizontal="left"/>
    </xf>
    <xf numFmtId="2" fontId="51" fillId="0" borderId="0" xfId="0" applyNumberFormat="1" applyFont="1" applyAlignment="1">
      <alignment vertical="center"/>
    </xf>
    <xf numFmtId="10" fontId="51" fillId="0" borderId="0" xfId="0" applyNumberFormat="1" applyFont="1" applyAlignment="1">
      <alignment vertical="center"/>
    </xf>
    <xf numFmtId="0" fontId="31" fillId="0" borderId="0" xfId="30" applyFont="1" applyAlignment="1">
      <alignment horizontal="left"/>
    </xf>
    <xf numFmtId="10" fontId="51" fillId="0" borderId="0" xfId="0" applyNumberFormat="1" applyFont="1"/>
    <xf numFmtId="169" fontId="48" fillId="0" borderId="0" xfId="40" applyNumberFormat="1" applyFont="1"/>
    <xf numFmtId="169" fontId="48" fillId="12" borderId="0" xfId="40" applyNumberFormat="1" applyFont="1" applyFill="1"/>
    <xf numFmtId="169" fontId="58" fillId="0" borderId="0" xfId="40" applyNumberFormat="1" applyFont="1"/>
    <xf numFmtId="0" fontId="48" fillId="0" borderId="0" xfId="41" applyFont="1"/>
    <xf numFmtId="0" fontId="48" fillId="12" borderId="0" xfId="41" applyFont="1" applyFill="1"/>
    <xf numFmtId="0" fontId="59" fillId="0" borderId="0" xfId="41" applyFont="1"/>
    <xf numFmtId="0" fontId="31" fillId="0" borderId="0" xfId="41" applyFont="1" applyAlignment="1">
      <alignment vertical="center"/>
    </xf>
    <xf numFmtId="0" fontId="48" fillId="0" borderId="0" xfId="41" applyFont="1" applyAlignment="1">
      <alignment vertical="top" wrapText="1"/>
    </xf>
    <xf numFmtId="0" fontId="48" fillId="0" borderId="0" xfId="41" applyFont="1" applyAlignment="1">
      <alignment horizontal="left" vertical="top" wrapText="1"/>
    </xf>
    <xf numFmtId="0" fontId="20" fillId="0" borderId="0" xfId="42" applyFont="1"/>
    <xf numFmtId="0" fontId="48" fillId="8" borderId="0" xfId="43" applyFont="1" applyFill="1" applyAlignment="1">
      <alignment vertical="center"/>
    </xf>
    <xf numFmtId="0" fontId="48" fillId="8" borderId="0" xfId="43" applyFont="1" applyFill="1" applyAlignment="1" applyProtection="1">
      <alignment vertical="center"/>
      <protection locked="0"/>
    </xf>
    <xf numFmtId="0" fontId="31" fillId="8" borderId="0" xfId="43" applyFont="1" applyFill="1" applyAlignment="1" applyProtection="1">
      <alignment vertical="center"/>
      <protection locked="0"/>
    </xf>
    <xf numFmtId="0" fontId="62" fillId="8" borderId="0" xfId="44" applyFont="1" applyFill="1" applyAlignment="1">
      <alignment horizontal="left" vertical="center"/>
    </xf>
    <xf numFmtId="0" fontId="59" fillId="8" borderId="0" xfId="44" applyFont="1" applyFill="1" applyAlignment="1">
      <alignment horizontal="left" vertical="center"/>
    </xf>
    <xf numFmtId="0" fontId="63" fillId="0" borderId="0" xfId="41" applyFont="1"/>
    <xf numFmtId="0" fontId="64" fillId="13" borderId="0" xfId="40" applyNumberFormat="1" applyFont="1" applyFill="1" applyBorder="1" applyAlignment="1">
      <alignment horizontal="left"/>
    </xf>
    <xf numFmtId="0" fontId="48" fillId="8" borderId="0" xfId="44" applyFont="1" applyFill="1" applyAlignment="1">
      <alignment horizontal="left" vertical="center"/>
    </xf>
    <xf numFmtId="165" fontId="66" fillId="8" borderId="0" xfId="45" applyNumberFormat="1" applyFont="1" applyFill="1" applyBorder="1" applyAlignment="1">
      <alignment horizontal="left"/>
    </xf>
    <xf numFmtId="0" fontId="20" fillId="8" borderId="0" xfId="44" applyFont="1" applyFill="1" applyAlignment="1" applyProtection="1">
      <alignment horizontal="left" vertical="center"/>
      <protection locked="0"/>
    </xf>
    <xf numFmtId="165" fontId="31" fillId="8" borderId="0" xfId="45" applyNumberFormat="1" applyFont="1" applyFill="1" applyBorder="1" applyAlignment="1">
      <alignment horizontal="left"/>
    </xf>
    <xf numFmtId="0" fontId="67" fillId="0" borderId="0" xfId="41" applyFont="1"/>
    <xf numFmtId="0" fontId="20" fillId="8" borderId="0" xfId="44" applyFont="1" applyFill="1" applyAlignment="1" applyProtection="1">
      <alignment vertical="center"/>
      <protection locked="0"/>
    </xf>
    <xf numFmtId="0" fontId="68" fillId="0" borderId="0" xfId="41" applyFont="1"/>
    <xf numFmtId="0" fontId="20" fillId="12" borderId="0" xfId="0" applyFont="1" applyFill="1" applyAlignment="1">
      <alignment horizontal="left"/>
    </xf>
    <xf numFmtId="3" fontId="51" fillId="0" borderId="0" xfId="1" applyNumberFormat="1" applyFont="1" applyFill="1" applyBorder="1" applyAlignment="1">
      <alignment horizontal="right" vertical="center"/>
    </xf>
    <xf numFmtId="0" fontId="0" fillId="0" borderId="9" xfId="0" applyBorder="1" applyAlignment="1">
      <alignment horizontal="right"/>
    </xf>
    <xf numFmtId="0" fontId="0" fillId="0" borderId="10" xfId="0" applyBorder="1" applyAlignment="1">
      <alignment horizontal="right"/>
    </xf>
    <xf numFmtId="0" fontId="48" fillId="0" borderId="0" xfId="28" applyFont="1" applyFill="1" applyBorder="1" applyAlignment="1">
      <alignment horizontal="right"/>
    </xf>
    <xf numFmtId="0" fontId="31" fillId="0" borderId="14" xfId="0" applyFont="1" applyBorder="1" applyAlignment="1">
      <alignment horizontal="right" vertical="center"/>
    </xf>
    <xf numFmtId="0" fontId="20" fillId="0" borderId="14" xfId="28" applyFont="1" applyFill="1" applyBorder="1" applyAlignment="1">
      <alignment horizontal="right"/>
    </xf>
    <xf numFmtId="0" fontId="31" fillId="0" borderId="14" xfId="0" applyFont="1" applyBorder="1" applyAlignment="1">
      <alignment horizontal="left" vertical="center"/>
    </xf>
    <xf numFmtId="0" fontId="0" fillId="0" borderId="15" xfId="0" applyBorder="1" applyAlignment="1">
      <alignment horizontal="right" indent="1"/>
    </xf>
    <xf numFmtId="0" fontId="0" fillId="0" borderId="15" xfId="0" applyBorder="1" applyAlignment="1">
      <alignment horizontal="right"/>
    </xf>
    <xf numFmtId="0" fontId="31" fillId="0" borderId="15" xfId="28" applyFont="1" applyFill="1" applyBorder="1" applyAlignment="1">
      <alignment horizontal="right"/>
    </xf>
    <xf numFmtId="0" fontId="20" fillId="0" borderId="15" xfId="28" applyFont="1" applyFill="1" applyBorder="1" applyAlignment="1">
      <alignment horizontal="right"/>
    </xf>
    <xf numFmtId="0" fontId="31" fillId="0" borderId="15" xfId="0" applyFont="1" applyBorder="1" applyAlignment="1">
      <alignment horizontal="right" vertical="center"/>
    </xf>
    <xf numFmtId="2" fontId="39" fillId="0" borderId="15" xfId="0" applyNumberFormat="1" applyFont="1" applyBorder="1" applyAlignment="1">
      <alignment horizontal="right"/>
    </xf>
    <xf numFmtId="0" fontId="50" fillId="0" borderId="15" xfId="0" applyFont="1" applyBorder="1" applyAlignment="1">
      <alignment horizontal="right"/>
    </xf>
    <xf numFmtId="0" fontId="62" fillId="12" borderId="16" xfId="0" applyFont="1" applyFill="1" applyBorder="1" applyAlignment="1">
      <alignment horizontal="left"/>
    </xf>
    <xf numFmtId="0" fontId="31" fillId="12" borderId="16" xfId="0" applyFont="1" applyFill="1" applyBorder="1" applyAlignment="1">
      <alignment horizontal="left"/>
    </xf>
    <xf numFmtId="0" fontId="20" fillId="12" borderId="0" xfId="0" quotePrefix="1" applyFont="1" applyFill="1" applyAlignment="1">
      <alignment horizontal="left"/>
    </xf>
    <xf numFmtId="0" fontId="62" fillId="12" borderId="0" xfId="0" applyFont="1" applyFill="1" applyAlignment="1">
      <alignment horizontal="left"/>
    </xf>
    <xf numFmtId="0" fontId="48" fillId="0" borderId="0" xfId="30" applyFont="1" applyAlignment="1">
      <alignment vertical="center"/>
    </xf>
    <xf numFmtId="0" fontId="69" fillId="0" borderId="0" xfId="30" applyFont="1" applyAlignment="1">
      <alignment vertical="center"/>
    </xf>
    <xf numFmtId="0" fontId="70" fillId="0" borderId="0" xfId="30" applyFont="1" applyAlignment="1">
      <alignment vertical="center"/>
    </xf>
    <xf numFmtId="3" fontId="51" fillId="0" borderId="0" xfId="1" applyNumberFormat="1" applyFont="1" applyFill="1" applyBorder="1"/>
    <xf numFmtId="0" fontId="20" fillId="12" borderId="0" xfId="28" applyFont="1" applyFill="1" applyBorder="1"/>
    <xf numFmtId="0" fontId="20" fillId="12" borderId="16" xfId="28" applyFont="1" applyFill="1" applyBorder="1"/>
    <xf numFmtId="0" fontId="0" fillId="0" borderId="17" xfId="28" applyFont="1" applyFill="1" applyBorder="1"/>
    <xf numFmtId="0" fontId="20" fillId="0" borderId="18" xfId="30" applyFont="1" applyBorder="1"/>
    <xf numFmtId="0" fontId="74" fillId="0" borderId="0" xfId="0" applyFont="1" applyAlignment="1">
      <alignment horizontal="left"/>
    </xf>
    <xf numFmtId="0" fontId="48" fillId="0" borderId="0" xfId="28" applyNumberFormat="1" applyFont="1" applyFill="1" applyBorder="1"/>
    <xf numFmtId="0" fontId="20" fillId="0" borderId="0" xfId="28" applyNumberFormat="1" applyFont="1" applyFill="1"/>
    <xf numFmtId="0" fontId="31" fillId="0" borderId="0" xfId="28" applyFont="1" applyFill="1" applyBorder="1"/>
    <xf numFmtId="0" fontId="29" fillId="0" borderId="0" xfId="28" applyNumberFormat="1" applyFont="1" applyFill="1" applyBorder="1"/>
    <xf numFmtId="0" fontId="31" fillId="0" borderId="0" xfId="28" applyNumberFormat="1" applyFont="1" applyFill="1" applyBorder="1"/>
    <xf numFmtId="0" fontId="66" fillId="11" borderId="0" xfId="30" applyFont="1" applyFill="1" applyAlignment="1">
      <alignment vertical="center"/>
    </xf>
    <xf numFmtId="0" fontId="66" fillId="0" borderId="0" xfId="30" applyFont="1" applyAlignment="1">
      <alignment vertical="center"/>
    </xf>
    <xf numFmtId="0" fontId="27" fillId="0" borderId="0" xfId="28" applyFont="1" applyFill="1"/>
    <xf numFmtId="0" fontId="62" fillId="0" borderId="0" xfId="28" applyFont="1" applyFill="1"/>
    <xf numFmtId="164" fontId="20" fillId="0" borderId="0" xfId="2" applyNumberFormat="1" applyFont="1"/>
    <xf numFmtId="0" fontId="62" fillId="0" borderId="0" xfId="28" applyFont="1" applyFill="1" applyAlignment="1">
      <alignment horizontal="right"/>
    </xf>
    <xf numFmtId="2" fontId="20" fillId="0" borderId="0" xfId="0" applyNumberFormat="1" applyFont="1"/>
    <xf numFmtId="171" fontId="29" fillId="0" borderId="0" xfId="28" applyNumberFormat="1" applyFont="1" applyFill="1" applyBorder="1"/>
    <xf numFmtId="171" fontId="31" fillId="0" borderId="0" xfId="28" applyNumberFormat="1" applyFont="1" applyFill="1" applyBorder="1"/>
    <xf numFmtId="0" fontId="51" fillId="14" borderId="0" xfId="28" applyFont="1" applyFill="1" applyBorder="1"/>
    <xf numFmtId="170" fontId="51" fillId="14" borderId="0" xfId="28" applyNumberFormat="1" applyFont="1" applyFill="1" applyBorder="1"/>
    <xf numFmtId="164" fontId="51" fillId="14" borderId="0" xfId="2" applyNumberFormat="1" applyFont="1" applyFill="1" applyBorder="1"/>
    <xf numFmtId="0" fontId="75" fillId="0" borderId="0" xfId="0" applyFont="1"/>
    <xf numFmtId="0" fontId="51" fillId="14" borderId="0" xfId="28" applyNumberFormat="1" applyFont="1" applyFill="1" applyBorder="1"/>
    <xf numFmtId="0" fontId="31" fillId="12" borderId="0" xfId="28" applyFont="1" applyFill="1" applyBorder="1"/>
    <xf numFmtId="170" fontId="51" fillId="0" borderId="0" xfId="28" applyNumberFormat="1" applyFont="1" applyFill="1" applyBorder="1"/>
    <xf numFmtId="164" fontId="51" fillId="0" borderId="0" xfId="2" applyNumberFormat="1" applyFont="1" applyFill="1" applyBorder="1"/>
    <xf numFmtId="0" fontId="51" fillId="0" borderId="0" xfId="28" applyNumberFormat="1" applyFont="1" applyFill="1"/>
    <xf numFmtId="0" fontId="51" fillId="0" borderId="0" xfId="28" applyFont="1" applyFill="1"/>
    <xf numFmtId="0" fontId="51" fillId="0" borderId="0" xfId="28" applyFont="1" applyFill="1" applyBorder="1"/>
    <xf numFmtId="171" fontId="31" fillId="0" borderId="0" xfId="28" applyNumberFormat="1" applyFont="1" applyFill="1"/>
    <xf numFmtId="170" fontId="51" fillId="14" borderId="0" xfId="28" applyNumberFormat="1" applyFont="1" applyFill="1"/>
    <xf numFmtId="170" fontId="51" fillId="0" borderId="0" xfId="28" applyNumberFormat="1" applyFont="1" applyFill="1"/>
    <xf numFmtId="0" fontId="17" fillId="0" borderId="0" xfId="27" applyProtection="1"/>
    <xf numFmtId="0" fontId="60" fillId="0" borderId="0" xfId="30" applyFont="1" applyAlignment="1">
      <alignment horizontal="left" wrapText="1"/>
    </xf>
    <xf numFmtId="168" fontId="73" fillId="0" borderId="0" xfId="35" applyNumberFormat="1" applyFont="1" applyFill="1" applyBorder="1" applyAlignment="1">
      <alignment horizontal="left" vertical="center"/>
    </xf>
    <xf numFmtId="0" fontId="77" fillId="0" borderId="0" xfId="41" applyFont="1"/>
    <xf numFmtId="0" fontId="20" fillId="8" borderId="0" xfId="28" applyFont="1" applyFill="1" applyBorder="1"/>
    <xf numFmtId="0" fontId="78" fillId="0" borderId="0" xfId="28" applyFont="1" applyFill="1" applyBorder="1"/>
    <xf numFmtId="0" fontId="20" fillId="0" borderId="0" xfId="28" applyFont="1" applyFill="1" applyBorder="1" applyAlignment="1"/>
    <xf numFmtId="0" fontId="73" fillId="8" borderId="0" xfId="35" applyFont="1" applyFill="1" applyBorder="1" applyAlignment="1">
      <alignment horizontal="right" vertical="center"/>
    </xf>
    <xf numFmtId="168" fontId="51" fillId="0" borderId="0" xfId="28" applyNumberFormat="1" applyFont="1" applyFill="1" applyBorder="1" applyAlignment="1">
      <alignment horizontal="left" vertical="top"/>
    </xf>
    <xf numFmtId="0" fontId="48" fillId="8" borderId="0" xfId="42" applyFont="1" applyFill="1"/>
    <xf numFmtId="0" fontId="20" fillId="8" borderId="0" xfId="42" applyFont="1" applyFill="1"/>
    <xf numFmtId="0" fontId="80" fillId="0" borderId="0" xfId="46" applyFont="1"/>
    <xf numFmtId="11" fontId="64" fillId="0" borderId="0" xfId="48" quotePrefix="1" applyNumberFormat="1" applyFont="1" applyFill="1" applyBorder="1" applyAlignment="1">
      <alignment horizontal="left"/>
    </xf>
    <xf numFmtId="0" fontId="64" fillId="0" borderId="0" xfId="48" applyNumberFormat="1" applyFont="1" applyFill="1" applyBorder="1" applyAlignment="1">
      <alignment horizontal="left"/>
    </xf>
    <xf numFmtId="20" fontId="64" fillId="0" borderId="0" xfId="48" applyNumberFormat="1" applyFont="1" applyFill="1" applyBorder="1" applyAlignment="1">
      <alignment horizontal="left"/>
    </xf>
    <xf numFmtId="0" fontId="31" fillId="0" borderId="0" xfId="47" applyFont="1"/>
    <xf numFmtId="4" fontId="51" fillId="0" borderId="0" xfId="28" applyNumberFormat="1" applyFont="1" applyFill="1" applyBorder="1" applyAlignment="1">
      <alignment horizontal="left" vertical="top"/>
    </xf>
    <xf numFmtId="0" fontId="20" fillId="15" borderId="0" xfId="28" applyNumberFormat="1" applyFont="1" applyFill="1" applyBorder="1"/>
    <xf numFmtId="0" fontId="54" fillId="8" borderId="0" xfId="42" applyFont="1" applyFill="1" applyAlignment="1">
      <alignment vertical="center"/>
    </xf>
    <xf numFmtId="0" fontId="56" fillId="11" borderId="0" xfId="42" applyFont="1" applyFill="1" applyAlignment="1">
      <alignment vertical="center"/>
    </xf>
    <xf numFmtId="0" fontId="56" fillId="0" borderId="0" xfId="42" applyFont="1" applyAlignment="1">
      <alignment vertical="center"/>
    </xf>
    <xf numFmtId="0" fontId="31" fillId="0" borderId="19" xfId="49" applyFont="1" applyFill="1" applyBorder="1" applyAlignment="1"/>
    <xf numFmtId="0" fontId="31" fillId="0" borderId="16" xfId="49" applyFont="1" applyFill="1" applyBorder="1" applyAlignment="1"/>
    <xf numFmtId="0" fontId="31" fillId="0" borderId="20" xfId="49" applyFont="1" applyFill="1" applyBorder="1" applyAlignment="1"/>
    <xf numFmtId="0" fontId="20" fillId="0" borderId="0" xfId="42" applyFont="1" applyAlignment="1">
      <alignment horizontal="right"/>
    </xf>
    <xf numFmtId="168" fontId="51" fillId="0" borderId="16" xfId="28" applyNumberFormat="1" applyFont="1" applyFill="1" applyBorder="1" applyAlignment="1">
      <alignment horizontal="left" vertical="top"/>
    </xf>
    <xf numFmtId="168" fontId="51" fillId="0" borderId="20" xfId="28" applyNumberFormat="1" applyFont="1" applyFill="1" applyBorder="1" applyAlignment="1">
      <alignment horizontal="left" vertical="top"/>
    </xf>
    <xf numFmtId="0" fontId="31" fillId="12" borderId="0" xfId="47" applyFont="1" applyFill="1"/>
    <xf numFmtId="0" fontId="31" fillId="16" borderId="0" xfId="47" applyFont="1" applyFill="1"/>
    <xf numFmtId="0" fontId="62" fillId="12" borderId="0" xfId="47" applyFont="1" applyFill="1" applyAlignment="1">
      <alignment horizontal="left"/>
    </xf>
    <xf numFmtId="14" fontId="51" fillId="0" borderId="0" xfId="35" applyNumberFormat="1" applyFont="1" applyFill="1" applyBorder="1" applyAlignment="1">
      <alignment vertical="center"/>
    </xf>
    <xf numFmtId="0" fontId="20" fillId="0" borderId="0" xfId="42" quotePrefix="1" applyFont="1"/>
    <xf numFmtId="1" fontId="53" fillId="0" borderId="0" xfId="48" quotePrefix="1" applyNumberFormat="1" applyFont="1" applyFill="1" applyBorder="1" applyAlignment="1">
      <alignment horizontal="right"/>
    </xf>
    <xf numFmtId="0" fontId="51" fillId="15" borderId="0" xfId="37" applyNumberFormat="1" applyFont="1" applyFill="1" applyBorder="1" applyAlignment="1">
      <alignment horizontal="left"/>
    </xf>
    <xf numFmtId="2" fontId="51" fillId="0" borderId="0" xfId="28" applyNumberFormat="1" applyFont="1" applyFill="1" applyBorder="1" applyAlignment="1">
      <alignment horizontal="left"/>
    </xf>
    <xf numFmtId="168" fontId="51" fillId="12" borderId="0" xfId="28" applyNumberFormat="1" applyFont="1" applyFill="1" applyBorder="1" applyAlignment="1">
      <alignment horizontal="left" vertical="top"/>
    </xf>
    <xf numFmtId="0" fontId="31" fillId="12" borderId="0" xfId="28" applyFont="1" applyFill="1" applyBorder="1" applyAlignment="1">
      <alignment horizontal="center"/>
    </xf>
    <xf numFmtId="0" fontId="31" fillId="12" borderId="0" xfId="28" applyFont="1" applyFill="1" applyBorder="1" applyAlignment="1">
      <alignment horizontal="left"/>
    </xf>
    <xf numFmtId="0" fontId="20" fillId="0" borderId="0" xfId="28" applyFont="1" applyFill="1" applyBorder="1" applyAlignment="1">
      <alignment horizontal="left"/>
    </xf>
    <xf numFmtId="0" fontId="20" fillId="12" borderId="0" xfId="28" applyFont="1" applyFill="1" applyBorder="1" applyAlignment="1">
      <alignment horizontal="left"/>
    </xf>
    <xf numFmtId="0" fontId="20" fillId="12" borderId="0" xfId="28" applyFont="1" applyFill="1" applyBorder="1" applyAlignment="1">
      <alignment horizontal="center"/>
    </xf>
    <xf numFmtId="0" fontId="81" fillId="0" borderId="0" xfId="47" applyFont="1"/>
    <xf numFmtId="0" fontId="20" fillId="12" borderId="0" xfId="47" applyFont="1" applyFill="1" applyAlignment="1">
      <alignment horizontal="left"/>
    </xf>
    <xf numFmtId="0" fontId="20" fillId="12" borderId="0" xfId="47" applyFont="1" applyFill="1" applyAlignment="1">
      <alignment horizontal="center"/>
    </xf>
    <xf numFmtId="0" fontId="20" fillId="12" borderId="0" xfId="49" applyFont="1" applyFill="1" applyAlignment="1">
      <alignment horizontal="left"/>
    </xf>
    <xf numFmtId="0" fontId="20" fillId="12" borderId="0" xfId="47" quotePrefix="1" applyFont="1" applyFill="1" applyAlignment="1">
      <alignment horizontal="center"/>
    </xf>
    <xf numFmtId="0" fontId="62" fillId="12" borderId="16" xfId="47" applyFont="1" applyFill="1" applyBorder="1" applyAlignment="1">
      <alignment horizontal="left"/>
    </xf>
    <xf numFmtId="0" fontId="31" fillId="12" borderId="16" xfId="47" applyFont="1" applyFill="1" applyBorder="1" applyAlignment="1">
      <alignment horizontal="left"/>
    </xf>
    <xf numFmtId="0" fontId="51" fillId="12" borderId="0" xfId="50" applyNumberFormat="1" applyFont="1" applyFill="1" applyBorder="1">
      <alignment horizontal="left" vertical="center"/>
    </xf>
    <xf numFmtId="0" fontId="20" fillId="12" borderId="0" xfId="47" quotePrefix="1" applyFont="1" applyFill="1" applyAlignment="1">
      <alignment horizontal="left"/>
    </xf>
    <xf numFmtId="0" fontId="75" fillId="0" borderId="21" xfId="28" applyFont="1" applyFill="1" applyBorder="1"/>
    <xf numFmtId="0" fontId="31" fillId="8" borderId="22" xfId="42" applyFont="1" applyFill="1" applyBorder="1"/>
    <xf numFmtId="0" fontId="48" fillId="0" borderId="23" xfId="47" applyFont="1" applyBorder="1" applyAlignment="1">
      <alignment horizontal="left"/>
    </xf>
    <xf numFmtId="0" fontId="64" fillId="13" borderId="24" xfId="40" applyNumberFormat="1" applyFont="1" applyFill="1" applyBorder="1" applyAlignment="1">
      <alignment horizontal="left"/>
    </xf>
    <xf numFmtId="0" fontId="31" fillId="0" borderId="25" xfId="47" applyFont="1" applyBorder="1"/>
    <xf numFmtId="0" fontId="31" fillId="0" borderId="26" xfId="47" applyFont="1" applyBorder="1"/>
    <xf numFmtId="0" fontId="20" fillId="8" borderId="21" xfId="28" applyFont="1" applyFill="1" applyBorder="1"/>
    <xf numFmtId="0" fontId="20" fillId="8" borderId="22" xfId="28" applyFont="1" applyFill="1" applyBorder="1"/>
    <xf numFmtId="0" fontId="20" fillId="8" borderId="25" xfId="28" applyFont="1" applyFill="1" applyBorder="1"/>
    <xf numFmtId="0" fontId="20" fillId="8" borderId="26" xfId="28" applyFont="1" applyFill="1" applyBorder="1"/>
    <xf numFmtId="168" fontId="51" fillId="0" borderId="0" xfId="28" applyNumberFormat="1" applyFont="1" applyFill="1" applyBorder="1" applyAlignment="1">
      <alignment horizontal="left" vertical="center"/>
    </xf>
    <xf numFmtId="0" fontId="20" fillId="0" borderId="27" xfId="30" applyFont="1" applyBorder="1"/>
    <xf numFmtId="0" fontId="20" fillId="0" borderId="27" xfId="28" applyFont="1" applyFill="1" applyBorder="1"/>
    <xf numFmtId="0" fontId="51" fillId="0" borderId="0" xfId="28" applyNumberFormat="1" applyFont="1" applyFill="1" applyBorder="1" applyAlignment="1">
      <alignment horizontal="left" vertical="top" wrapText="1"/>
    </xf>
    <xf numFmtId="0" fontId="64" fillId="13" borderId="28" xfId="40" applyNumberFormat="1" applyFont="1" applyFill="1" applyBorder="1" applyAlignment="1">
      <alignment horizontal="left"/>
    </xf>
    <xf numFmtId="0" fontId="64" fillId="13" borderId="29" xfId="40" applyNumberFormat="1" applyFont="1" applyFill="1" applyBorder="1" applyAlignment="1">
      <alignment horizontal="left"/>
    </xf>
    <xf numFmtId="0" fontId="64" fillId="13" borderId="30" xfId="40" applyNumberFormat="1" applyFont="1" applyFill="1" applyBorder="1" applyAlignment="1">
      <alignment horizontal="left"/>
    </xf>
    <xf numFmtId="0" fontId="48" fillId="0" borderId="0" xfId="41" applyFont="1" applyAlignment="1">
      <alignment horizontal="left" vertical="top" wrapText="1"/>
    </xf>
    <xf numFmtId="0" fontId="58" fillId="0" borderId="0" xfId="41" applyFont="1" applyAlignment="1">
      <alignment horizontal="left" vertical="top" wrapText="1"/>
    </xf>
    <xf numFmtId="0" fontId="60" fillId="0" borderId="0" xfId="30" applyFont="1" applyAlignment="1">
      <alignment horizontal="left" vertical="top" wrapText="1"/>
    </xf>
    <xf numFmtId="0" fontId="31" fillId="0" borderId="19" xfId="49" applyFont="1" applyFill="1" applyBorder="1" applyAlignment="1">
      <alignment horizontal="center"/>
    </xf>
    <xf numFmtId="0" fontId="31" fillId="0" borderId="16" xfId="49" applyFont="1" applyFill="1" applyBorder="1" applyAlignment="1">
      <alignment horizontal="center"/>
    </xf>
    <xf numFmtId="0" fontId="31" fillId="0" borderId="20" xfId="49" applyFont="1" applyFill="1" applyBorder="1" applyAlignment="1">
      <alignment horizontal="center"/>
    </xf>
  </cellXfs>
  <cellStyles count="51">
    <cellStyle name="Arrow" xfId="3" xr:uid="{00000000-0005-0000-0000-000006000000}"/>
    <cellStyle name="Back_button" xfId="4" xr:uid="{00000000-0005-0000-0000-000007000000}"/>
    <cellStyle name="Background" xfId="28" xr:uid="{00000000-0005-0000-0000-00001F000000}"/>
    <cellStyle name="Cell_Gen" xfId="5" xr:uid="{00000000-0005-0000-0000-000008000000}"/>
    <cellStyle name="Comma" xfId="1" builtinId="3"/>
    <cellStyle name="Comma 2" xfId="31" xr:uid="{00000000-0005-0000-0000-000022000000}"/>
    <cellStyle name="Comma 2 2" xfId="40" xr:uid="{00000000-0005-0000-0000-00002B000000}"/>
    <cellStyle name="Comma 2 3" xfId="48" xr:uid="{00000000-0005-0000-0000-000033000000}"/>
    <cellStyle name="CompanyName" xfId="36" xr:uid="{00000000-0005-0000-0000-000027000000}"/>
    <cellStyle name="Currency 2" xfId="32" xr:uid="{00000000-0005-0000-0000-000023000000}"/>
    <cellStyle name="DataOutput" xfId="37" xr:uid="{00000000-0005-0000-0000-000028000000}"/>
    <cellStyle name="Date_pC" xfId="6" xr:uid="{00000000-0005-0000-0000-000009000000}"/>
    <cellStyle name="Dec0" xfId="7" xr:uid="{00000000-0005-0000-0000-00000A000000}"/>
    <cellStyle name="Dec1" xfId="8" xr:uid="{00000000-0005-0000-0000-00000B000000}"/>
    <cellStyle name="Dec2" xfId="9" xr:uid="{00000000-0005-0000-0000-00000C000000}"/>
    <cellStyle name="Dec3" xfId="10" xr:uid="{00000000-0005-0000-0000-00000D000000}"/>
    <cellStyle name="fact" xfId="11" xr:uid="{00000000-0005-0000-0000-00000E000000}"/>
    <cellStyle name="FactSet header" xfId="35" xr:uid="{00000000-0005-0000-0000-000026000000}"/>
    <cellStyle name="FactsetHeader" xfId="38" xr:uid="{00000000-0005-0000-0000-000029000000}"/>
    <cellStyle name="Gen_Admin_Black_pD" xfId="12" xr:uid="{00000000-0005-0000-0000-00000F000000}"/>
    <cellStyle name="Gen_Black_pG" xfId="50" xr:uid="{00000000-0005-0000-0000-000035000000}"/>
    <cellStyle name="Heading 2 2" xfId="49" xr:uid="{00000000-0005-0000-0000-000034000000}"/>
    <cellStyle name="Hyperlink" xfId="27" builtinId="8"/>
    <cellStyle name="Hyperlink 2" xfId="46" xr:uid="{00000000-0005-0000-0000-000031000000}"/>
    <cellStyle name="KeyDataCalculated" xfId="34" xr:uid="{00000000-0005-0000-0000-000025000000}"/>
    <cellStyle name="KeyDataOutput" xfId="29" xr:uid="{00000000-0005-0000-0000-000020000000}"/>
    <cellStyle name="KeyDataOutput 2" xfId="45" xr:uid="{00000000-0005-0000-0000-000030000000}"/>
    <cellStyle name="KeyName" xfId="39" xr:uid="{00000000-0005-0000-0000-00002A000000}"/>
    <cellStyle name="ligne_detail" xfId="13" xr:uid="{00000000-0005-0000-0000-000010000000}"/>
    <cellStyle name="Lines_Gen_pD" xfId="14" xr:uid="{00000000-0005-0000-0000-000011000000}"/>
    <cellStyle name="Logo" xfId="15" xr:uid="{00000000-0005-0000-0000-000012000000}"/>
    <cellStyle name="Normal" xfId="0" builtinId="0"/>
    <cellStyle name="Normal 2" xfId="30" xr:uid="{00000000-0005-0000-0000-000021000000}"/>
    <cellStyle name="Normal 2 2 2" xfId="43" xr:uid="{00000000-0005-0000-0000-00002E000000}"/>
    <cellStyle name="Normal 2 2 2 2" xfId="44" xr:uid="{00000000-0005-0000-0000-00002F000000}"/>
    <cellStyle name="Normal 2 2 3" xfId="42" xr:uid="{00000000-0005-0000-0000-00002D000000}"/>
    <cellStyle name="Normal 3" xfId="47" xr:uid="{00000000-0005-0000-0000-000032000000}"/>
    <cellStyle name="Normal 3 2 2" xfId="41" xr:uid="{00000000-0005-0000-0000-00002C000000}"/>
    <cellStyle name="Percent" xfId="2" builtinId="5"/>
    <cellStyle name="Percent 2" xfId="33" xr:uid="{00000000-0005-0000-0000-000024000000}"/>
    <cellStyle name="Percent0" xfId="16" xr:uid="{00000000-0005-0000-0000-000013000000}"/>
    <cellStyle name="Percent1" xfId="17" xr:uid="{00000000-0005-0000-0000-000014000000}"/>
    <cellStyle name="Percent2" xfId="18" xr:uid="{00000000-0005-0000-0000-000015000000}"/>
    <cellStyle name="TEST" xfId="19" xr:uid="{00000000-0005-0000-0000-000016000000}"/>
    <cellStyle name="Title2" xfId="20" xr:uid="{00000000-0005-0000-0000-000017000000}"/>
    <cellStyle name="TitleCols_Gen_line_pC" xfId="21" xr:uid="{00000000-0005-0000-0000-000018000000}"/>
    <cellStyle name="TitleImpCols_Gen_pC" xfId="22" xr:uid="{00000000-0005-0000-0000-000019000000}"/>
    <cellStyle name="TitleImpLines_Gen_date_PD" xfId="23" xr:uid="{00000000-0005-0000-0000-00001A000000}"/>
    <cellStyle name="TitleLines_Date" xfId="24" xr:uid="{00000000-0005-0000-0000-00001B000000}"/>
    <cellStyle name="TitleSubCols_Gen_pG" xfId="25" xr:uid="{00000000-0005-0000-0000-00001C000000}"/>
    <cellStyle name="titre_col" xfId="26" xr:uid="{00000000-0005-0000-0000-00001D000000}"/>
  </cellStyles>
  <dxfs count="34">
    <dxf>
      <fill>
        <patternFill>
          <bgColor theme="0" tint="-4.992828150273141E-2"/>
        </patternFill>
      </fill>
    </dxf>
    <dxf>
      <fill>
        <patternFill>
          <bgColor theme="0" tint="-4.992828150273141E-2"/>
        </patternFill>
      </fill>
    </dxf>
    <dxf>
      <font>
        <color theme="6"/>
      </font>
      <fill>
        <patternFill>
          <bgColor theme="0"/>
        </patternFill>
      </fill>
    </dxf>
    <dxf>
      <fill>
        <patternFill>
          <bgColor theme="0" tint="-4.992828150273141E-2"/>
        </patternFill>
      </fill>
    </dxf>
    <dxf>
      <font>
        <color theme="6"/>
      </font>
      <fill>
        <patternFill>
          <bgColor theme="0"/>
        </patternFill>
      </fill>
    </dxf>
    <dxf>
      <fill>
        <patternFill>
          <bgColor theme="0" tint="-4.992828150273141E-2"/>
        </patternFill>
      </fill>
    </dxf>
    <dxf>
      <fill>
        <patternFill>
          <bgColor theme="0" tint="-4.992828150273141E-2"/>
        </patternFill>
      </fill>
    </dxf>
    <dxf>
      <font>
        <color theme="6"/>
      </font>
      <fill>
        <patternFill patternType="none"/>
      </fill>
    </dxf>
    <dxf>
      <fill>
        <patternFill>
          <bgColor theme="0" tint="-4.992828150273141E-2"/>
        </patternFill>
      </fill>
    </dxf>
    <dxf>
      <font>
        <color theme="6"/>
      </font>
      <fill>
        <patternFill patternType="none"/>
      </fill>
    </dxf>
    <dxf>
      <font>
        <color theme="6"/>
      </font>
      <fill>
        <patternFill patternType="none"/>
      </fill>
    </dxf>
    <dxf>
      <fill>
        <patternFill>
          <bgColor theme="0" tint="-4.992828150273141E-2"/>
        </patternFill>
      </fill>
    </dxf>
    <dxf>
      <fill>
        <patternFill>
          <bgColor theme="0" tint="-4.992828150273141E-2"/>
        </patternFill>
      </fill>
    </dxf>
    <dxf>
      <font>
        <color theme="6"/>
      </font>
      <fill>
        <patternFill patternType="none"/>
      </fill>
    </dxf>
    <dxf>
      <fill>
        <patternFill>
          <bgColor theme="0" tint="-4.992828150273141E-2"/>
        </patternFill>
      </fill>
    </dxf>
    <dxf>
      <fill>
        <patternFill>
          <bgColor theme="0" tint="-4.992828150273141E-2"/>
        </patternFill>
      </fill>
    </dxf>
    <dxf>
      <fill>
        <patternFill>
          <bgColor theme="0" tint="-4.992828150273141E-2"/>
        </patternFill>
      </fill>
    </dxf>
    <dxf>
      <font>
        <color theme="6"/>
      </font>
      <fill>
        <patternFill patternType="none"/>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339900"/>
      <rgbColor rgb="00000080"/>
      <rgbColor rgb="00996633"/>
      <rgbColor rgb="00800080"/>
      <rgbColor rgb="00009999"/>
      <rgbColor rgb="00C0C0C0"/>
      <rgbColor rgb="00646464"/>
      <rgbColor rgb="009999FF"/>
      <rgbColor rgb="009A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AEEF"/>
      <rgbColor rgb="00CCFFFF"/>
      <rgbColor rgb="00CCFFCC"/>
      <rgbColor rgb="00FFFF99"/>
      <rgbColor rgb="0099CCFF"/>
      <rgbColor rgb="00FF99CC"/>
      <rgbColor rgb="00CC99FF"/>
      <rgbColor rgb="00FFCC99"/>
      <rgbColor rgb="000066CC"/>
      <rgbColor rgb="0033CCCC"/>
      <rgbColor rgb="0099CC33"/>
      <rgbColor rgb="00FFCC00"/>
      <rgbColor rgb="00FF9900"/>
      <rgbColor rgb="00FF6600"/>
      <rgbColor rgb="00666699"/>
      <rgbColor rgb="00969696"/>
      <rgbColor rgb="00003366"/>
      <rgbColor rgb="00339966"/>
      <rgbColor rgb="00003300"/>
      <rgbColor rgb="00333300"/>
      <rgbColor rgb="00993300"/>
      <rgbColor rgb="00993366"/>
      <rgbColor rgb="000066C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350000000000001"/>
          <c:y val="0.15675"/>
          <c:w val="0.50049999999999994"/>
          <c:h val="0.74475000000000002"/>
        </c:manualLayout>
      </c:layout>
      <c:barChart>
        <c:barDir val="bar"/>
        <c:grouping val="clustered"/>
        <c:varyColors val="0"/>
        <c:ser>
          <c:idx val="0"/>
          <c:order val="0"/>
          <c:tx>
            <c:strRef>
              <c:f>'Index Snapshot'!$V$62</c:f>
              <c:strCache>
                <c:ptCount val="1"/>
                <c:pt idx="0">
                  <c:v>1 Day % Change</c:v>
                </c:pt>
              </c:strCache>
            </c:strRef>
          </c:tx>
          <c:invertIfNegative val="1"/>
          <c:dLbls>
            <c:spPr>
              <a:noFill/>
              <a:ln w="9525">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'Index Snapshot'!$R$63:$R$72</c:f>
              <c:strCache>
                <c:ptCount val="10"/>
                <c:pt idx="0">
                  <c:v>Communication Services</c:v>
                </c:pt>
                <c:pt idx="1">
                  <c:v>Information Technology</c:v>
                </c:pt>
                <c:pt idx="2">
                  <c:v>Consumer Discretionary</c:v>
                </c:pt>
                <c:pt idx="3">
                  <c:v>Industrials</c:v>
                </c:pt>
                <c:pt idx="4">
                  <c:v>Financials</c:v>
                </c:pt>
                <c:pt idx="5">
                  <c:v>Health Care</c:v>
                </c:pt>
                <c:pt idx="6">
                  <c:v>Materials</c:v>
                </c:pt>
                <c:pt idx="7">
                  <c:v>Real Estate</c:v>
                </c:pt>
                <c:pt idx="8">
                  <c:v>Consumer Staples</c:v>
                </c:pt>
                <c:pt idx="9">
                  <c:v>Utilities</c:v>
                </c:pt>
              </c:strCache>
            </c:strRef>
          </c:cat>
          <c:val>
            <c:numRef>
              <c:f>'Index Snapshot'!$V$63:$V$72</c:f>
              <c:numCache>
                <c:formatCode>0.00%</c:formatCode>
                <c:ptCount val="10"/>
                <c:pt idx="0">
                  <c:v>4.4163109999999998E-2</c:v>
                </c:pt>
                <c:pt idx="1">
                  <c:v>4.2350409999999998E-2</c:v>
                </c:pt>
                <c:pt idx="2">
                  <c:v>3.2762646999999999E-2</c:v>
                </c:pt>
                <c:pt idx="3">
                  <c:v>3.2351255000000002E-2</c:v>
                </c:pt>
                <c:pt idx="4">
                  <c:v>2.1266341000000001E-2</c:v>
                </c:pt>
                <c:pt idx="5">
                  <c:v>1.9407272E-2</c:v>
                </c:pt>
                <c:pt idx="6">
                  <c:v>1.8511534E-2</c:v>
                </c:pt>
                <c:pt idx="7">
                  <c:v>1.4975667E-2</c:v>
                </c:pt>
                <c:pt idx="8">
                  <c:v>1.7011165999999999E-4</c:v>
                </c:pt>
                <c:pt idx="9">
                  <c:v>-8.691549E-4</c:v>
                </c:pt>
              </c:numCache>
            </c:numRef>
          </c:val>
          <c:extLst>
            <c:ext xmlns:c16="http://schemas.microsoft.com/office/drawing/2014/chart" uri="{C3380CC4-5D6E-409C-BE32-E72D297353CC}">
              <c16:uniqueId val="{00000000-3B31-4492-B27F-15E56E25CC40}"/>
            </c:ext>
          </c:extLst>
        </c:ser>
        <c:dLbls>
          <c:showLegendKey val="0"/>
          <c:showVal val="1"/>
          <c:showCatName val="0"/>
          <c:showSerName val="0"/>
          <c:showPercent val="0"/>
          <c:showBubbleSize val="0"/>
        </c:dLbls>
        <c:gapWidth val="150"/>
        <c:overlap val="34"/>
        <c:axId val="5007827"/>
        <c:axId val="11009275"/>
      </c:barChart>
      <c:catAx>
        <c:axId val="5007827"/>
        <c:scaling>
          <c:orientation val="maxMin"/>
        </c:scaling>
        <c:delete val="0"/>
        <c:axPos val="l"/>
        <c:numFmt formatCode="General" sourceLinked="1"/>
        <c:majorTickMark val="none"/>
        <c:minorTickMark val="none"/>
        <c:tickLblPos val="low"/>
        <c:spPr>
          <a:ln w="3175" cap="flat" cmpd="sng">
            <a:solidFill>
              <a:srgbClr val="E1E1E1"/>
            </a:solidFill>
            <a:prstDash val="solid"/>
          </a:ln>
          <a:effectLst/>
        </c:spPr>
        <c:txPr>
          <a:bodyPr rot="0" vert="horz" wrap="square"/>
          <a:lstStyle/>
          <a:p>
            <a:pPr>
              <a:defRPr lang="en-US" sz="800" b="0" i="0" u="none" baseline="0">
                <a:solidFill>
                  <a:srgbClr val="000000"/>
                </a:solidFill>
                <a:latin typeface="Arial"/>
                <a:ea typeface="Arial"/>
                <a:cs typeface="Arial"/>
              </a:defRPr>
            </a:pPr>
            <a:endParaRPr lang="en-US"/>
          </a:p>
        </c:txPr>
        <c:crossAx val="11009275"/>
        <c:crosses val="autoZero"/>
        <c:auto val="1"/>
        <c:lblAlgn val="ctr"/>
        <c:lblOffset val="100"/>
        <c:noMultiLvlLbl val="0"/>
      </c:catAx>
      <c:valAx>
        <c:axId val="11009275"/>
        <c:scaling>
          <c:orientation val="minMax"/>
        </c:scaling>
        <c:delete val="1"/>
        <c:axPos val="t"/>
        <c:majorGridlines>
          <c:spPr>
            <a:ln w="3175">
              <a:noFill/>
              <a:prstDash val="solid"/>
            </a:ln>
            <a:effectLst/>
          </c:spPr>
        </c:majorGridlines>
        <c:numFmt formatCode="0.00%" sourceLinked="1"/>
        <c:majorTickMark val="in"/>
        <c:minorTickMark val="none"/>
        <c:tickLblPos val="none"/>
        <c:crossAx val="5007827"/>
        <c:crosses val="autoZero"/>
        <c:crossBetween val="between"/>
      </c:valAx>
      <c:spPr>
        <a:noFill/>
        <a:ln w="12700">
          <a:noFill/>
        </a:ln>
        <a:effectLst/>
      </c:spPr>
    </c:plotArea>
    <c:legend>
      <c:legendPos val="b"/>
      <c:overlay val="0"/>
      <c:spPr>
        <a:solidFill>
          <a:srgbClr val="FFFFFF"/>
        </a:solidFill>
        <a:ln w="25400">
          <a:noFill/>
        </a:ln>
        <a:effectLst/>
      </c:spPr>
      <c:txPr>
        <a:bodyPr wrap="square"/>
        <a:lstStyle/>
        <a:p>
          <a:pPr algn="ctr">
            <a:defRPr lang="en-US" sz="800" b="0" i="0" u="none" baseline="0">
              <a:solidFill>
                <a:srgbClr val="000000"/>
              </a:solidFill>
              <a:latin typeface="Arial"/>
              <a:ea typeface="Arial"/>
              <a:cs typeface="Arial"/>
            </a:defRPr>
          </a:pPr>
          <a:endParaRPr lang="en-US"/>
        </a:p>
      </c:txPr>
    </c:legend>
    <c:plotVisOnly val="0"/>
    <c:dispBlanksAs val="gap"/>
    <c:showDLblsOverMax val="0"/>
  </c:chart>
  <c:spPr>
    <a:solidFill>
      <a:srgbClr val="FFFFFF"/>
    </a:solidFill>
    <a:ln w="3175">
      <a:noFill/>
      <a:prstDash val="solid"/>
    </a:ln>
    <a:effectLst/>
  </c:spPr>
  <c:txPr>
    <a:bodyPr rot="0" vert="horz" wrap="square"/>
    <a:lstStyle/>
    <a:p>
      <a:pPr>
        <a:defRPr lang="en-US" sz="800" b="0" i="0" u="non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defRPr lang="en-US" sz="1100" b="1" i="0" u="none" baseline="0">
                <a:solidFill>
                  <a:srgbClr val="000000"/>
                </a:solidFill>
                <a:latin typeface="Arial"/>
                <a:ea typeface="Arial"/>
              </a:defRPr>
            </a:pPr>
            <a:r>
              <a:rPr lang="en-US"/>
              <a:t>Performance</a:t>
            </a:r>
          </a:p>
        </c:rich>
      </c:tx>
      <c:layout>
        <c:manualLayout>
          <c:xMode val="edge"/>
          <c:yMode val="edge"/>
          <c:x val="3.7499999999999999E-2"/>
          <c:y val="7.1499999999999994E-2"/>
        </c:manualLayout>
      </c:layout>
      <c:overlay val="0"/>
      <c:spPr>
        <a:noFill/>
        <a:ln w="25400">
          <a:noFill/>
        </a:ln>
        <a:effectLst/>
      </c:spPr>
    </c:title>
    <c:autoTitleDeleted val="0"/>
    <c:plotArea>
      <c:layout>
        <c:manualLayout>
          <c:layoutTarget val="inner"/>
          <c:xMode val="edge"/>
          <c:yMode val="edge"/>
          <c:x val="8.9499999999999996E-2"/>
          <c:y val="0.30925000000000002"/>
          <c:w val="0.77975000000000005"/>
          <c:h val="0.64100000000000001"/>
        </c:manualLayout>
      </c:layout>
      <c:lineChart>
        <c:grouping val="standard"/>
        <c:varyColors val="0"/>
        <c:ser>
          <c:idx val="0"/>
          <c:order val="0"/>
          <c:tx>
            <c:strRef>
              <c:f>'Index Snapshot'!$D$128</c:f>
              <c:strCache>
                <c:ptCount val="1"/>
                <c:pt idx="0">
                  <c:v>S&amp;P 500 - Price Index</c:v>
                </c:pt>
              </c:strCache>
            </c:strRef>
          </c:tx>
          <c:spPr>
            <a:ln w="15875" cmpd="sng">
              <a:solidFill>
                <a:srgbClr val="00AEEF"/>
              </a:solidFill>
              <a:prstDash val="solid"/>
            </a:ln>
            <a:effectLst/>
          </c:spPr>
          <c:marker>
            <c:symbol val="none"/>
          </c:marker>
          <c:trendline>
            <c:spPr>
              <a:ln w="15875" cap="flat" cmpd="sng">
                <a:solidFill>
                  <a:srgbClr val="99CC33"/>
                </a:solidFill>
                <a:prstDash val="solid"/>
              </a:ln>
              <a:effectLst/>
            </c:spPr>
            <c:trendlineType val="movingAvg"/>
            <c:period val="30"/>
            <c:dispRSqr val="1"/>
            <c:dispEq val="1"/>
            <c:trendlineLbl>
              <c:numFmt formatCode="General" sourceLinked="0"/>
            </c:trendlineLbl>
          </c:trendline>
          <c:cat>
            <c:numRef>
              <c:f>'Index Snapshot'!$C$129:$C$379</c:f>
              <c:numCache>
                <c:formatCode>m/d/yy</c:formatCode>
                <c:ptCount val="251"/>
                <c:pt idx="0">
                  <c:v>45747</c:v>
                </c:pt>
                <c:pt idx="1">
                  <c:v>45748</c:v>
                </c:pt>
                <c:pt idx="2">
                  <c:v>45749</c:v>
                </c:pt>
                <c:pt idx="3">
                  <c:v>45750</c:v>
                </c:pt>
                <c:pt idx="4">
                  <c:v>45751</c:v>
                </c:pt>
                <c:pt idx="5">
                  <c:v>45754</c:v>
                </c:pt>
                <c:pt idx="6">
                  <c:v>45755</c:v>
                </c:pt>
                <c:pt idx="7">
                  <c:v>45756</c:v>
                </c:pt>
                <c:pt idx="8">
                  <c:v>45757</c:v>
                </c:pt>
                <c:pt idx="9">
                  <c:v>45758</c:v>
                </c:pt>
                <c:pt idx="10">
                  <c:v>45761</c:v>
                </c:pt>
                <c:pt idx="11">
                  <c:v>45762</c:v>
                </c:pt>
                <c:pt idx="12">
                  <c:v>45763</c:v>
                </c:pt>
                <c:pt idx="13">
                  <c:v>45764</c:v>
                </c:pt>
                <c:pt idx="14">
                  <c:v>45768</c:v>
                </c:pt>
                <c:pt idx="15">
                  <c:v>45769</c:v>
                </c:pt>
                <c:pt idx="16">
                  <c:v>45770</c:v>
                </c:pt>
                <c:pt idx="17">
                  <c:v>45771</c:v>
                </c:pt>
                <c:pt idx="18">
                  <c:v>45772</c:v>
                </c:pt>
                <c:pt idx="19">
                  <c:v>45775</c:v>
                </c:pt>
                <c:pt idx="20">
                  <c:v>45776</c:v>
                </c:pt>
                <c:pt idx="21">
                  <c:v>45777</c:v>
                </c:pt>
                <c:pt idx="22">
                  <c:v>45778</c:v>
                </c:pt>
                <c:pt idx="23">
                  <c:v>45779</c:v>
                </c:pt>
                <c:pt idx="24">
                  <c:v>45782</c:v>
                </c:pt>
                <c:pt idx="25">
                  <c:v>45783</c:v>
                </c:pt>
                <c:pt idx="26">
                  <c:v>45784</c:v>
                </c:pt>
                <c:pt idx="27">
                  <c:v>45785</c:v>
                </c:pt>
                <c:pt idx="28">
                  <c:v>45786</c:v>
                </c:pt>
                <c:pt idx="29">
                  <c:v>45789</c:v>
                </c:pt>
                <c:pt idx="30">
                  <c:v>45790</c:v>
                </c:pt>
                <c:pt idx="31">
                  <c:v>45791</c:v>
                </c:pt>
                <c:pt idx="32">
                  <c:v>45792</c:v>
                </c:pt>
                <c:pt idx="33">
                  <c:v>45793</c:v>
                </c:pt>
                <c:pt idx="34">
                  <c:v>45796</c:v>
                </c:pt>
                <c:pt idx="35">
                  <c:v>45797</c:v>
                </c:pt>
                <c:pt idx="36">
                  <c:v>45798</c:v>
                </c:pt>
                <c:pt idx="37">
                  <c:v>45799</c:v>
                </c:pt>
                <c:pt idx="38">
                  <c:v>45800</c:v>
                </c:pt>
                <c:pt idx="39">
                  <c:v>45804</c:v>
                </c:pt>
                <c:pt idx="40">
                  <c:v>45805</c:v>
                </c:pt>
                <c:pt idx="41">
                  <c:v>45806</c:v>
                </c:pt>
                <c:pt idx="42">
                  <c:v>45807</c:v>
                </c:pt>
                <c:pt idx="43">
                  <c:v>45810</c:v>
                </c:pt>
                <c:pt idx="44">
                  <c:v>45811</c:v>
                </c:pt>
                <c:pt idx="45">
                  <c:v>45812</c:v>
                </c:pt>
                <c:pt idx="46">
                  <c:v>45813</c:v>
                </c:pt>
                <c:pt idx="47">
                  <c:v>45814</c:v>
                </c:pt>
                <c:pt idx="48">
                  <c:v>45817</c:v>
                </c:pt>
                <c:pt idx="49">
                  <c:v>45818</c:v>
                </c:pt>
                <c:pt idx="50">
                  <c:v>45819</c:v>
                </c:pt>
                <c:pt idx="51">
                  <c:v>45820</c:v>
                </c:pt>
                <c:pt idx="52">
                  <c:v>45821</c:v>
                </c:pt>
                <c:pt idx="53">
                  <c:v>45824</c:v>
                </c:pt>
                <c:pt idx="54">
                  <c:v>45825</c:v>
                </c:pt>
                <c:pt idx="55">
                  <c:v>45826</c:v>
                </c:pt>
                <c:pt idx="56">
                  <c:v>45828</c:v>
                </c:pt>
                <c:pt idx="57">
                  <c:v>45831</c:v>
                </c:pt>
                <c:pt idx="58">
                  <c:v>45832</c:v>
                </c:pt>
                <c:pt idx="59">
                  <c:v>45833</c:v>
                </c:pt>
                <c:pt idx="60">
                  <c:v>45834</c:v>
                </c:pt>
                <c:pt idx="61">
                  <c:v>45835</c:v>
                </c:pt>
                <c:pt idx="62">
                  <c:v>45838</c:v>
                </c:pt>
                <c:pt idx="63">
                  <c:v>45839</c:v>
                </c:pt>
                <c:pt idx="64">
                  <c:v>45840</c:v>
                </c:pt>
                <c:pt idx="65">
                  <c:v>45841</c:v>
                </c:pt>
                <c:pt idx="66">
                  <c:v>45845</c:v>
                </c:pt>
                <c:pt idx="67">
                  <c:v>45846</c:v>
                </c:pt>
                <c:pt idx="68">
                  <c:v>45847</c:v>
                </c:pt>
                <c:pt idx="69">
                  <c:v>45848</c:v>
                </c:pt>
                <c:pt idx="70">
                  <c:v>45849</c:v>
                </c:pt>
                <c:pt idx="71">
                  <c:v>45852</c:v>
                </c:pt>
                <c:pt idx="72">
                  <c:v>45853</c:v>
                </c:pt>
                <c:pt idx="73">
                  <c:v>45854</c:v>
                </c:pt>
                <c:pt idx="74">
                  <c:v>45855</c:v>
                </c:pt>
                <c:pt idx="75">
                  <c:v>45856</c:v>
                </c:pt>
                <c:pt idx="76">
                  <c:v>45859</c:v>
                </c:pt>
                <c:pt idx="77">
                  <c:v>45860</c:v>
                </c:pt>
                <c:pt idx="78">
                  <c:v>45861</c:v>
                </c:pt>
                <c:pt idx="79">
                  <c:v>45862</c:v>
                </c:pt>
                <c:pt idx="80">
                  <c:v>45863</c:v>
                </c:pt>
                <c:pt idx="81">
                  <c:v>45866</c:v>
                </c:pt>
                <c:pt idx="82">
                  <c:v>45867</c:v>
                </c:pt>
                <c:pt idx="83">
                  <c:v>45868</c:v>
                </c:pt>
                <c:pt idx="84">
                  <c:v>45869</c:v>
                </c:pt>
                <c:pt idx="85">
                  <c:v>45870</c:v>
                </c:pt>
                <c:pt idx="86">
                  <c:v>45873</c:v>
                </c:pt>
                <c:pt idx="87">
                  <c:v>45874</c:v>
                </c:pt>
                <c:pt idx="88">
                  <c:v>45875</c:v>
                </c:pt>
                <c:pt idx="89">
                  <c:v>45876</c:v>
                </c:pt>
                <c:pt idx="90">
                  <c:v>45877</c:v>
                </c:pt>
                <c:pt idx="91">
                  <c:v>45880</c:v>
                </c:pt>
                <c:pt idx="92">
                  <c:v>45881</c:v>
                </c:pt>
                <c:pt idx="93">
                  <c:v>45882</c:v>
                </c:pt>
                <c:pt idx="94">
                  <c:v>45883</c:v>
                </c:pt>
                <c:pt idx="95">
                  <c:v>45884</c:v>
                </c:pt>
                <c:pt idx="96">
                  <c:v>45887</c:v>
                </c:pt>
                <c:pt idx="97">
                  <c:v>45888</c:v>
                </c:pt>
                <c:pt idx="98">
                  <c:v>45889</c:v>
                </c:pt>
                <c:pt idx="99">
                  <c:v>45890</c:v>
                </c:pt>
                <c:pt idx="100">
                  <c:v>45891</c:v>
                </c:pt>
                <c:pt idx="101">
                  <c:v>45894</c:v>
                </c:pt>
                <c:pt idx="102">
                  <c:v>45895</c:v>
                </c:pt>
                <c:pt idx="103">
                  <c:v>45896</c:v>
                </c:pt>
                <c:pt idx="104">
                  <c:v>45897</c:v>
                </c:pt>
                <c:pt idx="105">
                  <c:v>45898</c:v>
                </c:pt>
                <c:pt idx="106">
                  <c:v>45902</c:v>
                </c:pt>
                <c:pt idx="107">
                  <c:v>45903</c:v>
                </c:pt>
                <c:pt idx="108">
                  <c:v>45904</c:v>
                </c:pt>
                <c:pt idx="109">
                  <c:v>45905</c:v>
                </c:pt>
                <c:pt idx="110">
                  <c:v>45908</c:v>
                </c:pt>
                <c:pt idx="111">
                  <c:v>45909</c:v>
                </c:pt>
                <c:pt idx="112">
                  <c:v>45910</c:v>
                </c:pt>
                <c:pt idx="113">
                  <c:v>45911</c:v>
                </c:pt>
                <c:pt idx="114">
                  <c:v>45912</c:v>
                </c:pt>
                <c:pt idx="115">
                  <c:v>45915</c:v>
                </c:pt>
                <c:pt idx="116">
                  <c:v>45916</c:v>
                </c:pt>
                <c:pt idx="117">
                  <c:v>45917</c:v>
                </c:pt>
                <c:pt idx="118">
                  <c:v>45918</c:v>
                </c:pt>
                <c:pt idx="119">
                  <c:v>45919</c:v>
                </c:pt>
                <c:pt idx="120">
                  <c:v>45922</c:v>
                </c:pt>
                <c:pt idx="121">
                  <c:v>45923</c:v>
                </c:pt>
                <c:pt idx="122">
                  <c:v>45924</c:v>
                </c:pt>
                <c:pt idx="123">
                  <c:v>45925</c:v>
                </c:pt>
                <c:pt idx="124">
                  <c:v>45926</c:v>
                </c:pt>
                <c:pt idx="125">
                  <c:v>45929</c:v>
                </c:pt>
                <c:pt idx="126">
                  <c:v>45930</c:v>
                </c:pt>
                <c:pt idx="127">
                  <c:v>45931</c:v>
                </c:pt>
                <c:pt idx="128">
                  <c:v>45932</c:v>
                </c:pt>
                <c:pt idx="129">
                  <c:v>45933</c:v>
                </c:pt>
                <c:pt idx="130">
                  <c:v>45936</c:v>
                </c:pt>
                <c:pt idx="131">
                  <c:v>45937</c:v>
                </c:pt>
                <c:pt idx="132">
                  <c:v>45938</c:v>
                </c:pt>
                <c:pt idx="133">
                  <c:v>45939</c:v>
                </c:pt>
                <c:pt idx="134">
                  <c:v>45940</c:v>
                </c:pt>
                <c:pt idx="135">
                  <c:v>45943</c:v>
                </c:pt>
                <c:pt idx="136">
                  <c:v>45944</c:v>
                </c:pt>
                <c:pt idx="137">
                  <c:v>45945</c:v>
                </c:pt>
                <c:pt idx="138">
                  <c:v>45946</c:v>
                </c:pt>
                <c:pt idx="139">
                  <c:v>45947</c:v>
                </c:pt>
                <c:pt idx="140">
                  <c:v>45950</c:v>
                </c:pt>
                <c:pt idx="141">
                  <c:v>45951</c:v>
                </c:pt>
                <c:pt idx="142">
                  <c:v>45952</c:v>
                </c:pt>
                <c:pt idx="143">
                  <c:v>45953</c:v>
                </c:pt>
                <c:pt idx="144">
                  <c:v>45954</c:v>
                </c:pt>
                <c:pt idx="145">
                  <c:v>45957</c:v>
                </c:pt>
                <c:pt idx="146">
                  <c:v>45958</c:v>
                </c:pt>
                <c:pt idx="147">
                  <c:v>45959</c:v>
                </c:pt>
                <c:pt idx="148">
                  <c:v>45960</c:v>
                </c:pt>
                <c:pt idx="149">
                  <c:v>45961</c:v>
                </c:pt>
                <c:pt idx="150">
                  <c:v>45964</c:v>
                </c:pt>
                <c:pt idx="151">
                  <c:v>45965</c:v>
                </c:pt>
                <c:pt idx="152">
                  <c:v>45966</c:v>
                </c:pt>
                <c:pt idx="153">
                  <c:v>45967</c:v>
                </c:pt>
                <c:pt idx="154">
                  <c:v>45968</c:v>
                </c:pt>
                <c:pt idx="155">
                  <c:v>45971</c:v>
                </c:pt>
                <c:pt idx="156">
                  <c:v>45972</c:v>
                </c:pt>
                <c:pt idx="157">
                  <c:v>45973</c:v>
                </c:pt>
                <c:pt idx="158">
                  <c:v>45974</c:v>
                </c:pt>
                <c:pt idx="159">
                  <c:v>45975</c:v>
                </c:pt>
                <c:pt idx="160">
                  <c:v>45978</c:v>
                </c:pt>
                <c:pt idx="161">
                  <c:v>45979</c:v>
                </c:pt>
                <c:pt idx="162">
                  <c:v>45980</c:v>
                </c:pt>
                <c:pt idx="163">
                  <c:v>45981</c:v>
                </c:pt>
                <c:pt idx="164">
                  <c:v>45982</c:v>
                </c:pt>
                <c:pt idx="165">
                  <c:v>45985</c:v>
                </c:pt>
                <c:pt idx="166">
                  <c:v>45986</c:v>
                </c:pt>
                <c:pt idx="167">
                  <c:v>45987</c:v>
                </c:pt>
                <c:pt idx="168">
                  <c:v>45989</c:v>
                </c:pt>
                <c:pt idx="169">
                  <c:v>45992</c:v>
                </c:pt>
                <c:pt idx="170">
                  <c:v>45993</c:v>
                </c:pt>
                <c:pt idx="171">
                  <c:v>45994</c:v>
                </c:pt>
                <c:pt idx="172">
                  <c:v>45995</c:v>
                </c:pt>
                <c:pt idx="173">
                  <c:v>45996</c:v>
                </c:pt>
                <c:pt idx="174">
                  <c:v>45999</c:v>
                </c:pt>
                <c:pt idx="175">
                  <c:v>46000</c:v>
                </c:pt>
                <c:pt idx="176">
                  <c:v>46001</c:v>
                </c:pt>
                <c:pt idx="177">
                  <c:v>46002</c:v>
                </c:pt>
                <c:pt idx="178">
                  <c:v>46003</c:v>
                </c:pt>
                <c:pt idx="179">
                  <c:v>46006</c:v>
                </c:pt>
                <c:pt idx="180">
                  <c:v>46007</c:v>
                </c:pt>
                <c:pt idx="181">
                  <c:v>46008</c:v>
                </c:pt>
                <c:pt idx="182">
                  <c:v>46009</c:v>
                </c:pt>
                <c:pt idx="183">
                  <c:v>46010</c:v>
                </c:pt>
                <c:pt idx="184">
                  <c:v>46013</c:v>
                </c:pt>
                <c:pt idx="185">
                  <c:v>46014</c:v>
                </c:pt>
                <c:pt idx="186">
                  <c:v>46015</c:v>
                </c:pt>
                <c:pt idx="187">
                  <c:v>46017</c:v>
                </c:pt>
                <c:pt idx="188">
                  <c:v>46020</c:v>
                </c:pt>
                <c:pt idx="189">
                  <c:v>46021</c:v>
                </c:pt>
                <c:pt idx="190">
                  <c:v>46022</c:v>
                </c:pt>
                <c:pt idx="191">
                  <c:v>46024</c:v>
                </c:pt>
                <c:pt idx="192">
                  <c:v>46027</c:v>
                </c:pt>
                <c:pt idx="193">
                  <c:v>46028</c:v>
                </c:pt>
                <c:pt idx="194">
                  <c:v>46029</c:v>
                </c:pt>
                <c:pt idx="195">
                  <c:v>46030</c:v>
                </c:pt>
                <c:pt idx="196">
                  <c:v>46031</c:v>
                </c:pt>
                <c:pt idx="197">
                  <c:v>46034</c:v>
                </c:pt>
                <c:pt idx="198">
                  <c:v>46035</c:v>
                </c:pt>
                <c:pt idx="199">
                  <c:v>46036</c:v>
                </c:pt>
                <c:pt idx="200">
                  <c:v>46037</c:v>
                </c:pt>
                <c:pt idx="201">
                  <c:v>46038</c:v>
                </c:pt>
                <c:pt idx="202">
                  <c:v>46042</c:v>
                </c:pt>
                <c:pt idx="203">
                  <c:v>46043</c:v>
                </c:pt>
                <c:pt idx="204">
                  <c:v>46044</c:v>
                </c:pt>
                <c:pt idx="205">
                  <c:v>46045</c:v>
                </c:pt>
                <c:pt idx="206">
                  <c:v>46048</c:v>
                </c:pt>
                <c:pt idx="207">
                  <c:v>46049</c:v>
                </c:pt>
                <c:pt idx="208">
                  <c:v>46050</c:v>
                </c:pt>
                <c:pt idx="209">
                  <c:v>46051</c:v>
                </c:pt>
                <c:pt idx="210">
                  <c:v>46052</c:v>
                </c:pt>
                <c:pt idx="211">
                  <c:v>46055</c:v>
                </c:pt>
                <c:pt idx="212">
                  <c:v>46056</c:v>
                </c:pt>
                <c:pt idx="213">
                  <c:v>46057</c:v>
                </c:pt>
                <c:pt idx="214">
                  <c:v>46058</c:v>
                </c:pt>
                <c:pt idx="215">
                  <c:v>46059</c:v>
                </c:pt>
                <c:pt idx="216">
                  <c:v>46062</c:v>
                </c:pt>
                <c:pt idx="217">
                  <c:v>46063</c:v>
                </c:pt>
                <c:pt idx="218">
                  <c:v>46064</c:v>
                </c:pt>
                <c:pt idx="219">
                  <c:v>46065</c:v>
                </c:pt>
                <c:pt idx="220">
                  <c:v>46066</c:v>
                </c:pt>
                <c:pt idx="221">
                  <c:v>46070</c:v>
                </c:pt>
                <c:pt idx="222">
                  <c:v>46071</c:v>
                </c:pt>
                <c:pt idx="223">
                  <c:v>46072</c:v>
                </c:pt>
                <c:pt idx="224">
                  <c:v>46073</c:v>
                </c:pt>
                <c:pt idx="225">
                  <c:v>46076</c:v>
                </c:pt>
                <c:pt idx="226">
                  <c:v>46077</c:v>
                </c:pt>
                <c:pt idx="227">
                  <c:v>46078</c:v>
                </c:pt>
                <c:pt idx="228">
                  <c:v>46079</c:v>
                </c:pt>
                <c:pt idx="229">
                  <c:v>46080</c:v>
                </c:pt>
                <c:pt idx="230">
                  <c:v>46083</c:v>
                </c:pt>
                <c:pt idx="231">
                  <c:v>46084</c:v>
                </c:pt>
                <c:pt idx="232">
                  <c:v>46085</c:v>
                </c:pt>
                <c:pt idx="233">
                  <c:v>46086</c:v>
                </c:pt>
                <c:pt idx="234">
                  <c:v>46087</c:v>
                </c:pt>
                <c:pt idx="235">
                  <c:v>46090</c:v>
                </c:pt>
                <c:pt idx="236">
                  <c:v>46091</c:v>
                </c:pt>
                <c:pt idx="237">
                  <c:v>46092</c:v>
                </c:pt>
                <c:pt idx="238">
                  <c:v>46093</c:v>
                </c:pt>
                <c:pt idx="239">
                  <c:v>46094</c:v>
                </c:pt>
                <c:pt idx="240">
                  <c:v>46097</c:v>
                </c:pt>
                <c:pt idx="241">
                  <c:v>46098</c:v>
                </c:pt>
                <c:pt idx="242">
                  <c:v>46099</c:v>
                </c:pt>
                <c:pt idx="243">
                  <c:v>46100</c:v>
                </c:pt>
                <c:pt idx="244">
                  <c:v>46101</c:v>
                </c:pt>
                <c:pt idx="245">
                  <c:v>46104</c:v>
                </c:pt>
                <c:pt idx="246">
                  <c:v>46105</c:v>
                </c:pt>
                <c:pt idx="247">
                  <c:v>46106</c:v>
                </c:pt>
                <c:pt idx="248">
                  <c:v>46107</c:v>
                </c:pt>
                <c:pt idx="249">
                  <c:v>46108</c:v>
                </c:pt>
                <c:pt idx="250">
                  <c:v>46111</c:v>
                </c:pt>
              </c:numCache>
            </c:numRef>
          </c:cat>
          <c:val>
            <c:numRef>
              <c:f>'Index Snapshot'!$D$129:$D$379</c:f>
              <c:numCache>
                <c:formatCode>#,##0.00</c:formatCode>
                <c:ptCount val="251"/>
                <c:pt idx="0">
                  <c:v>5611.85</c:v>
                </c:pt>
                <c:pt idx="1">
                  <c:v>5633.07</c:v>
                </c:pt>
                <c:pt idx="2">
                  <c:v>5670.97</c:v>
                </c:pt>
                <c:pt idx="3">
                  <c:v>5396.52</c:v>
                </c:pt>
                <c:pt idx="4">
                  <c:v>5074.08</c:v>
                </c:pt>
                <c:pt idx="5">
                  <c:v>5062.25</c:v>
                </c:pt>
                <c:pt idx="6">
                  <c:v>4982.7700000000004</c:v>
                </c:pt>
                <c:pt idx="7">
                  <c:v>5456.9</c:v>
                </c:pt>
                <c:pt idx="8">
                  <c:v>5268.05</c:v>
                </c:pt>
                <c:pt idx="9">
                  <c:v>5363.36</c:v>
                </c:pt>
                <c:pt idx="10">
                  <c:v>5405.97</c:v>
                </c:pt>
                <c:pt idx="11">
                  <c:v>5396.63</c:v>
                </c:pt>
                <c:pt idx="12">
                  <c:v>5275.7</c:v>
                </c:pt>
                <c:pt idx="13">
                  <c:v>5282.7</c:v>
                </c:pt>
                <c:pt idx="14">
                  <c:v>5158.2</c:v>
                </c:pt>
                <c:pt idx="15">
                  <c:v>5287.76</c:v>
                </c:pt>
                <c:pt idx="16">
                  <c:v>5375.86</c:v>
                </c:pt>
                <c:pt idx="17">
                  <c:v>5484.77</c:v>
                </c:pt>
                <c:pt idx="18">
                  <c:v>5525.21</c:v>
                </c:pt>
                <c:pt idx="19">
                  <c:v>5528.75</c:v>
                </c:pt>
                <c:pt idx="20">
                  <c:v>5560.83</c:v>
                </c:pt>
                <c:pt idx="21">
                  <c:v>5569.06</c:v>
                </c:pt>
                <c:pt idx="22">
                  <c:v>5604.14</c:v>
                </c:pt>
                <c:pt idx="23">
                  <c:v>5686.67</c:v>
                </c:pt>
                <c:pt idx="24">
                  <c:v>5650.38</c:v>
                </c:pt>
                <c:pt idx="25">
                  <c:v>5606.91</c:v>
                </c:pt>
                <c:pt idx="26">
                  <c:v>5631.28</c:v>
                </c:pt>
                <c:pt idx="27">
                  <c:v>5663.94</c:v>
                </c:pt>
                <c:pt idx="28">
                  <c:v>5659.91</c:v>
                </c:pt>
                <c:pt idx="29">
                  <c:v>5844.19</c:v>
                </c:pt>
                <c:pt idx="30">
                  <c:v>5886.55</c:v>
                </c:pt>
                <c:pt idx="31">
                  <c:v>5892.58</c:v>
                </c:pt>
                <c:pt idx="32">
                  <c:v>5916.93</c:v>
                </c:pt>
                <c:pt idx="33">
                  <c:v>5958.38</c:v>
                </c:pt>
                <c:pt idx="34">
                  <c:v>5963.6</c:v>
                </c:pt>
                <c:pt idx="35">
                  <c:v>5940.46</c:v>
                </c:pt>
                <c:pt idx="36">
                  <c:v>5844.61</c:v>
                </c:pt>
                <c:pt idx="37">
                  <c:v>5842.01</c:v>
                </c:pt>
                <c:pt idx="38">
                  <c:v>5802.82</c:v>
                </c:pt>
                <c:pt idx="39">
                  <c:v>5921.54</c:v>
                </c:pt>
                <c:pt idx="40">
                  <c:v>5888.55</c:v>
                </c:pt>
                <c:pt idx="41">
                  <c:v>5912.17</c:v>
                </c:pt>
                <c:pt idx="42">
                  <c:v>5911.69</c:v>
                </c:pt>
                <c:pt idx="43">
                  <c:v>5935.94</c:v>
                </c:pt>
                <c:pt idx="44">
                  <c:v>5970.37</c:v>
                </c:pt>
                <c:pt idx="45">
                  <c:v>5970.81</c:v>
                </c:pt>
                <c:pt idx="46">
                  <c:v>5939.3</c:v>
                </c:pt>
                <c:pt idx="47">
                  <c:v>6000.36</c:v>
                </c:pt>
                <c:pt idx="48">
                  <c:v>6005.88</c:v>
                </c:pt>
                <c:pt idx="49">
                  <c:v>6038.81</c:v>
                </c:pt>
                <c:pt idx="50">
                  <c:v>6022.24</c:v>
                </c:pt>
                <c:pt idx="51">
                  <c:v>6045.26</c:v>
                </c:pt>
                <c:pt idx="52">
                  <c:v>5976.97</c:v>
                </c:pt>
                <c:pt idx="53">
                  <c:v>6033.11</c:v>
                </c:pt>
                <c:pt idx="54">
                  <c:v>5982.72</c:v>
                </c:pt>
                <c:pt idx="55">
                  <c:v>5980.87</c:v>
                </c:pt>
                <c:pt idx="56">
                  <c:v>5967.84</c:v>
                </c:pt>
                <c:pt idx="57">
                  <c:v>6025.17</c:v>
                </c:pt>
                <c:pt idx="58">
                  <c:v>6092.18</c:v>
                </c:pt>
                <c:pt idx="59">
                  <c:v>6092.16</c:v>
                </c:pt>
                <c:pt idx="60">
                  <c:v>6141.02</c:v>
                </c:pt>
                <c:pt idx="61">
                  <c:v>6173.07</c:v>
                </c:pt>
                <c:pt idx="62">
                  <c:v>6204.95</c:v>
                </c:pt>
                <c:pt idx="63">
                  <c:v>6198.01</c:v>
                </c:pt>
                <c:pt idx="64">
                  <c:v>6227.42</c:v>
                </c:pt>
                <c:pt idx="65">
                  <c:v>6279.35</c:v>
                </c:pt>
                <c:pt idx="66">
                  <c:v>6229.98</c:v>
                </c:pt>
                <c:pt idx="67">
                  <c:v>6225.52</c:v>
                </c:pt>
                <c:pt idx="68">
                  <c:v>6263.26</c:v>
                </c:pt>
                <c:pt idx="69">
                  <c:v>6280.46</c:v>
                </c:pt>
                <c:pt idx="70">
                  <c:v>6259.75</c:v>
                </c:pt>
                <c:pt idx="71">
                  <c:v>6268.56</c:v>
                </c:pt>
                <c:pt idx="72">
                  <c:v>6243.76</c:v>
                </c:pt>
                <c:pt idx="73">
                  <c:v>6263.7</c:v>
                </c:pt>
                <c:pt idx="74">
                  <c:v>6297.36</c:v>
                </c:pt>
                <c:pt idx="75">
                  <c:v>6296.79</c:v>
                </c:pt>
                <c:pt idx="76">
                  <c:v>6305.6</c:v>
                </c:pt>
                <c:pt idx="77">
                  <c:v>6309.62</c:v>
                </c:pt>
                <c:pt idx="78">
                  <c:v>6358.91</c:v>
                </c:pt>
                <c:pt idx="79">
                  <c:v>6363.35</c:v>
                </c:pt>
                <c:pt idx="80">
                  <c:v>6388.64</c:v>
                </c:pt>
                <c:pt idx="81">
                  <c:v>6389.77</c:v>
                </c:pt>
                <c:pt idx="82">
                  <c:v>6370.86</c:v>
                </c:pt>
                <c:pt idx="83">
                  <c:v>6362.9</c:v>
                </c:pt>
                <c:pt idx="84">
                  <c:v>6339.39</c:v>
                </c:pt>
                <c:pt idx="85">
                  <c:v>6238.01</c:v>
                </c:pt>
                <c:pt idx="86">
                  <c:v>6329.94</c:v>
                </c:pt>
                <c:pt idx="87">
                  <c:v>6299.19</c:v>
                </c:pt>
                <c:pt idx="88">
                  <c:v>6345.06</c:v>
                </c:pt>
                <c:pt idx="89">
                  <c:v>6340</c:v>
                </c:pt>
                <c:pt idx="90">
                  <c:v>6389.45</c:v>
                </c:pt>
                <c:pt idx="91">
                  <c:v>6373.45</c:v>
                </c:pt>
                <c:pt idx="92">
                  <c:v>6445.76</c:v>
                </c:pt>
                <c:pt idx="93">
                  <c:v>6466.58</c:v>
                </c:pt>
                <c:pt idx="94">
                  <c:v>6468.54</c:v>
                </c:pt>
                <c:pt idx="95">
                  <c:v>6449.8</c:v>
                </c:pt>
                <c:pt idx="96">
                  <c:v>6449.15</c:v>
                </c:pt>
                <c:pt idx="97">
                  <c:v>6411.37</c:v>
                </c:pt>
                <c:pt idx="98">
                  <c:v>6395.78</c:v>
                </c:pt>
                <c:pt idx="99">
                  <c:v>6370.17</c:v>
                </c:pt>
                <c:pt idx="100">
                  <c:v>6466.91</c:v>
                </c:pt>
                <c:pt idx="101">
                  <c:v>6439.32</c:v>
                </c:pt>
                <c:pt idx="102">
                  <c:v>6465.94</c:v>
                </c:pt>
                <c:pt idx="103">
                  <c:v>6481.4</c:v>
                </c:pt>
                <c:pt idx="104">
                  <c:v>6501.86</c:v>
                </c:pt>
                <c:pt idx="105">
                  <c:v>6460.26</c:v>
                </c:pt>
                <c:pt idx="106">
                  <c:v>6415.54</c:v>
                </c:pt>
                <c:pt idx="107">
                  <c:v>6448.26</c:v>
                </c:pt>
                <c:pt idx="108">
                  <c:v>6502.08</c:v>
                </c:pt>
                <c:pt idx="109">
                  <c:v>6481.5</c:v>
                </c:pt>
                <c:pt idx="110">
                  <c:v>6495.15</c:v>
                </c:pt>
                <c:pt idx="111">
                  <c:v>6512.61</c:v>
                </c:pt>
                <c:pt idx="112">
                  <c:v>6532.04</c:v>
                </c:pt>
                <c:pt idx="113">
                  <c:v>6587.47</c:v>
                </c:pt>
                <c:pt idx="114">
                  <c:v>6584.29</c:v>
                </c:pt>
                <c:pt idx="115">
                  <c:v>6615.28</c:v>
                </c:pt>
                <c:pt idx="116">
                  <c:v>6606.76</c:v>
                </c:pt>
                <c:pt idx="117">
                  <c:v>6600.35</c:v>
                </c:pt>
                <c:pt idx="118">
                  <c:v>6631.96</c:v>
                </c:pt>
                <c:pt idx="119">
                  <c:v>6664.36</c:v>
                </c:pt>
                <c:pt idx="120">
                  <c:v>6693.75</c:v>
                </c:pt>
                <c:pt idx="121">
                  <c:v>6656.92</c:v>
                </c:pt>
                <c:pt idx="122">
                  <c:v>6637.97</c:v>
                </c:pt>
                <c:pt idx="123">
                  <c:v>6604.72</c:v>
                </c:pt>
                <c:pt idx="124">
                  <c:v>6643.7</c:v>
                </c:pt>
                <c:pt idx="125">
                  <c:v>6661.21</c:v>
                </c:pt>
                <c:pt idx="126">
                  <c:v>6688.46</c:v>
                </c:pt>
                <c:pt idx="127">
                  <c:v>6711.2</c:v>
                </c:pt>
                <c:pt idx="128">
                  <c:v>6715.35</c:v>
                </c:pt>
                <c:pt idx="129">
                  <c:v>6715.79</c:v>
                </c:pt>
                <c:pt idx="130">
                  <c:v>6740.28</c:v>
                </c:pt>
                <c:pt idx="131">
                  <c:v>6714.59</c:v>
                </c:pt>
                <c:pt idx="132">
                  <c:v>6753.72</c:v>
                </c:pt>
                <c:pt idx="133">
                  <c:v>6735.11</c:v>
                </c:pt>
                <c:pt idx="134">
                  <c:v>6552.51</c:v>
                </c:pt>
                <c:pt idx="135">
                  <c:v>6654.72</c:v>
                </c:pt>
                <c:pt idx="136">
                  <c:v>6644.31</c:v>
                </c:pt>
                <c:pt idx="137">
                  <c:v>6671.06</c:v>
                </c:pt>
                <c:pt idx="138">
                  <c:v>6629.07</c:v>
                </c:pt>
                <c:pt idx="139">
                  <c:v>6664.01</c:v>
                </c:pt>
                <c:pt idx="140">
                  <c:v>6735.13</c:v>
                </c:pt>
                <c:pt idx="141">
                  <c:v>6735.35</c:v>
                </c:pt>
                <c:pt idx="142">
                  <c:v>6699.4</c:v>
                </c:pt>
                <c:pt idx="143">
                  <c:v>6738.44</c:v>
                </c:pt>
                <c:pt idx="144">
                  <c:v>6791.69</c:v>
                </c:pt>
                <c:pt idx="145">
                  <c:v>6875.16</c:v>
                </c:pt>
                <c:pt idx="146">
                  <c:v>6890.89</c:v>
                </c:pt>
                <c:pt idx="147">
                  <c:v>6890.59</c:v>
                </c:pt>
                <c:pt idx="148">
                  <c:v>6822.34</c:v>
                </c:pt>
                <c:pt idx="149">
                  <c:v>6840.2</c:v>
                </c:pt>
                <c:pt idx="150">
                  <c:v>6851.97</c:v>
                </c:pt>
                <c:pt idx="151">
                  <c:v>6771.55</c:v>
                </c:pt>
                <c:pt idx="152">
                  <c:v>6796.29</c:v>
                </c:pt>
                <c:pt idx="153">
                  <c:v>6720.32</c:v>
                </c:pt>
                <c:pt idx="154">
                  <c:v>6728.8</c:v>
                </c:pt>
                <c:pt idx="155">
                  <c:v>6832.43</c:v>
                </c:pt>
                <c:pt idx="156">
                  <c:v>6846.61</c:v>
                </c:pt>
                <c:pt idx="157">
                  <c:v>6850.92</c:v>
                </c:pt>
                <c:pt idx="158">
                  <c:v>6737.49</c:v>
                </c:pt>
                <c:pt idx="159">
                  <c:v>6734.11</c:v>
                </c:pt>
                <c:pt idx="160">
                  <c:v>6672.41</c:v>
                </c:pt>
                <c:pt idx="161">
                  <c:v>6617.32</c:v>
                </c:pt>
                <c:pt idx="162">
                  <c:v>6642.16</c:v>
                </c:pt>
                <c:pt idx="163">
                  <c:v>6538.76</c:v>
                </c:pt>
                <c:pt idx="164">
                  <c:v>6602.99</c:v>
                </c:pt>
                <c:pt idx="165">
                  <c:v>6705.12</c:v>
                </c:pt>
                <c:pt idx="166">
                  <c:v>6765.88</c:v>
                </c:pt>
                <c:pt idx="167">
                  <c:v>6812.61</c:v>
                </c:pt>
                <c:pt idx="168">
                  <c:v>6849.09</c:v>
                </c:pt>
                <c:pt idx="169">
                  <c:v>6812.63</c:v>
                </c:pt>
                <c:pt idx="170">
                  <c:v>6829.37</c:v>
                </c:pt>
                <c:pt idx="171">
                  <c:v>6849.72</c:v>
                </c:pt>
                <c:pt idx="172">
                  <c:v>6857.12</c:v>
                </c:pt>
                <c:pt idx="173">
                  <c:v>6870.4</c:v>
                </c:pt>
                <c:pt idx="174">
                  <c:v>6846.51</c:v>
                </c:pt>
                <c:pt idx="175">
                  <c:v>6840.51</c:v>
                </c:pt>
                <c:pt idx="176">
                  <c:v>6886.68</c:v>
                </c:pt>
                <c:pt idx="177">
                  <c:v>6901</c:v>
                </c:pt>
                <c:pt idx="178">
                  <c:v>6827.41</c:v>
                </c:pt>
                <c:pt idx="179">
                  <c:v>6816.51</c:v>
                </c:pt>
                <c:pt idx="180">
                  <c:v>6800.26</c:v>
                </c:pt>
                <c:pt idx="181">
                  <c:v>6721.43</c:v>
                </c:pt>
                <c:pt idx="182">
                  <c:v>6774.76</c:v>
                </c:pt>
                <c:pt idx="183">
                  <c:v>6834.5</c:v>
                </c:pt>
                <c:pt idx="184">
                  <c:v>6878.49</c:v>
                </c:pt>
                <c:pt idx="185">
                  <c:v>6909.79</c:v>
                </c:pt>
                <c:pt idx="186">
                  <c:v>6932.05</c:v>
                </c:pt>
                <c:pt idx="187">
                  <c:v>6929.94</c:v>
                </c:pt>
                <c:pt idx="188">
                  <c:v>6905.74</c:v>
                </c:pt>
                <c:pt idx="189">
                  <c:v>6896.24</c:v>
                </c:pt>
                <c:pt idx="190">
                  <c:v>6845.5</c:v>
                </c:pt>
                <c:pt idx="191">
                  <c:v>6858.47</c:v>
                </c:pt>
                <c:pt idx="192">
                  <c:v>6902.05</c:v>
                </c:pt>
                <c:pt idx="193">
                  <c:v>6944.82</c:v>
                </c:pt>
                <c:pt idx="194">
                  <c:v>6920.93</c:v>
                </c:pt>
                <c:pt idx="195">
                  <c:v>6921.46</c:v>
                </c:pt>
                <c:pt idx="196">
                  <c:v>6966.28</c:v>
                </c:pt>
                <c:pt idx="197">
                  <c:v>6977.27</c:v>
                </c:pt>
                <c:pt idx="198">
                  <c:v>6963.74</c:v>
                </c:pt>
                <c:pt idx="199">
                  <c:v>6926.6</c:v>
                </c:pt>
                <c:pt idx="200">
                  <c:v>6944.47</c:v>
                </c:pt>
                <c:pt idx="201">
                  <c:v>6940.01</c:v>
                </c:pt>
                <c:pt idx="202">
                  <c:v>6796.86</c:v>
                </c:pt>
                <c:pt idx="203">
                  <c:v>6875.62</c:v>
                </c:pt>
                <c:pt idx="204">
                  <c:v>6913.35</c:v>
                </c:pt>
                <c:pt idx="205">
                  <c:v>6915.61</c:v>
                </c:pt>
                <c:pt idx="206">
                  <c:v>6950.23</c:v>
                </c:pt>
                <c:pt idx="207">
                  <c:v>6978.6</c:v>
                </c:pt>
                <c:pt idx="208">
                  <c:v>6978.03</c:v>
                </c:pt>
                <c:pt idx="209">
                  <c:v>6969.01</c:v>
                </c:pt>
                <c:pt idx="210">
                  <c:v>6939.03</c:v>
                </c:pt>
                <c:pt idx="211">
                  <c:v>6976.44</c:v>
                </c:pt>
                <c:pt idx="212">
                  <c:v>6917.81</c:v>
                </c:pt>
                <c:pt idx="213">
                  <c:v>6882.72</c:v>
                </c:pt>
                <c:pt idx="214">
                  <c:v>6798.4</c:v>
                </c:pt>
                <c:pt idx="215">
                  <c:v>6932.3</c:v>
                </c:pt>
                <c:pt idx="216">
                  <c:v>6964.82</c:v>
                </c:pt>
                <c:pt idx="217">
                  <c:v>6941.81</c:v>
                </c:pt>
                <c:pt idx="218">
                  <c:v>6941.47</c:v>
                </c:pt>
                <c:pt idx="219">
                  <c:v>6832.76</c:v>
                </c:pt>
                <c:pt idx="220">
                  <c:v>6836.17</c:v>
                </c:pt>
                <c:pt idx="221">
                  <c:v>6843.22</c:v>
                </c:pt>
                <c:pt idx="222">
                  <c:v>6881.31</c:v>
                </c:pt>
                <c:pt idx="223">
                  <c:v>6861.89</c:v>
                </c:pt>
                <c:pt idx="224">
                  <c:v>6909.51</c:v>
                </c:pt>
                <c:pt idx="225">
                  <c:v>6837.75</c:v>
                </c:pt>
                <c:pt idx="226">
                  <c:v>6890.07</c:v>
                </c:pt>
                <c:pt idx="227">
                  <c:v>6946.13</c:v>
                </c:pt>
                <c:pt idx="228">
                  <c:v>6908.86</c:v>
                </c:pt>
                <c:pt idx="229">
                  <c:v>6878.88</c:v>
                </c:pt>
                <c:pt idx="230">
                  <c:v>6881.62</c:v>
                </c:pt>
                <c:pt idx="231">
                  <c:v>6816.63</c:v>
                </c:pt>
                <c:pt idx="232">
                  <c:v>6869.5</c:v>
                </c:pt>
                <c:pt idx="233">
                  <c:v>6830.71</c:v>
                </c:pt>
                <c:pt idx="234">
                  <c:v>6740.02</c:v>
                </c:pt>
                <c:pt idx="235">
                  <c:v>6795.99</c:v>
                </c:pt>
                <c:pt idx="236">
                  <c:v>6781.48</c:v>
                </c:pt>
                <c:pt idx="237">
                  <c:v>6775.8</c:v>
                </c:pt>
                <c:pt idx="238">
                  <c:v>6672.62</c:v>
                </c:pt>
                <c:pt idx="239">
                  <c:v>6632.19</c:v>
                </c:pt>
                <c:pt idx="240">
                  <c:v>6699.38</c:v>
                </c:pt>
                <c:pt idx="241">
                  <c:v>6716.09</c:v>
                </c:pt>
                <c:pt idx="242">
                  <c:v>6624.7</c:v>
                </c:pt>
                <c:pt idx="243">
                  <c:v>6606.49</c:v>
                </c:pt>
                <c:pt idx="244">
                  <c:v>6506.48</c:v>
                </c:pt>
                <c:pt idx="245">
                  <c:v>6581</c:v>
                </c:pt>
                <c:pt idx="246">
                  <c:v>6556.37</c:v>
                </c:pt>
                <c:pt idx="247">
                  <c:v>6591.9</c:v>
                </c:pt>
                <c:pt idx="248">
                  <c:v>6477.16</c:v>
                </c:pt>
                <c:pt idx="249">
                  <c:v>6368.85</c:v>
                </c:pt>
                <c:pt idx="250">
                  <c:v>6343.72</c:v>
                </c:pt>
              </c:numCache>
            </c:numRef>
          </c:val>
          <c:smooth val="0"/>
          <c:extLst>
            <c:ext xmlns:c16="http://schemas.microsoft.com/office/drawing/2014/chart" uri="{C3380CC4-5D6E-409C-BE32-E72D297353CC}">
              <c16:uniqueId val="{00000001-38B0-45D6-BC4B-4677B92DFE90}"/>
            </c:ext>
          </c:extLst>
        </c:ser>
        <c:dLbls>
          <c:showLegendKey val="0"/>
          <c:showVal val="0"/>
          <c:showCatName val="0"/>
          <c:showSerName val="0"/>
          <c:showPercent val="0"/>
          <c:showBubbleSize val="0"/>
        </c:dLbls>
        <c:smooth val="0"/>
        <c:axId val="50833543"/>
        <c:axId val="64886630"/>
      </c:lineChart>
      <c:dateAx>
        <c:axId val="50833543"/>
        <c:scaling>
          <c:orientation val="minMax"/>
        </c:scaling>
        <c:delete val="1"/>
        <c:axPos val="b"/>
        <c:majorGridlines>
          <c:spPr>
            <a:ln w="9525" cap="flat" cmpd="sng">
              <a:solidFill>
                <a:srgbClr val="FFFFFF">
                  <a:lumMod val="75000"/>
                </a:srgbClr>
              </a:solidFill>
            </a:ln>
            <a:effectLst/>
          </c:spPr>
        </c:majorGridlines>
        <c:numFmt formatCode="m/d/yyyy" sourceLinked="0"/>
        <c:majorTickMark val="in"/>
        <c:minorTickMark val="none"/>
        <c:tickLblPos val="none"/>
        <c:crossAx val="64886630"/>
        <c:crosses val="autoZero"/>
        <c:auto val="1"/>
        <c:lblOffset val="100"/>
        <c:baseTimeUnit val="days"/>
      </c:dateAx>
      <c:valAx>
        <c:axId val="64886630"/>
        <c:scaling>
          <c:orientation val="minMax"/>
        </c:scaling>
        <c:delete val="0"/>
        <c:axPos val="l"/>
        <c:majorGridlines>
          <c:spPr>
            <a:ln w="9525" cap="flat" cmpd="sng">
              <a:solidFill>
                <a:srgbClr val="FFFFFF">
                  <a:lumMod val="75000"/>
                </a:srgbClr>
              </a:solidFill>
            </a:ln>
            <a:effectLst/>
          </c:spPr>
        </c:majorGridlines>
        <c:numFmt formatCode="#,##0" sourceLinked="0"/>
        <c:majorTickMark val="in"/>
        <c:minorTickMark val="none"/>
        <c:tickLblPos val="nextTo"/>
        <c:spPr>
          <a:ln w="12700" cap="flat" cmpd="sng">
            <a:solidFill>
              <a:srgbClr val="E1E1E1"/>
            </a:solidFill>
            <a:prstDash val="solid"/>
          </a:ln>
          <a:effectLst/>
        </c:spPr>
        <c:txPr>
          <a:bodyPr rot="0" vert="horz" wrap="square"/>
          <a:lstStyle/>
          <a:p>
            <a:pPr>
              <a:defRPr lang="en-US" sz="800" b="0" i="0" u="none" baseline="0">
                <a:solidFill>
                  <a:srgbClr val="000000"/>
                </a:solidFill>
                <a:latin typeface="Arial"/>
                <a:ea typeface="Arial"/>
                <a:cs typeface="Arial"/>
              </a:defRPr>
            </a:pPr>
            <a:endParaRPr lang="en-US"/>
          </a:p>
        </c:txPr>
        <c:crossAx val="50833543"/>
        <c:crosses val="autoZero"/>
        <c:crossBetween val="between"/>
      </c:valAx>
      <c:spPr>
        <a:gradFill rotWithShape="1">
          <a:gsLst>
            <a:gs pos="0">
              <a:schemeClr val="bg1"/>
            </a:gs>
            <a:gs pos="100000">
              <a:srgbClr val="F0F0F0"/>
            </a:gs>
          </a:gsLst>
          <a:lin ang="5400000"/>
          <a:tileRect/>
        </a:gradFill>
        <a:ln w="12700" cap="flat" cmpd="sng">
          <a:solidFill>
            <a:srgbClr val="E1E1E1"/>
          </a:solidFill>
        </a:ln>
        <a:effectLst/>
      </c:spPr>
    </c:plotArea>
    <c:legend>
      <c:legendPos val="b"/>
      <c:layout>
        <c:manualLayout>
          <c:xMode val="edge"/>
          <c:yMode val="edge"/>
          <c:x val="0.12325"/>
          <c:y val="0.17449999999999999"/>
          <c:w val="0.87675000000000003"/>
          <c:h val="8.8499999999999995E-2"/>
        </c:manualLayout>
      </c:layout>
      <c:overlay val="0"/>
      <c:spPr>
        <a:solidFill>
          <a:srgbClr val="FFFFFF"/>
        </a:solidFill>
        <a:ln w="25400">
          <a:noFill/>
        </a:ln>
        <a:effectLst/>
      </c:spPr>
    </c:legend>
    <c:plotVisOnly val="0"/>
    <c:dispBlanksAs val="gap"/>
    <c:showDLblsOverMax val="0"/>
  </c:chart>
  <c:spPr>
    <a:noFill/>
    <a:ln w="3175">
      <a:noFill/>
      <a:prstDash val="solid"/>
    </a:ln>
    <a:effectLst/>
  </c:spPr>
  <c:txPr>
    <a:bodyPr rot="0" vert="horz" wrap="square"/>
    <a:lstStyle/>
    <a:p>
      <a:pPr>
        <a:defRPr lang="en-US" sz="800" b="0" i="0" u="non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8250000000000001"/>
          <c:y val="0.21224999999999999"/>
          <c:w val="0.4385"/>
          <c:h val="0.71924999999999994"/>
        </c:manualLayout>
      </c:layout>
      <c:pieChart>
        <c:varyColors val="1"/>
        <c:ser>
          <c:idx val="0"/>
          <c:order val="0"/>
          <c:tx>
            <c:strRef>
              <c:f>'Index Snapshot'!$V$44</c:f>
              <c:strCache>
                <c:ptCount val="1"/>
                <c:pt idx="0">
                  <c:v>Market Value</c:v>
                </c:pt>
              </c:strCache>
            </c:strRef>
          </c:tx>
          <c:dPt>
            <c:idx val="0"/>
            <c:bubble3D val="0"/>
            <c:spPr>
              <a:ln w="9525" cap="flat" cmpd="sng">
                <a:solidFill>
                  <a:srgbClr val="0066CC"/>
                </a:solidFill>
              </a:ln>
              <a:effectLst/>
            </c:spPr>
            <c:extLst>
              <c:ext xmlns:c16="http://schemas.microsoft.com/office/drawing/2014/chart" uri="{C3380CC4-5D6E-409C-BE32-E72D297353CC}">
                <c16:uniqueId val="{00000001-85B4-4595-9EBC-452D266768F8}"/>
              </c:ext>
            </c:extLst>
          </c:dPt>
          <c:dPt>
            <c:idx val="1"/>
            <c:bubble3D val="0"/>
            <c:spPr>
              <a:ln w="9525" cap="flat" cmpd="sng">
                <a:solidFill>
                  <a:srgbClr val="5E7C1F"/>
                </a:solidFill>
              </a:ln>
              <a:effectLst/>
            </c:spPr>
            <c:extLst>
              <c:ext xmlns:c16="http://schemas.microsoft.com/office/drawing/2014/chart" uri="{C3380CC4-5D6E-409C-BE32-E72D297353CC}">
                <c16:uniqueId val="{00000003-85B4-4595-9EBC-452D266768F8}"/>
              </c:ext>
            </c:extLst>
          </c:dPt>
          <c:dPt>
            <c:idx val="2"/>
            <c:bubble3D val="0"/>
            <c:spPr>
              <a:ln w="9525" cap="flat" cmpd="sng">
                <a:solidFill>
                  <a:srgbClr val="600174"/>
                </a:solidFill>
              </a:ln>
              <a:effectLst/>
            </c:spPr>
            <c:extLst>
              <c:ext xmlns:c16="http://schemas.microsoft.com/office/drawing/2014/chart" uri="{C3380CC4-5D6E-409C-BE32-E72D297353CC}">
                <c16:uniqueId val="{00000005-85B4-4595-9EBC-452D266768F8}"/>
              </c:ext>
            </c:extLst>
          </c:dPt>
          <c:dPt>
            <c:idx val="3"/>
            <c:bubble3D val="0"/>
            <c:spPr>
              <a:ln w="9525" cap="flat" cmpd="sng">
                <a:solidFill>
                  <a:srgbClr val="CC9900"/>
                </a:solidFill>
              </a:ln>
              <a:effectLst/>
            </c:spPr>
            <c:extLst>
              <c:ext xmlns:c16="http://schemas.microsoft.com/office/drawing/2014/chart" uri="{C3380CC4-5D6E-409C-BE32-E72D297353CC}">
                <c16:uniqueId val="{00000007-85B4-4595-9EBC-452D266768F8}"/>
              </c:ext>
            </c:extLst>
          </c:dPt>
          <c:dPt>
            <c:idx val="4"/>
            <c:bubble3D val="0"/>
            <c:spPr>
              <a:ln w="9525" cap="flat" cmpd="sng">
                <a:solidFill>
                  <a:srgbClr val="646464"/>
                </a:solidFill>
              </a:ln>
              <a:effectLst/>
            </c:spPr>
            <c:extLst>
              <c:ext xmlns:c16="http://schemas.microsoft.com/office/drawing/2014/chart" uri="{C3380CC4-5D6E-409C-BE32-E72D297353CC}">
                <c16:uniqueId val="{00000009-85B4-4595-9EBC-452D266768F8}"/>
              </c:ext>
            </c:extLst>
          </c:dPt>
          <c:dPt>
            <c:idx val="5"/>
            <c:bubble3D val="0"/>
            <c:spPr>
              <a:ln w="9525" cap="flat" cmpd="sng">
                <a:solidFill>
                  <a:srgbClr val="003366"/>
                </a:solidFill>
              </a:ln>
              <a:effectLst/>
            </c:spPr>
            <c:extLst>
              <c:ext xmlns:c16="http://schemas.microsoft.com/office/drawing/2014/chart" uri="{C3380CC4-5D6E-409C-BE32-E72D297353CC}">
                <c16:uniqueId val="{0000000B-85B4-4595-9EBC-452D266768F8}"/>
              </c:ext>
            </c:extLst>
          </c:dPt>
          <c:dPt>
            <c:idx val="6"/>
            <c:bubble3D val="0"/>
            <c:spPr>
              <a:solidFill>
                <a:srgbClr val="339900"/>
              </a:solidFill>
              <a:ln w="9525" cap="flat" cmpd="sng">
                <a:solidFill>
                  <a:srgbClr val="336600"/>
                </a:solidFill>
              </a:ln>
              <a:effectLst/>
            </c:spPr>
            <c:extLst>
              <c:ext xmlns:c16="http://schemas.microsoft.com/office/drawing/2014/chart" uri="{C3380CC4-5D6E-409C-BE32-E72D297353CC}">
                <c16:uniqueId val="{0000000D-85B4-4595-9EBC-452D266768F8}"/>
              </c:ext>
            </c:extLst>
          </c:dPt>
          <c:dPt>
            <c:idx val="7"/>
            <c:bubble3D val="0"/>
            <c:spPr>
              <a:solidFill>
                <a:srgbClr val="996633"/>
              </a:solidFill>
              <a:ln w="9525" cap="flat" cmpd="sng">
                <a:solidFill>
                  <a:srgbClr val="4D311E"/>
                </a:solidFill>
              </a:ln>
              <a:effectLst/>
            </c:spPr>
            <c:extLst>
              <c:ext xmlns:c16="http://schemas.microsoft.com/office/drawing/2014/chart" uri="{C3380CC4-5D6E-409C-BE32-E72D297353CC}">
                <c16:uniqueId val="{0000000F-85B4-4595-9EBC-452D266768F8}"/>
              </c:ext>
            </c:extLst>
          </c:dPt>
          <c:dPt>
            <c:idx val="8"/>
            <c:bubble3D val="0"/>
            <c:spPr>
              <a:solidFill>
                <a:srgbClr val="FF9900"/>
              </a:solidFill>
              <a:ln w="9525" cap="flat" cmpd="sng">
                <a:solidFill>
                  <a:srgbClr val="B96F00"/>
                </a:solidFill>
              </a:ln>
              <a:effectLst/>
            </c:spPr>
            <c:extLst>
              <c:ext xmlns:c16="http://schemas.microsoft.com/office/drawing/2014/chart" uri="{C3380CC4-5D6E-409C-BE32-E72D297353CC}">
                <c16:uniqueId val="{00000011-85B4-4595-9EBC-452D266768F8}"/>
              </c:ext>
            </c:extLst>
          </c:dPt>
          <c:dPt>
            <c:idx val="9"/>
            <c:bubble3D val="0"/>
            <c:spPr>
              <a:solidFill>
                <a:srgbClr val="AFAFAF"/>
              </a:solidFill>
              <a:ln w="9525" cap="flat" cmpd="sng">
                <a:solidFill>
                  <a:srgbClr val="646464"/>
                </a:solidFill>
              </a:ln>
              <a:effectLst/>
            </c:spPr>
            <c:extLst>
              <c:ext xmlns:c16="http://schemas.microsoft.com/office/drawing/2014/chart" uri="{C3380CC4-5D6E-409C-BE32-E72D297353CC}">
                <c16:uniqueId val="{00000013-85B4-4595-9EBC-452D266768F8}"/>
              </c:ext>
            </c:extLst>
          </c:dPt>
          <c:dPt>
            <c:idx val="10"/>
            <c:bubble3D val="0"/>
            <c:spPr>
              <a:solidFill>
                <a:srgbClr val="FF00FF"/>
              </a:solidFill>
              <a:ln w="9525" cap="flat" cmpd="sng">
                <a:solidFill>
                  <a:srgbClr val="9A3366"/>
                </a:solidFill>
              </a:ln>
              <a:effectLst/>
            </c:spPr>
            <c:extLst>
              <c:ext xmlns:c16="http://schemas.microsoft.com/office/drawing/2014/chart" uri="{C3380CC4-5D6E-409C-BE32-E72D297353CC}">
                <c16:uniqueId val="{00000015-85B4-4595-9EBC-452D266768F8}"/>
              </c:ext>
            </c:extLst>
          </c:dPt>
          <c:dPt>
            <c:idx val="11"/>
            <c:bubble3D val="0"/>
            <c:spPr>
              <a:solidFill>
                <a:srgbClr val="009999"/>
              </a:solidFill>
              <a:ln w="9525" cap="flat" cmpd="sng">
                <a:solidFill>
                  <a:srgbClr val="285666"/>
                </a:solidFill>
              </a:ln>
              <a:effectLst/>
            </c:spPr>
            <c:extLst>
              <c:ext xmlns:c16="http://schemas.microsoft.com/office/drawing/2014/chart" uri="{C3380CC4-5D6E-409C-BE32-E72D297353CC}">
                <c16:uniqueId val="{00000017-85B4-4595-9EBC-452D266768F8}"/>
              </c:ext>
            </c:extLst>
          </c:dPt>
          <c:dPt>
            <c:idx val="12"/>
            <c:bubble3D val="0"/>
            <c:spPr>
              <a:solidFill>
                <a:srgbClr val="DAE696"/>
              </a:solidFill>
              <a:ln w="9525" cap="flat" cmpd="sng">
                <a:solidFill>
                  <a:srgbClr val="5E7C1F"/>
                </a:solidFill>
              </a:ln>
              <a:effectLst/>
            </c:spPr>
            <c:extLst>
              <c:ext xmlns:c16="http://schemas.microsoft.com/office/drawing/2014/chart" uri="{C3380CC4-5D6E-409C-BE32-E72D297353CC}">
                <c16:uniqueId val="{00000019-85B4-4595-9EBC-452D266768F8}"/>
              </c:ext>
            </c:extLst>
          </c:dPt>
          <c:dPt>
            <c:idx val="13"/>
            <c:bubble3D val="0"/>
            <c:spPr>
              <a:solidFill>
                <a:srgbClr val="4B4B4B"/>
              </a:solidFill>
              <a:ln w="9525" cap="flat" cmpd="sng">
                <a:solidFill>
                  <a:srgbClr val="323232"/>
                </a:solidFill>
              </a:ln>
              <a:effectLst/>
            </c:spPr>
            <c:extLst>
              <c:ext xmlns:c16="http://schemas.microsoft.com/office/drawing/2014/chart" uri="{C3380CC4-5D6E-409C-BE32-E72D297353CC}">
                <c16:uniqueId val="{0000001B-85B4-4595-9EBC-452D266768F8}"/>
              </c:ext>
            </c:extLst>
          </c:dPt>
          <c:dPt>
            <c:idx val="14"/>
            <c:bubble3D val="0"/>
            <c:spPr>
              <a:solidFill>
                <a:srgbClr val="FF3737"/>
              </a:solidFill>
              <a:ln w="9525" cap="flat" cmpd="sng">
                <a:solidFill>
                  <a:srgbClr val="990000"/>
                </a:solidFill>
              </a:ln>
              <a:effectLst/>
            </c:spPr>
            <c:extLst>
              <c:ext xmlns:c16="http://schemas.microsoft.com/office/drawing/2014/chart" uri="{C3380CC4-5D6E-409C-BE32-E72D297353CC}">
                <c16:uniqueId val="{0000001D-85B4-4595-9EBC-452D266768F8}"/>
              </c:ext>
            </c:extLst>
          </c:dPt>
          <c:dLbls>
            <c:numFmt formatCode="0.0%" sourceLinked="0"/>
            <c:spPr>
              <a:noFill/>
              <a:ln w="9525">
                <a:noFill/>
              </a:ln>
              <a:effectLst/>
            </c:spPr>
            <c:dLblPos val="bestFit"/>
            <c:showLegendKey val="0"/>
            <c:showVal val="0"/>
            <c:showCatName val="1"/>
            <c:showSerName val="0"/>
            <c:showPercent val="1"/>
            <c:showBubbleSize val="0"/>
            <c:showLeaderLines val="1"/>
            <c:extLst>
              <c:ext xmlns:c15="http://schemas.microsoft.com/office/drawing/2012/chart" uri="{CE6537A1-D6FC-4f65-9D91-7224C49458BB}"/>
            </c:extLst>
          </c:dLbls>
          <c:cat>
            <c:strRef>
              <c:f>'Index Snapshot'!$R$45:$R$56</c:f>
              <c:strCache>
                <c:ptCount val="10"/>
                <c:pt idx="0">
                  <c:v>Information Technology</c:v>
                </c:pt>
                <c:pt idx="1">
                  <c:v>Financials</c:v>
                </c:pt>
                <c:pt idx="2">
                  <c:v>Communication Services</c:v>
                </c:pt>
                <c:pt idx="3">
                  <c:v>Consumer Discretionary</c:v>
                </c:pt>
                <c:pt idx="4">
                  <c:v>Health Care</c:v>
                </c:pt>
                <c:pt idx="5">
                  <c:v>Industrials</c:v>
                </c:pt>
                <c:pt idx="6">
                  <c:v>Consumer Staples</c:v>
                </c:pt>
                <c:pt idx="7">
                  <c:v>Energy</c:v>
                </c:pt>
                <c:pt idx="8">
                  <c:v>Utilities</c:v>
                </c:pt>
                <c:pt idx="9">
                  <c:v>Materials</c:v>
                </c:pt>
              </c:strCache>
            </c:strRef>
          </c:cat>
          <c:val>
            <c:numRef>
              <c:f>'Index Snapshot'!$V$45:$V$56</c:f>
              <c:numCache>
                <c:formatCode>_(* #,##0.00_);_(* \(#,##0.00\);_(* "-"??_);_(@_)</c:formatCode>
                <c:ptCount val="12"/>
                <c:pt idx="0">
                  <c:v>18396371.548244499</c:v>
                </c:pt>
                <c:pt idx="1">
                  <c:v>7041255.1300899005</c:v>
                </c:pt>
                <c:pt idx="2">
                  <c:v>5749541.0517400997</c:v>
                </c:pt>
                <c:pt idx="3">
                  <c:v>5514747.2835574001</c:v>
                </c:pt>
                <c:pt idx="4">
                  <c:v>5292526.1196427997</c:v>
                </c:pt>
                <c:pt idx="5">
                  <c:v>5041450.5204891004</c:v>
                </c:pt>
                <c:pt idx="6">
                  <c:v>2937087.9986894</c:v>
                </c:pt>
                <c:pt idx="7">
                  <c:v>2244271.9759676</c:v>
                </c:pt>
                <c:pt idx="8">
                  <c:v>1420390.0635840001</c:v>
                </c:pt>
                <c:pt idx="9">
                  <c:v>1169765.816993</c:v>
                </c:pt>
              </c:numCache>
            </c:numRef>
          </c:val>
          <c:extLst>
            <c:ext xmlns:c16="http://schemas.microsoft.com/office/drawing/2014/chart" uri="{C3380CC4-5D6E-409C-BE32-E72D297353CC}">
              <c16:uniqueId val="{0000001E-9A41-403D-AB0F-9AC2604574F2}"/>
            </c:ext>
          </c:extLst>
        </c:ser>
        <c:dLbls>
          <c:showLegendKey val="0"/>
          <c:showVal val="0"/>
          <c:showCatName val="1"/>
          <c:showSerName val="0"/>
          <c:showPercent val="1"/>
          <c:showBubbleSize val="0"/>
          <c:showLeaderLines val="1"/>
        </c:dLbls>
        <c:firstSliceAng val="0"/>
      </c:pieChart>
    </c:plotArea>
    <c:plotVisOnly val="1"/>
    <c:dispBlanksAs val="zero"/>
    <c:showDLblsOverMax val="0"/>
  </c:chart>
  <c:spPr>
    <a:ln w="9525">
      <a:noFill/>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499999999999996E-2"/>
          <c:y val="0.19825000000000001"/>
          <c:w val="0.77975000000000005"/>
          <c:h val="0.49925000000000003"/>
        </c:manualLayout>
      </c:layout>
      <c:barChart>
        <c:barDir val="col"/>
        <c:grouping val="clustered"/>
        <c:varyColors val="0"/>
        <c:ser>
          <c:idx val="1"/>
          <c:order val="0"/>
          <c:tx>
            <c:strRef>
              <c:f>'Index Snapshot'!$E$128</c:f>
              <c:strCache>
                <c:ptCount val="1"/>
                <c:pt idx="0">
                  <c:v>S&amp;P 500 - Volume (billions)</c:v>
                </c:pt>
              </c:strCache>
            </c:strRef>
          </c:tx>
          <c:spPr>
            <a:solidFill>
              <a:srgbClr val="99CC33"/>
            </a:solidFill>
            <a:ln w="12700">
              <a:noFill/>
              <a:prstDash val="solid"/>
            </a:ln>
            <a:effectLst/>
          </c:spPr>
          <c:invertIfNegative val="0"/>
          <c:cat>
            <c:numRef>
              <c:f>'Index Snapshot'!$C$129:$C$380</c:f>
              <c:numCache>
                <c:formatCode>m/d/yy</c:formatCode>
                <c:ptCount val="252"/>
                <c:pt idx="0">
                  <c:v>45747</c:v>
                </c:pt>
                <c:pt idx="1">
                  <c:v>45748</c:v>
                </c:pt>
                <c:pt idx="2">
                  <c:v>45749</c:v>
                </c:pt>
                <c:pt idx="3">
                  <c:v>45750</c:v>
                </c:pt>
                <c:pt idx="4">
                  <c:v>45751</c:v>
                </c:pt>
                <c:pt idx="5">
                  <c:v>45754</c:v>
                </c:pt>
                <c:pt idx="6">
                  <c:v>45755</c:v>
                </c:pt>
                <c:pt idx="7">
                  <c:v>45756</c:v>
                </c:pt>
                <c:pt idx="8">
                  <c:v>45757</c:v>
                </c:pt>
                <c:pt idx="9">
                  <c:v>45758</c:v>
                </c:pt>
                <c:pt idx="10">
                  <c:v>45761</c:v>
                </c:pt>
                <c:pt idx="11">
                  <c:v>45762</c:v>
                </c:pt>
                <c:pt idx="12">
                  <c:v>45763</c:v>
                </c:pt>
                <c:pt idx="13">
                  <c:v>45764</c:v>
                </c:pt>
                <c:pt idx="14">
                  <c:v>45768</c:v>
                </c:pt>
                <c:pt idx="15">
                  <c:v>45769</c:v>
                </c:pt>
                <c:pt idx="16">
                  <c:v>45770</c:v>
                </c:pt>
                <c:pt idx="17">
                  <c:v>45771</c:v>
                </c:pt>
                <c:pt idx="18">
                  <c:v>45772</c:v>
                </c:pt>
                <c:pt idx="19">
                  <c:v>45775</c:v>
                </c:pt>
                <c:pt idx="20">
                  <c:v>45776</c:v>
                </c:pt>
                <c:pt idx="21">
                  <c:v>45777</c:v>
                </c:pt>
                <c:pt idx="22">
                  <c:v>45778</c:v>
                </c:pt>
                <c:pt idx="23">
                  <c:v>45779</c:v>
                </c:pt>
                <c:pt idx="24">
                  <c:v>45782</c:v>
                </c:pt>
                <c:pt idx="25">
                  <c:v>45783</c:v>
                </c:pt>
                <c:pt idx="26">
                  <c:v>45784</c:v>
                </c:pt>
                <c:pt idx="27">
                  <c:v>45785</c:v>
                </c:pt>
                <c:pt idx="28">
                  <c:v>45786</c:v>
                </c:pt>
                <c:pt idx="29">
                  <c:v>45789</c:v>
                </c:pt>
                <c:pt idx="30">
                  <c:v>45790</c:v>
                </c:pt>
                <c:pt idx="31">
                  <c:v>45791</c:v>
                </c:pt>
                <c:pt idx="32">
                  <c:v>45792</c:v>
                </c:pt>
                <c:pt idx="33">
                  <c:v>45793</c:v>
                </c:pt>
                <c:pt idx="34">
                  <c:v>45796</c:v>
                </c:pt>
                <c:pt idx="35">
                  <c:v>45797</c:v>
                </c:pt>
                <c:pt idx="36">
                  <c:v>45798</c:v>
                </c:pt>
                <c:pt idx="37">
                  <c:v>45799</c:v>
                </c:pt>
                <c:pt idx="38">
                  <c:v>45800</c:v>
                </c:pt>
                <c:pt idx="39">
                  <c:v>45804</c:v>
                </c:pt>
                <c:pt idx="40">
                  <c:v>45805</c:v>
                </c:pt>
                <c:pt idx="41">
                  <c:v>45806</c:v>
                </c:pt>
                <c:pt idx="42">
                  <c:v>45807</c:v>
                </c:pt>
                <c:pt idx="43">
                  <c:v>45810</c:v>
                </c:pt>
                <c:pt idx="44">
                  <c:v>45811</c:v>
                </c:pt>
                <c:pt idx="45">
                  <c:v>45812</c:v>
                </c:pt>
                <c:pt idx="46">
                  <c:v>45813</c:v>
                </c:pt>
                <c:pt idx="47">
                  <c:v>45814</c:v>
                </c:pt>
                <c:pt idx="48">
                  <c:v>45817</c:v>
                </c:pt>
                <c:pt idx="49">
                  <c:v>45818</c:v>
                </c:pt>
                <c:pt idx="50">
                  <c:v>45819</c:v>
                </c:pt>
                <c:pt idx="51">
                  <c:v>45820</c:v>
                </c:pt>
                <c:pt idx="52">
                  <c:v>45821</c:v>
                </c:pt>
                <c:pt idx="53">
                  <c:v>45824</c:v>
                </c:pt>
                <c:pt idx="54">
                  <c:v>45825</c:v>
                </c:pt>
                <c:pt idx="55">
                  <c:v>45826</c:v>
                </c:pt>
                <c:pt idx="56">
                  <c:v>45828</c:v>
                </c:pt>
                <c:pt idx="57">
                  <c:v>45831</c:v>
                </c:pt>
                <c:pt idx="58">
                  <c:v>45832</c:v>
                </c:pt>
                <c:pt idx="59">
                  <c:v>45833</c:v>
                </c:pt>
                <c:pt idx="60">
                  <c:v>45834</c:v>
                </c:pt>
                <c:pt idx="61">
                  <c:v>45835</c:v>
                </c:pt>
                <c:pt idx="62">
                  <c:v>45838</c:v>
                </c:pt>
                <c:pt idx="63">
                  <c:v>45839</c:v>
                </c:pt>
                <c:pt idx="64">
                  <c:v>45840</c:v>
                </c:pt>
                <c:pt idx="65">
                  <c:v>45841</c:v>
                </c:pt>
                <c:pt idx="66">
                  <c:v>45845</c:v>
                </c:pt>
                <c:pt idx="67">
                  <c:v>45846</c:v>
                </c:pt>
                <c:pt idx="68">
                  <c:v>45847</c:v>
                </c:pt>
                <c:pt idx="69">
                  <c:v>45848</c:v>
                </c:pt>
                <c:pt idx="70">
                  <c:v>45849</c:v>
                </c:pt>
                <c:pt idx="71">
                  <c:v>45852</c:v>
                </c:pt>
                <c:pt idx="72">
                  <c:v>45853</c:v>
                </c:pt>
                <c:pt idx="73">
                  <c:v>45854</c:v>
                </c:pt>
                <c:pt idx="74">
                  <c:v>45855</c:v>
                </c:pt>
                <c:pt idx="75">
                  <c:v>45856</c:v>
                </c:pt>
                <c:pt idx="76">
                  <c:v>45859</c:v>
                </c:pt>
                <c:pt idx="77">
                  <c:v>45860</c:v>
                </c:pt>
                <c:pt idx="78">
                  <c:v>45861</c:v>
                </c:pt>
                <c:pt idx="79">
                  <c:v>45862</c:v>
                </c:pt>
                <c:pt idx="80">
                  <c:v>45863</c:v>
                </c:pt>
                <c:pt idx="81">
                  <c:v>45866</c:v>
                </c:pt>
                <c:pt idx="82">
                  <c:v>45867</c:v>
                </c:pt>
                <c:pt idx="83">
                  <c:v>45868</c:v>
                </c:pt>
                <c:pt idx="84">
                  <c:v>45869</c:v>
                </c:pt>
                <c:pt idx="85">
                  <c:v>45870</c:v>
                </c:pt>
                <c:pt idx="86">
                  <c:v>45873</c:v>
                </c:pt>
                <c:pt idx="87">
                  <c:v>45874</c:v>
                </c:pt>
                <c:pt idx="88">
                  <c:v>45875</c:v>
                </c:pt>
                <c:pt idx="89">
                  <c:v>45876</c:v>
                </c:pt>
                <c:pt idx="90">
                  <c:v>45877</c:v>
                </c:pt>
                <c:pt idx="91">
                  <c:v>45880</c:v>
                </c:pt>
                <c:pt idx="92">
                  <c:v>45881</c:v>
                </c:pt>
                <c:pt idx="93">
                  <c:v>45882</c:v>
                </c:pt>
                <c:pt idx="94">
                  <c:v>45883</c:v>
                </c:pt>
                <c:pt idx="95">
                  <c:v>45884</c:v>
                </c:pt>
                <c:pt idx="96">
                  <c:v>45887</c:v>
                </c:pt>
                <c:pt idx="97">
                  <c:v>45888</c:v>
                </c:pt>
                <c:pt idx="98">
                  <c:v>45889</c:v>
                </c:pt>
                <c:pt idx="99">
                  <c:v>45890</c:v>
                </c:pt>
                <c:pt idx="100">
                  <c:v>45891</c:v>
                </c:pt>
                <c:pt idx="101">
                  <c:v>45894</c:v>
                </c:pt>
                <c:pt idx="102">
                  <c:v>45895</c:v>
                </c:pt>
                <c:pt idx="103">
                  <c:v>45896</c:v>
                </c:pt>
                <c:pt idx="104">
                  <c:v>45897</c:v>
                </c:pt>
                <c:pt idx="105">
                  <c:v>45898</c:v>
                </c:pt>
                <c:pt idx="106">
                  <c:v>45902</c:v>
                </c:pt>
                <c:pt idx="107">
                  <c:v>45903</c:v>
                </c:pt>
                <c:pt idx="108">
                  <c:v>45904</c:v>
                </c:pt>
                <c:pt idx="109">
                  <c:v>45905</c:v>
                </c:pt>
                <c:pt idx="110">
                  <c:v>45908</c:v>
                </c:pt>
                <c:pt idx="111">
                  <c:v>45909</c:v>
                </c:pt>
                <c:pt idx="112">
                  <c:v>45910</c:v>
                </c:pt>
                <c:pt idx="113">
                  <c:v>45911</c:v>
                </c:pt>
                <c:pt idx="114">
                  <c:v>45912</c:v>
                </c:pt>
                <c:pt idx="115">
                  <c:v>45915</c:v>
                </c:pt>
                <c:pt idx="116">
                  <c:v>45916</c:v>
                </c:pt>
                <c:pt idx="117">
                  <c:v>45917</c:v>
                </c:pt>
                <c:pt idx="118">
                  <c:v>45918</c:v>
                </c:pt>
                <c:pt idx="119">
                  <c:v>45919</c:v>
                </c:pt>
                <c:pt idx="120">
                  <c:v>45922</c:v>
                </c:pt>
                <c:pt idx="121">
                  <c:v>45923</c:v>
                </c:pt>
                <c:pt idx="122">
                  <c:v>45924</c:v>
                </c:pt>
                <c:pt idx="123">
                  <c:v>45925</c:v>
                </c:pt>
                <c:pt idx="124">
                  <c:v>45926</c:v>
                </c:pt>
                <c:pt idx="125">
                  <c:v>45929</c:v>
                </c:pt>
                <c:pt idx="126">
                  <c:v>45930</c:v>
                </c:pt>
                <c:pt idx="127">
                  <c:v>45931</c:v>
                </c:pt>
                <c:pt idx="128">
                  <c:v>45932</c:v>
                </c:pt>
                <c:pt idx="129">
                  <c:v>45933</c:v>
                </c:pt>
                <c:pt idx="130">
                  <c:v>45936</c:v>
                </c:pt>
                <c:pt idx="131">
                  <c:v>45937</c:v>
                </c:pt>
                <c:pt idx="132">
                  <c:v>45938</c:v>
                </c:pt>
                <c:pt idx="133">
                  <c:v>45939</c:v>
                </c:pt>
                <c:pt idx="134">
                  <c:v>45940</c:v>
                </c:pt>
                <c:pt idx="135">
                  <c:v>45943</c:v>
                </c:pt>
                <c:pt idx="136">
                  <c:v>45944</c:v>
                </c:pt>
                <c:pt idx="137">
                  <c:v>45945</c:v>
                </c:pt>
                <c:pt idx="138">
                  <c:v>45946</c:v>
                </c:pt>
                <c:pt idx="139">
                  <c:v>45947</c:v>
                </c:pt>
                <c:pt idx="140">
                  <c:v>45950</c:v>
                </c:pt>
                <c:pt idx="141">
                  <c:v>45951</c:v>
                </c:pt>
                <c:pt idx="142">
                  <c:v>45952</c:v>
                </c:pt>
                <c:pt idx="143">
                  <c:v>45953</c:v>
                </c:pt>
                <c:pt idx="144">
                  <c:v>45954</c:v>
                </c:pt>
                <c:pt idx="145">
                  <c:v>45957</c:v>
                </c:pt>
                <c:pt idx="146">
                  <c:v>45958</c:v>
                </c:pt>
                <c:pt idx="147">
                  <c:v>45959</c:v>
                </c:pt>
                <c:pt idx="148">
                  <c:v>45960</c:v>
                </c:pt>
                <c:pt idx="149">
                  <c:v>45961</c:v>
                </c:pt>
                <c:pt idx="150">
                  <c:v>45964</c:v>
                </c:pt>
                <c:pt idx="151">
                  <c:v>45965</c:v>
                </c:pt>
                <c:pt idx="152">
                  <c:v>45966</c:v>
                </c:pt>
                <c:pt idx="153">
                  <c:v>45967</c:v>
                </c:pt>
                <c:pt idx="154">
                  <c:v>45968</c:v>
                </c:pt>
                <c:pt idx="155">
                  <c:v>45971</c:v>
                </c:pt>
                <c:pt idx="156">
                  <c:v>45972</c:v>
                </c:pt>
                <c:pt idx="157">
                  <c:v>45973</c:v>
                </c:pt>
                <c:pt idx="158">
                  <c:v>45974</c:v>
                </c:pt>
                <c:pt idx="159">
                  <c:v>45975</c:v>
                </c:pt>
                <c:pt idx="160">
                  <c:v>45978</c:v>
                </c:pt>
                <c:pt idx="161">
                  <c:v>45979</c:v>
                </c:pt>
                <c:pt idx="162">
                  <c:v>45980</c:v>
                </c:pt>
                <c:pt idx="163">
                  <c:v>45981</c:v>
                </c:pt>
                <c:pt idx="164">
                  <c:v>45982</c:v>
                </c:pt>
                <c:pt idx="165">
                  <c:v>45985</c:v>
                </c:pt>
                <c:pt idx="166">
                  <c:v>45986</c:v>
                </c:pt>
                <c:pt idx="167">
                  <c:v>45987</c:v>
                </c:pt>
                <c:pt idx="168">
                  <c:v>45989</c:v>
                </c:pt>
                <c:pt idx="169">
                  <c:v>45992</c:v>
                </c:pt>
                <c:pt idx="170">
                  <c:v>45993</c:v>
                </c:pt>
                <c:pt idx="171">
                  <c:v>45994</c:v>
                </c:pt>
                <c:pt idx="172">
                  <c:v>45995</c:v>
                </c:pt>
                <c:pt idx="173">
                  <c:v>45996</c:v>
                </c:pt>
                <c:pt idx="174">
                  <c:v>45999</c:v>
                </c:pt>
                <c:pt idx="175">
                  <c:v>46000</c:v>
                </c:pt>
                <c:pt idx="176">
                  <c:v>46001</c:v>
                </c:pt>
                <c:pt idx="177">
                  <c:v>46002</c:v>
                </c:pt>
                <c:pt idx="178">
                  <c:v>46003</c:v>
                </c:pt>
                <c:pt idx="179">
                  <c:v>46006</c:v>
                </c:pt>
                <c:pt idx="180">
                  <c:v>46007</c:v>
                </c:pt>
                <c:pt idx="181">
                  <c:v>46008</c:v>
                </c:pt>
                <c:pt idx="182">
                  <c:v>46009</c:v>
                </c:pt>
                <c:pt idx="183">
                  <c:v>46010</c:v>
                </c:pt>
                <c:pt idx="184">
                  <c:v>46013</c:v>
                </c:pt>
                <c:pt idx="185">
                  <c:v>46014</c:v>
                </c:pt>
                <c:pt idx="186">
                  <c:v>46015</c:v>
                </c:pt>
                <c:pt idx="187">
                  <c:v>46017</c:v>
                </c:pt>
                <c:pt idx="188">
                  <c:v>46020</c:v>
                </c:pt>
                <c:pt idx="189">
                  <c:v>46021</c:v>
                </c:pt>
                <c:pt idx="190">
                  <c:v>46022</c:v>
                </c:pt>
                <c:pt idx="191">
                  <c:v>46024</c:v>
                </c:pt>
                <c:pt idx="192">
                  <c:v>46027</c:v>
                </c:pt>
                <c:pt idx="193">
                  <c:v>46028</c:v>
                </c:pt>
                <c:pt idx="194">
                  <c:v>46029</c:v>
                </c:pt>
                <c:pt idx="195">
                  <c:v>46030</c:v>
                </c:pt>
                <c:pt idx="196">
                  <c:v>46031</c:v>
                </c:pt>
                <c:pt idx="197">
                  <c:v>46034</c:v>
                </c:pt>
                <c:pt idx="198">
                  <c:v>46035</c:v>
                </c:pt>
                <c:pt idx="199">
                  <c:v>46036</c:v>
                </c:pt>
                <c:pt idx="200">
                  <c:v>46037</c:v>
                </c:pt>
                <c:pt idx="201">
                  <c:v>46038</c:v>
                </c:pt>
                <c:pt idx="202">
                  <c:v>46042</c:v>
                </c:pt>
                <c:pt idx="203">
                  <c:v>46043</c:v>
                </c:pt>
                <c:pt idx="204">
                  <c:v>46044</c:v>
                </c:pt>
                <c:pt idx="205">
                  <c:v>46045</c:v>
                </c:pt>
                <c:pt idx="206">
                  <c:v>46048</c:v>
                </c:pt>
                <c:pt idx="207">
                  <c:v>46049</c:v>
                </c:pt>
                <c:pt idx="208">
                  <c:v>46050</c:v>
                </c:pt>
                <c:pt idx="209">
                  <c:v>46051</c:v>
                </c:pt>
                <c:pt idx="210">
                  <c:v>46052</c:v>
                </c:pt>
                <c:pt idx="211">
                  <c:v>46055</c:v>
                </c:pt>
                <c:pt idx="212">
                  <c:v>46056</c:v>
                </c:pt>
                <c:pt idx="213">
                  <c:v>46057</c:v>
                </c:pt>
                <c:pt idx="214">
                  <c:v>46058</c:v>
                </c:pt>
                <c:pt idx="215">
                  <c:v>46059</c:v>
                </c:pt>
                <c:pt idx="216">
                  <c:v>46062</c:v>
                </c:pt>
                <c:pt idx="217">
                  <c:v>46063</c:v>
                </c:pt>
                <c:pt idx="218">
                  <c:v>46064</c:v>
                </c:pt>
                <c:pt idx="219">
                  <c:v>46065</c:v>
                </c:pt>
                <c:pt idx="220">
                  <c:v>46066</c:v>
                </c:pt>
                <c:pt idx="221">
                  <c:v>46070</c:v>
                </c:pt>
                <c:pt idx="222">
                  <c:v>46071</c:v>
                </c:pt>
                <c:pt idx="223">
                  <c:v>46072</c:v>
                </c:pt>
                <c:pt idx="224">
                  <c:v>46073</c:v>
                </c:pt>
                <c:pt idx="225">
                  <c:v>46076</c:v>
                </c:pt>
                <c:pt idx="226">
                  <c:v>46077</c:v>
                </c:pt>
                <c:pt idx="227">
                  <c:v>46078</c:v>
                </c:pt>
                <c:pt idx="228">
                  <c:v>46079</c:v>
                </c:pt>
                <c:pt idx="229">
                  <c:v>46080</c:v>
                </c:pt>
                <c:pt idx="230">
                  <c:v>46083</c:v>
                </c:pt>
                <c:pt idx="231">
                  <c:v>46084</c:v>
                </c:pt>
                <c:pt idx="232">
                  <c:v>46085</c:v>
                </c:pt>
                <c:pt idx="233">
                  <c:v>46086</c:v>
                </c:pt>
                <c:pt idx="234">
                  <c:v>46087</c:v>
                </c:pt>
                <c:pt idx="235">
                  <c:v>46090</c:v>
                </c:pt>
                <c:pt idx="236">
                  <c:v>46091</c:v>
                </c:pt>
                <c:pt idx="237">
                  <c:v>46092</c:v>
                </c:pt>
                <c:pt idx="238">
                  <c:v>46093</c:v>
                </c:pt>
                <c:pt idx="239">
                  <c:v>46094</c:v>
                </c:pt>
                <c:pt idx="240">
                  <c:v>46097</c:v>
                </c:pt>
                <c:pt idx="241">
                  <c:v>46098</c:v>
                </c:pt>
                <c:pt idx="242">
                  <c:v>46099</c:v>
                </c:pt>
                <c:pt idx="243">
                  <c:v>46100</c:v>
                </c:pt>
                <c:pt idx="244">
                  <c:v>46101</c:v>
                </c:pt>
                <c:pt idx="245">
                  <c:v>46104</c:v>
                </c:pt>
                <c:pt idx="246">
                  <c:v>46105</c:v>
                </c:pt>
                <c:pt idx="247">
                  <c:v>46106</c:v>
                </c:pt>
                <c:pt idx="248">
                  <c:v>46107</c:v>
                </c:pt>
                <c:pt idx="249">
                  <c:v>46108</c:v>
                </c:pt>
                <c:pt idx="250">
                  <c:v>46111</c:v>
                </c:pt>
              </c:numCache>
            </c:numRef>
          </c:cat>
          <c:val>
            <c:numRef>
              <c:f>'Index Snapshot'!$E$129:$E$380</c:f>
              <c:numCache>
                <c:formatCode>#,##0.00</c:formatCode>
                <c:ptCount val="252"/>
                <c:pt idx="0">
                  <c:v>3.7338744437332201</c:v>
                </c:pt>
                <c:pt idx="1">
                  <c:v>2.8300101227054602</c:v>
                </c:pt>
                <c:pt idx="2">
                  <c:v>2.8085524538383502</c:v>
                </c:pt>
                <c:pt idx="3">
                  <c:v>5.0639036016502397</c:v>
                </c:pt>
                <c:pt idx="4">
                  <c:v>6.1591118366775497</c:v>
                </c:pt>
                <c:pt idx="5">
                  <c:v>6.3502398599681902</c:v>
                </c:pt>
                <c:pt idx="6">
                  <c:v>5.1817223733673101</c:v>
                </c:pt>
                <c:pt idx="7">
                  <c:v>6.7882305484638197</c:v>
                </c:pt>
                <c:pt idx="8">
                  <c:v>4.8647768619709</c:v>
                </c:pt>
                <c:pt idx="9">
                  <c:v>3.7795671652469598</c:v>
                </c:pt>
                <c:pt idx="10">
                  <c:v>3.31429649631882</c:v>
                </c:pt>
                <c:pt idx="11">
                  <c:v>2.9249562682571399</c:v>
                </c:pt>
                <c:pt idx="12">
                  <c:v>3.4071995591506998</c:v>
                </c:pt>
                <c:pt idx="13">
                  <c:v>3.2333630264453901</c:v>
                </c:pt>
                <c:pt idx="14">
                  <c:v>3.0603646972961398</c:v>
                </c:pt>
                <c:pt idx="15">
                  <c:v>3.18436022184753</c:v>
                </c:pt>
                <c:pt idx="16">
                  <c:v>3.6208710959835102</c:v>
                </c:pt>
                <c:pt idx="17">
                  <c:v>3.2492113639240299</c:v>
                </c:pt>
                <c:pt idx="18">
                  <c:v>2.9904213807210902</c:v>
                </c:pt>
                <c:pt idx="19">
                  <c:v>2.8154231700782799</c:v>
                </c:pt>
                <c:pt idx="20">
                  <c:v>2.8121689512710599</c:v>
                </c:pt>
                <c:pt idx="21">
                  <c:v>3.6586194563732102</c:v>
                </c:pt>
                <c:pt idx="22">
                  <c:v>3.2617226238145798</c:v>
                </c:pt>
                <c:pt idx="23">
                  <c:v>3.0457872583303498</c:v>
                </c:pt>
                <c:pt idx="24">
                  <c:v>2.7548137809610398</c:v>
                </c:pt>
                <c:pt idx="25">
                  <c:v>2.84248940015125</c:v>
                </c:pt>
                <c:pt idx="26">
                  <c:v>3.2399368406829798</c:v>
                </c:pt>
                <c:pt idx="27">
                  <c:v>3.25166665661621</c:v>
                </c:pt>
                <c:pt idx="28">
                  <c:v>2.4838820849132501</c:v>
                </c:pt>
                <c:pt idx="29">
                  <c:v>3.81640240061378</c:v>
                </c:pt>
                <c:pt idx="30">
                  <c:v>3.5957283755912801</c:v>
                </c:pt>
                <c:pt idx="31">
                  <c:v>3.4865115895462</c:v>
                </c:pt>
                <c:pt idx="32">
                  <c:v>3.1956898417892501</c:v>
                </c:pt>
                <c:pt idx="33">
                  <c:v>3.0081369988594102</c:v>
                </c:pt>
                <c:pt idx="34">
                  <c:v>2.6080908401231802</c:v>
                </c:pt>
                <c:pt idx="35">
                  <c:v>2.5703188244075799</c:v>
                </c:pt>
                <c:pt idx="36">
                  <c:v>3.15779856521225</c:v>
                </c:pt>
                <c:pt idx="37">
                  <c:v>2.8018130200071298</c:v>
                </c:pt>
                <c:pt idx="38">
                  <c:v>2.5764871240482301</c:v>
                </c:pt>
                <c:pt idx="39">
                  <c:v>2.9279572448749498</c:v>
                </c:pt>
                <c:pt idx="40">
                  <c:v>2.6787539851551099</c:v>
                </c:pt>
                <c:pt idx="41">
                  <c:v>2.88077289991379</c:v>
                </c:pt>
                <c:pt idx="42">
                  <c:v>4.8597515201492296</c:v>
                </c:pt>
                <c:pt idx="43">
                  <c:v>2.7768769123191799</c:v>
                </c:pt>
                <c:pt idx="44">
                  <c:v>3.0132787003002202</c:v>
                </c:pt>
                <c:pt idx="45">
                  <c:v>2.7015863027763398</c:v>
                </c:pt>
                <c:pt idx="46">
                  <c:v>3.1812677931995399</c:v>
                </c:pt>
                <c:pt idx="47">
                  <c:v>2.58854658942795</c:v>
                </c:pt>
                <c:pt idx="48">
                  <c:v>2.9180584154892002</c:v>
                </c:pt>
                <c:pt idx="49">
                  <c:v>3.0450210134010298</c:v>
                </c:pt>
                <c:pt idx="50">
                  <c:v>2.9967012253932999</c:v>
                </c:pt>
                <c:pt idx="51">
                  <c:v>2.6378149830741902</c:v>
                </c:pt>
                <c:pt idx="52">
                  <c:v>3.0473720556983901</c:v>
                </c:pt>
                <c:pt idx="53">
                  <c:v>2.9003549079475399</c:v>
                </c:pt>
                <c:pt idx="54">
                  <c:v>2.8664898858413701</c:v>
                </c:pt>
                <c:pt idx="55">
                  <c:v>2.96490631438065</c:v>
                </c:pt>
                <c:pt idx="56">
                  <c:v>5.1749479116020201</c:v>
                </c:pt>
                <c:pt idx="57">
                  <c:v>3.2915909624595598</c:v>
                </c:pt>
                <c:pt idx="58">
                  <c:v>3.3143101640052799</c:v>
                </c:pt>
                <c:pt idx="59">
                  <c:v>2.9080275708904302</c:v>
                </c:pt>
                <c:pt idx="60">
                  <c:v>3.0711861528587301</c:v>
                </c:pt>
                <c:pt idx="61">
                  <c:v>4.6809033769168904</c:v>
                </c:pt>
                <c:pt idx="62">
                  <c:v>3.3847324325694998</c:v>
                </c:pt>
                <c:pt idx="63">
                  <c:v>3.6039225414676701</c:v>
                </c:pt>
                <c:pt idx="64">
                  <c:v>3.1646487982845302</c:v>
                </c:pt>
                <c:pt idx="65">
                  <c:v>1.85186918177795</c:v>
                </c:pt>
                <c:pt idx="66">
                  <c:v>2.7658256157341001</c:v>
                </c:pt>
                <c:pt idx="67">
                  <c:v>3.0411581955642699</c:v>
                </c:pt>
                <c:pt idx="68">
                  <c:v>2.8332758844585402</c:v>
                </c:pt>
                <c:pt idx="69">
                  <c:v>2.8673110215187099</c:v>
                </c:pt>
                <c:pt idx="70">
                  <c:v>2.6766616497964901</c:v>
                </c:pt>
                <c:pt idx="71">
                  <c:v>2.7414816866951002</c:v>
                </c:pt>
                <c:pt idx="72">
                  <c:v>3.1376592670268999</c:v>
                </c:pt>
                <c:pt idx="73">
                  <c:v>2.9973647294025398</c:v>
                </c:pt>
                <c:pt idx="74">
                  <c:v>3.0921023817853901</c:v>
                </c:pt>
                <c:pt idx="75">
                  <c:v>3.1446972363586401</c:v>
                </c:pt>
                <c:pt idx="76">
                  <c:v>2.7221772797336601</c:v>
                </c:pt>
                <c:pt idx="77">
                  <c:v>3.0576610504646302</c:v>
                </c:pt>
                <c:pt idx="78">
                  <c:v>3.3081438329620401</c:v>
                </c:pt>
                <c:pt idx="79">
                  <c:v>3.4316793310909302</c:v>
                </c:pt>
                <c:pt idx="80">
                  <c:v>3.0233245984993</c:v>
                </c:pt>
                <c:pt idx="81">
                  <c:v>2.8862802603912399</c:v>
                </c:pt>
                <c:pt idx="82">
                  <c:v>3.27941425319767</c:v>
                </c:pt>
                <c:pt idx="83">
                  <c:v>3.3508977563190498</c:v>
                </c:pt>
                <c:pt idx="84">
                  <c:v>4.12232998287773</c:v>
                </c:pt>
                <c:pt idx="85">
                  <c:v>3.6655457367792099</c:v>
                </c:pt>
                <c:pt idx="86">
                  <c:v>3.0295454659318901</c:v>
                </c:pt>
                <c:pt idx="87">
                  <c:v>3.2174444269752498</c:v>
                </c:pt>
                <c:pt idx="88">
                  <c:v>3.3326699264869699</c:v>
                </c:pt>
                <c:pt idx="89">
                  <c:v>3.1851031365337401</c:v>
                </c:pt>
                <c:pt idx="90">
                  <c:v>2.8751557822389602</c:v>
                </c:pt>
                <c:pt idx="91">
                  <c:v>2.94699680720043</c:v>
                </c:pt>
                <c:pt idx="92">
                  <c:v>2.9340613074579198</c:v>
                </c:pt>
                <c:pt idx="93">
                  <c:v>3.1193861893424999</c:v>
                </c:pt>
                <c:pt idx="94">
                  <c:v>2.7928178754558601</c:v>
                </c:pt>
                <c:pt idx="95">
                  <c:v>3.1478349637231799</c:v>
                </c:pt>
                <c:pt idx="96">
                  <c:v>2.60752608096695</c:v>
                </c:pt>
                <c:pt idx="97">
                  <c:v>2.98344885679245</c:v>
                </c:pt>
                <c:pt idx="98">
                  <c:v>3.0653845816707599</c:v>
                </c:pt>
                <c:pt idx="99">
                  <c:v>2.43279635451889</c:v>
                </c:pt>
                <c:pt idx="100">
                  <c:v>3.08617686477089</c:v>
                </c:pt>
                <c:pt idx="101">
                  <c:v>2.53184380273342</c:v>
                </c:pt>
                <c:pt idx="102">
                  <c:v>3.2631193852615401</c:v>
                </c:pt>
                <c:pt idx="103">
                  <c:v>2.9695820385961502</c:v>
                </c:pt>
                <c:pt idx="104">
                  <c:v>2.6419182203607599</c:v>
                </c:pt>
                <c:pt idx="105">
                  <c:v>2.5829700635395101</c:v>
                </c:pt>
                <c:pt idx="106">
                  <c:v>2.9032575225563</c:v>
                </c:pt>
                <c:pt idx="107">
                  <c:v>2.8264073797617</c:v>
                </c:pt>
                <c:pt idx="108">
                  <c:v>2.7704629503173801</c:v>
                </c:pt>
                <c:pt idx="109">
                  <c:v>3.1845058842229799</c:v>
                </c:pt>
                <c:pt idx="110">
                  <c:v>3.0451642316408201</c:v>
                </c:pt>
                <c:pt idx="111">
                  <c:v>2.7278610245533002</c:v>
                </c:pt>
                <c:pt idx="112">
                  <c:v>3.2148880735664398</c:v>
                </c:pt>
                <c:pt idx="113">
                  <c:v>3.3017453566169701</c:v>
                </c:pt>
                <c:pt idx="114">
                  <c:v>3.0192650832672099</c:v>
                </c:pt>
                <c:pt idx="115">
                  <c:v>2.9451881680984502</c:v>
                </c:pt>
                <c:pt idx="116">
                  <c:v>2.9195227303733802</c:v>
                </c:pt>
                <c:pt idx="117">
                  <c:v>3.0757387331047101</c:v>
                </c:pt>
                <c:pt idx="118">
                  <c:v>3.5007388311443299</c:v>
                </c:pt>
                <c:pt idx="119">
                  <c:v>6.0038272848434504</c:v>
                </c:pt>
                <c:pt idx="120">
                  <c:v>3.3557085312957802</c:v>
                </c:pt>
                <c:pt idx="121">
                  <c:v>3.1412429235353501</c:v>
                </c:pt>
                <c:pt idx="122">
                  <c:v>3.0299535601596799</c:v>
                </c:pt>
                <c:pt idx="123">
                  <c:v>3.3106084784679402</c:v>
                </c:pt>
                <c:pt idx="124">
                  <c:v>2.9227602203960399</c:v>
                </c:pt>
                <c:pt idx="125">
                  <c:v>3.25292940638447</c:v>
                </c:pt>
                <c:pt idx="126">
                  <c:v>3.5597019993286101</c:v>
                </c:pt>
                <c:pt idx="127">
                  <c:v>3.5557938840360599</c:v>
                </c:pt>
                <c:pt idx="128">
                  <c:v>3.0720647874765401</c:v>
                </c:pt>
                <c:pt idx="129">
                  <c:v>2.93319469953728</c:v>
                </c:pt>
                <c:pt idx="130">
                  <c:v>3.3148639419927601</c:v>
                </c:pt>
                <c:pt idx="131">
                  <c:v>3.0693222261009199</c:v>
                </c:pt>
                <c:pt idx="132">
                  <c:v>2.9515060953330998</c:v>
                </c:pt>
                <c:pt idx="133">
                  <c:v>2.8278596503772699</c:v>
                </c:pt>
                <c:pt idx="134">
                  <c:v>3.6079699900436402</c:v>
                </c:pt>
                <c:pt idx="135">
                  <c:v>2.7651353247089401</c:v>
                </c:pt>
                <c:pt idx="136">
                  <c:v>2.9973863256378199</c:v>
                </c:pt>
                <c:pt idx="137">
                  <c:v>2.9977059258747101</c:v>
                </c:pt>
                <c:pt idx="138">
                  <c:v>3.3265110306663499</c:v>
                </c:pt>
                <c:pt idx="139">
                  <c:v>3.1643201303978001</c:v>
                </c:pt>
                <c:pt idx="140">
                  <c:v>2.7203343434066798</c:v>
                </c:pt>
                <c:pt idx="141">
                  <c:v>3.1946685334796898</c:v>
                </c:pt>
                <c:pt idx="142">
                  <c:v>3.59101697031879</c:v>
                </c:pt>
                <c:pt idx="143">
                  <c:v>3.3968669106864899</c:v>
                </c:pt>
                <c:pt idx="144">
                  <c:v>3.0797000875873599</c:v>
                </c:pt>
                <c:pt idx="145">
                  <c:v>3.3194512978687301</c:v>
                </c:pt>
                <c:pt idx="146">
                  <c:v>3.4035073536529499</c:v>
                </c:pt>
                <c:pt idx="147">
                  <c:v>4.0093891582546197</c:v>
                </c:pt>
                <c:pt idx="148">
                  <c:v>3.96509712294197</c:v>
                </c:pt>
                <c:pt idx="149">
                  <c:v>3.8411635146083798</c:v>
                </c:pt>
                <c:pt idx="150">
                  <c:v>3.7932978045291899</c:v>
                </c:pt>
                <c:pt idx="151">
                  <c:v>3.8346288188514701</c:v>
                </c:pt>
                <c:pt idx="152">
                  <c:v>3.5259138310127298</c:v>
                </c:pt>
                <c:pt idx="153">
                  <c:v>3.6645984328947101</c:v>
                </c:pt>
                <c:pt idx="154">
                  <c:v>3.6102827850894901</c:v>
                </c:pt>
                <c:pt idx="155">
                  <c:v>3.2050316642513299</c:v>
                </c:pt>
                <c:pt idx="156">
                  <c:v>2.8468696760482799</c:v>
                </c:pt>
                <c:pt idx="157">
                  <c:v>2.9966411587295498</c:v>
                </c:pt>
                <c:pt idx="158">
                  <c:v>3.4336611217517898</c:v>
                </c:pt>
                <c:pt idx="159">
                  <c:v>3.1571270208167999</c:v>
                </c:pt>
                <c:pt idx="160">
                  <c:v>3.1965893270816799</c:v>
                </c:pt>
                <c:pt idx="161">
                  <c:v>3.3082984237708999</c:v>
                </c:pt>
                <c:pt idx="162">
                  <c:v>3.1722559309568399</c:v>
                </c:pt>
                <c:pt idx="163">
                  <c:v>3.7469387483463299</c:v>
                </c:pt>
                <c:pt idx="164">
                  <c:v>4.0211437876930196</c:v>
                </c:pt>
                <c:pt idx="165">
                  <c:v>4.5107270487937896</c:v>
                </c:pt>
                <c:pt idx="166">
                  <c:v>3.3165793925018301</c:v>
                </c:pt>
                <c:pt idx="167">
                  <c:v>2.7342379461860702</c:v>
                </c:pt>
                <c:pt idx="168">
                  <c:v>1.49172068597651</c:v>
                </c:pt>
                <c:pt idx="169">
                  <c:v>2.83377763450813</c:v>
                </c:pt>
                <c:pt idx="170">
                  <c:v>3.0384422971077001</c:v>
                </c:pt>
                <c:pt idx="171">
                  <c:v>3.0130102505588501</c:v>
                </c:pt>
                <c:pt idx="172">
                  <c:v>3.00489755256462</c:v>
                </c:pt>
                <c:pt idx="173">
                  <c:v>3.1809888558616599</c:v>
                </c:pt>
                <c:pt idx="174">
                  <c:v>3.2348048684692401</c:v>
                </c:pt>
                <c:pt idx="175">
                  <c:v>2.7939724162044501</c:v>
                </c:pt>
                <c:pt idx="176">
                  <c:v>3.5691945361709601</c:v>
                </c:pt>
                <c:pt idx="177">
                  <c:v>3.2005128736514998</c:v>
                </c:pt>
                <c:pt idx="178">
                  <c:v>3.22842341406822</c:v>
                </c:pt>
                <c:pt idx="179">
                  <c:v>3.3651174420242298</c:v>
                </c:pt>
                <c:pt idx="180">
                  <c:v>3.2826458020095801</c:v>
                </c:pt>
                <c:pt idx="181">
                  <c:v>3.5157577246322602</c:v>
                </c:pt>
                <c:pt idx="182">
                  <c:v>3.3991990462608301</c:v>
                </c:pt>
                <c:pt idx="183">
                  <c:v>6.8965853023071304</c:v>
                </c:pt>
                <c:pt idx="184">
                  <c:v>2.6654172498188</c:v>
                </c:pt>
                <c:pt idx="185">
                  <c:v>2.2659979219760902</c:v>
                </c:pt>
                <c:pt idx="186">
                  <c:v>1.0792240303773899</c:v>
                </c:pt>
                <c:pt idx="187">
                  <c:v>1.47850414243698</c:v>
                </c:pt>
                <c:pt idx="188">
                  <c:v>2.0002734477615398</c:v>
                </c:pt>
                <c:pt idx="189">
                  <c:v>1.73850699066067</c:v>
                </c:pt>
                <c:pt idx="190">
                  <c:v>1.73604022932625</c:v>
                </c:pt>
                <c:pt idx="191">
                  <c:v>2.6591682507343299</c:v>
                </c:pt>
                <c:pt idx="192">
                  <c:v>3.5073007904377</c:v>
                </c:pt>
                <c:pt idx="193">
                  <c:v>3.3266301024093599</c:v>
                </c:pt>
                <c:pt idx="194">
                  <c:v>3.23388731050491</c:v>
                </c:pt>
                <c:pt idx="195">
                  <c:v>3.18953186926842</c:v>
                </c:pt>
                <c:pt idx="196">
                  <c:v>2.97026521955872</c:v>
                </c:pt>
                <c:pt idx="197">
                  <c:v>3.0294347808876001</c:v>
                </c:pt>
                <c:pt idx="198">
                  <c:v>3.2167935975475301</c:v>
                </c:pt>
                <c:pt idx="199">
                  <c:v>3.3651601835746798</c:v>
                </c:pt>
                <c:pt idx="200">
                  <c:v>3.16301815807343</c:v>
                </c:pt>
                <c:pt idx="201">
                  <c:v>4.0505948015213002</c:v>
                </c:pt>
                <c:pt idx="202">
                  <c:v>3.95297050091171</c:v>
                </c:pt>
                <c:pt idx="203">
                  <c:v>3.84766282458496</c:v>
                </c:pt>
                <c:pt idx="204">
                  <c:v>3.3758866410141</c:v>
                </c:pt>
                <c:pt idx="205">
                  <c:v>3.2623538494529698</c:v>
                </c:pt>
                <c:pt idx="206">
                  <c:v>3.01624616251183</c:v>
                </c:pt>
                <c:pt idx="207">
                  <c:v>3.2687398155326801</c:v>
                </c:pt>
                <c:pt idx="208">
                  <c:v>3.39451799150658</c:v>
                </c:pt>
                <c:pt idx="209">
                  <c:v>4.1617551549224796</c:v>
                </c:pt>
                <c:pt idx="210">
                  <c:v>4.2962745629386898</c:v>
                </c:pt>
                <c:pt idx="211">
                  <c:v>3.6368136138915999</c:v>
                </c:pt>
                <c:pt idx="212">
                  <c:v>4.5814166786289201</c:v>
                </c:pt>
                <c:pt idx="213">
                  <c:v>5.1817941500778204</c:v>
                </c:pt>
                <c:pt idx="214">
                  <c:v>4.38832036423302</c:v>
                </c:pt>
                <c:pt idx="215">
                  <c:v>3.8768088665199301</c:v>
                </c:pt>
                <c:pt idx="216">
                  <c:v>3.4021726025619499</c:v>
                </c:pt>
                <c:pt idx="217">
                  <c:v>3.5334952558441199</c:v>
                </c:pt>
                <c:pt idx="218">
                  <c:v>3.7843370811424299</c:v>
                </c:pt>
                <c:pt idx="219">
                  <c:v>4.5689904745235399</c:v>
                </c:pt>
                <c:pt idx="220">
                  <c:v>3.4459201400528001</c:v>
                </c:pt>
                <c:pt idx="221">
                  <c:v>3.3432103951015502</c:v>
                </c:pt>
                <c:pt idx="222">
                  <c:v>3.0859183241081198</c:v>
                </c:pt>
                <c:pt idx="223">
                  <c:v>2.9341303264579799</c:v>
                </c:pt>
                <c:pt idx="224">
                  <c:v>3.3803856237220802</c:v>
                </c:pt>
                <c:pt idx="225">
                  <c:v>3.2871895930232999</c:v>
                </c:pt>
                <c:pt idx="226">
                  <c:v>3.2185471388015698</c:v>
                </c:pt>
                <c:pt idx="227">
                  <c:v>3.33946941080475</c:v>
                </c:pt>
                <c:pt idx="228">
                  <c:v>3.5089520973758699</c:v>
                </c:pt>
                <c:pt idx="229">
                  <c:v>4.6269359266033199</c:v>
                </c:pt>
                <c:pt idx="230">
                  <c:v>3.5151887063980101</c:v>
                </c:pt>
                <c:pt idx="231">
                  <c:v>3.5553636385860399</c:v>
                </c:pt>
                <c:pt idx="232">
                  <c:v>3.2497924244651801</c:v>
                </c:pt>
                <c:pt idx="233">
                  <c:v>3.7351205000877399</c:v>
                </c:pt>
                <c:pt idx="234">
                  <c:v>3.4197108236465499</c:v>
                </c:pt>
                <c:pt idx="235">
                  <c:v>3.7444786276245101</c:v>
                </c:pt>
                <c:pt idx="236">
                  <c:v>3.1778632526950799</c:v>
                </c:pt>
                <c:pt idx="237">
                  <c:v>3.0188170153465301</c:v>
                </c:pt>
                <c:pt idx="238">
                  <c:v>3.51914509366989</c:v>
                </c:pt>
                <c:pt idx="239">
                  <c:v>2.9841879692878699</c:v>
                </c:pt>
                <c:pt idx="240">
                  <c:v>3.0516654446926101</c:v>
                </c:pt>
                <c:pt idx="241">
                  <c:v>2.9412174911594402</c:v>
                </c:pt>
                <c:pt idx="242">
                  <c:v>3.05368405043221</c:v>
                </c:pt>
                <c:pt idx="243">
                  <c:v>3.2818008912219998</c:v>
                </c:pt>
                <c:pt idx="244">
                  <c:v>7.0643072938842799</c:v>
                </c:pt>
                <c:pt idx="245">
                  <c:v>3.5065397770156901</c:v>
                </c:pt>
                <c:pt idx="246">
                  <c:v>3.1339090708179498</c:v>
                </c:pt>
                <c:pt idx="247">
                  <c:v>2.9569652908344302</c:v>
                </c:pt>
                <c:pt idx="248">
                  <c:v>3.0446636249580399</c:v>
                </c:pt>
                <c:pt idx="249">
                  <c:v>3.1755937886123702</c:v>
                </c:pt>
                <c:pt idx="250">
                  <c:v>3.3291427863254501</c:v>
                </c:pt>
              </c:numCache>
            </c:numRef>
          </c:val>
          <c:extLst>
            <c:ext xmlns:c16="http://schemas.microsoft.com/office/drawing/2014/chart" uri="{C3380CC4-5D6E-409C-BE32-E72D297353CC}">
              <c16:uniqueId val="{00000000-BF6F-4C3B-B950-805F0FA2C31D}"/>
            </c:ext>
          </c:extLst>
        </c:ser>
        <c:dLbls>
          <c:showLegendKey val="0"/>
          <c:showVal val="0"/>
          <c:showCatName val="0"/>
          <c:showSerName val="0"/>
          <c:showPercent val="0"/>
          <c:showBubbleSize val="0"/>
        </c:dLbls>
        <c:gapWidth val="150"/>
        <c:axId val="2664083"/>
        <c:axId val="10149569"/>
      </c:barChart>
      <c:dateAx>
        <c:axId val="2664083"/>
        <c:scaling>
          <c:orientation val="minMax"/>
        </c:scaling>
        <c:delete val="0"/>
        <c:axPos val="b"/>
        <c:majorGridlines>
          <c:spPr>
            <a:ln w="9525" cap="flat" cmpd="sng">
              <a:solidFill>
                <a:srgbClr val="FFFFFF">
                  <a:lumMod val="75000"/>
                </a:srgbClr>
              </a:solidFill>
            </a:ln>
            <a:effectLst/>
          </c:spPr>
        </c:majorGridlines>
        <c:numFmt formatCode="mmm\-yy" sourceLinked="0"/>
        <c:majorTickMark val="in"/>
        <c:minorTickMark val="none"/>
        <c:tickLblPos val="nextTo"/>
        <c:spPr>
          <a:ln w="12700" cap="flat" cmpd="sng">
            <a:solidFill>
              <a:srgbClr val="E1E1E1"/>
            </a:solidFill>
            <a:prstDash val="solid"/>
          </a:ln>
          <a:effectLst/>
        </c:spPr>
        <c:txPr>
          <a:bodyPr rot="0" vert="horz" wrap="square"/>
          <a:lstStyle/>
          <a:p>
            <a:pPr>
              <a:defRPr lang="en-US" sz="800" b="0" i="0" u="none" baseline="0">
                <a:solidFill>
                  <a:srgbClr val="000000"/>
                </a:solidFill>
                <a:latin typeface="Arial"/>
                <a:ea typeface="Arial"/>
                <a:cs typeface="Arial"/>
              </a:defRPr>
            </a:pPr>
            <a:endParaRPr lang="en-US"/>
          </a:p>
        </c:txPr>
        <c:crossAx val="10149569"/>
        <c:crosses val="autoZero"/>
        <c:auto val="1"/>
        <c:lblOffset val="100"/>
        <c:baseTimeUnit val="days"/>
      </c:dateAx>
      <c:valAx>
        <c:axId val="10149569"/>
        <c:scaling>
          <c:orientation val="minMax"/>
        </c:scaling>
        <c:delete val="0"/>
        <c:axPos val="l"/>
        <c:numFmt formatCode="#,##0" sourceLinked="0"/>
        <c:majorTickMark val="in"/>
        <c:minorTickMark val="none"/>
        <c:tickLblPos val="nextTo"/>
        <c:spPr>
          <a:ln w="12700" cap="flat" cmpd="sng">
            <a:solidFill>
              <a:srgbClr val="E1E1E1"/>
            </a:solidFill>
            <a:prstDash val="solid"/>
          </a:ln>
          <a:effectLst/>
        </c:spPr>
        <c:txPr>
          <a:bodyPr rot="0" vert="horz" wrap="square"/>
          <a:lstStyle/>
          <a:p>
            <a:pPr>
              <a:defRPr lang="en-US" sz="800" b="0" i="0" u="none" baseline="0">
                <a:solidFill>
                  <a:srgbClr val="000000"/>
                </a:solidFill>
                <a:latin typeface="Arial"/>
                <a:ea typeface="Arial"/>
                <a:cs typeface="Arial"/>
              </a:defRPr>
            </a:pPr>
            <a:endParaRPr lang="en-US"/>
          </a:p>
        </c:txPr>
        <c:crossAx val="2664083"/>
        <c:crosses val="autoZero"/>
        <c:crossBetween val="between"/>
      </c:valAx>
      <c:spPr>
        <a:gradFill rotWithShape="1">
          <a:gsLst>
            <a:gs pos="0">
              <a:schemeClr val="bg1"/>
            </a:gs>
            <a:gs pos="100000">
              <a:srgbClr val="F0F0F0"/>
            </a:gs>
          </a:gsLst>
          <a:lin ang="5400000"/>
          <a:tileRect/>
        </a:gradFill>
        <a:ln w="12700" cap="flat" cmpd="sng">
          <a:solidFill>
            <a:srgbClr val="E1E1E1"/>
          </a:solidFill>
        </a:ln>
        <a:effectLst/>
      </c:spPr>
    </c:plotArea>
    <c:legend>
      <c:legendPos val="t"/>
      <c:overlay val="0"/>
    </c:legend>
    <c:plotVisOnly val="0"/>
    <c:dispBlanksAs val="gap"/>
    <c:showDLblsOverMax val="0"/>
  </c:chart>
  <c:spPr>
    <a:noFill/>
    <a:ln w="3175">
      <a:noFill/>
      <a:prstDash val="solid"/>
    </a:ln>
    <a:effectLst/>
  </c:spPr>
  <c:txPr>
    <a:bodyPr rot="0" vert="horz" wrap="square"/>
    <a:lstStyle/>
    <a:p>
      <a:pPr>
        <a:defRPr lang="en-US" sz="800" b="0" i="0" u="non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lgn="l">
              <a:defRPr lang="en-US" sz="1100" b="1" i="0" u="none" baseline="0">
                <a:solidFill>
                  <a:srgbClr val="000000"/>
                </a:solidFill>
                <a:latin typeface="Arial"/>
                <a:ea typeface="Arial"/>
              </a:defRPr>
            </a:pPr>
            <a:r>
              <a:rPr lang="en-US"/>
              <a:t>Technical Analysis</a:t>
            </a:r>
          </a:p>
        </c:rich>
      </c:tx>
      <c:layout>
        <c:manualLayout>
          <c:xMode val="edge"/>
          <c:yMode val="edge"/>
          <c:x val="3.7499999999999999E-2"/>
          <c:y val="7.1499999999999994E-2"/>
        </c:manualLayout>
      </c:layout>
      <c:overlay val="0"/>
      <c:spPr>
        <a:noFill/>
        <a:ln w="25400">
          <a:noFill/>
        </a:ln>
        <a:effectLst/>
      </c:spPr>
    </c:title>
    <c:autoTitleDeleted val="0"/>
    <c:plotArea>
      <c:layout>
        <c:manualLayout>
          <c:layoutTarget val="inner"/>
          <c:xMode val="edge"/>
          <c:yMode val="edge"/>
          <c:x val="8.9499999999999996E-2"/>
          <c:y val="0.30925000000000002"/>
          <c:w val="0.77975000000000005"/>
          <c:h val="0.53674999999999995"/>
        </c:manualLayout>
      </c:layout>
      <c:lineChart>
        <c:grouping val="standard"/>
        <c:varyColors val="0"/>
        <c:ser>
          <c:idx val="0"/>
          <c:order val="0"/>
          <c:tx>
            <c:strRef>
              <c:f>'Index Snapshot'!$F$128</c:f>
              <c:strCache>
                <c:ptCount val="1"/>
                <c:pt idx="0">
                  <c:v>S&amp;P 500 - Advance/Decline Line</c:v>
                </c:pt>
              </c:strCache>
            </c:strRef>
          </c:tx>
          <c:spPr>
            <a:ln w="15875" cmpd="sng">
              <a:solidFill>
                <a:srgbClr val="00AEEF"/>
              </a:solidFill>
              <a:prstDash val="solid"/>
            </a:ln>
            <a:effectLst/>
          </c:spPr>
          <c:marker>
            <c:symbol val="none"/>
          </c:marker>
          <c:cat>
            <c:numRef>
              <c:f>'Index Snapshot'!$C$129:$C$380</c:f>
              <c:numCache>
                <c:formatCode>m/d/yy</c:formatCode>
                <c:ptCount val="252"/>
                <c:pt idx="0">
                  <c:v>45747</c:v>
                </c:pt>
                <c:pt idx="1">
                  <c:v>45748</c:v>
                </c:pt>
                <c:pt idx="2">
                  <c:v>45749</c:v>
                </c:pt>
                <c:pt idx="3">
                  <c:v>45750</c:v>
                </c:pt>
                <c:pt idx="4">
                  <c:v>45751</c:v>
                </c:pt>
                <c:pt idx="5">
                  <c:v>45754</c:v>
                </c:pt>
                <c:pt idx="6">
                  <c:v>45755</c:v>
                </c:pt>
                <c:pt idx="7">
                  <c:v>45756</c:v>
                </c:pt>
                <c:pt idx="8">
                  <c:v>45757</c:v>
                </c:pt>
                <c:pt idx="9">
                  <c:v>45758</c:v>
                </c:pt>
                <c:pt idx="10">
                  <c:v>45761</c:v>
                </c:pt>
                <c:pt idx="11">
                  <c:v>45762</c:v>
                </c:pt>
                <c:pt idx="12">
                  <c:v>45763</c:v>
                </c:pt>
                <c:pt idx="13">
                  <c:v>45764</c:v>
                </c:pt>
                <c:pt idx="14">
                  <c:v>45768</c:v>
                </c:pt>
                <c:pt idx="15">
                  <c:v>45769</c:v>
                </c:pt>
                <c:pt idx="16">
                  <c:v>45770</c:v>
                </c:pt>
                <c:pt idx="17">
                  <c:v>45771</c:v>
                </c:pt>
                <c:pt idx="18">
                  <c:v>45772</c:v>
                </c:pt>
                <c:pt idx="19">
                  <c:v>45775</c:v>
                </c:pt>
                <c:pt idx="20">
                  <c:v>45776</c:v>
                </c:pt>
                <c:pt idx="21">
                  <c:v>45777</c:v>
                </c:pt>
                <c:pt idx="22">
                  <c:v>45778</c:v>
                </c:pt>
                <c:pt idx="23">
                  <c:v>45779</c:v>
                </c:pt>
                <c:pt idx="24">
                  <c:v>45782</c:v>
                </c:pt>
                <c:pt idx="25">
                  <c:v>45783</c:v>
                </c:pt>
                <c:pt idx="26">
                  <c:v>45784</c:v>
                </c:pt>
                <c:pt idx="27">
                  <c:v>45785</c:v>
                </c:pt>
                <c:pt idx="28">
                  <c:v>45786</c:v>
                </c:pt>
                <c:pt idx="29">
                  <c:v>45789</c:v>
                </c:pt>
                <c:pt idx="30">
                  <c:v>45790</c:v>
                </c:pt>
                <c:pt idx="31">
                  <c:v>45791</c:v>
                </c:pt>
                <c:pt idx="32">
                  <c:v>45792</c:v>
                </c:pt>
                <c:pt idx="33">
                  <c:v>45793</c:v>
                </c:pt>
                <c:pt idx="34">
                  <c:v>45796</c:v>
                </c:pt>
                <c:pt idx="35">
                  <c:v>45797</c:v>
                </c:pt>
                <c:pt idx="36">
                  <c:v>45798</c:v>
                </c:pt>
                <c:pt idx="37">
                  <c:v>45799</c:v>
                </c:pt>
                <c:pt idx="38">
                  <c:v>45800</c:v>
                </c:pt>
                <c:pt idx="39">
                  <c:v>45804</c:v>
                </c:pt>
                <c:pt idx="40">
                  <c:v>45805</c:v>
                </c:pt>
                <c:pt idx="41">
                  <c:v>45806</c:v>
                </c:pt>
                <c:pt idx="42">
                  <c:v>45807</c:v>
                </c:pt>
                <c:pt idx="43">
                  <c:v>45810</c:v>
                </c:pt>
                <c:pt idx="44">
                  <c:v>45811</c:v>
                </c:pt>
                <c:pt idx="45">
                  <c:v>45812</c:v>
                </c:pt>
                <c:pt idx="46">
                  <c:v>45813</c:v>
                </c:pt>
                <c:pt idx="47">
                  <c:v>45814</c:v>
                </c:pt>
                <c:pt idx="48">
                  <c:v>45817</c:v>
                </c:pt>
                <c:pt idx="49">
                  <c:v>45818</c:v>
                </c:pt>
                <c:pt idx="50">
                  <c:v>45819</c:v>
                </c:pt>
                <c:pt idx="51">
                  <c:v>45820</c:v>
                </c:pt>
                <c:pt idx="52">
                  <c:v>45821</c:v>
                </c:pt>
                <c:pt idx="53">
                  <c:v>45824</c:v>
                </c:pt>
                <c:pt idx="54">
                  <c:v>45825</c:v>
                </c:pt>
                <c:pt idx="55">
                  <c:v>45826</c:v>
                </c:pt>
                <c:pt idx="56">
                  <c:v>45828</c:v>
                </c:pt>
                <c:pt idx="57">
                  <c:v>45831</c:v>
                </c:pt>
                <c:pt idx="58">
                  <c:v>45832</c:v>
                </c:pt>
                <c:pt idx="59">
                  <c:v>45833</c:v>
                </c:pt>
                <c:pt idx="60">
                  <c:v>45834</c:v>
                </c:pt>
                <c:pt idx="61">
                  <c:v>45835</c:v>
                </c:pt>
                <c:pt idx="62">
                  <c:v>45838</c:v>
                </c:pt>
                <c:pt idx="63">
                  <c:v>45839</c:v>
                </c:pt>
                <c:pt idx="64">
                  <c:v>45840</c:v>
                </c:pt>
                <c:pt idx="65">
                  <c:v>45841</c:v>
                </c:pt>
                <c:pt idx="66">
                  <c:v>45845</c:v>
                </c:pt>
                <c:pt idx="67">
                  <c:v>45846</c:v>
                </c:pt>
                <c:pt idx="68">
                  <c:v>45847</c:v>
                </c:pt>
                <c:pt idx="69">
                  <c:v>45848</c:v>
                </c:pt>
                <c:pt idx="70">
                  <c:v>45849</c:v>
                </c:pt>
                <c:pt idx="71">
                  <c:v>45852</c:v>
                </c:pt>
                <c:pt idx="72">
                  <c:v>45853</c:v>
                </c:pt>
                <c:pt idx="73">
                  <c:v>45854</c:v>
                </c:pt>
                <c:pt idx="74">
                  <c:v>45855</c:v>
                </c:pt>
                <c:pt idx="75">
                  <c:v>45856</c:v>
                </c:pt>
                <c:pt idx="76">
                  <c:v>45859</c:v>
                </c:pt>
                <c:pt idx="77">
                  <c:v>45860</c:v>
                </c:pt>
                <c:pt idx="78">
                  <c:v>45861</c:v>
                </c:pt>
                <c:pt idx="79">
                  <c:v>45862</c:v>
                </c:pt>
                <c:pt idx="80">
                  <c:v>45863</c:v>
                </c:pt>
                <c:pt idx="81">
                  <c:v>45866</c:v>
                </c:pt>
                <c:pt idx="82">
                  <c:v>45867</c:v>
                </c:pt>
                <c:pt idx="83">
                  <c:v>45868</c:v>
                </c:pt>
                <c:pt idx="84">
                  <c:v>45869</c:v>
                </c:pt>
                <c:pt idx="85">
                  <c:v>45870</c:v>
                </c:pt>
                <c:pt idx="86">
                  <c:v>45873</c:v>
                </c:pt>
                <c:pt idx="87">
                  <c:v>45874</c:v>
                </c:pt>
                <c:pt idx="88">
                  <c:v>45875</c:v>
                </c:pt>
                <c:pt idx="89">
                  <c:v>45876</c:v>
                </c:pt>
                <c:pt idx="90">
                  <c:v>45877</c:v>
                </c:pt>
                <c:pt idx="91">
                  <c:v>45880</c:v>
                </c:pt>
                <c:pt idx="92">
                  <c:v>45881</c:v>
                </c:pt>
                <c:pt idx="93">
                  <c:v>45882</c:v>
                </c:pt>
                <c:pt idx="94">
                  <c:v>45883</c:v>
                </c:pt>
                <c:pt idx="95">
                  <c:v>45884</c:v>
                </c:pt>
                <c:pt idx="96">
                  <c:v>45887</c:v>
                </c:pt>
                <c:pt idx="97">
                  <c:v>45888</c:v>
                </c:pt>
                <c:pt idx="98">
                  <c:v>45889</c:v>
                </c:pt>
                <c:pt idx="99">
                  <c:v>45890</c:v>
                </c:pt>
                <c:pt idx="100">
                  <c:v>45891</c:v>
                </c:pt>
                <c:pt idx="101">
                  <c:v>45894</c:v>
                </c:pt>
                <c:pt idx="102">
                  <c:v>45895</c:v>
                </c:pt>
                <c:pt idx="103">
                  <c:v>45896</c:v>
                </c:pt>
                <c:pt idx="104">
                  <c:v>45897</c:v>
                </c:pt>
                <c:pt idx="105">
                  <c:v>45898</c:v>
                </c:pt>
                <c:pt idx="106">
                  <c:v>45902</c:v>
                </c:pt>
                <c:pt idx="107">
                  <c:v>45903</c:v>
                </c:pt>
                <c:pt idx="108">
                  <c:v>45904</c:v>
                </c:pt>
                <c:pt idx="109">
                  <c:v>45905</c:v>
                </c:pt>
                <c:pt idx="110">
                  <c:v>45908</c:v>
                </c:pt>
                <c:pt idx="111">
                  <c:v>45909</c:v>
                </c:pt>
                <c:pt idx="112">
                  <c:v>45910</c:v>
                </c:pt>
                <c:pt idx="113">
                  <c:v>45911</c:v>
                </c:pt>
                <c:pt idx="114">
                  <c:v>45912</c:v>
                </c:pt>
                <c:pt idx="115">
                  <c:v>45915</c:v>
                </c:pt>
                <c:pt idx="116">
                  <c:v>45916</c:v>
                </c:pt>
                <c:pt idx="117">
                  <c:v>45917</c:v>
                </c:pt>
                <c:pt idx="118">
                  <c:v>45918</c:v>
                </c:pt>
                <c:pt idx="119">
                  <c:v>45919</c:v>
                </c:pt>
                <c:pt idx="120">
                  <c:v>45922</c:v>
                </c:pt>
                <c:pt idx="121">
                  <c:v>45923</c:v>
                </c:pt>
                <c:pt idx="122">
                  <c:v>45924</c:v>
                </c:pt>
                <c:pt idx="123">
                  <c:v>45925</c:v>
                </c:pt>
                <c:pt idx="124">
                  <c:v>45926</c:v>
                </c:pt>
                <c:pt idx="125">
                  <c:v>45929</c:v>
                </c:pt>
                <c:pt idx="126">
                  <c:v>45930</c:v>
                </c:pt>
                <c:pt idx="127">
                  <c:v>45931</c:v>
                </c:pt>
                <c:pt idx="128">
                  <c:v>45932</c:v>
                </c:pt>
                <c:pt idx="129">
                  <c:v>45933</c:v>
                </c:pt>
                <c:pt idx="130">
                  <c:v>45936</c:v>
                </c:pt>
                <c:pt idx="131">
                  <c:v>45937</c:v>
                </c:pt>
                <c:pt idx="132">
                  <c:v>45938</c:v>
                </c:pt>
                <c:pt idx="133">
                  <c:v>45939</c:v>
                </c:pt>
                <c:pt idx="134">
                  <c:v>45940</c:v>
                </c:pt>
                <c:pt idx="135">
                  <c:v>45943</c:v>
                </c:pt>
                <c:pt idx="136">
                  <c:v>45944</c:v>
                </c:pt>
                <c:pt idx="137">
                  <c:v>45945</c:v>
                </c:pt>
                <c:pt idx="138">
                  <c:v>45946</c:v>
                </c:pt>
                <c:pt idx="139">
                  <c:v>45947</c:v>
                </c:pt>
                <c:pt idx="140">
                  <c:v>45950</c:v>
                </c:pt>
                <c:pt idx="141">
                  <c:v>45951</c:v>
                </c:pt>
                <c:pt idx="142">
                  <c:v>45952</c:v>
                </c:pt>
                <c:pt idx="143">
                  <c:v>45953</c:v>
                </c:pt>
                <c:pt idx="144">
                  <c:v>45954</c:v>
                </c:pt>
                <c:pt idx="145">
                  <c:v>45957</c:v>
                </c:pt>
                <c:pt idx="146">
                  <c:v>45958</c:v>
                </c:pt>
                <c:pt idx="147">
                  <c:v>45959</c:v>
                </c:pt>
                <c:pt idx="148">
                  <c:v>45960</c:v>
                </c:pt>
                <c:pt idx="149">
                  <c:v>45961</c:v>
                </c:pt>
                <c:pt idx="150">
                  <c:v>45964</c:v>
                </c:pt>
                <c:pt idx="151">
                  <c:v>45965</c:v>
                </c:pt>
                <c:pt idx="152">
                  <c:v>45966</c:v>
                </c:pt>
                <c:pt idx="153">
                  <c:v>45967</c:v>
                </c:pt>
                <c:pt idx="154">
                  <c:v>45968</c:v>
                </c:pt>
                <c:pt idx="155">
                  <c:v>45971</c:v>
                </c:pt>
                <c:pt idx="156">
                  <c:v>45972</c:v>
                </c:pt>
                <c:pt idx="157">
                  <c:v>45973</c:v>
                </c:pt>
                <c:pt idx="158">
                  <c:v>45974</c:v>
                </c:pt>
                <c:pt idx="159">
                  <c:v>45975</c:v>
                </c:pt>
                <c:pt idx="160">
                  <c:v>45978</c:v>
                </c:pt>
                <c:pt idx="161">
                  <c:v>45979</c:v>
                </c:pt>
                <c:pt idx="162">
                  <c:v>45980</c:v>
                </c:pt>
                <c:pt idx="163">
                  <c:v>45981</c:v>
                </c:pt>
                <c:pt idx="164">
                  <c:v>45982</c:v>
                </c:pt>
                <c:pt idx="165">
                  <c:v>45985</c:v>
                </c:pt>
                <c:pt idx="166">
                  <c:v>45986</c:v>
                </c:pt>
                <c:pt idx="167">
                  <c:v>45987</c:v>
                </c:pt>
                <c:pt idx="168">
                  <c:v>45989</c:v>
                </c:pt>
                <c:pt idx="169">
                  <c:v>45992</c:v>
                </c:pt>
                <c:pt idx="170">
                  <c:v>45993</c:v>
                </c:pt>
                <c:pt idx="171">
                  <c:v>45994</c:v>
                </c:pt>
                <c:pt idx="172">
                  <c:v>45995</c:v>
                </c:pt>
                <c:pt idx="173">
                  <c:v>45996</c:v>
                </c:pt>
                <c:pt idx="174">
                  <c:v>45999</c:v>
                </c:pt>
                <c:pt idx="175">
                  <c:v>46000</c:v>
                </c:pt>
                <c:pt idx="176">
                  <c:v>46001</c:v>
                </c:pt>
                <c:pt idx="177">
                  <c:v>46002</c:v>
                </c:pt>
                <c:pt idx="178">
                  <c:v>46003</c:v>
                </c:pt>
                <c:pt idx="179">
                  <c:v>46006</c:v>
                </c:pt>
                <c:pt idx="180">
                  <c:v>46007</c:v>
                </c:pt>
                <c:pt idx="181">
                  <c:v>46008</c:v>
                </c:pt>
                <c:pt idx="182">
                  <c:v>46009</c:v>
                </c:pt>
                <c:pt idx="183">
                  <c:v>46010</c:v>
                </c:pt>
                <c:pt idx="184">
                  <c:v>46013</c:v>
                </c:pt>
                <c:pt idx="185">
                  <c:v>46014</c:v>
                </c:pt>
                <c:pt idx="186">
                  <c:v>46015</c:v>
                </c:pt>
                <c:pt idx="187">
                  <c:v>46017</c:v>
                </c:pt>
                <c:pt idx="188">
                  <c:v>46020</c:v>
                </c:pt>
                <c:pt idx="189">
                  <c:v>46021</c:v>
                </c:pt>
                <c:pt idx="190">
                  <c:v>46022</c:v>
                </c:pt>
                <c:pt idx="191">
                  <c:v>46024</c:v>
                </c:pt>
                <c:pt idx="192">
                  <c:v>46027</c:v>
                </c:pt>
                <c:pt idx="193">
                  <c:v>46028</c:v>
                </c:pt>
                <c:pt idx="194">
                  <c:v>46029</c:v>
                </c:pt>
                <c:pt idx="195">
                  <c:v>46030</c:v>
                </c:pt>
                <c:pt idx="196">
                  <c:v>46031</c:v>
                </c:pt>
                <c:pt idx="197">
                  <c:v>46034</c:v>
                </c:pt>
                <c:pt idx="198">
                  <c:v>46035</c:v>
                </c:pt>
                <c:pt idx="199">
                  <c:v>46036</c:v>
                </c:pt>
                <c:pt idx="200">
                  <c:v>46037</c:v>
                </c:pt>
                <c:pt idx="201">
                  <c:v>46038</c:v>
                </c:pt>
                <c:pt idx="202">
                  <c:v>46042</c:v>
                </c:pt>
                <c:pt idx="203">
                  <c:v>46043</c:v>
                </c:pt>
                <c:pt idx="204">
                  <c:v>46044</c:v>
                </c:pt>
                <c:pt idx="205">
                  <c:v>46045</c:v>
                </c:pt>
                <c:pt idx="206">
                  <c:v>46048</c:v>
                </c:pt>
                <c:pt idx="207">
                  <c:v>46049</c:v>
                </c:pt>
                <c:pt idx="208">
                  <c:v>46050</c:v>
                </c:pt>
                <c:pt idx="209">
                  <c:v>46051</c:v>
                </c:pt>
                <c:pt idx="210">
                  <c:v>46052</c:v>
                </c:pt>
                <c:pt idx="211">
                  <c:v>46055</c:v>
                </c:pt>
                <c:pt idx="212">
                  <c:v>46056</c:v>
                </c:pt>
                <c:pt idx="213">
                  <c:v>46057</c:v>
                </c:pt>
                <c:pt idx="214">
                  <c:v>46058</c:v>
                </c:pt>
                <c:pt idx="215">
                  <c:v>46059</c:v>
                </c:pt>
                <c:pt idx="216">
                  <c:v>46062</c:v>
                </c:pt>
                <c:pt idx="217">
                  <c:v>46063</c:v>
                </c:pt>
                <c:pt idx="218">
                  <c:v>46064</c:v>
                </c:pt>
                <c:pt idx="219">
                  <c:v>46065</c:v>
                </c:pt>
                <c:pt idx="220">
                  <c:v>46066</c:v>
                </c:pt>
                <c:pt idx="221">
                  <c:v>46070</c:v>
                </c:pt>
                <c:pt idx="222">
                  <c:v>46071</c:v>
                </c:pt>
                <c:pt idx="223">
                  <c:v>46072</c:v>
                </c:pt>
                <c:pt idx="224">
                  <c:v>46073</c:v>
                </c:pt>
                <c:pt idx="225">
                  <c:v>46076</c:v>
                </c:pt>
                <c:pt idx="226">
                  <c:v>46077</c:v>
                </c:pt>
                <c:pt idx="227">
                  <c:v>46078</c:v>
                </c:pt>
                <c:pt idx="228">
                  <c:v>46079</c:v>
                </c:pt>
                <c:pt idx="229">
                  <c:v>46080</c:v>
                </c:pt>
                <c:pt idx="230">
                  <c:v>46083</c:v>
                </c:pt>
                <c:pt idx="231">
                  <c:v>46084</c:v>
                </c:pt>
                <c:pt idx="232">
                  <c:v>46085</c:v>
                </c:pt>
                <c:pt idx="233">
                  <c:v>46086</c:v>
                </c:pt>
                <c:pt idx="234">
                  <c:v>46087</c:v>
                </c:pt>
                <c:pt idx="235">
                  <c:v>46090</c:v>
                </c:pt>
                <c:pt idx="236">
                  <c:v>46091</c:v>
                </c:pt>
                <c:pt idx="237">
                  <c:v>46092</c:v>
                </c:pt>
                <c:pt idx="238">
                  <c:v>46093</c:v>
                </c:pt>
                <c:pt idx="239">
                  <c:v>46094</c:v>
                </c:pt>
                <c:pt idx="240">
                  <c:v>46097</c:v>
                </c:pt>
                <c:pt idx="241">
                  <c:v>46098</c:v>
                </c:pt>
                <c:pt idx="242">
                  <c:v>46099</c:v>
                </c:pt>
                <c:pt idx="243">
                  <c:v>46100</c:v>
                </c:pt>
                <c:pt idx="244">
                  <c:v>46101</c:v>
                </c:pt>
                <c:pt idx="245">
                  <c:v>46104</c:v>
                </c:pt>
                <c:pt idx="246">
                  <c:v>46105</c:v>
                </c:pt>
                <c:pt idx="247">
                  <c:v>46106</c:v>
                </c:pt>
                <c:pt idx="248">
                  <c:v>46107</c:v>
                </c:pt>
                <c:pt idx="249">
                  <c:v>46108</c:v>
                </c:pt>
                <c:pt idx="250">
                  <c:v>46111</c:v>
                </c:pt>
              </c:numCache>
            </c:numRef>
          </c:cat>
          <c:val>
            <c:numRef>
              <c:f>'Index Snapshot'!$F$129:$F$380</c:f>
              <c:numCache>
                <c:formatCode>#,##0.00</c:formatCode>
                <c:ptCount val="252"/>
                <c:pt idx="0">
                  <c:v>0</c:v>
                </c:pt>
                <c:pt idx="1">
                  <c:v>94</c:v>
                </c:pt>
                <c:pt idx="2">
                  <c:v>371</c:v>
                </c:pt>
                <c:pt idx="3">
                  <c:v>59</c:v>
                </c:pt>
                <c:pt idx="4">
                  <c:v>-416</c:v>
                </c:pt>
                <c:pt idx="5">
                  <c:v>-598</c:v>
                </c:pt>
                <c:pt idx="6">
                  <c:v>-963</c:v>
                </c:pt>
                <c:pt idx="7">
                  <c:v>-478</c:v>
                </c:pt>
                <c:pt idx="8">
                  <c:v>-832</c:v>
                </c:pt>
                <c:pt idx="9">
                  <c:v>-459</c:v>
                </c:pt>
                <c:pt idx="10">
                  <c:v>-97</c:v>
                </c:pt>
                <c:pt idx="11">
                  <c:v>-202</c:v>
                </c:pt>
                <c:pt idx="12">
                  <c:v>-572</c:v>
                </c:pt>
                <c:pt idx="13">
                  <c:v>-306</c:v>
                </c:pt>
                <c:pt idx="14">
                  <c:v>-731</c:v>
                </c:pt>
                <c:pt idx="15">
                  <c:v>-246</c:v>
                </c:pt>
                <c:pt idx="16">
                  <c:v>-24</c:v>
                </c:pt>
                <c:pt idx="17">
                  <c:v>284</c:v>
                </c:pt>
                <c:pt idx="18">
                  <c:v>193</c:v>
                </c:pt>
                <c:pt idx="19">
                  <c:v>359</c:v>
                </c:pt>
                <c:pt idx="20">
                  <c:v>599</c:v>
                </c:pt>
                <c:pt idx="21">
                  <c:v>738</c:v>
                </c:pt>
                <c:pt idx="22">
                  <c:v>664</c:v>
                </c:pt>
                <c:pt idx="23">
                  <c:v>1079</c:v>
                </c:pt>
                <c:pt idx="24">
                  <c:v>950</c:v>
                </c:pt>
                <c:pt idx="25">
                  <c:v>733</c:v>
                </c:pt>
                <c:pt idx="26">
                  <c:v>955</c:v>
                </c:pt>
                <c:pt idx="27">
                  <c:v>1149</c:v>
                </c:pt>
                <c:pt idx="28">
                  <c:v>1129</c:v>
                </c:pt>
                <c:pt idx="29">
                  <c:v>1445</c:v>
                </c:pt>
                <c:pt idx="30">
                  <c:v>1432</c:v>
                </c:pt>
                <c:pt idx="31">
                  <c:v>1226</c:v>
                </c:pt>
                <c:pt idx="32">
                  <c:v>1473</c:v>
                </c:pt>
                <c:pt idx="33">
                  <c:v>1862</c:v>
                </c:pt>
                <c:pt idx="34">
                  <c:v>1871</c:v>
                </c:pt>
                <c:pt idx="35">
                  <c:v>1717</c:v>
                </c:pt>
                <c:pt idx="36">
                  <c:v>1251</c:v>
                </c:pt>
                <c:pt idx="37">
                  <c:v>1125</c:v>
                </c:pt>
                <c:pt idx="38">
                  <c:v>969</c:v>
                </c:pt>
                <c:pt idx="39">
                  <c:v>1403</c:v>
                </c:pt>
                <c:pt idx="40">
                  <c:v>1065</c:v>
                </c:pt>
                <c:pt idx="41">
                  <c:v>1277</c:v>
                </c:pt>
                <c:pt idx="42">
                  <c:v>1298</c:v>
                </c:pt>
                <c:pt idx="43">
                  <c:v>1265</c:v>
                </c:pt>
                <c:pt idx="44">
                  <c:v>1483</c:v>
                </c:pt>
                <c:pt idx="45">
                  <c:v>1373</c:v>
                </c:pt>
                <c:pt idx="46">
                  <c:v>1249</c:v>
                </c:pt>
                <c:pt idx="47">
                  <c:v>1580</c:v>
                </c:pt>
                <c:pt idx="48">
                  <c:v>1604</c:v>
                </c:pt>
                <c:pt idx="49">
                  <c:v>1763</c:v>
                </c:pt>
                <c:pt idx="50">
                  <c:v>1603</c:v>
                </c:pt>
                <c:pt idx="51">
                  <c:v>1702</c:v>
                </c:pt>
                <c:pt idx="52">
                  <c:v>1339</c:v>
                </c:pt>
                <c:pt idx="53">
                  <c:v>1564</c:v>
                </c:pt>
                <c:pt idx="54">
                  <c:v>1238</c:v>
                </c:pt>
                <c:pt idx="55">
                  <c:v>1214</c:v>
                </c:pt>
                <c:pt idx="56">
                  <c:v>1310</c:v>
                </c:pt>
                <c:pt idx="57">
                  <c:v>1607</c:v>
                </c:pt>
                <c:pt idx="58">
                  <c:v>1861</c:v>
                </c:pt>
                <c:pt idx="59">
                  <c:v>1632</c:v>
                </c:pt>
                <c:pt idx="60">
                  <c:v>1874</c:v>
                </c:pt>
                <c:pt idx="61">
                  <c:v>2048</c:v>
                </c:pt>
                <c:pt idx="62">
                  <c:v>2243</c:v>
                </c:pt>
                <c:pt idx="63">
                  <c:v>2497</c:v>
                </c:pt>
                <c:pt idx="64">
                  <c:v>2570</c:v>
                </c:pt>
                <c:pt idx="65">
                  <c:v>2771</c:v>
                </c:pt>
                <c:pt idx="66">
                  <c:v>2461</c:v>
                </c:pt>
                <c:pt idx="67">
                  <c:v>2497</c:v>
                </c:pt>
                <c:pt idx="68">
                  <c:v>2600</c:v>
                </c:pt>
                <c:pt idx="69">
                  <c:v>2803</c:v>
                </c:pt>
                <c:pt idx="70">
                  <c:v>2523</c:v>
                </c:pt>
                <c:pt idx="71">
                  <c:v>2595</c:v>
                </c:pt>
                <c:pt idx="72">
                  <c:v>2189</c:v>
                </c:pt>
                <c:pt idx="73">
                  <c:v>2378</c:v>
                </c:pt>
                <c:pt idx="74">
                  <c:v>2622</c:v>
                </c:pt>
                <c:pt idx="75">
                  <c:v>2627</c:v>
                </c:pt>
                <c:pt idx="76">
                  <c:v>2489</c:v>
                </c:pt>
                <c:pt idx="77">
                  <c:v>2801</c:v>
                </c:pt>
                <c:pt idx="78">
                  <c:v>2983</c:v>
                </c:pt>
                <c:pt idx="79">
                  <c:v>2913</c:v>
                </c:pt>
                <c:pt idx="80">
                  <c:v>3080</c:v>
                </c:pt>
                <c:pt idx="81">
                  <c:v>2860</c:v>
                </c:pt>
                <c:pt idx="82">
                  <c:v>2866</c:v>
                </c:pt>
                <c:pt idx="83">
                  <c:v>2681</c:v>
                </c:pt>
                <c:pt idx="84">
                  <c:v>2456</c:v>
                </c:pt>
                <c:pt idx="85">
                  <c:v>2245</c:v>
                </c:pt>
                <c:pt idx="86">
                  <c:v>2604</c:v>
                </c:pt>
                <c:pt idx="87">
                  <c:v>2553</c:v>
                </c:pt>
                <c:pt idx="88">
                  <c:v>2530</c:v>
                </c:pt>
                <c:pt idx="89">
                  <c:v>2523</c:v>
                </c:pt>
                <c:pt idx="90">
                  <c:v>2614</c:v>
                </c:pt>
                <c:pt idx="91">
                  <c:v>2469</c:v>
                </c:pt>
                <c:pt idx="92">
                  <c:v>2770</c:v>
                </c:pt>
                <c:pt idx="93">
                  <c:v>3103</c:v>
                </c:pt>
                <c:pt idx="94">
                  <c:v>2884</c:v>
                </c:pt>
                <c:pt idx="95">
                  <c:v>2787</c:v>
                </c:pt>
                <c:pt idx="96">
                  <c:v>2748</c:v>
                </c:pt>
                <c:pt idx="97">
                  <c:v>2953</c:v>
                </c:pt>
                <c:pt idx="98">
                  <c:v>2974</c:v>
                </c:pt>
                <c:pt idx="99">
                  <c:v>2794</c:v>
                </c:pt>
                <c:pt idx="100">
                  <c:v>3141</c:v>
                </c:pt>
                <c:pt idx="101">
                  <c:v>2838</c:v>
                </c:pt>
                <c:pt idx="102">
                  <c:v>2853</c:v>
                </c:pt>
                <c:pt idx="103">
                  <c:v>3038</c:v>
                </c:pt>
                <c:pt idx="104">
                  <c:v>2982</c:v>
                </c:pt>
                <c:pt idx="105">
                  <c:v>3047</c:v>
                </c:pt>
                <c:pt idx="106">
                  <c:v>2778</c:v>
                </c:pt>
                <c:pt idx="107">
                  <c:v>2728</c:v>
                </c:pt>
                <c:pt idx="108">
                  <c:v>2961</c:v>
                </c:pt>
                <c:pt idx="109">
                  <c:v>3004</c:v>
                </c:pt>
                <c:pt idx="110">
                  <c:v>2990</c:v>
                </c:pt>
                <c:pt idx="111">
                  <c:v>2895</c:v>
                </c:pt>
                <c:pt idx="112">
                  <c:v>2795</c:v>
                </c:pt>
                <c:pt idx="113">
                  <c:v>3167</c:v>
                </c:pt>
                <c:pt idx="114">
                  <c:v>2898</c:v>
                </c:pt>
                <c:pt idx="115">
                  <c:v>2795</c:v>
                </c:pt>
                <c:pt idx="116">
                  <c:v>2670</c:v>
                </c:pt>
                <c:pt idx="117">
                  <c:v>2745</c:v>
                </c:pt>
                <c:pt idx="118">
                  <c:v>2884</c:v>
                </c:pt>
                <c:pt idx="119">
                  <c:v>2805</c:v>
                </c:pt>
                <c:pt idx="120">
                  <c:v>2793</c:v>
                </c:pt>
                <c:pt idx="121">
                  <c:v>2849</c:v>
                </c:pt>
                <c:pt idx="122">
                  <c:v>2786</c:v>
                </c:pt>
                <c:pt idx="123">
                  <c:v>2522</c:v>
                </c:pt>
                <c:pt idx="124">
                  <c:v>2878</c:v>
                </c:pt>
                <c:pt idx="125">
                  <c:v>2991</c:v>
                </c:pt>
                <c:pt idx="126">
                  <c:v>3091</c:v>
                </c:pt>
                <c:pt idx="127">
                  <c:v>3025</c:v>
                </c:pt>
                <c:pt idx="128">
                  <c:v>3082</c:v>
                </c:pt>
                <c:pt idx="129">
                  <c:v>3225</c:v>
                </c:pt>
                <c:pt idx="130">
                  <c:v>3200</c:v>
                </c:pt>
                <c:pt idx="131">
                  <c:v>3103</c:v>
                </c:pt>
                <c:pt idx="132">
                  <c:v>3130</c:v>
                </c:pt>
                <c:pt idx="133">
                  <c:v>2868</c:v>
                </c:pt>
                <c:pt idx="134">
                  <c:v>2520</c:v>
                </c:pt>
                <c:pt idx="135">
                  <c:v>2732</c:v>
                </c:pt>
                <c:pt idx="136">
                  <c:v>3008</c:v>
                </c:pt>
                <c:pt idx="137">
                  <c:v>3002</c:v>
                </c:pt>
                <c:pt idx="138">
                  <c:v>2770</c:v>
                </c:pt>
                <c:pt idx="139">
                  <c:v>2992</c:v>
                </c:pt>
                <c:pt idx="140">
                  <c:v>3321</c:v>
                </c:pt>
                <c:pt idx="141">
                  <c:v>3418</c:v>
                </c:pt>
                <c:pt idx="142">
                  <c:v>3313</c:v>
                </c:pt>
                <c:pt idx="143">
                  <c:v>3380</c:v>
                </c:pt>
                <c:pt idx="144">
                  <c:v>3397</c:v>
                </c:pt>
                <c:pt idx="145">
                  <c:v>3544</c:v>
                </c:pt>
                <c:pt idx="146">
                  <c:v>3250</c:v>
                </c:pt>
                <c:pt idx="147">
                  <c:v>2996</c:v>
                </c:pt>
                <c:pt idx="148">
                  <c:v>2963</c:v>
                </c:pt>
                <c:pt idx="149">
                  <c:v>2984</c:v>
                </c:pt>
                <c:pt idx="150">
                  <c:v>2852</c:v>
                </c:pt>
                <c:pt idx="151">
                  <c:v>2790</c:v>
                </c:pt>
                <c:pt idx="152">
                  <c:v>2907</c:v>
                </c:pt>
                <c:pt idx="153">
                  <c:v>2728</c:v>
                </c:pt>
                <c:pt idx="154">
                  <c:v>3005</c:v>
                </c:pt>
                <c:pt idx="155">
                  <c:v>3130</c:v>
                </c:pt>
                <c:pt idx="156">
                  <c:v>3317</c:v>
                </c:pt>
                <c:pt idx="157">
                  <c:v>3408</c:v>
                </c:pt>
                <c:pt idx="158">
                  <c:v>3167</c:v>
                </c:pt>
                <c:pt idx="159">
                  <c:v>3034</c:v>
                </c:pt>
                <c:pt idx="160">
                  <c:v>2717</c:v>
                </c:pt>
                <c:pt idx="161">
                  <c:v>2714</c:v>
                </c:pt>
                <c:pt idx="162">
                  <c:v>2604</c:v>
                </c:pt>
                <c:pt idx="163">
                  <c:v>2402</c:v>
                </c:pt>
                <c:pt idx="164">
                  <c:v>2794</c:v>
                </c:pt>
                <c:pt idx="165">
                  <c:v>2812</c:v>
                </c:pt>
                <c:pt idx="166">
                  <c:v>3164</c:v>
                </c:pt>
                <c:pt idx="167">
                  <c:v>3382</c:v>
                </c:pt>
                <c:pt idx="168">
                  <c:v>3636</c:v>
                </c:pt>
                <c:pt idx="169">
                  <c:v>3403</c:v>
                </c:pt>
                <c:pt idx="170">
                  <c:v>3333</c:v>
                </c:pt>
                <c:pt idx="171">
                  <c:v>3505</c:v>
                </c:pt>
                <c:pt idx="172">
                  <c:v>3508</c:v>
                </c:pt>
                <c:pt idx="173">
                  <c:v>3522</c:v>
                </c:pt>
                <c:pt idx="174">
                  <c:v>3334</c:v>
                </c:pt>
                <c:pt idx="175">
                  <c:v>3264</c:v>
                </c:pt>
                <c:pt idx="176">
                  <c:v>3540</c:v>
                </c:pt>
                <c:pt idx="177">
                  <c:v>3776</c:v>
                </c:pt>
                <c:pt idx="178">
                  <c:v>3716</c:v>
                </c:pt>
                <c:pt idx="179">
                  <c:v>3779</c:v>
                </c:pt>
                <c:pt idx="180">
                  <c:v>3544</c:v>
                </c:pt>
                <c:pt idx="181">
                  <c:v>3557</c:v>
                </c:pt>
                <c:pt idx="182">
                  <c:v>3585</c:v>
                </c:pt>
                <c:pt idx="183">
                  <c:v>3652</c:v>
                </c:pt>
                <c:pt idx="184">
                  <c:v>3930</c:v>
                </c:pt>
                <c:pt idx="185">
                  <c:v>3861</c:v>
                </c:pt>
                <c:pt idx="186">
                  <c:v>4139</c:v>
                </c:pt>
                <c:pt idx="187">
                  <c:v>4173</c:v>
                </c:pt>
                <c:pt idx="188">
                  <c:v>4089</c:v>
                </c:pt>
                <c:pt idx="189">
                  <c:v>3974</c:v>
                </c:pt>
                <c:pt idx="190">
                  <c:v>3507</c:v>
                </c:pt>
                <c:pt idx="191">
                  <c:v>3659</c:v>
                </c:pt>
                <c:pt idx="192">
                  <c:v>3840</c:v>
                </c:pt>
                <c:pt idx="193">
                  <c:v>4097</c:v>
                </c:pt>
                <c:pt idx="194">
                  <c:v>3822</c:v>
                </c:pt>
                <c:pt idx="195">
                  <c:v>4031</c:v>
                </c:pt>
                <c:pt idx="196">
                  <c:v>4092</c:v>
                </c:pt>
                <c:pt idx="197">
                  <c:v>4086</c:v>
                </c:pt>
                <c:pt idx="198">
                  <c:v>4109</c:v>
                </c:pt>
                <c:pt idx="199">
                  <c:v>4243</c:v>
                </c:pt>
                <c:pt idx="200">
                  <c:v>4361</c:v>
                </c:pt>
                <c:pt idx="201">
                  <c:v>4312</c:v>
                </c:pt>
                <c:pt idx="202">
                  <c:v>4011</c:v>
                </c:pt>
                <c:pt idx="203">
                  <c:v>4336</c:v>
                </c:pt>
                <c:pt idx="204">
                  <c:v>4406</c:v>
                </c:pt>
                <c:pt idx="205">
                  <c:v>4272</c:v>
                </c:pt>
                <c:pt idx="206">
                  <c:v>4404</c:v>
                </c:pt>
                <c:pt idx="207">
                  <c:v>4369</c:v>
                </c:pt>
                <c:pt idx="208">
                  <c:v>4246</c:v>
                </c:pt>
                <c:pt idx="209">
                  <c:v>4321</c:v>
                </c:pt>
                <c:pt idx="210">
                  <c:v>4311</c:v>
                </c:pt>
                <c:pt idx="211">
                  <c:v>4390</c:v>
                </c:pt>
                <c:pt idx="212">
                  <c:v>4432</c:v>
                </c:pt>
                <c:pt idx="213">
                  <c:v>4656</c:v>
                </c:pt>
                <c:pt idx="214">
                  <c:v>4517</c:v>
                </c:pt>
                <c:pt idx="215">
                  <c:v>4815</c:v>
                </c:pt>
                <c:pt idx="216">
                  <c:v>4841</c:v>
                </c:pt>
                <c:pt idx="217">
                  <c:v>4942</c:v>
                </c:pt>
                <c:pt idx="218">
                  <c:v>5009</c:v>
                </c:pt>
                <c:pt idx="219">
                  <c:v>4826</c:v>
                </c:pt>
                <c:pt idx="220">
                  <c:v>5057</c:v>
                </c:pt>
                <c:pt idx="221">
                  <c:v>5037</c:v>
                </c:pt>
                <c:pt idx="222">
                  <c:v>5169</c:v>
                </c:pt>
                <c:pt idx="223">
                  <c:v>5076</c:v>
                </c:pt>
                <c:pt idx="224">
                  <c:v>5241</c:v>
                </c:pt>
                <c:pt idx="225">
                  <c:v>5084</c:v>
                </c:pt>
                <c:pt idx="226">
                  <c:v>5295</c:v>
                </c:pt>
                <c:pt idx="227">
                  <c:v>5309</c:v>
                </c:pt>
                <c:pt idx="228">
                  <c:v>5507</c:v>
                </c:pt>
                <c:pt idx="229">
                  <c:v>5560</c:v>
                </c:pt>
                <c:pt idx="230">
                  <c:v>5539</c:v>
                </c:pt>
                <c:pt idx="231">
                  <c:v>5307</c:v>
                </c:pt>
                <c:pt idx="232">
                  <c:v>5374</c:v>
                </c:pt>
                <c:pt idx="233">
                  <c:v>5146</c:v>
                </c:pt>
                <c:pt idx="234">
                  <c:v>4934</c:v>
                </c:pt>
                <c:pt idx="235">
                  <c:v>4939</c:v>
                </c:pt>
                <c:pt idx="236">
                  <c:v>4730</c:v>
                </c:pt>
                <c:pt idx="237">
                  <c:v>4569</c:v>
                </c:pt>
                <c:pt idx="238">
                  <c:v>4289</c:v>
                </c:pt>
                <c:pt idx="239">
                  <c:v>4303</c:v>
                </c:pt>
                <c:pt idx="240">
                  <c:v>4555</c:v>
                </c:pt>
                <c:pt idx="241">
                  <c:v>4684</c:v>
                </c:pt>
                <c:pt idx="242">
                  <c:v>4343</c:v>
                </c:pt>
                <c:pt idx="243">
                  <c:v>4264</c:v>
                </c:pt>
                <c:pt idx="244">
                  <c:v>3989</c:v>
                </c:pt>
                <c:pt idx="245">
                  <c:v>4249</c:v>
                </c:pt>
                <c:pt idx="246">
                  <c:v>4318</c:v>
                </c:pt>
                <c:pt idx="247">
                  <c:v>4460</c:v>
                </c:pt>
                <c:pt idx="248">
                  <c:v>4330</c:v>
                </c:pt>
                <c:pt idx="249">
                  <c:v>4048</c:v>
                </c:pt>
                <c:pt idx="250">
                  <c:v>4093</c:v>
                </c:pt>
                <c:pt idx="251">
                  <c:v>4384</c:v>
                </c:pt>
              </c:numCache>
            </c:numRef>
          </c:val>
          <c:smooth val="0"/>
          <c:extLst>
            <c:ext xmlns:c16="http://schemas.microsoft.com/office/drawing/2014/chart" uri="{C3380CC4-5D6E-409C-BE32-E72D297353CC}">
              <c16:uniqueId val="{00000000-34A0-485C-9561-45BF64826F30}"/>
            </c:ext>
          </c:extLst>
        </c:ser>
        <c:dLbls>
          <c:showLegendKey val="0"/>
          <c:showVal val="0"/>
          <c:showCatName val="0"/>
          <c:showSerName val="0"/>
          <c:showPercent val="0"/>
          <c:showBubbleSize val="0"/>
        </c:dLbls>
        <c:smooth val="0"/>
        <c:axId val="25902053"/>
        <c:axId val="12962051"/>
      </c:lineChart>
      <c:dateAx>
        <c:axId val="25902053"/>
        <c:scaling>
          <c:orientation val="minMax"/>
        </c:scaling>
        <c:delete val="0"/>
        <c:axPos val="b"/>
        <c:majorGridlines>
          <c:spPr>
            <a:ln w="9525" cap="flat" cmpd="sng">
              <a:solidFill>
                <a:srgbClr val="FFFFFF">
                  <a:lumMod val="75000"/>
                </a:srgbClr>
              </a:solidFill>
            </a:ln>
            <a:effectLst/>
          </c:spPr>
        </c:majorGridlines>
        <c:numFmt formatCode="mmm\-yy" sourceLinked="0"/>
        <c:majorTickMark val="out"/>
        <c:minorTickMark val="none"/>
        <c:tickLblPos val="low"/>
        <c:spPr>
          <a:ln w="9525" cap="flat" cmpd="sng"/>
          <a:effectLst/>
        </c:spPr>
        <c:txPr>
          <a:bodyPr rot="0" vert="horz" wrap="square"/>
          <a:lstStyle/>
          <a:p>
            <a:pPr>
              <a:defRPr lang="en-US" sz="800" b="0" i="0" u="none" baseline="0">
                <a:solidFill>
                  <a:srgbClr val="000000"/>
                </a:solidFill>
                <a:latin typeface="Arial"/>
                <a:ea typeface="Arial"/>
                <a:cs typeface="Arial"/>
              </a:defRPr>
            </a:pPr>
            <a:endParaRPr lang="en-US"/>
          </a:p>
        </c:txPr>
        <c:crossAx val="12962051"/>
        <c:crosses val="autoZero"/>
        <c:auto val="1"/>
        <c:lblOffset val="100"/>
        <c:baseTimeUnit val="days"/>
      </c:dateAx>
      <c:valAx>
        <c:axId val="12962051"/>
        <c:scaling>
          <c:orientation val="minMax"/>
        </c:scaling>
        <c:delete val="0"/>
        <c:axPos val="l"/>
        <c:majorGridlines>
          <c:spPr>
            <a:ln w="9525" cap="flat" cmpd="sng">
              <a:solidFill>
                <a:srgbClr val="FFFFFF">
                  <a:lumMod val="75000"/>
                </a:srgbClr>
              </a:solidFill>
            </a:ln>
            <a:effectLst/>
          </c:spPr>
        </c:majorGridlines>
        <c:numFmt formatCode="#,##0" sourceLinked="0"/>
        <c:majorTickMark val="in"/>
        <c:minorTickMark val="none"/>
        <c:tickLblPos val="nextTo"/>
        <c:spPr>
          <a:ln w="12700" cap="flat" cmpd="sng">
            <a:solidFill>
              <a:srgbClr val="E1E1E1"/>
            </a:solidFill>
            <a:prstDash val="solid"/>
          </a:ln>
          <a:effectLst/>
        </c:spPr>
        <c:txPr>
          <a:bodyPr rot="0" vert="horz" wrap="square"/>
          <a:lstStyle/>
          <a:p>
            <a:pPr>
              <a:defRPr lang="en-US" sz="800" b="0" i="0" u="none" baseline="0">
                <a:solidFill>
                  <a:srgbClr val="000000"/>
                </a:solidFill>
                <a:latin typeface="Arial"/>
                <a:ea typeface="Arial"/>
                <a:cs typeface="Arial"/>
              </a:defRPr>
            </a:pPr>
            <a:endParaRPr lang="en-US"/>
          </a:p>
        </c:txPr>
        <c:crossAx val="25902053"/>
        <c:crosses val="autoZero"/>
        <c:crossBetween val="between"/>
      </c:valAx>
      <c:spPr>
        <a:gradFill rotWithShape="1">
          <a:gsLst>
            <a:gs pos="0">
              <a:schemeClr val="bg1"/>
            </a:gs>
            <a:gs pos="100000">
              <a:srgbClr val="F0F0F0"/>
            </a:gs>
          </a:gsLst>
          <a:lin ang="5400000"/>
          <a:tileRect/>
        </a:gradFill>
        <a:ln w="12700" cap="flat" cmpd="sng">
          <a:solidFill>
            <a:srgbClr val="E1E1E1"/>
          </a:solidFill>
        </a:ln>
        <a:effectLst/>
      </c:spPr>
    </c:plotArea>
    <c:legend>
      <c:legendPos val="t"/>
      <c:overlay val="0"/>
      <c:spPr>
        <a:solidFill>
          <a:srgbClr val="FFFFFF"/>
        </a:solidFill>
        <a:ln w="25400">
          <a:noFill/>
        </a:ln>
        <a:effectLst/>
      </c:spPr>
    </c:legend>
    <c:plotVisOnly val="0"/>
    <c:dispBlanksAs val="gap"/>
    <c:showDLblsOverMax val="0"/>
  </c:chart>
  <c:spPr>
    <a:noFill/>
    <a:ln w="3175">
      <a:noFill/>
      <a:prstDash val="solid"/>
    </a:ln>
    <a:effectLst/>
  </c:spPr>
  <c:txPr>
    <a:bodyPr rot="0" vert="horz" wrap="square"/>
    <a:lstStyle/>
    <a:p>
      <a:pPr>
        <a:defRPr lang="en-US" sz="800" b="0" i="0" u="non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499999999999996E-2"/>
          <c:y val="0.18124999999999999"/>
          <c:w val="0.77975000000000005"/>
          <c:h val="0.66474999999999995"/>
        </c:manualLayout>
      </c:layout>
      <c:lineChart>
        <c:grouping val="standard"/>
        <c:varyColors val="0"/>
        <c:ser>
          <c:idx val="0"/>
          <c:order val="0"/>
          <c:tx>
            <c:strRef>
              <c:f>'Index Snapshot'!$G$128</c:f>
              <c:strCache>
                <c:ptCount val="1"/>
                <c:pt idx="0">
                  <c:v>% Above MAVG - 200 Day (Chart)</c:v>
                </c:pt>
              </c:strCache>
            </c:strRef>
          </c:tx>
          <c:spPr>
            <a:ln w="15875" cmpd="sng">
              <a:solidFill>
                <a:srgbClr val="00AEEF"/>
              </a:solidFill>
              <a:prstDash val="solid"/>
            </a:ln>
            <a:effectLst/>
          </c:spPr>
          <c:marker>
            <c:symbol val="none"/>
          </c:marker>
          <c:cat>
            <c:numRef>
              <c:f>'Index Snapshot'!$C$129:$C$380</c:f>
              <c:numCache>
                <c:formatCode>m/d/yy</c:formatCode>
                <c:ptCount val="252"/>
                <c:pt idx="0">
                  <c:v>45747</c:v>
                </c:pt>
                <c:pt idx="1">
                  <c:v>45748</c:v>
                </c:pt>
                <c:pt idx="2">
                  <c:v>45749</c:v>
                </c:pt>
                <c:pt idx="3">
                  <c:v>45750</c:v>
                </c:pt>
                <c:pt idx="4">
                  <c:v>45751</c:v>
                </c:pt>
                <c:pt idx="5">
                  <c:v>45754</c:v>
                </c:pt>
                <c:pt idx="6">
                  <c:v>45755</c:v>
                </c:pt>
                <c:pt idx="7">
                  <c:v>45756</c:v>
                </c:pt>
                <c:pt idx="8">
                  <c:v>45757</c:v>
                </c:pt>
                <c:pt idx="9">
                  <c:v>45758</c:v>
                </c:pt>
                <c:pt idx="10">
                  <c:v>45761</c:v>
                </c:pt>
                <c:pt idx="11">
                  <c:v>45762</c:v>
                </c:pt>
                <c:pt idx="12">
                  <c:v>45763</c:v>
                </c:pt>
                <c:pt idx="13">
                  <c:v>45764</c:v>
                </c:pt>
                <c:pt idx="14">
                  <c:v>45768</c:v>
                </c:pt>
                <c:pt idx="15">
                  <c:v>45769</c:v>
                </c:pt>
                <c:pt idx="16">
                  <c:v>45770</c:v>
                </c:pt>
                <c:pt idx="17">
                  <c:v>45771</c:v>
                </c:pt>
                <c:pt idx="18">
                  <c:v>45772</c:v>
                </c:pt>
                <c:pt idx="19">
                  <c:v>45775</c:v>
                </c:pt>
                <c:pt idx="20">
                  <c:v>45776</c:v>
                </c:pt>
                <c:pt idx="21">
                  <c:v>45777</c:v>
                </c:pt>
                <c:pt idx="22">
                  <c:v>45778</c:v>
                </c:pt>
                <c:pt idx="23">
                  <c:v>45779</c:v>
                </c:pt>
                <c:pt idx="24">
                  <c:v>45782</c:v>
                </c:pt>
                <c:pt idx="25">
                  <c:v>45783</c:v>
                </c:pt>
                <c:pt idx="26">
                  <c:v>45784</c:v>
                </c:pt>
                <c:pt idx="27">
                  <c:v>45785</c:v>
                </c:pt>
                <c:pt idx="28">
                  <c:v>45786</c:v>
                </c:pt>
                <c:pt idx="29">
                  <c:v>45789</c:v>
                </c:pt>
                <c:pt idx="30">
                  <c:v>45790</c:v>
                </c:pt>
                <c:pt idx="31">
                  <c:v>45791</c:v>
                </c:pt>
                <c:pt idx="32">
                  <c:v>45792</c:v>
                </c:pt>
                <c:pt idx="33">
                  <c:v>45793</c:v>
                </c:pt>
                <c:pt idx="34">
                  <c:v>45796</c:v>
                </c:pt>
                <c:pt idx="35">
                  <c:v>45797</c:v>
                </c:pt>
                <c:pt idx="36">
                  <c:v>45798</c:v>
                </c:pt>
                <c:pt idx="37">
                  <c:v>45799</c:v>
                </c:pt>
                <c:pt idx="38">
                  <c:v>45800</c:v>
                </c:pt>
                <c:pt idx="39">
                  <c:v>45804</c:v>
                </c:pt>
                <c:pt idx="40">
                  <c:v>45805</c:v>
                </c:pt>
                <c:pt idx="41">
                  <c:v>45806</c:v>
                </c:pt>
                <c:pt idx="42">
                  <c:v>45807</c:v>
                </c:pt>
                <c:pt idx="43">
                  <c:v>45810</c:v>
                </c:pt>
                <c:pt idx="44">
                  <c:v>45811</c:v>
                </c:pt>
                <c:pt idx="45">
                  <c:v>45812</c:v>
                </c:pt>
                <c:pt idx="46">
                  <c:v>45813</c:v>
                </c:pt>
                <c:pt idx="47">
                  <c:v>45814</c:v>
                </c:pt>
                <c:pt idx="48">
                  <c:v>45817</c:v>
                </c:pt>
                <c:pt idx="49">
                  <c:v>45818</c:v>
                </c:pt>
                <c:pt idx="50">
                  <c:v>45819</c:v>
                </c:pt>
                <c:pt idx="51">
                  <c:v>45820</c:v>
                </c:pt>
                <c:pt idx="52">
                  <c:v>45821</c:v>
                </c:pt>
                <c:pt idx="53">
                  <c:v>45824</c:v>
                </c:pt>
                <c:pt idx="54">
                  <c:v>45825</c:v>
                </c:pt>
                <c:pt idx="55">
                  <c:v>45826</c:v>
                </c:pt>
                <c:pt idx="56">
                  <c:v>45828</c:v>
                </c:pt>
                <c:pt idx="57">
                  <c:v>45831</c:v>
                </c:pt>
                <c:pt idx="58">
                  <c:v>45832</c:v>
                </c:pt>
                <c:pt idx="59">
                  <c:v>45833</c:v>
                </c:pt>
                <c:pt idx="60">
                  <c:v>45834</c:v>
                </c:pt>
                <c:pt idx="61">
                  <c:v>45835</c:v>
                </c:pt>
                <c:pt idx="62">
                  <c:v>45838</c:v>
                </c:pt>
                <c:pt idx="63">
                  <c:v>45839</c:v>
                </c:pt>
                <c:pt idx="64">
                  <c:v>45840</c:v>
                </c:pt>
                <c:pt idx="65">
                  <c:v>45841</c:v>
                </c:pt>
                <c:pt idx="66">
                  <c:v>45845</c:v>
                </c:pt>
                <c:pt idx="67">
                  <c:v>45846</c:v>
                </c:pt>
                <c:pt idx="68">
                  <c:v>45847</c:v>
                </c:pt>
                <c:pt idx="69">
                  <c:v>45848</c:v>
                </c:pt>
                <c:pt idx="70">
                  <c:v>45849</c:v>
                </c:pt>
                <c:pt idx="71">
                  <c:v>45852</c:v>
                </c:pt>
                <c:pt idx="72">
                  <c:v>45853</c:v>
                </c:pt>
                <c:pt idx="73">
                  <c:v>45854</c:v>
                </c:pt>
                <c:pt idx="74">
                  <c:v>45855</c:v>
                </c:pt>
                <c:pt idx="75">
                  <c:v>45856</c:v>
                </c:pt>
                <c:pt idx="76">
                  <c:v>45859</c:v>
                </c:pt>
                <c:pt idx="77">
                  <c:v>45860</c:v>
                </c:pt>
                <c:pt idx="78">
                  <c:v>45861</c:v>
                </c:pt>
                <c:pt idx="79">
                  <c:v>45862</c:v>
                </c:pt>
                <c:pt idx="80">
                  <c:v>45863</c:v>
                </c:pt>
                <c:pt idx="81">
                  <c:v>45866</c:v>
                </c:pt>
                <c:pt idx="82">
                  <c:v>45867</c:v>
                </c:pt>
                <c:pt idx="83">
                  <c:v>45868</c:v>
                </c:pt>
                <c:pt idx="84">
                  <c:v>45869</c:v>
                </c:pt>
                <c:pt idx="85">
                  <c:v>45870</c:v>
                </c:pt>
                <c:pt idx="86">
                  <c:v>45873</c:v>
                </c:pt>
                <c:pt idx="87">
                  <c:v>45874</c:v>
                </c:pt>
                <c:pt idx="88">
                  <c:v>45875</c:v>
                </c:pt>
                <c:pt idx="89">
                  <c:v>45876</c:v>
                </c:pt>
                <c:pt idx="90">
                  <c:v>45877</c:v>
                </c:pt>
                <c:pt idx="91">
                  <c:v>45880</c:v>
                </c:pt>
                <c:pt idx="92">
                  <c:v>45881</c:v>
                </c:pt>
                <c:pt idx="93">
                  <c:v>45882</c:v>
                </c:pt>
                <c:pt idx="94">
                  <c:v>45883</c:v>
                </c:pt>
                <c:pt idx="95">
                  <c:v>45884</c:v>
                </c:pt>
                <c:pt idx="96">
                  <c:v>45887</c:v>
                </c:pt>
                <c:pt idx="97">
                  <c:v>45888</c:v>
                </c:pt>
                <c:pt idx="98">
                  <c:v>45889</c:v>
                </c:pt>
                <c:pt idx="99">
                  <c:v>45890</c:v>
                </c:pt>
                <c:pt idx="100">
                  <c:v>45891</c:v>
                </c:pt>
                <c:pt idx="101">
                  <c:v>45894</c:v>
                </c:pt>
                <c:pt idx="102">
                  <c:v>45895</c:v>
                </c:pt>
                <c:pt idx="103">
                  <c:v>45896</c:v>
                </c:pt>
                <c:pt idx="104">
                  <c:v>45897</c:v>
                </c:pt>
                <c:pt idx="105">
                  <c:v>45898</c:v>
                </c:pt>
                <c:pt idx="106">
                  <c:v>45902</c:v>
                </c:pt>
                <c:pt idx="107">
                  <c:v>45903</c:v>
                </c:pt>
                <c:pt idx="108">
                  <c:v>45904</c:v>
                </c:pt>
                <c:pt idx="109">
                  <c:v>45905</c:v>
                </c:pt>
                <c:pt idx="110">
                  <c:v>45908</c:v>
                </c:pt>
                <c:pt idx="111">
                  <c:v>45909</c:v>
                </c:pt>
                <c:pt idx="112">
                  <c:v>45910</c:v>
                </c:pt>
                <c:pt idx="113">
                  <c:v>45911</c:v>
                </c:pt>
                <c:pt idx="114">
                  <c:v>45912</c:v>
                </c:pt>
                <c:pt idx="115">
                  <c:v>45915</c:v>
                </c:pt>
                <c:pt idx="116">
                  <c:v>45916</c:v>
                </c:pt>
                <c:pt idx="117">
                  <c:v>45917</c:v>
                </c:pt>
                <c:pt idx="118">
                  <c:v>45918</c:v>
                </c:pt>
                <c:pt idx="119">
                  <c:v>45919</c:v>
                </c:pt>
                <c:pt idx="120">
                  <c:v>45922</c:v>
                </c:pt>
                <c:pt idx="121">
                  <c:v>45923</c:v>
                </c:pt>
                <c:pt idx="122">
                  <c:v>45924</c:v>
                </c:pt>
                <c:pt idx="123">
                  <c:v>45925</c:v>
                </c:pt>
                <c:pt idx="124">
                  <c:v>45926</c:v>
                </c:pt>
                <c:pt idx="125">
                  <c:v>45929</c:v>
                </c:pt>
                <c:pt idx="126">
                  <c:v>45930</c:v>
                </c:pt>
                <c:pt idx="127">
                  <c:v>45931</c:v>
                </c:pt>
                <c:pt idx="128">
                  <c:v>45932</c:v>
                </c:pt>
                <c:pt idx="129">
                  <c:v>45933</c:v>
                </c:pt>
                <c:pt idx="130">
                  <c:v>45936</c:v>
                </c:pt>
                <c:pt idx="131">
                  <c:v>45937</c:v>
                </c:pt>
                <c:pt idx="132">
                  <c:v>45938</c:v>
                </c:pt>
                <c:pt idx="133">
                  <c:v>45939</c:v>
                </c:pt>
                <c:pt idx="134">
                  <c:v>45940</c:v>
                </c:pt>
                <c:pt idx="135">
                  <c:v>45943</c:v>
                </c:pt>
                <c:pt idx="136">
                  <c:v>45944</c:v>
                </c:pt>
                <c:pt idx="137">
                  <c:v>45945</c:v>
                </c:pt>
                <c:pt idx="138">
                  <c:v>45946</c:v>
                </c:pt>
                <c:pt idx="139">
                  <c:v>45947</c:v>
                </c:pt>
                <c:pt idx="140">
                  <c:v>45950</c:v>
                </c:pt>
                <c:pt idx="141">
                  <c:v>45951</c:v>
                </c:pt>
                <c:pt idx="142">
                  <c:v>45952</c:v>
                </c:pt>
                <c:pt idx="143">
                  <c:v>45953</c:v>
                </c:pt>
                <c:pt idx="144">
                  <c:v>45954</c:v>
                </c:pt>
                <c:pt idx="145">
                  <c:v>45957</c:v>
                </c:pt>
                <c:pt idx="146">
                  <c:v>45958</c:v>
                </c:pt>
                <c:pt idx="147">
                  <c:v>45959</c:v>
                </c:pt>
                <c:pt idx="148">
                  <c:v>45960</c:v>
                </c:pt>
                <c:pt idx="149">
                  <c:v>45961</c:v>
                </c:pt>
                <c:pt idx="150">
                  <c:v>45964</c:v>
                </c:pt>
                <c:pt idx="151">
                  <c:v>45965</c:v>
                </c:pt>
                <c:pt idx="152">
                  <c:v>45966</c:v>
                </c:pt>
                <c:pt idx="153">
                  <c:v>45967</c:v>
                </c:pt>
                <c:pt idx="154">
                  <c:v>45968</c:v>
                </c:pt>
                <c:pt idx="155">
                  <c:v>45971</c:v>
                </c:pt>
                <c:pt idx="156">
                  <c:v>45972</c:v>
                </c:pt>
                <c:pt idx="157">
                  <c:v>45973</c:v>
                </c:pt>
                <c:pt idx="158">
                  <c:v>45974</c:v>
                </c:pt>
                <c:pt idx="159">
                  <c:v>45975</c:v>
                </c:pt>
                <c:pt idx="160">
                  <c:v>45978</c:v>
                </c:pt>
                <c:pt idx="161">
                  <c:v>45979</c:v>
                </c:pt>
                <c:pt idx="162">
                  <c:v>45980</c:v>
                </c:pt>
                <c:pt idx="163">
                  <c:v>45981</c:v>
                </c:pt>
                <c:pt idx="164">
                  <c:v>45982</c:v>
                </c:pt>
                <c:pt idx="165">
                  <c:v>45985</c:v>
                </c:pt>
                <c:pt idx="166">
                  <c:v>45986</c:v>
                </c:pt>
                <c:pt idx="167">
                  <c:v>45987</c:v>
                </c:pt>
                <c:pt idx="168">
                  <c:v>45989</c:v>
                </c:pt>
                <c:pt idx="169">
                  <c:v>45992</c:v>
                </c:pt>
                <c:pt idx="170">
                  <c:v>45993</c:v>
                </c:pt>
                <c:pt idx="171">
                  <c:v>45994</c:v>
                </c:pt>
                <c:pt idx="172">
                  <c:v>45995</c:v>
                </c:pt>
                <c:pt idx="173">
                  <c:v>45996</c:v>
                </c:pt>
                <c:pt idx="174">
                  <c:v>45999</c:v>
                </c:pt>
                <c:pt idx="175">
                  <c:v>46000</c:v>
                </c:pt>
                <c:pt idx="176">
                  <c:v>46001</c:v>
                </c:pt>
                <c:pt idx="177">
                  <c:v>46002</c:v>
                </c:pt>
                <c:pt idx="178">
                  <c:v>46003</c:v>
                </c:pt>
                <c:pt idx="179">
                  <c:v>46006</c:v>
                </c:pt>
                <c:pt idx="180">
                  <c:v>46007</c:v>
                </c:pt>
                <c:pt idx="181">
                  <c:v>46008</c:v>
                </c:pt>
                <c:pt idx="182">
                  <c:v>46009</c:v>
                </c:pt>
                <c:pt idx="183">
                  <c:v>46010</c:v>
                </c:pt>
                <c:pt idx="184">
                  <c:v>46013</c:v>
                </c:pt>
                <c:pt idx="185">
                  <c:v>46014</c:v>
                </c:pt>
                <c:pt idx="186">
                  <c:v>46015</c:v>
                </c:pt>
                <c:pt idx="187">
                  <c:v>46017</c:v>
                </c:pt>
                <c:pt idx="188">
                  <c:v>46020</c:v>
                </c:pt>
                <c:pt idx="189">
                  <c:v>46021</c:v>
                </c:pt>
                <c:pt idx="190">
                  <c:v>46022</c:v>
                </c:pt>
                <c:pt idx="191">
                  <c:v>46024</c:v>
                </c:pt>
                <c:pt idx="192">
                  <c:v>46027</c:v>
                </c:pt>
                <c:pt idx="193">
                  <c:v>46028</c:v>
                </c:pt>
                <c:pt idx="194">
                  <c:v>46029</c:v>
                </c:pt>
                <c:pt idx="195">
                  <c:v>46030</c:v>
                </c:pt>
                <c:pt idx="196">
                  <c:v>46031</c:v>
                </c:pt>
                <c:pt idx="197">
                  <c:v>46034</c:v>
                </c:pt>
                <c:pt idx="198">
                  <c:v>46035</c:v>
                </c:pt>
                <c:pt idx="199">
                  <c:v>46036</c:v>
                </c:pt>
                <c:pt idx="200">
                  <c:v>46037</c:v>
                </c:pt>
                <c:pt idx="201">
                  <c:v>46038</c:v>
                </c:pt>
                <c:pt idx="202">
                  <c:v>46042</c:v>
                </c:pt>
                <c:pt idx="203">
                  <c:v>46043</c:v>
                </c:pt>
                <c:pt idx="204">
                  <c:v>46044</c:v>
                </c:pt>
                <c:pt idx="205">
                  <c:v>46045</c:v>
                </c:pt>
                <c:pt idx="206">
                  <c:v>46048</c:v>
                </c:pt>
                <c:pt idx="207">
                  <c:v>46049</c:v>
                </c:pt>
                <c:pt idx="208">
                  <c:v>46050</c:v>
                </c:pt>
                <c:pt idx="209">
                  <c:v>46051</c:v>
                </c:pt>
                <c:pt idx="210">
                  <c:v>46052</c:v>
                </c:pt>
                <c:pt idx="211">
                  <c:v>46055</c:v>
                </c:pt>
                <c:pt idx="212">
                  <c:v>46056</c:v>
                </c:pt>
                <c:pt idx="213">
                  <c:v>46057</c:v>
                </c:pt>
                <c:pt idx="214">
                  <c:v>46058</c:v>
                </c:pt>
                <c:pt idx="215">
                  <c:v>46059</c:v>
                </c:pt>
                <c:pt idx="216">
                  <c:v>46062</c:v>
                </c:pt>
                <c:pt idx="217">
                  <c:v>46063</c:v>
                </c:pt>
                <c:pt idx="218">
                  <c:v>46064</c:v>
                </c:pt>
                <c:pt idx="219">
                  <c:v>46065</c:v>
                </c:pt>
                <c:pt idx="220">
                  <c:v>46066</c:v>
                </c:pt>
                <c:pt idx="221">
                  <c:v>46070</c:v>
                </c:pt>
                <c:pt idx="222">
                  <c:v>46071</c:v>
                </c:pt>
                <c:pt idx="223">
                  <c:v>46072</c:v>
                </c:pt>
                <c:pt idx="224">
                  <c:v>46073</c:v>
                </c:pt>
                <c:pt idx="225">
                  <c:v>46076</c:v>
                </c:pt>
                <c:pt idx="226">
                  <c:v>46077</c:v>
                </c:pt>
                <c:pt idx="227">
                  <c:v>46078</c:v>
                </c:pt>
                <c:pt idx="228">
                  <c:v>46079</c:v>
                </c:pt>
                <c:pt idx="229">
                  <c:v>46080</c:v>
                </c:pt>
                <c:pt idx="230">
                  <c:v>46083</c:v>
                </c:pt>
                <c:pt idx="231">
                  <c:v>46084</c:v>
                </c:pt>
                <c:pt idx="232">
                  <c:v>46085</c:v>
                </c:pt>
                <c:pt idx="233">
                  <c:v>46086</c:v>
                </c:pt>
                <c:pt idx="234">
                  <c:v>46087</c:v>
                </c:pt>
                <c:pt idx="235">
                  <c:v>46090</c:v>
                </c:pt>
                <c:pt idx="236">
                  <c:v>46091</c:v>
                </c:pt>
                <c:pt idx="237">
                  <c:v>46092</c:v>
                </c:pt>
                <c:pt idx="238">
                  <c:v>46093</c:v>
                </c:pt>
                <c:pt idx="239">
                  <c:v>46094</c:v>
                </c:pt>
                <c:pt idx="240">
                  <c:v>46097</c:v>
                </c:pt>
                <c:pt idx="241">
                  <c:v>46098</c:v>
                </c:pt>
                <c:pt idx="242">
                  <c:v>46099</c:v>
                </c:pt>
                <c:pt idx="243">
                  <c:v>46100</c:v>
                </c:pt>
                <c:pt idx="244">
                  <c:v>46101</c:v>
                </c:pt>
                <c:pt idx="245">
                  <c:v>46104</c:v>
                </c:pt>
                <c:pt idx="246">
                  <c:v>46105</c:v>
                </c:pt>
                <c:pt idx="247">
                  <c:v>46106</c:v>
                </c:pt>
                <c:pt idx="248">
                  <c:v>46107</c:v>
                </c:pt>
                <c:pt idx="249">
                  <c:v>46108</c:v>
                </c:pt>
                <c:pt idx="250">
                  <c:v>46111</c:v>
                </c:pt>
              </c:numCache>
            </c:numRef>
          </c:cat>
          <c:val>
            <c:numRef>
              <c:f>'Index Snapshot'!$G$129:$G$380</c:f>
              <c:numCache>
                <c:formatCode>#,##0.00</c:formatCode>
                <c:ptCount val="252"/>
                <c:pt idx="0">
                  <c:v>41.749502982107401</c:v>
                </c:pt>
                <c:pt idx="1">
                  <c:v>41.749502982107401</c:v>
                </c:pt>
                <c:pt idx="2">
                  <c:v>45.526838966202803</c:v>
                </c:pt>
                <c:pt idx="3">
                  <c:v>35.387673956262397</c:v>
                </c:pt>
                <c:pt idx="4">
                  <c:v>21.272365805168999</c:v>
                </c:pt>
                <c:pt idx="5">
                  <c:v>17.892644135188899</c:v>
                </c:pt>
                <c:pt idx="6">
                  <c:v>16.699801192842902</c:v>
                </c:pt>
                <c:pt idx="7">
                  <c:v>28.4294234592445</c:v>
                </c:pt>
                <c:pt idx="8">
                  <c:v>24.2544731610338</c:v>
                </c:pt>
                <c:pt idx="9">
                  <c:v>27.6341948310139</c:v>
                </c:pt>
                <c:pt idx="10">
                  <c:v>29.821073558648099</c:v>
                </c:pt>
                <c:pt idx="11">
                  <c:v>29.025844930417499</c:v>
                </c:pt>
                <c:pt idx="12">
                  <c:v>27.236580516898599</c:v>
                </c:pt>
                <c:pt idx="13">
                  <c:v>29.4234592445328</c:v>
                </c:pt>
                <c:pt idx="14">
                  <c:v>24.0556660039761</c:v>
                </c:pt>
                <c:pt idx="15">
                  <c:v>29.4234592445328</c:v>
                </c:pt>
                <c:pt idx="16">
                  <c:v>29.622266401590501</c:v>
                </c:pt>
                <c:pt idx="17">
                  <c:v>32.007952286282297</c:v>
                </c:pt>
                <c:pt idx="18">
                  <c:v>32.206759443339998</c:v>
                </c:pt>
                <c:pt idx="19">
                  <c:v>32.405566600397599</c:v>
                </c:pt>
                <c:pt idx="20">
                  <c:v>33.797216699801197</c:v>
                </c:pt>
                <c:pt idx="21">
                  <c:v>34.990059642147102</c:v>
                </c:pt>
                <c:pt idx="22">
                  <c:v>34.791252485089501</c:v>
                </c:pt>
                <c:pt idx="23">
                  <c:v>40.357852882703803</c:v>
                </c:pt>
                <c:pt idx="24">
                  <c:v>39.761431411530801</c:v>
                </c:pt>
                <c:pt idx="25">
                  <c:v>36.381709741550701</c:v>
                </c:pt>
                <c:pt idx="26">
                  <c:v>40.159045725646102</c:v>
                </c:pt>
                <c:pt idx="27">
                  <c:v>42.345924453280297</c:v>
                </c:pt>
                <c:pt idx="28">
                  <c:v>41.749502982107401</c:v>
                </c:pt>
                <c:pt idx="29">
                  <c:v>49.900596421471199</c:v>
                </c:pt>
                <c:pt idx="30">
                  <c:v>49.304174950298197</c:v>
                </c:pt>
                <c:pt idx="31">
                  <c:v>47.713717693836998</c:v>
                </c:pt>
                <c:pt idx="32">
                  <c:v>51.6898608349901</c:v>
                </c:pt>
                <c:pt idx="33">
                  <c:v>54.870775347912499</c:v>
                </c:pt>
                <c:pt idx="34">
                  <c:v>54.473161033797197</c:v>
                </c:pt>
                <c:pt idx="35">
                  <c:v>52.882703777335998</c:v>
                </c:pt>
                <c:pt idx="36">
                  <c:v>47.117296222664002</c:v>
                </c:pt>
                <c:pt idx="37">
                  <c:v>46.123260437375698</c:v>
                </c:pt>
                <c:pt idx="38">
                  <c:v>44.930417495029801</c:v>
                </c:pt>
                <c:pt idx="39">
                  <c:v>49.105367793240603</c:v>
                </c:pt>
                <c:pt idx="40">
                  <c:v>45.924453280318097</c:v>
                </c:pt>
                <c:pt idx="41">
                  <c:v>47.713717693836998</c:v>
                </c:pt>
                <c:pt idx="42">
                  <c:v>47.316103379721703</c:v>
                </c:pt>
                <c:pt idx="43">
                  <c:v>46.918489065606401</c:v>
                </c:pt>
                <c:pt idx="44">
                  <c:v>48.707753479125302</c:v>
                </c:pt>
                <c:pt idx="45">
                  <c:v>47.514910536779297</c:v>
                </c:pt>
                <c:pt idx="46">
                  <c:v>46.123260437375698</c:v>
                </c:pt>
                <c:pt idx="47">
                  <c:v>49.304174950298197</c:v>
                </c:pt>
                <c:pt idx="48">
                  <c:v>48.707753479125302</c:v>
                </c:pt>
                <c:pt idx="49">
                  <c:v>51.888667992047701</c:v>
                </c:pt>
                <c:pt idx="50">
                  <c:v>50.497017892644102</c:v>
                </c:pt>
                <c:pt idx="51">
                  <c:v>51.888667992047701</c:v>
                </c:pt>
                <c:pt idx="52">
                  <c:v>47.316103379721703</c:v>
                </c:pt>
                <c:pt idx="53">
                  <c:v>49.900596421471199</c:v>
                </c:pt>
                <c:pt idx="54">
                  <c:v>45.129224652087501</c:v>
                </c:pt>
                <c:pt idx="55">
                  <c:v>44.731610337972199</c:v>
                </c:pt>
                <c:pt idx="56">
                  <c:v>45.725646123260397</c:v>
                </c:pt>
                <c:pt idx="57">
                  <c:v>49.105367793240603</c:v>
                </c:pt>
                <c:pt idx="58">
                  <c:v>51.491053677932399</c:v>
                </c:pt>
                <c:pt idx="59">
                  <c:v>46.918489065606401</c:v>
                </c:pt>
                <c:pt idx="60">
                  <c:v>50.497017892644102</c:v>
                </c:pt>
                <c:pt idx="61">
                  <c:v>51.888667992047701</c:v>
                </c:pt>
                <c:pt idx="62">
                  <c:v>53.081510934393599</c:v>
                </c:pt>
                <c:pt idx="63">
                  <c:v>59.642147117296197</c:v>
                </c:pt>
                <c:pt idx="64">
                  <c:v>59.362549800796799</c:v>
                </c:pt>
                <c:pt idx="65">
                  <c:v>61.354581673306797</c:v>
                </c:pt>
                <c:pt idx="66">
                  <c:v>58.167330677290799</c:v>
                </c:pt>
                <c:pt idx="67">
                  <c:v>59.163346613545798</c:v>
                </c:pt>
                <c:pt idx="68">
                  <c:v>60.636182902584501</c:v>
                </c:pt>
                <c:pt idx="69">
                  <c:v>62.823061630218703</c:v>
                </c:pt>
                <c:pt idx="70">
                  <c:v>60.238568588469199</c:v>
                </c:pt>
                <c:pt idx="71">
                  <c:v>59.642147117296197</c:v>
                </c:pt>
                <c:pt idx="72">
                  <c:v>55.864811133200803</c:v>
                </c:pt>
                <c:pt idx="73">
                  <c:v>55.864811133200803</c:v>
                </c:pt>
                <c:pt idx="74">
                  <c:v>58.964143426294797</c:v>
                </c:pt>
                <c:pt idx="75">
                  <c:v>58.167330677290799</c:v>
                </c:pt>
                <c:pt idx="76">
                  <c:v>57.569721115537902</c:v>
                </c:pt>
                <c:pt idx="77">
                  <c:v>62.350597609561802</c:v>
                </c:pt>
                <c:pt idx="78">
                  <c:v>64.413518886679896</c:v>
                </c:pt>
                <c:pt idx="79">
                  <c:v>62.823061630218703</c:v>
                </c:pt>
                <c:pt idx="80">
                  <c:v>64.413518886679896</c:v>
                </c:pt>
                <c:pt idx="81">
                  <c:v>61.033797216699803</c:v>
                </c:pt>
                <c:pt idx="82">
                  <c:v>61.232604373757503</c:v>
                </c:pt>
                <c:pt idx="83">
                  <c:v>58.648111332008</c:v>
                </c:pt>
                <c:pt idx="84">
                  <c:v>57.455268389662002</c:v>
                </c:pt>
                <c:pt idx="85">
                  <c:v>53.677932405566601</c:v>
                </c:pt>
                <c:pt idx="86">
                  <c:v>58.051689860834998</c:v>
                </c:pt>
                <c:pt idx="87">
                  <c:v>56.461232604373798</c:v>
                </c:pt>
                <c:pt idx="88">
                  <c:v>54.473161033797197</c:v>
                </c:pt>
                <c:pt idx="89">
                  <c:v>55.864811133200803</c:v>
                </c:pt>
                <c:pt idx="90">
                  <c:v>56.660039761431399</c:v>
                </c:pt>
                <c:pt idx="91">
                  <c:v>55.467196819085501</c:v>
                </c:pt>
                <c:pt idx="92">
                  <c:v>58.846918489065601</c:v>
                </c:pt>
                <c:pt idx="93">
                  <c:v>63.618290258449299</c:v>
                </c:pt>
                <c:pt idx="94">
                  <c:v>60.834990059642102</c:v>
                </c:pt>
                <c:pt idx="95">
                  <c:v>60.238568588469199</c:v>
                </c:pt>
                <c:pt idx="96">
                  <c:v>60.437375745526801</c:v>
                </c:pt>
                <c:pt idx="97">
                  <c:v>63.618290258449299</c:v>
                </c:pt>
                <c:pt idx="98">
                  <c:v>63.618290258449299</c:v>
                </c:pt>
                <c:pt idx="99">
                  <c:v>62.823061630218703</c:v>
                </c:pt>
                <c:pt idx="100">
                  <c:v>68.588469184890698</c:v>
                </c:pt>
                <c:pt idx="101">
                  <c:v>65.009940357852898</c:v>
                </c:pt>
                <c:pt idx="102">
                  <c:v>64.214711729622294</c:v>
                </c:pt>
                <c:pt idx="103">
                  <c:v>65.606361829025801</c:v>
                </c:pt>
                <c:pt idx="104">
                  <c:v>65.4075546719682</c:v>
                </c:pt>
                <c:pt idx="105">
                  <c:v>66.202783300198803</c:v>
                </c:pt>
                <c:pt idx="106">
                  <c:v>63.817097415507</c:v>
                </c:pt>
                <c:pt idx="107">
                  <c:v>63.419483101391599</c:v>
                </c:pt>
                <c:pt idx="108">
                  <c:v>63.817097415507</c:v>
                </c:pt>
                <c:pt idx="109">
                  <c:v>63.817097415507</c:v>
                </c:pt>
                <c:pt idx="110">
                  <c:v>64.214711729622294</c:v>
                </c:pt>
                <c:pt idx="111">
                  <c:v>63.021868787276297</c:v>
                </c:pt>
                <c:pt idx="112">
                  <c:v>60.834990059642102</c:v>
                </c:pt>
                <c:pt idx="113">
                  <c:v>66.998011928429406</c:v>
                </c:pt>
                <c:pt idx="114">
                  <c:v>64.811133200795197</c:v>
                </c:pt>
                <c:pt idx="115">
                  <c:v>61.829025844930399</c:v>
                </c:pt>
                <c:pt idx="116">
                  <c:v>61.431411530815097</c:v>
                </c:pt>
                <c:pt idx="117">
                  <c:v>61.431411530815097</c:v>
                </c:pt>
                <c:pt idx="118">
                  <c:v>61.630218687872798</c:v>
                </c:pt>
                <c:pt idx="119">
                  <c:v>61.033797216699803</c:v>
                </c:pt>
                <c:pt idx="120">
                  <c:v>61.232604373757503</c:v>
                </c:pt>
                <c:pt idx="121">
                  <c:v>62.0278330019881</c:v>
                </c:pt>
                <c:pt idx="122">
                  <c:v>62.425447316103401</c:v>
                </c:pt>
                <c:pt idx="123">
                  <c:v>60.437375745526801</c:v>
                </c:pt>
                <c:pt idx="124">
                  <c:v>63.021868787276297</c:v>
                </c:pt>
                <c:pt idx="125">
                  <c:v>63.419483101391599</c:v>
                </c:pt>
                <c:pt idx="126">
                  <c:v>64.612326043737596</c:v>
                </c:pt>
                <c:pt idx="127">
                  <c:v>65.009940357852898</c:v>
                </c:pt>
                <c:pt idx="128">
                  <c:v>64.811133200795197</c:v>
                </c:pt>
                <c:pt idx="129">
                  <c:v>65.4075546719682</c:v>
                </c:pt>
                <c:pt idx="130">
                  <c:v>65.009940357852898</c:v>
                </c:pt>
                <c:pt idx="131">
                  <c:v>64.214711729622294</c:v>
                </c:pt>
                <c:pt idx="132">
                  <c:v>63.220675944333998</c:v>
                </c:pt>
                <c:pt idx="133">
                  <c:v>62.0278330019881</c:v>
                </c:pt>
                <c:pt idx="134">
                  <c:v>54.671968190854898</c:v>
                </c:pt>
                <c:pt idx="135">
                  <c:v>57.654075546719703</c:v>
                </c:pt>
                <c:pt idx="136">
                  <c:v>61.431411530815097</c:v>
                </c:pt>
                <c:pt idx="137">
                  <c:v>61.431411530815097</c:v>
                </c:pt>
                <c:pt idx="138">
                  <c:v>56.063618290258503</c:v>
                </c:pt>
                <c:pt idx="139">
                  <c:v>58.250497017892599</c:v>
                </c:pt>
                <c:pt idx="140">
                  <c:v>61.829025844930399</c:v>
                </c:pt>
                <c:pt idx="141">
                  <c:v>63.817097415507</c:v>
                </c:pt>
                <c:pt idx="142">
                  <c:v>63.220675944333998</c:v>
                </c:pt>
                <c:pt idx="143">
                  <c:v>64.214711729622294</c:v>
                </c:pt>
                <c:pt idx="144">
                  <c:v>63.618290258449299</c:v>
                </c:pt>
                <c:pt idx="145">
                  <c:v>62.823061630218703</c:v>
                </c:pt>
                <c:pt idx="146">
                  <c:v>60.238568588469199</c:v>
                </c:pt>
                <c:pt idx="147">
                  <c:v>54.274353876739603</c:v>
                </c:pt>
                <c:pt idx="148">
                  <c:v>53.677932405566601</c:v>
                </c:pt>
                <c:pt idx="149">
                  <c:v>54.183266932270897</c:v>
                </c:pt>
                <c:pt idx="150">
                  <c:v>53.386454183266899</c:v>
                </c:pt>
                <c:pt idx="151">
                  <c:v>53.093812375249499</c:v>
                </c:pt>
                <c:pt idx="152">
                  <c:v>54.091816367265501</c:v>
                </c:pt>
                <c:pt idx="153">
                  <c:v>51.696606786427097</c:v>
                </c:pt>
                <c:pt idx="154">
                  <c:v>54.291417165668697</c:v>
                </c:pt>
                <c:pt idx="155">
                  <c:v>55.688622754491</c:v>
                </c:pt>
                <c:pt idx="156">
                  <c:v>57.285429141716598</c:v>
                </c:pt>
                <c:pt idx="157">
                  <c:v>57.884231536926102</c:v>
                </c:pt>
                <c:pt idx="158">
                  <c:v>57.085828343313402</c:v>
                </c:pt>
                <c:pt idx="159">
                  <c:v>56.0878243512974</c:v>
                </c:pt>
                <c:pt idx="160">
                  <c:v>51.497005988024</c:v>
                </c:pt>
                <c:pt idx="161">
                  <c:v>52.095808383233503</c:v>
                </c:pt>
                <c:pt idx="162">
                  <c:v>50.299401197604801</c:v>
                </c:pt>
                <c:pt idx="163">
                  <c:v>47.305389221556901</c:v>
                </c:pt>
                <c:pt idx="164">
                  <c:v>53.692614770459102</c:v>
                </c:pt>
                <c:pt idx="165">
                  <c:v>53.293413173652702</c:v>
                </c:pt>
                <c:pt idx="166">
                  <c:v>56.886227544910199</c:v>
                </c:pt>
                <c:pt idx="167">
                  <c:v>58.283433133732501</c:v>
                </c:pt>
                <c:pt idx="168">
                  <c:v>61.277445109780402</c:v>
                </c:pt>
                <c:pt idx="169">
                  <c:v>57.884231536926102</c:v>
                </c:pt>
                <c:pt idx="170">
                  <c:v>56.886227544910199</c:v>
                </c:pt>
                <c:pt idx="171">
                  <c:v>59.281437125748504</c:v>
                </c:pt>
                <c:pt idx="172">
                  <c:v>59.0818363273453</c:v>
                </c:pt>
                <c:pt idx="173">
                  <c:v>60.279441117764499</c:v>
                </c:pt>
                <c:pt idx="174">
                  <c:v>56.487025948103799</c:v>
                </c:pt>
                <c:pt idx="175">
                  <c:v>55.888223552894203</c:v>
                </c:pt>
                <c:pt idx="176">
                  <c:v>59.0818363273453</c:v>
                </c:pt>
                <c:pt idx="177">
                  <c:v>62.275449101796397</c:v>
                </c:pt>
                <c:pt idx="178">
                  <c:v>62.4750499001996</c:v>
                </c:pt>
                <c:pt idx="179">
                  <c:v>61.876247504989998</c:v>
                </c:pt>
                <c:pt idx="180">
                  <c:v>60.079840319361303</c:v>
                </c:pt>
                <c:pt idx="181">
                  <c:v>59.680638722554903</c:v>
                </c:pt>
                <c:pt idx="182">
                  <c:v>59.281437125748504</c:v>
                </c:pt>
                <c:pt idx="183">
                  <c:v>57.884231536926102</c:v>
                </c:pt>
                <c:pt idx="184">
                  <c:v>60.557768924302799</c:v>
                </c:pt>
                <c:pt idx="185">
                  <c:v>60.557768924302799</c:v>
                </c:pt>
                <c:pt idx="186">
                  <c:v>60.956175298804801</c:v>
                </c:pt>
                <c:pt idx="187">
                  <c:v>60.557768924302799</c:v>
                </c:pt>
                <c:pt idx="188">
                  <c:v>61.155378486055803</c:v>
                </c:pt>
                <c:pt idx="189">
                  <c:v>61.354581673306797</c:v>
                </c:pt>
                <c:pt idx="190">
                  <c:v>58.565737051792802</c:v>
                </c:pt>
                <c:pt idx="191">
                  <c:v>58.3665338645418</c:v>
                </c:pt>
                <c:pt idx="192">
                  <c:v>60.159362549800797</c:v>
                </c:pt>
                <c:pt idx="193">
                  <c:v>62.749003984063698</c:v>
                </c:pt>
                <c:pt idx="194">
                  <c:v>58.565737051792802</c:v>
                </c:pt>
                <c:pt idx="195">
                  <c:v>62.948207171314699</c:v>
                </c:pt>
                <c:pt idx="196">
                  <c:v>64.3426294820717</c:v>
                </c:pt>
                <c:pt idx="197">
                  <c:v>64.940239043824704</c:v>
                </c:pt>
                <c:pt idx="198">
                  <c:v>63.745019920318697</c:v>
                </c:pt>
                <c:pt idx="199">
                  <c:v>66.533864541832699</c:v>
                </c:pt>
                <c:pt idx="200">
                  <c:v>67.529880478087605</c:v>
                </c:pt>
                <c:pt idx="201">
                  <c:v>66.533864541832699</c:v>
                </c:pt>
                <c:pt idx="202">
                  <c:v>63.147410358565701</c:v>
                </c:pt>
                <c:pt idx="203">
                  <c:v>66.334661354581698</c:v>
                </c:pt>
                <c:pt idx="204">
                  <c:v>65.936254980079696</c:v>
                </c:pt>
                <c:pt idx="205">
                  <c:v>65.338645418326706</c:v>
                </c:pt>
                <c:pt idx="206">
                  <c:v>65.936254980079696</c:v>
                </c:pt>
                <c:pt idx="207">
                  <c:v>65.338645418326706</c:v>
                </c:pt>
                <c:pt idx="208">
                  <c:v>64.3426294820717</c:v>
                </c:pt>
                <c:pt idx="209">
                  <c:v>63.944223107569698</c:v>
                </c:pt>
                <c:pt idx="210">
                  <c:v>63.944223107569698</c:v>
                </c:pt>
                <c:pt idx="211">
                  <c:v>63.545816733067703</c:v>
                </c:pt>
                <c:pt idx="212">
                  <c:v>63.545816733067703</c:v>
                </c:pt>
                <c:pt idx="213">
                  <c:v>66.467065868263504</c:v>
                </c:pt>
                <c:pt idx="214">
                  <c:v>64.870259481037905</c:v>
                </c:pt>
                <c:pt idx="215">
                  <c:v>67.265469061876203</c:v>
                </c:pt>
                <c:pt idx="216">
                  <c:v>66.135458167330697</c:v>
                </c:pt>
                <c:pt idx="217">
                  <c:v>66.932270916334701</c:v>
                </c:pt>
                <c:pt idx="218">
                  <c:v>67.131474103585703</c:v>
                </c:pt>
                <c:pt idx="219">
                  <c:v>65.139442231075705</c:v>
                </c:pt>
                <c:pt idx="220">
                  <c:v>64.541832669322702</c:v>
                </c:pt>
                <c:pt idx="221">
                  <c:v>63.346613545816702</c:v>
                </c:pt>
                <c:pt idx="222">
                  <c:v>65.737051792828694</c:v>
                </c:pt>
                <c:pt idx="223">
                  <c:v>63.944223107569698</c:v>
                </c:pt>
                <c:pt idx="224">
                  <c:v>65.537848605577693</c:v>
                </c:pt>
                <c:pt idx="225">
                  <c:v>63.346613545816702</c:v>
                </c:pt>
                <c:pt idx="226">
                  <c:v>63.346613545816702</c:v>
                </c:pt>
                <c:pt idx="227">
                  <c:v>62.749003984063698</c:v>
                </c:pt>
                <c:pt idx="228">
                  <c:v>65.737051792828694</c:v>
                </c:pt>
                <c:pt idx="229">
                  <c:v>65.139442231075705</c:v>
                </c:pt>
                <c:pt idx="230">
                  <c:v>64.741035856573703</c:v>
                </c:pt>
                <c:pt idx="231">
                  <c:v>60.358565737051798</c:v>
                </c:pt>
                <c:pt idx="232">
                  <c:v>60.557768924302799</c:v>
                </c:pt>
                <c:pt idx="233">
                  <c:v>57.370517928286901</c:v>
                </c:pt>
                <c:pt idx="234">
                  <c:v>55.378486055776897</c:v>
                </c:pt>
                <c:pt idx="235">
                  <c:v>54.7808764940239</c:v>
                </c:pt>
                <c:pt idx="236">
                  <c:v>52.988047808764897</c:v>
                </c:pt>
                <c:pt idx="237">
                  <c:v>51.593625498008002</c:v>
                </c:pt>
                <c:pt idx="238">
                  <c:v>48.804780876494</c:v>
                </c:pt>
                <c:pt idx="239">
                  <c:v>48.007968127490003</c:v>
                </c:pt>
                <c:pt idx="240">
                  <c:v>48.207171314740997</c:v>
                </c:pt>
                <c:pt idx="241">
                  <c:v>50.398406374502002</c:v>
                </c:pt>
                <c:pt idx="242">
                  <c:v>46.215139442231099</c:v>
                </c:pt>
                <c:pt idx="243">
                  <c:v>46.215139442231099</c:v>
                </c:pt>
                <c:pt idx="244">
                  <c:v>43.426294820717104</c:v>
                </c:pt>
                <c:pt idx="245">
                  <c:v>46.015936254980097</c:v>
                </c:pt>
                <c:pt idx="246">
                  <c:v>46.812749003984102</c:v>
                </c:pt>
                <c:pt idx="247">
                  <c:v>47.808764940239001</c:v>
                </c:pt>
                <c:pt idx="248">
                  <c:v>45.418326693227101</c:v>
                </c:pt>
                <c:pt idx="249">
                  <c:v>41.6334661354582</c:v>
                </c:pt>
                <c:pt idx="250">
                  <c:v>41.434262948207198</c:v>
                </c:pt>
                <c:pt idx="251">
                  <c:v>46.812749003984102</c:v>
                </c:pt>
              </c:numCache>
            </c:numRef>
          </c:val>
          <c:smooth val="0"/>
          <c:extLst>
            <c:ext xmlns:c16="http://schemas.microsoft.com/office/drawing/2014/chart" uri="{C3380CC4-5D6E-409C-BE32-E72D297353CC}">
              <c16:uniqueId val="{00000000-813A-409E-9315-498AD452C56A}"/>
            </c:ext>
          </c:extLst>
        </c:ser>
        <c:ser>
          <c:idx val="1"/>
          <c:order val="1"/>
          <c:tx>
            <c:strRef>
              <c:f>'Index Snapshot'!$H$128</c:f>
              <c:strCache>
                <c:ptCount val="1"/>
                <c:pt idx="0">
                  <c:v>% Above MAVG - 50 Day (Chart)</c:v>
                </c:pt>
              </c:strCache>
            </c:strRef>
          </c:tx>
          <c:spPr>
            <a:ln w="15875" cmpd="sng"/>
            <a:effectLst/>
          </c:spPr>
          <c:marker>
            <c:symbol val="none"/>
          </c:marker>
          <c:cat>
            <c:numRef>
              <c:f>'Index Snapshot'!$C$129:$C$380</c:f>
              <c:numCache>
                <c:formatCode>m/d/yy</c:formatCode>
                <c:ptCount val="252"/>
                <c:pt idx="0">
                  <c:v>45747</c:v>
                </c:pt>
                <c:pt idx="1">
                  <c:v>45748</c:v>
                </c:pt>
                <c:pt idx="2">
                  <c:v>45749</c:v>
                </c:pt>
                <c:pt idx="3">
                  <c:v>45750</c:v>
                </c:pt>
                <c:pt idx="4">
                  <c:v>45751</c:v>
                </c:pt>
                <c:pt idx="5">
                  <c:v>45754</c:v>
                </c:pt>
                <c:pt idx="6">
                  <c:v>45755</c:v>
                </c:pt>
                <c:pt idx="7">
                  <c:v>45756</c:v>
                </c:pt>
                <c:pt idx="8">
                  <c:v>45757</c:v>
                </c:pt>
                <c:pt idx="9">
                  <c:v>45758</c:v>
                </c:pt>
                <c:pt idx="10">
                  <c:v>45761</c:v>
                </c:pt>
                <c:pt idx="11">
                  <c:v>45762</c:v>
                </c:pt>
                <c:pt idx="12">
                  <c:v>45763</c:v>
                </c:pt>
                <c:pt idx="13">
                  <c:v>45764</c:v>
                </c:pt>
                <c:pt idx="14">
                  <c:v>45768</c:v>
                </c:pt>
                <c:pt idx="15">
                  <c:v>45769</c:v>
                </c:pt>
                <c:pt idx="16">
                  <c:v>45770</c:v>
                </c:pt>
                <c:pt idx="17">
                  <c:v>45771</c:v>
                </c:pt>
                <c:pt idx="18">
                  <c:v>45772</c:v>
                </c:pt>
                <c:pt idx="19">
                  <c:v>45775</c:v>
                </c:pt>
                <c:pt idx="20">
                  <c:v>45776</c:v>
                </c:pt>
                <c:pt idx="21">
                  <c:v>45777</c:v>
                </c:pt>
                <c:pt idx="22">
                  <c:v>45778</c:v>
                </c:pt>
                <c:pt idx="23">
                  <c:v>45779</c:v>
                </c:pt>
                <c:pt idx="24">
                  <c:v>45782</c:v>
                </c:pt>
                <c:pt idx="25">
                  <c:v>45783</c:v>
                </c:pt>
                <c:pt idx="26">
                  <c:v>45784</c:v>
                </c:pt>
                <c:pt idx="27">
                  <c:v>45785</c:v>
                </c:pt>
                <c:pt idx="28">
                  <c:v>45786</c:v>
                </c:pt>
                <c:pt idx="29">
                  <c:v>45789</c:v>
                </c:pt>
                <c:pt idx="30">
                  <c:v>45790</c:v>
                </c:pt>
                <c:pt idx="31">
                  <c:v>45791</c:v>
                </c:pt>
                <c:pt idx="32">
                  <c:v>45792</c:v>
                </c:pt>
                <c:pt idx="33">
                  <c:v>45793</c:v>
                </c:pt>
                <c:pt idx="34">
                  <c:v>45796</c:v>
                </c:pt>
                <c:pt idx="35">
                  <c:v>45797</c:v>
                </c:pt>
                <c:pt idx="36">
                  <c:v>45798</c:v>
                </c:pt>
                <c:pt idx="37">
                  <c:v>45799</c:v>
                </c:pt>
                <c:pt idx="38">
                  <c:v>45800</c:v>
                </c:pt>
                <c:pt idx="39">
                  <c:v>45804</c:v>
                </c:pt>
                <c:pt idx="40">
                  <c:v>45805</c:v>
                </c:pt>
                <c:pt idx="41">
                  <c:v>45806</c:v>
                </c:pt>
                <c:pt idx="42">
                  <c:v>45807</c:v>
                </c:pt>
                <c:pt idx="43">
                  <c:v>45810</c:v>
                </c:pt>
                <c:pt idx="44">
                  <c:v>45811</c:v>
                </c:pt>
                <c:pt idx="45">
                  <c:v>45812</c:v>
                </c:pt>
                <c:pt idx="46">
                  <c:v>45813</c:v>
                </c:pt>
                <c:pt idx="47">
                  <c:v>45814</c:v>
                </c:pt>
                <c:pt idx="48">
                  <c:v>45817</c:v>
                </c:pt>
                <c:pt idx="49">
                  <c:v>45818</c:v>
                </c:pt>
                <c:pt idx="50">
                  <c:v>45819</c:v>
                </c:pt>
                <c:pt idx="51">
                  <c:v>45820</c:v>
                </c:pt>
                <c:pt idx="52">
                  <c:v>45821</c:v>
                </c:pt>
                <c:pt idx="53">
                  <c:v>45824</c:v>
                </c:pt>
                <c:pt idx="54">
                  <c:v>45825</c:v>
                </c:pt>
                <c:pt idx="55">
                  <c:v>45826</c:v>
                </c:pt>
                <c:pt idx="56">
                  <c:v>45828</c:v>
                </c:pt>
                <c:pt idx="57">
                  <c:v>45831</c:v>
                </c:pt>
                <c:pt idx="58">
                  <c:v>45832</c:v>
                </c:pt>
                <c:pt idx="59">
                  <c:v>45833</c:v>
                </c:pt>
                <c:pt idx="60">
                  <c:v>45834</c:v>
                </c:pt>
                <c:pt idx="61">
                  <c:v>45835</c:v>
                </c:pt>
                <c:pt idx="62">
                  <c:v>45838</c:v>
                </c:pt>
                <c:pt idx="63">
                  <c:v>45839</c:v>
                </c:pt>
                <c:pt idx="64">
                  <c:v>45840</c:v>
                </c:pt>
                <c:pt idx="65">
                  <c:v>45841</c:v>
                </c:pt>
                <c:pt idx="66">
                  <c:v>45845</c:v>
                </c:pt>
                <c:pt idx="67">
                  <c:v>45846</c:v>
                </c:pt>
                <c:pt idx="68">
                  <c:v>45847</c:v>
                </c:pt>
                <c:pt idx="69">
                  <c:v>45848</c:v>
                </c:pt>
                <c:pt idx="70">
                  <c:v>45849</c:v>
                </c:pt>
                <c:pt idx="71">
                  <c:v>45852</c:v>
                </c:pt>
                <c:pt idx="72">
                  <c:v>45853</c:v>
                </c:pt>
                <c:pt idx="73">
                  <c:v>45854</c:v>
                </c:pt>
                <c:pt idx="74">
                  <c:v>45855</c:v>
                </c:pt>
                <c:pt idx="75">
                  <c:v>45856</c:v>
                </c:pt>
                <c:pt idx="76">
                  <c:v>45859</c:v>
                </c:pt>
                <c:pt idx="77">
                  <c:v>45860</c:v>
                </c:pt>
                <c:pt idx="78">
                  <c:v>45861</c:v>
                </c:pt>
                <c:pt idx="79">
                  <c:v>45862</c:v>
                </c:pt>
                <c:pt idx="80">
                  <c:v>45863</c:v>
                </c:pt>
                <c:pt idx="81">
                  <c:v>45866</c:v>
                </c:pt>
                <c:pt idx="82">
                  <c:v>45867</c:v>
                </c:pt>
                <c:pt idx="83">
                  <c:v>45868</c:v>
                </c:pt>
                <c:pt idx="84">
                  <c:v>45869</c:v>
                </c:pt>
                <c:pt idx="85">
                  <c:v>45870</c:v>
                </c:pt>
                <c:pt idx="86">
                  <c:v>45873</c:v>
                </c:pt>
                <c:pt idx="87">
                  <c:v>45874</c:v>
                </c:pt>
                <c:pt idx="88">
                  <c:v>45875</c:v>
                </c:pt>
                <c:pt idx="89">
                  <c:v>45876</c:v>
                </c:pt>
                <c:pt idx="90">
                  <c:v>45877</c:v>
                </c:pt>
                <c:pt idx="91">
                  <c:v>45880</c:v>
                </c:pt>
                <c:pt idx="92">
                  <c:v>45881</c:v>
                </c:pt>
                <c:pt idx="93">
                  <c:v>45882</c:v>
                </c:pt>
                <c:pt idx="94">
                  <c:v>45883</c:v>
                </c:pt>
                <c:pt idx="95">
                  <c:v>45884</c:v>
                </c:pt>
                <c:pt idx="96">
                  <c:v>45887</c:v>
                </c:pt>
                <c:pt idx="97">
                  <c:v>45888</c:v>
                </c:pt>
                <c:pt idx="98">
                  <c:v>45889</c:v>
                </c:pt>
                <c:pt idx="99">
                  <c:v>45890</c:v>
                </c:pt>
                <c:pt idx="100">
                  <c:v>45891</c:v>
                </c:pt>
                <c:pt idx="101">
                  <c:v>45894</c:v>
                </c:pt>
                <c:pt idx="102">
                  <c:v>45895</c:v>
                </c:pt>
                <c:pt idx="103">
                  <c:v>45896</c:v>
                </c:pt>
                <c:pt idx="104">
                  <c:v>45897</c:v>
                </c:pt>
                <c:pt idx="105">
                  <c:v>45898</c:v>
                </c:pt>
                <c:pt idx="106">
                  <c:v>45902</c:v>
                </c:pt>
                <c:pt idx="107">
                  <c:v>45903</c:v>
                </c:pt>
                <c:pt idx="108">
                  <c:v>45904</c:v>
                </c:pt>
                <c:pt idx="109">
                  <c:v>45905</c:v>
                </c:pt>
                <c:pt idx="110">
                  <c:v>45908</c:v>
                </c:pt>
                <c:pt idx="111">
                  <c:v>45909</c:v>
                </c:pt>
                <c:pt idx="112">
                  <c:v>45910</c:v>
                </c:pt>
                <c:pt idx="113">
                  <c:v>45911</c:v>
                </c:pt>
                <c:pt idx="114">
                  <c:v>45912</c:v>
                </c:pt>
                <c:pt idx="115">
                  <c:v>45915</c:v>
                </c:pt>
                <c:pt idx="116">
                  <c:v>45916</c:v>
                </c:pt>
                <c:pt idx="117">
                  <c:v>45917</c:v>
                </c:pt>
                <c:pt idx="118">
                  <c:v>45918</c:v>
                </c:pt>
                <c:pt idx="119">
                  <c:v>45919</c:v>
                </c:pt>
                <c:pt idx="120">
                  <c:v>45922</c:v>
                </c:pt>
                <c:pt idx="121">
                  <c:v>45923</c:v>
                </c:pt>
                <c:pt idx="122">
                  <c:v>45924</c:v>
                </c:pt>
                <c:pt idx="123">
                  <c:v>45925</c:v>
                </c:pt>
                <c:pt idx="124">
                  <c:v>45926</c:v>
                </c:pt>
                <c:pt idx="125">
                  <c:v>45929</c:v>
                </c:pt>
                <c:pt idx="126">
                  <c:v>45930</c:v>
                </c:pt>
                <c:pt idx="127">
                  <c:v>45931</c:v>
                </c:pt>
                <c:pt idx="128">
                  <c:v>45932</c:v>
                </c:pt>
                <c:pt idx="129">
                  <c:v>45933</c:v>
                </c:pt>
                <c:pt idx="130">
                  <c:v>45936</c:v>
                </c:pt>
                <c:pt idx="131">
                  <c:v>45937</c:v>
                </c:pt>
                <c:pt idx="132">
                  <c:v>45938</c:v>
                </c:pt>
                <c:pt idx="133">
                  <c:v>45939</c:v>
                </c:pt>
                <c:pt idx="134">
                  <c:v>45940</c:v>
                </c:pt>
                <c:pt idx="135">
                  <c:v>45943</c:v>
                </c:pt>
                <c:pt idx="136">
                  <c:v>45944</c:v>
                </c:pt>
                <c:pt idx="137">
                  <c:v>45945</c:v>
                </c:pt>
                <c:pt idx="138">
                  <c:v>45946</c:v>
                </c:pt>
                <c:pt idx="139">
                  <c:v>45947</c:v>
                </c:pt>
                <c:pt idx="140">
                  <c:v>45950</c:v>
                </c:pt>
                <c:pt idx="141">
                  <c:v>45951</c:v>
                </c:pt>
                <c:pt idx="142">
                  <c:v>45952</c:v>
                </c:pt>
                <c:pt idx="143">
                  <c:v>45953</c:v>
                </c:pt>
                <c:pt idx="144">
                  <c:v>45954</c:v>
                </c:pt>
                <c:pt idx="145">
                  <c:v>45957</c:v>
                </c:pt>
                <c:pt idx="146">
                  <c:v>45958</c:v>
                </c:pt>
                <c:pt idx="147">
                  <c:v>45959</c:v>
                </c:pt>
                <c:pt idx="148">
                  <c:v>45960</c:v>
                </c:pt>
                <c:pt idx="149">
                  <c:v>45961</c:v>
                </c:pt>
                <c:pt idx="150">
                  <c:v>45964</c:v>
                </c:pt>
                <c:pt idx="151">
                  <c:v>45965</c:v>
                </c:pt>
                <c:pt idx="152">
                  <c:v>45966</c:v>
                </c:pt>
                <c:pt idx="153">
                  <c:v>45967</c:v>
                </c:pt>
                <c:pt idx="154">
                  <c:v>45968</c:v>
                </c:pt>
                <c:pt idx="155">
                  <c:v>45971</c:v>
                </c:pt>
                <c:pt idx="156">
                  <c:v>45972</c:v>
                </c:pt>
                <c:pt idx="157">
                  <c:v>45973</c:v>
                </c:pt>
                <c:pt idx="158">
                  <c:v>45974</c:v>
                </c:pt>
                <c:pt idx="159">
                  <c:v>45975</c:v>
                </c:pt>
                <c:pt idx="160">
                  <c:v>45978</c:v>
                </c:pt>
                <c:pt idx="161">
                  <c:v>45979</c:v>
                </c:pt>
                <c:pt idx="162">
                  <c:v>45980</c:v>
                </c:pt>
                <c:pt idx="163">
                  <c:v>45981</c:v>
                </c:pt>
                <c:pt idx="164">
                  <c:v>45982</c:v>
                </c:pt>
                <c:pt idx="165">
                  <c:v>45985</c:v>
                </c:pt>
                <c:pt idx="166">
                  <c:v>45986</c:v>
                </c:pt>
                <c:pt idx="167">
                  <c:v>45987</c:v>
                </c:pt>
                <c:pt idx="168">
                  <c:v>45989</c:v>
                </c:pt>
                <c:pt idx="169">
                  <c:v>45992</c:v>
                </c:pt>
                <c:pt idx="170">
                  <c:v>45993</c:v>
                </c:pt>
                <c:pt idx="171">
                  <c:v>45994</c:v>
                </c:pt>
                <c:pt idx="172">
                  <c:v>45995</c:v>
                </c:pt>
                <c:pt idx="173">
                  <c:v>45996</c:v>
                </c:pt>
                <c:pt idx="174">
                  <c:v>45999</c:v>
                </c:pt>
                <c:pt idx="175">
                  <c:v>46000</c:v>
                </c:pt>
                <c:pt idx="176">
                  <c:v>46001</c:v>
                </c:pt>
                <c:pt idx="177">
                  <c:v>46002</c:v>
                </c:pt>
                <c:pt idx="178">
                  <c:v>46003</c:v>
                </c:pt>
                <c:pt idx="179">
                  <c:v>46006</c:v>
                </c:pt>
                <c:pt idx="180">
                  <c:v>46007</c:v>
                </c:pt>
                <c:pt idx="181">
                  <c:v>46008</c:v>
                </c:pt>
                <c:pt idx="182">
                  <c:v>46009</c:v>
                </c:pt>
                <c:pt idx="183">
                  <c:v>46010</c:v>
                </c:pt>
                <c:pt idx="184">
                  <c:v>46013</c:v>
                </c:pt>
                <c:pt idx="185">
                  <c:v>46014</c:v>
                </c:pt>
                <c:pt idx="186">
                  <c:v>46015</c:v>
                </c:pt>
                <c:pt idx="187">
                  <c:v>46017</c:v>
                </c:pt>
                <c:pt idx="188">
                  <c:v>46020</c:v>
                </c:pt>
                <c:pt idx="189">
                  <c:v>46021</c:v>
                </c:pt>
                <c:pt idx="190">
                  <c:v>46022</c:v>
                </c:pt>
                <c:pt idx="191">
                  <c:v>46024</c:v>
                </c:pt>
                <c:pt idx="192">
                  <c:v>46027</c:v>
                </c:pt>
                <c:pt idx="193">
                  <c:v>46028</c:v>
                </c:pt>
                <c:pt idx="194">
                  <c:v>46029</c:v>
                </c:pt>
                <c:pt idx="195">
                  <c:v>46030</c:v>
                </c:pt>
                <c:pt idx="196">
                  <c:v>46031</c:v>
                </c:pt>
                <c:pt idx="197">
                  <c:v>46034</c:v>
                </c:pt>
                <c:pt idx="198">
                  <c:v>46035</c:v>
                </c:pt>
                <c:pt idx="199">
                  <c:v>46036</c:v>
                </c:pt>
                <c:pt idx="200">
                  <c:v>46037</c:v>
                </c:pt>
                <c:pt idx="201">
                  <c:v>46038</c:v>
                </c:pt>
                <c:pt idx="202">
                  <c:v>46042</c:v>
                </c:pt>
                <c:pt idx="203">
                  <c:v>46043</c:v>
                </c:pt>
                <c:pt idx="204">
                  <c:v>46044</c:v>
                </c:pt>
                <c:pt idx="205">
                  <c:v>46045</c:v>
                </c:pt>
                <c:pt idx="206">
                  <c:v>46048</c:v>
                </c:pt>
                <c:pt idx="207">
                  <c:v>46049</c:v>
                </c:pt>
                <c:pt idx="208">
                  <c:v>46050</c:v>
                </c:pt>
                <c:pt idx="209">
                  <c:v>46051</c:v>
                </c:pt>
                <c:pt idx="210">
                  <c:v>46052</c:v>
                </c:pt>
                <c:pt idx="211">
                  <c:v>46055</c:v>
                </c:pt>
                <c:pt idx="212">
                  <c:v>46056</c:v>
                </c:pt>
                <c:pt idx="213">
                  <c:v>46057</c:v>
                </c:pt>
                <c:pt idx="214">
                  <c:v>46058</c:v>
                </c:pt>
                <c:pt idx="215">
                  <c:v>46059</c:v>
                </c:pt>
                <c:pt idx="216">
                  <c:v>46062</c:v>
                </c:pt>
                <c:pt idx="217">
                  <c:v>46063</c:v>
                </c:pt>
                <c:pt idx="218">
                  <c:v>46064</c:v>
                </c:pt>
                <c:pt idx="219">
                  <c:v>46065</c:v>
                </c:pt>
                <c:pt idx="220">
                  <c:v>46066</c:v>
                </c:pt>
                <c:pt idx="221">
                  <c:v>46070</c:v>
                </c:pt>
                <c:pt idx="222">
                  <c:v>46071</c:v>
                </c:pt>
                <c:pt idx="223">
                  <c:v>46072</c:v>
                </c:pt>
                <c:pt idx="224">
                  <c:v>46073</c:v>
                </c:pt>
                <c:pt idx="225">
                  <c:v>46076</c:v>
                </c:pt>
                <c:pt idx="226">
                  <c:v>46077</c:v>
                </c:pt>
                <c:pt idx="227">
                  <c:v>46078</c:v>
                </c:pt>
                <c:pt idx="228">
                  <c:v>46079</c:v>
                </c:pt>
                <c:pt idx="229">
                  <c:v>46080</c:v>
                </c:pt>
                <c:pt idx="230">
                  <c:v>46083</c:v>
                </c:pt>
                <c:pt idx="231">
                  <c:v>46084</c:v>
                </c:pt>
                <c:pt idx="232">
                  <c:v>46085</c:v>
                </c:pt>
                <c:pt idx="233">
                  <c:v>46086</c:v>
                </c:pt>
                <c:pt idx="234">
                  <c:v>46087</c:v>
                </c:pt>
                <c:pt idx="235">
                  <c:v>46090</c:v>
                </c:pt>
                <c:pt idx="236">
                  <c:v>46091</c:v>
                </c:pt>
                <c:pt idx="237">
                  <c:v>46092</c:v>
                </c:pt>
                <c:pt idx="238">
                  <c:v>46093</c:v>
                </c:pt>
                <c:pt idx="239">
                  <c:v>46094</c:v>
                </c:pt>
                <c:pt idx="240">
                  <c:v>46097</c:v>
                </c:pt>
                <c:pt idx="241">
                  <c:v>46098</c:v>
                </c:pt>
                <c:pt idx="242">
                  <c:v>46099</c:v>
                </c:pt>
                <c:pt idx="243">
                  <c:v>46100</c:v>
                </c:pt>
                <c:pt idx="244">
                  <c:v>46101</c:v>
                </c:pt>
                <c:pt idx="245">
                  <c:v>46104</c:v>
                </c:pt>
                <c:pt idx="246">
                  <c:v>46105</c:v>
                </c:pt>
                <c:pt idx="247">
                  <c:v>46106</c:v>
                </c:pt>
                <c:pt idx="248">
                  <c:v>46107</c:v>
                </c:pt>
                <c:pt idx="249">
                  <c:v>46108</c:v>
                </c:pt>
                <c:pt idx="250">
                  <c:v>46111</c:v>
                </c:pt>
              </c:numCache>
            </c:numRef>
          </c:cat>
          <c:val>
            <c:numRef>
              <c:f>'Index Snapshot'!$H$129:$H$380</c:f>
              <c:numCache>
                <c:formatCode>#,##0.00</c:formatCode>
                <c:ptCount val="252"/>
                <c:pt idx="0">
                  <c:v>39.165009940357898</c:v>
                </c:pt>
                <c:pt idx="1">
                  <c:v>40.954274353876698</c:v>
                </c:pt>
                <c:pt idx="2">
                  <c:v>41.550695825049701</c:v>
                </c:pt>
                <c:pt idx="3">
                  <c:v>31.411530815109298</c:v>
                </c:pt>
                <c:pt idx="4">
                  <c:v>11.1332007952286</c:v>
                </c:pt>
                <c:pt idx="5">
                  <c:v>6.7594433399602396</c:v>
                </c:pt>
                <c:pt idx="6">
                  <c:v>5.3677932405566597</c:v>
                </c:pt>
                <c:pt idx="7">
                  <c:v>14.910536779324101</c:v>
                </c:pt>
                <c:pt idx="8">
                  <c:v>13.7176938369781</c:v>
                </c:pt>
                <c:pt idx="9">
                  <c:v>19.284294234592402</c:v>
                </c:pt>
                <c:pt idx="10">
                  <c:v>25.447316103379698</c:v>
                </c:pt>
                <c:pt idx="11">
                  <c:v>24.652087475149099</c:v>
                </c:pt>
                <c:pt idx="12">
                  <c:v>20.675944333996</c:v>
                </c:pt>
                <c:pt idx="13">
                  <c:v>24.0556660039761</c:v>
                </c:pt>
                <c:pt idx="14">
                  <c:v>14.5129224652087</c:v>
                </c:pt>
                <c:pt idx="15">
                  <c:v>24.0556660039761</c:v>
                </c:pt>
                <c:pt idx="16">
                  <c:v>27.037773359841001</c:v>
                </c:pt>
                <c:pt idx="17">
                  <c:v>32.604373757455299</c:v>
                </c:pt>
                <c:pt idx="18">
                  <c:v>33.598409542743497</c:v>
                </c:pt>
                <c:pt idx="19">
                  <c:v>36.182902584493</c:v>
                </c:pt>
                <c:pt idx="20">
                  <c:v>40.159045725646102</c:v>
                </c:pt>
                <c:pt idx="21">
                  <c:v>42.743538767395599</c:v>
                </c:pt>
                <c:pt idx="22">
                  <c:v>41.351888667992</c:v>
                </c:pt>
                <c:pt idx="23">
                  <c:v>57.057654075546701</c:v>
                </c:pt>
                <c:pt idx="24">
                  <c:v>54.274353876739603</c:v>
                </c:pt>
                <c:pt idx="25">
                  <c:v>52.087475149105401</c:v>
                </c:pt>
                <c:pt idx="26">
                  <c:v>56.461232604373798</c:v>
                </c:pt>
                <c:pt idx="27">
                  <c:v>60.039761431411499</c:v>
                </c:pt>
                <c:pt idx="28">
                  <c:v>61.033797216699803</c:v>
                </c:pt>
                <c:pt idx="29">
                  <c:v>72.564612326043701</c:v>
                </c:pt>
                <c:pt idx="30">
                  <c:v>69.383697813121302</c:v>
                </c:pt>
                <c:pt idx="31">
                  <c:v>64.413518886679896</c:v>
                </c:pt>
                <c:pt idx="32">
                  <c:v>73.161033797216703</c:v>
                </c:pt>
                <c:pt idx="33">
                  <c:v>78.528827037773397</c:v>
                </c:pt>
                <c:pt idx="34">
                  <c:v>79.522862823061601</c:v>
                </c:pt>
                <c:pt idx="35">
                  <c:v>79.324055666004</c:v>
                </c:pt>
                <c:pt idx="36">
                  <c:v>65.805168986083501</c:v>
                </c:pt>
                <c:pt idx="37">
                  <c:v>62.823061630218703</c:v>
                </c:pt>
                <c:pt idx="38">
                  <c:v>60.437375745526801</c:v>
                </c:pt>
                <c:pt idx="39">
                  <c:v>73.359840954274404</c:v>
                </c:pt>
                <c:pt idx="40">
                  <c:v>66.202783300198803</c:v>
                </c:pt>
                <c:pt idx="41">
                  <c:v>69.383697813121302</c:v>
                </c:pt>
                <c:pt idx="42">
                  <c:v>70.974155069582494</c:v>
                </c:pt>
                <c:pt idx="43">
                  <c:v>69.980119284294204</c:v>
                </c:pt>
                <c:pt idx="44">
                  <c:v>71.172962226640195</c:v>
                </c:pt>
                <c:pt idx="45">
                  <c:v>71.371769383697796</c:v>
                </c:pt>
                <c:pt idx="46">
                  <c:v>68.787276341948299</c:v>
                </c:pt>
                <c:pt idx="47">
                  <c:v>73.956262425447306</c:v>
                </c:pt>
                <c:pt idx="48">
                  <c:v>75.347912524850898</c:v>
                </c:pt>
                <c:pt idx="49">
                  <c:v>78.926441351888698</c:v>
                </c:pt>
                <c:pt idx="50">
                  <c:v>76.341948310139202</c:v>
                </c:pt>
                <c:pt idx="51">
                  <c:v>79.125248508946299</c:v>
                </c:pt>
                <c:pt idx="52">
                  <c:v>69.781312127236603</c:v>
                </c:pt>
                <c:pt idx="53">
                  <c:v>72.763419483101401</c:v>
                </c:pt>
                <c:pt idx="54">
                  <c:v>62.0278330019881</c:v>
                </c:pt>
                <c:pt idx="55">
                  <c:v>60.636182902584501</c:v>
                </c:pt>
                <c:pt idx="56">
                  <c:v>60.834990059642102</c:v>
                </c:pt>
                <c:pt idx="57">
                  <c:v>69.980119284294204</c:v>
                </c:pt>
                <c:pt idx="58">
                  <c:v>73.757455268389705</c:v>
                </c:pt>
                <c:pt idx="59">
                  <c:v>66.003976143141202</c:v>
                </c:pt>
                <c:pt idx="60">
                  <c:v>68.588469184890698</c:v>
                </c:pt>
                <c:pt idx="61">
                  <c:v>68.986083499006</c:v>
                </c:pt>
                <c:pt idx="62">
                  <c:v>71.570576540755496</c:v>
                </c:pt>
                <c:pt idx="63">
                  <c:v>79.324055666004</c:v>
                </c:pt>
                <c:pt idx="64">
                  <c:v>74.701195219123505</c:v>
                </c:pt>
                <c:pt idx="65">
                  <c:v>77.888446215139396</c:v>
                </c:pt>
                <c:pt idx="66">
                  <c:v>72.310756972111605</c:v>
                </c:pt>
                <c:pt idx="67">
                  <c:v>72.310756972111605</c:v>
                </c:pt>
                <c:pt idx="68">
                  <c:v>71.968190854870798</c:v>
                </c:pt>
                <c:pt idx="69">
                  <c:v>73.161033797216703</c:v>
                </c:pt>
                <c:pt idx="70">
                  <c:v>67.395626242544694</c:v>
                </c:pt>
                <c:pt idx="71">
                  <c:v>69.184890656063601</c:v>
                </c:pt>
                <c:pt idx="72">
                  <c:v>58.846918489065601</c:v>
                </c:pt>
                <c:pt idx="73">
                  <c:v>61.232604373757503</c:v>
                </c:pt>
                <c:pt idx="74">
                  <c:v>64.3426294820717</c:v>
                </c:pt>
                <c:pt idx="75">
                  <c:v>63.545816733067703</c:v>
                </c:pt>
                <c:pt idx="76">
                  <c:v>59.760956175298801</c:v>
                </c:pt>
                <c:pt idx="77">
                  <c:v>72.509960159362507</c:v>
                </c:pt>
                <c:pt idx="78">
                  <c:v>75.149105367793197</c:v>
                </c:pt>
                <c:pt idx="79">
                  <c:v>71.172962226640195</c:v>
                </c:pt>
                <c:pt idx="80">
                  <c:v>73.757455268389705</c:v>
                </c:pt>
                <c:pt idx="81">
                  <c:v>67.196819085487107</c:v>
                </c:pt>
                <c:pt idx="82">
                  <c:v>66.401590457256503</c:v>
                </c:pt>
                <c:pt idx="83">
                  <c:v>60.834990059642102</c:v>
                </c:pt>
                <c:pt idx="84">
                  <c:v>55.666003976143102</c:v>
                </c:pt>
                <c:pt idx="85">
                  <c:v>48.3101391650099</c:v>
                </c:pt>
                <c:pt idx="86">
                  <c:v>54.274353876739603</c:v>
                </c:pt>
                <c:pt idx="87">
                  <c:v>53.081510934393599</c:v>
                </c:pt>
                <c:pt idx="88">
                  <c:v>51.093439363817097</c:v>
                </c:pt>
                <c:pt idx="89">
                  <c:v>52.882703777335998</c:v>
                </c:pt>
                <c:pt idx="90">
                  <c:v>55.268389662027801</c:v>
                </c:pt>
                <c:pt idx="91">
                  <c:v>53.4791252485089</c:v>
                </c:pt>
                <c:pt idx="92">
                  <c:v>59.443339960238603</c:v>
                </c:pt>
                <c:pt idx="93">
                  <c:v>65.208747514910499</c:v>
                </c:pt>
                <c:pt idx="94">
                  <c:v>61.829025844930399</c:v>
                </c:pt>
                <c:pt idx="95">
                  <c:v>58.449304174950299</c:v>
                </c:pt>
                <c:pt idx="96">
                  <c:v>58.051689860834998</c:v>
                </c:pt>
                <c:pt idx="97">
                  <c:v>63.419483101391599</c:v>
                </c:pt>
                <c:pt idx="98">
                  <c:v>63.618290258449299</c:v>
                </c:pt>
                <c:pt idx="99">
                  <c:v>60.636182902584501</c:v>
                </c:pt>
                <c:pt idx="100">
                  <c:v>70.576540755467207</c:v>
                </c:pt>
                <c:pt idx="101">
                  <c:v>65.4075546719682</c:v>
                </c:pt>
                <c:pt idx="102">
                  <c:v>64.612326043737596</c:v>
                </c:pt>
                <c:pt idx="103">
                  <c:v>65.4075546719682</c:v>
                </c:pt>
                <c:pt idx="104">
                  <c:v>63.618290258449299</c:v>
                </c:pt>
                <c:pt idx="105">
                  <c:v>63.021868787276297</c:v>
                </c:pt>
                <c:pt idx="106">
                  <c:v>56.8588469184891</c:v>
                </c:pt>
                <c:pt idx="107">
                  <c:v>54.870775347912499</c:v>
                </c:pt>
                <c:pt idx="108">
                  <c:v>57.654075546719703</c:v>
                </c:pt>
                <c:pt idx="109">
                  <c:v>58.648111332008</c:v>
                </c:pt>
                <c:pt idx="110">
                  <c:v>56.660039761431399</c:v>
                </c:pt>
                <c:pt idx="111">
                  <c:v>55.268389662027801</c:v>
                </c:pt>
                <c:pt idx="112">
                  <c:v>52.683896620278297</c:v>
                </c:pt>
                <c:pt idx="113">
                  <c:v>64.015904572564594</c:v>
                </c:pt>
                <c:pt idx="114">
                  <c:v>58.846918489065601</c:v>
                </c:pt>
                <c:pt idx="115">
                  <c:v>54.671968190854898</c:v>
                </c:pt>
                <c:pt idx="116">
                  <c:v>50.298210735586501</c:v>
                </c:pt>
                <c:pt idx="117">
                  <c:v>53.876739562624302</c:v>
                </c:pt>
                <c:pt idx="118">
                  <c:v>56.461232604373798</c:v>
                </c:pt>
                <c:pt idx="119">
                  <c:v>55.467196819085501</c:v>
                </c:pt>
                <c:pt idx="120">
                  <c:v>53.081510934393599</c:v>
                </c:pt>
                <c:pt idx="121">
                  <c:v>56.8588469184891</c:v>
                </c:pt>
                <c:pt idx="122">
                  <c:v>54.075546719681903</c:v>
                </c:pt>
                <c:pt idx="123">
                  <c:v>47.117296222664002</c:v>
                </c:pt>
                <c:pt idx="124">
                  <c:v>53.876739562624302</c:v>
                </c:pt>
                <c:pt idx="125">
                  <c:v>54.274353876739603</c:v>
                </c:pt>
                <c:pt idx="126">
                  <c:v>56.660039761431399</c:v>
                </c:pt>
                <c:pt idx="127">
                  <c:v>55.268389662027801</c:v>
                </c:pt>
                <c:pt idx="128">
                  <c:v>55.467196819085501</c:v>
                </c:pt>
                <c:pt idx="129">
                  <c:v>59.045725646123302</c:v>
                </c:pt>
                <c:pt idx="130">
                  <c:v>56.063618290258503</c:v>
                </c:pt>
                <c:pt idx="131">
                  <c:v>54.473161033797197</c:v>
                </c:pt>
                <c:pt idx="132">
                  <c:v>54.870775347912499</c:v>
                </c:pt>
                <c:pt idx="133">
                  <c:v>49.105367793240603</c:v>
                </c:pt>
                <c:pt idx="134">
                  <c:v>35.984095427435399</c:v>
                </c:pt>
                <c:pt idx="135">
                  <c:v>41.351888667992</c:v>
                </c:pt>
                <c:pt idx="136">
                  <c:v>47.514910536779297</c:v>
                </c:pt>
                <c:pt idx="137">
                  <c:v>46.719681908548701</c:v>
                </c:pt>
                <c:pt idx="138">
                  <c:v>39.562624254473199</c:v>
                </c:pt>
                <c:pt idx="139">
                  <c:v>43.339960238568601</c:v>
                </c:pt>
                <c:pt idx="140">
                  <c:v>50.497017892644102</c:v>
                </c:pt>
                <c:pt idx="141">
                  <c:v>53.081510934393599</c:v>
                </c:pt>
                <c:pt idx="142">
                  <c:v>48.707753479125302</c:v>
                </c:pt>
                <c:pt idx="143">
                  <c:v>50.894632206759397</c:v>
                </c:pt>
                <c:pt idx="144">
                  <c:v>52.683896620278297</c:v>
                </c:pt>
                <c:pt idx="145">
                  <c:v>55.864811133200803</c:v>
                </c:pt>
                <c:pt idx="146">
                  <c:v>47.117296222664002</c:v>
                </c:pt>
                <c:pt idx="147">
                  <c:v>41.153081510934399</c:v>
                </c:pt>
                <c:pt idx="148">
                  <c:v>41.351888667992</c:v>
                </c:pt>
                <c:pt idx="149">
                  <c:v>40.239043824701199</c:v>
                </c:pt>
                <c:pt idx="150">
                  <c:v>38.446215139442202</c:v>
                </c:pt>
                <c:pt idx="151">
                  <c:v>38.922155688622802</c:v>
                </c:pt>
                <c:pt idx="152">
                  <c:v>39.920159680638697</c:v>
                </c:pt>
                <c:pt idx="153">
                  <c:v>38.522954091816402</c:v>
                </c:pt>
                <c:pt idx="154">
                  <c:v>43.9121756487026</c:v>
                </c:pt>
                <c:pt idx="155">
                  <c:v>45.708582834331303</c:v>
                </c:pt>
                <c:pt idx="156">
                  <c:v>49.101796407185603</c:v>
                </c:pt>
                <c:pt idx="157">
                  <c:v>51.497005988024</c:v>
                </c:pt>
                <c:pt idx="158">
                  <c:v>44.510978043912203</c:v>
                </c:pt>
                <c:pt idx="159">
                  <c:v>43.113772455089801</c:v>
                </c:pt>
                <c:pt idx="160">
                  <c:v>36.526946107784397</c:v>
                </c:pt>
                <c:pt idx="161">
                  <c:v>35.728542914171697</c:v>
                </c:pt>
                <c:pt idx="162">
                  <c:v>34.131736526946099</c:v>
                </c:pt>
                <c:pt idx="163">
                  <c:v>31.137724550898199</c:v>
                </c:pt>
                <c:pt idx="164">
                  <c:v>38.922155688622802</c:v>
                </c:pt>
                <c:pt idx="165">
                  <c:v>41.117764471057903</c:v>
                </c:pt>
                <c:pt idx="166">
                  <c:v>50.698602794411201</c:v>
                </c:pt>
                <c:pt idx="167">
                  <c:v>55.2894211576846</c:v>
                </c:pt>
                <c:pt idx="168">
                  <c:v>58.483033932135697</c:v>
                </c:pt>
                <c:pt idx="169">
                  <c:v>51.097804391217601</c:v>
                </c:pt>
                <c:pt idx="170">
                  <c:v>51.097804391217601</c:v>
                </c:pt>
                <c:pt idx="171">
                  <c:v>53.493013972055898</c:v>
                </c:pt>
                <c:pt idx="172">
                  <c:v>54.690618762475097</c:v>
                </c:pt>
                <c:pt idx="173">
                  <c:v>54.491017964071901</c:v>
                </c:pt>
                <c:pt idx="174">
                  <c:v>49.101796407185603</c:v>
                </c:pt>
                <c:pt idx="175">
                  <c:v>46.506986027944102</c:v>
                </c:pt>
                <c:pt idx="176">
                  <c:v>53.692614770459102</c:v>
                </c:pt>
                <c:pt idx="177">
                  <c:v>60.279441117764499</c:v>
                </c:pt>
                <c:pt idx="178">
                  <c:v>58.682634730538901</c:v>
                </c:pt>
                <c:pt idx="179">
                  <c:v>61.477045908183598</c:v>
                </c:pt>
                <c:pt idx="180">
                  <c:v>56.0878243512974</c:v>
                </c:pt>
                <c:pt idx="181">
                  <c:v>58.283433133732501</c:v>
                </c:pt>
                <c:pt idx="182">
                  <c:v>56.0878243512974</c:v>
                </c:pt>
                <c:pt idx="183">
                  <c:v>56.886227544910199</c:v>
                </c:pt>
                <c:pt idx="184">
                  <c:v>61.553784860557798</c:v>
                </c:pt>
                <c:pt idx="185">
                  <c:v>60.557768924302799</c:v>
                </c:pt>
                <c:pt idx="186">
                  <c:v>61.752988047808799</c:v>
                </c:pt>
                <c:pt idx="187">
                  <c:v>62.549800796812697</c:v>
                </c:pt>
                <c:pt idx="188">
                  <c:v>63.346613545816702</c:v>
                </c:pt>
                <c:pt idx="189">
                  <c:v>62.350597609561802</c:v>
                </c:pt>
                <c:pt idx="190">
                  <c:v>55.776892430278899</c:v>
                </c:pt>
                <c:pt idx="191">
                  <c:v>58.449304174950299</c:v>
                </c:pt>
                <c:pt idx="192">
                  <c:v>62.823061630218703</c:v>
                </c:pt>
                <c:pt idx="193">
                  <c:v>66.799204771371805</c:v>
                </c:pt>
                <c:pt idx="194">
                  <c:v>60.437375745526801</c:v>
                </c:pt>
                <c:pt idx="195">
                  <c:v>68.986083499006</c:v>
                </c:pt>
                <c:pt idx="196">
                  <c:v>69.383697813121302</c:v>
                </c:pt>
                <c:pt idx="197">
                  <c:v>67.395626242544694</c:v>
                </c:pt>
                <c:pt idx="198">
                  <c:v>66.799204771371805</c:v>
                </c:pt>
                <c:pt idx="199">
                  <c:v>70.178926441351905</c:v>
                </c:pt>
                <c:pt idx="200">
                  <c:v>71.371769383697796</c:v>
                </c:pt>
                <c:pt idx="201">
                  <c:v>70.974155069582494</c:v>
                </c:pt>
                <c:pt idx="202">
                  <c:v>60.039761431411499</c:v>
                </c:pt>
                <c:pt idx="203">
                  <c:v>68.190854870775397</c:v>
                </c:pt>
                <c:pt idx="204">
                  <c:v>67.196819085487107</c:v>
                </c:pt>
                <c:pt idx="205">
                  <c:v>65.805168986083501</c:v>
                </c:pt>
                <c:pt idx="206">
                  <c:v>68.389662027832998</c:v>
                </c:pt>
                <c:pt idx="207">
                  <c:v>65.606361829025801</c:v>
                </c:pt>
                <c:pt idx="208">
                  <c:v>61.431411530815097</c:v>
                </c:pt>
                <c:pt idx="209">
                  <c:v>61.829025844930399</c:v>
                </c:pt>
                <c:pt idx="210">
                  <c:v>64.413518886679896</c:v>
                </c:pt>
                <c:pt idx="211">
                  <c:v>63.419483101391599</c:v>
                </c:pt>
                <c:pt idx="212">
                  <c:v>61.232604373757503</c:v>
                </c:pt>
                <c:pt idx="213">
                  <c:v>65.537848605577693</c:v>
                </c:pt>
                <c:pt idx="214">
                  <c:v>63.147410358565701</c:v>
                </c:pt>
                <c:pt idx="215">
                  <c:v>68.326693227091596</c:v>
                </c:pt>
                <c:pt idx="216">
                  <c:v>67.594433399602394</c:v>
                </c:pt>
                <c:pt idx="217">
                  <c:v>67.992047713717696</c:v>
                </c:pt>
                <c:pt idx="218">
                  <c:v>66.202783300198803</c:v>
                </c:pt>
                <c:pt idx="219">
                  <c:v>60.834990059642102</c:v>
                </c:pt>
                <c:pt idx="220">
                  <c:v>62.226640159045701</c:v>
                </c:pt>
                <c:pt idx="221">
                  <c:v>63.618290258449299</c:v>
                </c:pt>
                <c:pt idx="222">
                  <c:v>65.805168986083501</c:v>
                </c:pt>
                <c:pt idx="223">
                  <c:v>63.618290258449299</c:v>
                </c:pt>
                <c:pt idx="224">
                  <c:v>64.214711729622294</c:v>
                </c:pt>
                <c:pt idx="225">
                  <c:v>60.238568588469199</c:v>
                </c:pt>
                <c:pt idx="226">
                  <c:v>61.232604373757503</c:v>
                </c:pt>
                <c:pt idx="227">
                  <c:v>62.0278330019881</c:v>
                </c:pt>
                <c:pt idx="228">
                  <c:v>65.208747514910499</c:v>
                </c:pt>
                <c:pt idx="229">
                  <c:v>61.630218687872798</c:v>
                </c:pt>
                <c:pt idx="230">
                  <c:v>60.437375745526801</c:v>
                </c:pt>
                <c:pt idx="231">
                  <c:v>55.467196819085501</c:v>
                </c:pt>
                <c:pt idx="232">
                  <c:v>56.8588469184891</c:v>
                </c:pt>
                <c:pt idx="233">
                  <c:v>51.888667992047701</c:v>
                </c:pt>
                <c:pt idx="234">
                  <c:v>43.339960238568601</c:v>
                </c:pt>
                <c:pt idx="235">
                  <c:v>42.942345924453299</c:v>
                </c:pt>
                <c:pt idx="236">
                  <c:v>39.761431411530801</c:v>
                </c:pt>
                <c:pt idx="237">
                  <c:v>37.176938369781297</c:v>
                </c:pt>
                <c:pt idx="238">
                  <c:v>31.013916500994</c:v>
                </c:pt>
                <c:pt idx="239">
                  <c:v>30.616302186878698</c:v>
                </c:pt>
                <c:pt idx="240">
                  <c:v>32.007952286282297</c:v>
                </c:pt>
                <c:pt idx="241">
                  <c:v>33.598409542743497</c:v>
                </c:pt>
                <c:pt idx="242">
                  <c:v>26.6401590457256</c:v>
                </c:pt>
                <c:pt idx="243">
                  <c:v>26.242544731610302</c:v>
                </c:pt>
                <c:pt idx="244">
                  <c:v>17.892644135188899</c:v>
                </c:pt>
                <c:pt idx="245">
                  <c:v>22.067594433399599</c:v>
                </c:pt>
                <c:pt idx="246">
                  <c:v>24.0556660039761</c:v>
                </c:pt>
                <c:pt idx="247">
                  <c:v>26.441351888667999</c:v>
                </c:pt>
                <c:pt idx="248">
                  <c:v>21.6699801192843</c:v>
                </c:pt>
                <c:pt idx="249">
                  <c:v>19.681908548707799</c:v>
                </c:pt>
                <c:pt idx="250">
                  <c:v>19.483101391650099</c:v>
                </c:pt>
                <c:pt idx="251">
                  <c:v>22.862823061630198</c:v>
                </c:pt>
              </c:numCache>
            </c:numRef>
          </c:val>
          <c:smooth val="0"/>
          <c:extLst>
            <c:ext xmlns:c16="http://schemas.microsoft.com/office/drawing/2014/chart" uri="{C3380CC4-5D6E-409C-BE32-E72D297353CC}">
              <c16:uniqueId val="{00000001-813A-409E-9315-498AD452C56A}"/>
            </c:ext>
          </c:extLst>
        </c:ser>
        <c:dLbls>
          <c:showLegendKey val="0"/>
          <c:showVal val="0"/>
          <c:showCatName val="0"/>
          <c:showSerName val="0"/>
          <c:showPercent val="0"/>
          <c:showBubbleSize val="0"/>
        </c:dLbls>
        <c:smooth val="0"/>
        <c:axId val="40355163"/>
        <c:axId val="29449041"/>
      </c:lineChart>
      <c:dateAx>
        <c:axId val="40355163"/>
        <c:scaling>
          <c:orientation val="minMax"/>
        </c:scaling>
        <c:delete val="0"/>
        <c:axPos val="b"/>
        <c:majorGridlines>
          <c:spPr>
            <a:ln w="9525" cap="flat" cmpd="sng">
              <a:solidFill>
                <a:srgbClr val="FFFFFF">
                  <a:lumMod val="75000"/>
                </a:srgbClr>
              </a:solidFill>
            </a:ln>
            <a:effectLst/>
          </c:spPr>
        </c:majorGridlines>
        <c:numFmt formatCode="mmm\-yy" sourceLinked="0"/>
        <c:majorTickMark val="out"/>
        <c:minorTickMark val="none"/>
        <c:tickLblPos val="nextTo"/>
        <c:spPr>
          <a:ln w="9525" cap="flat" cmpd="sng"/>
          <a:effectLst/>
        </c:spPr>
        <c:txPr>
          <a:bodyPr rot="0" vert="horz" wrap="square" anchor="ctr" anchorCtr="1"/>
          <a:lstStyle/>
          <a:p>
            <a:pPr>
              <a:defRPr lang="en-US" sz="800" b="0" i="0" u="none" baseline="0">
                <a:solidFill>
                  <a:srgbClr val="000000"/>
                </a:solidFill>
                <a:latin typeface="Arial"/>
                <a:ea typeface="Arial"/>
                <a:cs typeface="Arial"/>
              </a:defRPr>
            </a:pPr>
            <a:endParaRPr lang="en-US"/>
          </a:p>
        </c:txPr>
        <c:crossAx val="29449041"/>
        <c:crosses val="autoZero"/>
        <c:auto val="1"/>
        <c:lblOffset val="100"/>
        <c:baseTimeUnit val="days"/>
      </c:dateAx>
      <c:valAx>
        <c:axId val="29449041"/>
        <c:scaling>
          <c:orientation val="minMax"/>
        </c:scaling>
        <c:delete val="0"/>
        <c:axPos val="l"/>
        <c:majorGridlines>
          <c:spPr>
            <a:ln w="9525" cap="flat" cmpd="sng">
              <a:solidFill>
                <a:srgbClr val="FFFFFF">
                  <a:lumMod val="75000"/>
                </a:srgbClr>
              </a:solidFill>
            </a:ln>
            <a:effectLst/>
          </c:spPr>
        </c:majorGridlines>
        <c:numFmt formatCode="#,##0" sourceLinked="0"/>
        <c:majorTickMark val="in"/>
        <c:minorTickMark val="none"/>
        <c:tickLblPos val="nextTo"/>
        <c:spPr>
          <a:ln w="12700" cap="flat" cmpd="sng">
            <a:solidFill>
              <a:srgbClr val="E1E1E1"/>
            </a:solidFill>
            <a:prstDash val="solid"/>
          </a:ln>
          <a:effectLst/>
        </c:spPr>
        <c:txPr>
          <a:bodyPr rot="0" vert="horz" wrap="square"/>
          <a:lstStyle/>
          <a:p>
            <a:pPr>
              <a:defRPr lang="en-US" sz="800" b="0" i="0" u="none" baseline="0">
                <a:solidFill>
                  <a:srgbClr val="000000"/>
                </a:solidFill>
                <a:latin typeface="Arial"/>
                <a:ea typeface="Arial"/>
                <a:cs typeface="Arial"/>
              </a:defRPr>
            </a:pPr>
            <a:endParaRPr lang="en-US"/>
          </a:p>
        </c:txPr>
        <c:crossAx val="40355163"/>
        <c:crosses val="autoZero"/>
        <c:crossBetween val="between"/>
      </c:valAx>
      <c:spPr>
        <a:gradFill rotWithShape="1">
          <a:gsLst>
            <a:gs pos="0">
              <a:schemeClr val="bg1"/>
            </a:gs>
            <a:gs pos="100000">
              <a:srgbClr val="F0F0F0"/>
            </a:gs>
          </a:gsLst>
          <a:lin ang="5400000"/>
          <a:tileRect/>
        </a:gradFill>
        <a:ln w="12700" cap="flat" cmpd="sng">
          <a:solidFill>
            <a:srgbClr val="E1E1E1"/>
          </a:solidFill>
        </a:ln>
        <a:effectLst/>
      </c:spPr>
    </c:plotArea>
    <c:legend>
      <c:legendPos val="t"/>
      <c:overlay val="0"/>
      <c:spPr>
        <a:solidFill>
          <a:srgbClr val="FFFFFF"/>
        </a:solidFill>
        <a:ln w="25400">
          <a:noFill/>
        </a:ln>
        <a:effectLst/>
      </c:spPr>
    </c:legend>
    <c:plotVisOnly val="0"/>
    <c:dispBlanksAs val="gap"/>
    <c:showDLblsOverMax val="0"/>
  </c:chart>
  <c:spPr>
    <a:noFill/>
    <a:ln w="3175">
      <a:noFill/>
      <a:prstDash val="solid"/>
    </a:ln>
    <a:effectLst/>
  </c:spPr>
  <c:txPr>
    <a:bodyPr rot="0" vert="horz" wrap="square"/>
    <a:lstStyle/>
    <a:p>
      <a:pPr>
        <a:defRPr lang="en-US" sz="800" b="0" i="0" u="non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5</xdr:col>
      <xdr:colOff>335253</xdr:colOff>
      <xdr:row>2</xdr:row>
      <xdr:rowOff>57912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714375" y="152400"/>
          <a:ext cx="3190875" cy="209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13</xdr:col>
      <xdr:colOff>161925</xdr:colOff>
      <xdr:row>60</xdr:row>
      <xdr:rowOff>28576</xdr:rowOff>
    </xdr:from>
    <xdr:to>
      <xdr:col>22</xdr:col>
      <xdr:colOff>76200</xdr:colOff>
      <xdr:row>72</xdr:row>
      <xdr:rowOff>142876</xdr:rowOff>
    </xdr:to>
    <xdr:graphicFrame macro="">
      <xdr:nvGraphicFramePr>
        <xdr:cNvPr id="2" name="Chart 14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88018</xdr:colOff>
      <xdr:row>22</xdr:row>
      <xdr:rowOff>76487</xdr:rowOff>
    </xdr:from>
    <xdr:to>
      <xdr:col>8</xdr:col>
      <xdr:colOff>467397</xdr:colOff>
      <xdr:row>37</xdr:row>
      <xdr:rowOff>32740</xdr:rowOff>
    </xdr:to>
    <xdr:graphicFrame macro="">
      <xdr:nvGraphicFramePr>
        <xdr:cNvPr id="6" name="Chart 27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13</xdr:col>
      <xdr:colOff>171449</xdr:colOff>
      <xdr:row>42</xdr:row>
      <xdr:rowOff>28575</xdr:rowOff>
    </xdr:from>
    <xdr:to>
      <xdr:col>22</xdr:col>
      <xdr:colOff>95250</xdr:colOff>
      <xdr:row>56</xdr:row>
      <xdr:rowOff>140440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76200</xdr:colOff>
      <xdr:row>36</xdr:row>
      <xdr:rowOff>147041</xdr:rowOff>
    </xdr:from>
    <xdr:to>
      <xdr:col>8</xdr:col>
      <xdr:colOff>485775</xdr:colOff>
      <xdr:row>45</xdr:row>
      <xdr:rowOff>32740</xdr:rowOff>
    </xdr:to>
    <xdr:graphicFrame macro="">
      <xdr:nvGraphicFramePr>
        <xdr:cNvPr id="14" name="Chart 275">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180975</xdr:colOff>
      <xdr:row>47</xdr:row>
      <xdr:rowOff>68637</xdr:rowOff>
    </xdr:from>
    <xdr:to>
      <xdr:col>8</xdr:col>
      <xdr:colOff>383775</xdr:colOff>
      <xdr:row>61</xdr:row>
      <xdr:rowOff>4159</xdr:rowOff>
    </xdr:to>
    <xdr:graphicFrame macro="">
      <xdr:nvGraphicFramePr>
        <xdr:cNvPr id="3" name="Chart 275">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0</xdr:colOff>
      <xdr:row>61</xdr:row>
      <xdr:rowOff>4892</xdr:rowOff>
    </xdr:from>
    <xdr:to>
      <xdr:col>8</xdr:col>
      <xdr:colOff>379379</xdr:colOff>
      <xdr:row>72</xdr:row>
      <xdr:rowOff>90616</xdr:rowOff>
    </xdr:to>
    <xdr:graphicFrame macro="">
      <xdr:nvGraphicFramePr>
        <xdr:cNvPr id="16" name="Chart 275">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FactSet_2012_QR">
  <a:themeElements>
    <a:clrScheme name="FactSet 2012 QR">
      <a:dk1>
        <a:sysClr val="windowText" lastClr="000000"/>
      </a:dk1>
      <a:lt1>
        <a:sysClr val="window" lastClr="FFFFFF"/>
      </a:lt1>
      <a:dk2>
        <a:srgbClr val="00B0F0"/>
      </a:dk2>
      <a:lt2>
        <a:srgbClr val="B4DFEF"/>
      </a:lt2>
      <a:accent1>
        <a:srgbClr val="00AEEF"/>
      </a:accent1>
      <a:accent2>
        <a:srgbClr val="99CC33"/>
      </a:accent2>
      <a:accent3>
        <a:srgbClr val="9A3366"/>
      </a:accent3>
      <a:accent4>
        <a:srgbClr val="FFCC00"/>
      </a:accent4>
      <a:accent5>
        <a:srgbClr val="969696"/>
      </a:accent5>
      <a:accent6>
        <a:srgbClr val="0066CC"/>
      </a:accent6>
      <a:hlink>
        <a:srgbClr val="0000FF"/>
      </a:hlink>
      <a:folHlink>
        <a:srgbClr val="800080"/>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5"/>
        </a:solidFill>
        <a:ln w="12700" cap="flat" cmpd="sng" algn="ctr">
          <a:solidFill>
            <a:schemeClr val="accent5">
              <a:lumMod val="75000"/>
            </a:schemeClr>
          </a:solidFill>
          <a:prstDash val="solid"/>
          <a:round/>
          <a:headEnd type="oval" w="med" len="med"/>
          <a:tailEnd type="none" w="med" len="med"/>
        </a:ln>
        <a:effectLst/>
      </a:spPr>
      <a:bodyPr vert="horz" wrap="square" lIns="91440" tIns="45720" rIns="91440" bIns="45720" numCol="1" rtlCol="0" anchor="t" anchorCtr="0" compatLnSpc="1">
        <a:prstTxWarp prst="textNoShape">
          <a:avLst/>
        </a:prstTxWarp>
      </a:bodyPr>
      <a:lstStyle>
        <a:defPPr marL="0" marR="0" indent="0" algn="l" defTabSz="914400" rtl="0" eaLnBrk="1" fontAlgn="base" latinLnBrk="0" hangingPunct="1">
          <a:lnSpc>
            <a:spcPct val="100000"/>
          </a:lnSpc>
          <a:spcBef>
            <a:spcPct val="0"/>
          </a:spcBef>
          <a:spcAft>
            <a:spcPct val="0"/>
          </a:spcAft>
          <a:buClrTx/>
          <a:buSzTx/>
          <a:buFontTx/>
          <a:buNone/>
          <a:tabLst/>
          <a:defRPr kumimoji="0" sz="1200" b="1" i="0" u="none" strike="noStrike" cap="none" normalizeH="0" baseline="0" dirty="0" smtClean="0">
            <a:ln>
              <a:noFill/>
            </a:ln>
            <a:solidFill>
              <a:schemeClr val="tx1"/>
            </a:solidFill>
            <a:effectLst/>
            <a:latin typeface="Generis Sans Com" pitchFamily="34" charset="0"/>
          </a:defRPr>
        </a:defPPr>
      </a:lstStyle>
    </a:spDef>
    <a:lnDef>
      <a:spPr bwMode="auto">
        <a:xfrm>
          <a:off x="0" y="0"/>
          <a:ext cx="1" cy="1"/>
        </a:xfrm>
        <a:custGeom>
          <a:avLst/>
          <a:gdLst/>
          <a:ahLst/>
          <a:cxnLst/>
          <a:rect l="0" t="0" r="0" b="0"/>
          <a:pathLst/>
        </a:custGeom>
        <a:solidFill>
          <a:schemeClr val="hlink"/>
        </a:solidFill>
        <a:ln w="12700" cap="flat" cmpd="sng" algn="ctr">
          <a:solidFill>
            <a:schemeClr val="hlink"/>
          </a:solidFill>
          <a:prstDash val="solid"/>
          <a:round/>
          <a:headEnd type="oval"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1" fontAlgn="base" latinLnBrk="0" hangingPunct="1">
          <a:lnSpc>
            <a:spcPct val="100000"/>
          </a:lnSpc>
          <a:spcBef>
            <a:spcPct val="0"/>
          </a:spcBef>
          <a:spcAft>
            <a:spcPct val="0"/>
          </a:spcAft>
          <a:buClrTx/>
          <a:buSzTx/>
          <a:buFontTx/>
          <a:buNone/>
          <a:tabLst/>
          <a:defRPr kumimoji="0" lang="en-US" sz="1200" b="1" i="0" u="none" strike="noStrike" cap="none" normalizeH="0" baseline="0" smtClean="0">
            <a:ln>
              <a:noFill/>
            </a:ln>
            <a:solidFill>
              <a:schemeClr val="tx1"/>
            </a:solidFill>
            <a:effectLst/>
            <a:latin typeface="Generis Sans Com" pitchFamily="34" charset="0"/>
          </a:defRPr>
        </a:defPPr>
      </a:lstStyle>
    </a:lnDef>
  </a:objectDefaults>
  <a:extraClrSchemeLst>
    <a:extraClrScheme>
      <a:clrScheme name="Custom Design 1">
        <a:dk1>
          <a:srgbClr val="000000"/>
        </a:dk1>
        <a:lt1>
          <a:srgbClr val="FFFFFF"/>
        </a:lt1>
        <a:dk2>
          <a:srgbClr val="000000"/>
        </a:dk2>
        <a:lt2>
          <a:srgbClr val="808080"/>
        </a:lt2>
        <a:accent1>
          <a:srgbClr val="BBE0E3"/>
        </a:accent1>
        <a:accent2>
          <a:srgbClr val="333399"/>
        </a:accent2>
        <a:accent3>
          <a:srgbClr val="FFFFFF"/>
        </a:accent3>
        <a:accent4>
          <a:srgbClr val="000000"/>
        </a:accent4>
        <a:accent5>
          <a:srgbClr val="DAEDEF"/>
        </a:accent5>
        <a:accent6>
          <a:srgbClr val="2D2D8A"/>
        </a:accent6>
        <a:hlink>
          <a:srgbClr val="009999"/>
        </a:hlink>
        <a:folHlink>
          <a:srgbClr val="99CC00"/>
        </a:folHlink>
      </a:clrScheme>
      <a:clrMap bg1="lt1" tx1="dk1" bg2="lt2" tx2="dk2" accent1="accent1" accent2="accent2" accent3="accent3" accent4="accent4" accent5="accent5" accent6="accent6" hlink="hlink" folHlink="folHlink"/>
    </a:extraClrScheme>
    <a:extraClrScheme>
      <a:clrScheme name="Custom Design 2">
        <a:dk1>
          <a:srgbClr val="000000"/>
        </a:dk1>
        <a:lt1>
          <a:srgbClr val="FFFFFF"/>
        </a:lt1>
        <a:dk2>
          <a:srgbClr val="000000"/>
        </a:dk2>
        <a:lt2>
          <a:srgbClr val="969696"/>
        </a:lt2>
        <a:accent1>
          <a:srgbClr val="FBDF53"/>
        </a:accent1>
        <a:accent2>
          <a:srgbClr val="FF9966"/>
        </a:accent2>
        <a:accent3>
          <a:srgbClr val="FFFFFF"/>
        </a:accent3>
        <a:accent4>
          <a:srgbClr val="000000"/>
        </a:accent4>
        <a:accent5>
          <a:srgbClr val="FDECB3"/>
        </a:accent5>
        <a:accent6>
          <a:srgbClr val="E78A5C"/>
        </a:accent6>
        <a:hlink>
          <a:srgbClr val="CC3300"/>
        </a:hlink>
        <a:folHlink>
          <a:srgbClr val="996600"/>
        </a:folHlink>
      </a:clrScheme>
      <a:clrMap bg1="lt1" tx1="dk1" bg2="lt2" tx2="dk2" accent1="accent1" accent2="accent2" accent3="accent3" accent4="accent4" accent5="accent5" accent6="accent6" hlink="hlink" folHlink="folHlink"/>
    </a:extraClrScheme>
    <a:extraClrScheme>
      <a:clrScheme name="Custom Design 3">
        <a:dk1>
          <a:srgbClr val="000000"/>
        </a:dk1>
        <a:lt1>
          <a:srgbClr val="FFFFFF"/>
        </a:lt1>
        <a:dk2>
          <a:srgbClr val="000000"/>
        </a:dk2>
        <a:lt2>
          <a:srgbClr val="808080"/>
        </a:lt2>
        <a:accent1>
          <a:srgbClr val="99CCFF"/>
        </a:accent1>
        <a:accent2>
          <a:srgbClr val="CCCCFF"/>
        </a:accent2>
        <a:accent3>
          <a:srgbClr val="FFFFFF"/>
        </a:accent3>
        <a:accent4>
          <a:srgbClr val="000000"/>
        </a:accent4>
        <a:accent5>
          <a:srgbClr val="CAE2FF"/>
        </a:accent5>
        <a:accent6>
          <a:srgbClr val="B9B9E7"/>
        </a:accent6>
        <a:hlink>
          <a:srgbClr val="3333CC"/>
        </a:hlink>
        <a:folHlink>
          <a:srgbClr val="AF67FF"/>
        </a:folHlink>
      </a:clrScheme>
      <a:clrMap bg1="lt1" tx1="dk1" bg2="lt2" tx2="dk2" accent1="accent1" accent2="accent2" accent3="accent3" accent4="accent4" accent5="accent5" accent6="accent6" hlink="hlink" folHlink="folHlink"/>
    </a:extraClrScheme>
    <a:extraClrScheme>
      <a:clrScheme name="Custom Design 4">
        <a:dk1>
          <a:srgbClr val="000000"/>
        </a:dk1>
        <a:lt1>
          <a:srgbClr val="DEF6F1"/>
        </a:lt1>
        <a:dk2>
          <a:srgbClr val="000000"/>
        </a:dk2>
        <a:lt2>
          <a:srgbClr val="969696"/>
        </a:lt2>
        <a:accent1>
          <a:srgbClr val="FFFFFF"/>
        </a:accent1>
        <a:accent2>
          <a:srgbClr val="8DC6FF"/>
        </a:accent2>
        <a:accent3>
          <a:srgbClr val="ECFAF7"/>
        </a:accent3>
        <a:accent4>
          <a:srgbClr val="000000"/>
        </a:accent4>
        <a:accent5>
          <a:srgbClr val="FFFFFF"/>
        </a:accent5>
        <a:accent6>
          <a:srgbClr val="7FB3E7"/>
        </a:accent6>
        <a:hlink>
          <a:srgbClr val="0066CC"/>
        </a:hlink>
        <a:folHlink>
          <a:srgbClr val="00A800"/>
        </a:folHlink>
      </a:clrScheme>
      <a:clrMap bg1="lt1" tx1="dk1" bg2="lt2" tx2="dk2" accent1="accent1" accent2="accent2" accent3="accent3" accent4="accent4" accent5="accent5" accent6="accent6" hlink="hlink" folHlink="folHlink"/>
    </a:extraClrScheme>
    <a:extraClrScheme>
      <a:clrScheme name="Custom Design 5">
        <a:dk1>
          <a:srgbClr val="000000"/>
        </a:dk1>
        <a:lt1>
          <a:srgbClr val="FFFFD9"/>
        </a:lt1>
        <a:dk2>
          <a:srgbClr val="000000"/>
        </a:dk2>
        <a:lt2>
          <a:srgbClr val="777777"/>
        </a:lt2>
        <a:accent1>
          <a:srgbClr val="FFFFF7"/>
        </a:accent1>
        <a:accent2>
          <a:srgbClr val="33CCCC"/>
        </a:accent2>
        <a:accent3>
          <a:srgbClr val="FFFFE9"/>
        </a:accent3>
        <a:accent4>
          <a:srgbClr val="000000"/>
        </a:accent4>
        <a:accent5>
          <a:srgbClr val="FFFFFA"/>
        </a:accent5>
        <a:accent6>
          <a:srgbClr val="2DB9B9"/>
        </a:accent6>
        <a:hlink>
          <a:srgbClr val="FF5050"/>
        </a:hlink>
        <a:folHlink>
          <a:srgbClr val="FF9900"/>
        </a:folHlink>
      </a:clrScheme>
      <a:clrMap bg1="lt1" tx1="dk1" bg2="lt2" tx2="dk2" accent1="accent1" accent2="accent2" accent3="accent3" accent4="accent4" accent5="accent5" accent6="accent6" hlink="hlink" folHlink="folHlink"/>
    </a:extraClrScheme>
    <a:extraClrScheme>
      <a:clrScheme name="Custom Design 6">
        <a:dk1>
          <a:srgbClr val="005A58"/>
        </a:dk1>
        <a:lt1>
          <a:srgbClr val="FFFFFF"/>
        </a:lt1>
        <a:dk2>
          <a:srgbClr val="008080"/>
        </a:dk2>
        <a:lt2>
          <a:srgbClr val="FFFF99"/>
        </a:lt2>
        <a:accent1>
          <a:srgbClr val="006462"/>
        </a:accent1>
        <a:accent2>
          <a:srgbClr val="6D6FC7"/>
        </a:accent2>
        <a:accent3>
          <a:srgbClr val="AAC0C0"/>
        </a:accent3>
        <a:accent4>
          <a:srgbClr val="DADADA"/>
        </a:accent4>
        <a:accent5>
          <a:srgbClr val="AAB8B7"/>
        </a:accent5>
        <a:accent6>
          <a:srgbClr val="6264B4"/>
        </a:accent6>
        <a:hlink>
          <a:srgbClr val="00FFFF"/>
        </a:hlink>
        <a:folHlink>
          <a:srgbClr val="00FF00"/>
        </a:folHlink>
      </a:clrScheme>
      <a:clrMap bg1="dk2" tx1="lt1" bg2="dk1" tx2="lt2" accent1="accent1" accent2="accent2" accent3="accent3" accent4="accent4" accent5="accent5" accent6="accent6" hlink="hlink" folHlink="folHlink"/>
    </a:extraClrScheme>
    <a:extraClrScheme>
      <a:clrScheme name="Custom Design 7">
        <a:dk1>
          <a:srgbClr val="5C1F00"/>
        </a:dk1>
        <a:lt1>
          <a:srgbClr val="FFFFFF"/>
        </a:lt1>
        <a:dk2>
          <a:srgbClr val="800000"/>
        </a:dk2>
        <a:lt2>
          <a:srgbClr val="DFD293"/>
        </a:lt2>
        <a:accent1>
          <a:srgbClr val="CC3300"/>
        </a:accent1>
        <a:accent2>
          <a:srgbClr val="BE7960"/>
        </a:accent2>
        <a:accent3>
          <a:srgbClr val="C0AAAA"/>
        </a:accent3>
        <a:accent4>
          <a:srgbClr val="DADADA"/>
        </a:accent4>
        <a:accent5>
          <a:srgbClr val="E2ADAA"/>
        </a:accent5>
        <a:accent6>
          <a:srgbClr val="AC6D56"/>
        </a:accent6>
        <a:hlink>
          <a:srgbClr val="FFFF99"/>
        </a:hlink>
        <a:folHlink>
          <a:srgbClr val="D3A219"/>
        </a:folHlink>
      </a:clrScheme>
      <a:clrMap bg1="dk2" tx1="lt1" bg2="dk1" tx2="lt2" accent1="accent1" accent2="accent2" accent3="accent3" accent4="accent4" accent5="accent5" accent6="accent6" hlink="hlink" folHlink="folHlink"/>
    </a:extraClrScheme>
    <a:extraClrScheme>
      <a:clrScheme name="Custom Design 8">
        <a:dk1>
          <a:srgbClr val="003366"/>
        </a:dk1>
        <a:lt1>
          <a:srgbClr val="FFFFFF"/>
        </a:lt1>
        <a:dk2>
          <a:srgbClr val="000099"/>
        </a:dk2>
        <a:lt2>
          <a:srgbClr val="CCFFFF"/>
        </a:lt2>
        <a:accent1>
          <a:srgbClr val="3366CC"/>
        </a:accent1>
        <a:accent2>
          <a:srgbClr val="00B000"/>
        </a:accent2>
        <a:accent3>
          <a:srgbClr val="AAAACA"/>
        </a:accent3>
        <a:accent4>
          <a:srgbClr val="DADADA"/>
        </a:accent4>
        <a:accent5>
          <a:srgbClr val="ADB8E2"/>
        </a:accent5>
        <a:accent6>
          <a:srgbClr val="009F00"/>
        </a:accent6>
        <a:hlink>
          <a:srgbClr val="66CCFF"/>
        </a:hlink>
        <a:folHlink>
          <a:srgbClr val="FFE701"/>
        </a:folHlink>
      </a:clrScheme>
      <a:clrMap bg1="dk2" tx1="lt1" bg2="dk1" tx2="lt2" accent1="accent1" accent2="accent2" accent3="accent3" accent4="accent4" accent5="accent5" accent6="accent6" hlink="hlink" folHlink="folHlink"/>
    </a:extraClrScheme>
    <a:extraClrScheme>
      <a:clrScheme name="Custom Design 9">
        <a:dk1>
          <a:srgbClr val="336699"/>
        </a:dk1>
        <a:lt1>
          <a:srgbClr val="FFFFFF"/>
        </a:lt1>
        <a:dk2>
          <a:srgbClr val="000000"/>
        </a:dk2>
        <a:lt2>
          <a:srgbClr val="E3EBF1"/>
        </a:lt2>
        <a:accent1>
          <a:srgbClr val="003399"/>
        </a:accent1>
        <a:accent2>
          <a:srgbClr val="468A4B"/>
        </a:accent2>
        <a:accent3>
          <a:srgbClr val="AAAAAA"/>
        </a:accent3>
        <a:accent4>
          <a:srgbClr val="DADADA"/>
        </a:accent4>
        <a:accent5>
          <a:srgbClr val="AAADCA"/>
        </a:accent5>
        <a:accent6>
          <a:srgbClr val="3F7D43"/>
        </a:accent6>
        <a:hlink>
          <a:srgbClr val="66CCFF"/>
        </a:hlink>
        <a:folHlink>
          <a:srgbClr val="F0E500"/>
        </a:folHlink>
      </a:clrScheme>
      <a:clrMap bg1="dk2" tx1="lt1" bg2="dk1" tx2="lt2" accent1="accent1" accent2="accent2" accent3="accent3" accent4="accent4" accent5="accent5" accent6="accent6" hlink="hlink" folHlink="folHlink"/>
    </a:extraClrScheme>
    <a:extraClrScheme>
      <a:clrScheme name="Custom Design 10">
        <a:dk1>
          <a:srgbClr val="777777"/>
        </a:dk1>
        <a:lt1>
          <a:srgbClr val="FFFFFF"/>
        </a:lt1>
        <a:dk2>
          <a:srgbClr val="686B5D"/>
        </a:dk2>
        <a:lt2>
          <a:srgbClr val="D1D1CB"/>
        </a:lt2>
        <a:accent1>
          <a:srgbClr val="909082"/>
        </a:accent1>
        <a:accent2>
          <a:srgbClr val="809EA8"/>
        </a:accent2>
        <a:accent3>
          <a:srgbClr val="B9BAB6"/>
        </a:accent3>
        <a:accent4>
          <a:srgbClr val="DADADA"/>
        </a:accent4>
        <a:accent5>
          <a:srgbClr val="C6C6C1"/>
        </a:accent5>
        <a:accent6>
          <a:srgbClr val="738F98"/>
        </a:accent6>
        <a:hlink>
          <a:srgbClr val="FFCC66"/>
        </a:hlink>
        <a:folHlink>
          <a:srgbClr val="E9DCB9"/>
        </a:folHlink>
      </a:clrScheme>
      <a:clrMap bg1="dk2" tx1="lt1" bg2="dk1" tx2="lt2" accent1="accent1" accent2="accent2" accent3="accent3" accent4="accent4" accent5="accent5" accent6="accent6" hlink="hlink" folHlink="folHlink"/>
    </a:extraClrScheme>
    <a:extraClrScheme>
      <a:clrScheme name="Custom Design 11">
        <a:dk1>
          <a:srgbClr val="3E3E5C"/>
        </a:dk1>
        <a:lt1>
          <a:srgbClr val="FFFFFF"/>
        </a:lt1>
        <a:dk2>
          <a:srgbClr val="666699"/>
        </a:dk2>
        <a:lt2>
          <a:srgbClr val="FFFFFF"/>
        </a:lt2>
        <a:accent1>
          <a:srgbClr val="60597B"/>
        </a:accent1>
        <a:accent2>
          <a:srgbClr val="6666FF"/>
        </a:accent2>
        <a:accent3>
          <a:srgbClr val="B8B8CA"/>
        </a:accent3>
        <a:accent4>
          <a:srgbClr val="DADADA"/>
        </a:accent4>
        <a:accent5>
          <a:srgbClr val="B6B5BF"/>
        </a:accent5>
        <a:accent6>
          <a:srgbClr val="5C5CE7"/>
        </a:accent6>
        <a:hlink>
          <a:srgbClr val="99CCFF"/>
        </a:hlink>
        <a:folHlink>
          <a:srgbClr val="FFFF99"/>
        </a:folHlink>
      </a:clrScheme>
      <a:clrMap bg1="dk2" tx1="lt1" bg2="dk1" tx2="lt2" accent1="accent1" accent2="accent2" accent3="accent3" accent4="accent4" accent5="accent5" accent6="accent6" hlink="hlink" folHlink="folHlink"/>
    </a:extraClrScheme>
    <a:extraClrScheme>
      <a:clrScheme name="Custom Design 12">
        <a:dk1>
          <a:srgbClr val="2D2015"/>
        </a:dk1>
        <a:lt1>
          <a:srgbClr val="FFFFFF"/>
        </a:lt1>
        <a:dk2>
          <a:srgbClr val="523E26"/>
        </a:dk2>
        <a:lt2>
          <a:srgbClr val="DFC08D"/>
        </a:lt2>
        <a:accent1>
          <a:srgbClr val="8C7B70"/>
        </a:accent1>
        <a:accent2>
          <a:srgbClr val="8F5F2F"/>
        </a:accent2>
        <a:accent3>
          <a:srgbClr val="B3AFAC"/>
        </a:accent3>
        <a:accent4>
          <a:srgbClr val="DADADA"/>
        </a:accent4>
        <a:accent5>
          <a:srgbClr val="C5BFBB"/>
        </a:accent5>
        <a:accent6>
          <a:srgbClr val="81552A"/>
        </a:accent6>
        <a:hlink>
          <a:srgbClr val="CCB400"/>
        </a:hlink>
        <a:folHlink>
          <a:srgbClr val="8C9EA0"/>
        </a:folHlink>
      </a:clrScheme>
      <a:clrMap bg1="dk2" tx1="lt1" bg2="dk1" tx2="lt2" accent1="accent1" accent2="accent2" accent3="accent3" accent4="accent4" accent5="accent5" accent6="accent6" hlink="hlink" folHlink="folHlink"/>
    </a:extraClrScheme>
    <a:extraClrScheme>
      <a:clrScheme name="Custom Design 13">
        <a:dk1>
          <a:srgbClr val="000000"/>
        </a:dk1>
        <a:lt1>
          <a:srgbClr val="FFFFFF"/>
        </a:lt1>
        <a:dk2>
          <a:srgbClr val="000000"/>
        </a:dk2>
        <a:lt2>
          <a:srgbClr val="808080"/>
        </a:lt2>
        <a:accent1>
          <a:srgbClr val="00AEEF"/>
        </a:accent1>
        <a:accent2>
          <a:srgbClr val="008000"/>
        </a:accent2>
        <a:accent3>
          <a:srgbClr val="FFFFFF"/>
        </a:accent3>
        <a:accent4>
          <a:srgbClr val="000000"/>
        </a:accent4>
        <a:accent5>
          <a:srgbClr val="AAD3F6"/>
        </a:accent5>
        <a:accent6>
          <a:srgbClr val="007300"/>
        </a:accent6>
        <a:hlink>
          <a:srgbClr val="F8C807"/>
        </a:hlink>
        <a:folHlink>
          <a:srgbClr val="CC0099"/>
        </a:folHlink>
      </a:clrScheme>
      <a:clrMap bg1="lt1" tx1="dk1" bg2="lt2" tx2="dk2" accent1="accent1" accent2="accent2" accent3="accent3" accent4="accent4" accent5="accent5" accent6="accent6" hlink="hlink" folHlink="folHlink"/>
    </a:extraClrScheme>
    <a:extraClrScheme>
      <a:clrScheme name="Custom Design 14">
        <a:dk1>
          <a:srgbClr val="000000"/>
        </a:dk1>
        <a:lt1>
          <a:srgbClr val="FFFFFF"/>
        </a:lt1>
        <a:dk2>
          <a:srgbClr val="000000"/>
        </a:dk2>
        <a:lt2>
          <a:srgbClr val="808080"/>
        </a:lt2>
        <a:accent1>
          <a:srgbClr val="00AEEF"/>
        </a:accent1>
        <a:accent2>
          <a:srgbClr val="99FF33"/>
        </a:accent2>
        <a:accent3>
          <a:srgbClr val="FFFFFF"/>
        </a:accent3>
        <a:accent4>
          <a:srgbClr val="000000"/>
        </a:accent4>
        <a:accent5>
          <a:srgbClr val="AAD3F6"/>
        </a:accent5>
        <a:accent6>
          <a:srgbClr val="8AE72D"/>
        </a:accent6>
        <a:hlink>
          <a:srgbClr val="F8C807"/>
        </a:hlink>
        <a:folHlink>
          <a:srgbClr val="CC0099"/>
        </a:folHlink>
      </a:clrScheme>
      <a:clrMap bg1="lt1" tx1="dk1" bg2="lt2" tx2="dk2" accent1="accent1" accent2="accent2" accent3="accent3" accent4="accent4" accent5="accent5" accent6="accent6" hlink="hlink" folHlink="folHlink"/>
    </a:extraClrScheme>
    <a:extraClrScheme>
      <a:clrScheme name="Custom Design 15">
        <a:dk1>
          <a:srgbClr val="000000"/>
        </a:dk1>
        <a:lt1>
          <a:srgbClr val="FFFFFF"/>
        </a:lt1>
        <a:dk2>
          <a:srgbClr val="000000"/>
        </a:dk2>
        <a:lt2>
          <a:srgbClr val="808080"/>
        </a:lt2>
        <a:accent1>
          <a:srgbClr val="00AEEF"/>
        </a:accent1>
        <a:accent2>
          <a:srgbClr val="99FF33"/>
        </a:accent2>
        <a:accent3>
          <a:srgbClr val="FFFFFF"/>
        </a:accent3>
        <a:accent4>
          <a:srgbClr val="000000"/>
        </a:accent4>
        <a:accent5>
          <a:srgbClr val="AAD3F6"/>
        </a:accent5>
        <a:accent6>
          <a:srgbClr val="8AE72D"/>
        </a:accent6>
        <a:hlink>
          <a:srgbClr val="F8C807"/>
        </a:hlink>
        <a:folHlink>
          <a:srgbClr val="86ADBC"/>
        </a:folHlink>
      </a:clrScheme>
      <a:clrMap bg1="lt1" tx1="dk1" bg2="lt2" tx2="dk2" accent1="accent1" accent2="accent2" accent3="accent3" accent4="accent4" accent5="accent5" accent6="accent6" hlink="hlink" folHlink="folHlink"/>
    </a:extraClrScheme>
    <a:extraClrScheme>
      <a:clrScheme name="Custom Design 16">
        <a:dk1>
          <a:srgbClr val="000000"/>
        </a:dk1>
        <a:lt1>
          <a:srgbClr val="FFFFFF"/>
        </a:lt1>
        <a:dk2>
          <a:srgbClr val="000000"/>
        </a:dk2>
        <a:lt2>
          <a:srgbClr val="808080"/>
        </a:lt2>
        <a:accent1>
          <a:srgbClr val="00AEEF"/>
        </a:accent1>
        <a:accent2>
          <a:srgbClr val="99CC00"/>
        </a:accent2>
        <a:accent3>
          <a:srgbClr val="FFFFFF"/>
        </a:accent3>
        <a:accent4>
          <a:srgbClr val="000000"/>
        </a:accent4>
        <a:accent5>
          <a:srgbClr val="AAD3F6"/>
        </a:accent5>
        <a:accent6>
          <a:srgbClr val="8AB900"/>
        </a:accent6>
        <a:hlink>
          <a:srgbClr val="F8C807"/>
        </a:hlink>
        <a:folHlink>
          <a:srgbClr val="86ADBC"/>
        </a:folHlink>
      </a:clrScheme>
      <a:clrMap bg1="lt1" tx1="dk1" bg2="lt2" tx2="dk2" accent1="accent1" accent2="accent2" accent3="accent3" accent4="accent4" accent5="accent5" accent6="accent6" hlink="hlink" folHlink="folHlink"/>
    </a:extraClrScheme>
  </a:extraClrSchemeLst>
</a:theme>
</file>

<file path=xl/theme/themeOverride1.xml><?xml version="1.0" encoding="utf-8"?>
<a:themeOverride xmlns:a="http://schemas.openxmlformats.org/drawingml/2006/main">
  <a:clrScheme name="FactSet Color Set">
    <a:dk1>
      <a:sysClr val="windowText" lastClr="000000"/>
    </a:dk1>
    <a:lt1>
      <a:sysClr val="window" lastClr="FFFFFF"/>
    </a:lt1>
    <a:dk2>
      <a:srgbClr val="00B0F0"/>
    </a:dk2>
    <a:lt2>
      <a:srgbClr val="B4DFEF"/>
    </a:lt2>
    <a:accent1>
      <a:srgbClr val="00B0F0"/>
    </a:accent1>
    <a:accent2>
      <a:srgbClr val="98CA3C"/>
    </a:accent2>
    <a:accent3>
      <a:srgbClr val="F7C807"/>
    </a:accent3>
    <a:accent4>
      <a:srgbClr val="DCDCDC"/>
    </a:accent4>
    <a:accent5>
      <a:srgbClr val="FF0000"/>
    </a:accent5>
    <a:accent6>
      <a:srgbClr val="009999"/>
    </a:accent6>
    <a:hlink>
      <a:srgbClr val="0000FF"/>
    </a:hlink>
    <a:folHlink>
      <a:srgbClr val="800080"/>
    </a:folHlink>
  </a:clrScheme>
  <a:fontScheme name="FactSet Font Set">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FactSet Color Set">
    <a:dk1>
      <a:sysClr val="windowText" lastClr="000000"/>
    </a:dk1>
    <a:lt1>
      <a:sysClr val="window" lastClr="FFFFFF"/>
    </a:lt1>
    <a:dk2>
      <a:srgbClr val="00B0F0"/>
    </a:dk2>
    <a:lt2>
      <a:srgbClr val="B4DFEF"/>
    </a:lt2>
    <a:accent1>
      <a:srgbClr val="00B0F0"/>
    </a:accent1>
    <a:accent2>
      <a:srgbClr val="98CA3C"/>
    </a:accent2>
    <a:accent3>
      <a:srgbClr val="F7C807"/>
    </a:accent3>
    <a:accent4>
      <a:srgbClr val="DCDCDC"/>
    </a:accent4>
    <a:accent5>
      <a:srgbClr val="FF0000"/>
    </a:accent5>
    <a:accent6>
      <a:srgbClr val="009999"/>
    </a:accent6>
    <a:hlink>
      <a:srgbClr val="0000FF"/>
    </a:hlink>
    <a:folHlink>
      <a:srgbClr val="800080"/>
    </a:folHlink>
  </a:clrScheme>
  <a:fontScheme name="FactSet Font Set">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FactSet 2012 QR">
    <a:dk1>
      <a:sysClr val="windowText" lastClr="000000"/>
    </a:dk1>
    <a:lt1>
      <a:sysClr val="window" lastClr="FFFFFF"/>
    </a:lt1>
    <a:dk2>
      <a:srgbClr val="00B0F0"/>
    </a:dk2>
    <a:lt2>
      <a:srgbClr val="B4DFEF"/>
    </a:lt2>
    <a:accent1>
      <a:srgbClr val="00AEEF"/>
    </a:accent1>
    <a:accent2>
      <a:srgbClr val="99CC33"/>
    </a:accent2>
    <a:accent3>
      <a:srgbClr val="9A3366"/>
    </a:accent3>
    <a:accent4>
      <a:srgbClr val="FFCC00"/>
    </a:accent4>
    <a:accent5>
      <a:srgbClr val="969696"/>
    </a:accent5>
    <a:accent6>
      <a:srgbClr val="0066C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FactSet Color Set">
    <a:dk1>
      <a:sysClr val="windowText" lastClr="000000"/>
    </a:dk1>
    <a:lt1>
      <a:sysClr val="window" lastClr="FFFFFF"/>
    </a:lt1>
    <a:dk2>
      <a:srgbClr val="00B0F0"/>
    </a:dk2>
    <a:lt2>
      <a:srgbClr val="B4DFEF"/>
    </a:lt2>
    <a:accent1>
      <a:srgbClr val="00B0F0"/>
    </a:accent1>
    <a:accent2>
      <a:srgbClr val="98CA3C"/>
    </a:accent2>
    <a:accent3>
      <a:srgbClr val="F7C807"/>
    </a:accent3>
    <a:accent4>
      <a:srgbClr val="DCDCDC"/>
    </a:accent4>
    <a:accent5>
      <a:srgbClr val="FF0000"/>
    </a:accent5>
    <a:accent6>
      <a:srgbClr val="009999"/>
    </a:accent6>
    <a:hlink>
      <a:srgbClr val="0000FF"/>
    </a:hlink>
    <a:folHlink>
      <a:srgbClr val="800080"/>
    </a:folHlink>
  </a:clrScheme>
  <a:fontScheme name="FactSet Font Set">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FactSet Color Set">
    <a:dk1>
      <a:sysClr val="windowText" lastClr="000000"/>
    </a:dk1>
    <a:lt1>
      <a:sysClr val="window" lastClr="FFFFFF"/>
    </a:lt1>
    <a:dk2>
      <a:srgbClr val="00B0F0"/>
    </a:dk2>
    <a:lt2>
      <a:srgbClr val="B4DFEF"/>
    </a:lt2>
    <a:accent1>
      <a:srgbClr val="00B0F0"/>
    </a:accent1>
    <a:accent2>
      <a:srgbClr val="98CA3C"/>
    </a:accent2>
    <a:accent3>
      <a:srgbClr val="F7C807"/>
    </a:accent3>
    <a:accent4>
      <a:srgbClr val="DCDCDC"/>
    </a:accent4>
    <a:accent5>
      <a:srgbClr val="FF0000"/>
    </a:accent5>
    <a:accent6>
      <a:srgbClr val="009999"/>
    </a:accent6>
    <a:hlink>
      <a:srgbClr val="0000FF"/>
    </a:hlink>
    <a:folHlink>
      <a:srgbClr val="800080"/>
    </a:folHlink>
  </a:clrScheme>
  <a:fontScheme name="FactSet Font Set">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FactSet Color Set">
    <a:dk1>
      <a:sysClr val="windowText" lastClr="000000"/>
    </a:dk1>
    <a:lt1>
      <a:sysClr val="window" lastClr="FFFFFF"/>
    </a:lt1>
    <a:dk2>
      <a:srgbClr val="00B0F0"/>
    </a:dk2>
    <a:lt2>
      <a:srgbClr val="B4DFEF"/>
    </a:lt2>
    <a:accent1>
      <a:srgbClr val="00B0F0"/>
    </a:accent1>
    <a:accent2>
      <a:srgbClr val="98CA3C"/>
    </a:accent2>
    <a:accent3>
      <a:srgbClr val="F7C807"/>
    </a:accent3>
    <a:accent4>
      <a:srgbClr val="DCDCDC"/>
    </a:accent4>
    <a:accent5>
      <a:srgbClr val="FF0000"/>
    </a:accent5>
    <a:accent6>
      <a:srgbClr val="009999"/>
    </a:accent6>
    <a:hlink>
      <a:srgbClr val="0000FF"/>
    </a:hlink>
    <a:folHlink>
      <a:srgbClr val="800080"/>
    </a:folHlink>
  </a:clrScheme>
  <a:fontScheme name="FactSet Font Set">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839DFE3-6665-D84F-9F50-9B4292BB149F}">
  <we:reference id="wa200001456" version="3.1.1.0" store="en-US" storeType="OMEX"/>
  <we:alternateReferences>
    <we:reference id="WA200001456" version="3.1.1.0" store="" storeType="OMEX"/>
  </we:alternateReferences>
  <we:properties>
    <we:property name="Office.DisableTrustUX" value="true"/>
  </we:properties>
  <we:bindings/>
  <we:snapshot xmlns:r="http://schemas.openxmlformats.org/officeDocument/2006/relationships"/>
  <we:extLst>
    <a:ext xmlns:a="http://schemas.openxmlformats.org/drawingml/2006/main" uri="{7C84B067-C214-45C3-A712-C9D94CD141B2}">
      <we:customFunctionIdList>
        <we:customFunctionIds>FDS</we:customFunctionIds>
        <we:customFunctionIds>FDSN</we:customFunctionIds>
        <we:customFunctionIds>FDSZ</we:customFunctionIds>
        <we:customFunctionIds>FDSB</we:customFunctionIds>
        <we:customFunctionIds>FDSC</we:customFunctionIds>
        <we:customFunctionIds>FDSR</we:customFunctionIds>
        <we:customFunctionIds>FDSRN</we:customFunctionIds>
        <we:customFunctionIds>FDSRZ</we:customFunctionIds>
        <we:customFunctionIds>FDSRB</we:customFunctionIds>
        <we:customFunctionIds>FDSRC</we:customFunctionIds>
        <we:customFunctionIds>FDSLIVE</we:customFunctionIds>
        <we:customFunctionIds>FactSetLive.RTDFunction.1.FDSLIVE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y.apps.factset.com/workstation/navigator/company-security/index-snapshot" TargetMode="External"/><Relationship Id="rId1" Type="http://schemas.openxmlformats.org/officeDocument/2006/relationships/hyperlink" Target="fdsup://factset/Navigator%20Company?_REPORT=index-snapshot&amp;action=set_identifier&amp;identifier=SP50"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29"/>
  <sheetViews>
    <sheetView workbookViewId="0"/>
  </sheetViews>
  <sheetFormatPr baseColWidth="10" defaultColWidth="8.83203125" defaultRowHeight="13" x14ac:dyDescent="0.15"/>
  <sheetData>
    <row r="1" spans="1:2" x14ac:dyDescent="0.15">
      <c r="B1" t="s">
        <v>0</v>
      </c>
    </row>
    <row r="2" spans="1:2" x14ac:dyDescent="0.15"/>
    <row r="3" spans="1:2" x14ac:dyDescent="0.15"/>
    <row r="4" spans="1:2" x14ac:dyDescent="0.15"/>
    <row r="5" spans="1:2" x14ac:dyDescent="0.15"/>
    <row r="6" spans="1:2" x14ac:dyDescent="0.15"/>
    <row r="7" spans="1:2" x14ac:dyDescent="0.15"/>
    <row r="8" spans="1:2" x14ac:dyDescent="0.15"/>
    <row r="9" spans="1:2" x14ac:dyDescent="0.15"/>
    <row r="10" spans="1:2" x14ac:dyDescent="0.15"/>
    <row r="11" spans="1:2" x14ac:dyDescent="0.15"/>
    <row r="12" spans="1:2" x14ac:dyDescent="0.15"/>
    <row r="13" spans="1:2" x14ac:dyDescent="0.15"/>
    <row r="14" spans="1:2" x14ac:dyDescent="0.15"/>
    <row r="15" spans="1:2" x14ac:dyDescent="0.15"/>
    <row r="16" spans="1:2" x14ac:dyDescent="0.15"/>
    <row r="17" spans="1:1" x14ac:dyDescent="0.15"/>
    <row r="18" spans="1:1" x14ac:dyDescent="0.15"/>
    <row r="19" spans="1:1" x14ac:dyDescent="0.15"/>
    <row r="20" spans="1:1" x14ac:dyDescent="0.15"/>
    <row r="21" spans="1:1" x14ac:dyDescent="0.15"/>
    <row r="22" spans="1:1" x14ac:dyDescent="0.15"/>
    <row r="23" spans="1:1" x14ac:dyDescent="0.15"/>
    <row r="24" spans="1:1" x14ac:dyDescent="0.15"/>
    <row r="25" spans="1:1" x14ac:dyDescent="0.15"/>
    <row r="26" spans="1:1" x14ac:dyDescent="0.15"/>
    <row r="27" spans="1:1" x14ac:dyDescent="0.15"/>
    <row r="28" spans="1:1" x14ac:dyDescent="0.15"/>
    <row r="29" spans="1:1" x14ac:dyDescent="0.15"/>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111F6-6FB3-4361-A58E-A98DA68D4F61}">
  <sheetPr codeName="Sheet5">
    <pageSetUpPr fitToPage="1"/>
  </sheetPr>
  <dimension ref="A1:N33"/>
  <sheetViews>
    <sheetView showGridLines="0" workbookViewId="0"/>
  </sheetViews>
  <sheetFormatPr baseColWidth="10" defaultColWidth="9.1640625" defaultRowHeight="12" x14ac:dyDescent="0.15"/>
  <cols>
    <col min="1" max="7" width="10.6640625" style="190" customWidth="1"/>
    <col min="8" max="8" width="17.5" style="190" bestFit="1" customWidth="1"/>
    <col min="9" max="16" width="10.6640625" style="190" customWidth="1"/>
    <col min="17" max="16384" width="9.1640625" style="190"/>
  </cols>
  <sheetData>
    <row r="1" spans="1:14" s="187" customFormat="1" x14ac:dyDescent="0.15">
      <c r="A1" s="186"/>
      <c r="B1" s="186"/>
      <c r="C1" s="186"/>
      <c r="D1" s="186"/>
      <c r="E1" s="186"/>
      <c r="F1" s="186"/>
      <c r="G1" s="186"/>
      <c r="H1" s="186"/>
      <c r="I1" s="186"/>
      <c r="J1" s="186"/>
      <c r="K1" s="186"/>
      <c r="L1" s="186"/>
      <c r="M1" s="186"/>
      <c r="N1" s="186"/>
    </row>
    <row r="2" spans="1:14" s="187" customFormat="1" x14ac:dyDescent="0.15">
      <c r="A2" s="188"/>
      <c r="B2" s="186"/>
      <c r="C2" s="186"/>
      <c r="D2" s="186"/>
      <c r="E2" s="186"/>
      <c r="F2" s="186"/>
      <c r="G2" s="186"/>
      <c r="H2" s="186"/>
      <c r="I2" s="186"/>
      <c r="J2" s="186"/>
      <c r="K2" s="186"/>
      <c r="L2" s="186"/>
      <c r="M2" s="186"/>
      <c r="N2" s="186"/>
    </row>
    <row r="3" spans="1:14" x14ac:dyDescent="0.15">
      <c r="A3" s="189"/>
      <c r="B3" s="189"/>
      <c r="C3" s="189"/>
      <c r="D3" s="189"/>
      <c r="E3" s="189"/>
      <c r="F3" s="189"/>
      <c r="G3" s="189"/>
      <c r="H3" s="189"/>
      <c r="I3" s="189"/>
      <c r="J3" s="189"/>
      <c r="K3" s="189"/>
      <c r="L3" s="189"/>
      <c r="M3" s="189"/>
      <c r="N3" s="189"/>
    </row>
    <row r="4" spans="1:14" x14ac:dyDescent="0.15">
      <c r="A4" s="189"/>
      <c r="B4" s="189"/>
      <c r="C4" s="189"/>
      <c r="D4" s="189"/>
      <c r="E4" s="189"/>
      <c r="F4" s="189"/>
      <c r="G4" s="189"/>
      <c r="H4" s="189"/>
      <c r="I4" s="189"/>
      <c r="J4" s="189"/>
      <c r="K4" s="189"/>
      <c r="L4" s="189"/>
      <c r="M4" s="189"/>
      <c r="N4" s="189"/>
    </row>
    <row r="5" spans="1:14" ht="12.75" customHeight="1" x14ac:dyDescent="0.15">
      <c r="A5" s="189"/>
      <c r="B5" s="191" t="s">
        <v>1</v>
      </c>
      <c r="C5" s="189"/>
      <c r="D5" s="189"/>
      <c r="E5" s="189"/>
      <c r="F5" s="189"/>
      <c r="G5" s="189"/>
      <c r="H5" s="191" t="s">
        <v>2</v>
      </c>
      <c r="I5" s="189"/>
      <c r="J5" s="189"/>
      <c r="K5" s="189"/>
      <c r="L5" s="189"/>
      <c r="M5" s="189"/>
      <c r="N5" s="189"/>
    </row>
    <row r="6" spans="1:14" ht="12.75" customHeight="1" x14ac:dyDescent="0.15">
      <c r="A6" s="189"/>
      <c r="B6" s="192" t="s">
        <v>3</v>
      </c>
      <c r="C6" s="193"/>
      <c r="D6" s="193"/>
      <c r="E6" s="193"/>
      <c r="F6" s="193"/>
      <c r="G6" s="189"/>
      <c r="H6" s="333" t="str">
        <f ca="1">"Copyright © "&amp;YEAR(TODAY())&amp;" FactSet Research Systems Inc. All rights reserved. Use of the model, including any data contained in it, is subject to the license agreement in place with FactSet Research Systems Inc. or FactSet UK Limited, as applicable."</f>
        <v>Copyright © 2026 FactSet Research Systems Inc. All rights reserved. Use of the model, including any data contained in it, is subject to the license agreement in place with FactSet Research Systems Inc. or FactSet UK Limited, as applicable.</v>
      </c>
      <c r="I6" s="333"/>
      <c r="J6" s="333"/>
      <c r="K6" s="333"/>
      <c r="L6" s="333"/>
      <c r="M6" s="333"/>
      <c r="N6" s="189"/>
    </row>
    <row r="7" spans="1:14" x14ac:dyDescent="0.15">
      <c r="A7" s="189"/>
      <c r="B7" s="189"/>
      <c r="C7" s="193"/>
      <c r="D7" s="193"/>
      <c r="E7" s="193"/>
      <c r="F7" s="193"/>
      <c r="G7" s="189"/>
      <c r="H7" s="333"/>
      <c r="I7" s="333"/>
      <c r="J7" s="333"/>
      <c r="K7" s="333"/>
      <c r="L7" s="333"/>
      <c r="M7" s="333"/>
      <c r="N7" s="189"/>
    </row>
    <row r="8" spans="1:14" x14ac:dyDescent="0.15">
      <c r="A8" s="189"/>
      <c r="B8" s="189"/>
      <c r="C8" s="193"/>
      <c r="D8" s="193"/>
      <c r="E8" s="193"/>
      <c r="F8" s="193"/>
      <c r="G8" s="189"/>
      <c r="H8" s="333"/>
      <c r="I8" s="333"/>
      <c r="J8" s="333"/>
      <c r="K8" s="333"/>
      <c r="L8" s="333"/>
      <c r="M8" s="333"/>
      <c r="N8" s="189"/>
    </row>
    <row r="9" spans="1:14" x14ac:dyDescent="0.15">
      <c r="A9" s="189"/>
      <c r="B9" s="189"/>
      <c r="C9" s="193"/>
      <c r="D9" s="193"/>
      <c r="E9" s="193"/>
      <c r="F9" s="193"/>
      <c r="G9" s="189"/>
      <c r="H9" s="194"/>
      <c r="I9" s="194"/>
      <c r="J9" s="194"/>
      <c r="K9" s="194"/>
      <c r="L9" s="194"/>
      <c r="M9" s="194"/>
      <c r="N9" s="189"/>
    </row>
    <row r="10" spans="1:14" ht="12.75" customHeight="1" x14ac:dyDescent="0.15">
      <c r="A10" s="189"/>
      <c r="B10" s="191" t="s">
        <v>4</v>
      </c>
      <c r="C10" s="193"/>
      <c r="D10" s="193"/>
      <c r="E10" s="193"/>
      <c r="F10" s="193"/>
      <c r="G10" s="189"/>
      <c r="H10" s="191" t="s">
        <v>5</v>
      </c>
      <c r="I10" s="195"/>
      <c r="J10" s="195"/>
      <c r="K10" s="195"/>
      <c r="L10" s="195"/>
      <c r="M10" s="195"/>
      <c r="N10" s="189"/>
    </row>
    <row r="11" spans="1:14" ht="12.75" customHeight="1" x14ac:dyDescent="0.15">
      <c r="A11" s="189"/>
      <c r="B11" s="333" t="s">
        <v>6</v>
      </c>
      <c r="C11" s="333"/>
      <c r="D11" s="333"/>
      <c r="E11" s="333"/>
      <c r="F11" s="333"/>
      <c r="G11" s="189"/>
      <c r="H11" s="334" t="s">
        <v>7</v>
      </c>
      <c r="I11" s="333"/>
      <c r="J11" s="333"/>
      <c r="K11" s="333"/>
      <c r="L11" s="333"/>
      <c r="M11" s="333"/>
      <c r="N11" s="189"/>
    </row>
    <row r="12" spans="1:14" x14ac:dyDescent="0.15">
      <c r="A12" s="189"/>
      <c r="B12" s="333"/>
      <c r="C12" s="333"/>
      <c r="D12" s="333"/>
      <c r="E12" s="333"/>
      <c r="F12" s="333"/>
      <c r="G12" s="189"/>
      <c r="H12" s="333"/>
      <c r="I12" s="333"/>
      <c r="J12" s="333"/>
      <c r="K12" s="333"/>
      <c r="L12" s="333"/>
      <c r="M12" s="333"/>
      <c r="N12" s="189"/>
    </row>
    <row r="13" spans="1:14" x14ac:dyDescent="0.15">
      <c r="A13" s="189"/>
      <c r="B13" s="333"/>
      <c r="C13" s="333"/>
      <c r="D13" s="333"/>
      <c r="E13" s="333"/>
      <c r="F13" s="333"/>
      <c r="G13" s="189"/>
      <c r="H13" s="333"/>
      <c r="I13" s="333"/>
      <c r="J13" s="333"/>
      <c r="K13" s="333"/>
      <c r="L13" s="333"/>
      <c r="M13" s="333"/>
      <c r="N13" s="189"/>
    </row>
    <row r="14" spans="1:14" x14ac:dyDescent="0.15">
      <c r="A14" s="189"/>
      <c r="B14" s="333"/>
      <c r="C14" s="333"/>
      <c r="D14" s="333"/>
      <c r="E14" s="333"/>
      <c r="F14" s="333"/>
      <c r="G14" s="189"/>
      <c r="H14" s="333"/>
      <c r="I14" s="333"/>
      <c r="J14" s="333"/>
      <c r="K14" s="333"/>
      <c r="L14" s="333"/>
      <c r="M14" s="333"/>
      <c r="N14" s="189"/>
    </row>
    <row r="15" spans="1:14" x14ac:dyDescent="0.15">
      <c r="A15" s="189"/>
      <c r="B15" s="333"/>
      <c r="C15" s="333"/>
      <c r="D15" s="333"/>
      <c r="E15" s="333"/>
      <c r="F15" s="333"/>
      <c r="G15" s="189"/>
      <c r="H15" s="189"/>
      <c r="I15" s="194"/>
      <c r="J15" s="194"/>
      <c r="K15" s="194"/>
      <c r="L15" s="194"/>
      <c r="M15" s="194"/>
      <c r="N15" s="189"/>
    </row>
    <row r="16" spans="1:14" ht="12.75" customHeight="1" x14ac:dyDescent="0.15">
      <c r="A16" s="189"/>
      <c r="B16" s="333"/>
      <c r="C16" s="333"/>
      <c r="D16" s="333"/>
      <c r="E16" s="333"/>
      <c r="F16" s="333"/>
      <c r="G16" s="189"/>
      <c r="H16" s="269" t="s">
        <v>8</v>
      </c>
      <c r="I16" s="194"/>
      <c r="J16" s="194"/>
      <c r="K16" s="194"/>
      <c r="L16" s="194"/>
      <c r="M16" s="194"/>
      <c r="N16" s="189"/>
    </row>
    <row r="17" spans="1:14" ht="12.75" customHeight="1" x14ac:dyDescent="0.15">
      <c r="A17" s="189"/>
      <c r="B17" s="333"/>
      <c r="C17" s="333"/>
      <c r="D17" s="333"/>
      <c r="E17" s="333"/>
      <c r="F17" s="333"/>
      <c r="G17" s="189"/>
      <c r="H17" s="270" t="s">
        <v>9</v>
      </c>
      <c r="I17" s="194"/>
      <c r="J17" s="194"/>
      <c r="K17" s="194"/>
      <c r="L17" s="194"/>
      <c r="M17" s="194"/>
      <c r="N17" s="189"/>
    </row>
    <row r="18" spans="1:14" ht="12" customHeight="1" x14ac:dyDescent="0.15">
      <c r="A18" s="189"/>
      <c r="B18" s="191" t="s">
        <v>10</v>
      </c>
      <c r="C18" s="189"/>
      <c r="D18" s="189"/>
      <c r="E18" s="196"/>
      <c r="F18" s="189"/>
      <c r="G18" s="189"/>
      <c r="H18" s="270" t="s">
        <v>11</v>
      </c>
      <c r="I18" s="194"/>
      <c r="J18" s="194"/>
      <c r="K18" s="194"/>
      <c r="L18" s="194"/>
      <c r="M18" s="194"/>
      <c r="N18" s="189"/>
    </row>
    <row r="19" spans="1:14" ht="12" customHeight="1" x14ac:dyDescent="0.15">
      <c r="A19" s="189"/>
      <c r="B19" s="266" t="s">
        <v>12</v>
      </c>
      <c r="C19" s="189"/>
      <c r="D19" s="189"/>
      <c r="E19" s="196"/>
      <c r="F19" s="189"/>
      <c r="G19" s="189"/>
      <c r="H19" s="189"/>
      <c r="I19" s="194"/>
      <c r="J19" s="194"/>
      <c r="K19" s="194"/>
      <c r="L19" s="194"/>
      <c r="M19" s="194"/>
      <c r="N19" s="189"/>
    </row>
    <row r="20" spans="1:14" ht="12" customHeight="1" x14ac:dyDescent="0.15">
      <c r="A20" s="189"/>
      <c r="B20" s="266" t="s">
        <v>13</v>
      </c>
      <c r="C20" s="189"/>
      <c r="D20" s="189"/>
      <c r="E20" s="197"/>
      <c r="F20" s="189"/>
      <c r="G20" s="189"/>
      <c r="H20" s="191" t="s">
        <v>14</v>
      </c>
      <c r="I20" s="189"/>
      <c r="J20" s="189"/>
      <c r="K20" s="189"/>
      <c r="L20" s="189"/>
      <c r="M20" s="189"/>
      <c r="N20" s="189"/>
    </row>
    <row r="21" spans="1:14" x14ac:dyDescent="0.15">
      <c r="A21" s="189"/>
      <c r="B21" s="189"/>
      <c r="C21" s="189"/>
      <c r="D21" s="189"/>
      <c r="E21" s="189"/>
      <c r="F21" s="189"/>
      <c r="G21" s="189"/>
      <c r="H21" s="335" t="s">
        <v>15</v>
      </c>
      <c r="I21" s="335"/>
      <c r="J21" s="335"/>
      <c r="K21" s="335"/>
      <c r="L21" s="335"/>
      <c r="M21" s="335"/>
      <c r="N21" s="189"/>
    </row>
    <row r="22" spans="1:14" x14ac:dyDescent="0.15">
      <c r="A22" s="189"/>
      <c r="B22" s="189"/>
      <c r="C22" s="189"/>
      <c r="D22" s="189"/>
      <c r="E22" s="198"/>
      <c r="F22" s="189"/>
      <c r="G22" s="189"/>
      <c r="H22" s="335"/>
      <c r="I22" s="335"/>
      <c r="J22" s="335"/>
      <c r="K22" s="335"/>
      <c r="L22" s="335"/>
      <c r="M22" s="335"/>
      <c r="N22" s="189"/>
    </row>
    <row r="23" spans="1:14" ht="13" x14ac:dyDescent="0.15">
      <c r="A23" s="189"/>
      <c r="B23" s="266"/>
      <c r="C23" s="189"/>
      <c r="D23" s="189"/>
      <c r="E23" s="189"/>
      <c r="F23" s="189"/>
      <c r="G23" s="189"/>
      <c r="H23" s="335"/>
      <c r="I23" s="335"/>
      <c r="J23" s="335"/>
      <c r="K23" s="335"/>
      <c r="L23" s="335"/>
      <c r="M23" s="335"/>
      <c r="N23" s="189"/>
    </row>
    <row r="24" spans="1:14" x14ac:dyDescent="0.15">
      <c r="A24" s="189"/>
      <c r="B24" s="189"/>
      <c r="C24" s="189"/>
      <c r="D24" s="189"/>
      <c r="E24" s="189"/>
      <c r="F24" s="189"/>
      <c r="G24" s="189"/>
      <c r="H24" s="335"/>
      <c r="I24" s="335"/>
      <c r="J24" s="335"/>
      <c r="K24" s="335"/>
      <c r="L24" s="335"/>
      <c r="M24" s="335"/>
      <c r="N24" s="189"/>
    </row>
    <row r="25" spans="1:14" x14ac:dyDescent="0.15">
      <c r="A25" s="189"/>
      <c r="B25" s="189"/>
      <c r="C25" s="189"/>
      <c r="D25" s="189"/>
      <c r="E25" s="189"/>
      <c r="F25" s="189"/>
      <c r="G25" s="189"/>
      <c r="H25" s="335"/>
      <c r="I25" s="335"/>
      <c r="J25" s="335"/>
      <c r="K25" s="335"/>
      <c r="L25" s="335"/>
      <c r="M25" s="335"/>
      <c r="N25" s="189"/>
    </row>
    <row r="26" spans="1:14" x14ac:dyDescent="0.15">
      <c r="A26" s="189"/>
      <c r="B26" s="189"/>
      <c r="C26" s="189"/>
      <c r="D26" s="189"/>
      <c r="E26" s="189"/>
      <c r="F26" s="189"/>
      <c r="G26" s="189"/>
      <c r="H26" s="189"/>
      <c r="I26" s="189"/>
      <c r="J26" s="189"/>
      <c r="K26" s="267"/>
      <c r="L26" s="267"/>
      <c r="M26" s="267"/>
      <c r="N26" s="189"/>
    </row>
    <row r="27" spans="1:14" x14ac:dyDescent="0.15">
      <c r="A27" s="189"/>
      <c r="B27" s="189"/>
      <c r="C27" s="189"/>
      <c r="D27" s="189"/>
      <c r="E27" s="189"/>
      <c r="F27" s="189"/>
      <c r="G27" s="189"/>
      <c r="H27" s="199" t="s">
        <v>16</v>
      </c>
      <c r="I27" s="200" t="s">
        <v>17</v>
      </c>
      <c r="J27" s="201"/>
      <c r="K27" s="189"/>
      <c r="L27" s="189"/>
      <c r="M27" s="189"/>
      <c r="N27" s="189"/>
    </row>
    <row r="28" spans="1:14" x14ac:dyDescent="0.15">
      <c r="A28" s="189"/>
      <c r="B28" s="189"/>
      <c r="C28" s="189"/>
      <c r="D28" s="189"/>
      <c r="E28" s="189"/>
      <c r="F28" s="189"/>
      <c r="G28" s="189"/>
      <c r="H28" s="202" t="s">
        <v>18</v>
      </c>
      <c r="I28" s="203" t="s">
        <v>19</v>
      </c>
      <c r="J28" s="189"/>
      <c r="K28" s="189"/>
      <c r="L28" s="189"/>
      <c r="M28" s="189"/>
      <c r="N28" s="189"/>
    </row>
    <row r="29" spans="1:14" x14ac:dyDescent="0.15">
      <c r="A29" s="189"/>
      <c r="B29" s="189"/>
      <c r="C29" s="189"/>
      <c r="D29" s="189"/>
      <c r="E29" s="189"/>
      <c r="F29" s="189"/>
      <c r="G29" s="189"/>
      <c r="H29" s="204" t="s">
        <v>20</v>
      </c>
      <c r="I29" s="205" t="s">
        <v>21</v>
      </c>
      <c r="J29" s="189"/>
      <c r="K29" s="189"/>
      <c r="L29" s="189"/>
      <c r="M29" s="189"/>
      <c r="N29" s="189"/>
    </row>
    <row r="30" spans="1:14" x14ac:dyDescent="0.15">
      <c r="A30" s="189"/>
      <c r="B30" s="189"/>
      <c r="C30" s="189"/>
      <c r="D30" s="189"/>
      <c r="E30" s="189"/>
      <c r="F30" s="189"/>
      <c r="G30" s="189"/>
      <c r="H30" s="206" t="s">
        <v>22</v>
      </c>
      <c r="I30" s="205" t="s">
        <v>23</v>
      </c>
      <c r="J30" s="189"/>
      <c r="K30" s="189"/>
      <c r="L30" s="189"/>
      <c r="M30" s="189"/>
      <c r="N30" s="189"/>
    </row>
    <row r="31" spans="1:14" x14ac:dyDescent="0.15">
      <c r="A31" s="189"/>
      <c r="B31" s="189"/>
      <c r="C31" s="189"/>
      <c r="D31" s="189"/>
      <c r="E31" s="189"/>
      <c r="F31" s="189"/>
      <c r="G31" s="189"/>
      <c r="H31" s="207" t="s">
        <v>24</v>
      </c>
      <c r="I31" s="208" t="s">
        <v>25</v>
      </c>
      <c r="J31" s="189"/>
      <c r="K31" s="189"/>
      <c r="L31" s="189"/>
      <c r="M31" s="189"/>
      <c r="N31" s="189"/>
    </row>
    <row r="32" spans="1:14" x14ac:dyDescent="0.15">
      <c r="A32" s="189"/>
      <c r="B32" s="189"/>
      <c r="C32" s="189"/>
      <c r="D32" s="189"/>
      <c r="E32" s="189"/>
      <c r="F32" s="189"/>
      <c r="G32" s="189"/>
      <c r="H32" s="209" t="s">
        <v>18</v>
      </c>
      <c r="I32" s="189" t="s">
        <v>26</v>
      </c>
      <c r="J32" s="189"/>
      <c r="K32" s="189"/>
      <c r="L32" s="189"/>
      <c r="M32" s="189"/>
      <c r="N32" s="189"/>
    </row>
    <row r="33" spans="1:14" x14ac:dyDescent="0.15">
      <c r="A33" s="189"/>
      <c r="B33" s="189"/>
      <c r="C33" s="189"/>
      <c r="D33" s="189"/>
      <c r="E33" s="189"/>
      <c r="F33" s="189"/>
      <c r="G33" s="189"/>
      <c r="H33" s="189"/>
      <c r="I33" s="189"/>
      <c r="J33" s="189"/>
      <c r="K33" s="189"/>
      <c r="L33" s="189"/>
      <c r="M33" s="189"/>
      <c r="N33" s="189"/>
    </row>
  </sheetData>
  <mergeCells count="4">
    <mergeCell ref="H6:M8"/>
    <mergeCell ref="B11:F17"/>
    <mergeCell ref="H11:M14"/>
    <mergeCell ref="H21:M25"/>
  </mergeCells>
  <hyperlinks>
    <hyperlink ref="B19" r:id="rId1" xr:uid="{00000000-0004-0000-0100-000000000000}"/>
    <hyperlink ref="B20" r:id="rId2" xr:uid="{00000000-0004-0000-0100-000001000000}"/>
  </hyperlinks>
  <pageMargins left="0.7" right="0.7" top="0.75" bottom="0.75" header="0.3" footer="0.3"/>
  <pageSetup scale="58" orientation="portrait" r:id="rId3"/>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BM503"/>
  <sheetViews>
    <sheetView showGridLines="0" tabSelected="1" topLeftCell="A12" workbookViewId="0">
      <selection activeCell="D5" sqref="D5:F5"/>
    </sheetView>
  </sheetViews>
  <sheetFormatPr baseColWidth="10" defaultColWidth="9.1640625" defaultRowHeight="15" customHeight="1" outlineLevelRow="1" outlineLevelCol="1" x14ac:dyDescent="0.15"/>
  <cols>
    <col min="1" max="2" width="2.83203125" style="7" customWidth="1"/>
    <col min="3" max="3" width="13.1640625" style="7" customWidth="1"/>
    <col min="4" max="5" width="11.5" style="7" customWidth="1"/>
    <col min="6" max="8" width="10.6640625" style="7" customWidth="1"/>
    <col min="9" max="9" width="13.33203125" style="7" customWidth="1"/>
    <col min="10" max="10" width="10.6640625" style="7" customWidth="1"/>
    <col min="11" max="11" width="10.83203125" style="7" bestFit="1" customWidth="1"/>
    <col min="12" max="13" width="2.6640625" style="7" customWidth="1"/>
    <col min="14" max="14" width="3" style="7" customWidth="1" collapsed="1"/>
    <col min="15" max="16" width="11.5" style="7" hidden="1" customWidth="1" outlineLevel="1"/>
    <col min="17" max="17" width="11.5" style="7" customWidth="1"/>
    <col min="18" max="18" width="14.33203125" style="7" customWidth="1"/>
    <col min="19" max="19" width="11.5" style="7" customWidth="1"/>
    <col min="20" max="20" width="13.83203125" style="7" customWidth="1"/>
    <col min="21" max="21" width="15" style="7" customWidth="1"/>
    <col min="22" max="22" width="11.5" style="7" customWidth="1"/>
    <col min="23" max="24" width="2.83203125" style="7" customWidth="1"/>
    <col min="25" max="25" width="2.6640625" style="16" customWidth="1"/>
    <col min="26" max="26" width="37" style="63" customWidth="1"/>
    <col min="27" max="27" width="10.6640625" style="63" customWidth="1"/>
    <col min="28" max="31" width="10.6640625" style="55" customWidth="1"/>
    <col min="32" max="32" width="2.6640625" style="55" customWidth="1"/>
    <col min="33" max="33" width="9.1640625" style="55"/>
    <col min="34" max="35" width="10.5" style="55" bestFit="1" customWidth="1"/>
    <col min="36" max="38" width="9.1640625" style="55"/>
    <col min="39" max="39" width="13.83203125" style="55" customWidth="1"/>
    <col min="40" max="40" width="13.5" style="55" customWidth="1"/>
    <col min="41" max="41" width="9.1640625" style="55"/>
    <col min="42" max="42" width="10.6640625" style="55" customWidth="1"/>
    <col min="43" max="43" width="11.5" style="55" customWidth="1"/>
    <col min="44" max="44" width="11.83203125" style="55" customWidth="1"/>
    <col min="45" max="49" width="9.1640625" style="55"/>
    <col min="50" max="51" width="9.1640625" style="7"/>
    <col min="52" max="52" width="11.83203125" style="7" bestFit="1" customWidth="1"/>
    <col min="53" max="53" width="10.5" style="7" bestFit="1" customWidth="1"/>
    <col min="54" max="54" width="9.1640625" style="7"/>
    <col min="55" max="55" width="10.33203125" style="7" bestFit="1" customWidth="1"/>
    <col min="56" max="16384" width="9.1640625" style="7"/>
  </cols>
  <sheetData>
    <row r="1" spans="1:49" s="6" customFormat="1" ht="13" x14ac:dyDescent="0.15">
      <c r="E1" s="7"/>
      <c r="Y1" s="8"/>
      <c r="Z1" s="8"/>
      <c r="AA1" s="8"/>
    </row>
    <row r="2" spans="1:49" s="153" customFormat="1" ht="15" customHeight="1" x14ac:dyDescent="0.15">
      <c r="A2" s="152"/>
      <c r="B2" s="152"/>
      <c r="C2" s="231" t="s">
        <v>27</v>
      </c>
      <c r="D2" s="229"/>
      <c r="E2" s="229"/>
      <c r="F2" s="230"/>
      <c r="G2" s="230"/>
      <c r="H2" s="229"/>
      <c r="I2" s="229"/>
      <c r="J2" s="156"/>
      <c r="K2" s="156"/>
      <c r="L2" s="156"/>
      <c r="M2" s="156"/>
      <c r="O2" s="9"/>
      <c r="P2" s="9"/>
      <c r="T2" s="152"/>
      <c r="X2" s="229"/>
      <c r="Y2" s="229"/>
      <c r="Z2" s="229"/>
      <c r="AA2" s="229"/>
      <c r="AB2" s="230"/>
      <c r="AC2" s="230"/>
      <c r="AD2" s="230"/>
      <c r="AE2" s="230"/>
      <c r="AF2" s="230"/>
      <c r="AG2" s="230"/>
      <c r="AH2" s="230"/>
      <c r="AI2" s="230"/>
      <c r="AJ2" s="230"/>
      <c r="AK2" s="230"/>
      <c r="AL2" s="230"/>
      <c r="AM2" s="230"/>
      <c r="AN2" s="230"/>
      <c r="AO2" s="230"/>
      <c r="AP2" s="230"/>
      <c r="AQ2" s="230"/>
      <c r="AR2" s="230"/>
      <c r="AS2" s="230"/>
      <c r="AT2" s="230"/>
      <c r="AU2" s="230"/>
      <c r="AV2" s="230"/>
      <c r="AW2" s="230"/>
    </row>
    <row r="3" spans="1:49" s="153" customFormat="1" ht="15" customHeight="1" x14ac:dyDescent="0.15">
      <c r="A3" s="152"/>
      <c r="B3" s="152"/>
      <c r="C3" s="65" t="s">
        <v>28</v>
      </c>
      <c r="D3" s="330" t="s">
        <v>29</v>
      </c>
      <c r="E3" s="331"/>
      <c r="F3" s="332"/>
      <c r="L3" s="156"/>
      <c r="M3" s="156"/>
      <c r="O3" s="9"/>
      <c r="P3" s="9"/>
      <c r="Q3" s="162"/>
      <c r="R3" s="163"/>
      <c r="S3" s="163"/>
      <c r="T3" s="152"/>
      <c r="U3" s="273" t="s">
        <v>30</v>
      </c>
      <c r="V3" s="326" cm="1">
        <f t="array" ref="V3">_xll.FDSB("dummy","julian(today)")</f>
        <v>46113</v>
      </c>
      <c r="W3" s="268"/>
      <c r="X3" s="152"/>
      <c r="Y3" s="152"/>
      <c r="Z3" s="229"/>
      <c r="AA3" s="229"/>
      <c r="AB3" s="230"/>
      <c r="AC3" s="230"/>
      <c r="AD3" s="230"/>
      <c r="AE3" s="230"/>
      <c r="AF3" s="230"/>
      <c r="AG3" s="230"/>
      <c r="AH3" s="230"/>
      <c r="AI3" s="230"/>
      <c r="AJ3" s="230"/>
      <c r="AK3" s="230"/>
      <c r="AL3" s="230"/>
      <c r="AM3" s="230"/>
      <c r="AN3" s="230"/>
      <c r="AO3" s="230"/>
      <c r="AP3" s="230"/>
      <c r="AQ3" s="230"/>
      <c r="AR3" s="230"/>
      <c r="AS3" s="230"/>
      <c r="AT3" s="230"/>
      <c r="AU3" s="230"/>
      <c r="AV3" s="230"/>
      <c r="AW3" s="230"/>
    </row>
    <row r="4" spans="1:49" s="153" customFormat="1" ht="2" customHeight="1" x14ac:dyDescent="0.15">
      <c r="A4" s="152"/>
      <c r="B4" s="152"/>
      <c r="C4" s="65"/>
      <c r="D4" s="65"/>
      <c r="E4" s="65"/>
      <c r="F4" s="65"/>
      <c r="G4" s="65"/>
      <c r="H4" s="65"/>
      <c r="L4" s="156"/>
      <c r="M4" s="156"/>
      <c r="O4" s="9"/>
      <c r="P4" s="9"/>
      <c r="Q4" s="162"/>
      <c r="R4" s="163"/>
      <c r="S4" s="163"/>
      <c r="T4" s="152"/>
      <c r="U4" s="152"/>
      <c r="V4" s="9"/>
      <c r="W4" s="152"/>
      <c r="X4" s="152"/>
      <c r="Y4" s="152"/>
      <c r="Z4" s="229"/>
      <c r="AA4" s="229"/>
      <c r="AB4" s="230"/>
      <c r="AC4" s="230"/>
      <c r="AD4" s="230"/>
      <c r="AE4" s="230"/>
      <c r="AF4" s="230"/>
      <c r="AG4" s="230"/>
      <c r="AH4" s="230"/>
      <c r="AI4" s="230"/>
      <c r="AJ4" s="230"/>
      <c r="AK4" s="230"/>
      <c r="AL4" s="230"/>
      <c r="AM4" s="230"/>
      <c r="AN4" s="230"/>
      <c r="AO4" s="230"/>
      <c r="AP4" s="230"/>
      <c r="AQ4" s="230"/>
      <c r="AR4" s="230"/>
      <c r="AS4" s="230"/>
      <c r="AT4" s="230"/>
      <c r="AU4" s="230"/>
      <c r="AV4" s="230"/>
      <c r="AW4" s="230"/>
    </row>
    <row r="5" spans="1:49" s="153" customFormat="1" ht="15" customHeight="1" x14ac:dyDescent="0.15">
      <c r="A5" s="152"/>
      <c r="B5" s="152"/>
      <c r="C5" s="65" t="s">
        <v>31</v>
      </c>
      <c r="D5" s="330"/>
      <c r="E5" s="331"/>
      <c r="F5" s="332"/>
      <c r="H5" s="152"/>
      <c r="I5" s="152"/>
      <c r="J5" s="156"/>
      <c r="K5" s="156"/>
      <c r="L5" s="156"/>
      <c r="M5" s="156"/>
      <c r="O5" s="9"/>
      <c r="P5" s="9"/>
      <c r="Q5" s="162"/>
      <c r="R5" s="163"/>
      <c r="S5" s="163"/>
      <c r="T5" s="152"/>
      <c r="U5" s="152"/>
      <c r="V5" s="9"/>
      <c r="W5" s="152"/>
      <c r="X5" s="152"/>
      <c r="Y5" s="152"/>
      <c r="Z5" s="229"/>
      <c r="AA5" s="229"/>
      <c r="AB5" s="230"/>
      <c r="AC5" s="230"/>
      <c r="AD5" s="230"/>
      <c r="AE5" s="230"/>
      <c r="AF5" s="230"/>
      <c r="AG5" s="230"/>
      <c r="AH5" s="230"/>
      <c r="AI5" s="230"/>
      <c r="AJ5" s="230"/>
      <c r="AK5" s="230"/>
      <c r="AL5" s="230"/>
      <c r="AM5" s="230"/>
      <c r="AN5" s="230"/>
      <c r="AO5" s="230"/>
      <c r="AP5" s="230"/>
      <c r="AQ5" s="230"/>
      <c r="AR5" s="230"/>
      <c r="AS5" s="230"/>
      <c r="AT5" s="230"/>
      <c r="AU5" s="230"/>
      <c r="AV5" s="230"/>
      <c r="AW5" s="230"/>
    </row>
    <row r="6" spans="1:49" s="153" customFormat="1" ht="15" customHeight="1" x14ac:dyDescent="0.15">
      <c r="A6" s="152"/>
      <c r="B6" s="152"/>
      <c r="D6" s="152"/>
      <c r="E6" s="152"/>
      <c r="F6" s="154"/>
      <c r="G6" s="155"/>
      <c r="H6" s="152"/>
      <c r="I6" s="152"/>
      <c r="J6" s="156"/>
      <c r="K6" s="156"/>
      <c r="L6" s="156"/>
      <c r="M6" s="156"/>
      <c r="O6" s="9"/>
      <c r="P6" s="9"/>
      <c r="Q6" s="157"/>
      <c r="R6" s="158"/>
      <c r="S6" s="158"/>
      <c r="T6" s="152"/>
      <c r="U6" s="152"/>
      <c r="V6" s="9"/>
      <c r="W6" s="152"/>
      <c r="X6" s="152"/>
      <c r="Y6" s="152"/>
      <c r="Z6" s="229"/>
      <c r="AA6" s="229"/>
      <c r="AB6" s="230"/>
      <c r="AC6" s="230"/>
      <c r="AD6" s="230"/>
      <c r="AE6" s="230"/>
      <c r="AF6" s="230"/>
      <c r="AG6" s="230"/>
      <c r="AH6" s="230"/>
      <c r="AI6" s="230"/>
      <c r="AJ6" s="230"/>
      <c r="AK6" s="230"/>
      <c r="AL6" s="230"/>
      <c r="AM6" s="230"/>
      <c r="AN6" s="230"/>
      <c r="AO6" s="230"/>
      <c r="AP6" s="230"/>
      <c r="AQ6" s="230"/>
      <c r="AR6" s="230"/>
      <c r="AS6" s="230"/>
      <c r="AT6" s="230"/>
      <c r="AU6" s="230"/>
      <c r="AV6" s="230"/>
      <c r="AW6" s="230"/>
    </row>
    <row r="7" spans="1:49" s="160" customFormat="1" ht="15" customHeight="1" x14ac:dyDescent="0.15">
      <c r="A7" s="161"/>
      <c r="B7" s="161"/>
      <c r="C7" s="160" t="str" cm="1">
        <f t="array" ref="C7">"Index Snapshot - "&amp;_xll.FDSC("-",T128,"FG_COMPANY_NAME")&amp;" ("&amp;UPPER(T128)&amp;")"</f>
        <v>Index Snapshot - S&amp;P 500 (000001172)</v>
      </c>
      <c r="Z7" s="243"/>
      <c r="AA7" s="243"/>
      <c r="AB7" s="243"/>
      <c r="AC7" s="243"/>
      <c r="AD7" s="243"/>
      <c r="AE7" s="243"/>
      <c r="AF7" s="243"/>
      <c r="AG7" s="243"/>
      <c r="AH7" s="243"/>
      <c r="AI7" s="243"/>
      <c r="AJ7" s="243"/>
      <c r="AK7" s="243"/>
      <c r="AL7" s="243"/>
      <c r="AM7" s="243"/>
      <c r="AN7" s="243"/>
      <c r="AO7" s="243"/>
      <c r="AP7" s="243"/>
      <c r="AQ7" s="243"/>
      <c r="AR7" s="243"/>
      <c r="AS7" s="243"/>
      <c r="AT7" s="243"/>
      <c r="AU7" s="243"/>
      <c r="AV7" s="243"/>
      <c r="AW7" s="243"/>
    </row>
    <row r="8" spans="1:49" s="11" customFormat="1" ht="15" customHeight="1" x14ac:dyDescent="0.15">
      <c r="A8" s="10"/>
      <c r="E8" s="12"/>
      <c r="F8" s="12"/>
      <c r="G8" s="12"/>
      <c r="H8" s="12"/>
      <c r="I8" s="13"/>
      <c r="J8" s="12"/>
      <c r="K8" s="14"/>
      <c r="L8" s="15"/>
      <c r="M8" s="13"/>
      <c r="N8" s="13"/>
      <c r="Q8" s="13"/>
      <c r="R8" s="13"/>
      <c r="Y8" s="16"/>
      <c r="Z8" s="63"/>
      <c r="AA8" s="63"/>
      <c r="AB8" s="244"/>
      <c r="AC8" s="244"/>
      <c r="AD8" s="245"/>
      <c r="AE8" s="245"/>
      <c r="AF8" s="245"/>
      <c r="AG8" s="245"/>
      <c r="AH8" s="245"/>
      <c r="AI8" s="245"/>
      <c r="AJ8" s="245"/>
      <c r="AK8" s="245"/>
      <c r="AL8" s="245"/>
      <c r="AM8" s="245"/>
      <c r="AN8" s="245"/>
      <c r="AO8" s="245"/>
      <c r="AP8" s="245"/>
      <c r="AQ8" s="245"/>
      <c r="AR8" s="245"/>
      <c r="AS8" s="245"/>
      <c r="AT8" s="245"/>
      <c r="AU8" s="245"/>
      <c r="AV8" s="245"/>
      <c r="AW8" s="245"/>
    </row>
    <row r="9" spans="1:49" ht="15" customHeight="1" x14ac:dyDescent="0.15">
      <c r="B9" s="17"/>
      <c r="C9" s="18"/>
      <c r="D9" s="18"/>
      <c r="E9" s="18"/>
      <c r="F9" s="18"/>
      <c r="G9" s="18"/>
      <c r="H9" s="18"/>
      <c r="I9" s="18"/>
      <c r="J9" s="18"/>
      <c r="K9" s="18"/>
      <c r="L9" s="19"/>
      <c r="M9" s="20"/>
      <c r="N9" s="21"/>
      <c r="O9" s="22"/>
      <c r="P9" s="22"/>
      <c r="Q9" s="22"/>
      <c r="R9" s="22"/>
      <c r="S9" s="22"/>
      <c r="T9" s="22"/>
      <c r="U9" s="23"/>
      <c r="V9" s="22"/>
      <c r="W9" s="24"/>
      <c r="X9" s="20"/>
      <c r="Y9" s="21"/>
      <c r="Z9" s="22"/>
      <c r="AA9" s="22"/>
      <c r="AB9" s="22"/>
      <c r="AC9" s="22"/>
      <c r="AD9" s="22"/>
      <c r="AE9" s="22"/>
      <c r="AF9" s="24"/>
    </row>
    <row r="10" spans="1:49" ht="15" customHeight="1" x14ac:dyDescent="0.15">
      <c r="B10" s="25"/>
      <c r="C10" s="175" t="s">
        <v>4</v>
      </c>
      <c r="D10" s="6"/>
      <c r="E10" s="6"/>
      <c r="F10" s="6"/>
      <c r="G10" s="6"/>
      <c r="H10" s="6"/>
      <c r="I10" s="6"/>
      <c r="J10" s="6"/>
      <c r="K10" s="6"/>
      <c r="L10" s="27"/>
      <c r="M10" s="20"/>
      <c r="N10" s="28"/>
      <c r="O10" s="29" t="str">
        <f>IF(LEFT(Identifier,3)="EC.","EC_PTF_NBSHARE(0,"&amp;Identifier&amp;")","FG_CONST_WEIGHT("&amp;Identifier&amp;",0,CLOSE)")&amp;"&gt;0"</f>
        <v>FG_CONST_WEIGHT(000001172,0,CLOSE)&gt;0</v>
      </c>
      <c r="P10" s="6" t="str">
        <f>"STRING_ARRAY weights=GET_FQL_ARRAY(US_UNIV("""&amp;O10&amp;"""),""CONCAT(P_SYMBOL,FG_COMPANY_NAME,FG_MKT_VALUE(0,,,"&amp;K12&amp;"))"")"</f>
        <v>STRING_ARRAY weights=GET_FQL_ARRAY(US_UNIV("FG_CONST_WEIGHT(000001172,0,CLOSE)&gt;0"),"CONCAT(P_SYMBOL,FG_COMPANY_NAME,FG_MKT_VALUE(0,,,USD))")</v>
      </c>
      <c r="Q10" s="175" t="s">
        <v>32</v>
      </c>
      <c r="R10" s="1"/>
      <c r="S10" s="1"/>
      <c r="T10" s="1"/>
      <c r="U10" s="6"/>
      <c r="V10" s="1"/>
      <c r="W10" s="30"/>
      <c r="X10" s="20"/>
      <c r="Y10" s="28"/>
      <c r="Z10" s="175" t="s">
        <v>33</v>
      </c>
      <c r="AA10" s="175"/>
      <c r="AF10" s="30"/>
    </row>
    <row r="11" spans="1:49" ht="15" customHeight="1" x14ac:dyDescent="0.15">
      <c r="B11" s="25"/>
      <c r="C11" s="167"/>
      <c r="D11" s="6"/>
      <c r="E11" s="6"/>
      <c r="F11" s="6"/>
      <c r="G11" s="6"/>
      <c r="H11" s="6"/>
      <c r="I11" s="6"/>
      <c r="J11" s="6"/>
      <c r="K11" s="6"/>
      <c r="L11" s="27"/>
      <c r="M11" s="20"/>
      <c r="N11" s="28"/>
      <c r="O11" s="1"/>
      <c r="P11" s="1"/>
      <c r="Q11" s="1"/>
      <c r="R11" s="1"/>
      <c r="S11" s="1"/>
      <c r="T11" s="1"/>
      <c r="U11" s="1"/>
      <c r="V11" s="1"/>
      <c r="W11" s="30"/>
      <c r="X11" s="20"/>
      <c r="Y11" s="28"/>
      <c r="Z11" s="246"/>
      <c r="AA11" s="246"/>
      <c r="AB11" s="246"/>
      <c r="AC11" s="246"/>
      <c r="AD11" s="246"/>
      <c r="AE11" s="246"/>
      <c r="AF11" s="30"/>
      <c r="AG11" s="7"/>
      <c r="AH11" s="7"/>
      <c r="AI11" s="7"/>
      <c r="AJ11" s="247"/>
    </row>
    <row r="12" spans="1:49" s="6" customFormat="1" ht="15" customHeight="1" x14ac:dyDescent="0.15">
      <c r="B12" s="28"/>
      <c r="C12" s="32" t="s">
        <v>34</v>
      </c>
      <c r="E12" s="168" t="str" cm="1">
        <f t="array" ref="E12">_xll.FDS(Identifier,"FG_SOURCE_IDX")</f>
        <v>S&amp;P US</v>
      </c>
      <c r="I12" s="33" t="s">
        <v>35</v>
      </c>
      <c r="J12" s="33"/>
      <c r="K12" s="169" t="str" cm="1">
        <f t="array" ref="K12">_xll.FDS(Identifier,"FMA_CURRENCY_IDX(""NAME"")")</f>
        <v>USD</v>
      </c>
      <c r="L12" s="34"/>
      <c r="N12" s="35"/>
      <c r="O12" s="36"/>
      <c r="P12" s="36"/>
      <c r="Q12" s="173" t="s">
        <v>36</v>
      </c>
      <c r="R12" s="173" t="s">
        <v>37</v>
      </c>
      <c r="S12" s="173"/>
      <c r="T12" s="173"/>
      <c r="U12" s="174" t="s">
        <v>38</v>
      </c>
      <c r="V12" s="174" t="s">
        <v>39</v>
      </c>
      <c r="W12" s="38"/>
      <c r="X12" s="32"/>
      <c r="Y12" s="28"/>
      <c r="Z12" s="255" t="s">
        <v>40</v>
      </c>
      <c r="AA12" s="255"/>
      <c r="AB12" s="241"/>
      <c r="AC12" s="44"/>
      <c r="AD12" s="44"/>
      <c r="AE12" s="44"/>
      <c r="AF12" s="30"/>
      <c r="AJ12" s="247"/>
    </row>
    <row r="13" spans="1:49" s="20" customFormat="1" ht="15" customHeight="1" x14ac:dyDescent="0.15">
      <c r="B13" s="25"/>
      <c r="C13" s="6"/>
      <c r="D13" s="6"/>
      <c r="E13" s="6"/>
      <c r="F13" s="6"/>
      <c r="G13" s="6"/>
      <c r="H13" s="6"/>
      <c r="I13" s="33" t="s">
        <v>41</v>
      </c>
      <c r="J13" s="33"/>
      <c r="K13" s="211" cm="1">
        <f t="array" ref="K13">_xll.FDS(Identifier,"FG_MCAP_IDX(0,,,"&amp;K12&amp;")")</f>
        <v>55899275.158866197</v>
      </c>
      <c r="L13" s="27"/>
      <c r="N13" s="28"/>
      <c r="O13" s="39"/>
      <c r="P13" s="39"/>
      <c r="Q13" s="40" t="str">
        <f t="array" ref="Q13:Q22">_xll.FDSB(Identifier,P10&amp;";SUBARRAY(SORT_INDIRECT(TRANSPOSE(weights[0]),TRANSPOSE((float_array)weights[2]),2),0,10)")</f>
        <v>NVDA-US</v>
      </c>
      <c r="R13" s="40" t="str">
        <f t="array" ref="R13:R22">_xll.FDSB(Identifier,P10&amp;";SUBARRAY(SORT_INDIRECT(TRANSPOSE(weights[1]),TRANSPOSE((float_array)weights[2]),2),0,10)")</f>
        <v>NVIDIA Corporation</v>
      </c>
      <c r="S13" s="1"/>
      <c r="T13" s="1"/>
      <c r="U13" s="232">
        <f t="array" ref="U13:U22">_xll.FDSB(Identifier,P10&amp;";SUBARRAY(SORT(transpose((float_array)weights[2]),2),0,10)")</f>
        <v>4237920</v>
      </c>
      <c r="V13" s="41">
        <f>U13/$K$13</f>
        <v>7.5813505415871618E-2</v>
      </c>
      <c r="W13" s="30"/>
      <c r="X13" s="42"/>
      <c r="Y13" s="28"/>
      <c r="Z13" s="242" t="s">
        <v>42</v>
      </c>
      <c r="AA13" s="263">
        <f>AA27</f>
        <v>45382</v>
      </c>
      <c r="AB13" s="251">
        <f>AB27</f>
        <v>45747</v>
      </c>
      <c r="AC13" s="251">
        <f>AC27</f>
        <v>46112</v>
      </c>
      <c r="AD13" s="240" t="s">
        <v>43</v>
      </c>
      <c r="AE13" s="240" t="s">
        <v>44</v>
      </c>
      <c r="AF13" s="30"/>
      <c r="AJ13" s="247"/>
      <c r="AK13" s="6"/>
      <c r="AL13" s="6"/>
      <c r="AM13" s="6"/>
      <c r="AN13" s="6"/>
      <c r="AO13" s="6"/>
      <c r="AP13" s="6"/>
      <c r="AQ13" s="6"/>
      <c r="AR13" s="6"/>
      <c r="AS13" s="6"/>
      <c r="AT13" s="6"/>
      <c r="AU13" s="6"/>
      <c r="AV13" s="6"/>
      <c r="AW13" s="6"/>
    </row>
    <row r="14" spans="1:49" s="20" customFormat="1" ht="15" customHeight="1" x14ac:dyDescent="0.15">
      <c r="B14" s="25"/>
      <c r="C14" s="329" t="str" cm="1">
        <f t="array" ref="C14">_xll.FDS(Identifier,"FG_DESCRIPTION_IDX")</f>
        <v>The S&amp;P 500 includes 500 leading companies in leading industries of the U.S. economy. It is a core component of the U.S. indices that could be used as building blocks for portfolio construction. It is also the U.S. component of S&amp;P Global 1200.</v>
      </c>
      <c r="D14" s="329"/>
      <c r="E14" s="329"/>
      <c r="F14" s="329"/>
      <c r="G14" s="329"/>
      <c r="H14" s="170"/>
      <c r="I14" s="171" t="s">
        <v>45</v>
      </c>
      <c r="J14" s="33"/>
      <c r="K14" s="169" cm="1">
        <f t="array" ref="K14">_xll.FDS(Identifier,"FG_NUMBER_IDX(0)")</f>
        <v>503</v>
      </c>
      <c r="L14" s="27"/>
      <c r="M14" s="43"/>
      <c r="N14" s="28"/>
      <c r="O14" s="39"/>
      <c r="P14" s="39"/>
      <c r="Q14" s="40" t="str">
        <v>AAPL-US</v>
      </c>
      <c r="R14" s="40" t="str">
        <v>Apple Inc.</v>
      </c>
      <c r="S14" s="1"/>
      <c r="T14" s="1"/>
      <c r="U14" s="232">
        <v>3725916.3</v>
      </c>
      <c r="V14" s="41">
        <f t="shared" ref="V14:V22" si="0">U14/$K$13</f>
        <v>6.6654107578513588E-2</v>
      </c>
      <c r="W14" s="30"/>
      <c r="X14" s="44"/>
      <c r="Y14" s="28"/>
      <c r="Z14" s="256" t="str">
        <f t="shared" ref="Z14:Z23" si="1">AK132</f>
        <v>United States</v>
      </c>
      <c r="AA14" s="264">
        <f t="shared" ref="AA14:AA23" si="2">_xlfn.NUMBERVALUE(VLOOKUP($Z14,Z$132:AA$151,2,FALSE))</f>
        <v>59.541961999999998</v>
      </c>
      <c r="AB14" s="253">
        <f t="shared" ref="AB14:AB23" si="3">_xlfn.NUMBERVALUE(VLOOKUP($Z14,AH$132:AI$151,2,FALSE))</f>
        <v>59.746043999999998</v>
      </c>
      <c r="AC14" s="253">
        <f t="shared" ref="AC14:AC23" si="4">_xlfn.NUMBERVALUE(VLOOKUP($Z14,AK$132:AL$151,2,FALSE))</f>
        <v>59.539886000000003</v>
      </c>
      <c r="AD14" s="254">
        <f>AC14/AB14-1</f>
        <v>-3.4505715558338368E-3</v>
      </c>
      <c r="AE14" s="254"/>
      <c r="AF14" s="30"/>
      <c r="AJ14" s="247"/>
      <c r="AK14" s="6"/>
      <c r="AL14" s="6"/>
      <c r="AM14" s="6"/>
      <c r="AN14" s="6"/>
      <c r="AO14" s="6"/>
      <c r="AP14" s="6"/>
      <c r="AQ14" s="6"/>
      <c r="AR14" s="6"/>
      <c r="AS14" s="6"/>
      <c r="AT14" s="6"/>
      <c r="AU14" s="6"/>
      <c r="AV14" s="6"/>
      <c r="AW14" s="6"/>
    </row>
    <row r="15" spans="1:49" s="20" customFormat="1" ht="15" customHeight="1" x14ac:dyDescent="0.15">
      <c r="B15" s="25"/>
      <c r="C15" s="329"/>
      <c r="D15" s="329"/>
      <c r="E15" s="329"/>
      <c r="F15" s="329"/>
      <c r="G15" s="329"/>
      <c r="H15" s="170"/>
      <c r="I15" s="172"/>
      <c r="J15" s="172"/>
      <c r="K15" s="159"/>
      <c r="L15" s="46"/>
      <c r="M15" s="43"/>
      <c r="N15" s="28"/>
      <c r="O15" s="39"/>
      <c r="P15" s="39"/>
      <c r="Q15" s="40" t="str">
        <v>GOOGL-US</v>
      </c>
      <c r="R15" s="40" t="str">
        <v>Alphabet Inc. Class A</v>
      </c>
      <c r="S15" s="1"/>
      <c r="T15" s="1"/>
      <c r="U15" s="232">
        <v>3478613.3</v>
      </c>
      <c r="V15" s="41">
        <f t="shared" si="0"/>
        <v>6.2230025167835407E-2</v>
      </c>
      <c r="W15" s="30"/>
      <c r="X15" s="32"/>
      <c r="Y15" s="28"/>
      <c r="Z15" s="168" t="str">
        <f t="shared" si="1"/>
        <v>Mainland China</v>
      </c>
      <c r="AA15" s="265">
        <f t="shared" si="2"/>
        <v>7.239808</v>
      </c>
      <c r="AB15" s="258">
        <f t="shared" si="3"/>
        <v>6.7790679999999996</v>
      </c>
      <c r="AC15" s="258">
        <f t="shared" si="4"/>
        <v>6.7772579999999998</v>
      </c>
      <c r="AD15" s="259">
        <f t="shared" ref="AD15:AD23" si="5">AC15/AB15-1</f>
        <v>-2.6699835434607078E-4</v>
      </c>
      <c r="AE15" s="259"/>
      <c r="AF15" s="30"/>
      <c r="AJ15" s="247"/>
      <c r="AK15" s="6"/>
      <c r="AL15" s="6"/>
      <c r="AM15" s="6"/>
      <c r="AN15" s="6"/>
      <c r="AO15" s="6"/>
      <c r="AP15" s="6"/>
      <c r="AQ15" s="6"/>
      <c r="AR15" s="6"/>
      <c r="AS15" s="6"/>
      <c r="AT15" s="6"/>
      <c r="AU15" s="6"/>
      <c r="AV15" s="6"/>
      <c r="AW15" s="6"/>
    </row>
    <row r="16" spans="1:49" s="20" customFormat="1" ht="15" customHeight="1" x14ac:dyDescent="0.15">
      <c r="B16" s="25"/>
      <c r="C16" s="329"/>
      <c r="D16" s="329"/>
      <c r="E16" s="329"/>
      <c r="F16" s="329"/>
      <c r="G16" s="329"/>
      <c r="H16" s="170"/>
      <c r="I16" s="172"/>
      <c r="J16" s="172"/>
      <c r="K16" s="172"/>
      <c r="L16" s="46"/>
      <c r="M16" s="43"/>
      <c r="N16" s="28"/>
      <c r="O16" s="39"/>
      <c r="P16" s="39"/>
      <c r="Q16" s="40" t="str">
        <v>GOOG-US</v>
      </c>
      <c r="R16" s="40" t="str">
        <v>Alphabet Inc. Class C</v>
      </c>
      <c r="S16" s="1"/>
      <c r="T16" s="1"/>
      <c r="U16" s="232">
        <v>3470145.3</v>
      </c>
      <c r="V16" s="41">
        <f t="shared" si="0"/>
        <v>6.2078538409269503E-2</v>
      </c>
      <c r="W16" s="30"/>
      <c r="X16" s="47"/>
      <c r="Y16" s="28"/>
      <c r="Z16" s="256" t="str">
        <f t="shared" si="1"/>
        <v>Taiwan, China</v>
      </c>
      <c r="AA16" s="264">
        <f t="shared" si="2"/>
        <v>1.2363630000000001</v>
      </c>
      <c r="AB16" s="253">
        <f t="shared" si="3"/>
        <v>1.4805919999999999</v>
      </c>
      <c r="AC16" s="253">
        <f t="shared" si="4"/>
        <v>2.4661979999999999</v>
      </c>
      <c r="AD16" s="254">
        <f t="shared" si="5"/>
        <v>0.66568372650939622</v>
      </c>
      <c r="AE16" s="254"/>
      <c r="AF16" s="30"/>
      <c r="AJ16" s="247"/>
      <c r="AK16" s="6"/>
      <c r="AL16" s="6"/>
      <c r="AM16" s="6"/>
      <c r="AN16" s="6"/>
      <c r="AO16" s="6"/>
      <c r="AP16" s="6"/>
      <c r="AQ16" s="6"/>
      <c r="AR16" s="6"/>
      <c r="AS16" s="6"/>
      <c r="AT16" s="6"/>
      <c r="AU16" s="6"/>
      <c r="AV16" s="6"/>
      <c r="AW16" s="6"/>
    </row>
    <row r="17" spans="2:65" s="20" customFormat="1" ht="15" customHeight="1" x14ac:dyDescent="0.15">
      <c r="B17" s="25"/>
      <c r="C17" s="329"/>
      <c r="D17" s="329"/>
      <c r="E17" s="329"/>
      <c r="F17" s="329"/>
      <c r="G17" s="329"/>
      <c r="H17" s="170"/>
      <c r="I17" s="172"/>
      <c r="J17" s="172"/>
      <c r="K17" s="172"/>
      <c r="L17" s="46"/>
      <c r="M17" s="43"/>
      <c r="N17" s="28"/>
      <c r="O17" s="39"/>
      <c r="P17" s="39"/>
      <c r="Q17" s="40" t="str">
        <v>MSFT-US</v>
      </c>
      <c r="R17" s="40" t="str">
        <v>Microsoft Corporation</v>
      </c>
      <c r="S17" s="1"/>
      <c r="T17" s="1"/>
      <c r="U17" s="232">
        <v>2748745.5</v>
      </c>
      <c r="V17" s="41">
        <f t="shared" si="0"/>
        <v>4.9173186811242948E-2</v>
      </c>
      <c r="W17" s="30"/>
      <c r="X17" s="44"/>
      <c r="Y17" s="28"/>
      <c r="Z17" s="168" t="str">
        <f t="shared" si="1"/>
        <v>Japan</v>
      </c>
      <c r="AA17" s="265">
        <f t="shared" si="2"/>
        <v>2.6391979999999999</v>
      </c>
      <c r="AB17" s="258">
        <f t="shared" si="3"/>
        <v>2.2731780000000001</v>
      </c>
      <c r="AC17" s="258">
        <f t="shared" si="4"/>
        <v>2.3307169999999999</v>
      </c>
      <c r="AD17" s="259">
        <f t="shared" si="5"/>
        <v>2.5312140096376057E-2</v>
      </c>
      <c r="AE17" s="259"/>
      <c r="AF17" s="30"/>
      <c r="AJ17" s="247"/>
      <c r="AK17" s="6"/>
      <c r="AL17" s="6"/>
      <c r="AM17" s="6"/>
      <c r="AN17" s="6"/>
      <c r="AO17" s="6"/>
      <c r="AP17" s="6"/>
      <c r="AQ17" s="6"/>
      <c r="AR17" s="6"/>
      <c r="AS17" s="6"/>
      <c r="AT17" s="6"/>
      <c r="AU17" s="6"/>
      <c r="AV17" s="6"/>
      <c r="AW17" s="6"/>
    </row>
    <row r="18" spans="2:65" s="20" customFormat="1" ht="15" customHeight="1" x14ac:dyDescent="0.15">
      <c r="B18" s="25"/>
      <c r="C18" s="329"/>
      <c r="D18" s="329"/>
      <c r="E18" s="329"/>
      <c r="F18" s="329"/>
      <c r="G18" s="329"/>
      <c r="H18" s="170"/>
      <c r="I18" s="172"/>
      <c r="J18" s="172"/>
      <c r="K18" s="172"/>
      <c r="L18" s="46"/>
      <c r="M18" s="43"/>
      <c r="N18" s="28"/>
      <c r="O18" s="39"/>
      <c r="P18" s="39"/>
      <c r="Q18" s="40" t="str">
        <v>AMZN-US</v>
      </c>
      <c r="R18" s="40" t="str">
        <v>Amazon.com, Inc.</v>
      </c>
      <c r="S18" s="1"/>
      <c r="T18" s="1"/>
      <c r="U18" s="232">
        <v>2235757.7999999998</v>
      </c>
      <c r="V18" s="41">
        <f t="shared" si="0"/>
        <v>3.9996185883376091E-2</v>
      </c>
      <c r="W18" s="30"/>
      <c r="X18" s="32"/>
      <c r="Y18" s="28"/>
      <c r="Z18" s="256" t="str">
        <f t="shared" si="1"/>
        <v>United Kingdom</v>
      </c>
      <c r="AA18" s="264">
        <f t="shared" si="2"/>
        <v>2.296192</v>
      </c>
      <c r="AB18" s="253">
        <f t="shared" si="3"/>
        <v>2.2414190000000001</v>
      </c>
      <c r="AC18" s="253">
        <f t="shared" si="4"/>
        <v>2.124606</v>
      </c>
      <c r="AD18" s="254">
        <f t="shared" si="5"/>
        <v>-5.2115646382938641E-2</v>
      </c>
      <c r="AE18" s="254"/>
      <c r="AF18" s="30"/>
      <c r="AJ18" s="247"/>
      <c r="AK18" s="6"/>
      <c r="AL18" s="6"/>
      <c r="AM18" s="6"/>
      <c r="AN18" s="6"/>
      <c r="AO18" s="6"/>
      <c r="AP18" s="6"/>
      <c r="AQ18" s="6"/>
      <c r="AR18" s="6"/>
      <c r="AS18" s="6"/>
      <c r="AT18" s="6"/>
      <c r="AU18" s="6"/>
      <c r="AV18" s="6"/>
      <c r="AW18" s="6"/>
    </row>
    <row r="19" spans="2:65" s="20" customFormat="1" ht="15" customHeight="1" x14ac:dyDescent="0.15">
      <c r="B19" s="25"/>
      <c r="C19" s="329"/>
      <c r="D19" s="329"/>
      <c r="E19" s="329"/>
      <c r="F19" s="329"/>
      <c r="G19" s="329"/>
      <c r="H19" s="170"/>
      <c r="I19" s="172"/>
      <c r="J19" s="172"/>
      <c r="K19" s="172"/>
      <c r="L19" s="46"/>
      <c r="M19" s="43"/>
      <c r="N19" s="28"/>
      <c r="O19" s="39"/>
      <c r="P19" s="39"/>
      <c r="Q19" s="40" t="str">
        <v>AVGO-US</v>
      </c>
      <c r="R19" s="40" t="str">
        <v>Broadcom Inc.</v>
      </c>
      <c r="S19" s="1"/>
      <c r="T19" s="1"/>
      <c r="U19" s="232">
        <v>1465427.8</v>
      </c>
      <c r="V19" s="41">
        <f t="shared" si="0"/>
        <v>2.6215506298341833E-2</v>
      </c>
      <c r="W19" s="30"/>
      <c r="X19" s="48"/>
      <c r="Y19" s="28"/>
      <c r="Z19" s="168" t="str">
        <f t="shared" si="1"/>
        <v>Germany</v>
      </c>
      <c r="AA19" s="265">
        <f t="shared" si="2"/>
        <v>2.2203270000000002</v>
      </c>
      <c r="AB19" s="258">
        <f t="shared" si="3"/>
        <v>2.1448260000000001</v>
      </c>
      <c r="AC19" s="258">
        <f t="shared" si="4"/>
        <v>1.9309959999999999</v>
      </c>
      <c r="AD19" s="259">
        <f t="shared" si="5"/>
        <v>-9.9695732893950506E-2</v>
      </c>
      <c r="AE19" s="259"/>
      <c r="AF19" s="30"/>
      <c r="AJ19" s="6"/>
      <c r="AK19" s="6"/>
      <c r="AL19" s="6"/>
      <c r="AM19" s="6"/>
      <c r="AN19" s="6"/>
      <c r="AO19" s="6"/>
      <c r="AP19" s="6"/>
      <c r="AQ19" s="6"/>
      <c r="AR19" s="6"/>
      <c r="AS19" s="6"/>
      <c r="AT19" s="6"/>
      <c r="AU19" s="6"/>
      <c r="AV19" s="6"/>
      <c r="AW19" s="6"/>
    </row>
    <row r="20" spans="2:65" s="20" customFormat="1" ht="15" customHeight="1" x14ac:dyDescent="0.15">
      <c r="B20" s="25"/>
      <c r="C20" s="329"/>
      <c r="D20" s="329"/>
      <c r="E20" s="329"/>
      <c r="F20" s="329"/>
      <c r="G20" s="329"/>
      <c r="H20" s="170"/>
      <c r="I20" s="172"/>
      <c r="J20" s="172"/>
      <c r="K20" s="6"/>
      <c r="L20" s="46"/>
      <c r="M20" s="43"/>
      <c r="N20" s="28"/>
      <c r="O20" s="39"/>
      <c r="P20" s="39"/>
      <c r="Q20" s="40" t="str">
        <v>META-US</v>
      </c>
      <c r="R20" s="40" t="str">
        <v>Meta Platforms Inc Class A</v>
      </c>
      <c r="S20" s="1"/>
      <c r="T20" s="1"/>
      <c r="U20" s="232">
        <v>1447235.8</v>
      </c>
      <c r="V20" s="41">
        <f t="shared" si="0"/>
        <v>2.5890063795763793E-2</v>
      </c>
      <c r="W20" s="30"/>
      <c r="X20" s="44"/>
      <c r="Y20" s="28"/>
      <c r="Z20" s="256" t="str">
        <f t="shared" si="1"/>
        <v>Canada</v>
      </c>
      <c r="AA20" s="264">
        <f t="shared" si="2"/>
        <v>1.9855080000000001</v>
      </c>
      <c r="AB20" s="253">
        <f t="shared" si="3"/>
        <v>1.7848580000000001</v>
      </c>
      <c r="AC20" s="253">
        <f t="shared" si="4"/>
        <v>1.6516519999999999</v>
      </c>
      <c r="AD20" s="254">
        <f t="shared" si="5"/>
        <v>-7.4631147127670716E-2</v>
      </c>
      <c r="AE20" s="254"/>
      <c r="AF20" s="30"/>
      <c r="AJ20" s="6"/>
      <c r="AK20" s="6"/>
      <c r="AL20" s="6"/>
      <c r="AM20" s="6"/>
      <c r="AN20" s="6"/>
      <c r="AO20" s="6"/>
      <c r="AP20" s="6"/>
      <c r="AQ20" s="6"/>
      <c r="AR20" s="6"/>
      <c r="AS20" s="6"/>
      <c r="AT20" s="6"/>
      <c r="AU20" s="6"/>
      <c r="AV20" s="6"/>
      <c r="AW20" s="6"/>
    </row>
    <row r="21" spans="2:65" ht="14.25" customHeight="1" x14ac:dyDescent="0.15">
      <c r="B21" s="49"/>
      <c r="C21" s="50"/>
      <c r="D21" s="50"/>
      <c r="E21" s="50"/>
      <c r="F21" s="50"/>
      <c r="G21" s="50"/>
      <c r="H21" s="50"/>
      <c r="I21" s="50"/>
      <c r="J21" s="51"/>
      <c r="K21" s="51"/>
      <c r="L21" s="52"/>
      <c r="M21" s="53"/>
      <c r="N21" s="28"/>
      <c r="O21" s="39"/>
      <c r="P21" s="39"/>
      <c r="Q21" s="40" t="str">
        <v>TSLA-US</v>
      </c>
      <c r="R21" s="40" t="str">
        <v>Tesla, Inc.</v>
      </c>
      <c r="S21" s="1"/>
      <c r="T21" s="6"/>
      <c r="U21" s="232">
        <v>1394965.9</v>
      </c>
      <c r="V21" s="41">
        <f t="shared" si="0"/>
        <v>2.495499084801181E-2</v>
      </c>
      <c r="W21" s="54"/>
      <c r="X21" s="6"/>
      <c r="Y21" s="28"/>
      <c r="Z21" s="168" t="str">
        <f t="shared" si="1"/>
        <v>India</v>
      </c>
      <c r="AA21" s="265">
        <f t="shared" si="2"/>
        <v>1.33467</v>
      </c>
      <c r="AB21" s="258">
        <f t="shared" si="3"/>
        <v>1.415767</v>
      </c>
      <c r="AC21" s="258">
        <f t="shared" si="4"/>
        <v>1.525255</v>
      </c>
      <c r="AD21" s="259">
        <f t="shared" si="5"/>
        <v>7.7334759180006429E-2</v>
      </c>
      <c r="AE21" s="259"/>
      <c r="AF21" s="30"/>
      <c r="AG21" s="7"/>
      <c r="AH21" s="7"/>
      <c r="AI21" s="7"/>
      <c r="AJ21" s="248"/>
    </row>
    <row r="22" spans="2:65" s="6" customFormat="1" ht="15" customHeight="1" x14ac:dyDescent="0.15">
      <c r="C22" s="43"/>
      <c r="D22" s="43"/>
      <c r="E22" s="43"/>
      <c r="F22" s="43"/>
      <c r="G22" s="43"/>
      <c r="H22" s="43"/>
      <c r="I22" s="53"/>
      <c r="J22" s="53"/>
      <c r="K22" s="53"/>
      <c r="L22" s="53"/>
      <c r="M22" s="53"/>
      <c r="N22" s="28"/>
      <c r="O22" s="39"/>
      <c r="P22" s="39"/>
      <c r="Q22" s="40" t="str">
        <v>BRK.B-US</v>
      </c>
      <c r="R22" s="40" t="str">
        <v>Berkshire Hathaway Inc. Class B</v>
      </c>
      <c r="S22" s="1"/>
      <c r="U22" s="232">
        <v>1033039.75</v>
      </c>
      <c r="V22" s="41">
        <f t="shared" si="0"/>
        <v>1.8480378270811074E-2</v>
      </c>
      <c r="W22" s="54"/>
      <c r="X22" s="32"/>
      <c r="Y22" s="28"/>
      <c r="Z22" s="256" t="str">
        <f t="shared" si="1"/>
        <v>France</v>
      </c>
      <c r="AA22" s="264">
        <f t="shared" si="2"/>
        <v>1.3780870000000001</v>
      </c>
      <c r="AB22" s="253">
        <f t="shared" si="3"/>
        <v>1.322139</v>
      </c>
      <c r="AC22" s="253">
        <f t="shared" si="4"/>
        <v>1.4223840000000001</v>
      </c>
      <c r="AD22" s="254">
        <f t="shared" si="5"/>
        <v>7.5820318438530432E-2</v>
      </c>
      <c r="AE22" s="254"/>
      <c r="AF22" s="30"/>
      <c r="AM22" s="159"/>
      <c r="AN22" s="159"/>
      <c r="AO22" s="159"/>
      <c r="AP22" s="159"/>
      <c r="AQ22" s="159"/>
      <c r="AR22" s="159"/>
      <c r="AS22" s="159"/>
      <c r="AT22" s="159"/>
      <c r="AU22" s="159"/>
      <c r="AV22" s="159"/>
      <c r="AW22" s="159"/>
      <c r="AX22" s="159"/>
      <c r="AY22" s="159"/>
      <c r="AZ22" s="159"/>
      <c r="BA22" s="159"/>
      <c r="BB22" s="159"/>
      <c r="BC22" s="159"/>
      <c r="BD22" s="159"/>
      <c r="BE22" s="159"/>
      <c r="BF22" s="159"/>
      <c r="BG22" s="159"/>
      <c r="BH22" s="159"/>
      <c r="BI22" s="159"/>
    </row>
    <row r="23" spans="2:65" s="55" customFormat="1" ht="14.25" customHeight="1" x14ac:dyDescent="0.15">
      <c r="B23" s="21"/>
      <c r="C23" s="56"/>
      <c r="D23" s="56"/>
      <c r="E23" s="56"/>
      <c r="F23" s="56"/>
      <c r="G23" s="56"/>
      <c r="H23" s="56"/>
      <c r="I23" s="18"/>
      <c r="J23" s="18"/>
      <c r="K23" s="22"/>
      <c r="L23" s="24"/>
      <c r="M23" s="6"/>
      <c r="N23" s="57"/>
      <c r="O23" s="58"/>
      <c r="P23" s="58"/>
      <c r="Q23" s="59"/>
      <c r="R23" s="60"/>
      <c r="S23" s="59"/>
      <c r="T23" s="59"/>
      <c r="U23" s="59"/>
      <c r="V23" s="58"/>
      <c r="W23" s="61"/>
      <c r="X23" s="62"/>
      <c r="Y23" s="28"/>
      <c r="Z23" s="168" t="str">
        <f t="shared" si="1"/>
        <v>Republic of Korea (South Korea)</v>
      </c>
      <c r="AA23" s="265">
        <f t="shared" si="2"/>
        <v>1.0939380000000001</v>
      </c>
      <c r="AB23" s="258">
        <f t="shared" si="3"/>
        <v>0.99733400000000005</v>
      </c>
      <c r="AC23" s="258">
        <f t="shared" si="4"/>
        <v>1.183826</v>
      </c>
      <c r="AD23" s="259">
        <f t="shared" si="5"/>
        <v>0.18699051671756894</v>
      </c>
      <c r="AE23" s="259"/>
      <c r="AF23" s="30"/>
      <c r="AJ23" s="6"/>
      <c r="AN23" s="239"/>
      <c r="AO23" s="239"/>
      <c r="AP23" s="239"/>
      <c r="AQ23" s="239"/>
      <c r="AR23" s="239"/>
      <c r="AS23" s="239"/>
      <c r="AT23" s="239"/>
      <c r="AU23" s="239"/>
      <c r="AV23" s="239"/>
      <c r="AW23" s="239"/>
      <c r="AX23" s="239"/>
      <c r="AY23" s="159"/>
    </row>
    <row r="24" spans="2:65" s="6" customFormat="1" ht="15" customHeight="1" x14ac:dyDescent="0.15">
      <c r="B24" s="28"/>
      <c r="C24" s="20"/>
      <c r="D24" s="20"/>
      <c r="E24" s="20"/>
      <c r="F24" s="20"/>
      <c r="G24" s="20"/>
      <c r="H24" s="20"/>
      <c r="I24" s="1"/>
      <c r="J24" s="1"/>
      <c r="K24" s="1"/>
      <c r="L24" s="64"/>
      <c r="W24" s="65"/>
      <c r="Y24" s="28"/>
      <c r="Z24" s="159"/>
      <c r="AA24" s="159"/>
      <c r="AB24" s="159"/>
      <c r="AF24" s="30"/>
    </row>
    <row r="25" spans="2:65" s="6" customFormat="1" ht="15" customHeight="1" x14ac:dyDescent="0.15">
      <c r="B25" s="28"/>
      <c r="C25" s="20"/>
      <c r="D25" s="20"/>
      <c r="E25" s="20"/>
      <c r="F25" s="20"/>
      <c r="G25" s="20"/>
      <c r="H25" s="20"/>
      <c r="I25" s="1"/>
      <c r="J25" s="1"/>
      <c r="K25" s="1"/>
      <c r="L25" s="64"/>
      <c r="N25" s="21"/>
      <c r="O25" s="22"/>
      <c r="P25" s="22"/>
      <c r="Q25" s="22"/>
      <c r="R25" s="22"/>
      <c r="S25" s="22"/>
      <c r="T25" s="22"/>
      <c r="U25" s="22"/>
      <c r="V25" s="22"/>
      <c r="W25" s="24"/>
      <c r="Y25" s="28"/>
      <c r="Z25" s="238"/>
      <c r="AA25" s="238"/>
      <c r="AB25" s="159"/>
      <c r="AF25" s="30"/>
    </row>
    <row r="26" spans="2:65" s="6" customFormat="1" ht="15" customHeight="1" x14ac:dyDescent="0.15">
      <c r="B26" s="66"/>
      <c r="C26" s="32"/>
      <c r="D26" s="67"/>
      <c r="G26" s="32"/>
      <c r="H26" s="32"/>
      <c r="I26" s="1"/>
      <c r="J26" s="1"/>
      <c r="K26" s="1"/>
      <c r="L26" s="68"/>
      <c r="N26" s="28"/>
      <c r="O26" s="6" t="str" cm="1">
        <f t="array" ref="O26">_xll.FDSB(Identifier,"STRING_ARRAY constituents=GET_FQL_ARRAY(US_UNIV("""&amp;U26&amp;"""),""CONCAT(P_SYMBOL,FG_COMPANY_NAME,FG_PRICE_CHANGE(-"&amp;P28&amp;",,D)/100)"");""""")</f>
        <v/>
      </c>
      <c r="P26" s="6">
        <f>MATCH($T$26,$O$29:$O$34,0)</f>
        <v>6</v>
      </c>
      <c r="Q26" s="26" t="s">
        <v>46</v>
      </c>
      <c r="R26" s="1"/>
      <c r="S26" s="1"/>
      <c r="T26" s="327" t="s">
        <v>71</v>
      </c>
      <c r="U26" s="69" t="str">
        <f t="array" ref="U26">IF(LEFT(Identifier,3)="EC.","EC_PTF_NBSHARE(0,"&amp;Identifier&amp;")","FG_CONST_WEIGHT("&amp;Identifier&amp;",0,CLOSE)")&amp;"&gt;0"</f>
        <v>FG_CONST_WEIGHT(000001172,0,CLOSE)&gt;0</v>
      </c>
      <c r="V26" s="69"/>
      <c r="W26" s="30" t="s">
        <v>47</v>
      </c>
      <c r="Y26" s="28"/>
      <c r="Z26" s="242" t="s">
        <v>48</v>
      </c>
      <c r="AA26" s="242"/>
      <c r="AB26" s="159"/>
      <c r="AF26" s="30"/>
    </row>
    <row r="27" spans="2:65" s="6" customFormat="1" ht="15" customHeight="1" x14ac:dyDescent="0.15">
      <c r="B27" s="28"/>
      <c r="C27" s="70"/>
      <c r="G27" s="70"/>
      <c r="H27" s="70"/>
      <c r="I27" s="1"/>
      <c r="J27" s="111" t="s">
        <v>49</v>
      </c>
      <c r="K27" s="111" t="s">
        <v>50</v>
      </c>
      <c r="L27" s="71"/>
      <c r="N27" s="28"/>
      <c r="O27" s="1"/>
      <c r="P27" s="1"/>
      <c r="Q27" s="1"/>
      <c r="R27" s="1"/>
      <c r="S27" s="1"/>
      <c r="T27" s="1"/>
      <c r="U27" s="1"/>
      <c r="V27" s="1"/>
      <c r="W27" s="30"/>
      <c r="Y27" s="28"/>
      <c r="Z27" s="242" t="s">
        <v>51</v>
      </c>
      <c r="AA27" s="263" cm="1">
        <f t="array" ref="AA27">_xll.FDSRC("--",$T$128,"JULIAN(FMA_GEOREV_SUPER_REGION(""R101"",-2AY,,,,""AGGREGATE"").dates)")</f>
        <v>45382</v>
      </c>
      <c r="AB27" s="251" cm="1">
        <f t="array" ref="AB27">_xll.FDSRC("--",$T$128,"JULIAN(FMA_GEOREV_SUPER_REGION(""R101"",-1AY,,,,""AGGREGATE"").dates)")</f>
        <v>45747</v>
      </c>
      <c r="AC27" s="251" cm="1">
        <f t="array" ref="AC27">_xll.FDSRC("--",$T$128,"JULIAN(FMA_GEOREV_SUPER_REGION(""R101"",0,,,,""AGGREGATE"").dates)")</f>
        <v>46112</v>
      </c>
      <c r="AF27" s="30"/>
    </row>
    <row r="28" spans="2:65" s="6" customFormat="1" ht="15" customHeight="1" x14ac:dyDescent="0.15">
      <c r="B28" s="28"/>
      <c r="C28" s="70"/>
      <c r="I28" s="1"/>
      <c r="J28" s="1"/>
      <c r="K28" s="1"/>
      <c r="L28" s="64"/>
      <c r="N28" s="35"/>
      <c r="O28" s="65" t="str">
        <f>CHOOSE($P26,O29,O30,O31,O32,O33,O34)</f>
        <v>1 Year</v>
      </c>
      <c r="P28" s="65" t="str">
        <f>CHOOSE(P26,P29,P30,P31,P32,P33,P34)</f>
        <v>1AY</v>
      </c>
      <c r="Q28" s="173" t="s">
        <v>36</v>
      </c>
      <c r="R28" s="173" t="s">
        <v>37</v>
      </c>
      <c r="S28" s="173"/>
      <c r="T28" s="173"/>
      <c r="U28" s="72"/>
      <c r="V28" s="174" t="str">
        <f>"% change "&amp;O28</f>
        <v>% change 1 Year</v>
      </c>
      <c r="W28" s="38"/>
      <c r="Y28" s="28"/>
      <c r="Z28" s="256" t="s">
        <v>52</v>
      </c>
      <c r="AA28" s="264" cm="1">
        <f t="array" ref="AA28">_xll.FDSRC("--",$T$128,"FMA_GEOREV_SUPER_REGION(""R101"",-2AY,,,,""PORTAGG"")")</f>
        <v>64.616587620961994</v>
      </c>
      <c r="AB28" s="253" cm="1">
        <f t="array" ref="AB28">_xll.FDSRC("--",$T$128,"FMA_GEOREV_SUPER_REGION(""R101"",-1AY,,,,""PORTAGG"")")</f>
        <v>65.238293190670007</v>
      </c>
      <c r="AC28" s="253" cm="1">
        <f t="array" ref="AC28">_xll.FDSRC("--",$T$128,"FMA_GEOREV_SUPER_REGION(""R101"",0,,,,""PORTAGG"")")</f>
        <v>64.597910398639002</v>
      </c>
      <c r="AD28" s="254"/>
      <c r="AE28" s="254"/>
      <c r="AF28" s="30"/>
    </row>
    <row r="29" spans="2:65" s="44" customFormat="1" ht="15" customHeight="1" x14ac:dyDescent="0.15">
      <c r="B29" s="35"/>
      <c r="C29" s="70"/>
      <c r="I29" s="73" t="s">
        <v>53</v>
      </c>
      <c r="J29" s="182" cm="1">
        <f t="array" ref="J29">_xll.FDSB(Identifier,"FG_PRICE_IDX(0,,)")</f>
        <v>6528.5173836756603</v>
      </c>
      <c r="K29" s="182" cm="1">
        <f t="array" ref="K29">_xll.FDSB(Identifier,"FG_TOTAL_RET_IDX(0,,)")</f>
        <v>14560.7523112209</v>
      </c>
      <c r="L29" s="74"/>
      <c r="N29" s="28"/>
      <c r="O29" s="75" t="s">
        <v>54</v>
      </c>
      <c r="P29" s="75" t="s">
        <v>55</v>
      </c>
      <c r="Q29" s="40" t="str">
        <f t="array" ref="Q29:Q38">_xll.FDSB("NOTICKER",O26&amp;"SUBARRAY(SORT_INDIRECT(transpose(constituents[0]),transpose((float_array)constituents[2]),2),0,10)")</f>
        <v>LYV-US</v>
      </c>
      <c r="R29" s="40" t="str">
        <f t="array" ref="R29:R38">_xll.FDSB("NOTICKER",O26&amp;"SUBARRAY(SORT_INDIRECT(transpose(constituents[1]),transpose((float_array)constituents[2]),2),0,10)")</f>
        <v>Live Nation Entertainment, Inc.</v>
      </c>
      <c r="S29" s="1"/>
      <c r="T29" s="1"/>
      <c r="U29" s="1"/>
      <c r="V29" s="41">
        <f t="array" ref="V29:V38">_xll.FDSB("NOTICKER",O26&amp;"SUBARRAY(SORT(transpose((float_array)constituents[2]),2),0,10)")</f>
        <v>4.4388999999999998E-2</v>
      </c>
      <c r="W29" s="30"/>
      <c r="Y29" s="28"/>
      <c r="Z29" s="260" t="s">
        <v>56</v>
      </c>
      <c r="AA29" s="265" cm="1">
        <f t="array" ref="AA29">_xll.FDSRC("--",$T$128,"FMA_GEOREV_SUPER_REGION(""R274"",-2AY,,,,""PORTAGG"")")</f>
        <v>13.600101891034999</v>
      </c>
      <c r="AB29" s="258" cm="1">
        <f t="array" ref="AB29">_xll.FDSRC("--",$T$128,"FMA_GEOREV_SUPER_REGION(""R274"",-1AY,,,,""PORTAGG"")")</f>
        <v>13.256055219785001</v>
      </c>
      <c r="AC29" s="258" cm="1">
        <f t="array" ref="AC29">_xll.FDSRC("--",$T$128,"FMA_GEOREV_SUPER_REGION(""R274"",0,,,,""PORTAGG"")")</f>
        <v>12.998023979892</v>
      </c>
      <c r="AD29" s="6"/>
      <c r="AE29" s="6"/>
      <c r="AF29" s="30"/>
      <c r="AG29" s="6"/>
      <c r="AO29" s="250"/>
      <c r="AS29" s="250"/>
      <c r="AT29" s="241"/>
      <c r="AU29" s="241"/>
      <c r="AV29" s="241"/>
      <c r="AW29" s="241"/>
      <c r="AX29" s="241"/>
      <c r="AY29" s="241"/>
      <c r="BA29" s="241"/>
      <c r="BB29" s="241"/>
      <c r="BC29" s="241"/>
      <c r="BD29" s="241"/>
      <c r="BE29" s="241"/>
      <c r="BF29" s="241"/>
      <c r="BG29" s="241"/>
      <c r="BH29" s="241"/>
      <c r="BI29" s="241"/>
      <c r="BJ29" s="241"/>
      <c r="BK29" s="241"/>
      <c r="BL29" s="241"/>
      <c r="BM29" s="241"/>
    </row>
    <row r="30" spans="2:65" s="6" customFormat="1" ht="15" customHeight="1" x14ac:dyDescent="0.15">
      <c r="B30" s="28"/>
      <c r="L30" s="64"/>
      <c r="N30" s="28"/>
      <c r="O30" s="75" t="s">
        <v>57</v>
      </c>
      <c r="P30" s="75" t="s">
        <v>58</v>
      </c>
      <c r="Q30" s="40" t="str">
        <v>FOX-US</v>
      </c>
      <c r="R30" s="40" t="str">
        <v>Fox Corporation Class B</v>
      </c>
      <c r="S30" s="1"/>
      <c r="T30" s="1"/>
      <c r="U30" s="1"/>
      <c r="V30" s="41">
        <v>4.3348999999999999E-2</v>
      </c>
      <c r="W30" s="30"/>
      <c r="Y30" s="28"/>
      <c r="Z30" s="256" t="s">
        <v>59</v>
      </c>
      <c r="AA30" s="264" cm="1">
        <f t="array" ref="AA30">_xll.FDSRC("--",$T$128,"FMA_GEOREV_SUPER_REGION(""R170"",-2AY,,,,""PORTAGG"")")</f>
        <v>18.081697002093001</v>
      </c>
      <c r="AB30" s="253" cm="1">
        <f t="array" ref="AB30">_xll.FDSRC("--",$T$128,"FMA_GEOREV_SUPER_REGION(""R170"",-1AY,,,,""PORTAGG"")")</f>
        <v>17.845901323231001</v>
      </c>
      <c r="AC30" s="253" cm="1">
        <f t="array" ref="AC30">_xll.FDSRC("--",$T$128,"FMA_GEOREV_SUPER_REGION(""R170"",0,,,,""PORTAGG"")")</f>
        <v>18.706844650487</v>
      </c>
      <c r="AD30" s="254"/>
      <c r="AE30" s="254"/>
      <c r="AF30" s="30"/>
      <c r="AT30" s="159"/>
      <c r="AU30" s="159"/>
      <c r="AV30" s="159"/>
      <c r="AW30" s="159"/>
      <c r="AX30" s="159"/>
      <c r="AY30" s="159"/>
      <c r="AZ30" s="159"/>
      <c r="BA30" s="159"/>
      <c r="BB30" s="159"/>
      <c r="BC30" s="159"/>
      <c r="BD30" s="159"/>
      <c r="BE30" s="159"/>
      <c r="BF30" s="159"/>
      <c r="BG30" s="159"/>
      <c r="BH30" s="159"/>
      <c r="BI30" s="159"/>
      <c r="BJ30" s="159"/>
      <c r="BK30" s="159"/>
      <c r="BL30" s="159"/>
      <c r="BM30" s="159"/>
    </row>
    <row r="31" spans="2:65" s="6" customFormat="1" ht="15" customHeight="1" x14ac:dyDescent="0.15">
      <c r="B31" s="28"/>
      <c r="I31" s="73" t="s">
        <v>60</v>
      </c>
      <c r="J31" s="182" cm="1">
        <f t="array" ref="J31">_xll.FDSB(Identifier,"MAX(FG_PRICE_IDX(0,-1AY,))")</f>
        <v>6978.5969276267497</v>
      </c>
      <c r="K31" s="182" cm="1">
        <f t="array" ref="K31">_xll.FDSB(Identifier,"MAX(FG_TOTAL_RET_IDX(0,-1AY,))")</f>
        <v>15527.821350081</v>
      </c>
      <c r="L31" s="64"/>
      <c r="N31" s="28"/>
      <c r="O31" s="75" t="s">
        <v>61</v>
      </c>
      <c r="P31" s="75" t="s">
        <v>62</v>
      </c>
      <c r="Q31" s="40" t="str">
        <v>AIG-US</v>
      </c>
      <c r="R31" s="40" t="str">
        <v>American International Group, Inc.</v>
      </c>
      <c r="S31" s="1"/>
      <c r="T31" s="1"/>
      <c r="U31" s="1"/>
      <c r="V31" s="41">
        <v>3.9703000000000002E-2</v>
      </c>
      <c r="W31" s="30"/>
      <c r="Y31" s="28"/>
      <c r="Z31" s="168" t="s">
        <v>63</v>
      </c>
      <c r="AA31" s="265" cm="1">
        <f t="array" ref="AA31">_xll.FDSRC("--",$T$128,"FMA_GEOREV_SUPER_REGION(""R1"",-2AY,,,,""PORTAGG"")")</f>
        <v>3.6208699939020002</v>
      </c>
      <c r="AB31" s="258" cm="1">
        <f t="array" ref="AB31">_xll.FDSRC("--",$T$128,"FMA_GEOREV_SUPER_REGION(""R1"",-1AY,,,,""PORTAGG"")")</f>
        <v>3.5883372647959999</v>
      </c>
      <c r="AC31" s="258" cm="1">
        <f t="array" ref="AC31">_xll.FDSRC("--",$T$128,"FMA_GEOREV_SUPER_REGION(""R1"",0,,,,""PORTAGG"")")</f>
        <v>3.6373165473150002</v>
      </c>
      <c r="AF31" s="30"/>
      <c r="AG31" s="44"/>
      <c r="AT31" s="159"/>
      <c r="AU31" s="159"/>
    </row>
    <row r="32" spans="2:65" s="6" customFormat="1" ht="15" customHeight="1" x14ac:dyDescent="0.15">
      <c r="B32" s="28"/>
      <c r="I32" s="73" t="s">
        <v>64</v>
      </c>
      <c r="J32" s="182" cm="1">
        <f t="array" ref="J32">_xll.FDSB(Identifier,"MIN(FG_PRICE_IDX(0,-1AY,))")</f>
        <v>4982.7703132694196</v>
      </c>
      <c r="K32" s="182" cm="1">
        <f t="array" ref="K32">_xll.FDSB(Identifier,"MIN(FG_TOTAL_RET_IDX(0,-1AY,))")</f>
        <v>10977.5005432334</v>
      </c>
      <c r="L32" s="64"/>
      <c r="N32" s="28"/>
      <c r="O32" s="75" t="s">
        <v>65</v>
      </c>
      <c r="P32" s="75" t="s">
        <v>66</v>
      </c>
      <c r="Q32" s="40" t="str">
        <v>WBD-US</v>
      </c>
      <c r="R32" s="40" t="str">
        <v>Warner Bros. Discovery, Inc. Series A</v>
      </c>
      <c r="S32" s="1"/>
      <c r="T32" s="1"/>
      <c r="U32" s="76"/>
      <c r="V32" s="41">
        <v>3.4715999999999997E-2</v>
      </c>
      <c r="W32" s="30"/>
      <c r="Y32" s="28"/>
      <c r="Z32" s="159"/>
      <c r="AA32" s="159"/>
      <c r="AB32" s="159"/>
      <c r="AF32" s="30"/>
      <c r="AT32" s="159"/>
      <c r="AU32" s="159"/>
    </row>
    <row r="33" spans="1:53" s="6" customFormat="1" ht="15" customHeight="1" x14ac:dyDescent="0.15">
      <c r="B33" s="28"/>
      <c r="C33" s="31"/>
      <c r="I33" s="1"/>
      <c r="J33" s="1"/>
      <c r="K33" s="1"/>
      <c r="L33" s="64"/>
      <c r="N33" s="28"/>
      <c r="O33" s="75" t="s">
        <v>67</v>
      </c>
      <c r="P33" s="75" t="s">
        <v>68</v>
      </c>
      <c r="Q33" s="40" t="str">
        <v>PSKY-US</v>
      </c>
      <c r="R33" s="40" t="str">
        <v>Paramount Skydance Corporation Class B</v>
      </c>
      <c r="S33" s="1"/>
      <c r="T33" s="1"/>
      <c r="U33" s="1"/>
      <c r="V33" s="41">
        <v>3.4602000000000001E-2</v>
      </c>
      <c r="W33" s="30"/>
      <c r="Y33" s="28"/>
      <c r="Z33" s="240" t="s">
        <v>69</v>
      </c>
      <c r="AA33" s="55"/>
      <c r="AD33" s="44"/>
      <c r="AE33" s="44"/>
      <c r="AF33" s="30"/>
      <c r="AT33" s="159"/>
      <c r="AU33" s="159"/>
    </row>
    <row r="34" spans="1:53" s="6" customFormat="1" ht="15" customHeight="1" x14ac:dyDescent="0.15">
      <c r="B34" s="28"/>
      <c r="C34" s="20"/>
      <c r="I34" s="73" t="s">
        <v>70</v>
      </c>
      <c r="J34" s="183" cm="1">
        <f t="array" ref="J34">_xll.FDSB(Identifier,"FG_PCHG_IDX(0,-1D,)/100")</f>
        <v>2.91299761223511E-2</v>
      </c>
      <c r="K34" s="183" cm="1">
        <f t="array" ref="K34">_xll.FDSB(Identifier,"FG_TRET_PCHG_IDX(0,-1D,)/100")</f>
        <v>2.922396387502E-2</v>
      </c>
      <c r="L34" s="64"/>
      <c r="N34" s="28"/>
      <c r="O34" s="75" t="s">
        <v>71</v>
      </c>
      <c r="P34" s="75" t="s">
        <v>72</v>
      </c>
      <c r="Q34" s="40" t="str">
        <v>FOXA-US</v>
      </c>
      <c r="R34" s="40" t="str">
        <v>Fox Corporation Class A</v>
      </c>
      <c r="S34" s="1"/>
      <c r="T34" s="1"/>
      <c r="U34" s="1"/>
      <c r="V34" s="41">
        <v>3.4167999999999997E-2</v>
      </c>
      <c r="W34" s="30"/>
      <c r="Y34" s="28"/>
      <c r="Z34" s="240" t="s">
        <v>73</v>
      </c>
      <c r="AA34" s="263" cm="1">
        <f t="array" ref="AA34">_xll.FDSRC("--",Identifier,"JULIAN(FMA_GEOREV_ECONOMY(""DVLP"",-2AY,,,,""PORTAGG"").dates)")</f>
        <v>45382</v>
      </c>
      <c r="AB34" s="251" cm="1">
        <f t="array" ref="AB34">_xll.FDSRC("--",Identifier,"JULIAN(FMA_GEOREV_ECONOMY(""DVLP"",-1AY,,,,""PORTAGG"").dates)")</f>
        <v>45747</v>
      </c>
      <c r="AC34" s="251" cm="1">
        <f t="array" ref="AC34">_xll.FDSRC("--",Identifier,"JULIAN(FMA_GEOREV_ECONOMY(""DVLP"",0,,,,""PORTAGG"").dates)")</f>
        <v>46112</v>
      </c>
      <c r="AF34" s="30"/>
      <c r="AM34" s="159"/>
      <c r="AQ34" s="159"/>
      <c r="AT34" s="159"/>
      <c r="AU34" s="159"/>
    </row>
    <row r="35" spans="1:53" s="44" customFormat="1" ht="15" customHeight="1" x14ac:dyDescent="0.15">
      <c r="B35" s="35"/>
      <c r="C35" s="77"/>
      <c r="D35" s="78"/>
      <c r="E35" s="79"/>
      <c r="F35" s="79"/>
      <c r="G35" s="79"/>
      <c r="H35" s="79"/>
      <c r="I35" s="73" t="s">
        <v>74</v>
      </c>
      <c r="J35" s="183" cm="1">
        <f t="array" ref="J35">_xll.FDSB(Identifier,"FG_PCHG_IDX(0,-1AM,)/100")</f>
        <v>-5.09328831807613E-2</v>
      </c>
      <c r="K35" s="183" cm="1">
        <f t="array" ref="K35">_xll.FDSB(Identifier,"FG_TRET_PCHG_IDX(0,-1AM,)/100")</f>
        <v>-4.9795147063022703E-2</v>
      </c>
      <c r="L35" s="64"/>
      <c r="N35" s="28"/>
      <c r="O35" s="80"/>
      <c r="P35" s="80"/>
      <c r="Q35" s="40" t="str">
        <v>OMC-US</v>
      </c>
      <c r="R35" s="40" t="str">
        <v>Omnicom Group Inc</v>
      </c>
      <c r="S35" s="1"/>
      <c r="T35" s="1"/>
      <c r="U35" s="76"/>
      <c r="V35" s="41">
        <v>3.3274999999999999E-2</v>
      </c>
      <c r="W35" s="30"/>
      <c r="Y35" s="28"/>
      <c r="Z35" s="252" t="s">
        <v>75</v>
      </c>
      <c r="AA35" s="264" cm="1">
        <f t="array" ref="AA35">_xll.FDSRC("--",Identifier,"FMA_GEOREV_ECONOMY(""DVLP"",-2AY,,,,""PORTAGG"")")</f>
        <v>77.722673452094995</v>
      </c>
      <c r="AB35" s="253" cm="1">
        <f t="array" ref="AB35">_xll.FDSRC("--",Identifier,"FMA_GEOREV_ECONOMY(""DVLP"",-1AY,,,,""PORTAGG"")")</f>
        <v>78.709953938463997</v>
      </c>
      <c r="AC35" s="253" cm="1">
        <f t="array" ref="AC35">_xll.FDSRC("--",Identifier,"FMA_GEOREV_ECONOMY(""DVLP"",0,,,,""PORTAGG"")")</f>
        <v>77.575045819012999</v>
      </c>
      <c r="AD35" s="254"/>
      <c r="AE35" s="254"/>
      <c r="AF35" s="30"/>
      <c r="AG35" s="6"/>
    </row>
    <row r="36" spans="1:53" s="6" customFormat="1" ht="15" customHeight="1" x14ac:dyDescent="0.15">
      <c r="B36" s="81"/>
      <c r="C36" s="82"/>
      <c r="D36" s="42"/>
      <c r="E36" s="83"/>
      <c r="F36" s="83"/>
      <c r="G36" s="83"/>
      <c r="H36" s="83"/>
      <c r="I36" s="73" t="s">
        <v>76</v>
      </c>
      <c r="J36" s="183" cm="1">
        <f t="array" ref="J36">_xll.FDSB(Identifier,"FG_PCHG_IDX(0,-3AM,)/100")</f>
        <v>-4.6305909657295502E-2</v>
      </c>
      <c r="K36" s="183" cm="1">
        <f t="array" ref="K36">_xll.FDSB(Identifier,"FG_TRET_PCHG_IDX(0,-3AM,)/100")</f>
        <v>-4.33431413407038E-2</v>
      </c>
      <c r="L36" s="64"/>
      <c r="N36" s="28"/>
      <c r="O36" s="80"/>
      <c r="P36" s="80"/>
      <c r="Q36" s="40" t="str">
        <v>COF-US</v>
      </c>
      <c r="R36" s="40" t="str">
        <v>Capital One Financial Corp</v>
      </c>
      <c r="S36" s="1"/>
      <c r="T36" s="1"/>
      <c r="U36" s="1"/>
      <c r="V36" s="41">
        <v>3.3251000000000003E-2</v>
      </c>
      <c r="W36" s="30"/>
      <c r="Y36" s="28"/>
      <c r="Z36" s="261" t="s">
        <v>77</v>
      </c>
      <c r="AA36" s="265" cm="1">
        <f t="array" ref="AA36">_xll.FDSRC("--",Identifier,"FMA_GEOREV_ECONOMY(""EMRG"",-2AY,,,,""PORTAGG"")")</f>
        <v>16.432642837389</v>
      </c>
      <c r="AB36" s="258" cm="1">
        <f t="array" ref="AB36">_xll.FDSRC("--",Identifier,"FMA_GEOREV_ECONOMY(""EMRG"",-1AY,,,,""PORTAGG"")")</f>
        <v>15.649589048175001</v>
      </c>
      <c r="AC36" s="258" cm="1">
        <f t="array" ref="AC36">_xll.FDSRC("--",Identifier,"FMA_GEOREV_ECONOMY(""EMRG"",0,,,,""PORTAGG"")")</f>
        <v>16.688648009832999</v>
      </c>
      <c r="AF36" s="30"/>
    </row>
    <row r="37" spans="1:53" s="6" customFormat="1" ht="15" customHeight="1" x14ac:dyDescent="0.15">
      <c r="B37" s="28"/>
      <c r="C37" s="84"/>
      <c r="D37" s="85"/>
      <c r="E37" s="86"/>
      <c r="F37" s="86"/>
      <c r="G37" s="86"/>
      <c r="H37" s="86"/>
      <c r="I37" s="73" t="s">
        <v>78</v>
      </c>
      <c r="J37" s="183" cm="1">
        <f t="array" ref="J37">_xll.FDSB(Identifier,"FG_PCHG_IDX(0,-6AM,)/100")</f>
        <v>-2.3913079579668199E-2</v>
      </c>
      <c r="K37" s="183" cm="1">
        <f t="array" ref="K37">_xll.FDSB(Identifier,"FG_TRET_PCHG_IDX(0,-6AM,)/100")</f>
        <v>-1.7943804976753099E-2</v>
      </c>
      <c r="L37" s="64"/>
      <c r="N37" s="28"/>
      <c r="O37" s="80"/>
      <c r="P37" s="80"/>
      <c r="Q37" s="40" t="str">
        <v>MO-US</v>
      </c>
      <c r="R37" s="40" t="str">
        <v>Altria Group, Inc.</v>
      </c>
      <c r="S37" s="1"/>
      <c r="U37" s="1"/>
      <c r="V37" s="41">
        <v>3.2157999999999999E-2</v>
      </c>
      <c r="W37" s="54"/>
      <c r="Y37" s="28"/>
      <c r="Z37" s="252" t="s">
        <v>79</v>
      </c>
      <c r="AA37" s="264" cm="1">
        <f t="array" ref="AA37">_xll.FDSRC("--",Identifier,"FMA_GEOREV_ECONOMY(""FRNT"",-2AY,,,,""PORTAGG"")")</f>
        <v>3.3629604344640001</v>
      </c>
      <c r="AB37" s="253" cm="1">
        <f t="array" ref="AB37">_xll.FDSRC("--",Identifier,"FMA_GEOREV_ECONOMY(""FRNT"",-1AY,,,,""PORTAGG"")")</f>
        <v>3.1121115201779999</v>
      </c>
      <c r="AC37" s="253" cm="1">
        <f t="array" ref="AC37">_xll.FDSRC("--",Identifier,"FMA_GEOREV_ECONOMY(""FRNT"",0,,,,""PORTAGG"")")</f>
        <v>3.1565556158649999</v>
      </c>
      <c r="AD37" s="254"/>
      <c r="AE37" s="254"/>
      <c r="AF37" s="30"/>
      <c r="AG37" s="44"/>
    </row>
    <row r="38" spans="1:53" s="6" customFormat="1" ht="15" customHeight="1" x14ac:dyDescent="0.15">
      <c r="B38" s="87"/>
      <c r="C38" s="82"/>
      <c r="D38" s="42"/>
      <c r="E38" s="88"/>
      <c r="F38" s="88"/>
      <c r="G38" s="88"/>
      <c r="H38" s="88"/>
      <c r="I38" s="73" t="s">
        <v>80</v>
      </c>
      <c r="J38" s="183" cm="1">
        <f t="array" ref="J38">_xll.FDSB(Identifier,"FG_PCHG_IDX(0,0CY,)/100")</f>
        <v>-4.6305909657295502E-2</v>
      </c>
      <c r="K38" s="183" cm="1">
        <f t="array" ref="K38">_xll.FDSB(Identifier,"FG_TRET_PCHG_IDX(0,0CY,)/100")</f>
        <v>-4.33431413407038E-2</v>
      </c>
      <c r="L38" s="64"/>
      <c r="N38" s="28"/>
      <c r="O38" s="80"/>
      <c r="P38" s="80"/>
      <c r="Q38" s="40" t="str">
        <v>F-US</v>
      </c>
      <c r="R38" s="40" t="str">
        <v>Ford Motor Company</v>
      </c>
      <c r="S38" s="1"/>
      <c r="U38" s="76"/>
      <c r="V38" s="41">
        <v>3.1892999999999998E-2</v>
      </c>
      <c r="W38" s="54"/>
      <c r="Y38" s="28"/>
      <c r="Z38" s="262" t="s">
        <v>81</v>
      </c>
      <c r="AA38" s="265" cm="1">
        <f t="array" ref="AA38">_xll.FDSRC("--",Identifier,"FMA_GEOREV_ECONOMY(""ROW"",-2AY,,,,""PORTAGG"")")</f>
        <v>2.478364634594</v>
      </c>
      <c r="AB38" s="258" cm="1">
        <f t="array" ref="AB38">_xll.FDSRC("--",Identifier,"FMA_GEOREV_ECONOMY(""ROW"",-1AY,,,,""PORTAGG"")")</f>
        <v>2.5283454931830001</v>
      </c>
      <c r="AC38" s="258" cm="1">
        <f t="array" ref="AC38">_xll.FDSRC("--",Identifier,"FMA_GEOREV_ECONOMY(""ROW"",0,,,,""PORTAGG"")")</f>
        <v>2.5797505552879998</v>
      </c>
      <c r="AF38" s="30"/>
    </row>
    <row r="39" spans="1:53" s="6" customFormat="1" ht="15" customHeight="1" x14ac:dyDescent="0.15">
      <c r="B39" s="87"/>
      <c r="C39" s="82"/>
      <c r="D39" s="42"/>
      <c r="E39" s="89"/>
      <c r="F39" s="89"/>
      <c r="G39" s="89"/>
      <c r="H39" s="89"/>
      <c r="I39" s="73" t="s">
        <v>82</v>
      </c>
      <c r="J39" s="183" cm="1">
        <f t="array" ref="J39">_xll.FDSB(Identifier,"FG_PCHG_IDX(0,-1AY,)/100")</f>
        <v>0.163344414239321</v>
      </c>
      <c r="K39" s="183" cm="1">
        <f t="array" ref="K39">_xll.FDSB(Identifier,"FG_TRET_PCHG_IDX(0,-1AY,)/100")</f>
        <v>0.17803471687983899</v>
      </c>
      <c r="L39" s="64"/>
      <c r="N39" s="57"/>
      <c r="O39" s="90"/>
      <c r="P39" s="90"/>
      <c r="Q39" s="60"/>
      <c r="R39" s="60"/>
      <c r="S39" s="91"/>
      <c r="T39" s="59"/>
      <c r="U39" s="92"/>
      <c r="V39" s="90"/>
      <c r="W39" s="61"/>
      <c r="Y39" s="57"/>
      <c r="Z39" s="90"/>
      <c r="AA39" s="90"/>
      <c r="AB39" s="90"/>
      <c r="AC39" s="60"/>
      <c r="AD39" s="60"/>
      <c r="AE39" s="60"/>
      <c r="AF39" s="61"/>
    </row>
    <row r="40" spans="1:53" s="6" customFormat="1" ht="15" customHeight="1" x14ac:dyDescent="0.15">
      <c r="B40" s="28"/>
      <c r="C40" s="84"/>
      <c r="E40" s="86"/>
      <c r="F40" s="86"/>
      <c r="G40" s="86"/>
      <c r="H40" s="86"/>
      <c r="I40" s="86"/>
      <c r="J40"/>
      <c r="K40" s="1"/>
      <c r="L40" s="64"/>
      <c r="Y40" s="8"/>
      <c r="Z40" s="8"/>
      <c r="AA40" s="8"/>
    </row>
    <row r="41" spans="1:53" s="6" customFormat="1" ht="15" customHeight="1" x14ac:dyDescent="0.15">
      <c r="B41" s="35"/>
      <c r="C41" s="93"/>
      <c r="E41" s="86"/>
      <c r="F41" s="86"/>
      <c r="G41" s="86"/>
      <c r="H41" s="86"/>
      <c r="I41" s="86"/>
      <c r="J41"/>
      <c r="K41" s="1"/>
      <c r="L41" s="74"/>
      <c r="N41" s="17"/>
      <c r="O41" s="18"/>
      <c r="P41" s="18"/>
      <c r="Q41" s="18"/>
      <c r="R41" s="18"/>
      <c r="S41" s="18"/>
      <c r="T41" s="18"/>
      <c r="U41" s="18"/>
      <c r="V41" s="18"/>
      <c r="W41" s="19"/>
      <c r="Y41" s="8"/>
      <c r="Z41" s="8"/>
      <c r="AA41" s="8"/>
    </row>
    <row r="42" spans="1:53" s="55" customFormat="1" ht="15" customHeight="1" x14ac:dyDescent="0.15">
      <c r="A42" s="6"/>
      <c r="B42" s="87"/>
      <c r="C42" s="82"/>
      <c r="D42" s="42"/>
      <c r="E42" s="94"/>
      <c r="F42" s="94"/>
      <c r="G42" s="94"/>
      <c r="H42" s="94"/>
      <c r="I42" s="94"/>
      <c r="J42"/>
      <c r="K42" s="1"/>
      <c r="L42" s="64"/>
      <c r="M42" s="6"/>
      <c r="N42" s="25"/>
      <c r="O42" s="95">
        <f t="array" ref="O42">_xll.FDSB(Identifier,V42&amp;"SIZE(SECTOR)")</f>
        <v>3</v>
      </c>
      <c r="P42" s="95">
        <f>MATCH($T$42,$O$45:$O$48,0)</f>
        <v>1</v>
      </c>
      <c r="Q42" s="96" t="s">
        <v>228</v>
      </c>
      <c r="S42" s="94"/>
      <c r="T42" s="328" t="s">
        <v>83</v>
      </c>
      <c r="U42" s="97"/>
      <c r="V42" s="94" t="str" cm="1">
        <f t="array" ref="V42">_xll.FDSB(Identifier,"STRING_ARRAY sector=GET_FQL_ARRAY(TRANSPOSE(FG_INDUSTRY_BREAKDOWN("""&amp;P44&amp;""",0)),""P_SYMBOL"",""FG_CLASS_IDX"",""FG_MCAP_IDX(0,,,USD)"");""""")</f>
        <v/>
      </c>
      <c r="W42" s="27"/>
      <c r="X42" s="6"/>
      <c r="Y42" s="63"/>
      <c r="Z42" s="63"/>
      <c r="AA42" s="63"/>
      <c r="AD42" s="6"/>
      <c r="AE42" s="6"/>
      <c r="AF42" s="6"/>
      <c r="AG42" s="6"/>
    </row>
    <row r="43" spans="1:53" s="6" customFormat="1" ht="15" customHeight="1" x14ac:dyDescent="0.15">
      <c r="B43" s="28"/>
      <c r="C43" s="84"/>
      <c r="D43" s="78"/>
      <c r="E43" s="86"/>
      <c r="F43" s="86"/>
      <c r="G43" s="86"/>
      <c r="H43" s="86"/>
      <c r="I43" s="86"/>
      <c r="J43"/>
      <c r="K43" s="1"/>
      <c r="L43" s="64"/>
      <c r="N43" s="25"/>
      <c r="O43" s="1"/>
      <c r="P43" s="1"/>
      <c r="Q43" s="1"/>
      <c r="R43" s="1"/>
      <c r="S43" s="1"/>
      <c r="T43" s="1"/>
      <c r="U43" s="1"/>
      <c r="V43" s="1"/>
      <c r="W43" s="27"/>
      <c r="Y43" s="8"/>
      <c r="Z43" s="8"/>
      <c r="AA43" s="8"/>
    </row>
    <row r="44" spans="1:53" s="6" customFormat="1" ht="15" customHeight="1" x14ac:dyDescent="0.15">
      <c r="B44" s="35"/>
      <c r="C44" s="93"/>
      <c r="D44" s="78"/>
      <c r="E44" s="86"/>
      <c r="F44" s="86"/>
      <c r="G44" s="86"/>
      <c r="H44" s="86"/>
      <c r="I44" s="86"/>
      <c r="J44"/>
      <c r="K44" s="1"/>
      <c r="L44" s="74"/>
      <c r="N44" s="28"/>
      <c r="O44" s="65" t="str">
        <f>CHOOSE($P42,O45,O46,O47,O48,O49,O50)</f>
        <v>Level 1</v>
      </c>
      <c r="P44" s="65" t="str">
        <f>CHOOSE(P42,P45,P46,P47,P48,P49,P50)</f>
        <v>ONE</v>
      </c>
      <c r="Q44" s="37"/>
      <c r="R44" s="37" t="s">
        <v>37</v>
      </c>
      <c r="S44" s="37"/>
      <c r="T44" s="37"/>
      <c r="U44" s="36"/>
      <c r="V44" s="36" t="s">
        <v>41</v>
      </c>
      <c r="W44" s="68"/>
      <c r="Y44" s="8"/>
      <c r="Z44" s="8"/>
      <c r="AA44" s="8"/>
      <c r="AF44" s="55"/>
      <c r="AG44" s="55"/>
    </row>
    <row r="45" spans="1:53" s="6" customFormat="1" ht="15" customHeight="1" x14ac:dyDescent="0.15">
      <c r="B45" s="35"/>
      <c r="C45" s="1"/>
      <c r="E45" s="86"/>
      <c r="F45" s="86"/>
      <c r="G45" s="1"/>
      <c r="H45" s="86"/>
      <c r="I45" s="86"/>
      <c r="J45" s="86"/>
      <c r="K45" s="98" t="str" cm="1">
        <f t="array" ref="K45">_xll.FDS(Identifier,"FG_CURRENCY_IDX(""NAME"")")</f>
        <v>U.S. Dollar</v>
      </c>
      <c r="L45" s="74"/>
      <c r="N45" s="25"/>
      <c r="O45" s="80" t="s">
        <v>83</v>
      </c>
      <c r="P45" s="80" t="s">
        <v>84</v>
      </c>
      <c r="Q45" s="99"/>
      <c r="R45" s="6" t="str">
        <f t="array" ref="R45:R54">IF(O42&gt;1,_xll.FDSB(Identifier,V42&amp;"SUBARRAY(SORT_INDIRECT(transpose(sector[1].value),transpose(sector[2].value),2),0,10)"),"")</f>
        <v>Information Technology</v>
      </c>
      <c r="S45" s="100"/>
      <c r="T45" s="1"/>
      <c r="U45" s="101"/>
      <c r="V45" s="102">
        <f t="array" ref="V45:V54">IF(O42&gt;1,_xll.FDSB("NOTICKER",V42&amp;"SUBARRAY(SORT(transpose(sector[2].value),2),0,10)"),"")</f>
        <v>18396371.548244499</v>
      </c>
      <c r="W45" s="103"/>
      <c r="Y45" s="8"/>
      <c r="Z45" s="8"/>
      <c r="AA45" s="8"/>
      <c r="AD45" s="55"/>
      <c r="AE45" s="55"/>
    </row>
    <row r="46" spans="1:53" s="44" customFormat="1" ht="15" customHeight="1" x14ac:dyDescent="0.15">
      <c r="B46" s="57"/>
      <c r="C46" s="91"/>
      <c r="D46" s="104"/>
      <c r="E46" s="104"/>
      <c r="F46" s="104"/>
      <c r="G46" s="91"/>
      <c r="H46" s="105"/>
      <c r="I46" s="106"/>
      <c r="J46" s="105"/>
      <c r="K46" s="105"/>
      <c r="L46" s="107"/>
      <c r="N46" s="108"/>
      <c r="O46" s="80" t="s">
        <v>85</v>
      </c>
      <c r="P46" s="80" t="s">
        <v>86</v>
      </c>
      <c r="Q46" s="99"/>
      <c r="R46" s="6" t="str">
        <v>Financials</v>
      </c>
      <c r="S46" s="100"/>
      <c r="T46" s="1"/>
      <c r="U46" s="6"/>
      <c r="V46" s="102">
        <v>7041255.1300899005</v>
      </c>
      <c r="W46" s="74"/>
      <c r="Y46" s="45"/>
      <c r="Z46" s="45"/>
      <c r="AA46" s="45"/>
      <c r="AD46" s="6"/>
      <c r="AE46" s="6"/>
      <c r="AF46" s="6"/>
      <c r="AG46" s="6"/>
      <c r="AX46" s="6"/>
      <c r="AY46" s="6"/>
      <c r="AZ46" s="6"/>
      <c r="BA46" s="6"/>
    </row>
    <row r="47" spans="1:53" s="6" customFormat="1" ht="15" customHeight="1" x14ac:dyDescent="0.15">
      <c r="N47" s="108"/>
      <c r="O47" s="80" t="s">
        <v>87</v>
      </c>
      <c r="P47" s="80" t="s">
        <v>88</v>
      </c>
      <c r="Q47" s="99"/>
      <c r="R47" s="6" t="str">
        <v>Communication Services</v>
      </c>
      <c r="S47" s="100"/>
      <c r="T47" s="1"/>
      <c r="V47" s="102">
        <v>5749541.0517400997</v>
      </c>
      <c r="W47" s="68"/>
      <c r="Y47" s="8"/>
      <c r="Z47" s="8"/>
      <c r="AA47" s="8"/>
    </row>
    <row r="48" spans="1:53" s="44" customFormat="1" ht="14.25" customHeight="1" x14ac:dyDescent="0.15">
      <c r="B48" s="21"/>
      <c r="C48" s="56"/>
      <c r="D48" s="56"/>
      <c r="E48" s="56"/>
      <c r="F48" s="56"/>
      <c r="G48" s="56"/>
      <c r="H48" s="56"/>
      <c r="I48" s="18"/>
      <c r="J48" s="22"/>
      <c r="K48" s="109"/>
      <c r="L48" s="24"/>
      <c r="N48" s="108"/>
      <c r="O48" s="80" t="s">
        <v>89</v>
      </c>
      <c r="P48" s="80" t="s">
        <v>90</v>
      </c>
      <c r="Q48" s="99"/>
      <c r="R48" s="6" t="str">
        <v>Consumer Discretionary</v>
      </c>
      <c r="S48" s="100"/>
      <c r="T48" s="1"/>
      <c r="U48" s="6"/>
      <c r="V48" s="102">
        <v>5514747.2835574001</v>
      </c>
      <c r="W48" s="110"/>
      <c r="Y48" s="45"/>
      <c r="Z48" s="45"/>
      <c r="AA48" s="45"/>
      <c r="AD48" s="6"/>
      <c r="AE48" s="6"/>
      <c r="AX48" s="6"/>
      <c r="AY48" s="6"/>
      <c r="AZ48" s="6"/>
      <c r="BA48" s="6"/>
    </row>
    <row r="49" spans="2:53" s="6" customFormat="1" ht="15" customHeight="1" x14ac:dyDescent="0.15">
      <c r="B49" s="28"/>
      <c r="C49" s="20"/>
      <c r="D49" s="20"/>
      <c r="E49" s="20"/>
      <c r="F49" s="20"/>
      <c r="G49" s="20"/>
      <c r="H49" s="20"/>
      <c r="I49" s="184" t="s">
        <v>91</v>
      </c>
      <c r="J49" s="1"/>
      <c r="K49" s="111"/>
      <c r="L49" s="64"/>
      <c r="N49" s="108"/>
      <c r="O49" s="102"/>
      <c r="P49" s="102"/>
      <c r="Q49" s="99"/>
      <c r="R49" s="6" t="str">
        <v>Health Care</v>
      </c>
      <c r="S49" s="100"/>
      <c r="T49" s="1"/>
      <c r="V49" s="102">
        <v>5292526.1196427997</v>
      </c>
      <c r="W49" s="74"/>
      <c r="Y49" s="8"/>
      <c r="Z49" s="8"/>
      <c r="AA49" s="8"/>
      <c r="AD49" s="44"/>
      <c r="AE49" s="44"/>
    </row>
    <row r="50" spans="2:53" s="44" customFormat="1" ht="15" customHeight="1" x14ac:dyDescent="0.15">
      <c r="B50" s="28"/>
      <c r="C50" s="20"/>
      <c r="D50" s="20"/>
      <c r="E50" s="20"/>
      <c r="F50" s="20"/>
      <c r="G50" s="20"/>
      <c r="H50" s="20"/>
      <c r="I50" s="1"/>
      <c r="J50" s="1"/>
      <c r="K50" s="1"/>
      <c r="L50" s="64"/>
      <c r="N50" s="108"/>
      <c r="O50" s="102"/>
      <c r="P50" s="102"/>
      <c r="Q50" s="99"/>
      <c r="R50" s="6" t="str">
        <v>Industrials</v>
      </c>
      <c r="S50" s="100"/>
      <c r="T50" s="1"/>
      <c r="U50" s="6"/>
      <c r="V50" s="102">
        <v>5041450.5204891004</v>
      </c>
      <c r="W50" s="68"/>
      <c r="Y50" s="45"/>
      <c r="Z50" s="45"/>
      <c r="AA50" s="45"/>
      <c r="AD50" s="6"/>
      <c r="AE50" s="6"/>
      <c r="AX50" s="6"/>
      <c r="AY50" s="6"/>
      <c r="AZ50" s="6"/>
      <c r="BA50" s="6"/>
    </row>
    <row r="51" spans="2:53" s="44" customFormat="1" ht="15" customHeight="1" x14ac:dyDescent="0.15">
      <c r="B51" s="66"/>
      <c r="C51" s="76"/>
      <c r="D51" s="76"/>
      <c r="E51" s="76"/>
      <c r="F51" s="6"/>
      <c r="G51" s="32"/>
      <c r="H51" s="32"/>
      <c r="I51" s="176" t="s">
        <v>92</v>
      </c>
      <c r="J51" s="1"/>
      <c r="K51" s="177" cm="1">
        <f t="array" ref="K51">_xll.FDSB(Identifier,"FMA_ADVANCERS(0)")</f>
        <v>419</v>
      </c>
      <c r="L51" s="68"/>
      <c r="N51" s="108"/>
      <c r="O51" s="102"/>
      <c r="P51" s="102"/>
      <c r="Q51" s="99"/>
      <c r="R51" s="6" t="str">
        <v>Consumer Staples</v>
      </c>
      <c r="S51" s="100"/>
      <c r="T51" s="1"/>
      <c r="U51" s="6"/>
      <c r="V51" s="102">
        <v>2937087.9986894</v>
      </c>
      <c r="W51" s="112"/>
      <c r="Y51" s="45"/>
      <c r="Z51" s="45"/>
      <c r="AA51" s="45"/>
      <c r="AF51" s="6"/>
      <c r="AG51" s="6"/>
      <c r="AX51" s="6"/>
      <c r="AY51" s="6"/>
      <c r="AZ51" s="6"/>
      <c r="BA51" s="6"/>
    </row>
    <row r="52" spans="2:53" s="6" customFormat="1" ht="15" customHeight="1" x14ac:dyDescent="0.15">
      <c r="B52" s="28"/>
      <c r="C52" s="1"/>
      <c r="D52" s="1"/>
      <c r="E52" s="1"/>
      <c r="G52" s="70"/>
      <c r="H52" s="70"/>
      <c r="I52" s="176" t="s">
        <v>93</v>
      </c>
      <c r="J52" s="1"/>
      <c r="K52" s="185" cm="1">
        <f t="array" ref="K52">_xll.FDSB(Identifier,"FMA_ADVANCERS_PCT(0)/100")</f>
        <v>0.833001988071571</v>
      </c>
      <c r="L52" s="71"/>
      <c r="N52" s="108"/>
      <c r="O52" s="102"/>
      <c r="P52" s="102"/>
      <c r="Q52" s="99"/>
      <c r="R52" s="6" t="str">
        <v>Energy</v>
      </c>
      <c r="S52" s="100"/>
      <c r="T52" s="1"/>
      <c r="V52" s="102">
        <v>2244271.9759676</v>
      </c>
      <c r="W52" s="74"/>
      <c r="Y52" s="8"/>
      <c r="Z52" s="8"/>
      <c r="AA52" s="8"/>
      <c r="AF52" s="44"/>
      <c r="AG52" s="44"/>
    </row>
    <row r="53" spans="2:53" s="6" customFormat="1" ht="15" customHeight="1" x14ac:dyDescent="0.15">
      <c r="B53" s="28"/>
      <c r="C53" s="1"/>
      <c r="D53" s="1"/>
      <c r="E53" s="1"/>
      <c r="I53" s="1"/>
      <c r="J53" s="1"/>
      <c r="K53" s="1"/>
      <c r="L53" s="64"/>
      <c r="N53" s="108"/>
      <c r="O53" s="102"/>
      <c r="P53" s="102"/>
      <c r="Q53" s="99"/>
      <c r="R53" s="6" t="str">
        <v>Utilities</v>
      </c>
      <c r="S53" s="100"/>
      <c r="T53" s="1"/>
      <c r="V53" s="102">
        <v>1420390.0635840001</v>
      </c>
      <c r="W53" s="64"/>
      <c r="Y53" s="8"/>
      <c r="Z53" s="8"/>
      <c r="AA53" s="8"/>
      <c r="AD53" s="44"/>
      <c r="AE53" s="44"/>
      <c r="AF53" s="44"/>
      <c r="AG53" s="44"/>
    </row>
    <row r="54" spans="2:53" s="6" customFormat="1" ht="15" customHeight="1" x14ac:dyDescent="0.15">
      <c r="B54" s="35"/>
      <c r="C54" s="1"/>
      <c r="D54" s="1"/>
      <c r="E54" s="1"/>
      <c r="F54" s="44"/>
      <c r="G54" s="44"/>
      <c r="H54" s="44"/>
      <c r="I54" s="176" t="s">
        <v>94</v>
      </c>
      <c r="J54" s="1"/>
      <c r="K54" s="211" cm="1">
        <f t="array" ref="K54">_xll.FDSB(Identifier,"FMA_ADVANCERS_VOL(0)")</f>
        <v>3199350.1547718002</v>
      </c>
      <c r="L54" s="74"/>
      <c r="N54" s="108"/>
      <c r="O54" s="102"/>
      <c r="P54" s="102"/>
      <c r="Q54" s="99"/>
      <c r="R54" s="6" t="str">
        <v>Materials</v>
      </c>
      <c r="S54" s="100"/>
      <c r="T54" s="1"/>
      <c r="V54" s="102">
        <v>1169765.816993</v>
      </c>
      <c r="W54" s="68"/>
      <c r="Y54" s="8"/>
      <c r="Z54" s="8"/>
      <c r="AA54" s="8"/>
      <c r="AD54" s="44"/>
      <c r="AE54" s="44"/>
    </row>
    <row r="55" spans="2:53" s="44" customFormat="1" ht="15" customHeight="1" x14ac:dyDescent="0.15">
      <c r="B55" s="28"/>
      <c r="C55" s="76"/>
      <c r="D55" s="76"/>
      <c r="E55" s="76"/>
      <c r="F55" s="6"/>
      <c r="G55" s="6"/>
      <c r="H55" s="6"/>
      <c r="I55" s="176" t="s">
        <v>95</v>
      </c>
      <c r="J55" s="76"/>
      <c r="K55" s="185" cm="1">
        <f t="array" ref="K55">_xll.FDSB(Identifier,"FMA_ADVANCERS_VOL_PCT(0)/100")</f>
        <v>0.813555402563506</v>
      </c>
      <c r="L55" s="64"/>
      <c r="N55" s="28"/>
      <c r="O55" s="113"/>
      <c r="P55" s="113"/>
      <c r="Q55" s="114"/>
      <c r="R55" s="6"/>
      <c r="S55" s="115"/>
      <c r="T55" s="6"/>
      <c r="U55" s="116"/>
      <c r="V55" s="113"/>
      <c r="W55" s="117"/>
      <c r="Y55" s="45"/>
      <c r="Z55" s="45"/>
      <c r="AA55" s="45"/>
      <c r="AD55" s="6"/>
      <c r="AE55" s="6"/>
      <c r="AF55" s="6"/>
      <c r="AG55" s="6"/>
      <c r="AX55" s="6"/>
      <c r="AY55" s="6"/>
      <c r="AZ55" s="6"/>
      <c r="BA55" s="6"/>
    </row>
    <row r="56" spans="2:53" s="6" customFormat="1" ht="15" customHeight="1" x14ac:dyDescent="0.15">
      <c r="B56" s="28"/>
      <c r="C56" s="1"/>
      <c r="D56" s="1"/>
      <c r="E56" s="1"/>
      <c r="I56" s="1"/>
      <c r="J56" s="1"/>
      <c r="K56" s="1"/>
      <c r="L56" s="64"/>
      <c r="N56" s="28"/>
      <c r="O56" s="113"/>
      <c r="P56" s="113"/>
      <c r="V56" s="113"/>
      <c r="W56" s="64"/>
      <c r="Y56" s="8"/>
      <c r="Z56" s="8"/>
      <c r="AA56" s="8"/>
    </row>
    <row r="57" spans="2:53" s="6" customFormat="1" ht="15" customHeight="1" x14ac:dyDescent="0.15">
      <c r="B57" s="28"/>
      <c r="C57" s="1"/>
      <c r="D57" s="1"/>
      <c r="E57" s="1"/>
      <c r="I57" s="176" t="s">
        <v>96</v>
      </c>
      <c r="J57" s="1"/>
      <c r="K57" s="177" cm="1">
        <f t="array" ref="K57">_xll.FDSB(Identifier,"FMA_DECLINERS(0)")</f>
        <v>83</v>
      </c>
      <c r="L57" s="64"/>
      <c r="N57" s="118"/>
      <c r="O57" s="59"/>
      <c r="P57" s="59"/>
      <c r="Q57" s="59"/>
      <c r="R57" s="59"/>
      <c r="S57" s="59"/>
      <c r="T57" s="59"/>
      <c r="U57" s="59"/>
      <c r="V57" s="59"/>
      <c r="W57" s="119"/>
      <c r="Y57" s="8"/>
      <c r="Z57" s="8"/>
      <c r="AA57" s="8"/>
      <c r="AF57" s="44"/>
      <c r="AG57" s="44"/>
    </row>
    <row r="58" spans="2:53" s="44" customFormat="1" ht="15" customHeight="1" x14ac:dyDescent="0.15">
      <c r="B58" s="28"/>
      <c r="C58" s="76"/>
      <c r="D58" s="76"/>
      <c r="E58" s="76"/>
      <c r="F58" s="6"/>
      <c r="G58" s="6"/>
      <c r="H58" s="6"/>
      <c r="I58" s="176" t="s">
        <v>93</v>
      </c>
      <c r="J58" s="1"/>
      <c r="K58" s="185" cm="1">
        <f t="array" ref="K58">_xll.FDSB(Identifier,"FMA_DECLINERS_PCT(0)/100")</f>
        <v>0.16500994035785299</v>
      </c>
      <c r="L58" s="64"/>
      <c r="Y58" s="45"/>
      <c r="Z58" s="45"/>
      <c r="AA58" s="45"/>
      <c r="AF58" s="6"/>
      <c r="AG58" s="6"/>
      <c r="AX58" s="6"/>
      <c r="AY58" s="6"/>
      <c r="AZ58" s="6"/>
      <c r="BA58" s="6"/>
    </row>
    <row r="59" spans="2:53" s="6" customFormat="1" ht="15" customHeight="1" x14ac:dyDescent="0.15">
      <c r="B59" s="28"/>
      <c r="C59" s="1"/>
      <c r="D59" s="1"/>
      <c r="E59" s="1"/>
      <c r="I59" s="1"/>
      <c r="J59" s="1"/>
      <c r="K59" s="1"/>
      <c r="L59" s="64"/>
      <c r="N59" s="21"/>
      <c r="O59" s="22"/>
      <c r="P59" s="22"/>
      <c r="Q59" s="22"/>
      <c r="R59" s="22"/>
      <c r="S59" s="22"/>
      <c r="T59" s="22"/>
      <c r="U59" s="22"/>
      <c r="V59" s="22"/>
      <c r="W59" s="24"/>
      <c r="Y59" s="8"/>
      <c r="Z59" s="8"/>
      <c r="AA59" s="8"/>
    </row>
    <row r="60" spans="2:53" s="6" customFormat="1" ht="15" customHeight="1" x14ac:dyDescent="0.15">
      <c r="B60" s="35"/>
      <c r="C60" s="1"/>
      <c r="D60" s="1"/>
      <c r="E60" s="1"/>
      <c r="F60" s="79"/>
      <c r="G60" s="79"/>
      <c r="H60" s="79"/>
      <c r="I60" s="176" t="s">
        <v>97</v>
      </c>
      <c r="J60" s="76"/>
      <c r="K60" s="211" cm="1">
        <f t="array" ref="K60">_xll.FDSB(Identifier,"FMA_DECLINERS_VOL(0)")</f>
        <v>706279.68634033203</v>
      </c>
      <c r="L60" s="64"/>
      <c r="N60" s="28"/>
      <c r="O60" s="95" cm="1">
        <f t="array" ref="O60">_xll.FDSB(Identifier,U60&amp;"SIZE(SECT)")</f>
        <v>11</v>
      </c>
      <c r="P60" s="95">
        <f>MATCH($T$60,$O$63:$O$68,0)</f>
        <v>1</v>
      </c>
      <c r="Q60" s="26" t="s">
        <v>229</v>
      </c>
      <c r="S60" s="94"/>
      <c r="T60" s="328" t="s">
        <v>99</v>
      </c>
      <c r="U60" s="97" t="str" cm="1">
        <f t="array" ref="U60">_xll.FDSB(Identifier,"STRING_ARRAY SECT=VALUE("""&amp;Identifier&amp;""",FG_INDUSTRY_BREAKDOWN(""ONE"",0));""""")</f>
        <v/>
      </c>
      <c r="V60" s="94" t="str" cm="1">
        <f t="array" ref="V60">_xll.FDSB("NOTICKER",U60&amp;"STRING_ARRAY sectperf=GET_FQL_ARRAY(TRANSPOSE(SECT),""P_SYMBOL"",""FG_CLASS_IDX"",""FG_PRICE_CHANGE(-"&amp;P62&amp;",0)/100"");""""")</f>
        <v/>
      </c>
      <c r="W60" s="64"/>
      <c r="Y60" s="8"/>
      <c r="Z60" s="8"/>
      <c r="AA60" s="8"/>
      <c r="AF60" s="44"/>
      <c r="AG60" s="44"/>
    </row>
    <row r="61" spans="2:53" s="44" customFormat="1" ht="15" customHeight="1" x14ac:dyDescent="0.15">
      <c r="B61" s="81"/>
      <c r="C61" s="76"/>
      <c r="D61" s="76"/>
      <c r="E61" s="76"/>
      <c r="F61" s="83"/>
      <c r="G61" s="83"/>
      <c r="H61" s="83"/>
      <c r="I61" s="176" t="s">
        <v>95</v>
      </c>
      <c r="J61" s="1"/>
      <c r="K61" s="185" cm="1">
        <f t="array" ref="K61">_xll.FDSB(Identifier,"FMA_DECLINERS_VOL_PCT(0)/100")</f>
        <v>0.17959823925056401</v>
      </c>
      <c r="L61" s="64"/>
      <c r="N61" s="28"/>
      <c r="O61" s="1"/>
      <c r="P61" s="1"/>
      <c r="Q61" s="1"/>
      <c r="R61" s="1"/>
      <c r="S61" s="1"/>
      <c r="T61" s="1"/>
      <c r="U61" s="1"/>
      <c r="V61" s="1"/>
      <c r="W61" s="64"/>
      <c r="Y61" s="45"/>
      <c r="Z61" s="45"/>
      <c r="AA61" s="45"/>
      <c r="AF61" s="6"/>
      <c r="AG61" s="6"/>
      <c r="AX61" s="6"/>
      <c r="AY61" s="6"/>
      <c r="AZ61" s="6"/>
      <c r="BA61" s="6"/>
    </row>
    <row r="62" spans="2:53" s="44" customFormat="1" ht="15" customHeight="1" x14ac:dyDescent="0.15">
      <c r="B62" s="28"/>
      <c r="C62" s="76"/>
      <c r="D62" s="76"/>
      <c r="E62" s="76"/>
      <c r="F62" s="86"/>
      <c r="G62" s="86"/>
      <c r="H62" s="86"/>
      <c r="I62" s="76"/>
      <c r="J62" s="76"/>
      <c r="K62" s="76"/>
      <c r="L62" s="64"/>
      <c r="N62" s="28"/>
      <c r="O62" s="65" t="str">
        <f>CHOOSE($P60,O63,O64,O65,O66,O67,O68)</f>
        <v>1 Day % Change</v>
      </c>
      <c r="P62" s="65" t="str">
        <f>CHOOSE($P60,P63,P64,P65,P66,P67,P68)</f>
        <v>1D</v>
      </c>
      <c r="Q62" s="120"/>
      <c r="R62" s="37" t="s">
        <v>37</v>
      </c>
      <c r="S62" s="120"/>
      <c r="T62" s="120"/>
      <c r="U62" s="76"/>
      <c r="V62" s="36" t="str">
        <f>O62</f>
        <v>1 Day % Change</v>
      </c>
      <c r="W62" s="54"/>
      <c r="Y62" s="45"/>
      <c r="Z62" s="45"/>
      <c r="AA62" s="45"/>
      <c r="AD62" s="6"/>
      <c r="AE62" s="6"/>
      <c r="AF62" s="6"/>
      <c r="AG62" s="6"/>
      <c r="AX62" s="6"/>
      <c r="AY62" s="6"/>
      <c r="AZ62" s="6"/>
      <c r="BA62" s="6"/>
    </row>
    <row r="63" spans="2:53" s="44" customFormat="1" ht="15" customHeight="1" x14ac:dyDescent="0.15">
      <c r="B63" s="87"/>
      <c r="C63" s="76"/>
      <c r="D63" s="76"/>
      <c r="E63" s="76"/>
      <c r="F63" s="88"/>
      <c r="G63" s="88"/>
      <c r="H63" s="88"/>
      <c r="I63" s="184" t="s">
        <v>98</v>
      </c>
      <c r="J63" s="76"/>
      <c r="K63" s="76"/>
      <c r="L63" s="64"/>
      <c r="N63" s="35"/>
      <c r="O63" s="80" t="s">
        <v>99</v>
      </c>
      <c r="P63" s="80" t="s">
        <v>100</v>
      </c>
      <c r="Q63" s="99"/>
      <c r="R63" s="6" t="str">
        <f t="array" ref="R63:R72">IF(O60&gt;1,_xll.FDSB("NOTICKER",V60&amp;"SUBARRAY(SORT_INDIRECT(transpose(sectperf[1].value),transpose(sectperf[2].value),2),0,10)"),"")</f>
        <v>Communication Services</v>
      </c>
      <c r="S63" s="100"/>
      <c r="T63" s="1"/>
      <c r="U63" s="101"/>
      <c r="V63" s="100">
        <f t="array" ref="V63:V72">IF(O60&gt;1,_xll.FDSB("NOTICKER",V60&amp;"SUBARRAY(SORT(transpose(sectperf[2].value),2),0,10)"),"")</f>
        <v>4.4163109999999998E-2</v>
      </c>
      <c r="W63" s="54"/>
      <c r="Y63" s="45"/>
      <c r="Z63" s="45"/>
      <c r="AA63" s="45"/>
      <c r="AD63" s="6"/>
      <c r="AE63" s="6"/>
      <c r="AX63" s="6"/>
      <c r="AY63" s="6"/>
      <c r="AZ63" s="6"/>
      <c r="BA63" s="6"/>
    </row>
    <row r="64" spans="2:53" s="6" customFormat="1" ht="15" customHeight="1" x14ac:dyDescent="0.15">
      <c r="B64" s="87"/>
      <c r="C64" s="1"/>
      <c r="D64" s="1"/>
      <c r="E64" s="1"/>
      <c r="F64" s="89"/>
      <c r="G64" s="89"/>
      <c r="H64" s="89"/>
      <c r="I64" s="1"/>
      <c r="J64" s="1"/>
      <c r="K64" s="1"/>
      <c r="L64" s="64"/>
      <c r="N64" s="28"/>
      <c r="O64" s="80" t="s">
        <v>101</v>
      </c>
      <c r="P64" s="80" t="s">
        <v>58</v>
      </c>
      <c r="Q64" s="99"/>
      <c r="R64" s="6" t="str">
        <v>Information Technology</v>
      </c>
      <c r="S64" s="100"/>
      <c r="T64" s="1"/>
      <c r="V64" s="100">
        <v>4.2350409999999998E-2</v>
      </c>
      <c r="W64" s="64"/>
      <c r="Y64" s="8"/>
      <c r="Z64" s="8"/>
      <c r="AA64" s="8"/>
      <c r="AD64" s="44"/>
      <c r="AE64" s="44"/>
      <c r="AF64" s="44"/>
      <c r="AG64" s="44"/>
    </row>
    <row r="65" spans="2:33" s="6" customFormat="1" ht="15" customHeight="1" x14ac:dyDescent="0.15">
      <c r="B65" s="87"/>
      <c r="C65" s="1"/>
      <c r="D65" s="1"/>
      <c r="E65" s="1"/>
      <c r="F65" s="89"/>
      <c r="G65" s="89"/>
      <c r="H65" s="89"/>
      <c r="I65" s="176" t="s">
        <v>102</v>
      </c>
      <c r="J65" s="1"/>
      <c r="K65" s="177">
        <f t="array" ref="K65">_xll.FDSB(Identifier,"MOVING_AVG(P_PRICE(-49D,0D,D),50)")</f>
        <v>6793.9175999999998</v>
      </c>
      <c r="L65" s="64"/>
      <c r="N65" s="28"/>
      <c r="O65" s="80" t="s">
        <v>103</v>
      </c>
      <c r="P65" s="80" t="s">
        <v>62</v>
      </c>
      <c r="Q65" s="99"/>
      <c r="R65" s="6" t="str">
        <v>Consumer Discretionary</v>
      </c>
      <c r="S65" s="100"/>
      <c r="T65" s="1"/>
      <c r="V65" s="100">
        <v>3.2762646999999999E-2</v>
      </c>
      <c r="W65" s="64"/>
      <c r="Y65" s="8"/>
      <c r="Z65" s="8"/>
      <c r="AA65" s="8"/>
      <c r="AD65" s="44"/>
      <c r="AE65" s="44"/>
      <c r="AF65" s="44"/>
      <c r="AG65" s="44"/>
    </row>
    <row r="66" spans="2:33" s="6" customFormat="1" ht="15" customHeight="1" x14ac:dyDescent="0.15">
      <c r="B66" s="87"/>
      <c r="C66" s="1"/>
      <c r="D66" s="1"/>
      <c r="E66" s="1"/>
      <c r="F66" s="89"/>
      <c r="G66" s="89"/>
      <c r="H66" s="89"/>
      <c r="I66" s="176" t="s">
        <v>104</v>
      </c>
      <c r="J66" s="1"/>
      <c r="K66" s="177" cm="1">
        <f t="array" ref="K66">_xll.FDSB(Identifier,"FMA_PCT_ABOVE_MAVG(50,0)")</f>
        <v>22.862823061630198</v>
      </c>
      <c r="L66" s="64"/>
      <c r="N66" s="28"/>
      <c r="O66" s="80" t="s">
        <v>105</v>
      </c>
      <c r="P66" s="80" t="s">
        <v>66</v>
      </c>
      <c r="Q66" s="99"/>
      <c r="R66" s="6" t="str">
        <v>Industrials</v>
      </c>
      <c r="S66" s="100"/>
      <c r="T66" s="1"/>
      <c r="V66" s="100">
        <v>3.2351255000000002E-2</v>
      </c>
      <c r="W66" s="64"/>
      <c r="Y66" s="8"/>
      <c r="Z66" s="8"/>
      <c r="AA66" s="8"/>
      <c r="AD66" s="44"/>
      <c r="AE66" s="44"/>
    </row>
    <row r="67" spans="2:33" s="6" customFormat="1" ht="15" customHeight="1" x14ac:dyDescent="0.15">
      <c r="B67" s="28"/>
      <c r="C67" s="1"/>
      <c r="D67" s="1"/>
      <c r="E67" s="1"/>
      <c r="F67" s="86"/>
      <c r="G67" s="86"/>
      <c r="H67" s="86"/>
      <c r="I67" s="176" t="s">
        <v>106</v>
      </c>
      <c r="J67" s="1"/>
      <c r="K67" s="177" cm="1">
        <f t="array" ref="K67">_xll.FDSB(Identifier,"FMA_PCT_BELOW_MAVG(50,0)")</f>
        <v>77.137176938369805</v>
      </c>
      <c r="L67" s="64"/>
      <c r="N67" s="28"/>
      <c r="O67" s="80" t="s">
        <v>107</v>
      </c>
      <c r="P67" s="80" t="s">
        <v>68</v>
      </c>
      <c r="Q67" s="99"/>
      <c r="R67" s="6" t="str">
        <v>Financials</v>
      </c>
      <c r="S67" s="100"/>
      <c r="T67" s="1"/>
      <c r="V67" s="100">
        <v>2.1266341000000001E-2</v>
      </c>
      <c r="W67" s="64"/>
      <c r="Y67" s="8"/>
      <c r="Z67" s="8"/>
      <c r="AA67" s="8"/>
    </row>
    <row r="68" spans="2:33" s="6" customFormat="1" ht="15" customHeight="1" x14ac:dyDescent="0.15">
      <c r="B68" s="35"/>
      <c r="C68" s="93"/>
      <c r="E68" s="86"/>
      <c r="F68" s="86"/>
      <c r="G68" s="86"/>
      <c r="H68" s="86"/>
      <c r="I68" s="1"/>
      <c r="J68" s="1"/>
      <c r="K68" s="3"/>
      <c r="L68" s="74"/>
      <c r="N68" s="28"/>
      <c r="O68" s="80" t="s">
        <v>108</v>
      </c>
      <c r="P68" s="80" t="s">
        <v>72</v>
      </c>
      <c r="Q68" s="99"/>
      <c r="R68" s="6" t="str">
        <v>Health Care</v>
      </c>
      <c r="S68" s="100"/>
      <c r="T68" s="1"/>
      <c r="V68" s="100">
        <v>1.9407272E-2</v>
      </c>
      <c r="W68" s="64"/>
      <c r="Y68" s="8"/>
      <c r="Z68" s="8"/>
      <c r="AA68" s="8"/>
    </row>
    <row r="69" spans="2:33" s="6" customFormat="1" ht="15" customHeight="1" x14ac:dyDescent="0.15">
      <c r="B69" s="87"/>
      <c r="C69" s="82"/>
      <c r="D69" s="42"/>
      <c r="E69" s="94"/>
      <c r="F69" s="94"/>
      <c r="G69" s="94"/>
      <c r="H69" s="94"/>
      <c r="I69" s="1"/>
      <c r="J69" s="1"/>
      <c r="K69" s="3"/>
      <c r="L69" s="64"/>
      <c r="N69" s="28"/>
      <c r="O69" s="100"/>
      <c r="P69" s="100"/>
      <c r="Q69" s="99"/>
      <c r="R69" s="6" t="str">
        <v>Materials</v>
      </c>
      <c r="S69" s="100"/>
      <c r="T69" s="1"/>
      <c r="V69" s="100">
        <v>1.8511534E-2</v>
      </c>
      <c r="W69" s="64"/>
      <c r="Y69" s="8"/>
      <c r="Z69" s="8"/>
      <c r="AA69" s="8"/>
    </row>
    <row r="70" spans="2:33" s="6" customFormat="1" ht="15" customHeight="1" x14ac:dyDescent="0.15">
      <c r="B70" s="28"/>
      <c r="C70" s="84"/>
      <c r="D70" s="78"/>
      <c r="E70" s="86"/>
      <c r="F70" s="86"/>
      <c r="G70" s="86"/>
      <c r="H70" s="86"/>
      <c r="I70" s="176" t="s">
        <v>109</v>
      </c>
      <c r="J70" s="1"/>
      <c r="K70" s="177">
        <f t="array" ref="K70">_xll.FDSB(Identifier,"MOVING_AVG(P_PRICE(-199D,0D,D),200)")</f>
        <v>6638.8581000000004</v>
      </c>
      <c r="L70" s="64"/>
      <c r="N70" s="28"/>
      <c r="O70" s="100"/>
      <c r="P70" s="100"/>
      <c r="Q70" s="99"/>
      <c r="R70" s="6" t="str">
        <v>Real Estate</v>
      </c>
      <c r="S70" s="100"/>
      <c r="T70" s="1"/>
      <c r="V70" s="100">
        <v>1.4975667E-2</v>
      </c>
      <c r="W70" s="64"/>
      <c r="Y70" s="8"/>
      <c r="Z70" s="8"/>
      <c r="AA70" s="8"/>
    </row>
    <row r="71" spans="2:33" s="6" customFormat="1" ht="15" customHeight="1" x14ac:dyDescent="0.15">
      <c r="B71" s="35"/>
      <c r="C71" s="93"/>
      <c r="D71" s="78"/>
      <c r="E71" s="86"/>
      <c r="F71" s="86"/>
      <c r="G71" s="86"/>
      <c r="H71" s="86"/>
      <c r="I71" s="176" t="s">
        <v>104</v>
      </c>
      <c r="J71" s="1"/>
      <c r="K71" s="177" cm="1">
        <f t="array" ref="K71">_xll.FDSB(Identifier,"FMA_PCT_ABOVE_MAVG(200,0)")</f>
        <v>46.812749003984102</v>
      </c>
      <c r="L71" s="74"/>
      <c r="N71" s="28"/>
      <c r="O71" s="100"/>
      <c r="P71" s="100"/>
      <c r="Q71" s="99"/>
      <c r="R71" s="6" t="str">
        <v>Consumer Staples</v>
      </c>
      <c r="S71" s="100"/>
      <c r="T71" s="1"/>
      <c r="V71" s="100">
        <v>1.7011165999999999E-4</v>
      </c>
      <c r="W71" s="64"/>
      <c r="Y71" s="8"/>
      <c r="Z71" s="8"/>
      <c r="AA71" s="8"/>
    </row>
    <row r="72" spans="2:33" s="6" customFormat="1" ht="15" customHeight="1" x14ac:dyDescent="0.15">
      <c r="B72" s="35"/>
      <c r="C72" s="1"/>
      <c r="E72" s="86"/>
      <c r="F72" s="86"/>
      <c r="G72" s="1"/>
      <c r="H72" s="86"/>
      <c r="I72" s="176" t="s">
        <v>106</v>
      </c>
      <c r="J72" s="1"/>
      <c r="K72" s="177" cm="1">
        <f t="array" ref="K72">_xll.FDSB(Identifier,"FMA_PCT_BELOW_MAVG(200,0)")</f>
        <v>53.187250996015898</v>
      </c>
      <c r="L72" s="74"/>
      <c r="N72" s="28"/>
      <c r="O72" s="100"/>
      <c r="P72" s="100"/>
      <c r="Q72" s="99"/>
      <c r="R72" s="6" t="str">
        <v>Utilities</v>
      </c>
      <c r="S72" s="100"/>
      <c r="T72" s="1"/>
      <c r="V72" s="100">
        <v>-8.691549E-4</v>
      </c>
      <c r="W72" s="64"/>
      <c r="Y72" s="8"/>
      <c r="Z72" s="8"/>
      <c r="AA72" s="8"/>
    </row>
    <row r="73" spans="2:33" s="6" customFormat="1" ht="13.5" customHeight="1" x14ac:dyDescent="0.15">
      <c r="B73" s="57"/>
      <c r="C73" s="91"/>
      <c r="D73" s="104"/>
      <c r="E73" s="104"/>
      <c r="F73" s="104"/>
      <c r="G73" s="91"/>
      <c r="H73" s="105"/>
      <c r="I73" s="106"/>
      <c r="J73" s="105"/>
      <c r="K73" s="105"/>
      <c r="L73" s="107"/>
      <c r="N73" s="49"/>
      <c r="O73" s="121"/>
      <c r="P73" s="121"/>
      <c r="Q73" s="121"/>
      <c r="R73" s="121"/>
      <c r="S73" s="121"/>
      <c r="T73" s="121"/>
      <c r="U73" s="121"/>
      <c r="V73" s="121"/>
      <c r="W73" s="122"/>
      <c r="Y73" s="8"/>
      <c r="Z73" s="8"/>
      <c r="AA73" s="8"/>
    </row>
    <row r="74" spans="2:33" s="6" customFormat="1" ht="13.5" customHeight="1" x14ac:dyDescent="0.15">
      <c r="B74" s="123"/>
      <c r="C74" s="124"/>
      <c r="D74" s="20"/>
      <c r="E74" s="94"/>
      <c r="F74" s="94"/>
      <c r="G74" s="94"/>
      <c r="H74" s="94"/>
      <c r="I74" s="94"/>
      <c r="J74" s="94"/>
      <c r="K74" s="94"/>
      <c r="Y74" s="8"/>
      <c r="Z74" s="8"/>
      <c r="AA74" s="8"/>
    </row>
    <row r="75" spans="2:33" s="6" customFormat="1" ht="13.5" customHeight="1" x14ac:dyDescent="0.15">
      <c r="B75" s="125"/>
      <c r="C75" s="126"/>
      <c r="D75" s="126"/>
      <c r="E75" s="126"/>
      <c r="F75" s="126"/>
      <c r="G75" s="126"/>
      <c r="H75" s="126"/>
      <c r="I75" s="126"/>
      <c r="J75" s="126"/>
      <c r="K75" s="126"/>
      <c r="L75" s="126"/>
      <c r="M75" s="126"/>
      <c r="N75" s="126"/>
      <c r="O75" s="126"/>
      <c r="P75" s="126"/>
      <c r="Q75" s="126"/>
      <c r="R75" s="126"/>
      <c r="S75" s="126"/>
      <c r="T75" s="126"/>
      <c r="U75" s="126"/>
      <c r="V75" s="126"/>
      <c r="W75" s="127"/>
      <c r="Y75" s="8"/>
      <c r="Z75" s="8"/>
      <c r="AA75" s="8"/>
    </row>
    <row r="76" spans="2:33" s="6" customFormat="1" ht="13.5" customHeight="1" x14ac:dyDescent="0.15">
      <c r="B76" s="128"/>
      <c r="C76" s="175" t="s">
        <v>110</v>
      </c>
      <c r="D76"/>
      <c r="E76"/>
      <c r="F76"/>
      <c r="G76"/>
      <c r="H76"/>
      <c r="I76"/>
      <c r="J76"/>
      <c r="K76"/>
      <c r="L76"/>
      <c r="M76"/>
      <c r="N76"/>
      <c r="O76"/>
      <c r="P76" t="str" cm="1">
        <f t="array" ref="P76">_xll.FDSB(Identifier,"STRING_ARRAY SECT=TRANSPOSE(FG_INDUSTRY_BREAKDOWN(""FOUR"",0));""""")</f>
        <v/>
      </c>
      <c r="Q76"/>
      <c r="R76"/>
      <c r="S76"/>
      <c r="T76"/>
      <c r="W76" s="129"/>
      <c r="Y76" s="8"/>
      <c r="Z76" s="8"/>
      <c r="AA76" s="8"/>
    </row>
    <row r="77" spans="2:33" s="6" customFormat="1" ht="13.5" customHeight="1" x14ac:dyDescent="0.15">
      <c r="B77" s="128"/>
      <c r="D77"/>
      <c r="E77"/>
      <c r="F77"/>
      <c r="G77"/>
      <c r="H77"/>
      <c r="I77"/>
      <c r="J77"/>
      <c r="K77"/>
      <c r="L77"/>
      <c r="M77"/>
      <c r="N77"/>
      <c r="O77"/>
      <c r="P77"/>
      <c r="Q77"/>
      <c r="R77"/>
      <c r="S77"/>
      <c r="T77"/>
      <c r="U77"/>
      <c r="V77"/>
      <c r="W77" s="129"/>
      <c r="Y77" s="8"/>
      <c r="Z77" s="8"/>
      <c r="AA77" s="8"/>
    </row>
    <row r="78" spans="2:33" s="65" customFormat="1" ht="15" customHeight="1" x14ac:dyDescent="0.15">
      <c r="B78" s="212"/>
      <c r="C78" s="218"/>
      <c r="D78" s="219"/>
      <c r="E78" s="219"/>
      <c r="F78" s="220" t="s">
        <v>111</v>
      </c>
      <c r="G78" s="220" t="s">
        <v>111</v>
      </c>
      <c r="H78" s="220" t="s">
        <v>111</v>
      </c>
      <c r="I78" s="220" t="s">
        <v>111</v>
      </c>
      <c r="J78" s="221"/>
      <c r="K78" s="222" t="s">
        <v>112</v>
      </c>
      <c r="L78" s="221"/>
      <c r="M78" s="221"/>
      <c r="N78" s="223"/>
      <c r="O78" s="219"/>
      <c r="P78" s="219"/>
      <c r="Q78" s="222" t="s">
        <v>113</v>
      </c>
      <c r="R78" s="222" t="s">
        <v>113</v>
      </c>
      <c r="S78" s="222" t="s">
        <v>113</v>
      </c>
      <c r="T78" s="222" t="s">
        <v>113</v>
      </c>
      <c r="U78" s="223"/>
      <c r="V78" s="224"/>
      <c r="W78" s="213"/>
      <c r="Y78" s="214"/>
      <c r="Z78" s="214"/>
      <c r="AA78" s="214"/>
      <c r="AB78" s="6"/>
      <c r="AC78" s="6"/>
      <c r="AD78" s="6"/>
      <c r="AE78" s="6"/>
      <c r="AF78" s="6"/>
      <c r="AG78" s="6"/>
    </row>
    <row r="79" spans="2:33" s="65" customFormat="1" ht="15" customHeight="1" x14ac:dyDescent="0.15">
      <c r="B79" s="212"/>
      <c r="C79" s="215"/>
      <c r="D79" s="215"/>
      <c r="E79" s="215"/>
      <c r="F79" s="215" t="s">
        <v>114</v>
      </c>
      <c r="G79" s="215" t="s">
        <v>115</v>
      </c>
      <c r="H79" s="215" t="s">
        <v>116</v>
      </c>
      <c r="I79" s="215" t="s">
        <v>117</v>
      </c>
      <c r="J79" s="216"/>
      <c r="K79" s="216"/>
      <c r="L79" s="216"/>
      <c r="M79" s="216"/>
      <c r="N79" s="215"/>
      <c r="O79" s="215"/>
      <c r="P79" s="215"/>
      <c r="Q79" s="215" t="s">
        <v>114</v>
      </c>
      <c r="R79" s="215" t="s">
        <v>115</v>
      </c>
      <c r="S79" s="215" t="s">
        <v>116</v>
      </c>
      <c r="T79" s="215" t="s">
        <v>117</v>
      </c>
      <c r="U79" s="215"/>
      <c r="V79" s="217" t="s">
        <v>118</v>
      </c>
      <c r="W79" s="213"/>
      <c r="Y79" s="214"/>
      <c r="Z79" s="214"/>
      <c r="AA79" s="214"/>
      <c r="AB79" s="6"/>
      <c r="AC79" s="6"/>
      <c r="AD79" s="6"/>
      <c r="AE79" s="6"/>
      <c r="AF79" s="6"/>
      <c r="AG79" s="6"/>
    </row>
    <row r="80" spans="2:33" s="6" customFormat="1" ht="15" customHeight="1" x14ac:dyDescent="0.15">
      <c r="B80" s="128"/>
      <c r="C80" s="176" t="str" cm="1">
        <f t="array" ref="C80">_xll.FDS(Identifier,"FG_NAME_IDX")</f>
        <v>S&amp;P 500</v>
      </c>
      <c r="D80" s="176"/>
      <c r="E80" s="176"/>
      <c r="F80" s="177" cm="1">
        <f t="array" ref="F80">_xll.FDS(Identifier,"FMA_PEX(LTM,0,,,""PORTAGG"")")</f>
        <v>25.569075621000199</v>
      </c>
      <c r="G80" s="177" cm="1">
        <f t="array" ref="G80">_xll.FDS(Identifier,"FMA_PE(NTMA,0,,,""PORTAGG"",""MEANR"")")</f>
        <v>19.677394098696801</v>
      </c>
      <c r="H80" s="177" cm="1">
        <f t="array" ref="H80">_xll.FDS(Identifier,"FMA_PE(+1,0,,,""PORTAGG"",""MEANR"")")</f>
        <v>20.386828742756599</v>
      </c>
      <c r="I80" s="177" cm="1">
        <f t="array" ref="I80">_xll.FDS(Identifier,"FMA_PE(+2,0,,,""PORTAGG"",""MEANR"")")</f>
        <v>17.509677130736598</v>
      </c>
      <c r="J80" s="177"/>
      <c r="K80" s="177" cm="1">
        <f t="array" ref="K80">_xll.FDS(Identifier,"FMA_DIV_YLD(LTM,0,,,""PORTAGG"",""MEANR"")")</f>
        <v>1.17414006160271</v>
      </c>
      <c r="L80" s="177"/>
      <c r="M80" s="177"/>
      <c r="N80" s="177"/>
      <c r="O80" s="177"/>
      <c r="P80" s="177"/>
      <c r="Q80" s="177" cm="1">
        <f t="array" ref="Q80">_xll.FDS(Identifier,"FMA_PBK(LTM,0,,,""PORTAGG"",""MEANR"")")</f>
        <v>5.0039832599724603</v>
      </c>
      <c r="R80" s="177" cm="1">
        <f t="array" ref="R80">_xll.FDS(Identifier,"FMA_PBK(NTMA,0,,,""PORTAGG"",""MEANR"")")</f>
        <v>4.32465553253114</v>
      </c>
      <c r="S80" s="177" cm="1">
        <f t="array" ref="S80">_xll.FDS(Identifier,"FMA_PBK(+1,0,,,""PORTAGG"",""MEANR"")")</f>
        <v>4.4649854073167603</v>
      </c>
      <c r="T80" s="177" cm="1">
        <f t="array" ref="T80">_xll.FDS(Identifier,"FMA_PBK(+2,0,,,""PORTAGG"",""MEANR"")")</f>
        <v>3.8958698040195001</v>
      </c>
      <c r="U80" s="178"/>
      <c r="V80" s="181" t="str">
        <f>IDXSNAPSHOT_RWIdentifier</f>
        <v>000001172</v>
      </c>
      <c r="W80" s="129"/>
      <c r="Y80" s="8"/>
      <c r="Z80" s="8"/>
      <c r="AA80" s="8"/>
      <c r="AF80" s="65"/>
      <c r="AG80" s="65"/>
    </row>
    <row r="81" spans="2:33" s="6" customFormat="1" ht="15" customHeight="1" x14ac:dyDescent="0.15">
      <c r="B81" s="128"/>
      <c r="C81" s="180" t="str" cm="1">
        <f t="array" ref="C81:C91">_xll.FDSB(Identifier,$P$76&amp;"GET_FQL_ARRAY(TRANSPOSE(SECT),""FG_CLASS_IDX"")")</f>
        <v>Energy</v>
      </c>
      <c r="D81" s="176"/>
      <c r="E81" s="176"/>
      <c r="F81" s="177" cm="1">
        <f t="array" ref="F81:F91">_xll.FDSB(Identifier,$P$76&amp;"GET_FQL_ARRAY(TRANSPOSE(SECT),""FMA_PEX(LTM,0,,,\""PORTAGG\"")"")")</f>
        <v>22.449727833690901</v>
      </c>
      <c r="G81" s="177" cm="1">
        <f t="array" ref="G81:G91">_xll.FDSB(Identifier,$P$76&amp;"GET_FQL_ARRAY(TRANSPOSE(SECT),""FMA_PE(NTMA,0,,,\""PORTAGG\"",\""MEANR\"")"")")</f>
        <v>19.642117753875102</v>
      </c>
      <c r="H81" s="177" cm="1">
        <f t="array" ref="H81:H91">_xll.FDSB(Identifier,$P$76&amp;"GET_FQL_ARRAY(TRANSPOSE(SECT),""FMA_PE(+1,0,,,\""PORTAGG\"",\""MEANR\"")"")")</f>
        <v>20.1528487483512</v>
      </c>
      <c r="I81" s="177" cm="1">
        <f t="array" ref="I81:I91">_xll.FDSB(Identifier,$P$76&amp;"GET_FQL_ARRAY(TRANSPOSE(SECT),""FMA_PE(+2,0,,,\""PORTAGG\"",\""MEANR\"")"")")</f>
        <v>18.081550826309101</v>
      </c>
      <c r="J81" s="177"/>
      <c r="K81" s="177" cm="1">
        <f t="array" ref="K81:K91">_xll.FDSB(Identifier,$P$76&amp;"GET_FQL_ARRAY(TRANSPOSE(SECT),""FMA_DIV_YLD(LTM,0,,,\""PORTAGG\"",\""MEANR\"")"")")</f>
        <v>2.4759430141943399</v>
      </c>
      <c r="L81" s="177"/>
      <c r="M81" s="177"/>
      <c r="N81" s="177"/>
      <c r="O81" s="177"/>
      <c r="P81" s="177"/>
      <c r="Q81" s="177" cm="1">
        <f t="array" ref="Q81:Q91">_xll.FDSB(Identifier,$P$76&amp;"GET_FQL_ARRAY(TRANSPOSE(SECT),""FMA_PBK(LTM,0,,,\""PORTAGG\"",\""MEANR\"")"")")</f>
        <v>2.62887562111634</v>
      </c>
      <c r="R81" s="177" cm="1">
        <f t="array" ref="R81:R91">_xll.FDSB(Identifier,$P$76&amp;"GET_FQL_ARRAY(TRANSPOSE(SECT),""FMA_PBK(NTMA,0,,,\""PORTAGG\"",\""MEANR\"")"")")</f>
        <v>2.4973423156107399</v>
      </c>
      <c r="S81" s="177" cm="1">
        <f t="array" ref="S81:S91">_xll.FDSB(Identifier,$P$76&amp;"GET_FQL_ARRAY(TRANSPOSE(SECT),""FMA_PBK(+1,0,,,\""PORTAGG\"",\""MEANR\"")"")")</f>
        <v>2.5208583380637699</v>
      </c>
      <c r="T81" s="177" cm="1">
        <f t="array" ref="T81:T91">_xll.FDSB(Identifier,$P$76&amp;"GET_FQL_ARRAY(TRANSPOSE(SECT),""FMA_PBK(+2,0,,,\""PORTAGG\"",\""MEANR\"")"")")</f>
        <v>2.4254878025597901</v>
      </c>
      <c r="U81" s="178"/>
      <c r="V81" s="181" t="str" cm="1">
        <f t="array" ref="V81:V91">_xll.FDSB(Identifier,$P$76&amp;"SECT")</f>
        <v>99900001</v>
      </c>
      <c r="W81" s="129"/>
      <c r="Y81" s="8"/>
      <c r="Z81" s="8"/>
      <c r="AA81" s="8"/>
      <c r="AD81" s="65"/>
      <c r="AE81" s="65"/>
      <c r="AF81" s="65"/>
      <c r="AG81" s="65"/>
    </row>
    <row r="82" spans="2:33" s="6" customFormat="1" ht="15" customHeight="1" x14ac:dyDescent="0.15">
      <c r="B82" s="128"/>
      <c r="C82" s="180" t="str">
        <v>Materials</v>
      </c>
      <c r="D82" s="176"/>
      <c r="E82" s="176"/>
      <c r="F82" s="177">
        <v>26.178097620092501</v>
      </c>
      <c r="G82" s="177">
        <v>18.859378639005801</v>
      </c>
      <c r="H82" s="177">
        <v>19.450954743040199</v>
      </c>
      <c r="I82" s="177">
        <v>17.0517849877895</v>
      </c>
      <c r="J82" s="177"/>
      <c r="K82" s="177">
        <v>1.6901951234882</v>
      </c>
      <c r="L82" s="177"/>
      <c r="M82" s="177"/>
      <c r="N82" s="177"/>
      <c r="O82" s="177"/>
      <c r="P82" s="177"/>
      <c r="Q82" s="177">
        <v>3.24917101317053</v>
      </c>
      <c r="R82" s="177">
        <v>2.9635663737153499</v>
      </c>
      <c r="S82" s="177">
        <v>3.0235523011670802</v>
      </c>
      <c r="T82" s="177">
        <v>2.7802760398350599</v>
      </c>
      <c r="U82" s="178"/>
      <c r="V82" s="181" t="str">
        <v>99900037</v>
      </c>
      <c r="W82" s="129"/>
      <c r="Y82" s="8"/>
      <c r="Z82" s="8"/>
      <c r="AA82" s="8"/>
      <c r="AD82" s="65"/>
      <c r="AE82" s="65"/>
    </row>
    <row r="83" spans="2:33" s="6" customFormat="1" ht="15" customHeight="1" x14ac:dyDescent="0.15">
      <c r="B83" s="128"/>
      <c r="C83" s="180" t="str">
        <v>Industrials</v>
      </c>
      <c r="D83" s="176"/>
      <c r="E83" s="176"/>
      <c r="F83" s="177">
        <v>27.900133895323801</v>
      </c>
      <c r="G83" s="177">
        <v>24.2842359679391</v>
      </c>
      <c r="H83" s="177">
        <v>25.167843905421702</v>
      </c>
      <c r="I83" s="177">
        <v>21.5843228256313</v>
      </c>
      <c r="J83" s="177"/>
      <c r="K83" s="177">
        <v>1.15109167205492</v>
      </c>
      <c r="L83" s="177"/>
      <c r="M83" s="177"/>
      <c r="N83" s="177"/>
      <c r="O83" s="177"/>
      <c r="P83" s="177"/>
      <c r="Q83" s="177">
        <v>6.9468484832022197</v>
      </c>
      <c r="R83" s="177">
        <v>6.10790153865584</v>
      </c>
      <c r="S83" s="177">
        <v>6.2805974092525396</v>
      </c>
      <c r="T83" s="177">
        <v>5.5802197118325596</v>
      </c>
      <c r="U83" s="178"/>
      <c r="V83" s="181" t="str">
        <v>99900125</v>
      </c>
      <c r="W83" s="129"/>
      <c r="Y83" s="8"/>
      <c r="Z83" s="8"/>
      <c r="AA83" s="8"/>
      <c r="AB83" s="65"/>
      <c r="AC83" s="65"/>
    </row>
    <row r="84" spans="2:33" s="6" customFormat="1" ht="15" customHeight="1" x14ac:dyDescent="0.15">
      <c r="B84" s="128"/>
      <c r="C84" s="180" t="str">
        <v>Consumer Discretionary</v>
      </c>
      <c r="D84" s="176"/>
      <c r="E84" s="176"/>
      <c r="F84" s="177">
        <v>31.347598733670601</v>
      </c>
      <c r="G84" s="177">
        <v>25.5411459396901</v>
      </c>
      <c r="H84" s="177">
        <v>26.4834649028492</v>
      </c>
      <c r="I84" s="177">
        <v>22.661837996703799</v>
      </c>
      <c r="J84" s="177"/>
      <c r="K84" s="177">
        <v>0.67720263132034397</v>
      </c>
      <c r="L84" s="177"/>
      <c r="M84" s="177"/>
      <c r="N84" s="177"/>
      <c r="O84" s="177"/>
      <c r="P84" s="177"/>
      <c r="Q84" s="177">
        <v>8.1655500670836894</v>
      </c>
      <c r="R84" s="177">
        <v>6.4947257488515699</v>
      </c>
      <c r="S84" s="177">
        <v>6.7931916861749402</v>
      </c>
      <c r="T84" s="177">
        <v>5.5827464959190403</v>
      </c>
      <c r="U84" s="178"/>
      <c r="V84" s="181" t="str">
        <v>99900285</v>
      </c>
      <c r="W84" s="129"/>
      <c r="Y84" s="8"/>
      <c r="Z84" s="8"/>
      <c r="AA84" s="8"/>
      <c r="AB84" s="65"/>
      <c r="AC84" s="65"/>
    </row>
    <row r="85" spans="2:33" s="6" customFormat="1" ht="15" customHeight="1" x14ac:dyDescent="0.15">
      <c r="B85" s="128"/>
      <c r="C85" s="180" t="str">
        <v>Consumer Staples</v>
      </c>
      <c r="D85" s="176"/>
      <c r="E85" s="176"/>
      <c r="F85" s="177">
        <v>24.6664730660722</v>
      </c>
      <c r="G85" s="177">
        <v>21.9666264738776</v>
      </c>
      <c r="H85" s="177">
        <v>22.374999927084001</v>
      </c>
      <c r="I85" s="177">
        <v>20.718818700191498</v>
      </c>
      <c r="J85" s="177"/>
      <c r="K85" s="177">
        <v>2.3826230962309198</v>
      </c>
      <c r="L85" s="177"/>
      <c r="M85" s="177"/>
      <c r="N85" s="177"/>
      <c r="O85" s="177"/>
      <c r="P85" s="177"/>
      <c r="Q85" s="177">
        <v>6.9998641502160304</v>
      </c>
      <c r="R85" s="177">
        <v>6.2243294424177504</v>
      </c>
      <c r="S85" s="177">
        <v>6.3566338485369203</v>
      </c>
      <c r="T85" s="177">
        <v>5.82006597927586</v>
      </c>
      <c r="U85" s="178"/>
      <c r="V85" s="181" t="str">
        <v>99900477</v>
      </c>
      <c r="W85" s="129"/>
      <c r="Y85" s="8"/>
      <c r="Z85" s="8"/>
      <c r="AA85" s="8"/>
    </row>
    <row r="86" spans="2:33" s="6" customFormat="1" ht="15" customHeight="1" x14ac:dyDescent="0.15">
      <c r="B86" s="128"/>
      <c r="C86" s="180" t="str">
        <v>Health Care</v>
      </c>
      <c r="D86" s="176"/>
      <c r="E86" s="176"/>
      <c r="F86" s="177">
        <v>22.446783575688499</v>
      </c>
      <c r="G86" s="177">
        <v>17.195040842885099</v>
      </c>
      <c r="H86" s="177">
        <v>17.7389557508058</v>
      </c>
      <c r="I86" s="177">
        <v>15.5330786242387</v>
      </c>
      <c r="J86" s="177"/>
      <c r="K86" s="177">
        <v>1.7569097967273499</v>
      </c>
      <c r="L86" s="177"/>
      <c r="M86" s="177"/>
      <c r="N86" s="177"/>
      <c r="O86" s="177"/>
      <c r="P86" s="177"/>
      <c r="Q86" s="177">
        <v>4.8209128101195997</v>
      </c>
      <c r="R86" s="177">
        <v>4.1714300839191898</v>
      </c>
      <c r="S86" s="177">
        <v>4.2878243399974796</v>
      </c>
      <c r="T86" s="177">
        <v>3.8157809681243999</v>
      </c>
      <c r="U86" s="178"/>
      <c r="V86" s="181" t="str">
        <v>99900565</v>
      </c>
      <c r="W86" s="129"/>
      <c r="Y86" s="8"/>
      <c r="Z86" s="8"/>
      <c r="AA86" s="8"/>
    </row>
    <row r="87" spans="2:33" s="6" customFormat="1" ht="15" customHeight="1" x14ac:dyDescent="0.15">
      <c r="B87" s="128"/>
      <c r="C87" s="180" t="str">
        <v>Financials</v>
      </c>
      <c r="D87" s="176"/>
      <c r="E87" s="176"/>
      <c r="F87" s="177">
        <v>16.894602950332601</v>
      </c>
      <c r="G87" s="177">
        <v>14.339878947084999</v>
      </c>
      <c r="H87" s="177">
        <v>14.715602002472499</v>
      </c>
      <c r="I87" s="177">
        <v>13.1918362778454</v>
      </c>
      <c r="J87" s="177"/>
      <c r="K87" s="177">
        <v>1.55844964719218</v>
      </c>
      <c r="L87" s="177"/>
      <c r="M87" s="177"/>
      <c r="N87" s="177"/>
      <c r="O87" s="177"/>
      <c r="P87" s="177"/>
      <c r="Q87" s="177">
        <v>2.0820149154796601</v>
      </c>
      <c r="R87" s="177">
        <v>1.9747307070545299</v>
      </c>
      <c r="S87" s="177">
        <v>2.0092351690863399</v>
      </c>
      <c r="T87" s="177">
        <v>1.86930040640178</v>
      </c>
      <c r="U87" s="178"/>
      <c r="V87" s="181" t="str">
        <v>99900621</v>
      </c>
      <c r="W87" s="129"/>
      <c r="Y87" s="8"/>
      <c r="Z87" s="8"/>
      <c r="AA87" s="8"/>
    </row>
    <row r="88" spans="2:33" s="6" customFormat="1" ht="15" customHeight="1" x14ac:dyDescent="0.15">
      <c r="B88" s="128"/>
      <c r="C88" s="180" t="str">
        <v>Information Technology</v>
      </c>
      <c r="D88" s="176"/>
      <c r="E88" s="176"/>
      <c r="F88" s="177">
        <v>32.919363979438103</v>
      </c>
      <c r="G88" s="177">
        <v>20.877892564957101</v>
      </c>
      <c r="H88" s="177">
        <v>21.912216426429602</v>
      </c>
      <c r="I88" s="177">
        <v>17.717458543791199</v>
      </c>
      <c r="J88" s="177"/>
      <c r="K88" s="177">
        <v>0.55266421814299704</v>
      </c>
      <c r="L88" s="177"/>
      <c r="M88" s="177"/>
      <c r="N88" s="177"/>
      <c r="O88" s="177"/>
      <c r="P88" s="177"/>
      <c r="Q88" s="177">
        <v>11.437255125564301</v>
      </c>
      <c r="R88" s="177">
        <v>8.0997145161961992</v>
      </c>
      <c r="S88" s="177">
        <v>8.6477129671987196</v>
      </c>
      <c r="T88" s="177">
        <v>6.4252748047996002</v>
      </c>
      <c r="U88" s="178"/>
      <c r="V88" s="181" t="str">
        <v>99900701</v>
      </c>
      <c r="W88" s="129"/>
      <c r="Y88" s="8"/>
      <c r="Z88" s="8"/>
      <c r="AA88" s="8"/>
    </row>
    <row r="89" spans="2:33" s="6" customFormat="1" ht="15" customHeight="1" x14ac:dyDescent="0.15">
      <c r="B89" s="128"/>
      <c r="C89" s="180" t="str">
        <v>Communication Services</v>
      </c>
      <c r="D89" s="176"/>
      <c r="E89" s="176"/>
      <c r="F89" s="177">
        <v>22.2578027390621</v>
      </c>
      <c r="G89" s="177">
        <v>19.953797158906099</v>
      </c>
      <c r="H89" s="177">
        <v>20.635365243901699</v>
      </c>
      <c r="I89" s="177">
        <v>17.8712280103083</v>
      </c>
      <c r="J89" s="177"/>
      <c r="K89" s="177">
        <v>0.65118793522341201</v>
      </c>
      <c r="L89" s="177"/>
      <c r="M89" s="177"/>
      <c r="N89" s="177"/>
      <c r="O89" s="177"/>
      <c r="P89" s="177"/>
      <c r="Q89" s="177">
        <v>5.1640457121875603</v>
      </c>
      <c r="R89" s="177">
        <v>4.2030808442331304</v>
      </c>
      <c r="S89" s="177">
        <v>4.3747759908677697</v>
      </c>
      <c r="T89" s="177">
        <v>3.67845678507173</v>
      </c>
      <c r="U89" s="178"/>
      <c r="V89" s="181" t="str">
        <v>99900793</v>
      </c>
      <c r="W89" s="129"/>
      <c r="Y89" s="8"/>
      <c r="Z89" s="8"/>
      <c r="AA89" s="8"/>
    </row>
    <row r="90" spans="2:33" s="6" customFormat="1" ht="15" customHeight="1" x14ac:dyDescent="0.15">
      <c r="B90" s="128"/>
      <c r="C90" s="180" t="str">
        <v>Utilities</v>
      </c>
      <c r="D90" s="176"/>
      <c r="E90" s="176"/>
      <c r="F90" s="177">
        <v>22.703882314260198</v>
      </c>
      <c r="G90" s="177">
        <v>18.719633608483701</v>
      </c>
      <c r="H90" s="177">
        <v>19.121488741542901</v>
      </c>
      <c r="I90" s="177">
        <v>17.491742924136101</v>
      </c>
      <c r="J90" s="177"/>
      <c r="K90" s="177">
        <v>2.6149729814987599</v>
      </c>
      <c r="L90" s="177"/>
      <c r="M90" s="177"/>
      <c r="N90" s="177"/>
      <c r="O90" s="177"/>
      <c r="P90" s="177"/>
      <c r="Q90" s="177">
        <v>2.4527596998944001</v>
      </c>
      <c r="R90" s="177">
        <v>2.1838050347586799</v>
      </c>
      <c r="S90" s="177">
        <v>2.2193596242954401</v>
      </c>
      <c r="T90" s="177">
        <v>2.0751660111741099</v>
      </c>
      <c r="U90" s="178"/>
      <c r="V90" s="181" t="str">
        <v>99900821</v>
      </c>
      <c r="W90" s="129"/>
      <c r="Y90" s="8"/>
      <c r="Z90" s="8"/>
      <c r="AA90" s="8"/>
    </row>
    <row r="91" spans="2:33" s="6" customFormat="1" ht="15" customHeight="1" x14ac:dyDescent="0.15">
      <c r="B91" s="128"/>
      <c r="C91" s="132" t="str">
        <v>Real Estate</v>
      </c>
      <c r="D91"/>
      <c r="E91"/>
      <c r="F91" s="5">
        <v>33.956210726042499</v>
      </c>
      <c r="G91" s="5">
        <v>17.433720678975298</v>
      </c>
      <c r="H91" s="5">
        <v>17.709340667610501</v>
      </c>
      <c r="I91" s="5">
        <v>16.5915484914788</v>
      </c>
      <c r="J91" s="5"/>
      <c r="K91" s="5">
        <v>3.3582342424953202</v>
      </c>
      <c r="L91" s="4"/>
      <c r="M91" s="4"/>
      <c r="N91" s="4"/>
      <c r="O91"/>
      <c r="P91"/>
      <c r="Q91" s="130">
        <v>3.0683307151060299</v>
      </c>
      <c r="R91" s="5">
        <v>3.0818325834937799</v>
      </c>
      <c r="S91" s="5">
        <v>3.06839295582032</v>
      </c>
      <c r="T91" s="5">
        <v>3.1228981124960402</v>
      </c>
      <c r="U91" s="4"/>
      <c r="V91" s="131" t="str">
        <v>86099Y65</v>
      </c>
      <c r="W91" s="129"/>
      <c r="Y91" s="8"/>
      <c r="Z91" s="8"/>
      <c r="AA91" s="8"/>
    </row>
    <row r="92" spans="2:33" s="6" customFormat="1" ht="15" customHeight="1" x14ac:dyDescent="0.15">
      <c r="B92" s="128"/>
      <c r="C92" s="132"/>
      <c r="D92"/>
      <c r="E92"/>
      <c r="F92" s="5"/>
      <c r="G92" s="5"/>
      <c r="H92" s="5"/>
      <c r="I92" s="5"/>
      <c r="J92" s="5"/>
      <c r="K92" s="5"/>
      <c r="L92" s="4"/>
      <c r="M92" s="4"/>
      <c r="N92" s="4"/>
      <c r="O92"/>
      <c r="P92"/>
      <c r="Q92" s="130"/>
      <c r="R92" s="5"/>
      <c r="S92" s="5"/>
      <c r="T92" s="5"/>
      <c r="U92" s="4"/>
      <c r="V92" s="131"/>
      <c r="W92" s="129"/>
      <c r="Y92" s="8"/>
      <c r="Z92" s="8"/>
      <c r="AA92" s="8"/>
    </row>
    <row r="93" spans="2:33" s="65" customFormat="1" ht="15" customHeight="1" x14ac:dyDescent="0.15">
      <c r="B93" s="212"/>
      <c r="C93" s="218"/>
      <c r="D93" s="219"/>
      <c r="E93" s="219"/>
      <c r="F93" s="220" t="s">
        <v>119</v>
      </c>
      <c r="G93" s="220" t="s">
        <v>119</v>
      </c>
      <c r="H93" s="220" t="s">
        <v>119</v>
      </c>
      <c r="I93" s="220" t="s">
        <v>119</v>
      </c>
      <c r="J93" s="221"/>
      <c r="K93" s="222"/>
      <c r="L93" s="221"/>
      <c r="M93" s="221"/>
      <c r="N93" s="223"/>
      <c r="O93" s="219"/>
      <c r="P93" s="219"/>
      <c r="Q93" s="222" t="s">
        <v>120</v>
      </c>
      <c r="R93" s="222" t="s">
        <v>120</v>
      </c>
      <c r="S93" s="222" t="s">
        <v>120</v>
      </c>
      <c r="T93" s="222" t="s">
        <v>120</v>
      </c>
      <c r="U93" s="223"/>
      <c r="V93" s="224"/>
      <c r="W93" s="213"/>
      <c r="Y93" s="214"/>
      <c r="Z93" s="214"/>
      <c r="AA93" s="214"/>
      <c r="AB93" s="6"/>
      <c r="AC93" s="6"/>
      <c r="AD93" s="6"/>
      <c r="AE93" s="6"/>
      <c r="AF93" s="6"/>
      <c r="AG93" s="6"/>
    </row>
    <row r="94" spans="2:33" s="65" customFormat="1" ht="15" customHeight="1" x14ac:dyDescent="0.15">
      <c r="B94" s="212"/>
      <c r="C94" s="215"/>
      <c r="D94" s="215"/>
      <c r="E94" s="215"/>
      <c r="F94" s="215" t="s">
        <v>114</v>
      </c>
      <c r="G94" s="215" t="s">
        <v>115</v>
      </c>
      <c r="H94" s="215" t="s">
        <v>116</v>
      </c>
      <c r="I94" s="215" t="s">
        <v>117</v>
      </c>
      <c r="J94" s="216"/>
      <c r="K94" s="216"/>
      <c r="L94" s="216"/>
      <c r="M94" s="216"/>
      <c r="N94" s="215"/>
      <c r="O94" s="215"/>
      <c r="P94" s="215"/>
      <c r="Q94" s="215" t="s">
        <v>114</v>
      </c>
      <c r="R94" s="215" t="s">
        <v>115</v>
      </c>
      <c r="S94" s="215" t="s">
        <v>116</v>
      </c>
      <c r="T94" s="215" t="s">
        <v>117</v>
      </c>
      <c r="U94" s="215"/>
      <c r="V94" s="217" t="s">
        <v>118</v>
      </c>
      <c r="W94" s="213"/>
      <c r="Y94" s="214"/>
      <c r="Z94" s="214"/>
      <c r="AA94" s="214"/>
      <c r="AB94" s="6"/>
      <c r="AC94" s="6"/>
      <c r="AD94" s="6"/>
      <c r="AE94" s="6"/>
      <c r="AF94" s="6"/>
      <c r="AG94" s="6"/>
    </row>
    <row r="95" spans="2:33" s="6" customFormat="1" ht="15" customHeight="1" x14ac:dyDescent="0.15">
      <c r="B95" s="128"/>
      <c r="C95" s="176" t="str">
        <f>IF(C80="","",C80)</f>
        <v>S&amp;P 500</v>
      </c>
      <c r="D95" s="176"/>
      <c r="E95" s="176"/>
      <c r="F95" s="177" cm="1">
        <f t="array" ref="F95">_xll.FDS(Identifier,"FMA_EVAL_SALES(LTM,0,,,""PORTAGG"")")</f>
        <v>3.9126742585123</v>
      </c>
      <c r="G95" s="177" cm="1">
        <f t="array" ref="G95">_xll.FDS(Identifier,"FMA_EVAL_SALES(NTMA,0,,,""PORTAGG"",""MEANR"")")</f>
        <v>3.5231326074322902</v>
      </c>
      <c r="H95" s="177" cm="1">
        <f t="array" ref="H95">_xll.FDS(Identifier,"FMA_EVAL_SALES(+1,0,,,""PORTAGG"",""MEANR"")")</f>
        <v>3.5874318923725501</v>
      </c>
      <c r="I95" s="177" cm="1">
        <f t="array" ref="I95">_xll.FDS(Identifier,"FMA_EVAL_SALES(+2,0,,,""PORTAGG"",""MEANR"")")</f>
        <v>3.32666257011482</v>
      </c>
      <c r="J95" s="177"/>
      <c r="K95" s="177"/>
      <c r="L95" s="177"/>
      <c r="M95" s="177"/>
      <c r="N95" s="177"/>
      <c r="O95" s="177"/>
      <c r="P95" s="177"/>
      <c r="Q95" s="177" cm="1">
        <f t="array" ref="Q95">_xll.FDS(Identifier,"FMA_EVAL_EBITDA(LTM,0,,,""PORTAGG"")")</f>
        <v>17.3404210859253</v>
      </c>
      <c r="R95" s="177" cm="1">
        <f t="array" ref="R95">_xll.FDS(Identifier,"FMA_EVAL_EBITDA(NTMA,0,,,""PORTAGG"",""MEANR"")")</f>
        <v>13.601410875525101</v>
      </c>
      <c r="S95" s="177" cm="1">
        <f t="array" ref="S95">_xll.FDS(Identifier,"FMA_EVAL_EBITDA(+1,0,,,""PORTAGG"",""MEANR"")")</f>
        <v>14.036525584579699</v>
      </c>
      <c r="T95" s="177" cm="1">
        <f t="array" ref="T95">_xll.FDS(Identifier,"FMA_EVAL_EBITDA(+2,0,,,""PORTAGG"",""MEANR"")")</f>
        <v>12.2718937089695</v>
      </c>
      <c r="U95" s="178"/>
      <c r="V95" s="179" t="str">
        <f>IF(V80="","",V80)</f>
        <v>000001172</v>
      </c>
      <c r="W95" s="129"/>
      <c r="Y95" s="8"/>
      <c r="Z95" s="8"/>
      <c r="AA95" s="8"/>
      <c r="AF95" s="65"/>
      <c r="AG95" s="65"/>
    </row>
    <row r="96" spans="2:33" s="6" customFormat="1" ht="15" customHeight="1" x14ac:dyDescent="0.15">
      <c r="B96" s="128"/>
      <c r="C96" s="180" t="str">
        <f t="shared" ref="C96:C106" si="6">IF(C81="","",C81)</f>
        <v>Energy</v>
      </c>
      <c r="D96" s="176"/>
      <c r="E96" s="176"/>
      <c r="F96" s="177" cm="1">
        <f t="array" ref="F96:F106">_xll.FDSB(Identifier,$P$76&amp;"GET_FQL_ARRAY(TRANSPOSE(SECT),""FMA_EVAL_SALES(LTM,0,,,\""PORTAGG\"")"")")</f>
        <v>2.1208936915140799</v>
      </c>
      <c r="G96" s="177" cm="1">
        <f t="array" ref="G96:G106">_xll.FDSB(Identifier,$P$76&amp;"GET_FQL_ARRAY(TRANSPOSE(SECT),""FMA_EVAL_SALES(NTMA,0,,,\""PORTAGG\"",\""MEANR\"")"")")</f>
        <v>2.0483639551396999</v>
      </c>
      <c r="H96" s="177" cm="1">
        <f t="array" ref="H96:H106">_xll.FDSB(Identifier,$P$76&amp;"GET_FQL_ARRAY(TRANSPOSE(SECT),""FMA_EVAL_SALES(+1,0,,,\""PORTAGG\"",\""MEANR\"")"")")</f>
        <v>2.0620564139156898</v>
      </c>
      <c r="I96" s="177" cm="1">
        <f t="array" ref="I96:I106">_xll.FDSB(Identifier,$P$76&amp;"GET_FQL_ARRAY(TRANSPOSE(SECT),""FMA_EVAL_SALES(+2,0,,,\""PORTAGG\"",\""MEANR\"")"")")</f>
        <v>2.00652588665751</v>
      </c>
      <c r="J96" s="177"/>
      <c r="K96" s="177"/>
      <c r="L96" s="177"/>
      <c r="M96" s="177"/>
      <c r="N96" s="177"/>
      <c r="O96" s="177"/>
      <c r="P96" s="177"/>
      <c r="Q96" s="177" cm="1">
        <f t="array" ref="Q96:Q106">_xll.FDSB(Identifier,$P$76&amp;"GET_FQL_ARRAY(TRANSPOSE(SECT),""FMA_EVAL_EBITDA(LTM,0,,,\""PORTAGG\"")"")")</f>
        <v>10.7928764394963</v>
      </c>
      <c r="R96" s="177" cm="1">
        <f t="array" ref="R96:R106">_xll.FDSB(Identifier,$P$76&amp;"GET_FQL_ARRAY(TRANSPOSE(SECT),""FMA_EVAL_EBITDA(NTMA,0,,,\""PORTAGG\"",\""MEANR\"")"")")</f>
        <v>8.9643366449656199</v>
      </c>
      <c r="S96" s="177" cm="1">
        <f t="array" ref="S96:S106">_xll.FDSB(Identifier,$P$76&amp;"GET_FQL_ARRAY(TRANSPOSE(SECT),""FMA_EVAL_EBITDA(+1,0,,,\""PORTAGG\"",\""MEANR\"")"")")</f>
        <v>9.1345146340385295</v>
      </c>
      <c r="T96" s="177" cm="1">
        <f t="array" ref="T96:T106">_xll.FDSB(Identifier,$P$76&amp;"GET_FQL_ARRAY(TRANSPOSE(SECT),""FMA_EVAL_EBITDA(+2,0,,,\""PORTAGG\"",\""MEANR\"")"")")</f>
        <v>8.4443483450206003</v>
      </c>
      <c r="U96" s="178"/>
      <c r="V96" s="179" t="str">
        <f t="shared" ref="V96:V106" si="7">IF(V81="","",V81)</f>
        <v>99900001</v>
      </c>
      <c r="W96" s="129"/>
      <c r="Y96" s="8"/>
      <c r="Z96" s="8"/>
      <c r="AA96" s="8"/>
      <c r="AD96" s="65"/>
      <c r="AE96" s="65"/>
      <c r="AF96" s="65"/>
      <c r="AG96" s="65"/>
    </row>
    <row r="97" spans="2:33" s="6" customFormat="1" ht="15" customHeight="1" x14ac:dyDescent="0.15">
      <c r="B97" s="128"/>
      <c r="C97" s="180" t="str">
        <f t="shared" si="6"/>
        <v>Materials</v>
      </c>
      <c r="D97" s="176"/>
      <c r="E97" s="176"/>
      <c r="F97" s="177">
        <v>2.8896157938414202</v>
      </c>
      <c r="G97" s="177">
        <v>2.6674660558876999</v>
      </c>
      <c r="H97" s="177">
        <v>2.69652446357598</v>
      </c>
      <c r="I97" s="177">
        <v>2.5786764768401902</v>
      </c>
      <c r="J97" s="177"/>
      <c r="K97" s="177"/>
      <c r="L97" s="177"/>
      <c r="M97" s="177"/>
      <c r="N97" s="177"/>
      <c r="O97" s="177"/>
      <c r="P97" s="177"/>
      <c r="Q97" s="177">
        <v>13.3893709796205</v>
      </c>
      <c r="R97" s="177">
        <v>10.7065928456778</v>
      </c>
      <c r="S97" s="177">
        <v>10.9653128634779</v>
      </c>
      <c r="T97" s="177">
        <v>9.9160594579555692</v>
      </c>
      <c r="U97" s="178"/>
      <c r="V97" s="179" t="str">
        <f t="shared" si="7"/>
        <v>99900037</v>
      </c>
      <c r="W97" s="129"/>
      <c r="Y97" s="8"/>
      <c r="Z97" s="8"/>
      <c r="AA97" s="8"/>
      <c r="AD97" s="65"/>
      <c r="AE97" s="65"/>
    </row>
    <row r="98" spans="2:33" s="6" customFormat="1" ht="15" customHeight="1" x14ac:dyDescent="0.15">
      <c r="B98" s="128"/>
      <c r="C98" s="180" t="str">
        <f t="shared" si="6"/>
        <v>Industrials</v>
      </c>
      <c r="D98" s="176"/>
      <c r="E98" s="176"/>
      <c r="F98" s="177">
        <v>3.29123892039205</v>
      </c>
      <c r="G98" s="177">
        <v>3.06096334938545</v>
      </c>
      <c r="H98" s="177">
        <v>3.1143512649020102</v>
      </c>
      <c r="I98" s="177">
        <v>2.8978336075293001</v>
      </c>
      <c r="J98" s="177"/>
      <c r="K98" s="177"/>
      <c r="L98" s="177"/>
      <c r="M98" s="177"/>
      <c r="N98" s="177"/>
      <c r="O98" s="177"/>
      <c r="P98" s="177"/>
      <c r="Q98" s="177">
        <v>19.098768727969802</v>
      </c>
      <c r="R98" s="177">
        <v>16.064066356671599</v>
      </c>
      <c r="S98" s="177">
        <v>16.517284533741801</v>
      </c>
      <c r="T98" s="177">
        <v>14.6792330378461</v>
      </c>
      <c r="U98" s="178"/>
      <c r="V98" s="179" t="str">
        <f t="shared" si="7"/>
        <v>99900125</v>
      </c>
      <c r="W98" s="129"/>
      <c r="Y98" s="8"/>
      <c r="Z98" s="8"/>
      <c r="AA98" s="8"/>
      <c r="AB98" s="65"/>
      <c r="AC98" s="65"/>
    </row>
    <row r="99" spans="2:33" s="6" customFormat="1" ht="15" customHeight="1" x14ac:dyDescent="0.15">
      <c r="B99" s="128"/>
      <c r="C99" s="180" t="str">
        <f t="shared" si="6"/>
        <v>Consumer Discretionary</v>
      </c>
      <c r="D99" s="176"/>
      <c r="E99" s="176"/>
      <c r="F99" s="177">
        <v>2.8727031504872702</v>
      </c>
      <c r="G99" s="177">
        <v>2.6379230393970499</v>
      </c>
      <c r="H99" s="177">
        <v>2.6826350166925699</v>
      </c>
      <c r="I99" s="177">
        <v>2.5013031087718698</v>
      </c>
      <c r="J99" s="177"/>
      <c r="K99" s="177"/>
      <c r="L99" s="177"/>
      <c r="M99" s="177"/>
      <c r="N99" s="177"/>
      <c r="O99" s="177"/>
      <c r="P99" s="177"/>
      <c r="Q99" s="177">
        <v>17.4924734349561</v>
      </c>
      <c r="R99" s="177">
        <v>13.595170332841301</v>
      </c>
      <c r="S99" s="177">
        <v>14.022886306851801</v>
      </c>
      <c r="T99" s="177">
        <v>12.288260412253599</v>
      </c>
      <c r="U99" s="178"/>
      <c r="V99" s="179" t="str">
        <f t="shared" si="7"/>
        <v>99900285</v>
      </c>
      <c r="W99" s="129"/>
      <c r="Y99" s="8"/>
      <c r="Z99" s="8"/>
      <c r="AA99" s="8"/>
      <c r="AB99" s="65"/>
      <c r="AC99" s="65"/>
    </row>
    <row r="100" spans="2:33" s="6" customFormat="1" ht="15" customHeight="1" x14ac:dyDescent="0.15">
      <c r="B100" s="128"/>
      <c r="C100" s="180" t="str">
        <f t="shared" si="6"/>
        <v>Consumer Staples</v>
      </c>
      <c r="D100" s="176"/>
      <c r="E100" s="176"/>
      <c r="F100" s="177">
        <v>1.88195455944528</v>
      </c>
      <c r="G100" s="177">
        <v>1.76258664128474</v>
      </c>
      <c r="H100" s="177">
        <v>1.7796707539238901</v>
      </c>
      <c r="I100" s="177">
        <v>1.71038518599843</v>
      </c>
      <c r="J100" s="177"/>
      <c r="K100" s="177"/>
      <c r="L100" s="177"/>
      <c r="M100" s="177"/>
      <c r="N100" s="177"/>
      <c r="O100" s="177"/>
      <c r="P100" s="177"/>
      <c r="Q100" s="177">
        <v>15.9696359667498</v>
      </c>
      <c r="R100" s="177">
        <v>14.596255286112299</v>
      </c>
      <c r="S100" s="177">
        <v>14.823473391670801</v>
      </c>
      <c r="T100" s="177">
        <v>13.901977741349899</v>
      </c>
      <c r="U100" s="178"/>
      <c r="V100" s="179" t="str">
        <f t="shared" si="7"/>
        <v>99900477</v>
      </c>
      <c r="W100" s="129"/>
      <c r="Y100" s="8"/>
      <c r="Z100" s="8"/>
      <c r="AA100" s="8"/>
    </row>
    <row r="101" spans="2:33" s="6" customFormat="1" ht="15" customHeight="1" x14ac:dyDescent="0.15">
      <c r="B101" s="128"/>
      <c r="C101" s="180" t="str">
        <f t="shared" si="6"/>
        <v>Health Care</v>
      </c>
      <c r="D101" s="176"/>
      <c r="E101" s="176"/>
      <c r="F101" s="177">
        <v>2.3200342201652799</v>
      </c>
      <c r="G101" s="177">
        <v>2.1513451520921398</v>
      </c>
      <c r="H101" s="177">
        <v>2.1836218082830001</v>
      </c>
      <c r="I101" s="177">
        <v>2.05272203595338</v>
      </c>
      <c r="J101" s="177"/>
      <c r="K101" s="177"/>
      <c r="L101" s="177"/>
      <c r="M101" s="177"/>
      <c r="N101" s="177"/>
      <c r="O101" s="177"/>
      <c r="P101" s="177"/>
      <c r="Q101" s="177">
        <v>15.4108877626294</v>
      </c>
      <c r="R101" s="177">
        <v>13.738479566588399</v>
      </c>
      <c r="S101" s="177">
        <v>14.0714263114953</v>
      </c>
      <c r="T101" s="177">
        <v>12.721142290484</v>
      </c>
      <c r="U101" s="178"/>
      <c r="V101" s="179" t="str">
        <f t="shared" si="7"/>
        <v>99900565</v>
      </c>
      <c r="W101" s="129"/>
      <c r="Y101" s="8"/>
      <c r="Z101" s="8"/>
      <c r="AA101" s="8"/>
    </row>
    <row r="102" spans="2:33" s="6" customFormat="1" ht="15" customHeight="1" x14ac:dyDescent="0.15">
      <c r="B102" s="128"/>
      <c r="C102" s="180" t="str">
        <f t="shared" si="6"/>
        <v>Financials</v>
      </c>
      <c r="D102" s="176"/>
      <c r="E102" s="176"/>
      <c r="F102" s="177">
        <v>4.1046426795673199</v>
      </c>
      <c r="G102" s="177">
        <v>3.8314517064498301</v>
      </c>
      <c r="H102" s="177">
        <v>3.8777562770029399</v>
      </c>
      <c r="I102" s="177">
        <v>3.6899655186486702</v>
      </c>
      <c r="J102" s="177"/>
      <c r="K102" s="177"/>
      <c r="L102" s="177"/>
      <c r="M102" s="177"/>
      <c r="N102" s="177"/>
      <c r="O102" s="177"/>
      <c r="P102" s="177"/>
      <c r="Q102" s="177">
        <v>13.891092520330799</v>
      </c>
      <c r="R102" s="177">
        <v>14.032364827100499</v>
      </c>
      <c r="S102" s="177">
        <v>14.3446574461978</v>
      </c>
      <c r="T102" s="177">
        <v>13.078137379858701</v>
      </c>
      <c r="U102" s="178"/>
      <c r="V102" s="179" t="str">
        <f t="shared" si="7"/>
        <v>99900621</v>
      </c>
      <c r="W102" s="129"/>
      <c r="Y102" s="8"/>
      <c r="Z102" s="8"/>
      <c r="AA102" s="8"/>
    </row>
    <row r="103" spans="2:33" s="6" customFormat="1" ht="15" customHeight="1" x14ac:dyDescent="0.15">
      <c r="B103" s="128"/>
      <c r="C103" s="180" t="str">
        <f t="shared" si="6"/>
        <v>Information Technology</v>
      </c>
      <c r="D103" s="176"/>
      <c r="E103" s="176"/>
      <c r="F103" s="177">
        <v>8.6480035665670094</v>
      </c>
      <c r="G103" s="177">
        <v>6.75369066970537</v>
      </c>
      <c r="H103" s="177">
        <v>6.9933685876836797</v>
      </c>
      <c r="I103" s="177">
        <v>6.0213414758827399</v>
      </c>
      <c r="J103" s="177"/>
      <c r="K103" s="177"/>
      <c r="L103" s="177"/>
      <c r="M103" s="177"/>
      <c r="N103" s="177"/>
      <c r="O103" s="177"/>
      <c r="P103" s="177"/>
      <c r="Q103" s="177">
        <v>23.326437670362399</v>
      </c>
      <c r="R103" s="177">
        <v>15.1546273079261</v>
      </c>
      <c r="S103" s="177">
        <v>15.8605825364382</v>
      </c>
      <c r="T103" s="177">
        <v>12.9975418874724</v>
      </c>
      <c r="U103" s="178"/>
      <c r="V103" s="179" t="str">
        <f t="shared" si="7"/>
        <v>99900701</v>
      </c>
      <c r="W103" s="129"/>
      <c r="Y103" s="8"/>
      <c r="Z103" s="8"/>
      <c r="AA103" s="8"/>
    </row>
    <row r="104" spans="2:33" s="6" customFormat="1" ht="15" customHeight="1" x14ac:dyDescent="0.15">
      <c r="B104" s="128"/>
      <c r="C104" s="180" t="str">
        <f t="shared" si="6"/>
        <v>Communication Services</v>
      </c>
      <c r="D104" s="176"/>
      <c r="E104" s="176"/>
      <c r="F104" s="177">
        <v>4.9955417898289403</v>
      </c>
      <c r="G104" s="177">
        <v>4.4116023681730496</v>
      </c>
      <c r="H104" s="177">
        <v>4.5025689533486197</v>
      </c>
      <c r="I104" s="177">
        <v>4.1336489134699299</v>
      </c>
      <c r="J104" s="177"/>
      <c r="K104" s="177"/>
      <c r="L104" s="177"/>
      <c r="M104" s="177"/>
      <c r="N104" s="177"/>
      <c r="O104" s="177"/>
      <c r="P104" s="177"/>
      <c r="Q104" s="177">
        <v>13.776391343477799</v>
      </c>
      <c r="R104" s="177">
        <v>11.0959587588211</v>
      </c>
      <c r="S104" s="177">
        <v>11.414544094704899</v>
      </c>
      <c r="T104" s="177">
        <v>10.122503565842999</v>
      </c>
      <c r="U104" s="178"/>
      <c r="V104" s="179" t="str">
        <f t="shared" si="7"/>
        <v>99900793</v>
      </c>
      <c r="W104" s="129"/>
      <c r="Y104" s="8"/>
      <c r="Z104" s="8"/>
      <c r="AA104" s="8"/>
    </row>
    <row r="105" spans="2:33" s="6" customFormat="1" ht="15" customHeight="1" x14ac:dyDescent="0.15">
      <c r="B105" s="128"/>
      <c r="C105" s="180" t="str">
        <f t="shared" si="6"/>
        <v>Utilities</v>
      </c>
      <c r="D105" s="176"/>
      <c r="E105" s="176"/>
      <c r="F105" s="177">
        <v>5.2394746178327001</v>
      </c>
      <c r="G105" s="177">
        <v>4.8558863134094397</v>
      </c>
      <c r="H105" s="177">
        <v>4.9150529843900603</v>
      </c>
      <c r="I105" s="177">
        <v>4.6750992631908703</v>
      </c>
      <c r="J105" s="177"/>
      <c r="K105" s="177"/>
      <c r="L105" s="177"/>
      <c r="M105" s="177"/>
      <c r="N105" s="177"/>
      <c r="O105" s="177"/>
      <c r="P105" s="177"/>
      <c r="Q105" s="177">
        <v>13.978692881494901</v>
      </c>
      <c r="R105" s="177">
        <v>11.9035749047558</v>
      </c>
      <c r="S105" s="177">
        <v>12.1691914513958</v>
      </c>
      <c r="T105" s="177">
        <v>11.091968790022699</v>
      </c>
      <c r="U105" s="178"/>
      <c r="V105" s="179" t="str">
        <f t="shared" si="7"/>
        <v>99900821</v>
      </c>
      <c r="W105" s="129"/>
      <c r="Y105" s="8"/>
      <c r="Z105" s="8"/>
      <c r="AA105" s="8"/>
    </row>
    <row r="106" spans="2:33" s="6" customFormat="1" ht="15" customHeight="1" x14ac:dyDescent="0.15">
      <c r="B106" s="128"/>
      <c r="C106" s="180" t="str">
        <f t="shared" si="6"/>
        <v>Real Estate</v>
      </c>
      <c r="D106"/>
      <c r="E106"/>
      <c r="F106" s="5">
        <v>8.7510453703439204</v>
      </c>
      <c r="G106" s="5">
        <v>8.07722366439544</v>
      </c>
      <c r="H106" s="5">
        <v>8.2025163840239301</v>
      </c>
      <c r="I106" s="5">
        <v>7.69438479886393</v>
      </c>
      <c r="J106" s="5"/>
      <c r="K106" s="5"/>
      <c r="L106" s="4"/>
      <c r="M106" s="4"/>
      <c r="N106" s="4"/>
      <c r="O106" s="5"/>
      <c r="P106" s="5"/>
      <c r="Q106" s="5">
        <v>21.650690577274101</v>
      </c>
      <c r="R106" s="5">
        <v>18.329747895627701</v>
      </c>
      <c r="S106" s="5">
        <v>18.645570315647198</v>
      </c>
      <c r="T106" s="5">
        <v>17.364734945567999</v>
      </c>
      <c r="U106" s="4"/>
      <c r="V106" s="179" t="str">
        <f t="shared" si="7"/>
        <v>86099Y65</v>
      </c>
      <c r="W106" s="129"/>
      <c r="Y106" s="8"/>
      <c r="Z106" s="8"/>
      <c r="AA106" s="8"/>
    </row>
    <row r="107" spans="2:33" s="6" customFormat="1" ht="15" customHeight="1" x14ac:dyDescent="0.15">
      <c r="B107" s="128"/>
      <c r="C107" s="132"/>
      <c r="D107"/>
      <c r="E107"/>
      <c r="F107" s="5"/>
      <c r="G107" s="5"/>
      <c r="H107" s="5"/>
      <c r="I107" s="5"/>
      <c r="J107" s="5"/>
      <c r="K107" s="5"/>
      <c r="L107" s="4"/>
      <c r="M107" s="4"/>
      <c r="N107" s="4"/>
      <c r="O107"/>
      <c r="P107"/>
      <c r="Q107" s="130"/>
      <c r="R107" s="5"/>
      <c r="S107" s="5"/>
      <c r="T107" s="5"/>
      <c r="U107" s="4"/>
      <c r="V107" s="131"/>
      <c r="W107" s="129"/>
      <c r="Y107" s="8"/>
      <c r="Z107" s="8"/>
      <c r="AA107" s="8"/>
    </row>
    <row r="108" spans="2:33" s="65" customFormat="1" ht="15" customHeight="1" x14ac:dyDescent="0.15">
      <c r="B108" s="212"/>
      <c r="C108" s="218"/>
      <c r="D108" s="219"/>
      <c r="E108" s="219"/>
      <c r="F108" s="220" t="s">
        <v>121</v>
      </c>
      <c r="G108" s="220" t="s">
        <v>121</v>
      </c>
      <c r="H108" s="220" t="s">
        <v>121</v>
      </c>
      <c r="I108" s="220" t="s">
        <v>121</v>
      </c>
      <c r="J108" s="221"/>
      <c r="K108" s="222"/>
      <c r="L108" s="221"/>
      <c r="M108" s="221"/>
      <c r="N108" s="223"/>
      <c r="O108" s="219"/>
      <c r="P108" s="219"/>
      <c r="Q108" s="222" t="s">
        <v>122</v>
      </c>
      <c r="R108" s="222" t="s">
        <v>122</v>
      </c>
      <c r="S108" s="222" t="s">
        <v>122</v>
      </c>
      <c r="T108" s="222" t="s">
        <v>122</v>
      </c>
      <c r="U108" s="223"/>
      <c r="V108" s="224"/>
      <c r="W108" s="213"/>
      <c r="Y108" s="214"/>
      <c r="Z108" s="214"/>
      <c r="AA108" s="214"/>
      <c r="AB108" s="6"/>
      <c r="AC108" s="6"/>
      <c r="AD108" s="6"/>
      <c r="AE108" s="6"/>
      <c r="AF108" s="6"/>
      <c r="AG108" s="6"/>
    </row>
    <row r="109" spans="2:33" s="65" customFormat="1" ht="15" customHeight="1" x14ac:dyDescent="0.15">
      <c r="B109" s="212"/>
      <c r="C109" s="215"/>
      <c r="D109" s="215"/>
      <c r="E109" s="215"/>
      <c r="F109" s="215" t="s">
        <v>114</v>
      </c>
      <c r="G109" s="215" t="s">
        <v>115</v>
      </c>
      <c r="H109" s="215" t="s">
        <v>116</v>
      </c>
      <c r="I109" s="215" t="s">
        <v>117</v>
      </c>
      <c r="J109" s="216"/>
      <c r="K109" s="216"/>
      <c r="L109" s="216"/>
      <c r="M109" s="216"/>
      <c r="N109" s="215"/>
      <c r="O109" s="215"/>
      <c r="P109" s="215"/>
      <c r="Q109" s="215" t="s">
        <v>114</v>
      </c>
      <c r="R109" s="215" t="s">
        <v>115</v>
      </c>
      <c r="S109" s="215" t="s">
        <v>116</v>
      </c>
      <c r="T109" s="215" t="s">
        <v>117</v>
      </c>
      <c r="U109" s="215"/>
      <c r="V109" s="217" t="s">
        <v>118</v>
      </c>
      <c r="W109" s="213"/>
      <c r="Y109" s="214"/>
      <c r="Z109" s="214"/>
      <c r="AA109" s="214"/>
      <c r="AB109" s="6"/>
      <c r="AC109" s="6"/>
      <c r="AD109" s="6"/>
      <c r="AE109" s="6"/>
      <c r="AF109" s="6"/>
      <c r="AG109" s="6"/>
    </row>
    <row r="110" spans="2:33" s="6" customFormat="1" ht="15" customHeight="1" x14ac:dyDescent="0.15">
      <c r="B110" s="128"/>
      <c r="C110" s="176" t="str">
        <f>IF(C80="","",C80)</f>
        <v>S&amp;P 500</v>
      </c>
      <c r="D110" s="176"/>
      <c r="E110" s="176"/>
      <c r="F110" s="177" cm="1">
        <f t="array" ref="F110">_xll.FDS(Identifier,"FMA_EVAL_EBIT(LTM,0,,,""PORTAGG"")")</f>
        <v>23.6930196517072</v>
      </c>
      <c r="G110" s="177" cm="1">
        <f t="array" ref="G110">_xll.FDS(Identifier,"FMA_EVAL_EBIT(NTMA,0,,,""PORTAGG"",""MEANR"")")</f>
        <v>17.675253482210302</v>
      </c>
      <c r="H110" s="177" cm="1">
        <f t="array" ref="H110">_xll.FDS(Identifier,"FMA_EVAL_EBIT(+1,0,,,""PORTAGG"",""MEANR"")")</f>
        <v>18.286717840830299</v>
      </c>
      <c r="I110" s="177" cm="1">
        <f t="array" ref="I110">_xll.FDS(Identifier,"FMA_EVAL_EBIT(+2,0,,,""PORTAGG"",""MEANR"")")</f>
        <v>15.8068901642049</v>
      </c>
      <c r="J110" s="177"/>
      <c r="K110" s="177"/>
      <c r="L110" s="177"/>
      <c r="M110" s="177"/>
      <c r="N110" s="177"/>
      <c r="O110" s="177"/>
      <c r="P110" s="177"/>
      <c r="Q110" s="177" cm="1">
        <f t="array" ref="Q110">_xll.FDS(Identifier,"FMA_PSALES(LTM,0,,,""PORTAGG"")")</f>
        <v>3.18369540269657</v>
      </c>
      <c r="R110" s="177" cm="1">
        <f t="array" ref="R110">_xll.FDS(Identifier,"FMA_PSALES(NTMA,0,,,""PORTAGG"",""MEANR"")")</f>
        <v>2.9901467331767</v>
      </c>
      <c r="S110" s="177" cm="1">
        <f t="array" ref="S110">_xll.FDS(Identifier,"FMA_PSALES(+1,0,,,""PORTAGG"",""MEANR"")")</f>
        <v>3.0415119772766701</v>
      </c>
      <c r="T110" s="177" cm="1">
        <f t="array" ref="T110">_xll.FDS(Identifier,"FMA_PSALES(+2,0,,,""PORTAGG"",""MEANR"")")</f>
        <v>2.8331973762045699</v>
      </c>
      <c r="U110" s="178"/>
      <c r="V110" s="179" t="str">
        <f>IF(V80="","",V80)</f>
        <v>000001172</v>
      </c>
      <c r="W110" s="129"/>
      <c r="Y110" s="8"/>
      <c r="Z110" s="8"/>
      <c r="AA110" s="8"/>
      <c r="AF110" s="65"/>
      <c r="AG110" s="65"/>
    </row>
    <row r="111" spans="2:33" s="6" customFormat="1" ht="15" customHeight="1" x14ac:dyDescent="0.15">
      <c r="B111" s="128"/>
      <c r="C111" s="180" t="str">
        <f t="shared" ref="C111:C121" si="8">IF(C81="","",C81)</f>
        <v>Energy</v>
      </c>
      <c r="D111" s="176"/>
      <c r="E111" s="176"/>
      <c r="F111" s="177" cm="1">
        <f t="array" ref="F111:F121">_xll.FDSB(Identifier,$P$76&amp;"GET_FQL_ARRAY(TRANSPOSE(SECT),""FMA_EVAL_EBIT(LTM,0,,,\""PORTAGG\"")"")")</f>
        <v>19.5449356165702</v>
      </c>
      <c r="G111" s="177" cm="1">
        <f t="array" ref="G111:G121">_xll.FDSB(Identifier,$P$76&amp;"GET_FQL_ARRAY(TRANSPOSE(SECT),""FMA_EVAL_EBIT(NTMA,0,,,\""PORTAGG\"",\""MEANR\"")"")")</f>
        <v>15.439687500871001</v>
      </c>
      <c r="H111" s="177" cm="1">
        <f t="array" ref="H111:H121">_xll.FDSB(Identifier,$P$76&amp;"GET_FQL_ARRAY(TRANSPOSE(SECT),""FMA_EVAL_EBIT(+1,0,,,\""PORTAGG\"",\""MEANR\"")"")")</f>
        <v>15.6992124416732</v>
      </c>
      <c r="I111" s="177" cm="1">
        <f t="array" ref="I111:I121">_xll.FDSB(Identifier,$P$76&amp;"GET_FQL_ARRAY(TRANSPOSE(SECT),""FMA_EVAL_EBIT(+2,0,,,\""PORTAGG\"",\""MEANR\"")"")")</f>
        <v>14.6466946261977</v>
      </c>
      <c r="J111" s="177"/>
      <c r="K111" s="177"/>
      <c r="L111" s="177"/>
      <c r="M111" s="177"/>
      <c r="N111" s="177"/>
      <c r="O111" s="177"/>
      <c r="P111" s="177"/>
      <c r="Q111" s="177" cm="1">
        <f t="array" ref="Q111:Q121">_xll.FDSB(Identifier,$P$76&amp;"GET_FQL_ARRAY(TRANSPOSE(SECT),""FMA_PSALES(LTM,0,,,\""PORTAGG\"")"")")</f>
        <v>1.84914313902359</v>
      </c>
      <c r="R111" s="177" cm="1">
        <f t="array" ref="R111:R121">_xll.FDSB(Identifier,$P$76&amp;"GET_FQL_ARRAY(TRANSPOSE(SECT),""FMA_PSALES(NTMA,0,,,\""PORTAGG\"",\""MEANR\"")"")")</f>
        <v>1.78562701695214</v>
      </c>
      <c r="S111" s="177" cm="1">
        <f t="array" ref="S111:S121">_xll.FDSB(Identifier,$P$76&amp;"GET_FQL_ARRAY(TRANSPOSE(SECT),""FMA_PSALES(+1,0,,,\""PORTAGG\"",\""MEANR\"")"")")</f>
        <v>1.79759790225244</v>
      </c>
      <c r="T111" s="177" cm="1">
        <f t="array" ref="T111:T121">_xll.FDSB(Identifier,$P$76&amp;"GET_FQL_ARRAY(TRANSPOSE(SECT),""FMA_PSALES(+2,0,,,\""PORTAGG\"",\""MEANR\"")"")")</f>
        <v>1.74904931186792</v>
      </c>
      <c r="U111" s="178"/>
      <c r="V111" s="179" t="str">
        <f t="shared" ref="V111:V121" si="9">IF(V81="","",V81)</f>
        <v>99900001</v>
      </c>
      <c r="W111" s="129"/>
      <c r="Y111" s="8"/>
      <c r="Z111" s="8"/>
      <c r="AA111" s="8"/>
      <c r="AD111" s="65"/>
      <c r="AE111" s="65"/>
      <c r="AF111" s="65"/>
      <c r="AG111" s="65"/>
    </row>
    <row r="112" spans="2:33" s="6" customFormat="1" ht="15" customHeight="1" x14ac:dyDescent="0.15">
      <c r="B112" s="128"/>
      <c r="C112" s="180" t="str">
        <f t="shared" si="8"/>
        <v>Materials</v>
      </c>
      <c r="D112" s="176"/>
      <c r="E112" s="176"/>
      <c r="F112" s="177">
        <v>20.211895631105101</v>
      </c>
      <c r="G112" s="177">
        <v>14.844523372741</v>
      </c>
      <c r="H112" s="177">
        <v>15.211585767613</v>
      </c>
      <c r="I112" s="177">
        <v>13.722943832854099</v>
      </c>
      <c r="J112" s="177"/>
      <c r="K112" s="177"/>
      <c r="L112" s="177"/>
      <c r="M112" s="177"/>
      <c r="N112" s="177"/>
      <c r="O112" s="177"/>
      <c r="P112" s="177"/>
      <c r="Q112" s="177">
        <v>2.4532188429336799</v>
      </c>
      <c r="R112" s="177">
        <v>2.2646187099117201</v>
      </c>
      <c r="S112" s="177">
        <v>2.28928864473089</v>
      </c>
      <c r="T112" s="177">
        <v>2.1892383535197899</v>
      </c>
      <c r="U112" s="178"/>
      <c r="V112" s="179" t="str">
        <f t="shared" si="9"/>
        <v>99900037</v>
      </c>
      <c r="W112" s="129"/>
      <c r="Y112" s="8"/>
      <c r="Z112" s="8"/>
      <c r="AA112" s="8"/>
      <c r="AD112" s="65"/>
      <c r="AE112" s="65"/>
    </row>
    <row r="113" spans="2:50" s="6" customFormat="1" ht="15" customHeight="1" x14ac:dyDescent="0.15">
      <c r="B113" s="128"/>
      <c r="C113" s="180" t="str">
        <f t="shared" si="8"/>
        <v>Industrials</v>
      </c>
      <c r="D113" s="176"/>
      <c r="E113" s="176"/>
      <c r="F113" s="177">
        <v>25.066255360055901</v>
      </c>
      <c r="G113" s="177">
        <v>19.861334289692699</v>
      </c>
      <c r="H113" s="177">
        <v>20.510310616026</v>
      </c>
      <c r="I113" s="177">
        <v>17.8783510703412</v>
      </c>
      <c r="J113" s="177"/>
      <c r="K113" s="177"/>
      <c r="L113" s="177"/>
      <c r="M113" s="177"/>
      <c r="N113" s="177"/>
      <c r="O113" s="177"/>
      <c r="P113" s="177"/>
      <c r="Q113" s="177">
        <v>2.9644686782333398</v>
      </c>
      <c r="R113" s="177">
        <v>2.7570559883244399</v>
      </c>
      <c r="S113" s="177">
        <v>2.8051432913653702</v>
      </c>
      <c r="T113" s="177">
        <v>2.61012256236604</v>
      </c>
      <c r="U113" s="178"/>
      <c r="V113" s="179" t="str">
        <f t="shared" si="9"/>
        <v>99900125</v>
      </c>
      <c r="W113" s="129"/>
      <c r="Y113" s="8"/>
      <c r="Z113" s="8"/>
      <c r="AA113" s="8"/>
      <c r="AB113" s="65"/>
      <c r="AC113" s="65"/>
    </row>
    <row r="114" spans="2:50" s="6" customFormat="1" ht="15" customHeight="1" x14ac:dyDescent="0.15">
      <c r="B114" s="128"/>
      <c r="C114" s="180" t="str">
        <f t="shared" si="8"/>
        <v>Consumer Discretionary</v>
      </c>
      <c r="D114" s="176"/>
      <c r="E114" s="176"/>
      <c r="F114" s="177">
        <v>26.465374390313901</v>
      </c>
      <c r="G114" s="177">
        <v>21.375263413000201</v>
      </c>
      <c r="H114" s="177">
        <v>22.1239612144349</v>
      </c>
      <c r="I114" s="177">
        <v>19.087575686394199</v>
      </c>
      <c r="J114" s="177"/>
      <c r="K114" s="177"/>
      <c r="L114" s="177"/>
      <c r="M114" s="177"/>
      <c r="N114" s="177"/>
      <c r="O114" s="177"/>
      <c r="P114" s="177"/>
      <c r="Q114" s="177">
        <v>2.6936715599164498</v>
      </c>
      <c r="R114" s="177">
        <v>2.4733762504742698</v>
      </c>
      <c r="S114" s="177">
        <v>2.51520547580356</v>
      </c>
      <c r="T114" s="177">
        <v>2.3455647286347698</v>
      </c>
      <c r="U114" s="178"/>
      <c r="V114" s="179" t="str">
        <f t="shared" si="9"/>
        <v>99900285</v>
      </c>
      <c r="W114" s="129"/>
      <c r="Y114" s="8"/>
      <c r="Z114" s="8"/>
      <c r="AA114" s="8"/>
      <c r="AB114" s="65"/>
      <c r="AC114" s="65"/>
    </row>
    <row r="115" spans="2:50" s="6" customFormat="1" ht="15" customHeight="1" x14ac:dyDescent="0.15">
      <c r="B115" s="128"/>
      <c r="C115" s="180" t="str">
        <f t="shared" si="8"/>
        <v>Consumer Staples</v>
      </c>
      <c r="D115" s="176"/>
      <c r="E115" s="176"/>
      <c r="F115" s="177">
        <v>20.070451115215</v>
      </c>
      <c r="G115" s="177">
        <v>17.9696228425573</v>
      </c>
      <c r="H115" s="177">
        <v>18.2611321452849</v>
      </c>
      <c r="I115" s="177">
        <v>17.078899973111898</v>
      </c>
      <c r="J115" s="177"/>
      <c r="K115" s="177"/>
      <c r="L115" s="177"/>
      <c r="M115" s="177"/>
      <c r="N115" s="177"/>
      <c r="O115" s="177"/>
      <c r="P115" s="177"/>
      <c r="Q115" s="177">
        <v>1.67400278617108</v>
      </c>
      <c r="R115" s="177">
        <v>1.56782475621955</v>
      </c>
      <c r="S115" s="177">
        <v>1.58302111258941</v>
      </c>
      <c r="T115" s="177">
        <v>1.5213914450894399</v>
      </c>
      <c r="U115" s="178"/>
      <c r="V115" s="179" t="str">
        <f t="shared" si="9"/>
        <v>99900477</v>
      </c>
      <c r="W115" s="129"/>
      <c r="Y115" s="8"/>
      <c r="Z115" s="8"/>
      <c r="AA115" s="8"/>
    </row>
    <row r="116" spans="2:50" s="6" customFormat="1" ht="15" customHeight="1" x14ac:dyDescent="0.15">
      <c r="B116" s="128"/>
      <c r="C116" s="180" t="str">
        <f t="shared" si="8"/>
        <v>Health Care</v>
      </c>
      <c r="D116" s="176"/>
      <c r="E116" s="176"/>
      <c r="F116" s="177">
        <v>20.199710052022201</v>
      </c>
      <c r="G116" s="177">
        <v>15.3917601256026</v>
      </c>
      <c r="H116" s="177">
        <v>15.802057471435599</v>
      </c>
      <c r="I116" s="177">
        <v>14.138073791113101</v>
      </c>
      <c r="J116" s="177"/>
      <c r="K116" s="177"/>
      <c r="L116" s="177"/>
      <c r="M116" s="177"/>
      <c r="N116" s="177"/>
      <c r="O116" s="177"/>
      <c r="P116" s="177"/>
      <c r="Q116" s="177">
        <v>1.4755006805411599</v>
      </c>
      <c r="R116" s="177">
        <v>1.39075185323873</v>
      </c>
      <c r="S116" s="177">
        <v>1.40867974158231</v>
      </c>
      <c r="T116" s="177">
        <v>1.33597219441112</v>
      </c>
      <c r="U116" s="178"/>
      <c r="V116" s="179" t="str">
        <f t="shared" si="9"/>
        <v>99900565</v>
      </c>
      <c r="W116" s="129"/>
      <c r="Y116" s="8"/>
      <c r="Z116" s="8"/>
      <c r="AA116" s="8"/>
    </row>
    <row r="117" spans="2:50" s="6" customFormat="1" ht="15" customHeight="1" x14ac:dyDescent="0.15">
      <c r="B117" s="128"/>
      <c r="C117" s="180" t="str">
        <f t="shared" si="8"/>
        <v>Financials</v>
      </c>
      <c r="D117" s="176"/>
      <c r="E117" s="176"/>
      <c r="F117" s="177">
        <v>16.5275736429437</v>
      </c>
      <c r="G117" s="177">
        <v>15.719706377535299</v>
      </c>
      <c r="H117" s="177">
        <v>16.097788791813802</v>
      </c>
      <c r="I117" s="177">
        <v>14.564454556129</v>
      </c>
      <c r="J117" s="177"/>
      <c r="K117" s="177"/>
      <c r="L117" s="177"/>
      <c r="M117" s="177"/>
      <c r="N117" s="177"/>
      <c r="O117" s="177"/>
      <c r="P117" s="177"/>
      <c r="Q117" s="177">
        <v>2.5752437952471698</v>
      </c>
      <c r="R117" s="177">
        <v>3.0428187134117901</v>
      </c>
      <c r="S117" s="177">
        <v>3.0833677442598799</v>
      </c>
      <c r="T117" s="177">
        <v>2.9189188969315101</v>
      </c>
      <c r="U117" s="178"/>
      <c r="V117" s="179" t="str">
        <f t="shared" si="9"/>
        <v>99900621</v>
      </c>
      <c r="W117" s="129"/>
      <c r="Y117" s="8"/>
      <c r="Z117" s="8"/>
      <c r="AA117" s="8"/>
    </row>
    <row r="118" spans="2:50" s="6" customFormat="1" ht="15" customHeight="1" x14ac:dyDescent="0.15">
      <c r="B118" s="128"/>
      <c r="C118" s="180" t="str">
        <f t="shared" si="8"/>
        <v>Information Technology</v>
      </c>
      <c r="D118" s="176"/>
      <c r="E118" s="176"/>
      <c r="F118" s="177">
        <v>28.1870383543827</v>
      </c>
      <c r="G118" s="177">
        <v>17.1406549313262</v>
      </c>
      <c r="H118" s="177">
        <v>17.9504552288066</v>
      </c>
      <c r="I118" s="177">
        <v>14.666265133469199</v>
      </c>
      <c r="J118" s="177"/>
      <c r="K118" s="177"/>
      <c r="L118" s="177"/>
      <c r="M118" s="177"/>
      <c r="N118" s="177"/>
      <c r="O118" s="177"/>
      <c r="P118" s="177"/>
      <c r="Q118" s="177">
        <v>8.5238144805482499</v>
      </c>
      <c r="R118" s="177">
        <v>6.6567047393610901</v>
      </c>
      <c r="S118" s="177">
        <v>6.8929407783735197</v>
      </c>
      <c r="T118" s="177">
        <v>5.9348723979341997</v>
      </c>
      <c r="U118" s="178"/>
      <c r="V118" s="179" t="str">
        <f t="shared" si="9"/>
        <v>99900701</v>
      </c>
      <c r="W118" s="129"/>
      <c r="Y118" s="8"/>
      <c r="Z118" s="8"/>
      <c r="AA118" s="8"/>
    </row>
    <row r="119" spans="2:50" s="6" customFormat="1" ht="15" customHeight="1" x14ac:dyDescent="0.15">
      <c r="B119" s="128"/>
      <c r="C119" s="180" t="str">
        <f t="shared" si="8"/>
        <v>Communication Services</v>
      </c>
      <c r="D119" s="176"/>
      <c r="E119" s="176"/>
      <c r="F119" s="177">
        <v>19.520753001335699</v>
      </c>
      <c r="G119" s="177">
        <v>16.788869448946802</v>
      </c>
      <c r="H119" s="177">
        <v>17.297745147532599</v>
      </c>
      <c r="I119" s="177">
        <v>15.2339714810459</v>
      </c>
      <c r="J119" s="177"/>
      <c r="K119" s="177"/>
      <c r="L119" s="177"/>
      <c r="M119" s="177"/>
      <c r="N119" s="177"/>
      <c r="O119" s="177"/>
      <c r="P119" s="177"/>
      <c r="Q119" s="177">
        <v>4.607642846529</v>
      </c>
      <c r="R119" s="177">
        <v>4.0690457509192397</v>
      </c>
      <c r="S119" s="177">
        <v>4.1529488695580996</v>
      </c>
      <c r="T119" s="177">
        <v>3.8126751106338501</v>
      </c>
      <c r="U119" s="178"/>
      <c r="V119" s="179" t="str">
        <f t="shared" si="9"/>
        <v>99900793</v>
      </c>
      <c r="W119" s="129"/>
      <c r="Y119" s="8"/>
      <c r="Z119" s="8"/>
      <c r="AA119" s="8"/>
    </row>
    <row r="120" spans="2:50" s="6" customFormat="1" ht="15" customHeight="1" x14ac:dyDescent="0.15">
      <c r="B120" s="128"/>
      <c r="C120" s="180" t="str">
        <f t="shared" si="8"/>
        <v>Utilities</v>
      </c>
      <c r="D120" s="176"/>
      <c r="E120" s="176"/>
      <c r="F120" s="177">
        <v>24.625572936967199</v>
      </c>
      <c r="G120" s="177">
        <v>19.402297876914599</v>
      </c>
      <c r="H120" s="177">
        <v>19.9120028820257</v>
      </c>
      <c r="I120" s="177">
        <v>17.844865916852999</v>
      </c>
      <c r="J120" s="177"/>
      <c r="K120" s="177"/>
      <c r="L120" s="177"/>
      <c r="M120" s="177"/>
      <c r="N120" s="177"/>
      <c r="O120" s="177"/>
      <c r="P120" s="177"/>
      <c r="Q120" s="177">
        <v>3.04890887389978</v>
      </c>
      <c r="R120" s="177">
        <v>2.8256945498338202</v>
      </c>
      <c r="S120" s="177">
        <v>2.8601242973466698</v>
      </c>
      <c r="T120" s="177">
        <v>2.7204925435445801</v>
      </c>
      <c r="U120" s="178"/>
      <c r="V120" s="179" t="str">
        <f t="shared" si="9"/>
        <v>99900821</v>
      </c>
      <c r="W120" s="129"/>
      <c r="Y120" s="8"/>
      <c r="Z120" s="8"/>
      <c r="AA120" s="8"/>
    </row>
    <row r="121" spans="2:50" s="6" customFormat="1" ht="15" customHeight="1" x14ac:dyDescent="0.15">
      <c r="B121" s="128"/>
      <c r="C121" s="180" t="str">
        <f t="shared" si="8"/>
        <v>Real Estate</v>
      </c>
      <c r="D121"/>
      <c r="E121"/>
      <c r="F121" s="5">
        <v>38.745520584649398</v>
      </c>
      <c r="G121" s="5">
        <v>31.6776040621641</v>
      </c>
      <c r="H121" s="5">
        <v>32.405420571491902</v>
      </c>
      <c r="I121" s="5">
        <v>29.453720283662602</v>
      </c>
      <c r="J121" s="5"/>
      <c r="K121" s="5"/>
      <c r="L121" s="4"/>
      <c r="M121" s="4"/>
      <c r="N121" s="4"/>
      <c r="O121"/>
      <c r="P121"/>
      <c r="Q121" s="130">
        <v>6.3499767579312101</v>
      </c>
      <c r="R121" s="5">
        <v>5.8610349240489903</v>
      </c>
      <c r="S121" s="5">
        <v>5.9519504460133899</v>
      </c>
      <c r="T121" s="5">
        <v>5.5832374958244504</v>
      </c>
      <c r="U121" s="4"/>
      <c r="V121" s="179" t="str">
        <f t="shared" si="9"/>
        <v>86099Y65</v>
      </c>
      <c r="W121" s="129"/>
      <c r="Y121" s="8"/>
      <c r="Z121" s="8"/>
      <c r="AA121" s="8"/>
    </row>
    <row r="122" spans="2:50" s="6" customFormat="1" ht="15" customHeight="1" x14ac:dyDescent="0.15">
      <c r="B122" s="128"/>
      <c r="C122" s="132"/>
      <c r="D122"/>
      <c r="E122"/>
      <c r="F122" s="5"/>
      <c r="G122" s="5"/>
      <c r="H122" s="5"/>
      <c r="I122" s="5"/>
      <c r="J122" s="5"/>
      <c r="K122" s="5"/>
      <c r="L122" s="4"/>
      <c r="M122" s="4"/>
      <c r="N122" s="4"/>
      <c r="O122"/>
      <c r="P122"/>
      <c r="Q122" s="130"/>
      <c r="R122" s="5"/>
      <c r="S122" s="5"/>
      <c r="T122" s="5"/>
      <c r="U122" s="4"/>
      <c r="V122" s="131"/>
      <c r="W122" s="129"/>
      <c r="Y122" s="8"/>
      <c r="Z122" s="8"/>
      <c r="AA122" s="8"/>
    </row>
    <row r="123" spans="2:50" s="6" customFormat="1" ht="15" customHeight="1" x14ac:dyDescent="0.15">
      <c r="B123" s="133"/>
      <c r="C123" s="134"/>
      <c r="D123" s="134"/>
      <c r="E123" s="134"/>
      <c r="F123" s="134"/>
      <c r="G123" s="134"/>
      <c r="H123" s="134"/>
      <c r="I123" s="134"/>
      <c r="J123" s="134"/>
      <c r="K123" s="134"/>
      <c r="L123" s="134"/>
      <c r="M123" s="134"/>
      <c r="N123" s="134"/>
      <c r="O123" s="134"/>
      <c r="P123" s="134"/>
      <c r="Q123" s="134"/>
      <c r="R123" s="134"/>
      <c r="S123" s="134"/>
      <c r="T123" s="134"/>
      <c r="U123" s="134"/>
      <c r="V123" s="134"/>
      <c r="W123" s="135"/>
      <c r="Y123" s="8"/>
      <c r="Z123" s="8"/>
      <c r="AA123" s="8"/>
    </row>
    <row r="124" spans="2:50" s="6" customFormat="1" ht="15" customHeight="1" x14ac:dyDescent="0.15">
      <c r="E124" s="20"/>
      <c r="M124" s="20"/>
      <c r="N124" s="20"/>
      <c r="O124" s="7"/>
      <c r="P124" s="7"/>
      <c r="Q124" s="7"/>
      <c r="R124" s="7"/>
      <c r="S124" s="7"/>
      <c r="T124" s="7"/>
      <c r="U124" s="7"/>
      <c r="V124" s="7"/>
      <c r="W124" s="7"/>
      <c r="Y124" s="8"/>
      <c r="Z124" s="8"/>
      <c r="AA124" s="8"/>
    </row>
    <row r="125" spans="2:50" s="6" customFormat="1" ht="15" customHeight="1" x14ac:dyDescent="0.15">
      <c r="B125" s="136"/>
      <c r="C125" s="137"/>
      <c r="D125" s="137"/>
      <c r="E125" s="137"/>
      <c r="F125" s="137"/>
      <c r="G125" s="137"/>
      <c r="H125" s="137"/>
      <c r="I125" s="137"/>
      <c r="J125" s="137"/>
      <c r="K125" s="137"/>
      <c r="L125" s="138"/>
      <c r="M125" s="7"/>
      <c r="N125" s="136"/>
      <c r="O125" s="137"/>
      <c r="P125" s="7"/>
      <c r="Q125" s="137"/>
      <c r="R125" s="137"/>
      <c r="S125" s="137"/>
      <c r="T125" s="137"/>
      <c r="U125" s="137"/>
      <c r="V125" s="137"/>
      <c r="W125" s="137"/>
      <c r="X125" s="137"/>
      <c r="Y125" s="137"/>
      <c r="Z125" s="137"/>
      <c r="AA125" s="137"/>
      <c r="AB125" s="137"/>
      <c r="AC125" s="137"/>
      <c r="AD125" s="137"/>
      <c r="AE125" s="137"/>
      <c r="AF125" s="137"/>
      <c r="AG125" s="137"/>
      <c r="AH125" s="137"/>
      <c r="AI125" s="137"/>
      <c r="AJ125" s="137"/>
      <c r="AK125" s="137"/>
      <c r="AL125" s="137"/>
      <c r="AM125" s="138"/>
    </row>
    <row r="126" spans="2:50" s="6" customFormat="1" ht="15" customHeight="1" x14ac:dyDescent="0.15">
      <c r="B126" s="139"/>
      <c r="C126" s="140" t="s">
        <v>123</v>
      </c>
      <c r="D126" s="141"/>
      <c r="E126" s="1"/>
      <c r="F126" s="1"/>
      <c r="G126" s="1"/>
      <c r="H126" s="1"/>
      <c r="I126" s="1"/>
      <c r="J126" s="1"/>
      <c r="L126" s="30"/>
      <c r="M126" s="7"/>
      <c r="N126" s="139"/>
      <c r="O126" s="140"/>
      <c r="P126" s="7"/>
      <c r="Q126" s="237" t="s">
        <v>124</v>
      </c>
      <c r="R126" s="7"/>
      <c r="S126" s="7"/>
      <c r="T126" s="7"/>
      <c r="V126" s="7"/>
      <c r="W126" s="7"/>
      <c r="Y126"/>
      <c r="Z126" s="176"/>
      <c r="AA126" s="176"/>
      <c r="AB126" s="176"/>
      <c r="AC126" s="176"/>
      <c r="AD126" s="176"/>
      <c r="AE126" s="176"/>
      <c r="AF126" s="176"/>
      <c r="AG126" s="176"/>
      <c r="AH126" s="176"/>
      <c r="AI126" s="176"/>
      <c r="AJ126" s="176"/>
      <c r="AK126" s="176"/>
      <c r="AL126" s="176"/>
      <c r="AM126" s="30"/>
      <c r="AN126" s="176"/>
      <c r="AO126" s="176"/>
      <c r="AP126" s="176"/>
      <c r="AQ126" s="176"/>
      <c r="AR126" s="176"/>
      <c r="AS126" s="176"/>
      <c r="AT126" s="176"/>
      <c r="AU126" s="176"/>
      <c r="AV126" s="176"/>
      <c r="AX126"/>
    </row>
    <row r="127" spans="2:50" s="6" customFormat="1" ht="15" customHeight="1" outlineLevel="1" x14ac:dyDescent="0.15">
      <c r="B127" s="139"/>
      <c r="C127" s="142"/>
      <c r="D127" s="141"/>
      <c r="E127" s="1"/>
      <c r="F127" s="1"/>
      <c r="G127" s="1"/>
      <c r="H127" s="1"/>
      <c r="I127" s="1"/>
      <c r="J127" s="1"/>
      <c r="K127" s="1"/>
      <c r="L127" s="30"/>
      <c r="M127" s="7"/>
      <c r="N127" s="139"/>
      <c r="O127" s="7"/>
      <c r="P127" s="7"/>
      <c r="Q127" s="7"/>
      <c r="R127" s="7"/>
      <c r="S127" s="7"/>
      <c r="T127" s="7"/>
      <c r="V127" s="7"/>
      <c r="W127" s="7"/>
      <c r="Y127"/>
      <c r="Z127" s="249"/>
      <c r="AA127" s="249"/>
      <c r="AC127" s="176"/>
      <c r="AD127" s="176"/>
      <c r="AE127" s="176"/>
      <c r="AF127" s="176"/>
      <c r="AG127" s="176"/>
      <c r="AH127" s="176"/>
      <c r="AI127" s="176"/>
      <c r="AJ127" s="176"/>
      <c r="AK127" s="176"/>
      <c r="AL127" s="176"/>
      <c r="AM127" s="30"/>
      <c r="AN127" s="176"/>
      <c r="AO127" s="176"/>
      <c r="AP127" s="176"/>
      <c r="AQ127" s="176"/>
      <c r="AR127" s="176"/>
      <c r="AS127" s="176"/>
      <c r="AT127" s="176"/>
    </row>
    <row r="128" spans="2:50" s="6" customFormat="1" ht="15" customHeight="1" outlineLevel="1" x14ac:dyDescent="0.15">
      <c r="B128" s="139"/>
      <c r="C128" s="1" t="s">
        <v>125</v>
      </c>
      <c r="D128" s="166" t="str">
        <f>K128&amp;" - Price Index"</f>
        <v>S&amp;P 500 - Price Index</v>
      </c>
      <c r="E128" s="1" t="str">
        <f>K128&amp;" - Volume (billions)"</f>
        <v>S&amp;P 500 - Volume (billions)</v>
      </c>
      <c r="F128" s="1" t="str">
        <f>K128&amp;" - Advance/Decline Line"</f>
        <v>S&amp;P 500 - Advance/Decline Line</v>
      </c>
      <c r="G128" s="1" t="s">
        <v>126</v>
      </c>
      <c r="H128" s="1" t="s">
        <v>127</v>
      </c>
      <c r="I128" s="141"/>
      <c r="J128" s="141"/>
      <c r="K128" s="143" t="str" cm="1">
        <f t="array" ref="K128">_xll.FDSC("-",T128,"FG_COMPANY_NAME")</f>
        <v>S&amp;P 500</v>
      </c>
      <c r="L128" s="38"/>
      <c r="N128" s="139"/>
      <c r="O128" s="7"/>
      <c r="P128" s="7"/>
      <c r="Q128" s="228"/>
      <c r="R128" s="233"/>
      <c r="S128" s="233"/>
      <c r="T128" s="210" t="str">
        <f>IF(ISBLANK($D$5),$T$129,$D$5)</f>
        <v>000001172</v>
      </c>
      <c r="V128" s="7"/>
      <c r="W128" s="7"/>
      <c r="Y128"/>
      <c r="Z128" s="249"/>
      <c r="AA128" s="249"/>
      <c r="AC128" s="176"/>
      <c r="AD128" s="176"/>
      <c r="AE128" s="176"/>
      <c r="AF128" s="176"/>
      <c r="AG128" s="176"/>
      <c r="AH128" s="176"/>
      <c r="AI128" s="176"/>
      <c r="AJ128" s="176"/>
      <c r="AK128" s="176"/>
      <c r="AL128" s="176"/>
      <c r="AM128" s="30"/>
      <c r="AN128" s="176"/>
      <c r="AO128" s="176"/>
      <c r="AP128" s="176"/>
      <c r="AQ128" s="176"/>
      <c r="AR128" s="176"/>
      <c r="AS128" s="176"/>
      <c r="AT128" s="176"/>
    </row>
    <row r="129" spans="2:48" s="6" customFormat="1" ht="15" customHeight="1" outlineLevel="1" x14ac:dyDescent="0.15">
      <c r="B129" s="139"/>
      <c r="C129" s="164">
        <f t="array" ref="C129:C379">_xll.FDS(,"JULIAN(DATE_YYYYMMDD(0/0/-1, -1D, D))")</f>
        <v>45747</v>
      </c>
      <c r="D129" s="165">
        <f t="array" ref="D129:D379">_xll.FDS(Identifier,"FG_PRICE_ICS(0/0/-1,-1D,D,Local,SPLIT,0,,,5)")</f>
        <v>5611.85</v>
      </c>
      <c r="E129" s="165">
        <f t="array" ref="E129:E379">_xll.FDS(Identifier,"FG_VOLUME(0/0/-1,-1D,D,SPLIT)")</f>
        <v>3.7338744437332201</v>
      </c>
      <c r="F129" s="165">
        <f t="array" ref="F129:F380">_xll.FDSB(Identifier,"FMA_AD(-1AY,0,D)")</f>
        <v>0</v>
      </c>
      <c r="G129" s="165">
        <f t="array" ref="G129:G380">_xll.FDSB(Identifier,"FMA_PCT_ABOVE_MAVG(200,-1ay,0,d)")</f>
        <v>41.749502982107401</v>
      </c>
      <c r="H129" s="165">
        <f t="array" ref="H129:H380">_xll.FDSB(Identifier,"FMA_PCT_ABOVE_MAVG(50,-1ay,0,d)")</f>
        <v>39.165009940357898</v>
      </c>
      <c r="I129" s="146"/>
      <c r="J129" s="146"/>
      <c r="K129" s="146"/>
      <c r="L129" s="64"/>
      <c r="N129" s="139"/>
      <c r="O129" s="7"/>
      <c r="P129" s="7"/>
      <c r="Q129" s="228"/>
      <c r="R129" s="233"/>
      <c r="S129" s="233"/>
      <c r="T129" s="210" t="str">
        <f>VLOOKUP($D$3,$Q$130:$T$191,4,FALSE)</f>
        <v>000001172</v>
      </c>
      <c r="V129" s="7"/>
      <c r="W129" s="7"/>
      <c r="Y129"/>
      <c r="Z129" s="249"/>
      <c r="AA129" s="249"/>
      <c r="AC129" s="176"/>
      <c r="AD129" s="176"/>
      <c r="AE129" s="176"/>
      <c r="AF129" s="176"/>
      <c r="AG129" s="176"/>
      <c r="AH129" s="176"/>
      <c r="AI129" s="176"/>
      <c r="AJ129" s="176"/>
      <c r="AK129" s="176"/>
      <c r="AL129" s="176"/>
      <c r="AM129" s="30"/>
      <c r="AN129" s="176"/>
      <c r="AO129" s="176"/>
      <c r="AP129" s="176"/>
      <c r="AQ129" s="176"/>
      <c r="AR129" s="176"/>
      <c r="AS129" s="176"/>
      <c r="AT129" s="176"/>
    </row>
    <row r="130" spans="2:48" s="6" customFormat="1" ht="15" customHeight="1" outlineLevel="1" x14ac:dyDescent="0.15">
      <c r="B130" s="139"/>
      <c r="C130" s="164">
        <v>45748</v>
      </c>
      <c r="D130" s="165">
        <v>5633.07</v>
      </c>
      <c r="E130" s="165">
        <v>2.8300101227054602</v>
      </c>
      <c r="F130" s="165">
        <v>94</v>
      </c>
      <c r="G130" s="165">
        <v>41.749502982107401</v>
      </c>
      <c r="H130" s="165">
        <v>40.954274353876698</v>
      </c>
      <c r="I130" s="146"/>
      <c r="J130" s="146"/>
      <c r="K130" s="146"/>
      <c r="L130" s="64"/>
      <c r="N130" s="139"/>
      <c r="O130" s="7"/>
      <c r="P130" s="7"/>
      <c r="Q130" s="225" t="s">
        <v>128</v>
      </c>
      <c r="R130" s="234"/>
      <c r="S130" s="234"/>
      <c r="T130" s="226"/>
      <c r="V130" s="7"/>
      <c r="W130" s="7"/>
      <c r="Y130"/>
      <c r="Z130" s="257" t="s">
        <v>40</v>
      </c>
      <c r="AA130" s="257"/>
      <c r="AB130" s="257"/>
      <c r="AC130" s="257"/>
      <c r="AD130" s="257"/>
      <c r="AE130" s="257"/>
      <c r="AF130" s="257"/>
      <c r="AG130" s="257"/>
      <c r="AH130" s="257"/>
      <c r="AI130" s="257"/>
      <c r="AJ130" s="257"/>
      <c r="AK130" s="257"/>
      <c r="AL130" s="257"/>
      <c r="AM130" s="30"/>
      <c r="AP130" s="176"/>
      <c r="AQ130" s="176"/>
      <c r="AR130" s="176"/>
      <c r="AS130" s="176"/>
      <c r="AT130" s="176"/>
    </row>
    <row r="131" spans="2:48" s="6" customFormat="1" ht="15" customHeight="1" outlineLevel="1" x14ac:dyDescent="0.15">
      <c r="B131" s="139"/>
      <c r="C131" s="164">
        <v>45749</v>
      </c>
      <c r="D131" s="165">
        <v>5670.97</v>
      </c>
      <c r="E131" s="165">
        <v>2.8085524538383502</v>
      </c>
      <c r="F131" s="165">
        <v>371</v>
      </c>
      <c r="G131" s="165">
        <v>45.526838966202803</v>
      </c>
      <c r="H131" s="165">
        <v>41.550695825049701</v>
      </c>
      <c r="I131" s="146"/>
      <c r="J131" s="146"/>
      <c r="K131" s="146"/>
      <c r="L131" s="74"/>
      <c r="M131" s="44"/>
      <c r="N131" s="139"/>
      <c r="O131" s="7"/>
      <c r="P131" s="7"/>
      <c r="Q131" s="210" t="s">
        <v>129</v>
      </c>
      <c r="R131" s="233"/>
      <c r="S131" s="233"/>
      <c r="T131" s="210" t="s">
        <v>130</v>
      </c>
      <c r="V131" s="7"/>
      <c r="W131" s="7"/>
      <c r="Y131"/>
      <c r="Z131" s="257" t="str" cm="1">
        <f t="array" ref="Z131:AA151">_xll.FDS(Identifier,"FMA_GEOREV_TOP_EXPOSURES(4,20,-3AY,,,,""PORTAGG"")")</f>
        <v>Dates</v>
      </c>
      <c r="AA131" s="257" t="str">
        <v>20230331</v>
      </c>
      <c r="AB131" s="257"/>
      <c r="AC131" s="257"/>
      <c r="AD131" s="257" t="str" cm="1">
        <f t="array" ref="AD131:AE151">_xll.FDS(Identifier,"FMA_GEOREV_TOP_EXPOSURES(4,20,-2AY,,,,""PORTAGG"")")</f>
        <v>Dates</v>
      </c>
      <c r="AE131" s="257" t="str">
        <v>20240331</v>
      </c>
      <c r="AF131" s="257"/>
      <c r="AG131" s="257"/>
      <c r="AH131" s="257" t="str" cm="1">
        <f t="array" ref="AH131:AI151">_xll.FDS(Identifier,"FMA_GEOREV_TOP_EXPOSURES(4,20,-1AY,,,,""PORTAGG"")")</f>
        <v>Dates</v>
      </c>
      <c r="AI131" s="257" t="str">
        <v>20250331</v>
      </c>
      <c r="AJ131" s="257"/>
      <c r="AK131" s="257" t="str" cm="1">
        <f t="array" ref="AK131:AL151">_xll.FDS(Identifier,"FMA_GEOREV_TOP_EXPOSURES(4,20,0,,,,""PORTAGG"")")</f>
        <v>Dates</v>
      </c>
      <c r="AL131" s="257" t="str">
        <v>20260331</v>
      </c>
      <c r="AM131" s="30"/>
      <c r="AP131" s="176"/>
      <c r="AQ131" s="176"/>
      <c r="AR131" s="176"/>
      <c r="AS131" s="176"/>
      <c r="AT131" s="176"/>
    </row>
    <row r="132" spans="2:48" s="6" customFormat="1" ht="15" customHeight="1" outlineLevel="1" x14ac:dyDescent="0.15">
      <c r="B132" s="139"/>
      <c r="C132" s="164">
        <v>45750</v>
      </c>
      <c r="D132" s="165">
        <v>5396.52</v>
      </c>
      <c r="E132" s="165">
        <v>5.0639036016502397</v>
      </c>
      <c r="F132" s="165">
        <v>59</v>
      </c>
      <c r="G132" s="165">
        <v>35.387673956262397</v>
      </c>
      <c r="H132" s="165">
        <v>31.411530815109298</v>
      </c>
      <c r="I132" s="146"/>
      <c r="J132" s="146"/>
      <c r="K132" s="146"/>
      <c r="L132" s="38"/>
      <c r="M132" s="44"/>
      <c r="N132" s="139"/>
      <c r="O132" s="7"/>
      <c r="P132" s="7"/>
      <c r="Q132" s="210" t="s">
        <v>29</v>
      </c>
      <c r="R132" s="233"/>
      <c r="S132" s="233"/>
      <c r="T132" s="227" t="s">
        <v>131</v>
      </c>
      <c r="V132" s="7"/>
      <c r="W132" s="7"/>
      <c r="Y132"/>
      <c r="Z132" s="233" t="str">
        <v>United States</v>
      </c>
      <c r="AA132" s="233" t="str">
        <v>59.541962</v>
      </c>
      <c r="AB132" s="233"/>
      <c r="AC132" s="233"/>
      <c r="AD132" s="233" t="str">
        <v>United States</v>
      </c>
      <c r="AE132" s="233" t="str">
        <v>59.068890</v>
      </c>
      <c r="AF132" s="233"/>
      <c r="AG132" s="233"/>
      <c r="AH132" s="233" t="str">
        <v>United States</v>
      </c>
      <c r="AI132" s="233" t="str">
        <v>59.746044</v>
      </c>
      <c r="AJ132" s="233"/>
      <c r="AK132" s="233" t="str">
        <v>United States</v>
      </c>
      <c r="AL132" s="233" t="str">
        <v>59.539886</v>
      </c>
      <c r="AM132" s="30"/>
      <c r="AP132" s="176"/>
      <c r="AQ132" s="176"/>
      <c r="AR132" s="176"/>
      <c r="AS132" s="176"/>
      <c r="AT132" s="176"/>
    </row>
    <row r="133" spans="2:48" s="6" customFormat="1" ht="15" customHeight="1" outlineLevel="1" x14ac:dyDescent="0.15">
      <c r="B133" s="139"/>
      <c r="C133" s="164">
        <v>45751</v>
      </c>
      <c r="D133" s="165">
        <v>5074.08</v>
      </c>
      <c r="E133" s="165">
        <v>6.1591118366775497</v>
      </c>
      <c r="F133" s="165">
        <v>-416</v>
      </c>
      <c r="G133" s="165">
        <v>21.272365805168999</v>
      </c>
      <c r="H133" s="165">
        <v>11.1332007952286</v>
      </c>
      <c r="I133" s="146"/>
      <c r="J133" s="146"/>
      <c r="K133" s="146"/>
      <c r="L133" s="30"/>
      <c r="N133" s="139"/>
      <c r="O133" s="7"/>
      <c r="P133" s="7"/>
      <c r="Q133" s="210" t="s">
        <v>132</v>
      </c>
      <c r="R133" s="233"/>
      <c r="S133" s="233"/>
      <c r="T133" s="227" t="s">
        <v>133</v>
      </c>
      <c r="V133" s="7"/>
      <c r="W133" s="7"/>
      <c r="Y133"/>
      <c r="Z133" s="233" t="str">
        <v>Mainland China</v>
      </c>
      <c r="AA133" s="233" t="str">
        <v>7.239808</v>
      </c>
      <c r="AB133" s="233"/>
      <c r="AC133" s="233"/>
      <c r="AD133" s="233" t="str">
        <v>Mainland China</v>
      </c>
      <c r="AE133" s="233" t="str">
        <v>7.136275</v>
      </c>
      <c r="AF133" s="233"/>
      <c r="AG133" s="233"/>
      <c r="AH133" s="233" t="str">
        <v>Mainland China</v>
      </c>
      <c r="AI133" s="233" t="str">
        <v>6.779068</v>
      </c>
      <c r="AJ133" s="233"/>
      <c r="AK133" s="233" t="str">
        <v>Mainland China</v>
      </c>
      <c r="AL133" s="233" t="str">
        <v>6.777258</v>
      </c>
      <c r="AM133" s="30"/>
      <c r="AP133" s="176"/>
      <c r="AQ133" s="176"/>
      <c r="AR133" s="176"/>
      <c r="AS133" s="176"/>
      <c r="AT133" s="176"/>
    </row>
    <row r="134" spans="2:48" s="6" customFormat="1" ht="15" customHeight="1" outlineLevel="1" x14ac:dyDescent="0.15">
      <c r="B134" s="139"/>
      <c r="C134" s="164">
        <v>45754</v>
      </c>
      <c r="D134" s="165">
        <v>5062.25</v>
      </c>
      <c r="E134" s="165">
        <v>6.3502398599681902</v>
      </c>
      <c r="F134" s="165">
        <v>-598</v>
      </c>
      <c r="G134" s="165">
        <v>17.892644135188899</v>
      </c>
      <c r="H134" s="165">
        <v>6.7594433399602396</v>
      </c>
      <c r="I134" s="146"/>
      <c r="J134" s="146"/>
      <c r="K134" s="146"/>
      <c r="L134" s="30"/>
      <c r="N134" s="139"/>
      <c r="O134" s="7"/>
      <c r="P134" s="7"/>
      <c r="Q134" s="210" t="s">
        <v>134</v>
      </c>
      <c r="R134" s="233"/>
      <c r="S134" s="233"/>
      <c r="T134" s="210" t="s">
        <v>135</v>
      </c>
      <c r="V134" s="7"/>
      <c r="W134" s="7"/>
      <c r="Y134"/>
      <c r="Z134" s="233" t="str">
        <v>Japan</v>
      </c>
      <c r="AA134" s="233" t="str">
        <v>2.639198</v>
      </c>
      <c r="AB134" s="233"/>
      <c r="AC134" s="233"/>
      <c r="AD134" s="233" t="str">
        <v>Japan</v>
      </c>
      <c r="AE134" s="233" t="str">
        <v>2.577308</v>
      </c>
      <c r="AF134" s="233"/>
      <c r="AG134" s="233"/>
      <c r="AH134" s="233" t="str">
        <v>Japan</v>
      </c>
      <c r="AI134" s="233" t="str">
        <v>2.273178</v>
      </c>
      <c r="AJ134" s="233"/>
      <c r="AK134" s="233" t="str">
        <v>Taiwan, China</v>
      </c>
      <c r="AL134" s="233" t="str">
        <v>2.466198</v>
      </c>
      <c r="AM134" s="30"/>
      <c r="AP134" s="176"/>
      <c r="AQ134" s="176"/>
      <c r="AR134" s="176"/>
      <c r="AS134" s="176"/>
      <c r="AT134" s="176"/>
    </row>
    <row r="135" spans="2:48" s="6" customFormat="1" ht="15" customHeight="1" outlineLevel="1" x14ac:dyDescent="0.15">
      <c r="B135" s="139"/>
      <c r="C135" s="164">
        <v>45755</v>
      </c>
      <c r="D135" s="165">
        <v>4982.7700000000004</v>
      </c>
      <c r="E135" s="165">
        <v>5.1817223733673101</v>
      </c>
      <c r="F135" s="165">
        <v>-963</v>
      </c>
      <c r="G135" s="165">
        <v>16.699801192842902</v>
      </c>
      <c r="H135" s="165">
        <v>5.3677932405566597</v>
      </c>
      <c r="I135" s="146"/>
      <c r="J135" s="146"/>
      <c r="K135" s="146"/>
      <c r="L135" s="38"/>
      <c r="M135" s="44"/>
      <c r="N135" s="139"/>
      <c r="O135" s="7"/>
      <c r="P135" s="7"/>
      <c r="Q135" s="210" t="s">
        <v>136</v>
      </c>
      <c r="R135" s="233"/>
      <c r="S135" s="233"/>
      <c r="T135" s="210" t="s">
        <v>137</v>
      </c>
      <c r="V135" s="7"/>
      <c r="W135" s="7"/>
      <c r="Y135"/>
      <c r="Z135" s="233" t="str">
        <v>United Kingdom</v>
      </c>
      <c r="AA135" s="233" t="str">
        <v>2.296192</v>
      </c>
      <c r="AB135" s="233"/>
      <c r="AC135" s="233"/>
      <c r="AD135" s="233" t="str">
        <v>Germany</v>
      </c>
      <c r="AE135" s="233" t="str">
        <v>2.248618</v>
      </c>
      <c r="AF135" s="233"/>
      <c r="AG135" s="233"/>
      <c r="AH135" s="233" t="str">
        <v>United Kingdom</v>
      </c>
      <c r="AI135" s="233" t="str">
        <v>2.241419</v>
      </c>
      <c r="AJ135" s="233"/>
      <c r="AK135" s="233" t="str">
        <v>Japan</v>
      </c>
      <c r="AL135" s="233" t="str">
        <v>2.330717</v>
      </c>
      <c r="AM135" s="30"/>
      <c r="AP135" s="176"/>
      <c r="AQ135" s="176"/>
      <c r="AR135" s="176"/>
      <c r="AS135" s="176"/>
      <c r="AT135" s="176"/>
      <c r="AU135" s="176"/>
      <c r="AV135" s="176"/>
    </row>
    <row r="136" spans="2:48" s="6" customFormat="1" ht="15" customHeight="1" outlineLevel="1" x14ac:dyDescent="0.15">
      <c r="B136" s="139"/>
      <c r="C136" s="164">
        <v>45756</v>
      </c>
      <c r="D136" s="165">
        <v>5456.9</v>
      </c>
      <c r="E136" s="165">
        <v>6.7882305484638197</v>
      </c>
      <c r="F136" s="165">
        <v>-478</v>
      </c>
      <c r="G136" s="165">
        <v>28.4294234592445</v>
      </c>
      <c r="H136" s="165">
        <v>14.910536779324101</v>
      </c>
      <c r="I136" s="146"/>
      <c r="J136" s="146"/>
      <c r="K136" s="146"/>
      <c r="L136" s="30"/>
      <c r="N136" s="139"/>
      <c r="O136" s="7"/>
      <c r="P136" s="7"/>
      <c r="Q136" s="210" t="s">
        <v>138</v>
      </c>
      <c r="R136" s="233"/>
      <c r="S136" s="233"/>
      <c r="T136" s="227" t="s">
        <v>139</v>
      </c>
      <c r="V136" s="7"/>
      <c r="W136" s="7"/>
      <c r="Y136"/>
      <c r="Z136" s="233" t="str">
        <v>Germany</v>
      </c>
      <c r="AA136" s="233" t="str">
        <v>2.220327</v>
      </c>
      <c r="AB136" s="233"/>
      <c r="AC136" s="233"/>
      <c r="AD136" s="233" t="str">
        <v>United Kingdom</v>
      </c>
      <c r="AE136" s="233" t="str">
        <v>2.201190</v>
      </c>
      <c r="AF136" s="233"/>
      <c r="AG136" s="233"/>
      <c r="AH136" s="233" t="str">
        <v>Germany</v>
      </c>
      <c r="AI136" s="233" t="str">
        <v>2.144826</v>
      </c>
      <c r="AJ136" s="233"/>
      <c r="AK136" s="233" t="str">
        <v>United Kingdom</v>
      </c>
      <c r="AL136" s="233" t="str">
        <v>2.124606</v>
      </c>
      <c r="AM136" s="30"/>
      <c r="AP136" s="176"/>
      <c r="AQ136" s="176"/>
      <c r="AR136" s="176"/>
      <c r="AS136" s="176"/>
      <c r="AT136" s="176"/>
      <c r="AU136" s="176"/>
      <c r="AV136" s="176"/>
    </row>
    <row r="137" spans="2:48" s="6" customFormat="1" ht="15" customHeight="1" outlineLevel="1" x14ac:dyDescent="0.15">
      <c r="B137" s="139"/>
      <c r="C137" s="164">
        <v>45757</v>
      </c>
      <c r="D137" s="165">
        <v>5268.05</v>
      </c>
      <c r="E137" s="165">
        <v>4.8647768619709</v>
      </c>
      <c r="F137" s="165">
        <v>-832</v>
      </c>
      <c r="G137" s="165">
        <v>24.2544731610338</v>
      </c>
      <c r="H137" s="165">
        <v>13.7176938369781</v>
      </c>
      <c r="I137" s="146"/>
      <c r="J137" s="146"/>
      <c r="K137" s="146"/>
      <c r="L137" s="30"/>
      <c r="N137" s="139"/>
      <c r="O137" s="7"/>
      <c r="P137" s="7"/>
      <c r="Q137" s="210" t="s">
        <v>140</v>
      </c>
      <c r="R137" s="233"/>
      <c r="S137" s="233"/>
      <c r="T137" s="210">
        <v>891990004</v>
      </c>
      <c r="V137" s="7"/>
      <c r="W137" s="7"/>
      <c r="Y137"/>
      <c r="Z137" s="233" t="str">
        <v>Canada</v>
      </c>
      <c r="AA137" s="233" t="str">
        <v>1.985508</v>
      </c>
      <c r="AB137" s="233"/>
      <c r="AC137" s="233"/>
      <c r="AD137" s="233" t="str">
        <v>Taiwan, China</v>
      </c>
      <c r="AE137" s="233" t="str">
        <v>1.869011</v>
      </c>
      <c r="AF137" s="233"/>
      <c r="AG137" s="233"/>
      <c r="AH137" s="233" t="str">
        <v>Canada</v>
      </c>
      <c r="AI137" s="233" t="str">
        <v>1.784858</v>
      </c>
      <c r="AJ137" s="233"/>
      <c r="AK137" s="233" t="str">
        <v>Germany</v>
      </c>
      <c r="AL137" s="233" t="str">
        <v>1.930996</v>
      </c>
      <c r="AM137" s="30"/>
      <c r="AP137" s="176"/>
      <c r="AQ137" s="176"/>
      <c r="AR137" s="176"/>
      <c r="AS137" s="176"/>
      <c r="AT137" s="176"/>
      <c r="AU137" s="176"/>
      <c r="AV137" s="176"/>
    </row>
    <row r="138" spans="2:48" s="6" customFormat="1" ht="15" customHeight="1" outlineLevel="1" x14ac:dyDescent="0.15">
      <c r="B138" s="139"/>
      <c r="C138" s="164">
        <v>45758</v>
      </c>
      <c r="D138" s="165">
        <v>5363.36</v>
      </c>
      <c r="E138" s="165">
        <v>3.7795671652469598</v>
      </c>
      <c r="F138" s="165">
        <v>-459</v>
      </c>
      <c r="G138" s="165">
        <v>27.6341948310139</v>
      </c>
      <c r="H138" s="165">
        <v>19.284294234592402</v>
      </c>
      <c r="I138" s="146"/>
      <c r="J138" s="146"/>
      <c r="K138" s="146"/>
      <c r="L138" s="38"/>
      <c r="M138" s="44"/>
      <c r="N138" s="139"/>
      <c r="O138" s="7"/>
      <c r="P138" s="7"/>
      <c r="Q138" s="210" t="s">
        <v>141</v>
      </c>
      <c r="R138" s="233"/>
      <c r="S138" s="233"/>
      <c r="T138" s="210" t="s">
        <v>142</v>
      </c>
      <c r="V138" s="7"/>
      <c r="W138" s="7"/>
      <c r="Y138"/>
      <c r="Z138" s="233" t="str">
        <v>France</v>
      </c>
      <c r="AA138" s="233" t="str">
        <v>1.378087</v>
      </c>
      <c r="AB138" s="233"/>
      <c r="AC138" s="233"/>
      <c r="AD138" s="233" t="str">
        <v>Canada</v>
      </c>
      <c r="AE138" s="233" t="str">
        <v>1.820535</v>
      </c>
      <c r="AF138" s="233"/>
      <c r="AG138" s="233"/>
      <c r="AH138" s="233" t="str">
        <v>Singapore</v>
      </c>
      <c r="AI138" s="233" t="str">
        <v>1.751088</v>
      </c>
      <c r="AJ138" s="233"/>
      <c r="AK138" s="233" t="str">
        <v>Canada</v>
      </c>
      <c r="AL138" s="233" t="str">
        <v>1.651652</v>
      </c>
      <c r="AM138" s="30"/>
      <c r="AP138" s="176"/>
      <c r="AQ138" s="176"/>
      <c r="AR138" s="176"/>
      <c r="AS138" s="176"/>
      <c r="AT138" s="176"/>
      <c r="AU138" s="176"/>
      <c r="AV138" s="176"/>
    </row>
    <row r="139" spans="2:48" s="6" customFormat="1" ht="15" customHeight="1" outlineLevel="1" x14ac:dyDescent="0.15">
      <c r="B139" s="139"/>
      <c r="C139" s="164">
        <v>45761</v>
      </c>
      <c r="D139" s="165">
        <v>5405.97</v>
      </c>
      <c r="E139" s="165">
        <v>3.31429649631882</v>
      </c>
      <c r="F139" s="165">
        <v>-97</v>
      </c>
      <c r="G139" s="165">
        <v>29.821073558648099</v>
      </c>
      <c r="H139" s="165">
        <v>25.447316103379698</v>
      </c>
      <c r="I139" s="146"/>
      <c r="J139" s="146"/>
      <c r="K139" s="146"/>
      <c r="L139" s="38"/>
      <c r="M139" s="44"/>
      <c r="N139" s="139"/>
      <c r="O139" s="7"/>
      <c r="P139" s="7"/>
      <c r="Q139" s="210" t="s">
        <v>143</v>
      </c>
      <c r="R139" s="233"/>
      <c r="S139" s="233"/>
      <c r="T139" s="210" t="s">
        <v>144</v>
      </c>
      <c r="V139" s="7"/>
      <c r="W139" s="7"/>
      <c r="Y139"/>
      <c r="Z139" s="233" t="str">
        <v>India</v>
      </c>
      <c r="AA139" s="233" t="str">
        <v>1.334670</v>
      </c>
      <c r="AB139" s="233"/>
      <c r="AC139" s="233"/>
      <c r="AD139" s="233" t="str">
        <v>India</v>
      </c>
      <c r="AE139" s="233" t="str">
        <v>1.441372</v>
      </c>
      <c r="AF139" s="233"/>
      <c r="AG139" s="233"/>
      <c r="AH139" s="233" t="str">
        <v>Taiwan, China</v>
      </c>
      <c r="AI139" s="233" t="str">
        <v>1.480592</v>
      </c>
      <c r="AJ139" s="233"/>
      <c r="AK139" s="233" t="str">
        <v>India</v>
      </c>
      <c r="AL139" s="233" t="str">
        <v>1.525255</v>
      </c>
      <c r="AM139" s="30"/>
      <c r="AP139" s="176"/>
      <c r="AQ139" s="176"/>
      <c r="AR139" s="176"/>
      <c r="AS139" s="176"/>
      <c r="AT139" s="176"/>
      <c r="AU139" s="176"/>
      <c r="AV139" s="176"/>
    </row>
    <row r="140" spans="2:48" s="6" customFormat="1" ht="15" customHeight="1" outlineLevel="1" x14ac:dyDescent="0.15">
      <c r="B140" s="139"/>
      <c r="C140" s="164">
        <v>45762</v>
      </c>
      <c r="D140" s="165">
        <v>5396.63</v>
      </c>
      <c r="E140" s="165">
        <v>2.9249562682571399</v>
      </c>
      <c r="F140" s="165">
        <v>-202</v>
      </c>
      <c r="G140" s="165">
        <v>29.025844930417499</v>
      </c>
      <c r="H140" s="165">
        <v>24.652087475149099</v>
      </c>
      <c r="I140" s="146"/>
      <c r="J140" s="146"/>
      <c r="K140" s="146"/>
      <c r="L140" s="147"/>
      <c r="M140" s="88"/>
      <c r="N140" s="139"/>
      <c r="O140" s="7"/>
      <c r="P140" s="7"/>
      <c r="Q140" s="210"/>
      <c r="R140" s="233"/>
      <c r="S140" s="233"/>
      <c r="T140" s="210"/>
      <c r="V140" s="7"/>
      <c r="W140" s="7"/>
      <c r="Y140"/>
      <c r="Z140" s="233" t="str">
        <v>Taiwan, China</v>
      </c>
      <c r="AA140" s="233" t="str">
        <v>1.236363</v>
      </c>
      <c r="AB140" s="233"/>
      <c r="AC140" s="233"/>
      <c r="AD140" s="233" t="str">
        <v>France</v>
      </c>
      <c r="AE140" s="233" t="str">
        <v>1.346463</v>
      </c>
      <c r="AF140" s="233"/>
      <c r="AG140" s="233"/>
      <c r="AH140" s="233" t="str">
        <v>India</v>
      </c>
      <c r="AI140" s="233" t="str">
        <v>1.415767</v>
      </c>
      <c r="AJ140" s="233"/>
      <c r="AK140" s="233" t="str">
        <v>France</v>
      </c>
      <c r="AL140" s="233" t="str">
        <v>1.422384</v>
      </c>
      <c r="AM140" s="30"/>
      <c r="AP140" s="176"/>
      <c r="AQ140" s="176"/>
      <c r="AR140" s="176"/>
      <c r="AS140" s="176"/>
      <c r="AT140" s="176"/>
      <c r="AU140" s="176"/>
      <c r="AV140" s="176"/>
    </row>
    <row r="141" spans="2:48" s="6" customFormat="1" ht="15" customHeight="1" outlineLevel="1" x14ac:dyDescent="0.15">
      <c r="B141" s="139"/>
      <c r="C141" s="164">
        <v>45763</v>
      </c>
      <c r="D141" s="165">
        <v>5275.7</v>
      </c>
      <c r="E141" s="165">
        <v>3.4071995591506998</v>
      </c>
      <c r="F141" s="165">
        <v>-572</v>
      </c>
      <c r="G141" s="165">
        <v>27.236580516898599</v>
      </c>
      <c r="H141" s="165">
        <v>20.675944333996</v>
      </c>
      <c r="I141" s="146"/>
      <c r="J141" s="146"/>
      <c r="K141" s="146"/>
      <c r="L141" s="147"/>
      <c r="M141" s="89"/>
      <c r="N141" s="139"/>
      <c r="O141" s="7"/>
      <c r="P141" s="7"/>
      <c r="Q141" s="226" t="s">
        <v>145</v>
      </c>
      <c r="R141" s="234"/>
      <c r="S141" s="234"/>
      <c r="T141" s="226"/>
      <c r="V141" s="7"/>
      <c r="W141" s="7"/>
      <c r="Y141"/>
      <c r="Z141" s="233" t="str">
        <v>Republic of Korea (South Korea)</v>
      </c>
      <c r="AA141" s="233" t="str">
        <v>1.093938</v>
      </c>
      <c r="AB141" s="233"/>
      <c r="AC141" s="233"/>
      <c r="AD141" s="233" t="str">
        <v>Republic of Korea (South Korea)</v>
      </c>
      <c r="AE141" s="233" t="str">
        <v>1.085877</v>
      </c>
      <c r="AF141" s="233"/>
      <c r="AG141" s="233"/>
      <c r="AH141" s="233" t="str">
        <v>France</v>
      </c>
      <c r="AI141" s="233" t="str">
        <v>1.322139</v>
      </c>
      <c r="AJ141" s="233"/>
      <c r="AK141" s="233" t="str">
        <v>Republic of Korea (South Korea)</v>
      </c>
      <c r="AL141" s="233" t="str">
        <v>1.183826</v>
      </c>
      <c r="AM141" s="30"/>
      <c r="AP141" s="176"/>
      <c r="AQ141" s="176"/>
      <c r="AR141" s="176"/>
      <c r="AS141" s="176"/>
      <c r="AT141" s="176"/>
      <c r="AU141" s="176"/>
      <c r="AV141" s="176"/>
    </row>
    <row r="142" spans="2:48" s="6" customFormat="1" ht="15" customHeight="1" outlineLevel="1" x14ac:dyDescent="0.15">
      <c r="B142" s="139"/>
      <c r="C142" s="164">
        <v>45764</v>
      </c>
      <c r="D142" s="165">
        <v>5282.7</v>
      </c>
      <c r="E142" s="165">
        <v>3.2333630264453901</v>
      </c>
      <c r="F142" s="165">
        <v>-306</v>
      </c>
      <c r="G142" s="165">
        <v>29.4234592445328</v>
      </c>
      <c r="H142" s="165">
        <v>24.0556660039761</v>
      </c>
      <c r="I142" s="146"/>
      <c r="J142" s="146"/>
      <c r="K142" s="146"/>
      <c r="L142" s="38"/>
      <c r="N142" s="139"/>
      <c r="O142" s="7"/>
      <c r="P142" s="7"/>
      <c r="Q142" s="210" t="s">
        <v>146</v>
      </c>
      <c r="R142" s="233"/>
      <c r="S142" s="233"/>
      <c r="T142" s="210" t="s">
        <v>147</v>
      </c>
      <c r="V142" s="7"/>
      <c r="W142" s="7"/>
      <c r="Y142"/>
      <c r="Z142" s="233" t="str">
        <v>Italy</v>
      </c>
      <c r="AA142" s="233" t="str">
        <v>1.068864</v>
      </c>
      <c r="AB142" s="233"/>
      <c r="AC142" s="233"/>
      <c r="AD142" s="233" t="str">
        <v>Brazil</v>
      </c>
      <c r="AE142" s="233" t="str">
        <v>1.076092</v>
      </c>
      <c r="AF142" s="233"/>
      <c r="AG142" s="233"/>
      <c r="AH142" s="233" t="str">
        <v>Mexico</v>
      </c>
      <c r="AI142" s="233" t="str">
        <v>1.131939</v>
      </c>
      <c r="AJ142" s="233"/>
      <c r="AK142" s="233" t="str">
        <v>Italy</v>
      </c>
      <c r="AL142" s="233" t="str">
        <v>1.023350</v>
      </c>
      <c r="AM142" s="30"/>
      <c r="AP142" s="176"/>
      <c r="AQ142" s="176"/>
      <c r="AR142" s="176"/>
      <c r="AS142" s="176"/>
      <c r="AT142" s="176"/>
      <c r="AU142" s="176"/>
      <c r="AV142" s="176"/>
    </row>
    <row r="143" spans="2:48" s="6" customFormat="1" ht="15" customHeight="1" outlineLevel="1" x14ac:dyDescent="0.15">
      <c r="B143" s="139"/>
      <c r="C143" s="164">
        <v>45768</v>
      </c>
      <c r="D143" s="165">
        <v>5158.2</v>
      </c>
      <c r="E143" s="165">
        <v>3.0603646972961398</v>
      </c>
      <c r="F143" s="165">
        <v>-731</v>
      </c>
      <c r="G143" s="165">
        <v>24.0556660039761</v>
      </c>
      <c r="H143" s="165">
        <v>14.5129224652087</v>
      </c>
      <c r="I143" s="146"/>
      <c r="J143" s="146"/>
      <c r="K143" s="146"/>
      <c r="L143" s="30"/>
      <c r="N143" s="139"/>
      <c r="O143" s="7"/>
      <c r="P143" s="7"/>
      <c r="Q143" s="210" t="s">
        <v>148</v>
      </c>
      <c r="R143" s="233"/>
      <c r="S143" s="233"/>
      <c r="T143" s="210">
        <v>180334</v>
      </c>
      <c r="V143" s="7"/>
      <c r="W143" s="7"/>
      <c r="Y143"/>
      <c r="Z143" s="233" t="str">
        <v>Brazil</v>
      </c>
      <c r="AA143" s="233" t="str">
        <v>1.050252</v>
      </c>
      <c r="AB143" s="233"/>
      <c r="AC143" s="233"/>
      <c r="AD143" s="233" t="str">
        <v>Italy</v>
      </c>
      <c r="AE143" s="233" t="str">
        <v>1.075846</v>
      </c>
      <c r="AF143" s="233"/>
      <c r="AG143" s="233"/>
      <c r="AH143" s="233" t="str">
        <v>Brazil</v>
      </c>
      <c r="AI143" s="233" t="str">
        <v>1.064824</v>
      </c>
      <c r="AJ143" s="233"/>
      <c r="AK143" s="233" t="str">
        <v>Brazil</v>
      </c>
      <c r="AL143" s="233" t="str">
        <v>0.959733</v>
      </c>
      <c r="AM143" s="30"/>
      <c r="AP143" s="176"/>
      <c r="AQ143" s="176"/>
      <c r="AR143" s="176"/>
      <c r="AS143" s="176"/>
      <c r="AT143" s="176"/>
      <c r="AU143" s="176"/>
      <c r="AV143" s="176"/>
    </row>
    <row r="144" spans="2:48" s="6" customFormat="1" ht="15" customHeight="1" outlineLevel="1" x14ac:dyDescent="0.15">
      <c r="B144" s="139"/>
      <c r="C144" s="164">
        <v>45769</v>
      </c>
      <c r="D144" s="165">
        <v>5287.76</v>
      </c>
      <c r="E144" s="165">
        <v>3.18436022184753</v>
      </c>
      <c r="F144" s="165">
        <v>-246</v>
      </c>
      <c r="G144" s="165">
        <v>29.4234592445328</v>
      </c>
      <c r="H144" s="165">
        <v>24.0556660039761</v>
      </c>
      <c r="I144" s="146"/>
      <c r="J144" s="146"/>
      <c r="K144" s="146"/>
      <c r="L144" s="64"/>
      <c r="M144" s="86"/>
      <c r="N144" s="139"/>
      <c r="O144" s="7"/>
      <c r="P144" s="7"/>
      <c r="Q144" s="210" t="s">
        <v>149</v>
      </c>
      <c r="R144" s="233"/>
      <c r="S144" s="233"/>
      <c r="T144" s="210">
        <v>180167</v>
      </c>
      <c r="V144" s="7"/>
      <c r="W144" s="7"/>
      <c r="Y144"/>
      <c r="Z144" s="233" t="str">
        <v>Russian Federation</v>
      </c>
      <c r="AA144" s="233" t="str">
        <v>0.937403</v>
      </c>
      <c r="AB144" s="233"/>
      <c r="AC144" s="233"/>
      <c r="AD144" s="233" t="str">
        <v>Mexico</v>
      </c>
      <c r="AE144" s="233" t="str">
        <v>1.059909</v>
      </c>
      <c r="AF144" s="233"/>
      <c r="AG144" s="233"/>
      <c r="AH144" s="233" t="str">
        <v>Italy</v>
      </c>
      <c r="AI144" s="233" t="str">
        <v>1.057145</v>
      </c>
      <c r="AJ144" s="233"/>
      <c r="AK144" s="233" t="str">
        <v>Mexico</v>
      </c>
      <c r="AL144" s="233" t="str">
        <v>0.954168</v>
      </c>
      <c r="AM144" s="30"/>
      <c r="AP144" s="176"/>
      <c r="AQ144" s="176"/>
      <c r="AR144" s="176"/>
      <c r="AS144" s="176"/>
      <c r="AT144" s="176"/>
      <c r="AU144" s="176"/>
      <c r="AV144" s="176"/>
    </row>
    <row r="145" spans="2:48" s="6" customFormat="1" ht="15" customHeight="1" outlineLevel="1" x14ac:dyDescent="0.15">
      <c r="B145" s="139"/>
      <c r="C145" s="164">
        <v>45770</v>
      </c>
      <c r="D145" s="165">
        <v>5375.86</v>
      </c>
      <c r="E145" s="165">
        <v>3.6208710959835102</v>
      </c>
      <c r="F145" s="165">
        <v>-24</v>
      </c>
      <c r="G145" s="165">
        <v>29.622266401590501</v>
      </c>
      <c r="H145" s="165">
        <v>27.037773359841001</v>
      </c>
      <c r="I145" s="146"/>
      <c r="J145" s="146"/>
      <c r="K145" s="146"/>
      <c r="L145" s="30"/>
      <c r="M145" s="7"/>
      <c r="N145" s="139"/>
      <c r="O145" s="7"/>
      <c r="P145" s="7"/>
      <c r="Q145" s="210" t="s">
        <v>150</v>
      </c>
      <c r="R145" s="233"/>
      <c r="S145" s="233"/>
      <c r="T145" s="210">
        <v>183872</v>
      </c>
      <c r="V145" s="7"/>
      <c r="W145" s="7"/>
      <c r="Y145"/>
      <c r="Z145" s="233" t="str">
        <v>Mexico</v>
      </c>
      <c r="AA145" s="233" t="str">
        <v>0.895469</v>
      </c>
      <c r="AB145" s="233"/>
      <c r="AC145" s="233"/>
      <c r="AD145" s="233" t="str">
        <v>Russian Federation</v>
      </c>
      <c r="AE145" s="233" t="str">
        <v>0.907139</v>
      </c>
      <c r="AF145" s="233"/>
      <c r="AG145" s="233"/>
      <c r="AH145" s="233" t="str">
        <v>Republic of Korea (South Korea)</v>
      </c>
      <c r="AI145" s="233" t="str">
        <v>0.997334</v>
      </c>
      <c r="AJ145" s="233"/>
      <c r="AK145" s="233" t="str">
        <v>Singapore</v>
      </c>
      <c r="AL145" s="233" t="str">
        <v>0.947034</v>
      </c>
      <c r="AM145" s="30"/>
      <c r="AP145" s="176"/>
      <c r="AQ145" s="176"/>
      <c r="AR145" s="176"/>
      <c r="AS145" s="176"/>
      <c r="AT145" s="176"/>
      <c r="AU145" s="176"/>
      <c r="AV145" s="176"/>
    </row>
    <row r="146" spans="2:48" s="6" customFormat="1" ht="15" customHeight="1" outlineLevel="1" x14ac:dyDescent="0.15">
      <c r="B146" s="139"/>
      <c r="C146" s="164">
        <v>45771</v>
      </c>
      <c r="D146" s="165">
        <v>5484.77</v>
      </c>
      <c r="E146" s="165">
        <v>3.2492113639240299</v>
      </c>
      <c r="F146" s="165">
        <v>284</v>
      </c>
      <c r="G146" s="165">
        <v>32.007952286282297</v>
      </c>
      <c r="H146" s="165">
        <v>32.604373757455299</v>
      </c>
      <c r="I146" s="146"/>
      <c r="J146" s="146"/>
      <c r="K146" s="146"/>
      <c r="L146" s="30"/>
      <c r="M146" s="7"/>
      <c r="N146" s="139"/>
      <c r="O146" s="7"/>
      <c r="P146" s="7"/>
      <c r="Q146" s="210" t="s">
        <v>151</v>
      </c>
      <c r="R146" s="233"/>
      <c r="S146" s="233"/>
      <c r="T146" s="210" t="s">
        <v>152</v>
      </c>
      <c r="V146" s="7"/>
      <c r="W146" s="7"/>
      <c r="Y146"/>
      <c r="Z146" s="233" t="str">
        <v>Australia</v>
      </c>
      <c r="AA146" s="233" t="str">
        <v>0.891330</v>
      </c>
      <c r="AB146" s="233"/>
      <c r="AC146" s="233"/>
      <c r="AD146" s="233" t="str">
        <v>Australia</v>
      </c>
      <c r="AE146" s="233" t="str">
        <v>0.880533</v>
      </c>
      <c r="AF146" s="233"/>
      <c r="AG146" s="233"/>
      <c r="AH146" s="233" t="str">
        <v>Australia</v>
      </c>
      <c r="AI146" s="233" t="str">
        <v>0.838797</v>
      </c>
      <c r="AJ146" s="233"/>
      <c r="AK146" s="233" t="str">
        <v>Russian Federation</v>
      </c>
      <c r="AL146" s="233" t="str">
        <v>0.822947</v>
      </c>
      <c r="AM146" s="30"/>
      <c r="AP146" s="176"/>
      <c r="AQ146" s="176"/>
      <c r="AR146" s="176"/>
      <c r="AS146" s="176"/>
      <c r="AT146" s="176"/>
      <c r="AU146" s="176"/>
      <c r="AV146" s="176"/>
    </row>
    <row r="147" spans="2:48" s="6" customFormat="1" ht="15" customHeight="1" outlineLevel="1" x14ac:dyDescent="0.15">
      <c r="B147" s="139"/>
      <c r="C147" s="164">
        <v>45772</v>
      </c>
      <c r="D147" s="165">
        <v>5525.21</v>
      </c>
      <c r="E147" s="165">
        <v>2.9904213807210902</v>
      </c>
      <c r="F147" s="165">
        <v>193</v>
      </c>
      <c r="G147" s="165">
        <v>32.206759443339998</v>
      </c>
      <c r="H147" s="165">
        <v>33.598409542743497</v>
      </c>
      <c r="I147" s="146"/>
      <c r="J147" s="146"/>
      <c r="K147" s="146"/>
      <c r="L147" s="30"/>
      <c r="M147" s="7"/>
      <c r="N147" s="139"/>
      <c r="O147" s="7"/>
      <c r="P147" s="7"/>
      <c r="Q147" s="210" t="s">
        <v>153</v>
      </c>
      <c r="R147" s="233"/>
      <c r="S147" s="233"/>
      <c r="T147" s="210" t="s">
        <v>154</v>
      </c>
      <c r="V147" s="7"/>
      <c r="W147" s="7"/>
      <c r="Y147" s="8"/>
      <c r="Z147" s="233" t="str">
        <v>Netherlands</v>
      </c>
      <c r="AA147" s="233" t="str">
        <v>0.807072</v>
      </c>
      <c r="AB147" s="233"/>
      <c r="AC147" s="233"/>
      <c r="AD147" s="233" t="str">
        <v>Netherlands</v>
      </c>
      <c r="AE147" s="233" t="str">
        <v>0.816454</v>
      </c>
      <c r="AF147" s="233"/>
      <c r="AG147" s="233"/>
      <c r="AH147" s="233" t="str">
        <v>Russian Federation</v>
      </c>
      <c r="AI147" s="233" t="str">
        <v>0.834170</v>
      </c>
      <c r="AJ147" s="233"/>
      <c r="AK147" s="233" t="str">
        <v>Australia</v>
      </c>
      <c r="AL147" s="233" t="str">
        <v>0.813825</v>
      </c>
      <c r="AM147" s="30"/>
    </row>
    <row r="148" spans="2:48" s="6" customFormat="1" ht="15" customHeight="1" outlineLevel="1" x14ac:dyDescent="0.15">
      <c r="B148" s="139"/>
      <c r="C148" s="164">
        <v>45775</v>
      </c>
      <c r="D148" s="165">
        <v>5528.75</v>
      </c>
      <c r="E148" s="165">
        <v>2.8154231700782799</v>
      </c>
      <c r="F148" s="165">
        <v>359</v>
      </c>
      <c r="G148" s="165">
        <v>32.405566600397599</v>
      </c>
      <c r="H148" s="165">
        <v>36.182902584493</v>
      </c>
      <c r="I148" s="146"/>
      <c r="J148" s="146"/>
      <c r="K148" s="146"/>
      <c r="L148" s="30"/>
      <c r="M148" s="7"/>
      <c r="N148" s="139"/>
      <c r="O148" s="7"/>
      <c r="P148" s="7"/>
      <c r="Q148" s="210" t="s">
        <v>155</v>
      </c>
      <c r="R148" s="233"/>
      <c r="S148" s="233"/>
      <c r="T148" s="210">
        <v>153354</v>
      </c>
      <c r="V148" s="7"/>
      <c r="W148" s="7"/>
      <c r="Y148" s="8"/>
      <c r="Z148" s="233" t="str">
        <v>Spain</v>
      </c>
      <c r="AA148" s="233" t="str">
        <v>0.753867</v>
      </c>
      <c r="AB148" s="233"/>
      <c r="AC148" s="233"/>
      <c r="AD148" s="233" t="str">
        <v>Spain</v>
      </c>
      <c r="AE148" s="233" t="str">
        <v>0.776573</v>
      </c>
      <c r="AF148" s="233"/>
      <c r="AG148" s="233"/>
      <c r="AH148" s="233" t="str">
        <v>Netherlands</v>
      </c>
      <c r="AI148" s="233" t="str">
        <v>0.813382</v>
      </c>
      <c r="AJ148" s="233"/>
      <c r="AK148" s="233" t="str">
        <v>Spain</v>
      </c>
      <c r="AL148" s="233" t="str">
        <v>0.783558</v>
      </c>
      <c r="AM148" s="30"/>
    </row>
    <row r="149" spans="2:48" s="6" customFormat="1" ht="15" customHeight="1" outlineLevel="1" x14ac:dyDescent="0.15">
      <c r="B149" s="139"/>
      <c r="C149" s="164">
        <v>45776</v>
      </c>
      <c r="D149" s="165">
        <v>5560.83</v>
      </c>
      <c r="E149" s="165">
        <v>2.8121689512710599</v>
      </c>
      <c r="F149" s="165">
        <v>599</v>
      </c>
      <c r="G149" s="165">
        <v>33.797216699801197</v>
      </c>
      <c r="H149" s="165">
        <v>40.159045725646102</v>
      </c>
      <c r="I149" s="146"/>
      <c r="J149" s="146"/>
      <c r="K149" s="146"/>
      <c r="L149" s="30"/>
      <c r="M149" s="7"/>
      <c r="N149" s="139"/>
      <c r="O149" s="7"/>
      <c r="P149" s="7"/>
      <c r="Q149" s="210" t="s">
        <v>156</v>
      </c>
      <c r="R149" s="233"/>
      <c r="S149" s="233"/>
      <c r="T149" s="210">
        <v>180458</v>
      </c>
      <c r="V149" s="7"/>
      <c r="W149" s="7"/>
      <c r="Y149"/>
      <c r="Z149" s="233" t="str">
        <v>Indonesia</v>
      </c>
      <c r="AA149" s="233" t="str">
        <v>0.613019</v>
      </c>
      <c r="AB149" s="233"/>
      <c r="AC149" s="233"/>
      <c r="AD149" s="233" t="str">
        <v>Singapore</v>
      </c>
      <c r="AE149" s="233" t="str">
        <v>0.673126</v>
      </c>
      <c r="AF149" s="233"/>
      <c r="AG149" s="233"/>
      <c r="AH149" s="233" t="str">
        <v>Spain</v>
      </c>
      <c r="AI149" s="233" t="str">
        <v>0.774222</v>
      </c>
      <c r="AJ149" s="233"/>
      <c r="AK149" s="233" t="str">
        <v>Netherlands</v>
      </c>
      <c r="AL149" s="233" t="str">
        <v>0.772054</v>
      </c>
      <c r="AM149" s="30"/>
    </row>
    <row r="150" spans="2:48" s="6" customFormat="1" ht="15" customHeight="1" outlineLevel="1" x14ac:dyDescent="0.15">
      <c r="B150" s="139"/>
      <c r="C150" s="164">
        <v>45777</v>
      </c>
      <c r="D150" s="165">
        <v>5569.06</v>
      </c>
      <c r="E150" s="165">
        <v>3.6586194563732102</v>
      </c>
      <c r="F150" s="165">
        <v>738</v>
      </c>
      <c r="G150" s="165">
        <v>34.990059642147102</v>
      </c>
      <c r="H150" s="165">
        <v>42.743538767395599</v>
      </c>
      <c r="I150" s="146"/>
      <c r="J150" s="146"/>
      <c r="K150" s="146"/>
      <c r="L150" s="30"/>
      <c r="M150" s="7"/>
      <c r="N150" s="139"/>
      <c r="O150" s="7"/>
      <c r="P150" s="7"/>
      <c r="Q150" s="210" t="s">
        <v>157</v>
      </c>
      <c r="R150" s="233"/>
      <c r="S150" s="233"/>
      <c r="T150" s="210" t="s">
        <v>158</v>
      </c>
      <c r="V150" s="7"/>
      <c r="W150" s="7"/>
      <c r="Y150" s="238"/>
      <c r="Z150" s="233" t="str">
        <v>Singapore</v>
      </c>
      <c r="AA150" s="233" t="str">
        <v>0.579376</v>
      </c>
      <c r="AB150" s="233"/>
      <c r="AC150" s="233"/>
      <c r="AD150" s="233" t="str">
        <v>Indonesia</v>
      </c>
      <c r="AE150" s="233" t="str">
        <v>0.617458</v>
      </c>
      <c r="AF150" s="233"/>
      <c r="AG150" s="233"/>
      <c r="AH150" s="233" t="str">
        <v>Indonesia</v>
      </c>
      <c r="AI150" s="233" t="str">
        <v>0.609163</v>
      </c>
      <c r="AJ150" s="233"/>
      <c r="AK150" s="233" t="str">
        <v>Indonesia</v>
      </c>
      <c r="AL150" s="233" t="str">
        <v>0.615185</v>
      </c>
      <c r="AM150" s="30"/>
    </row>
    <row r="151" spans="2:48" s="6" customFormat="1" ht="15" customHeight="1" outlineLevel="1" x14ac:dyDescent="0.15">
      <c r="B151" s="139"/>
      <c r="C151" s="164">
        <v>45778</v>
      </c>
      <c r="D151" s="165">
        <v>5604.14</v>
      </c>
      <c r="E151" s="165">
        <v>3.2617226238145798</v>
      </c>
      <c r="F151" s="165">
        <v>664</v>
      </c>
      <c r="G151" s="165">
        <v>34.791252485089501</v>
      </c>
      <c r="H151" s="165">
        <v>41.351888667992</v>
      </c>
      <c r="I151" s="146"/>
      <c r="J151" s="146"/>
      <c r="K151" s="146"/>
      <c r="L151" s="30"/>
      <c r="M151" s="7"/>
      <c r="N151" s="139"/>
      <c r="O151" s="7"/>
      <c r="P151" s="7"/>
      <c r="Q151" s="210" t="s">
        <v>159</v>
      </c>
      <c r="R151" s="233"/>
      <c r="S151" s="233"/>
      <c r="T151" s="210">
        <v>180461</v>
      </c>
      <c r="V151" s="7"/>
      <c r="W151" s="7"/>
      <c r="Y151" s="238"/>
      <c r="Z151" s="233" t="str">
        <v>Switzerland</v>
      </c>
      <c r="AA151" s="233" t="str">
        <v>0.534802</v>
      </c>
      <c r="AB151" s="233"/>
      <c r="AC151" s="233"/>
      <c r="AD151" s="233" t="str">
        <v>Switzerland</v>
      </c>
      <c r="AE151" s="233" t="str">
        <v>0.536332</v>
      </c>
      <c r="AF151" s="233"/>
      <c r="AG151" s="233"/>
      <c r="AH151" s="233" t="str">
        <v>Switzerland</v>
      </c>
      <c r="AI151" s="233" t="str">
        <v>0.509700</v>
      </c>
      <c r="AJ151" s="233"/>
      <c r="AK151" s="233" t="str">
        <v>Turkey</v>
      </c>
      <c r="AL151" s="233" t="str">
        <v>0.528447</v>
      </c>
      <c r="AM151" s="30"/>
    </row>
    <row r="152" spans="2:48" s="6" customFormat="1" ht="15" customHeight="1" outlineLevel="1" x14ac:dyDescent="0.15">
      <c r="B152" s="139"/>
      <c r="C152" s="164">
        <v>45779</v>
      </c>
      <c r="D152" s="165">
        <v>5686.67</v>
      </c>
      <c r="E152" s="165">
        <v>3.0457872583303498</v>
      </c>
      <c r="F152" s="165">
        <v>1079</v>
      </c>
      <c r="G152" s="165">
        <v>40.357852882703803</v>
      </c>
      <c r="H152" s="165">
        <v>57.057654075546701</v>
      </c>
      <c r="I152" s="146"/>
      <c r="J152" s="146"/>
      <c r="K152" s="146"/>
      <c r="L152" s="30"/>
      <c r="M152" s="7"/>
      <c r="N152" s="139"/>
      <c r="O152" s="7"/>
      <c r="P152" s="7"/>
      <c r="Q152" s="210" t="s">
        <v>160</v>
      </c>
      <c r="R152" s="233"/>
      <c r="S152" s="233"/>
      <c r="T152" s="210" t="s">
        <v>161</v>
      </c>
      <c r="V152" s="7"/>
      <c r="W152" s="7"/>
      <c r="Y152" s="238"/>
      <c r="Z152" s="238"/>
      <c r="AA152" s="238"/>
      <c r="AM152" s="30"/>
    </row>
    <row r="153" spans="2:48" s="6" customFormat="1" ht="15" customHeight="1" outlineLevel="1" x14ac:dyDescent="0.15">
      <c r="B153" s="139"/>
      <c r="C153" s="164">
        <v>45782</v>
      </c>
      <c r="D153" s="165">
        <v>5650.38</v>
      </c>
      <c r="E153" s="165">
        <v>2.7548137809610398</v>
      </c>
      <c r="F153" s="165">
        <v>950</v>
      </c>
      <c r="G153" s="165">
        <v>39.761431411530801</v>
      </c>
      <c r="H153" s="165">
        <v>54.274353876739603</v>
      </c>
      <c r="I153" s="146"/>
      <c r="J153" s="146"/>
      <c r="K153" s="146"/>
      <c r="L153" s="30"/>
      <c r="M153" s="7"/>
      <c r="N153" s="139"/>
      <c r="O153" s="7"/>
      <c r="P153" s="7"/>
      <c r="Q153" s="210" t="s">
        <v>162</v>
      </c>
      <c r="R153" s="233"/>
      <c r="S153" s="233"/>
      <c r="T153" s="210">
        <v>180721</v>
      </c>
      <c r="V153" s="7"/>
      <c r="W153" s="7"/>
      <c r="Y153" s="238"/>
      <c r="Z153" s="238"/>
      <c r="AA153" s="238"/>
      <c r="AM153" s="30"/>
    </row>
    <row r="154" spans="2:48" s="6" customFormat="1" ht="15" customHeight="1" outlineLevel="1" x14ac:dyDescent="0.15">
      <c r="B154" s="139"/>
      <c r="C154" s="164">
        <v>45783</v>
      </c>
      <c r="D154" s="165">
        <v>5606.91</v>
      </c>
      <c r="E154" s="165">
        <v>2.84248940015125</v>
      </c>
      <c r="F154" s="165">
        <v>733</v>
      </c>
      <c r="G154" s="165">
        <v>36.381709741550701</v>
      </c>
      <c r="H154" s="165">
        <v>52.087475149105401</v>
      </c>
      <c r="I154" s="146"/>
      <c r="J154" s="146"/>
      <c r="K154" s="146"/>
      <c r="L154" s="30"/>
      <c r="M154" s="7"/>
      <c r="N154" s="139"/>
      <c r="O154" s="7"/>
      <c r="P154" s="7"/>
      <c r="Q154" s="210" t="s">
        <v>163</v>
      </c>
      <c r="R154" s="233"/>
      <c r="S154" s="233"/>
      <c r="T154" s="210">
        <v>180085</v>
      </c>
      <c r="V154" s="7"/>
      <c r="W154" s="7"/>
      <c r="Y154" s="238"/>
      <c r="Z154" s="176"/>
      <c r="AA154" s="176"/>
      <c r="AM154" s="30"/>
    </row>
    <row r="155" spans="2:48" s="6" customFormat="1" ht="15" customHeight="1" outlineLevel="1" x14ac:dyDescent="0.15">
      <c r="B155" s="139"/>
      <c r="C155" s="164">
        <v>45784</v>
      </c>
      <c r="D155" s="165">
        <v>5631.28</v>
      </c>
      <c r="E155" s="165">
        <v>3.2399368406829798</v>
      </c>
      <c r="F155" s="165">
        <v>955</v>
      </c>
      <c r="G155" s="165">
        <v>40.159045725646102</v>
      </c>
      <c r="H155" s="165">
        <v>56.461232604373798</v>
      </c>
      <c r="I155" s="146"/>
      <c r="J155" s="146"/>
      <c r="K155" s="146"/>
      <c r="L155" s="30"/>
      <c r="M155" s="7"/>
      <c r="N155" s="139"/>
      <c r="O155" s="7"/>
      <c r="P155" s="7"/>
      <c r="Q155" s="210" t="s">
        <v>164</v>
      </c>
      <c r="R155" s="233"/>
      <c r="S155" s="233"/>
      <c r="T155" s="210" t="s">
        <v>165</v>
      </c>
      <c r="V155" s="7"/>
      <c r="W155" s="7"/>
      <c r="Y155" s="238"/>
      <c r="Z155" s="176"/>
      <c r="AA155" s="176"/>
      <c r="AM155" s="30"/>
    </row>
    <row r="156" spans="2:48" s="6" customFormat="1" ht="15" customHeight="1" outlineLevel="1" x14ac:dyDescent="0.15">
      <c r="B156" s="139"/>
      <c r="C156" s="164">
        <v>45785</v>
      </c>
      <c r="D156" s="165">
        <v>5663.94</v>
      </c>
      <c r="E156" s="165">
        <v>3.25166665661621</v>
      </c>
      <c r="F156" s="165">
        <v>1149</v>
      </c>
      <c r="G156" s="165">
        <v>42.345924453280297</v>
      </c>
      <c r="H156" s="165">
        <v>60.039761431411499</v>
      </c>
      <c r="I156" s="146"/>
      <c r="J156" s="146"/>
      <c r="K156" s="146"/>
      <c r="L156" s="30"/>
      <c r="M156" s="7"/>
      <c r="N156" s="139"/>
      <c r="O156" s="7"/>
      <c r="P156" s="7"/>
      <c r="Q156" s="210" t="s">
        <v>166</v>
      </c>
      <c r="R156" s="233"/>
      <c r="S156" s="233"/>
      <c r="T156" s="210" t="s">
        <v>167</v>
      </c>
      <c r="V156" s="7"/>
      <c r="W156" s="7"/>
      <c r="Y156" s="238"/>
      <c r="Z156" s="176"/>
      <c r="AA156" s="176"/>
      <c r="AM156" s="30"/>
    </row>
    <row r="157" spans="2:48" s="6" customFormat="1" ht="15" customHeight="1" outlineLevel="1" x14ac:dyDescent="0.15">
      <c r="B157" s="139"/>
      <c r="C157" s="164">
        <v>45786</v>
      </c>
      <c r="D157" s="165">
        <v>5659.91</v>
      </c>
      <c r="E157" s="165">
        <v>2.4838820849132501</v>
      </c>
      <c r="F157" s="165">
        <v>1129</v>
      </c>
      <c r="G157" s="165">
        <v>41.749502982107401</v>
      </c>
      <c r="H157" s="165">
        <v>61.033797216699803</v>
      </c>
      <c r="I157" s="146"/>
      <c r="J157" s="146"/>
      <c r="K157" s="146"/>
      <c r="L157" s="30"/>
      <c r="M157" s="7"/>
      <c r="N157" s="139"/>
      <c r="O157" s="7"/>
      <c r="P157" s="7"/>
      <c r="Q157" s="210"/>
      <c r="R157" s="233"/>
      <c r="S157" s="233"/>
      <c r="T157" s="210"/>
      <c r="V157" s="7"/>
      <c r="W157" s="7"/>
      <c r="Y157" s="238"/>
      <c r="Z157" s="176"/>
      <c r="AA157" s="176"/>
      <c r="AM157" s="30"/>
    </row>
    <row r="158" spans="2:48" s="6" customFormat="1" ht="15" customHeight="1" outlineLevel="1" x14ac:dyDescent="0.15">
      <c r="B158" s="139"/>
      <c r="C158" s="164">
        <v>45789</v>
      </c>
      <c r="D158" s="165">
        <v>5844.19</v>
      </c>
      <c r="E158" s="165">
        <v>3.81640240061378</v>
      </c>
      <c r="F158" s="165">
        <v>1445</v>
      </c>
      <c r="G158" s="165">
        <v>49.900596421471199</v>
      </c>
      <c r="H158" s="165">
        <v>72.564612326043701</v>
      </c>
      <c r="I158" s="146"/>
      <c r="J158" s="146"/>
      <c r="K158" s="146"/>
      <c r="L158" s="30"/>
      <c r="M158" s="7"/>
      <c r="N158" s="139"/>
      <c r="O158" s="7"/>
      <c r="P158" s="7"/>
      <c r="Q158" s="226" t="s">
        <v>168</v>
      </c>
      <c r="R158" s="234"/>
      <c r="S158" s="234"/>
      <c r="T158" s="226"/>
      <c r="V158" s="7"/>
      <c r="W158" s="7"/>
      <c r="Y158" s="238"/>
      <c r="Z158" s="176"/>
      <c r="AA158" s="176"/>
      <c r="AM158" s="30"/>
    </row>
    <row r="159" spans="2:48" s="6" customFormat="1" ht="15" customHeight="1" outlineLevel="1" x14ac:dyDescent="0.15">
      <c r="B159" s="139"/>
      <c r="C159" s="164">
        <v>45790</v>
      </c>
      <c r="D159" s="165">
        <v>5886.55</v>
      </c>
      <c r="E159" s="165">
        <v>3.5957283755912801</v>
      </c>
      <c r="F159" s="165">
        <v>1432</v>
      </c>
      <c r="G159" s="165">
        <v>49.304174950298197</v>
      </c>
      <c r="H159" s="165">
        <v>69.383697813121302</v>
      </c>
      <c r="I159" s="146"/>
      <c r="J159" s="146"/>
      <c r="K159" s="146"/>
      <c r="L159" s="30"/>
      <c r="M159" s="7"/>
      <c r="N159" s="139"/>
      <c r="O159" s="7"/>
      <c r="P159" s="7"/>
      <c r="Q159" s="210" t="s">
        <v>169</v>
      </c>
      <c r="R159" s="233"/>
      <c r="S159" s="233"/>
      <c r="T159" s="210">
        <v>180555</v>
      </c>
      <c r="V159" s="7"/>
      <c r="W159" s="7"/>
      <c r="Y159" s="238"/>
      <c r="Z159" s="176"/>
      <c r="AA159" s="176"/>
      <c r="AM159" s="30"/>
    </row>
    <row r="160" spans="2:48" s="6" customFormat="1" ht="15" customHeight="1" outlineLevel="1" x14ac:dyDescent="0.15">
      <c r="B160" s="139"/>
      <c r="C160" s="164">
        <v>45791</v>
      </c>
      <c r="D160" s="165">
        <v>5892.58</v>
      </c>
      <c r="E160" s="165">
        <v>3.4865115895462</v>
      </c>
      <c r="F160" s="165">
        <v>1226</v>
      </c>
      <c r="G160" s="165">
        <v>47.713717693836998</v>
      </c>
      <c r="H160" s="165">
        <v>64.413518886679896</v>
      </c>
      <c r="I160" s="146"/>
      <c r="J160" s="146"/>
      <c r="K160" s="146"/>
      <c r="L160" s="30"/>
      <c r="M160" s="7"/>
      <c r="N160" s="139"/>
      <c r="O160" s="7"/>
      <c r="P160" s="7"/>
      <c r="Q160" s="210" t="s">
        <v>170</v>
      </c>
      <c r="R160" s="233"/>
      <c r="S160" s="233"/>
      <c r="T160" s="210">
        <v>186800</v>
      </c>
      <c r="V160" s="7"/>
      <c r="W160" s="7"/>
      <c r="Y160" s="238"/>
      <c r="Z160" s="176"/>
      <c r="AA160" s="176"/>
      <c r="AM160" s="30"/>
    </row>
    <row r="161" spans="2:39" s="6" customFormat="1" ht="15" customHeight="1" outlineLevel="1" x14ac:dyDescent="0.15">
      <c r="B161" s="139"/>
      <c r="C161" s="164">
        <v>45792</v>
      </c>
      <c r="D161" s="165">
        <v>5916.93</v>
      </c>
      <c r="E161" s="165">
        <v>3.1956898417892501</v>
      </c>
      <c r="F161" s="165">
        <v>1473</v>
      </c>
      <c r="G161" s="165">
        <v>51.6898608349901</v>
      </c>
      <c r="H161" s="165">
        <v>73.161033797216703</v>
      </c>
      <c r="I161" s="146"/>
      <c r="J161" s="146"/>
      <c r="K161" s="146"/>
      <c r="L161" s="30"/>
      <c r="M161" s="7"/>
      <c r="N161" s="139"/>
      <c r="O161" s="7"/>
      <c r="P161" s="7"/>
      <c r="Q161" s="210" t="s">
        <v>171</v>
      </c>
      <c r="R161" s="233"/>
      <c r="S161" s="233"/>
      <c r="T161" s="210">
        <v>186801</v>
      </c>
      <c r="V161" s="7"/>
      <c r="W161" s="7"/>
      <c r="Y161" s="238"/>
      <c r="Z161" s="176"/>
      <c r="AA161" s="176"/>
      <c r="AM161" s="30"/>
    </row>
    <row r="162" spans="2:39" s="6" customFormat="1" ht="15" customHeight="1" outlineLevel="1" x14ac:dyDescent="0.15">
      <c r="B162" s="139"/>
      <c r="C162" s="164">
        <v>45793</v>
      </c>
      <c r="D162" s="165">
        <v>5958.38</v>
      </c>
      <c r="E162" s="165">
        <v>3.0081369988594102</v>
      </c>
      <c r="F162" s="165">
        <v>1862</v>
      </c>
      <c r="G162" s="165">
        <v>54.870775347912499</v>
      </c>
      <c r="H162" s="165">
        <v>78.528827037773397</v>
      </c>
      <c r="I162" s="146"/>
      <c r="J162" s="146"/>
      <c r="K162" s="146"/>
      <c r="L162" s="30"/>
      <c r="M162" s="7"/>
      <c r="N162" s="139"/>
      <c r="O162" s="7"/>
      <c r="P162" s="7"/>
      <c r="Q162" s="210" t="s">
        <v>172</v>
      </c>
      <c r="R162" s="233"/>
      <c r="S162" s="233"/>
      <c r="T162" s="210">
        <v>180554</v>
      </c>
      <c r="V162" s="7"/>
      <c r="W162" s="7"/>
      <c r="Y162" s="238"/>
      <c r="Z162" s="176"/>
      <c r="AA162" s="176"/>
      <c r="AM162" s="30"/>
    </row>
    <row r="163" spans="2:39" s="6" customFormat="1" ht="15" customHeight="1" outlineLevel="1" x14ac:dyDescent="0.15">
      <c r="B163" s="139"/>
      <c r="C163" s="164">
        <v>45796</v>
      </c>
      <c r="D163" s="165">
        <v>5963.6</v>
      </c>
      <c r="E163" s="165">
        <v>2.6080908401231802</v>
      </c>
      <c r="F163" s="165">
        <v>1871</v>
      </c>
      <c r="G163" s="165">
        <v>54.473161033797197</v>
      </c>
      <c r="H163" s="165">
        <v>79.522862823061601</v>
      </c>
      <c r="I163" s="146"/>
      <c r="J163" s="146"/>
      <c r="K163" s="146"/>
      <c r="L163" s="30"/>
      <c r="M163" s="7"/>
      <c r="N163" s="139"/>
      <c r="O163" s="7"/>
      <c r="P163" s="7"/>
      <c r="Q163" s="210" t="s">
        <v>173</v>
      </c>
      <c r="R163" s="233"/>
      <c r="S163" s="233"/>
      <c r="T163" s="210">
        <v>181510</v>
      </c>
      <c r="V163" s="7"/>
      <c r="W163" s="7"/>
      <c r="Y163" s="238"/>
      <c r="Z163" s="176"/>
      <c r="AA163" s="176"/>
      <c r="AM163" s="30"/>
    </row>
    <row r="164" spans="2:39" s="6" customFormat="1" ht="15" customHeight="1" outlineLevel="1" x14ac:dyDescent="0.15">
      <c r="B164" s="139"/>
      <c r="C164" s="164">
        <v>45797</v>
      </c>
      <c r="D164" s="165">
        <v>5940.46</v>
      </c>
      <c r="E164" s="165">
        <v>2.5703188244075799</v>
      </c>
      <c r="F164" s="165">
        <v>1717</v>
      </c>
      <c r="G164" s="165">
        <v>52.882703777335998</v>
      </c>
      <c r="H164" s="165">
        <v>79.324055666004</v>
      </c>
      <c r="I164" s="146"/>
      <c r="J164" s="146"/>
      <c r="K164" s="146"/>
      <c r="L164" s="30"/>
      <c r="M164" s="7"/>
      <c r="N164" s="139"/>
      <c r="O164" s="7"/>
      <c r="P164" s="7"/>
      <c r="Q164" s="210" t="s">
        <v>174</v>
      </c>
      <c r="R164" s="233"/>
      <c r="S164" s="233"/>
      <c r="T164" s="210">
        <v>187653</v>
      </c>
      <c r="V164" s="7"/>
      <c r="W164" s="7"/>
      <c r="Y164" s="238"/>
      <c r="Z164" s="176"/>
      <c r="AA164" s="176"/>
      <c r="AM164" s="30"/>
    </row>
    <row r="165" spans="2:39" s="6" customFormat="1" ht="15" customHeight="1" outlineLevel="1" x14ac:dyDescent="0.15">
      <c r="B165" s="139"/>
      <c r="C165" s="164">
        <v>45798</v>
      </c>
      <c r="D165" s="165">
        <v>5844.61</v>
      </c>
      <c r="E165" s="165">
        <v>3.15779856521225</v>
      </c>
      <c r="F165" s="165">
        <v>1251</v>
      </c>
      <c r="G165" s="165">
        <v>47.117296222664002</v>
      </c>
      <c r="H165" s="165">
        <v>65.805168986083501</v>
      </c>
      <c r="I165" s="146"/>
      <c r="J165" s="146"/>
      <c r="K165" s="146"/>
      <c r="L165" s="30"/>
      <c r="M165" s="7"/>
      <c r="N165" s="139"/>
      <c r="O165" s="7"/>
      <c r="P165" s="7"/>
      <c r="Q165" s="210" t="s">
        <v>175</v>
      </c>
      <c r="R165" s="233"/>
      <c r="S165" s="233"/>
      <c r="T165" s="210">
        <v>180454</v>
      </c>
      <c r="V165" s="7"/>
      <c r="W165" s="7"/>
      <c r="Y165" s="238"/>
      <c r="Z165" s="176"/>
      <c r="AA165" s="176"/>
      <c r="AM165" s="30"/>
    </row>
    <row r="166" spans="2:39" s="6" customFormat="1" ht="15" customHeight="1" outlineLevel="1" x14ac:dyDescent="0.15">
      <c r="B166" s="139"/>
      <c r="C166" s="164">
        <v>45799</v>
      </c>
      <c r="D166" s="165">
        <v>5842.01</v>
      </c>
      <c r="E166" s="165">
        <v>2.8018130200071298</v>
      </c>
      <c r="F166" s="165">
        <v>1125</v>
      </c>
      <c r="G166" s="165">
        <v>46.123260437375698</v>
      </c>
      <c r="H166" s="165">
        <v>62.823061630218703</v>
      </c>
      <c r="I166" s="146"/>
      <c r="J166" s="146"/>
      <c r="K166" s="146"/>
      <c r="L166" s="30"/>
      <c r="M166" s="7"/>
      <c r="N166" s="139"/>
      <c r="O166" s="7"/>
      <c r="P166" s="7"/>
      <c r="Q166" s="210" t="s">
        <v>176</v>
      </c>
      <c r="R166" s="233"/>
      <c r="S166" s="233"/>
      <c r="T166" s="210">
        <v>187640</v>
      </c>
      <c r="V166" s="7"/>
      <c r="W166" s="7"/>
      <c r="Y166" s="238"/>
      <c r="Z166" s="176"/>
      <c r="AA166" s="176"/>
      <c r="AM166" s="30"/>
    </row>
    <row r="167" spans="2:39" s="6" customFormat="1" ht="15" customHeight="1" outlineLevel="1" x14ac:dyDescent="0.15">
      <c r="B167" s="139"/>
      <c r="C167" s="164">
        <v>45800</v>
      </c>
      <c r="D167" s="165">
        <v>5802.82</v>
      </c>
      <c r="E167" s="165">
        <v>2.5764871240482301</v>
      </c>
      <c r="F167" s="165">
        <v>969</v>
      </c>
      <c r="G167" s="165">
        <v>44.930417495029801</v>
      </c>
      <c r="H167" s="165">
        <v>60.437375745526801</v>
      </c>
      <c r="I167" s="146"/>
      <c r="J167" s="146"/>
      <c r="K167" s="146"/>
      <c r="L167" s="30"/>
      <c r="M167" s="7"/>
      <c r="N167" s="139"/>
      <c r="O167" s="7"/>
      <c r="P167" s="7"/>
      <c r="Q167" s="210" t="s">
        <v>177</v>
      </c>
      <c r="R167" s="233"/>
      <c r="S167" s="233"/>
      <c r="T167" s="210">
        <v>180824</v>
      </c>
      <c r="V167" s="7"/>
      <c r="W167" s="7"/>
      <c r="Y167" s="238"/>
      <c r="Z167" s="176"/>
      <c r="AA167" s="176"/>
      <c r="AM167" s="30"/>
    </row>
    <row r="168" spans="2:39" s="6" customFormat="1" ht="15" customHeight="1" outlineLevel="1" x14ac:dyDescent="0.15">
      <c r="B168" s="139"/>
      <c r="C168" s="164">
        <v>45804</v>
      </c>
      <c r="D168" s="165">
        <v>5921.54</v>
      </c>
      <c r="E168" s="165">
        <v>2.9279572448749498</v>
      </c>
      <c r="F168" s="165">
        <v>1403</v>
      </c>
      <c r="G168" s="165">
        <v>49.105367793240603</v>
      </c>
      <c r="H168" s="165">
        <v>73.359840954274404</v>
      </c>
      <c r="I168" s="146"/>
      <c r="J168" s="146"/>
      <c r="K168" s="146"/>
      <c r="L168" s="30"/>
      <c r="M168" s="7"/>
      <c r="N168" s="139"/>
      <c r="O168" s="7"/>
      <c r="P168" s="7"/>
      <c r="Q168" s="210" t="s">
        <v>178</v>
      </c>
      <c r="R168" s="233"/>
      <c r="S168" s="233"/>
      <c r="T168" s="210">
        <v>160261</v>
      </c>
      <c r="V168" s="7"/>
      <c r="W168" s="7"/>
      <c r="Y168" s="238"/>
      <c r="Z168" s="176"/>
      <c r="AA168" s="176"/>
      <c r="AM168" s="30"/>
    </row>
    <row r="169" spans="2:39" s="6" customFormat="1" ht="15" customHeight="1" outlineLevel="1" x14ac:dyDescent="0.15">
      <c r="B169" s="139"/>
      <c r="C169" s="164">
        <v>45805</v>
      </c>
      <c r="D169" s="165">
        <v>5888.55</v>
      </c>
      <c r="E169" s="165">
        <v>2.6787539851551099</v>
      </c>
      <c r="F169" s="165">
        <v>1065</v>
      </c>
      <c r="G169" s="165">
        <v>45.924453280318097</v>
      </c>
      <c r="H169" s="165">
        <v>66.202783300198803</v>
      </c>
      <c r="I169" s="146"/>
      <c r="J169" s="146"/>
      <c r="K169" s="146"/>
      <c r="L169" s="30"/>
      <c r="M169" s="7"/>
      <c r="N169" s="139"/>
      <c r="O169" s="7"/>
      <c r="P169" s="7"/>
      <c r="Q169" s="210" t="s">
        <v>179</v>
      </c>
      <c r="R169" s="233"/>
      <c r="S169" s="233"/>
      <c r="T169" s="210">
        <v>188580</v>
      </c>
      <c r="V169" s="7"/>
      <c r="W169" s="7"/>
      <c r="Y169" s="238"/>
      <c r="Z169" s="176"/>
      <c r="AA169" s="176"/>
      <c r="AM169" s="30"/>
    </row>
    <row r="170" spans="2:39" s="6" customFormat="1" ht="15" customHeight="1" outlineLevel="1" x14ac:dyDescent="0.15">
      <c r="B170" s="139"/>
      <c r="C170" s="164">
        <v>45806</v>
      </c>
      <c r="D170" s="165">
        <v>5912.17</v>
      </c>
      <c r="E170" s="165">
        <v>2.88077289991379</v>
      </c>
      <c r="F170" s="165">
        <v>1277</v>
      </c>
      <c r="G170" s="165">
        <v>47.713717693836998</v>
      </c>
      <c r="H170" s="165">
        <v>69.383697813121302</v>
      </c>
      <c r="I170" s="146"/>
      <c r="J170" s="146"/>
      <c r="K170" s="146"/>
      <c r="L170" s="30"/>
      <c r="M170" s="7"/>
      <c r="N170" s="139"/>
      <c r="O170" s="7"/>
      <c r="P170" s="7"/>
      <c r="Q170" s="210" t="s">
        <v>180</v>
      </c>
      <c r="R170" s="233"/>
      <c r="S170" s="233"/>
      <c r="T170" s="210">
        <v>180060</v>
      </c>
      <c r="V170" s="7"/>
      <c r="W170" s="7"/>
      <c r="Y170" s="8"/>
      <c r="Z170" s="176"/>
      <c r="AA170" s="176"/>
      <c r="AM170" s="30"/>
    </row>
    <row r="171" spans="2:39" s="6" customFormat="1" ht="15" customHeight="1" outlineLevel="1" x14ac:dyDescent="0.15">
      <c r="B171" s="139"/>
      <c r="C171" s="164">
        <v>45807</v>
      </c>
      <c r="D171" s="165">
        <v>5911.69</v>
      </c>
      <c r="E171" s="165">
        <v>4.8597515201492296</v>
      </c>
      <c r="F171" s="165">
        <v>1298</v>
      </c>
      <c r="G171" s="165">
        <v>47.316103379721703</v>
      </c>
      <c r="H171" s="165">
        <v>70.974155069582494</v>
      </c>
      <c r="I171" s="146"/>
      <c r="J171" s="146"/>
      <c r="K171" s="146"/>
      <c r="L171" s="30"/>
      <c r="M171" s="7"/>
      <c r="N171" s="139"/>
      <c r="O171" s="7"/>
      <c r="P171" s="7"/>
      <c r="Q171" s="210" t="s">
        <v>181</v>
      </c>
      <c r="R171" s="233"/>
      <c r="S171" s="233"/>
      <c r="T171" s="210">
        <v>167202</v>
      </c>
      <c r="V171" s="7"/>
      <c r="W171" s="7"/>
      <c r="Y171" s="8"/>
      <c r="Z171" s="176"/>
      <c r="AA171" s="176"/>
      <c r="AM171" s="30"/>
    </row>
    <row r="172" spans="2:39" s="6" customFormat="1" ht="15" customHeight="1" outlineLevel="1" x14ac:dyDescent="0.15">
      <c r="B172" s="139"/>
      <c r="C172" s="164">
        <v>45810</v>
      </c>
      <c r="D172" s="165">
        <v>5935.94</v>
      </c>
      <c r="E172" s="165">
        <v>2.7768769123191799</v>
      </c>
      <c r="F172" s="165">
        <v>1265</v>
      </c>
      <c r="G172" s="165">
        <v>46.918489065606401</v>
      </c>
      <c r="H172" s="165">
        <v>69.980119284294204</v>
      </c>
      <c r="I172" s="146"/>
      <c r="J172" s="146"/>
      <c r="K172" s="146"/>
      <c r="L172" s="30"/>
      <c r="M172" s="7"/>
      <c r="N172" s="139"/>
      <c r="O172" s="7"/>
      <c r="P172" s="7"/>
      <c r="Q172" s="210" t="s">
        <v>182</v>
      </c>
      <c r="R172" s="233"/>
      <c r="S172" s="233"/>
      <c r="T172" s="210">
        <v>181010</v>
      </c>
      <c r="V172" s="7"/>
      <c r="W172" s="7"/>
      <c r="Y172" s="8"/>
      <c r="Z172" s="176"/>
      <c r="AA172" s="176"/>
      <c r="AM172" s="30"/>
    </row>
    <row r="173" spans="2:39" s="6" customFormat="1" ht="15" customHeight="1" outlineLevel="1" x14ac:dyDescent="0.15">
      <c r="B173" s="139"/>
      <c r="C173" s="164">
        <v>45811</v>
      </c>
      <c r="D173" s="165">
        <v>5970.37</v>
      </c>
      <c r="E173" s="165">
        <v>3.0132787003002202</v>
      </c>
      <c r="F173" s="165">
        <v>1483</v>
      </c>
      <c r="G173" s="165">
        <v>48.707753479125302</v>
      </c>
      <c r="H173" s="165">
        <v>71.172962226640195</v>
      </c>
      <c r="I173" s="146"/>
      <c r="J173" s="146"/>
      <c r="K173" s="146"/>
      <c r="L173" s="30"/>
      <c r="M173" s="7"/>
      <c r="N173" s="139"/>
      <c r="O173" s="7"/>
      <c r="P173" s="7"/>
      <c r="Q173" s="210" t="s">
        <v>183</v>
      </c>
      <c r="R173" s="233"/>
      <c r="S173" s="233"/>
      <c r="T173" s="210">
        <v>180825</v>
      </c>
      <c r="V173" s="7"/>
      <c r="W173" s="7"/>
      <c r="Y173" s="8"/>
      <c r="Z173" s="176"/>
      <c r="AA173" s="176"/>
      <c r="AM173" s="30"/>
    </row>
    <row r="174" spans="2:39" s="6" customFormat="1" ht="15" customHeight="1" outlineLevel="1" x14ac:dyDescent="0.15">
      <c r="B174" s="139"/>
      <c r="C174" s="164">
        <v>45812</v>
      </c>
      <c r="D174" s="165">
        <v>5970.81</v>
      </c>
      <c r="E174" s="165">
        <v>2.7015863027763398</v>
      </c>
      <c r="F174" s="165">
        <v>1373</v>
      </c>
      <c r="G174" s="165">
        <v>47.514910536779297</v>
      </c>
      <c r="H174" s="165">
        <v>71.371769383697796</v>
      </c>
      <c r="I174" s="146"/>
      <c r="J174" s="146"/>
      <c r="K174" s="146"/>
      <c r="L174" s="30"/>
      <c r="M174" s="7"/>
      <c r="N174" s="139"/>
      <c r="O174" s="7"/>
      <c r="P174" s="7"/>
      <c r="Q174" s="210" t="s">
        <v>184</v>
      </c>
      <c r="R174" s="233"/>
      <c r="S174" s="233"/>
      <c r="T174" s="210" t="s">
        <v>185</v>
      </c>
      <c r="V174" s="7"/>
      <c r="W174" s="7"/>
      <c r="Y174" s="8"/>
      <c r="Z174" s="8"/>
      <c r="AA174" s="8"/>
      <c r="AM174" s="30"/>
    </row>
    <row r="175" spans="2:39" s="6" customFormat="1" ht="15" customHeight="1" outlineLevel="1" x14ac:dyDescent="0.15">
      <c r="B175" s="139"/>
      <c r="C175" s="164">
        <v>45813</v>
      </c>
      <c r="D175" s="165">
        <v>5939.3</v>
      </c>
      <c r="E175" s="165">
        <v>3.1812677931995399</v>
      </c>
      <c r="F175" s="165">
        <v>1249</v>
      </c>
      <c r="G175" s="165">
        <v>46.123260437375698</v>
      </c>
      <c r="H175" s="165">
        <v>68.787276341948299</v>
      </c>
      <c r="I175" s="146"/>
      <c r="J175" s="146"/>
      <c r="K175" s="146"/>
      <c r="L175" s="30"/>
      <c r="M175" s="7"/>
      <c r="N175" s="139"/>
      <c r="O175" s="7"/>
      <c r="P175" s="7"/>
      <c r="Q175" s="210" t="s">
        <v>186</v>
      </c>
      <c r="R175" s="233"/>
      <c r="S175" s="233"/>
      <c r="T175" s="210" t="s">
        <v>187</v>
      </c>
      <c r="V175" s="7"/>
      <c r="W175" s="7"/>
      <c r="Y175" s="8"/>
      <c r="Z175" s="8"/>
      <c r="AA175" s="8"/>
      <c r="AM175" s="30"/>
    </row>
    <row r="176" spans="2:39" s="6" customFormat="1" ht="15" customHeight="1" outlineLevel="1" x14ac:dyDescent="0.15">
      <c r="B176" s="139"/>
      <c r="C176" s="164">
        <v>45814</v>
      </c>
      <c r="D176" s="165">
        <v>6000.36</v>
      </c>
      <c r="E176" s="165">
        <v>2.58854658942795</v>
      </c>
      <c r="F176" s="165">
        <v>1580</v>
      </c>
      <c r="G176" s="165">
        <v>49.304174950298197</v>
      </c>
      <c r="H176" s="165">
        <v>73.956262425447306</v>
      </c>
      <c r="I176" s="146"/>
      <c r="J176" s="146"/>
      <c r="K176" s="146"/>
      <c r="L176" s="30"/>
      <c r="M176" s="7"/>
      <c r="N176" s="139"/>
      <c r="O176" s="7"/>
      <c r="P176" s="7"/>
      <c r="Q176" s="210" t="s">
        <v>188</v>
      </c>
      <c r="R176" s="233"/>
      <c r="S176" s="233"/>
      <c r="T176" s="210" t="s">
        <v>189</v>
      </c>
      <c r="V176" s="7"/>
      <c r="W176" s="7"/>
      <c r="Y176" s="8"/>
      <c r="Z176" s="8"/>
      <c r="AA176" s="8"/>
      <c r="AM176" s="30"/>
    </row>
    <row r="177" spans="2:39" s="6" customFormat="1" ht="15" customHeight="1" outlineLevel="1" x14ac:dyDescent="0.15">
      <c r="B177" s="139"/>
      <c r="C177" s="164">
        <v>45817</v>
      </c>
      <c r="D177" s="165">
        <v>6005.88</v>
      </c>
      <c r="E177" s="165">
        <v>2.9180584154892002</v>
      </c>
      <c r="F177" s="165">
        <v>1604</v>
      </c>
      <c r="G177" s="165">
        <v>48.707753479125302</v>
      </c>
      <c r="H177" s="165">
        <v>75.347912524850898</v>
      </c>
      <c r="I177" s="146"/>
      <c r="J177" s="146"/>
      <c r="K177" s="146"/>
      <c r="L177" s="30"/>
      <c r="M177" s="7"/>
      <c r="N177" s="139"/>
      <c r="O177" s="7"/>
      <c r="P177" s="7"/>
      <c r="Q177" s="210" t="s">
        <v>190</v>
      </c>
      <c r="R177" s="233"/>
      <c r="S177" s="233"/>
      <c r="T177" s="210">
        <v>188923</v>
      </c>
      <c r="V177" s="7"/>
      <c r="W177" s="7"/>
      <c r="Y177" s="8"/>
      <c r="Z177" s="8"/>
      <c r="AA177" s="8"/>
      <c r="AM177" s="30"/>
    </row>
    <row r="178" spans="2:39" s="6" customFormat="1" ht="15" customHeight="1" outlineLevel="1" x14ac:dyDescent="0.15">
      <c r="B178" s="139"/>
      <c r="C178" s="164">
        <v>45818</v>
      </c>
      <c r="D178" s="165">
        <v>6038.81</v>
      </c>
      <c r="E178" s="165">
        <v>3.0450210134010298</v>
      </c>
      <c r="F178" s="165">
        <v>1763</v>
      </c>
      <c r="G178" s="165">
        <v>51.888667992047701</v>
      </c>
      <c r="H178" s="165">
        <v>78.926441351888698</v>
      </c>
      <c r="I178" s="146"/>
      <c r="J178" s="146"/>
      <c r="K178" s="146"/>
      <c r="L178" s="30"/>
      <c r="M178" s="7"/>
      <c r="N178" s="139"/>
      <c r="O178" s="7"/>
      <c r="P178" s="7"/>
      <c r="Q178" s="210" t="s">
        <v>191</v>
      </c>
      <c r="R178" s="233"/>
      <c r="S178" s="233"/>
      <c r="T178" s="210">
        <v>186658</v>
      </c>
      <c r="V178" s="7"/>
      <c r="W178" s="7"/>
      <c r="Y178" s="8"/>
      <c r="Z178" s="8"/>
      <c r="AA178" s="8"/>
      <c r="AM178" s="30"/>
    </row>
    <row r="179" spans="2:39" s="6" customFormat="1" ht="15" customHeight="1" outlineLevel="1" x14ac:dyDescent="0.15">
      <c r="B179" s="139"/>
      <c r="C179" s="164">
        <v>45819</v>
      </c>
      <c r="D179" s="165">
        <v>6022.24</v>
      </c>
      <c r="E179" s="165">
        <v>2.9967012253932999</v>
      </c>
      <c r="F179" s="165">
        <v>1603</v>
      </c>
      <c r="G179" s="165">
        <v>50.497017892644102</v>
      </c>
      <c r="H179" s="165">
        <v>76.341948310139202</v>
      </c>
      <c r="I179" s="146"/>
      <c r="J179" s="146"/>
      <c r="K179" s="146"/>
      <c r="L179" s="30"/>
      <c r="M179" s="7"/>
      <c r="N179" s="139"/>
      <c r="O179" s="7"/>
      <c r="P179" s="7"/>
      <c r="Q179" s="210" t="s">
        <v>192</v>
      </c>
      <c r="R179" s="233"/>
      <c r="S179" s="233"/>
      <c r="T179" s="210">
        <v>180180</v>
      </c>
      <c r="V179" s="7"/>
      <c r="W179" s="7"/>
      <c r="Y179" s="8"/>
      <c r="Z179" s="8"/>
      <c r="AA179" s="8"/>
      <c r="AM179" s="30"/>
    </row>
    <row r="180" spans="2:39" s="6" customFormat="1" ht="15" customHeight="1" outlineLevel="1" x14ac:dyDescent="0.15">
      <c r="B180" s="139"/>
      <c r="C180" s="164">
        <v>45820</v>
      </c>
      <c r="D180" s="165">
        <v>6045.26</v>
      </c>
      <c r="E180" s="165">
        <v>2.6378149830741902</v>
      </c>
      <c r="F180" s="165">
        <v>1702</v>
      </c>
      <c r="G180" s="165">
        <v>51.888667992047701</v>
      </c>
      <c r="H180" s="165">
        <v>79.125248508946299</v>
      </c>
      <c r="I180" s="146"/>
      <c r="J180" s="146"/>
      <c r="K180" s="146"/>
      <c r="L180" s="30"/>
      <c r="M180" s="7"/>
      <c r="N180" s="139"/>
      <c r="O180" s="7"/>
      <c r="P180" s="7"/>
      <c r="Q180" s="210" t="s">
        <v>193</v>
      </c>
      <c r="R180" s="233"/>
      <c r="S180" s="233"/>
      <c r="T180" s="210">
        <v>187183</v>
      </c>
      <c r="V180" s="7"/>
      <c r="W180" s="7"/>
      <c r="Y180" s="8"/>
      <c r="Z180" s="8"/>
      <c r="AA180" s="8"/>
      <c r="AM180" s="30"/>
    </row>
    <row r="181" spans="2:39" s="6" customFormat="1" ht="15" customHeight="1" outlineLevel="1" x14ac:dyDescent="0.15">
      <c r="B181" s="139"/>
      <c r="C181" s="164">
        <v>45821</v>
      </c>
      <c r="D181" s="165">
        <v>5976.97</v>
      </c>
      <c r="E181" s="165">
        <v>3.0473720556983901</v>
      </c>
      <c r="F181" s="165">
        <v>1339</v>
      </c>
      <c r="G181" s="165">
        <v>47.316103379721703</v>
      </c>
      <c r="H181" s="165">
        <v>69.781312127236603</v>
      </c>
      <c r="I181" s="146"/>
      <c r="J181" s="146"/>
      <c r="K181" s="146"/>
      <c r="L181" s="30"/>
      <c r="M181" s="7"/>
      <c r="N181" s="139"/>
      <c r="O181" s="7"/>
      <c r="P181" s="7"/>
      <c r="Q181" s="210" t="s">
        <v>194</v>
      </c>
      <c r="R181" s="233"/>
      <c r="S181" s="233"/>
      <c r="T181" s="210">
        <v>185419</v>
      </c>
      <c r="V181" s="7"/>
      <c r="W181" s="7"/>
      <c r="Y181" s="8"/>
      <c r="Z181" s="8"/>
      <c r="AA181" s="8"/>
      <c r="AM181" s="30"/>
    </row>
    <row r="182" spans="2:39" s="6" customFormat="1" ht="15" customHeight="1" outlineLevel="1" x14ac:dyDescent="0.15">
      <c r="B182" s="139"/>
      <c r="C182" s="164">
        <v>45824</v>
      </c>
      <c r="D182" s="165">
        <v>6033.11</v>
      </c>
      <c r="E182" s="165">
        <v>2.9003549079475399</v>
      </c>
      <c r="F182" s="165">
        <v>1564</v>
      </c>
      <c r="G182" s="165">
        <v>49.900596421471199</v>
      </c>
      <c r="H182" s="165">
        <v>72.763419483101401</v>
      </c>
      <c r="I182" s="146"/>
      <c r="J182" s="146"/>
      <c r="K182" s="146"/>
      <c r="L182" s="30"/>
      <c r="M182" s="7"/>
      <c r="N182" s="139"/>
      <c r="O182" s="7"/>
      <c r="P182" s="7"/>
      <c r="Q182" s="210" t="s">
        <v>195</v>
      </c>
      <c r="R182" s="233"/>
      <c r="S182" s="233"/>
      <c r="T182" s="210">
        <v>180553</v>
      </c>
      <c r="V182" s="7"/>
      <c r="W182" s="7"/>
      <c r="Y182" s="8"/>
      <c r="Z182" s="8"/>
      <c r="AA182" s="8"/>
      <c r="AM182" s="30"/>
    </row>
    <row r="183" spans="2:39" s="6" customFormat="1" ht="15" customHeight="1" outlineLevel="1" x14ac:dyDescent="0.15">
      <c r="B183" s="139"/>
      <c r="C183" s="164">
        <v>45825</v>
      </c>
      <c r="D183" s="165">
        <v>5982.72</v>
      </c>
      <c r="E183" s="165">
        <v>2.8664898858413701</v>
      </c>
      <c r="F183" s="165">
        <v>1238</v>
      </c>
      <c r="G183" s="165">
        <v>45.129224652087501</v>
      </c>
      <c r="H183" s="165">
        <v>62.0278330019881</v>
      </c>
      <c r="I183" s="146"/>
      <c r="J183" s="146"/>
      <c r="K183" s="146"/>
      <c r="L183" s="30"/>
      <c r="M183" s="7"/>
      <c r="N183" s="139"/>
      <c r="O183" s="7"/>
      <c r="P183" s="7"/>
      <c r="Q183" s="210"/>
      <c r="R183" s="233"/>
      <c r="S183" s="233"/>
      <c r="T183" s="210"/>
      <c r="V183" s="7"/>
      <c r="W183" s="7"/>
      <c r="Y183" s="8"/>
      <c r="Z183" s="8"/>
      <c r="AA183" s="8"/>
      <c r="AM183" s="30"/>
    </row>
    <row r="184" spans="2:39" s="6" customFormat="1" ht="15" customHeight="1" outlineLevel="1" x14ac:dyDescent="0.15">
      <c r="B184" s="139"/>
      <c r="C184" s="164">
        <v>45826</v>
      </c>
      <c r="D184" s="165">
        <v>5980.87</v>
      </c>
      <c r="E184" s="165">
        <v>2.96490631438065</v>
      </c>
      <c r="F184" s="165">
        <v>1214</v>
      </c>
      <c r="G184" s="165">
        <v>44.731610337972199</v>
      </c>
      <c r="H184" s="165">
        <v>60.636182902584501</v>
      </c>
      <c r="I184" s="146"/>
      <c r="J184" s="146"/>
      <c r="K184" s="146"/>
      <c r="L184" s="30"/>
      <c r="M184" s="7"/>
      <c r="N184" s="139"/>
      <c r="O184" s="7"/>
      <c r="P184" s="7"/>
      <c r="Q184" s="226" t="s">
        <v>196</v>
      </c>
      <c r="R184" s="234"/>
      <c r="S184" s="234"/>
      <c r="T184" s="226"/>
      <c r="V184" s="7"/>
      <c r="W184" s="7"/>
      <c r="Y184" s="8"/>
      <c r="Z184" s="8"/>
      <c r="AA184" s="8"/>
      <c r="AM184" s="30"/>
    </row>
    <row r="185" spans="2:39" s="6" customFormat="1" ht="15" customHeight="1" outlineLevel="1" x14ac:dyDescent="0.15">
      <c r="B185" s="139"/>
      <c r="C185" s="164">
        <v>45828</v>
      </c>
      <c r="D185" s="165">
        <v>5967.84</v>
      </c>
      <c r="E185" s="165">
        <v>5.1749479116020201</v>
      </c>
      <c r="F185" s="165">
        <v>1310</v>
      </c>
      <c r="G185" s="165">
        <v>45.725646123260397</v>
      </c>
      <c r="H185" s="165">
        <v>60.834990059642102</v>
      </c>
      <c r="I185" s="146"/>
      <c r="J185" s="146"/>
      <c r="K185" s="146"/>
      <c r="L185" s="30"/>
      <c r="M185" s="7"/>
      <c r="N185" s="139"/>
      <c r="O185" s="7"/>
      <c r="P185" s="7"/>
      <c r="Q185" s="210" t="s">
        <v>197</v>
      </c>
      <c r="R185" s="233"/>
      <c r="S185" s="233"/>
      <c r="T185" s="210">
        <v>188440</v>
      </c>
      <c r="V185" s="7"/>
      <c r="W185" s="7"/>
      <c r="Y185" s="8"/>
      <c r="Z185" s="8"/>
      <c r="AA185" s="8"/>
      <c r="AM185" s="30"/>
    </row>
    <row r="186" spans="2:39" s="6" customFormat="1" ht="15" customHeight="1" outlineLevel="1" x14ac:dyDescent="0.15">
      <c r="B186" s="139"/>
      <c r="C186" s="164">
        <v>45831</v>
      </c>
      <c r="D186" s="165">
        <v>6025.17</v>
      </c>
      <c r="E186" s="165">
        <v>3.2915909624595598</v>
      </c>
      <c r="F186" s="165">
        <v>1607</v>
      </c>
      <c r="G186" s="165">
        <v>49.105367793240603</v>
      </c>
      <c r="H186" s="165">
        <v>69.980119284294204</v>
      </c>
      <c r="I186" s="146"/>
      <c r="J186" s="146"/>
      <c r="K186" s="146"/>
      <c r="L186" s="30"/>
      <c r="M186" s="7"/>
      <c r="N186" s="139"/>
      <c r="O186" s="7"/>
      <c r="P186" s="7"/>
      <c r="Q186" s="210" t="s">
        <v>198</v>
      </c>
      <c r="R186" s="233"/>
      <c r="S186" s="233"/>
      <c r="T186" s="210">
        <v>161597</v>
      </c>
      <c r="V186" s="7"/>
      <c r="W186" s="7"/>
      <c r="Y186" s="8"/>
      <c r="Z186" s="8"/>
      <c r="AA186" s="8"/>
      <c r="AM186" s="30"/>
    </row>
    <row r="187" spans="2:39" s="6" customFormat="1" ht="15" customHeight="1" outlineLevel="1" x14ac:dyDescent="0.15">
      <c r="B187" s="139"/>
      <c r="C187" s="164">
        <v>45832</v>
      </c>
      <c r="D187" s="165">
        <v>6092.18</v>
      </c>
      <c r="E187" s="165">
        <v>3.3143101640052799</v>
      </c>
      <c r="F187" s="165">
        <v>1861</v>
      </c>
      <c r="G187" s="165">
        <v>51.491053677932399</v>
      </c>
      <c r="H187" s="165">
        <v>73.757455268389705</v>
      </c>
      <c r="I187" s="146"/>
      <c r="J187" s="146"/>
      <c r="K187" s="146"/>
      <c r="L187" s="30"/>
      <c r="M187" s="7"/>
      <c r="N187" s="139"/>
      <c r="O187" s="7"/>
      <c r="P187" s="7"/>
      <c r="Q187" s="210" t="s">
        <v>199</v>
      </c>
      <c r="R187" s="233"/>
      <c r="S187" s="233"/>
      <c r="T187" s="210" t="s">
        <v>200</v>
      </c>
      <c r="V187" s="7"/>
      <c r="W187" s="7"/>
      <c r="Y187" s="8"/>
      <c r="Z187" s="8"/>
      <c r="AA187" s="8"/>
      <c r="AM187" s="30"/>
    </row>
    <row r="188" spans="2:39" s="6" customFormat="1" ht="15" customHeight="1" outlineLevel="1" x14ac:dyDescent="0.15">
      <c r="B188" s="139"/>
      <c r="C188" s="164">
        <v>45833</v>
      </c>
      <c r="D188" s="165">
        <v>6092.16</v>
      </c>
      <c r="E188" s="165">
        <v>2.9080275708904302</v>
      </c>
      <c r="F188" s="165">
        <v>1632</v>
      </c>
      <c r="G188" s="165">
        <v>46.918489065606401</v>
      </c>
      <c r="H188" s="165">
        <v>66.003976143141202</v>
      </c>
      <c r="I188" s="146"/>
      <c r="J188" s="146"/>
      <c r="K188" s="146"/>
      <c r="L188" s="30"/>
      <c r="M188" s="7"/>
      <c r="N188" s="139"/>
      <c r="O188" s="7"/>
      <c r="P188" s="7"/>
      <c r="Q188" s="210" t="s">
        <v>201</v>
      </c>
      <c r="R188" s="233"/>
      <c r="S188" s="233"/>
      <c r="T188" s="210" t="s">
        <v>202</v>
      </c>
      <c r="V188" s="7"/>
      <c r="W188" s="7"/>
      <c r="Y188" s="8"/>
      <c r="Z188" s="8"/>
      <c r="AA188" s="8"/>
      <c r="AM188" s="30"/>
    </row>
    <row r="189" spans="2:39" s="6" customFormat="1" ht="15" customHeight="1" outlineLevel="1" x14ac:dyDescent="0.15">
      <c r="B189" s="139"/>
      <c r="C189" s="164">
        <v>45834</v>
      </c>
      <c r="D189" s="165">
        <v>6141.02</v>
      </c>
      <c r="E189" s="165">
        <v>3.0711861528587301</v>
      </c>
      <c r="F189" s="165">
        <v>1874</v>
      </c>
      <c r="G189" s="165">
        <v>50.497017892644102</v>
      </c>
      <c r="H189" s="165">
        <v>68.588469184890698</v>
      </c>
      <c r="I189" s="146"/>
      <c r="J189" s="146"/>
      <c r="K189" s="146"/>
      <c r="L189" s="30"/>
      <c r="M189" s="7"/>
      <c r="N189" s="139"/>
      <c r="O189" s="7"/>
      <c r="P189" s="7"/>
      <c r="Q189" s="210" t="s">
        <v>203</v>
      </c>
      <c r="R189" s="233"/>
      <c r="S189" s="233"/>
      <c r="T189" s="210" t="s">
        <v>204</v>
      </c>
      <c r="V189" s="7"/>
      <c r="W189" s="7"/>
      <c r="Y189" s="8"/>
      <c r="Z189" s="8"/>
      <c r="AA189" s="8"/>
      <c r="AM189" s="30"/>
    </row>
    <row r="190" spans="2:39" s="6" customFormat="1" ht="15" customHeight="1" outlineLevel="1" x14ac:dyDescent="0.15">
      <c r="B190" s="139"/>
      <c r="C190" s="164">
        <v>45835</v>
      </c>
      <c r="D190" s="165">
        <v>6173.07</v>
      </c>
      <c r="E190" s="165">
        <v>4.6809033769168904</v>
      </c>
      <c r="F190" s="165">
        <v>2048</v>
      </c>
      <c r="G190" s="165">
        <v>51.888667992047701</v>
      </c>
      <c r="H190" s="165">
        <v>68.986083499006</v>
      </c>
      <c r="I190" s="146"/>
      <c r="J190" s="146"/>
      <c r="K190" s="146"/>
      <c r="L190" s="30"/>
      <c r="M190" s="7"/>
      <c r="N190" s="139"/>
      <c r="O190" s="7"/>
      <c r="P190" s="7"/>
      <c r="Q190" s="210" t="s">
        <v>205</v>
      </c>
      <c r="R190" s="233"/>
      <c r="S190" s="233"/>
      <c r="T190" s="210">
        <v>140378</v>
      </c>
      <c r="V190" s="7"/>
      <c r="W190" s="7"/>
      <c r="Y190" s="8"/>
      <c r="Z190" s="8"/>
      <c r="AA190" s="8"/>
      <c r="AM190" s="30"/>
    </row>
    <row r="191" spans="2:39" s="6" customFormat="1" ht="15" customHeight="1" outlineLevel="1" x14ac:dyDescent="0.15">
      <c r="B191" s="139"/>
      <c r="C191" s="164">
        <v>45838</v>
      </c>
      <c r="D191" s="165">
        <v>6204.95</v>
      </c>
      <c r="E191" s="165">
        <v>3.3847324325694998</v>
      </c>
      <c r="F191" s="165">
        <v>2243</v>
      </c>
      <c r="G191" s="165">
        <v>53.081510934393599</v>
      </c>
      <c r="H191" s="165">
        <v>71.570576540755496</v>
      </c>
      <c r="I191" s="146"/>
      <c r="J191" s="146"/>
      <c r="K191" s="146"/>
      <c r="L191" s="30"/>
      <c r="M191" s="7"/>
      <c r="N191" s="139"/>
      <c r="O191" s="7"/>
      <c r="P191" s="7"/>
      <c r="Q191" s="210" t="s">
        <v>206</v>
      </c>
      <c r="R191" s="233"/>
      <c r="S191" s="233"/>
      <c r="T191" s="210" t="s">
        <v>207</v>
      </c>
      <c r="V191" s="7"/>
      <c r="W191" s="7"/>
      <c r="Y191" s="8"/>
      <c r="Z191" s="8"/>
      <c r="AA191" s="8"/>
      <c r="AM191" s="30"/>
    </row>
    <row r="192" spans="2:39" s="6" customFormat="1" ht="15" customHeight="1" outlineLevel="1" x14ac:dyDescent="0.15">
      <c r="B192" s="139"/>
      <c r="C192" s="164">
        <v>45839</v>
      </c>
      <c r="D192" s="165">
        <v>6198.01</v>
      </c>
      <c r="E192" s="165">
        <v>3.6039225414676701</v>
      </c>
      <c r="F192" s="165">
        <v>2497</v>
      </c>
      <c r="G192" s="165">
        <v>59.642147117296197</v>
      </c>
      <c r="H192" s="165">
        <v>79.324055666004</v>
      </c>
      <c r="I192" s="146"/>
      <c r="J192" s="146"/>
      <c r="K192" s="146"/>
      <c r="L192" s="30"/>
      <c r="M192" s="7"/>
      <c r="N192" s="139"/>
      <c r="O192" s="7"/>
      <c r="P192" s="7"/>
      <c r="Q192" s="7"/>
      <c r="R192" s="7"/>
      <c r="S192" s="7"/>
      <c r="T192" s="7"/>
      <c r="V192" s="7"/>
      <c r="W192" s="7"/>
      <c r="Y192" s="8"/>
      <c r="Z192" s="8"/>
      <c r="AA192" s="8"/>
      <c r="AM192" s="30"/>
    </row>
    <row r="193" spans="2:39" s="6" customFormat="1" ht="15" customHeight="1" outlineLevel="1" x14ac:dyDescent="0.15">
      <c r="B193" s="139"/>
      <c r="C193" s="164">
        <v>45840</v>
      </c>
      <c r="D193" s="165">
        <v>6227.42</v>
      </c>
      <c r="E193" s="165">
        <v>3.1646487982845302</v>
      </c>
      <c r="F193" s="165">
        <v>2570</v>
      </c>
      <c r="G193" s="165">
        <v>59.362549800796799</v>
      </c>
      <c r="H193" s="165">
        <v>74.701195219123505</v>
      </c>
      <c r="I193" s="146"/>
      <c r="J193" s="146"/>
      <c r="K193" s="146"/>
      <c r="L193" s="30"/>
      <c r="M193" s="7"/>
      <c r="N193" s="118"/>
      <c r="O193" s="59"/>
      <c r="P193" s="7"/>
      <c r="Q193" s="235"/>
      <c r="R193" s="235"/>
      <c r="S193" s="235"/>
      <c r="T193" s="235"/>
      <c r="U193" s="235"/>
      <c r="V193" s="235"/>
      <c r="W193" s="235"/>
      <c r="X193" s="235"/>
      <c r="Y193" s="235"/>
      <c r="Z193" s="235"/>
      <c r="AA193" s="235"/>
      <c r="AB193" s="235"/>
      <c r="AC193" s="235"/>
      <c r="AD193" s="235"/>
      <c r="AE193" s="235"/>
      <c r="AF193" s="235"/>
      <c r="AG193" s="235"/>
      <c r="AH193" s="235"/>
      <c r="AI193" s="235"/>
      <c r="AJ193" s="235"/>
      <c r="AK193" s="235"/>
      <c r="AL193" s="235"/>
      <c r="AM193" s="236"/>
    </row>
    <row r="194" spans="2:39" s="6" customFormat="1" ht="15" customHeight="1" outlineLevel="1" x14ac:dyDescent="0.15">
      <c r="B194" s="139"/>
      <c r="C194" s="164">
        <v>45841</v>
      </c>
      <c r="D194" s="165">
        <v>6279.35</v>
      </c>
      <c r="E194" s="165">
        <v>1.85186918177795</v>
      </c>
      <c r="F194" s="165">
        <v>2771</v>
      </c>
      <c r="G194" s="165">
        <v>61.354581673306797</v>
      </c>
      <c r="H194" s="165">
        <v>77.888446215139396</v>
      </c>
      <c r="I194" s="146"/>
      <c r="J194" s="146"/>
      <c r="K194" s="146"/>
      <c r="L194" s="30"/>
      <c r="M194" s="7"/>
      <c r="N194" s="1"/>
      <c r="O194" s="7"/>
      <c r="P194" s="7"/>
      <c r="Q194" s="7"/>
      <c r="R194" s="7"/>
      <c r="S194" s="7"/>
      <c r="T194" s="7"/>
      <c r="U194" s="7"/>
      <c r="V194" s="7"/>
      <c r="W194" s="7"/>
      <c r="Y194" s="8"/>
      <c r="Z194" s="8"/>
      <c r="AA194" s="8"/>
    </row>
    <row r="195" spans="2:39" s="6" customFormat="1" ht="15" customHeight="1" outlineLevel="1" x14ac:dyDescent="0.15">
      <c r="B195" s="139"/>
      <c r="C195" s="164">
        <v>45845</v>
      </c>
      <c r="D195" s="165">
        <v>6229.98</v>
      </c>
      <c r="E195" s="165">
        <v>2.7658256157341001</v>
      </c>
      <c r="F195" s="165">
        <v>2461</v>
      </c>
      <c r="G195" s="165">
        <v>58.167330677290799</v>
      </c>
      <c r="H195" s="165">
        <v>72.310756972111605</v>
      </c>
      <c r="I195" s="146"/>
      <c r="J195" s="146"/>
      <c r="K195" s="146"/>
      <c r="L195" s="30"/>
      <c r="M195" s="7"/>
      <c r="N195" s="7"/>
      <c r="O195" s="7"/>
      <c r="P195" s="7"/>
      <c r="Q195" s="7"/>
      <c r="R195" s="7"/>
      <c r="S195" s="7"/>
      <c r="T195" s="7"/>
      <c r="U195" s="7"/>
      <c r="V195" s="7"/>
      <c r="W195" s="7"/>
      <c r="Y195" s="8"/>
      <c r="Z195" s="8"/>
      <c r="AA195" s="8"/>
    </row>
    <row r="196" spans="2:39" s="6" customFormat="1" ht="15" customHeight="1" outlineLevel="1" x14ac:dyDescent="0.15">
      <c r="B196" s="139"/>
      <c r="C196" s="164">
        <v>45846</v>
      </c>
      <c r="D196" s="165">
        <v>6225.52</v>
      </c>
      <c r="E196" s="165">
        <v>3.0411581955642699</v>
      </c>
      <c r="F196" s="165">
        <v>2497</v>
      </c>
      <c r="G196" s="165">
        <v>59.163346613545798</v>
      </c>
      <c r="H196" s="165">
        <v>72.310756972111605</v>
      </c>
      <c r="I196" s="146"/>
      <c r="J196" s="146"/>
      <c r="K196" s="146"/>
      <c r="L196" s="30"/>
      <c r="M196" s="7"/>
      <c r="N196" s="7"/>
      <c r="O196" s="7"/>
      <c r="P196" s="7"/>
    </row>
    <row r="197" spans="2:39" s="6" customFormat="1" ht="15" customHeight="1" outlineLevel="1" x14ac:dyDescent="0.15">
      <c r="B197" s="139"/>
      <c r="C197" s="164">
        <v>45847</v>
      </c>
      <c r="D197" s="165">
        <v>6263.26</v>
      </c>
      <c r="E197" s="165">
        <v>2.8332758844585402</v>
      </c>
      <c r="F197" s="165">
        <v>2600</v>
      </c>
      <c r="G197" s="165">
        <v>60.636182902584501</v>
      </c>
      <c r="H197" s="165">
        <v>71.968190854870798</v>
      </c>
      <c r="I197" s="146"/>
      <c r="J197" s="146"/>
      <c r="K197" s="146"/>
      <c r="L197" s="30"/>
      <c r="M197" s="7"/>
      <c r="N197" s="7"/>
      <c r="O197" s="7"/>
      <c r="P197" s="7"/>
    </row>
    <row r="198" spans="2:39" s="6" customFormat="1" ht="15" customHeight="1" outlineLevel="1" x14ac:dyDescent="0.15">
      <c r="B198" s="139"/>
      <c r="C198" s="164">
        <v>45848</v>
      </c>
      <c r="D198" s="165">
        <v>6280.46</v>
      </c>
      <c r="E198" s="165">
        <v>2.8673110215187099</v>
      </c>
      <c r="F198" s="165">
        <v>2803</v>
      </c>
      <c r="G198" s="165">
        <v>62.823061630218703</v>
      </c>
      <c r="H198" s="165">
        <v>73.161033797216703</v>
      </c>
      <c r="I198" s="146"/>
      <c r="J198" s="146"/>
      <c r="K198" s="146"/>
      <c r="L198" s="30"/>
      <c r="M198" s="7"/>
      <c r="N198" s="7"/>
      <c r="O198" s="7"/>
      <c r="P198" s="7"/>
    </row>
    <row r="199" spans="2:39" s="6" customFormat="1" ht="15" customHeight="1" outlineLevel="1" x14ac:dyDescent="0.15">
      <c r="B199" s="139"/>
      <c r="C199" s="164">
        <v>45849</v>
      </c>
      <c r="D199" s="165">
        <v>6259.75</v>
      </c>
      <c r="E199" s="165">
        <v>2.6766616497964901</v>
      </c>
      <c r="F199" s="165">
        <v>2523</v>
      </c>
      <c r="G199" s="165">
        <v>60.238568588469199</v>
      </c>
      <c r="H199" s="165">
        <v>67.395626242544694</v>
      </c>
      <c r="I199" s="146"/>
      <c r="J199" s="146"/>
      <c r="K199" s="146"/>
      <c r="L199" s="30"/>
      <c r="M199" s="7"/>
      <c r="N199" s="7"/>
      <c r="O199" s="7"/>
      <c r="P199" s="7"/>
    </row>
    <row r="200" spans="2:39" s="6" customFormat="1" ht="15" customHeight="1" outlineLevel="1" x14ac:dyDescent="0.15">
      <c r="B200" s="139"/>
      <c r="C200" s="164">
        <v>45852</v>
      </c>
      <c r="D200" s="165">
        <v>6268.56</v>
      </c>
      <c r="E200" s="165">
        <v>2.7414816866951002</v>
      </c>
      <c r="F200" s="165">
        <v>2595</v>
      </c>
      <c r="G200" s="165">
        <v>59.642147117296197</v>
      </c>
      <c r="H200" s="165">
        <v>69.184890656063601</v>
      </c>
      <c r="I200" s="146"/>
      <c r="J200" s="146"/>
      <c r="K200" s="146"/>
      <c r="L200" s="30"/>
      <c r="M200" s="7"/>
      <c r="N200" s="7"/>
      <c r="O200" s="7"/>
      <c r="P200" s="7"/>
    </row>
    <row r="201" spans="2:39" s="6" customFormat="1" ht="15" customHeight="1" outlineLevel="1" x14ac:dyDescent="0.15">
      <c r="B201" s="139"/>
      <c r="C201" s="164">
        <v>45853</v>
      </c>
      <c r="D201" s="165">
        <v>6243.76</v>
      </c>
      <c r="E201" s="165">
        <v>3.1376592670268999</v>
      </c>
      <c r="F201" s="165">
        <v>2189</v>
      </c>
      <c r="G201" s="165">
        <v>55.864811133200803</v>
      </c>
      <c r="H201" s="165">
        <v>58.846918489065601</v>
      </c>
      <c r="I201" s="146"/>
      <c r="J201" s="146"/>
      <c r="K201" s="146"/>
      <c r="L201" s="30"/>
      <c r="M201" s="7"/>
      <c r="N201" s="7"/>
      <c r="O201" s="7"/>
      <c r="P201" s="7"/>
    </row>
    <row r="202" spans="2:39" s="6" customFormat="1" ht="15" customHeight="1" outlineLevel="1" x14ac:dyDescent="0.15">
      <c r="B202" s="139"/>
      <c r="C202" s="164">
        <v>45854</v>
      </c>
      <c r="D202" s="165">
        <v>6263.7</v>
      </c>
      <c r="E202" s="165">
        <v>2.9973647294025398</v>
      </c>
      <c r="F202" s="165">
        <v>2378</v>
      </c>
      <c r="G202" s="165">
        <v>55.864811133200803</v>
      </c>
      <c r="H202" s="165">
        <v>61.232604373757503</v>
      </c>
      <c r="I202" s="146"/>
      <c r="J202" s="146"/>
      <c r="K202" s="146"/>
      <c r="L202" s="30"/>
      <c r="M202" s="7"/>
      <c r="N202" s="7"/>
      <c r="O202" s="7"/>
      <c r="P202" s="7"/>
    </row>
    <row r="203" spans="2:39" s="6" customFormat="1" ht="15" customHeight="1" outlineLevel="1" x14ac:dyDescent="0.15">
      <c r="B203" s="139"/>
      <c r="C203" s="164">
        <v>45855</v>
      </c>
      <c r="D203" s="165">
        <v>6297.36</v>
      </c>
      <c r="E203" s="165">
        <v>3.0921023817853901</v>
      </c>
      <c r="F203" s="165">
        <v>2622</v>
      </c>
      <c r="G203" s="165">
        <v>58.964143426294797</v>
      </c>
      <c r="H203" s="165">
        <v>64.3426294820717</v>
      </c>
      <c r="I203" s="146"/>
      <c r="J203" s="146"/>
      <c r="K203" s="146"/>
      <c r="L203" s="30"/>
      <c r="M203" s="7"/>
      <c r="N203" s="7"/>
      <c r="O203" s="7"/>
      <c r="P203" s="7"/>
    </row>
    <row r="204" spans="2:39" s="6" customFormat="1" ht="15" customHeight="1" outlineLevel="1" x14ac:dyDescent="0.15">
      <c r="B204" s="139"/>
      <c r="C204" s="164">
        <v>45856</v>
      </c>
      <c r="D204" s="165">
        <v>6296.79</v>
      </c>
      <c r="E204" s="165">
        <v>3.1446972363586401</v>
      </c>
      <c r="F204" s="165">
        <v>2627</v>
      </c>
      <c r="G204" s="165">
        <v>58.167330677290799</v>
      </c>
      <c r="H204" s="165">
        <v>63.545816733067703</v>
      </c>
      <c r="I204" s="146"/>
      <c r="J204" s="146"/>
      <c r="K204" s="146"/>
      <c r="L204" s="30"/>
      <c r="M204" s="7"/>
      <c r="N204" s="7"/>
      <c r="O204" s="7"/>
      <c r="P204" s="7"/>
    </row>
    <row r="205" spans="2:39" s="6" customFormat="1" ht="15" customHeight="1" outlineLevel="1" x14ac:dyDescent="0.15">
      <c r="B205" s="139"/>
      <c r="C205" s="164">
        <v>45859</v>
      </c>
      <c r="D205" s="165">
        <v>6305.6</v>
      </c>
      <c r="E205" s="165">
        <v>2.7221772797336601</v>
      </c>
      <c r="F205" s="165">
        <v>2489</v>
      </c>
      <c r="G205" s="165">
        <v>57.569721115537902</v>
      </c>
      <c r="H205" s="165">
        <v>59.760956175298801</v>
      </c>
      <c r="I205" s="146"/>
      <c r="J205" s="146"/>
      <c r="K205" s="146"/>
      <c r="L205" s="30"/>
      <c r="M205" s="7"/>
      <c r="N205" s="7"/>
      <c r="O205" s="7"/>
      <c r="P205" s="7"/>
    </row>
    <row r="206" spans="2:39" s="6" customFormat="1" ht="15" customHeight="1" outlineLevel="1" x14ac:dyDescent="0.15">
      <c r="B206" s="139"/>
      <c r="C206" s="164">
        <v>45860</v>
      </c>
      <c r="D206" s="165">
        <v>6309.62</v>
      </c>
      <c r="E206" s="165">
        <v>3.0576610504646302</v>
      </c>
      <c r="F206" s="165">
        <v>2801</v>
      </c>
      <c r="G206" s="165">
        <v>62.350597609561802</v>
      </c>
      <c r="H206" s="165">
        <v>72.509960159362507</v>
      </c>
      <c r="I206" s="146"/>
      <c r="J206" s="146"/>
      <c r="K206" s="146"/>
      <c r="L206" s="30"/>
      <c r="M206" s="7"/>
      <c r="N206" s="7"/>
      <c r="O206" s="7"/>
      <c r="P206" s="7"/>
    </row>
    <row r="207" spans="2:39" s="6" customFormat="1" ht="15" customHeight="1" outlineLevel="1" x14ac:dyDescent="0.15">
      <c r="B207" s="139"/>
      <c r="C207" s="164">
        <v>45861</v>
      </c>
      <c r="D207" s="165">
        <v>6358.91</v>
      </c>
      <c r="E207" s="165">
        <v>3.3081438329620401</v>
      </c>
      <c r="F207" s="165">
        <v>2983</v>
      </c>
      <c r="G207" s="165">
        <v>64.413518886679896</v>
      </c>
      <c r="H207" s="165">
        <v>75.149105367793197</v>
      </c>
      <c r="I207" s="146"/>
      <c r="J207" s="146"/>
      <c r="K207" s="146"/>
      <c r="L207" s="30"/>
      <c r="M207" s="7"/>
      <c r="N207" s="7"/>
      <c r="O207" s="7"/>
      <c r="P207" s="7"/>
    </row>
    <row r="208" spans="2:39" s="6" customFormat="1" ht="15" customHeight="1" outlineLevel="1" x14ac:dyDescent="0.15">
      <c r="B208" s="139"/>
      <c r="C208" s="164">
        <v>45862</v>
      </c>
      <c r="D208" s="165">
        <v>6363.35</v>
      </c>
      <c r="E208" s="165">
        <v>3.4316793310909302</v>
      </c>
      <c r="F208" s="165">
        <v>2913</v>
      </c>
      <c r="G208" s="165">
        <v>62.823061630218703</v>
      </c>
      <c r="H208" s="165">
        <v>71.172962226640195</v>
      </c>
      <c r="I208" s="146"/>
      <c r="J208" s="146"/>
      <c r="K208" s="146"/>
      <c r="L208" s="30"/>
      <c r="M208" s="7"/>
      <c r="N208" s="7"/>
      <c r="O208" s="7"/>
      <c r="P208" s="7"/>
    </row>
    <row r="209" spans="2:27" s="6" customFormat="1" ht="15" customHeight="1" outlineLevel="1" x14ac:dyDescent="0.15">
      <c r="B209" s="139"/>
      <c r="C209" s="164">
        <v>45863</v>
      </c>
      <c r="D209" s="165">
        <v>6388.64</v>
      </c>
      <c r="E209" s="165">
        <v>3.0233245984993</v>
      </c>
      <c r="F209" s="165">
        <v>3080</v>
      </c>
      <c r="G209" s="165">
        <v>64.413518886679896</v>
      </c>
      <c r="H209" s="165">
        <v>73.757455268389705</v>
      </c>
      <c r="I209" s="146"/>
      <c r="J209" s="146"/>
      <c r="K209" s="146"/>
      <c r="L209" s="30"/>
      <c r="M209" s="7"/>
      <c r="N209" s="7"/>
      <c r="O209" s="7"/>
      <c r="P209" s="7"/>
    </row>
    <row r="210" spans="2:27" s="6" customFormat="1" ht="15" customHeight="1" outlineLevel="1" x14ac:dyDescent="0.15">
      <c r="B210" s="139"/>
      <c r="C210" s="164">
        <v>45866</v>
      </c>
      <c r="D210" s="165">
        <v>6389.77</v>
      </c>
      <c r="E210" s="165">
        <v>2.8862802603912399</v>
      </c>
      <c r="F210" s="165">
        <v>2860</v>
      </c>
      <c r="G210" s="165">
        <v>61.033797216699803</v>
      </c>
      <c r="H210" s="165">
        <v>67.196819085487107</v>
      </c>
      <c r="I210" s="146"/>
      <c r="J210" s="146"/>
      <c r="K210" s="146"/>
      <c r="L210" s="30"/>
      <c r="M210" s="7"/>
      <c r="N210" s="7"/>
      <c r="O210" s="7"/>
      <c r="P210" s="7"/>
    </row>
    <row r="211" spans="2:27" s="6" customFormat="1" ht="15" customHeight="1" outlineLevel="1" x14ac:dyDescent="0.15">
      <c r="B211" s="139"/>
      <c r="C211" s="164">
        <v>45867</v>
      </c>
      <c r="D211" s="165">
        <v>6370.86</v>
      </c>
      <c r="E211" s="165">
        <v>3.27941425319767</v>
      </c>
      <c r="F211" s="165">
        <v>2866</v>
      </c>
      <c r="G211" s="165">
        <v>61.232604373757503</v>
      </c>
      <c r="H211" s="165">
        <v>66.401590457256503</v>
      </c>
      <c r="I211" s="146"/>
      <c r="J211" s="146"/>
      <c r="K211" s="146"/>
      <c r="L211" s="30"/>
      <c r="M211" s="7"/>
      <c r="N211" s="7"/>
      <c r="O211" s="7"/>
      <c r="P211" s="7"/>
    </row>
    <row r="212" spans="2:27" s="6" customFormat="1" ht="15" customHeight="1" outlineLevel="1" x14ac:dyDescent="0.15">
      <c r="B212" s="139"/>
      <c r="C212" s="164">
        <v>45868</v>
      </c>
      <c r="D212" s="165">
        <v>6362.9</v>
      </c>
      <c r="E212" s="165">
        <v>3.3508977563190498</v>
      </c>
      <c r="F212" s="165">
        <v>2681</v>
      </c>
      <c r="G212" s="165">
        <v>58.648111332008</v>
      </c>
      <c r="H212" s="165">
        <v>60.834990059642102</v>
      </c>
      <c r="I212" s="146"/>
      <c r="J212" s="146"/>
      <c r="K212" s="146"/>
      <c r="L212" s="30"/>
      <c r="M212" s="7"/>
      <c r="N212" s="7"/>
      <c r="O212" s="7"/>
      <c r="P212" s="7"/>
    </row>
    <row r="213" spans="2:27" s="6" customFormat="1" ht="15" customHeight="1" outlineLevel="1" x14ac:dyDescent="0.15">
      <c r="B213" s="139"/>
      <c r="C213" s="164">
        <v>45869</v>
      </c>
      <c r="D213" s="165">
        <v>6339.39</v>
      </c>
      <c r="E213" s="165">
        <v>4.12232998287773</v>
      </c>
      <c r="F213" s="165">
        <v>2456</v>
      </c>
      <c r="G213" s="165">
        <v>57.455268389662002</v>
      </c>
      <c r="H213" s="165">
        <v>55.666003976143102</v>
      </c>
      <c r="I213" s="146"/>
      <c r="J213" s="146"/>
      <c r="K213" s="146"/>
      <c r="L213" s="30"/>
      <c r="M213" s="7"/>
      <c r="N213" s="7"/>
      <c r="O213" s="7"/>
      <c r="P213" s="7"/>
    </row>
    <row r="214" spans="2:27" s="6" customFormat="1" ht="15" customHeight="1" outlineLevel="1" x14ac:dyDescent="0.15">
      <c r="B214" s="139"/>
      <c r="C214" s="164">
        <v>45870</v>
      </c>
      <c r="D214" s="165">
        <v>6238.01</v>
      </c>
      <c r="E214" s="165">
        <v>3.6655457367792099</v>
      </c>
      <c r="F214" s="165">
        <v>2245</v>
      </c>
      <c r="G214" s="165">
        <v>53.677932405566601</v>
      </c>
      <c r="H214" s="165">
        <v>48.3101391650099</v>
      </c>
      <c r="I214" s="146"/>
      <c r="J214" s="146"/>
      <c r="K214" s="146"/>
      <c r="L214" s="30"/>
      <c r="M214" s="7"/>
      <c r="N214" s="7"/>
      <c r="O214" s="7"/>
      <c r="P214" s="7"/>
    </row>
    <row r="215" spans="2:27" s="6" customFormat="1" ht="15" customHeight="1" outlineLevel="1" x14ac:dyDescent="0.15">
      <c r="B215" s="139"/>
      <c r="C215" s="164">
        <v>45873</v>
      </c>
      <c r="D215" s="165">
        <v>6329.94</v>
      </c>
      <c r="E215" s="165">
        <v>3.0295454659318901</v>
      </c>
      <c r="F215" s="165">
        <v>2604</v>
      </c>
      <c r="G215" s="165">
        <v>58.051689860834998</v>
      </c>
      <c r="H215" s="165">
        <v>54.274353876739603</v>
      </c>
      <c r="I215" s="146"/>
      <c r="J215" s="146"/>
      <c r="K215" s="146"/>
      <c r="L215" s="30"/>
      <c r="M215" s="7"/>
      <c r="N215" s="7"/>
      <c r="O215" s="7"/>
      <c r="P215" s="7"/>
    </row>
    <row r="216" spans="2:27" s="6" customFormat="1" ht="15" customHeight="1" outlineLevel="1" x14ac:dyDescent="0.15">
      <c r="B216" s="139"/>
      <c r="C216" s="164">
        <v>45874</v>
      </c>
      <c r="D216" s="165">
        <v>6299.19</v>
      </c>
      <c r="E216" s="165">
        <v>3.2174444269752498</v>
      </c>
      <c r="F216" s="165">
        <v>2553</v>
      </c>
      <c r="G216" s="165">
        <v>56.461232604373798</v>
      </c>
      <c r="H216" s="165">
        <v>53.081510934393599</v>
      </c>
      <c r="I216" s="146"/>
      <c r="J216" s="146"/>
      <c r="K216" s="146"/>
      <c r="L216" s="30"/>
      <c r="M216" s="7"/>
      <c r="N216" s="7"/>
      <c r="O216" s="7"/>
      <c r="P216" s="7"/>
    </row>
    <row r="217" spans="2:27" s="6" customFormat="1" ht="15" customHeight="1" outlineLevel="1" x14ac:dyDescent="0.15">
      <c r="B217" s="139"/>
      <c r="C217" s="164">
        <v>45875</v>
      </c>
      <c r="D217" s="165">
        <v>6345.06</v>
      </c>
      <c r="E217" s="165">
        <v>3.3326699264869699</v>
      </c>
      <c r="F217" s="165">
        <v>2530</v>
      </c>
      <c r="G217" s="165">
        <v>54.473161033797197</v>
      </c>
      <c r="H217" s="165">
        <v>51.093439363817097</v>
      </c>
      <c r="I217" s="146"/>
      <c r="J217" s="146"/>
      <c r="K217" s="146"/>
      <c r="L217" s="30"/>
      <c r="M217" s="7"/>
      <c r="N217" s="7"/>
      <c r="O217" s="7"/>
      <c r="P217" s="7"/>
    </row>
    <row r="218" spans="2:27" s="6" customFormat="1" ht="15" customHeight="1" outlineLevel="1" x14ac:dyDescent="0.15">
      <c r="B218" s="139"/>
      <c r="C218" s="164">
        <v>45876</v>
      </c>
      <c r="D218" s="165">
        <v>6340</v>
      </c>
      <c r="E218" s="165">
        <v>3.1851031365337401</v>
      </c>
      <c r="F218" s="165">
        <v>2523</v>
      </c>
      <c r="G218" s="165">
        <v>55.864811133200803</v>
      </c>
      <c r="H218" s="165">
        <v>52.882703777335998</v>
      </c>
      <c r="I218" s="146"/>
      <c r="J218" s="146"/>
      <c r="K218" s="146"/>
      <c r="L218" s="30"/>
      <c r="M218" s="7"/>
      <c r="N218" s="7"/>
      <c r="O218" s="7"/>
      <c r="P218" s="7"/>
      <c r="Q218" s="7"/>
      <c r="R218" s="7"/>
      <c r="S218" s="7"/>
      <c r="T218" s="7"/>
      <c r="U218" s="7"/>
      <c r="V218" s="7"/>
      <c r="W218" s="7"/>
      <c r="Y218" s="8"/>
      <c r="Z218" s="8"/>
      <c r="AA218" s="8"/>
    </row>
    <row r="219" spans="2:27" s="6" customFormat="1" ht="15" customHeight="1" outlineLevel="1" x14ac:dyDescent="0.15">
      <c r="B219" s="139"/>
      <c r="C219" s="164">
        <v>45877</v>
      </c>
      <c r="D219" s="165">
        <v>6389.45</v>
      </c>
      <c r="E219" s="165">
        <v>2.8751557822389602</v>
      </c>
      <c r="F219" s="165">
        <v>2614</v>
      </c>
      <c r="G219" s="165">
        <v>56.660039761431399</v>
      </c>
      <c r="H219" s="165">
        <v>55.268389662027801</v>
      </c>
      <c r="I219" s="146"/>
      <c r="J219" s="146"/>
      <c r="K219" s="146"/>
      <c r="L219" s="30"/>
      <c r="M219" s="7"/>
      <c r="N219" s="7"/>
      <c r="O219" s="7"/>
      <c r="P219" s="7"/>
      <c r="Q219" s="7"/>
      <c r="R219" s="7"/>
      <c r="S219" s="7"/>
      <c r="T219" s="7"/>
      <c r="U219" s="7"/>
      <c r="V219" s="7"/>
      <c r="W219" s="7"/>
      <c r="Y219" s="8"/>
      <c r="Z219" s="8"/>
      <c r="AA219" s="8"/>
    </row>
    <row r="220" spans="2:27" s="6" customFormat="1" ht="15" customHeight="1" outlineLevel="1" x14ac:dyDescent="0.15">
      <c r="B220" s="139"/>
      <c r="C220" s="164">
        <v>45880</v>
      </c>
      <c r="D220" s="165">
        <v>6373.45</v>
      </c>
      <c r="E220" s="165">
        <v>2.94699680720043</v>
      </c>
      <c r="F220" s="165">
        <v>2469</v>
      </c>
      <c r="G220" s="165">
        <v>55.467196819085501</v>
      </c>
      <c r="H220" s="165">
        <v>53.4791252485089</v>
      </c>
      <c r="I220" s="146"/>
      <c r="J220" s="146"/>
      <c r="K220" s="146"/>
      <c r="L220" s="30"/>
      <c r="M220" s="7"/>
      <c r="N220" s="7"/>
      <c r="O220" s="7"/>
      <c r="P220" s="7"/>
      <c r="Q220" s="7"/>
      <c r="R220" s="7"/>
      <c r="S220" s="7"/>
      <c r="T220" s="7"/>
      <c r="U220" s="7"/>
      <c r="V220" s="7"/>
      <c r="W220" s="7"/>
      <c r="Y220" s="8"/>
      <c r="Z220" s="8"/>
      <c r="AA220" s="8"/>
    </row>
    <row r="221" spans="2:27" s="6" customFormat="1" ht="15" customHeight="1" outlineLevel="1" x14ac:dyDescent="0.15">
      <c r="B221" s="139"/>
      <c r="C221" s="164">
        <v>45881</v>
      </c>
      <c r="D221" s="165">
        <v>6445.76</v>
      </c>
      <c r="E221" s="165">
        <v>2.9340613074579198</v>
      </c>
      <c r="F221" s="165">
        <v>2770</v>
      </c>
      <c r="G221" s="165">
        <v>58.846918489065601</v>
      </c>
      <c r="H221" s="165">
        <v>59.443339960238603</v>
      </c>
      <c r="I221" s="146"/>
      <c r="J221" s="146"/>
      <c r="K221" s="146"/>
      <c r="L221" s="30"/>
      <c r="M221" s="7"/>
      <c r="N221" s="7"/>
      <c r="O221" s="7"/>
      <c r="P221" s="7"/>
      <c r="Q221" s="7"/>
      <c r="R221" s="7"/>
      <c r="S221" s="7"/>
      <c r="T221" s="7"/>
      <c r="U221" s="7"/>
      <c r="V221" s="7"/>
      <c r="W221" s="7"/>
      <c r="Y221" s="8"/>
      <c r="Z221" s="8"/>
      <c r="AA221" s="8"/>
    </row>
    <row r="222" spans="2:27" s="6" customFormat="1" ht="15" customHeight="1" outlineLevel="1" x14ac:dyDescent="0.15">
      <c r="B222" s="139"/>
      <c r="C222" s="164">
        <v>45882</v>
      </c>
      <c r="D222" s="165">
        <v>6466.58</v>
      </c>
      <c r="E222" s="165">
        <v>3.1193861893424999</v>
      </c>
      <c r="F222" s="165">
        <v>3103</v>
      </c>
      <c r="G222" s="165">
        <v>63.618290258449299</v>
      </c>
      <c r="H222" s="165">
        <v>65.208747514910499</v>
      </c>
      <c r="I222" s="146"/>
      <c r="J222" s="146"/>
      <c r="K222" s="146"/>
      <c r="L222" s="30"/>
      <c r="M222" s="7"/>
      <c r="N222" s="7"/>
      <c r="O222" s="7"/>
      <c r="P222" s="7"/>
      <c r="Q222" s="7"/>
      <c r="R222" s="7"/>
      <c r="S222" s="7"/>
      <c r="T222" s="7"/>
      <c r="U222" s="7"/>
      <c r="V222" s="7"/>
      <c r="W222" s="7"/>
      <c r="Y222" s="8"/>
      <c r="Z222" s="8"/>
      <c r="AA222" s="8"/>
    </row>
    <row r="223" spans="2:27" s="6" customFormat="1" ht="15" customHeight="1" outlineLevel="1" x14ac:dyDescent="0.15">
      <c r="B223" s="139"/>
      <c r="C223" s="164">
        <v>45883</v>
      </c>
      <c r="D223" s="165">
        <v>6468.54</v>
      </c>
      <c r="E223" s="165">
        <v>2.7928178754558601</v>
      </c>
      <c r="F223" s="165">
        <v>2884</v>
      </c>
      <c r="G223" s="165">
        <v>60.834990059642102</v>
      </c>
      <c r="H223" s="165">
        <v>61.829025844930399</v>
      </c>
      <c r="I223" s="146"/>
      <c r="J223" s="146"/>
      <c r="K223" s="146"/>
      <c r="L223" s="30"/>
      <c r="M223" s="7"/>
      <c r="N223" s="7"/>
      <c r="O223" s="7"/>
      <c r="P223" s="7"/>
      <c r="Q223" s="7"/>
      <c r="R223" s="7"/>
      <c r="S223" s="7"/>
      <c r="T223" s="7"/>
      <c r="U223" s="7"/>
      <c r="V223" s="7"/>
      <c r="W223" s="7"/>
      <c r="Y223" s="8"/>
      <c r="Z223" s="8"/>
      <c r="AA223" s="8"/>
    </row>
    <row r="224" spans="2:27" s="6" customFormat="1" ht="15" customHeight="1" outlineLevel="1" x14ac:dyDescent="0.15">
      <c r="B224" s="139"/>
      <c r="C224" s="164">
        <v>45884</v>
      </c>
      <c r="D224" s="165">
        <v>6449.8</v>
      </c>
      <c r="E224" s="165">
        <v>3.1478349637231799</v>
      </c>
      <c r="F224" s="165">
        <v>2787</v>
      </c>
      <c r="G224" s="165">
        <v>60.238568588469199</v>
      </c>
      <c r="H224" s="165">
        <v>58.449304174950299</v>
      </c>
      <c r="I224" s="146"/>
      <c r="J224" s="146"/>
      <c r="K224" s="146"/>
      <c r="L224" s="30"/>
      <c r="M224" s="7"/>
      <c r="N224" s="7"/>
      <c r="O224" s="7"/>
      <c r="P224" s="7"/>
      <c r="Q224" s="7"/>
      <c r="R224" s="7"/>
      <c r="S224" s="7"/>
      <c r="T224" s="7"/>
      <c r="U224" s="7"/>
      <c r="V224" s="7"/>
      <c r="W224" s="7"/>
      <c r="Y224" s="8"/>
      <c r="Z224" s="8"/>
      <c r="AA224" s="8"/>
    </row>
    <row r="225" spans="2:27" s="6" customFormat="1" ht="15" customHeight="1" outlineLevel="1" x14ac:dyDescent="0.15">
      <c r="B225" s="139"/>
      <c r="C225" s="164">
        <v>45887</v>
      </c>
      <c r="D225" s="165">
        <v>6449.15</v>
      </c>
      <c r="E225" s="165">
        <v>2.60752608096695</v>
      </c>
      <c r="F225" s="165">
        <v>2748</v>
      </c>
      <c r="G225" s="165">
        <v>60.437375745526801</v>
      </c>
      <c r="H225" s="165">
        <v>58.051689860834998</v>
      </c>
      <c r="I225" s="146"/>
      <c r="J225" s="146"/>
      <c r="K225" s="146"/>
      <c r="L225" s="30"/>
      <c r="M225" s="7"/>
      <c r="N225" s="7"/>
      <c r="O225" s="7"/>
      <c r="P225" s="7"/>
      <c r="Q225" s="7"/>
      <c r="R225" s="7"/>
      <c r="S225" s="7"/>
      <c r="T225" s="7"/>
      <c r="U225" s="7"/>
      <c r="V225" s="7"/>
      <c r="W225" s="7"/>
      <c r="Y225" s="8"/>
      <c r="Z225" s="8"/>
      <c r="AA225" s="8"/>
    </row>
    <row r="226" spans="2:27" s="6" customFormat="1" ht="15" customHeight="1" outlineLevel="1" x14ac:dyDescent="0.15">
      <c r="B226" s="139"/>
      <c r="C226" s="164">
        <v>45888</v>
      </c>
      <c r="D226" s="165">
        <v>6411.37</v>
      </c>
      <c r="E226" s="165">
        <v>2.98344885679245</v>
      </c>
      <c r="F226" s="165">
        <v>2953</v>
      </c>
      <c r="G226" s="165">
        <v>63.618290258449299</v>
      </c>
      <c r="H226" s="165">
        <v>63.419483101391599</v>
      </c>
      <c r="I226" s="146"/>
      <c r="J226" s="146"/>
      <c r="K226" s="146"/>
      <c r="L226" s="30"/>
      <c r="M226" s="7"/>
      <c r="N226" s="7"/>
      <c r="O226" s="7"/>
      <c r="P226" s="7"/>
      <c r="Q226" s="7"/>
      <c r="R226" s="7"/>
      <c r="S226" s="7"/>
      <c r="T226" s="7"/>
      <c r="U226" s="7"/>
      <c r="V226" s="7"/>
      <c r="W226" s="7"/>
      <c r="Y226" s="8"/>
      <c r="Z226" s="8"/>
      <c r="AA226" s="8"/>
    </row>
    <row r="227" spans="2:27" s="6" customFormat="1" ht="15" customHeight="1" outlineLevel="1" x14ac:dyDescent="0.15">
      <c r="B227" s="139"/>
      <c r="C227" s="164">
        <v>45889</v>
      </c>
      <c r="D227" s="165">
        <v>6395.78</v>
      </c>
      <c r="E227" s="165">
        <v>3.0653845816707599</v>
      </c>
      <c r="F227" s="165">
        <v>2974</v>
      </c>
      <c r="G227" s="165">
        <v>63.618290258449299</v>
      </c>
      <c r="H227" s="165">
        <v>63.618290258449299</v>
      </c>
      <c r="I227" s="146"/>
      <c r="J227" s="146"/>
      <c r="K227" s="146"/>
      <c r="L227" s="30"/>
      <c r="M227" s="7"/>
      <c r="N227" s="7"/>
      <c r="O227" s="7"/>
      <c r="P227" s="7"/>
      <c r="Q227" s="7"/>
      <c r="R227" s="7"/>
      <c r="S227" s="7"/>
      <c r="T227" s="7"/>
      <c r="U227" s="7"/>
      <c r="V227" s="7"/>
      <c r="W227" s="7"/>
      <c r="Y227" s="8"/>
      <c r="Z227" s="8"/>
      <c r="AA227" s="8"/>
    </row>
    <row r="228" spans="2:27" s="6" customFormat="1" ht="15" customHeight="1" outlineLevel="1" x14ac:dyDescent="0.15">
      <c r="B228" s="139"/>
      <c r="C228" s="164">
        <v>45890</v>
      </c>
      <c r="D228" s="165">
        <v>6370.17</v>
      </c>
      <c r="E228" s="165">
        <v>2.43279635451889</v>
      </c>
      <c r="F228" s="165">
        <v>2794</v>
      </c>
      <c r="G228" s="165">
        <v>62.823061630218703</v>
      </c>
      <c r="H228" s="165">
        <v>60.636182902584501</v>
      </c>
      <c r="I228" s="146"/>
      <c r="J228" s="146"/>
      <c r="K228" s="146"/>
      <c r="L228" s="30"/>
      <c r="M228" s="7"/>
      <c r="N228" s="7"/>
      <c r="O228" s="7"/>
      <c r="P228" s="7"/>
      <c r="Q228" s="7"/>
      <c r="R228" s="7"/>
      <c r="S228" s="7"/>
      <c r="T228" s="7"/>
      <c r="U228" s="7"/>
      <c r="V228" s="7"/>
      <c r="W228" s="7"/>
      <c r="Y228" s="8"/>
      <c r="Z228" s="8"/>
      <c r="AA228" s="8"/>
    </row>
    <row r="229" spans="2:27" s="6" customFormat="1" ht="15" customHeight="1" outlineLevel="1" x14ac:dyDescent="0.15">
      <c r="B229" s="139"/>
      <c r="C229" s="164">
        <v>45891</v>
      </c>
      <c r="D229" s="165">
        <v>6466.91</v>
      </c>
      <c r="E229" s="165">
        <v>3.08617686477089</v>
      </c>
      <c r="F229" s="165">
        <v>3141</v>
      </c>
      <c r="G229" s="165">
        <v>68.588469184890698</v>
      </c>
      <c r="H229" s="165">
        <v>70.576540755467207</v>
      </c>
      <c r="I229" s="146"/>
      <c r="J229" s="146"/>
      <c r="K229" s="146"/>
      <c r="L229" s="30"/>
      <c r="M229" s="7"/>
      <c r="N229" s="7"/>
      <c r="O229" s="7"/>
      <c r="P229" s="7"/>
      <c r="Q229" s="7"/>
      <c r="R229" s="7"/>
      <c r="S229" s="7"/>
      <c r="T229" s="7"/>
      <c r="U229" s="7"/>
      <c r="V229" s="7"/>
      <c r="W229" s="7"/>
      <c r="Y229" s="8"/>
      <c r="Z229" s="8"/>
      <c r="AA229" s="8"/>
    </row>
    <row r="230" spans="2:27" s="6" customFormat="1" ht="15" customHeight="1" outlineLevel="1" x14ac:dyDescent="0.15">
      <c r="B230" s="139"/>
      <c r="C230" s="164">
        <v>45894</v>
      </c>
      <c r="D230" s="165">
        <v>6439.32</v>
      </c>
      <c r="E230" s="165">
        <v>2.53184380273342</v>
      </c>
      <c r="F230" s="165">
        <v>2838</v>
      </c>
      <c r="G230" s="165">
        <v>65.009940357852898</v>
      </c>
      <c r="H230" s="165">
        <v>65.4075546719682</v>
      </c>
      <c r="I230" s="146"/>
      <c r="J230" s="146"/>
      <c r="K230" s="146"/>
      <c r="L230" s="30"/>
      <c r="M230" s="7"/>
      <c r="N230" s="7"/>
      <c r="O230" s="7"/>
      <c r="P230" s="7"/>
      <c r="Q230" s="7"/>
      <c r="R230" s="7"/>
      <c r="S230" s="7"/>
      <c r="T230" s="7"/>
      <c r="U230" s="7"/>
      <c r="V230" s="7"/>
      <c r="W230" s="7"/>
      <c r="Y230" s="8"/>
      <c r="Z230" s="8"/>
      <c r="AA230" s="8"/>
    </row>
    <row r="231" spans="2:27" s="6" customFormat="1" ht="15" customHeight="1" outlineLevel="1" x14ac:dyDescent="0.15">
      <c r="B231" s="139"/>
      <c r="C231" s="164">
        <v>45895</v>
      </c>
      <c r="D231" s="165">
        <v>6465.94</v>
      </c>
      <c r="E231" s="165">
        <v>3.2631193852615401</v>
      </c>
      <c r="F231" s="165">
        <v>2853</v>
      </c>
      <c r="G231" s="165">
        <v>64.214711729622294</v>
      </c>
      <c r="H231" s="165">
        <v>64.612326043737596</v>
      </c>
      <c r="I231" s="146"/>
      <c r="J231" s="146"/>
      <c r="K231" s="146"/>
      <c r="L231" s="30"/>
      <c r="M231" s="7"/>
      <c r="N231" s="7"/>
      <c r="O231" s="7"/>
      <c r="P231" s="7"/>
      <c r="Q231" s="7"/>
      <c r="R231" s="7"/>
      <c r="S231" s="7"/>
      <c r="T231" s="7"/>
      <c r="U231" s="7"/>
      <c r="V231" s="7"/>
      <c r="W231" s="7"/>
      <c r="Y231" s="8"/>
      <c r="Z231" s="8"/>
      <c r="AA231" s="8"/>
    </row>
    <row r="232" spans="2:27" s="6" customFormat="1" ht="15" customHeight="1" outlineLevel="1" x14ac:dyDescent="0.15">
      <c r="B232" s="139"/>
      <c r="C232" s="164">
        <v>45896</v>
      </c>
      <c r="D232" s="165">
        <v>6481.4</v>
      </c>
      <c r="E232" s="165">
        <v>2.9695820385961502</v>
      </c>
      <c r="F232" s="165">
        <v>3038</v>
      </c>
      <c r="G232" s="165">
        <v>65.606361829025801</v>
      </c>
      <c r="H232" s="165">
        <v>65.4075546719682</v>
      </c>
      <c r="I232" s="146"/>
      <c r="J232" s="146"/>
      <c r="K232" s="146"/>
      <c r="L232" s="30"/>
      <c r="M232" s="7"/>
      <c r="N232" s="7"/>
      <c r="O232" s="7"/>
      <c r="P232" s="7"/>
      <c r="Q232" s="7"/>
      <c r="R232" s="7"/>
      <c r="S232" s="7"/>
      <c r="T232" s="7"/>
      <c r="U232" s="7"/>
      <c r="V232" s="7"/>
      <c r="W232" s="7"/>
      <c r="Y232" s="8"/>
      <c r="Z232" s="8"/>
      <c r="AA232" s="8"/>
    </row>
    <row r="233" spans="2:27" s="6" customFormat="1" ht="15" customHeight="1" outlineLevel="1" x14ac:dyDescent="0.15">
      <c r="B233" s="139"/>
      <c r="C233" s="164">
        <v>45897</v>
      </c>
      <c r="D233" s="165">
        <v>6501.86</v>
      </c>
      <c r="E233" s="165">
        <v>2.6419182203607599</v>
      </c>
      <c r="F233" s="165">
        <v>2982</v>
      </c>
      <c r="G233" s="165">
        <v>65.4075546719682</v>
      </c>
      <c r="H233" s="165">
        <v>63.618290258449299</v>
      </c>
      <c r="I233" s="146"/>
      <c r="J233" s="146"/>
      <c r="K233" s="146"/>
      <c r="L233" s="30"/>
      <c r="M233" s="7"/>
      <c r="N233" s="7"/>
      <c r="O233" s="7"/>
      <c r="P233" s="7"/>
      <c r="Q233" s="7"/>
      <c r="R233" s="7"/>
      <c r="S233" s="7"/>
      <c r="T233" s="7"/>
      <c r="U233" s="7"/>
      <c r="V233" s="7"/>
      <c r="W233" s="7"/>
      <c r="Y233" s="8"/>
      <c r="Z233" s="8"/>
      <c r="AA233" s="8"/>
    </row>
    <row r="234" spans="2:27" s="6" customFormat="1" ht="15" customHeight="1" outlineLevel="1" x14ac:dyDescent="0.15">
      <c r="B234" s="139"/>
      <c r="C234" s="164">
        <v>45898</v>
      </c>
      <c r="D234" s="165">
        <v>6460.26</v>
      </c>
      <c r="E234" s="165">
        <v>2.5829700635395101</v>
      </c>
      <c r="F234" s="165">
        <v>3047</v>
      </c>
      <c r="G234" s="165">
        <v>66.202783300198803</v>
      </c>
      <c r="H234" s="165">
        <v>63.021868787276297</v>
      </c>
      <c r="I234" s="146"/>
      <c r="J234" s="146"/>
      <c r="K234" s="146"/>
      <c r="L234" s="30"/>
      <c r="M234" s="7"/>
      <c r="N234" s="7"/>
      <c r="O234" s="7"/>
      <c r="P234" s="7"/>
      <c r="Q234" s="7"/>
      <c r="R234" s="7"/>
      <c r="S234" s="7"/>
      <c r="T234" s="7"/>
      <c r="U234" s="7"/>
      <c r="V234" s="7"/>
      <c r="W234" s="7"/>
      <c r="Y234" s="8"/>
      <c r="Z234" s="8"/>
      <c r="AA234" s="8"/>
    </row>
    <row r="235" spans="2:27" s="6" customFormat="1" ht="15" customHeight="1" outlineLevel="1" x14ac:dyDescent="0.15">
      <c r="B235" s="139"/>
      <c r="C235" s="164">
        <v>45902</v>
      </c>
      <c r="D235" s="165">
        <v>6415.54</v>
      </c>
      <c r="E235" s="165">
        <v>2.9032575225563</v>
      </c>
      <c r="F235" s="165">
        <v>2778</v>
      </c>
      <c r="G235" s="165">
        <v>63.817097415507</v>
      </c>
      <c r="H235" s="165">
        <v>56.8588469184891</v>
      </c>
      <c r="I235" s="146"/>
      <c r="J235" s="146"/>
      <c r="K235" s="146"/>
      <c r="L235" s="30"/>
      <c r="M235" s="7"/>
      <c r="N235" s="7"/>
      <c r="O235" s="7"/>
      <c r="P235" s="7"/>
      <c r="Q235" s="7"/>
      <c r="R235" s="7"/>
      <c r="S235" s="7"/>
      <c r="T235" s="7"/>
      <c r="U235" s="7"/>
      <c r="V235" s="7"/>
      <c r="W235" s="7"/>
      <c r="Y235" s="8"/>
      <c r="Z235" s="8"/>
      <c r="AA235" s="8"/>
    </row>
    <row r="236" spans="2:27" s="6" customFormat="1" ht="15" customHeight="1" outlineLevel="1" x14ac:dyDescent="0.15">
      <c r="B236" s="139"/>
      <c r="C236" s="164">
        <v>45903</v>
      </c>
      <c r="D236" s="165">
        <v>6448.26</v>
      </c>
      <c r="E236" s="165">
        <v>2.8264073797617</v>
      </c>
      <c r="F236" s="165">
        <v>2728</v>
      </c>
      <c r="G236" s="165">
        <v>63.419483101391599</v>
      </c>
      <c r="H236" s="165">
        <v>54.870775347912499</v>
      </c>
      <c r="I236" s="146"/>
      <c r="J236" s="146"/>
      <c r="K236" s="146"/>
      <c r="L236" s="30"/>
      <c r="M236" s="7"/>
      <c r="N236" s="7"/>
      <c r="O236" s="7"/>
      <c r="P236" s="7"/>
      <c r="Q236" s="7"/>
      <c r="R236" s="7"/>
      <c r="S236" s="7"/>
      <c r="T236" s="7"/>
      <c r="U236" s="7"/>
      <c r="V236" s="7"/>
      <c r="W236" s="7"/>
      <c r="Y236" s="8"/>
      <c r="Z236" s="8"/>
      <c r="AA236" s="8"/>
    </row>
    <row r="237" spans="2:27" s="6" customFormat="1" ht="15" customHeight="1" outlineLevel="1" x14ac:dyDescent="0.15">
      <c r="B237" s="139"/>
      <c r="C237" s="164">
        <v>45904</v>
      </c>
      <c r="D237" s="165">
        <v>6502.08</v>
      </c>
      <c r="E237" s="165">
        <v>2.7704629503173801</v>
      </c>
      <c r="F237" s="165">
        <v>2961</v>
      </c>
      <c r="G237" s="165">
        <v>63.817097415507</v>
      </c>
      <c r="H237" s="165">
        <v>57.654075546719703</v>
      </c>
      <c r="I237" s="146"/>
      <c r="J237" s="146"/>
      <c r="K237" s="146"/>
      <c r="L237" s="30"/>
      <c r="M237" s="7"/>
      <c r="N237" s="7"/>
      <c r="O237" s="7"/>
      <c r="P237" s="7"/>
      <c r="Q237" s="7"/>
      <c r="R237" s="7"/>
      <c r="S237" s="7"/>
      <c r="T237" s="7"/>
      <c r="U237" s="7"/>
      <c r="V237" s="7"/>
      <c r="W237" s="7"/>
      <c r="Y237" s="8"/>
      <c r="Z237" s="8"/>
      <c r="AA237" s="8"/>
    </row>
    <row r="238" spans="2:27" s="6" customFormat="1" ht="15" customHeight="1" outlineLevel="1" x14ac:dyDescent="0.15">
      <c r="B238" s="139"/>
      <c r="C238" s="164">
        <v>45905</v>
      </c>
      <c r="D238" s="165">
        <v>6481.5</v>
      </c>
      <c r="E238" s="165">
        <v>3.1845058842229799</v>
      </c>
      <c r="F238" s="165">
        <v>3004</v>
      </c>
      <c r="G238" s="165">
        <v>63.817097415507</v>
      </c>
      <c r="H238" s="165">
        <v>58.648111332008</v>
      </c>
      <c r="I238" s="146"/>
      <c r="J238" s="146"/>
      <c r="K238" s="146"/>
      <c r="L238" s="30"/>
      <c r="M238" s="7"/>
      <c r="N238" s="7"/>
      <c r="O238" s="7"/>
      <c r="P238" s="7"/>
      <c r="Q238" s="7"/>
      <c r="R238" s="7"/>
      <c r="S238" s="7"/>
      <c r="T238" s="7"/>
      <c r="U238" s="7"/>
      <c r="V238" s="7"/>
      <c r="W238" s="7"/>
      <c r="Y238" s="8"/>
      <c r="Z238" s="8"/>
      <c r="AA238" s="8"/>
    </row>
    <row r="239" spans="2:27" s="6" customFormat="1" ht="15" customHeight="1" outlineLevel="1" x14ac:dyDescent="0.15">
      <c r="B239" s="139"/>
      <c r="C239" s="164">
        <v>45908</v>
      </c>
      <c r="D239" s="165">
        <v>6495.15</v>
      </c>
      <c r="E239" s="165">
        <v>3.0451642316408201</v>
      </c>
      <c r="F239" s="165">
        <v>2990</v>
      </c>
      <c r="G239" s="165">
        <v>64.214711729622294</v>
      </c>
      <c r="H239" s="165">
        <v>56.660039761431399</v>
      </c>
      <c r="I239" s="146"/>
      <c r="J239" s="146"/>
      <c r="K239" s="146"/>
      <c r="L239" s="30"/>
      <c r="M239" s="7"/>
      <c r="N239" s="7"/>
      <c r="O239" s="7"/>
      <c r="P239" s="7"/>
      <c r="Q239" s="7"/>
      <c r="R239" s="7"/>
      <c r="S239" s="7"/>
      <c r="T239" s="7"/>
      <c r="U239" s="7"/>
      <c r="V239" s="7"/>
      <c r="W239" s="7"/>
      <c r="Y239" s="8"/>
      <c r="Z239" s="8"/>
      <c r="AA239" s="8"/>
    </row>
    <row r="240" spans="2:27" s="6" customFormat="1" ht="15" customHeight="1" outlineLevel="1" x14ac:dyDescent="0.15">
      <c r="B240" s="139"/>
      <c r="C240" s="164">
        <v>45909</v>
      </c>
      <c r="D240" s="165">
        <v>6512.61</v>
      </c>
      <c r="E240" s="165">
        <v>2.7278610245533002</v>
      </c>
      <c r="F240" s="165">
        <v>2895</v>
      </c>
      <c r="G240" s="165">
        <v>63.021868787276297</v>
      </c>
      <c r="H240" s="165">
        <v>55.268389662027801</v>
      </c>
      <c r="I240" s="146"/>
      <c r="J240" s="146"/>
      <c r="K240" s="146"/>
      <c r="L240" s="30"/>
      <c r="M240" s="7"/>
      <c r="N240" s="7"/>
      <c r="O240" s="7"/>
      <c r="P240" s="7"/>
      <c r="Q240" s="7"/>
      <c r="R240" s="7"/>
      <c r="S240" s="7"/>
      <c r="T240" s="7"/>
      <c r="U240" s="7"/>
      <c r="V240" s="7"/>
      <c r="W240" s="7"/>
      <c r="Y240" s="8"/>
      <c r="Z240" s="8"/>
      <c r="AA240" s="8"/>
    </row>
    <row r="241" spans="2:27" s="6" customFormat="1" ht="15" customHeight="1" outlineLevel="1" x14ac:dyDescent="0.15">
      <c r="B241" s="139"/>
      <c r="C241" s="164">
        <v>45910</v>
      </c>
      <c r="D241" s="165">
        <v>6532.04</v>
      </c>
      <c r="E241" s="165">
        <v>3.2148880735664398</v>
      </c>
      <c r="F241" s="165">
        <v>2795</v>
      </c>
      <c r="G241" s="165">
        <v>60.834990059642102</v>
      </c>
      <c r="H241" s="165">
        <v>52.683896620278297</v>
      </c>
      <c r="I241" s="146"/>
      <c r="J241" s="146"/>
      <c r="K241" s="146"/>
      <c r="L241" s="30"/>
      <c r="M241" s="7"/>
      <c r="N241" s="7"/>
      <c r="O241" s="7"/>
      <c r="P241" s="7"/>
      <c r="Q241" s="7"/>
      <c r="R241" s="7"/>
      <c r="S241" s="7"/>
      <c r="T241" s="7"/>
      <c r="U241" s="7"/>
      <c r="V241" s="7"/>
      <c r="W241" s="7"/>
      <c r="Y241" s="8"/>
      <c r="Z241" s="8"/>
      <c r="AA241" s="8"/>
    </row>
    <row r="242" spans="2:27" s="6" customFormat="1" ht="15" customHeight="1" outlineLevel="1" x14ac:dyDescent="0.15">
      <c r="B242" s="139"/>
      <c r="C242" s="164">
        <v>45911</v>
      </c>
      <c r="D242" s="165">
        <v>6587.47</v>
      </c>
      <c r="E242" s="165">
        <v>3.3017453566169701</v>
      </c>
      <c r="F242" s="165">
        <v>3167</v>
      </c>
      <c r="G242" s="165">
        <v>66.998011928429406</v>
      </c>
      <c r="H242" s="165">
        <v>64.015904572564594</v>
      </c>
      <c r="I242" s="146"/>
      <c r="J242" s="146"/>
      <c r="K242" s="146"/>
      <c r="L242" s="30"/>
      <c r="M242" s="7"/>
      <c r="N242" s="7"/>
      <c r="O242" s="7"/>
      <c r="P242" s="7"/>
      <c r="Q242" s="7"/>
      <c r="R242" s="7"/>
      <c r="S242" s="7"/>
      <c r="T242" s="7"/>
      <c r="U242" s="7"/>
      <c r="V242" s="7"/>
      <c r="W242" s="7"/>
      <c r="Y242" s="8"/>
      <c r="Z242" s="8"/>
      <c r="AA242" s="8"/>
    </row>
    <row r="243" spans="2:27" s="6" customFormat="1" ht="15" customHeight="1" outlineLevel="1" x14ac:dyDescent="0.15">
      <c r="B243" s="139"/>
      <c r="C243" s="164">
        <v>45912</v>
      </c>
      <c r="D243" s="165">
        <v>6584.29</v>
      </c>
      <c r="E243" s="165">
        <v>3.0192650832672099</v>
      </c>
      <c r="F243" s="165">
        <v>2898</v>
      </c>
      <c r="G243" s="165">
        <v>64.811133200795197</v>
      </c>
      <c r="H243" s="165">
        <v>58.846918489065601</v>
      </c>
      <c r="I243" s="146"/>
      <c r="J243" s="146"/>
      <c r="K243" s="146"/>
      <c r="L243" s="30"/>
      <c r="M243" s="7"/>
      <c r="N243" s="7"/>
      <c r="O243" s="7"/>
      <c r="P243" s="7"/>
      <c r="Q243" s="7"/>
      <c r="R243" s="7"/>
      <c r="S243" s="7"/>
      <c r="T243" s="7"/>
      <c r="U243" s="7"/>
      <c r="V243" s="7"/>
      <c r="W243" s="7"/>
      <c r="Y243" s="8"/>
      <c r="Z243" s="8"/>
      <c r="AA243" s="8"/>
    </row>
    <row r="244" spans="2:27" s="6" customFormat="1" ht="15" customHeight="1" outlineLevel="1" x14ac:dyDescent="0.15">
      <c r="B244" s="139"/>
      <c r="C244" s="164">
        <v>45915</v>
      </c>
      <c r="D244" s="165">
        <v>6615.28</v>
      </c>
      <c r="E244" s="165">
        <v>2.9451881680984502</v>
      </c>
      <c r="F244" s="165">
        <v>2795</v>
      </c>
      <c r="G244" s="165">
        <v>61.829025844930399</v>
      </c>
      <c r="H244" s="165">
        <v>54.671968190854898</v>
      </c>
      <c r="I244" s="146"/>
      <c r="J244" s="146"/>
      <c r="K244" s="146"/>
      <c r="L244" s="30"/>
      <c r="M244" s="7"/>
      <c r="N244" s="7"/>
      <c r="O244" s="7"/>
      <c r="P244" s="7"/>
      <c r="Q244" s="7"/>
      <c r="R244" s="7"/>
      <c r="S244" s="7"/>
      <c r="T244" s="7"/>
      <c r="U244" s="7"/>
      <c r="V244" s="7"/>
      <c r="W244" s="7"/>
      <c r="Y244" s="8"/>
      <c r="Z244" s="8"/>
      <c r="AA244" s="8"/>
    </row>
    <row r="245" spans="2:27" s="6" customFormat="1" ht="15" customHeight="1" outlineLevel="1" x14ac:dyDescent="0.15">
      <c r="B245" s="139"/>
      <c r="C245" s="164">
        <v>45916</v>
      </c>
      <c r="D245" s="165">
        <v>6606.76</v>
      </c>
      <c r="E245" s="165">
        <v>2.9195227303733802</v>
      </c>
      <c r="F245" s="165">
        <v>2670</v>
      </c>
      <c r="G245" s="165">
        <v>61.431411530815097</v>
      </c>
      <c r="H245" s="165">
        <v>50.298210735586501</v>
      </c>
      <c r="I245" s="146"/>
      <c r="J245" s="146"/>
      <c r="K245" s="146"/>
      <c r="L245" s="30"/>
      <c r="M245" s="7"/>
      <c r="N245" s="7"/>
      <c r="O245" s="7"/>
      <c r="P245" s="7"/>
      <c r="Q245" s="7"/>
      <c r="R245" s="7"/>
      <c r="S245" s="7"/>
      <c r="T245" s="7"/>
      <c r="U245" s="7"/>
      <c r="V245" s="7"/>
      <c r="W245" s="7"/>
      <c r="Y245" s="8"/>
      <c r="Z245" s="8"/>
      <c r="AA245" s="8"/>
    </row>
    <row r="246" spans="2:27" s="6" customFormat="1" ht="15" customHeight="1" outlineLevel="1" x14ac:dyDescent="0.15">
      <c r="B246" s="139"/>
      <c r="C246" s="164">
        <v>45917</v>
      </c>
      <c r="D246" s="165">
        <v>6600.35</v>
      </c>
      <c r="E246" s="165">
        <v>3.0757387331047101</v>
      </c>
      <c r="F246" s="165">
        <v>2745</v>
      </c>
      <c r="G246" s="165">
        <v>61.431411530815097</v>
      </c>
      <c r="H246" s="165">
        <v>53.876739562624302</v>
      </c>
      <c r="I246" s="146"/>
      <c r="J246" s="146"/>
      <c r="K246" s="146"/>
      <c r="L246" s="30"/>
      <c r="M246" s="7"/>
      <c r="N246" s="7"/>
      <c r="O246" s="7"/>
      <c r="P246" s="7"/>
      <c r="Q246" s="7"/>
      <c r="R246" s="7"/>
      <c r="S246" s="7"/>
      <c r="T246" s="7"/>
      <c r="U246" s="7"/>
      <c r="V246" s="7"/>
      <c r="W246" s="7"/>
      <c r="Y246" s="8"/>
      <c r="Z246" s="8"/>
      <c r="AA246" s="8"/>
    </row>
    <row r="247" spans="2:27" s="6" customFormat="1" ht="15" customHeight="1" outlineLevel="1" x14ac:dyDescent="0.15">
      <c r="B247" s="139"/>
      <c r="C247" s="164">
        <v>45918</v>
      </c>
      <c r="D247" s="165">
        <v>6631.96</v>
      </c>
      <c r="E247" s="165">
        <v>3.5007388311443299</v>
      </c>
      <c r="F247" s="165">
        <v>2884</v>
      </c>
      <c r="G247" s="165">
        <v>61.630218687872798</v>
      </c>
      <c r="H247" s="165">
        <v>56.461232604373798</v>
      </c>
      <c r="I247" s="146"/>
      <c r="J247" s="146"/>
      <c r="K247" s="146"/>
      <c r="L247" s="30"/>
      <c r="M247" s="7"/>
      <c r="N247" s="7"/>
      <c r="O247" s="7"/>
      <c r="P247" s="7"/>
      <c r="Q247" s="7"/>
      <c r="R247" s="7"/>
      <c r="S247" s="7"/>
      <c r="T247" s="7"/>
      <c r="U247" s="7"/>
      <c r="V247" s="7"/>
      <c r="W247" s="7"/>
      <c r="Y247" s="8"/>
      <c r="Z247" s="8"/>
      <c r="AA247" s="8"/>
    </row>
    <row r="248" spans="2:27" s="6" customFormat="1" ht="15" customHeight="1" outlineLevel="1" x14ac:dyDescent="0.15">
      <c r="B248" s="139"/>
      <c r="C248" s="164">
        <v>45919</v>
      </c>
      <c r="D248" s="165">
        <v>6664.36</v>
      </c>
      <c r="E248" s="165">
        <v>6.0038272848434504</v>
      </c>
      <c r="F248" s="165">
        <v>2805</v>
      </c>
      <c r="G248" s="165">
        <v>61.033797216699803</v>
      </c>
      <c r="H248" s="165">
        <v>55.467196819085501</v>
      </c>
      <c r="I248" s="146"/>
      <c r="J248" s="146"/>
      <c r="K248" s="146"/>
      <c r="L248" s="30"/>
      <c r="M248" s="7"/>
      <c r="N248" s="7"/>
      <c r="O248" s="7"/>
      <c r="P248" s="7"/>
      <c r="Q248" s="7"/>
      <c r="R248" s="7"/>
      <c r="S248" s="7"/>
      <c r="T248" s="7"/>
      <c r="U248" s="7"/>
      <c r="V248" s="7"/>
      <c r="W248" s="7"/>
      <c r="Y248" s="8"/>
      <c r="Z248" s="8"/>
      <c r="AA248" s="8"/>
    </row>
    <row r="249" spans="2:27" s="6" customFormat="1" ht="15" customHeight="1" outlineLevel="1" x14ac:dyDescent="0.15">
      <c r="B249" s="139"/>
      <c r="C249" s="164">
        <v>45922</v>
      </c>
      <c r="D249" s="165">
        <v>6693.75</v>
      </c>
      <c r="E249" s="165">
        <v>3.3557085312957802</v>
      </c>
      <c r="F249" s="165">
        <v>2793</v>
      </c>
      <c r="G249" s="165">
        <v>61.232604373757503</v>
      </c>
      <c r="H249" s="165">
        <v>53.081510934393599</v>
      </c>
      <c r="I249" s="146"/>
      <c r="J249" s="146"/>
      <c r="K249" s="146"/>
      <c r="L249" s="30"/>
      <c r="M249" s="7"/>
      <c r="N249" s="7"/>
      <c r="O249" s="7"/>
      <c r="P249" s="7"/>
      <c r="Q249" s="7"/>
      <c r="R249" s="7"/>
      <c r="S249" s="7"/>
      <c r="T249" s="7"/>
      <c r="U249" s="7"/>
      <c r="V249" s="7"/>
      <c r="W249" s="7"/>
      <c r="Y249" s="8"/>
      <c r="Z249" s="8"/>
      <c r="AA249" s="8"/>
    </row>
    <row r="250" spans="2:27" s="6" customFormat="1" ht="15" customHeight="1" outlineLevel="1" x14ac:dyDescent="0.15">
      <c r="B250" s="139"/>
      <c r="C250" s="164">
        <v>45923</v>
      </c>
      <c r="D250" s="165">
        <v>6656.92</v>
      </c>
      <c r="E250" s="165">
        <v>3.1412429235353501</v>
      </c>
      <c r="F250" s="165">
        <v>2849</v>
      </c>
      <c r="G250" s="165">
        <v>62.0278330019881</v>
      </c>
      <c r="H250" s="165">
        <v>56.8588469184891</v>
      </c>
      <c r="I250" s="146"/>
      <c r="J250" s="146"/>
      <c r="K250" s="146"/>
      <c r="L250" s="30"/>
      <c r="M250" s="7"/>
      <c r="N250" s="7"/>
      <c r="O250" s="7"/>
      <c r="P250" s="7"/>
      <c r="Q250" s="7"/>
      <c r="R250" s="7"/>
      <c r="S250" s="7"/>
      <c r="T250" s="7"/>
      <c r="U250" s="7"/>
      <c r="V250" s="7"/>
      <c r="W250" s="7"/>
      <c r="Y250" s="8"/>
      <c r="Z250" s="8"/>
      <c r="AA250" s="8"/>
    </row>
    <row r="251" spans="2:27" s="6" customFormat="1" ht="15" customHeight="1" outlineLevel="1" x14ac:dyDescent="0.15">
      <c r="B251" s="139"/>
      <c r="C251" s="164">
        <v>45924</v>
      </c>
      <c r="D251" s="165">
        <v>6637.97</v>
      </c>
      <c r="E251" s="165">
        <v>3.0299535601596799</v>
      </c>
      <c r="F251" s="165">
        <v>2786</v>
      </c>
      <c r="G251" s="165">
        <v>62.425447316103401</v>
      </c>
      <c r="H251" s="165">
        <v>54.075546719681903</v>
      </c>
      <c r="I251" s="146"/>
      <c r="J251" s="146"/>
      <c r="K251" s="146"/>
      <c r="L251" s="30"/>
      <c r="M251" s="7"/>
      <c r="N251" s="7"/>
      <c r="O251" s="7"/>
      <c r="P251" s="7"/>
      <c r="Q251" s="7"/>
      <c r="R251" s="7"/>
      <c r="S251" s="7"/>
      <c r="T251" s="7"/>
      <c r="U251" s="7"/>
      <c r="V251" s="7"/>
      <c r="W251" s="7"/>
      <c r="Y251" s="8"/>
      <c r="Z251" s="8"/>
      <c r="AA251" s="8"/>
    </row>
    <row r="252" spans="2:27" s="6" customFormat="1" ht="15" customHeight="1" outlineLevel="1" x14ac:dyDescent="0.15">
      <c r="B252" s="139"/>
      <c r="C252" s="164">
        <v>45925</v>
      </c>
      <c r="D252" s="165">
        <v>6604.72</v>
      </c>
      <c r="E252" s="165">
        <v>3.3106084784679402</v>
      </c>
      <c r="F252" s="165">
        <v>2522</v>
      </c>
      <c r="G252" s="165">
        <v>60.437375745526801</v>
      </c>
      <c r="H252" s="165">
        <v>47.117296222664002</v>
      </c>
      <c r="I252" s="146"/>
      <c r="J252" s="146"/>
      <c r="K252" s="146"/>
      <c r="L252" s="30"/>
      <c r="M252" s="7"/>
      <c r="N252" s="7"/>
      <c r="O252" s="7"/>
      <c r="P252" s="7"/>
      <c r="Q252" s="7"/>
      <c r="R252" s="7"/>
      <c r="S252" s="7"/>
      <c r="T252" s="7"/>
      <c r="U252" s="7"/>
      <c r="V252" s="7"/>
      <c r="W252" s="7"/>
      <c r="Y252" s="8"/>
      <c r="Z252" s="8"/>
      <c r="AA252" s="8"/>
    </row>
    <row r="253" spans="2:27" s="6" customFormat="1" ht="15" customHeight="1" outlineLevel="1" x14ac:dyDescent="0.15">
      <c r="B253" s="139"/>
      <c r="C253" s="164">
        <v>45926</v>
      </c>
      <c r="D253" s="165">
        <v>6643.7</v>
      </c>
      <c r="E253" s="165">
        <v>2.9227602203960399</v>
      </c>
      <c r="F253" s="165">
        <v>2878</v>
      </c>
      <c r="G253" s="165">
        <v>63.021868787276297</v>
      </c>
      <c r="H253" s="165">
        <v>53.876739562624302</v>
      </c>
      <c r="I253" s="146"/>
      <c r="J253" s="146"/>
      <c r="K253" s="146"/>
      <c r="L253" s="30"/>
      <c r="M253" s="7"/>
      <c r="N253" s="7"/>
      <c r="O253" s="7"/>
      <c r="P253" s="7"/>
      <c r="Q253" s="7"/>
      <c r="R253" s="7"/>
      <c r="S253" s="7"/>
      <c r="T253" s="7"/>
      <c r="U253" s="7"/>
      <c r="V253" s="7"/>
      <c r="W253" s="7"/>
      <c r="Y253" s="8"/>
      <c r="Z253" s="8"/>
      <c r="AA253" s="8"/>
    </row>
    <row r="254" spans="2:27" s="6" customFormat="1" ht="15" customHeight="1" outlineLevel="1" x14ac:dyDescent="0.15">
      <c r="B254" s="139"/>
      <c r="C254" s="164">
        <v>45929</v>
      </c>
      <c r="D254" s="165">
        <v>6661.21</v>
      </c>
      <c r="E254" s="165">
        <v>3.25292940638447</v>
      </c>
      <c r="F254" s="165">
        <v>2991</v>
      </c>
      <c r="G254" s="165">
        <v>63.419483101391599</v>
      </c>
      <c r="H254" s="165">
        <v>54.274353876739603</v>
      </c>
      <c r="I254" s="146"/>
      <c r="J254" s="146"/>
      <c r="K254" s="146"/>
      <c r="L254" s="30"/>
      <c r="M254" s="7"/>
      <c r="N254" s="7"/>
      <c r="O254" s="7"/>
      <c r="P254" s="7"/>
      <c r="Q254" s="7"/>
      <c r="R254" s="7"/>
      <c r="S254" s="7"/>
      <c r="T254" s="7"/>
      <c r="U254" s="7"/>
      <c r="V254" s="7"/>
      <c r="W254" s="7"/>
      <c r="Y254" s="8"/>
      <c r="Z254" s="8"/>
      <c r="AA254" s="8"/>
    </row>
    <row r="255" spans="2:27" s="6" customFormat="1" ht="15" customHeight="1" outlineLevel="1" x14ac:dyDescent="0.15">
      <c r="B255" s="139"/>
      <c r="C255" s="164">
        <v>45930</v>
      </c>
      <c r="D255" s="165">
        <v>6688.46</v>
      </c>
      <c r="E255" s="165">
        <v>3.5597019993286101</v>
      </c>
      <c r="F255" s="165">
        <v>3091</v>
      </c>
      <c r="G255" s="165">
        <v>64.612326043737596</v>
      </c>
      <c r="H255" s="165">
        <v>56.660039761431399</v>
      </c>
      <c r="I255" s="146"/>
      <c r="J255" s="146"/>
      <c r="K255" s="146"/>
      <c r="L255" s="30"/>
      <c r="M255" s="7"/>
      <c r="N255" s="7"/>
      <c r="O255" s="7"/>
      <c r="P255" s="7"/>
      <c r="Q255" s="7"/>
      <c r="R255" s="7"/>
      <c r="S255" s="7"/>
      <c r="T255" s="7"/>
      <c r="U255" s="7"/>
      <c r="V255" s="7"/>
      <c r="W255" s="7"/>
      <c r="Y255" s="8"/>
      <c r="Z255" s="8"/>
      <c r="AA255" s="8"/>
    </row>
    <row r="256" spans="2:27" s="6" customFormat="1" ht="15" customHeight="1" outlineLevel="1" x14ac:dyDescent="0.15">
      <c r="B256" s="139"/>
      <c r="C256" s="164">
        <v>45931</v>
      </c>
      <c r="D256" s="165">
        <v>6711.2</v>
      </c>
      <c r="E256" s="165">
        <v>3.5557938840360599</v>
      </c>
      <c r="F256" s="165">
        <v>3025</v>
      </c>
      <c r="G256" s="165">
        <v>65.009940357852898</v>
      </c>
      <c r="H256" s="165">
        <v>55.268389662027801</v>
      </c>
      <c r="I256" s="146"/>
      <c r="J256" s="146"/>
      <c r="K256" s="146"/>
      <c r="L256" s="30"/>
      <c r="M256" s="7"/>
      <c r="N256" s="7"/>
      <c r="O256" s="7"/>
      <c r="P256" s="7"/>
      <c r="Q256" s="7"/>
      <c r="R256" s="7"/>
      <c r="S256" s="7"/>
      <c r="T256" s="7"/>
      <c r="U256" s="7"/>
      <c r="V256" s="7"/>
      <c r="W256" s="7"/>
      <c r="Y256" s="8"/>
      <c r="Z256" s="8"/>
      <c r="AA256" s="8"/>
    </row>
    <row r="257" spans="2:27" s="6" customFormat="1" ht="15" customHeight="1" outlineLevel="1" x14ac:dyDescent="0.15">
      <c r="B257" s="139"/>
      <c r="C257" s="164">
        <v>45932</v>
      </c>
      <c r="D257" s="165">
        <v>6715.35</v>
      </c>
      <c r="E257" s="165">
        <v>3.0720647874765401</v>
      </c>
      <c r="F257" s="165">
        <v>3082</v>
      </c>
      <c r="G257" s="165">
        <v>64.811133200795197</v>
      </c>
      <c r="H257" s="165">
        <v>55.467196819085501</v>
      </c>
      <c r="I257" s="146"/>
      <c r="J257" s="146"/>
      <c r="K257" s="146"/>
      <c r="L257" s="30"/>
      <c r="M257" s="7"/>
      <c r="N257" s="7"/>
      <c r="O257" s="7"/>
      <c r="P257" s="7"/>
      <c r="Q257" s="7"/>
      <c r="R257" s="7"/>
      <c r="S257" s="7"/>
      <c r="T257" s="7"/>
      <c r="U257" s="7"/>
      <c r="V257" s="7"/>
      <c r="W257" s="7"/>
      <c r="Y257" s="8"/>
      <c r="Z257" s="8"/>
      <c r="AA257" s="8"/>
    </row>
    <row r="258" spans="2:27" s="6" customFormat="1" ht="15" customHeight="1" outlineLevel="1" x14ac:dyDescent="0.15">
      <c r="B258" s="139"/>
      <c r="C258" s="164">
        <v>45933</v>
      </c>
      <c r="D258" s="165">
        <v>6715.79</v>
      </c>
      <c r="E258" s="165">
        <v>2.93319469953728</v>
      </c>
      <c r="F258" s="165">
        <v>3225</v>
      </c>
      <c r="G258" s="165">
        <v>65.4075546719682</v>
      </c>
      <c r="H258" s="165">
        <v>59.045725646123302</v>
      </c>
      <c r="I258" s="146"/>
      <c r="J258" s="146"/>
      <c r="K258" s="146"/>
      <c r="L258" s="30"/>
      <c r="M258" s="7"/>
      <c r="N258" s="7"/>
      <c r="O258" s="7"/>
      <c r="P258" s="7"/>
      <c r="Q258" s="7"/>
      <c r="R258" s="7"/>
      <c r="S258" s="7"/>
      <c r="T258" s="7"/>
      <c r="U258" s="7"/>
      <c r="V258" s="7"/>
      <c r="W258" s="7"/>
      <c r="Y258" s="8"/>
      <c r="Z258" s="8"/>
      <c r="AA258" s="8"/>
    </row>
    <row r="259" spans="2:27" s="6" customFormat="1" ht="15" customHeight="1" outlineLevel="1" x14ac:dyDescent="0.15">
      <c r="B259" s="139"/>
      <c r="C259" s="164">
        <v>45936</v>
      </c>
      <c r="D259" s="165">
        <v>6740.28</v>
      </c>
      <c r="E259" s="165">
        <v>3.3148639419927601</v>
      </c>
      <c r="F259" s="165">
        <v>3200</v>
      </c>
      <c r="G259" s="165">
        <v>65.009940357852898</v>
      </c>
      <c r="H259" s="165">
        <v>56.063618290258503</v>
      </c>
      <c r="I259" s="146"/>
      <c r="J259" s="146"/>
      <c r="K259" s="146"/>
      <c r="L259" s="30"/>
      <c r="M259" s="7"/>
      <c r="N259" s="7"/>
      <c r="O259" s="7"/>
      <c r="P259" s="7"/>
      <c r="Q259" s="7"/>
      <c r="R259" s="7"/>
      <c r="S259" s="7"/>
      <c r="T259" s="7"/>
      <c r="U259" s="7"/>
      <c r="V259" s="7"/>
      <c r="W259" s="7"/>
      <c r="Y259" s="8"/>
      <c r="Z259" s="8"/>
      <c r="AA259" s="8"/>
    </row>
    <row r="260" spans="2:27" s="6" customFormat="1" ht="15" customHeight="1" outlineLevel="1" x14ac:dyDescent="0.15">
      <c r="B260" s="139"/>
      <c r="C260" s="164">
        <v>45937</v>
      </c>
      <c r="D260" s="165">
        <v>6714.59</v>
      </c>
      <c r="E260" s="165">
        <v>3.0693222261009199</v>
      </c>
      <c r="F260" s="165">
        <v>3103</v>
      </c>
      <c r="G260" s="165">
        <v>64.214711729622294</v>
      </c>
      <c r="H260" s="165">
        <v>54.473161033797197</v>
      </c>
      <c r="I260" s="146"/>
      <c r="J260" s="146"/>
      <c r="K260" s="146"/>
      <c r="L260" s="30"/>
      <c r="M260" s="7"/>
      <c r="N260" s="7"/>
      <c r="O260" s="7"/>
      <c r="P260" s="7"/>
      <c r="Q260" s="7"/>
      <c r="R260" s="7"/>
      <c r="S260" s="7"/>
      <c r="T260" s="7"/>
      <c r="U260" s="7"/>
      <c r="V260" s="7"/>
      <c r="W260" s="7"/>
      <c r="Y260" s="8"/>
      <c r="Z260" s="8"/>
      <c r="AA260" s="8"/>
    </row>
    <row r="261" spans="2:27" s="6" customFormat="1" ht="15" customHeight="1" outlineLevel="1" x14ac:dyDescent="0.15">
      <c r="B261" s="139"/>
      <c r="C261" s="164">
        <v>45938</v>
      </c>
      <c r="D261" s="165">
        <v>6753.72</v>
      </c>
      <c r="E261" s="165">
        <v>2.9515060953330998</v>
      </c>
      <c r="F261" s="165">
        <v>3130</v>
      </c>
      <c r="G261" s="165">
        <v>63.220675944333998</v>
      </c>
      <c r="H261" s="165">
        <v>54.870775347912499</v>
      </c>
      <c r="I261" s="146"/>
      <c r="J261" s="146"/>
      <c r="K261" s="146"/>
      <c r="L261" s="30"/>
      <c r="M261" s="7"/>
      <c r="N261" s="7"/>
      <c r="O261" s="7"/>
      <c r="P261" s="7"/>
      <c r="Q261" s="7"/>
      <c r="R261" s="7"/>
      <c r="S261" s="7"/>
      <c r="T261" s="7"/>
      <c r="U261" s="7"/>
      <c r="V261" s="7"/>
      <c r="W261" s="7"/>
      <c r="Y261" s="8"/>
      <c r="Z261" s="8"/>
      <c r="AA261" s="8"/>
    </row>
    <row r="262" spans="2:27" s="6" customFormat="1" ht="15" customHeight="1" outlineLevel="1" x14ac:dyDescent="0.15">
      <c r="B262" s="139"/>
      <c r="C262" s="164">
        <v>45939</v>
      </c>
      <c r="D262" s="165">
        <v>6735.11</v>
      </c>
      <c r="E262" s="165">
        <v>2.8278596503772699</v>
      </c>
      <c r="F262" s="165">
        <v>2868</v>
      </c>
      <c r="G262" s="165">
        <v>62.0278330019881</v>
      </c>
      <c r="H262" s="165">
        <v>49.105367793240603</v>
      </c>
      <c r="I262" s="146"/>
      <c r="J262" s="146"/>
      <c r="K262" s="146"/>
      <c r="L262" s="30"/>
      <c r="M262" s="7"/>
      <c r="N262" s="7"/>
      <c r="O262" s="7"/>
      <c r="P262" s="7"/>
      <c r="Q262" s="7"/>
      <c r="R262" s="7"/>
      <c r="S262" s="7"/>
      <c r="T262" s="7"/>
      <c r="U262" s="7"/>
      <c r="V262" s="7"/>
      <c r="W262" s="7"/>
      <c r="Y262" s="8"/>
      <c r="Z262" s="8"/>
      <c r="AA262" s="8"/>
    </row>
    <row r="263" spans="2:27" s="6" customFormat="1" ht="15" customHeight="1" outlineLevel="1" x14ac:dyDescent="0.15">
      <c r="B263" s="139"/>
      <c r="C263" s="164">
        <v>45940</v>
      </c>
      <c r="D263" s="165">
        <v>6552.51</v>
      </c>
      <c r="E263" s="165">
        <v>3.6079699900436402</v>
      </c>
      <c r="F263" s="165">
        <v>2520</v>
      </c>
      <c r="G263" s="165">
        <v>54.671968190854898</v>
      </c>
      <c r="H263" s="165">
        <v>35.984095427435399</v>
      </c>
      <c r="I263" s="146"/>
      <c r="J263" s="146"/>
      <c r="K263" s="146"/>
      <c r="L263" s="30"/>
      <c r="M263" s="7"/>
      <c r="N263" s="7"/>
      <c r="O263" s="7"/>
      <c r="P263" s="7"/>
      <c r="Q263" s="7"/>
      <c r="R263" s="7"/>
      <c r="S263" s="7"/>
      <c r="T263" s="7"/>
      <c r="U263" s="7"/>
      <c r="V263" s="7"/>
      <c r="W263" s="7"/>
      <c r="Y263" s="8"/>
      <c r="Z263" s="8"/>
      <c r="AA263" s="8"/>
    </row>
    <row r="264" spans="2:27" s="6" customFormat="1" ht="15" customHeight="1" outlineLevel="1" x14ac:dyDescent="0.15">
      <c r="B264" s="139"/>
      <c r="C264" s="164">
        <v>45943</v>
      </c>
      <c r="D264" s="165">
        <v>6654.72</v>
      </c>
      <c r="E264" s="165">
        <v>2.7651353247089401</v>
      </c>
      <c r="F264" s="165">
        <v>2732</v>
      </c>
      <c r="G264" s="165">
        <v>57.654075546719703</v>
      </c>
      <c r="H264" s="165">
        <v>41.351888667992</v>
      </c>
      <c r="I264" s="146"/>
      <c r="J264" s="146"/>
      <c r="K264" s="146"/>
      <c r="L264" s="30"/>
      <c r="M264" s="7"/>
      <c r="N264" s="7"/>
      <c r="O264" s="7"/>
      <c r="P264" s="7"/>
      <c r="Q264" s="7"/>
      <c r="R264" s="7"/>
      <c r="S264" s="7"/>
      <c r="T264" s="7"/>
      <c r="U264" s="7"/>
      <c r="V264" s="7"/>
      <c r="W264" s="7"/>
      <c r="Y264" s="8"/>
      <c r="Z264" s="8"/>
      <c r="AA264" s="8"/>
    </row>
    <row r="265" spans="2:27" s="6" customFormat="1" ht="15" customHeight="1" outlineLevel="1" x14ac:dyDescent="0.15">
      <c r="B265" s="139"/>
      <c r="C265" s="164">
        <v>45944</v>
      </c>
      <c r="D265" s="165">
        <v>6644.31</v>
      </c>
      <c r="E265" s="165">
        <v>2.9973863256378199</v>
      </c>
      <c r="F265" s="165">
        <v>3008</v>
      </c>
      <c r="G265" s="165">
        <v>61.431411530815097</v>
      </c>
      <c r="H265" s="165">
        <v>47.514910536779297</v>
      </c>
      <c r="I265" s="146"/>
      <c r="J265" s="146"/>
      <c r="K265" s="146"/>
      <c r="L265" s="30"/>
      <c r="M265" s="7"/>
      <c r="N265" s="7"/>
      <c r="O265" s="7"/>
      <c r="P265" s="7"/>
      <c r="Q265" s="7"/>
      <c r="R265" s="7"/>
      <c r="S265" s="7"/>
      <c r="T265" s="7"/>
      <c r="U265" s="7"/>
      <c r="V265" s="7"/>
      <c r="W265" s="7"/>
      <c r="Y265" s="8"/>
      <c r="Z265" s="8"/>
      <c r="AA265" s="8"/>
    </row>
    <row r="266" spans="2:27" s="6" customFormat="1" ht="15" customHeight="1" outlineLevel="1" x14ac:dyDescent="0.15">
      <c r="B266" s="139"/>
      <c r="C266" s="164">
        <v>45945</v>
      </c>
      <c r="D266" s="165">
        <v>6671.06</v>
      </c>
      <c r="E266" s="165">
        <v>2.9977059258747101</v>
      </c>
      <c r="F266" s="165">
        <v>3002</v>
      </c>
      <c r="G266" s="165">
        <v>61.431411530815097</v>
      </c>
      <c r="H266" s="165">
        <v>46.719681908548701</v>
      </c>
      <c r="I266" s="146"/>
      <c r="J266" s="146"/>
      <c r="K266" s="146"/>
      <c r="L266" s="30"/>
      <c r="M266" s="7"/>
      <c r="N266" s="7"/>
      <c r="O266" s="7"/>
      <c r="P266" s="7"/>
      <c r="Q266" s="7"/>
      <c r="R266" s="7"/>
      <c r="S266" s="7"/>
      <c r="T266" s="7"/>
      <c r="U266" s="7"/>
      <c r="V266" s="7"/>
      <c r="W266" s="7"/>
      <c r="Y266" s="8"/>
      <c r="Z266" s="8"/>
      <c r="AA266" s="8"/>
    </row>
    <row r="267" spans="2:27" s="6" customFormat="1" ht="15" customHeight="1" outlineLevel="1" x14ac:dyDescent="0.15">
      <c r="B267" s="139"/>
      <c r="C267" s="164">
        <v>45946</v>
      </c>
      <c r="D267" s="165">
        <v>6629.07</v>
      </c>
      <c r="E267" s="165">
        <v>3.3265110306663499</v>
      </c>
      <c r="F267" s="165">
        <v>2770</v>
      </c>
      <c r="G267" s="165">
        <v>56.063618290258503</v>
      </c>
      <c r="H267" s="165">
        <v>39.562624254473199</v>
      </c>
      <c r="I267" s="146"/>
      <c r="J267" s="146"/>
      <c r="K267" s="146"/>
      <c r="L267" s="30"/>
      <c r="M267" s="7"/>
      <c r="N267" s="7"/>
      <c r="O267" s="7"/>
      <c r="P267" s="7"/>
      <c r="Q267" s="7"/>
      <c r="R267" s="7"/>
      <c r="S267" s="7"/>
      <c r="T267" s="7"/>
      <c r="U267" s="7"/>
      <c r="V267" s="7"/>
      <c r="W267" s="7"/>
      <c r="Y267" s="8"/>
      <c r="Z267" s="8"/>
      <c r="AA267" s="8"/>
    </row>
    <row r="268" spans="2:27" s="6" customFormat="1" ht="15" customHeight="1" outlineLevel="1" x14ac:dyDescent="0.15">
      <c r="B268" s="139"/>
      <c r="C268" s="164">
        <v>45947</v>
      </c>
      <c r="D268" s="165">
        <v>6664.01</v>
      </c>
      <c r="E268" s="165">
        <v>3.1643201303978001</v>
      </c>
      <c r="F268" s="165">
        <v>2992</v>
      </c>
      <c r="G268" s="165">
        <v>58.250497017892599</v>
      </c>
      <c r="H268" s="165">
        <v>43.339960238568601</v>
      </c>
      <c r="I268" s="146"/>
      <c r="J268" s="146"/>
      <c r="K268" s="146"/>
      <c r="L268" s="30"/>
      <c r="M268" s="7"/>
      <c r="N268" s="7"/>
      <c r="O268" s="7"/>
      <c r="P268" s="7"/>
      <c r="Q268" s="7"/>
      <c r="R268" s="7"/>
      <c r="S268" s="7"/>
      <c r="T268" s="7"/>
      <c r="U268" s="7"/>
      <c r="V268" s="7"/>
      <c r="W268" s="7"/>
      <c r="Y268" s="8"/>
      <c r="Z268" s="8"/>
      <c r="AA268" s="8"/>
    </row>
    <row r="269" spans="2:27" s="6" customFormat="1" ht="15" customHeight="1" outlineLevel="1" x14ac:dyDescent="0.15">
      <c r="B269" s="139"/>
      <c r="C269" s="164">
        <v>45950</v>
      </c>
      <c r="D269" s="165">
        <v>6735.13</v>
      </c>
      <c r="E269" s="165">
        <v>2.7203343434066798</v>
      </c>
      <c r="F269" s="165">
        <v>3321</v>
      </c>
      <c r="G269" s="165">
        <v>61.829025844930399</v>
      </c>
      <c r="H269" s="165">
        <v>50.497017892644102</v>
      </c>
      <c r="I269" s="146"/>
      <c r="J269" s="146"/>
      <c r="K269" s="146"/>
      <c r="L269" s="30"/>
      <c r="M269" s="7"/>
      <c r="N269" s="7"/>
      <c r="O269" s="7"/>
      <c r="P269" s="7"/>
      <c r="Q269" s="7"/>
      <c r="R269" s="7"/>
      <c r="S269" s="7"/>
      <c r="T269" s="7"/>
      <c r="U269" s="7"/>
      <c r="V269" s="7"/>
      <c r="W269" s="7"/>
      <c r="Y269" s="8"/>
      <c r="Z269" s="8"/>
      <c r="AA269" s="8"/>
    </row>
    <row r="270" spans="2:27" s="6" customFormat="1" ht="15" customHeight="1" outlineLevel="1" x14ac:dyDescent="0.15">
      <c r="B270" s="139"/>
      <c r="C270" s="164">
        <v>45951</v>
      </c>
      <c r="D270" s="165">
        <v>6735.35</v>
      </c>
      <c r="E270" s="165">
        <v>3.1946685334796898</v>
      </c>
      <c r="F270" s="165">
        <v>3418</v>
      </c>
      <c r="G270" s="165">
        <v>63.817097415507</v>
      </c>
      <c r="H270" s="165">
        <v>53.081510934393599</v>
      </c>
      <c r="I270" s="146"/>
      <c r="J270" s="146"/>
      <c r="K270" s="146"/>
      <c r="L270" s="30"/>
      <c r="M270" s="7"/>
      <c r="N270" s="7"/>
      <c r="O270" s="7"/>
      <c r="P270" s="7"/>
      <c r="Q270" s="7"/>
      <c r="R270" s="7"/>
      <c r="S270" s="7"/>
      <c r="T270" s="7"/>
      <c r="U270" s="7"/>
      <c r="V270" s="7"/>
      <c r="W270" s="7"/>
      <c r="Y270" s="8"/>
      <c r="Z270" s="8"/>
      <c r="AA270" s="8"/>
    </row>
    <row r="271" spans="2:27" s="6" customFormat="1" ht="15" customHeight="1" outlineLevel="1" x14ac:dyDescent="0.15">
      <c r="B271" s="139"/>
      <c r="C271" s="164">
        <v>45952</v>
      </c>
      <c r="D271" s="165">
        <v>6699.4</v>
      </c>
      <c r="E271" s="165">
        <v>3.59101697031879</v>
      </c>
      <c r="F271" s="165">
        <v>3313</v>
      </c>
      <c r="G271" s="165">
        <v>63.220675944333998</v>
      </c>
      <c r="H271" s="165">
        <v>48.707753479125302</v>
      </c>
      <c r="I271" s="146"/>
      <c r="J271" s="146"/>
      <c r="K271" s="146"/>
      <c r="L271" s="30"/>
      <c r="M271" s="7"/>
      <c r="N271" s="7"/>
      <c r="O271" s="7"/>
      <c r="P271" s="7"/>
      <c r="Q271" s="7"/>
      <c r="R271" s="7"/>
      <c r="S271" s="7"/>
      <c r="T271" s="7"/>
      <c r="U271" s="7"/>
      <c r="V271" s="7"/>
      <c r="W271" s="7"/>
      <c r="Y271" s="8"/>
      <c r="Z271" s="8"/>
      <c r="AA271" s="8"/>
    </row>
    <row r="272" spans="2:27" s="6" customFormat="1" ht="15" customHeight="1" outlineLevel="1" x14ac:dyDescent="0.15">
      <c r="B272" s="139"/>
      <c r="C272" s="164">
        <v>45953</v>
      </c>
      <c r="D272" s="165">
        <v>6738.44</v>
      </c>
      <c r="E272" s="165">
        <v>3.3968669106864899</v>
      </c>
      <c r="F272" s="165">
        <v>3380</v>
      </c>
      <c r="G272" s="165">
        <v>64.214711729622294</v>
      </c>
      <c r="H272" s="165">
        <v>50.894632206759397</v>
      </c>
      <c r="I272" s="146"/>
      <c r="J272" s="146"/>
      <c r="K272" s="146"/>
      <c r="L272" s="30"/>
      <c r="M272" s="7"/>
      <c r="N272" s="7"/>
      <c r="O272" s="7"/>
      <c r="P272" s="7"/>
      <c r="Q272" s="7"/>
      <c r="R272" s="7"/>
      <c r="S272" s="7"/>
      <c r="T272" s="7"/>
      <c r="U272" s="7"/>
      <c r="V272" s="7"/>
      <c r="W272" s="7"/>
      <c r="Y272" s="8"/>
      <c r="Z272" s="8"/>
      <c r="AA272" s="8"/>
    </row>
    <row r="273" spans="2:27" s="6" customFormat="1" ht="15" customHeight="1" outlineLevel="1" x14ac:dyDescent="0.15">
      <c r="B273" s="139"/>
      <c r="C273" s="164">
        <v>45954</v>
      </c>
      <c r="D273" s="165">
        <v>6791.69</v>
      </c>
      <c r="E273" s="165">
        <v>3.0797000875873599</v>
      </c>
      <c r="F273" s="165">
        <v>3397</v>
      </c>
      <c r="G273" s="165">
        <v>63.618290258449299</v>
      </c>
      <c r="H273" s="165">
        <v>52.683896620278297</v>
      </c>
      <c r="I273" s="146"/>
      <c r="J273" s="146"/>
      <c r="K273" s="146"/>
      <c r="L273" s="30"/>
      <c r="M273" s="7"/>
      <c r="N273" s="7"/>
      <c r="O273" s="7"/>
      <c r="P273" s="7"/>
      <c r="Q273" s="7"/>
      <c r="R273" s="7"/>
      <c r="S273" s="7"/>
      <c r="T273" s="7"/>
      <c r="U273" s="7"/>
      <c r="V273" s="7"/>
      <c r="W273" s="7"/>
      <c r="Y273" s="8"/>
      <c r="Z273" s="8"/>
      <c r="AA273" s="8"/>
    </row>
    <row r="274" spans="2:27" s="6" customFormat="1" ht="15" customHeight="1" outlineLevel="1" x14ac:dyDescent="0.15">
      <c r="B274" s="139"/>
      <c r="C274" s="164">
        <v>45957</v>
      </c>
      <c r="D274" s="165">
        <v>6875.16</v>
      </c>
      <c r="E274" s="165">
        <v>3.3194512978687301</v>
      </c>
      <c r="F274" s="165">
        <v>3544</v>
      </c>
      <c r="G274" s="165">
        <v>62.823061630218703</v>
      </c>
      <c r="H274" s="165">
        <v>55.864811133200803</v>
      </c>
      <c r="I274" s="146"/>
      <c r="J274" s="146"/>
      <c r="K274" s="146"/>
      <c r="L274" s="30"/>
      <c r="M274" s="7"/>
      <c r="N274" s="7"/>
      <c r="O274" s="7"/>
      <c r="P274" s="7"/>
      <c r="Q274" s="7"/>
      <c r="R274" s="7"/>
      <c r="S274" s="7"/>
      <c r="T274" s="7"/>
      <c r="U274" s="7"/>
      <c r="V274" s="7"/>
      <c r="W274" s="7"/>
      <c r="Y274" s="8"/>
      <c r="Z274" s="8"/>
      <c r="AA274" s="8"/>
    </row>
    <row r="275" spans="2:27" s="6" customFormat="1" ht="15" customHeight="1" outlineLevel="1" x14ac:dyDescent="0.15">
      <c r="B275" s="139"/>
      <c r="C275" s="164">
        <v>45958</v>
      </c>
      <c r="D275" s="165">
        <v>6890.89</v>
      </c>
      <c r="E275" s="165">
        <v>3.4035073536529499</v>
      </c>
      <c r="F275" s="165">
        <v>3250</v>
      </c>
      <c r="G275" s="165">
        <v>60.238568588469199</v>
      </c>
      <c r="H275" s="165">
        <v>47.117296222664002</v>
      </c>
      <c r="I275" s="146"/>
      <c r="J275" s="146"/>
      <c r="K275" s="146"/>
      <c r="L275" s="30"/>
      <c r="M275" s="7"/>
      <c r="N275" s="7"/>
      <c r="O275" s="7"/>
      <c r="P275" s="7"/>
      <c r="Q275" s="7"/>
      <c r="R275" s="7"/>
      <c r="S275" s="7"/>
      <c r="T275" s="7"/>
      <c r="U275" s="7"/>
      <c r="V275" s="7"/>
      <c r="W275" s="7"/>
      <c r="Y275" s="8"/>
      <c r="Z275" s="8"/>
      <c r="AA275" s="8"/>
    </row>
    <row r="276" spans="2:27" s="6" customFormat="1" ht="15" customHeight="1" outlineLevel="1" x14ac:dyDescent="0.15">
      <c r="B276" s="139"/>
      <c r="C276" s="164">
        <v>45959</v>
      </c>
      <c r="D276" s="165">
        <v>6890.59</v>
      </c>
      <c r="E276" s="165">
        <v>4.0093891582546197</v>
      </c>
      <c r="F276" s="165">
        <v>2996</v>
      </c>
      <c r="G276" s="165">
        <v>54.274353876739603</v>
      </c>
      <c r="H276" s="165">
        <v>41.153081510934399</v>
      </c>
      <c r="I276" s="146"/>
      <c r="J276" s="146"/>
      <c r="K276" s="146"/>
      <c r="L276" s="30"/>
      <c r="M276" s="7"/>
      <c r="N276" s="7"/>
      <c r="O276" s="7"/>
      <c r="P276" s="7"/>
      <c r="Q276" s="7"/>
      <c r="R276" s="7"/>
      <c r="S276" s="7"/>
      <c r="T276" s="7"/>
      <c r="U276" s="7"/>
      <c r="V276" s="7"/>
      <c r="W276" s="7"/>
      <c r="Y276" s="8"/>
      <c r="Z276" s="8"/>
      <c r="AA276" s="8"/>
    </row>
    <row r="277" spans="2:27" s="6" customFormat="1" ht="15" customHeight="1" outlineLevel="1" x14ac:dyDescent="0.15">
      <c r="B277" s="139"/>
      <c r="C277" s="164">
        <v>45960</v>
      </c>
      <c r="D277" s="165">
        <v>6822.34</v>
      </c>
      <c r="E277" s="165">
        <v>3.96509712294197</v>
      </c>
      <c r="F277" s="165">
        <v>2963</v>
      </c>
      <c r="G277" s="165">
        <v>53.677932405566601</v>
      </c>
      <c r="H277" s="165">
        <v>41.351888667992</v>
      </c>
      <c r="I277" s="146"/>
      <c r="J277" s="146"/>
      <c r="K277" s="146"/>
      <c r="L277" s="30"/>
      <c r="M277" s="7"/>
      <c r="N277" s="7"/>
      <c r="O277" s="7"/>
      <c r="P277" s="7"/>
      <c r="Q277" s="7"/>
      <c r="R277" s="7"/>
      <c r="S277" s="7"/>
      <c r="T277" s="7"/>
      <c r="U277" s="7"/>
      <c r="V277" s="7"/>
      <c r="W277" s="7"/>
      <c r="Y277" s="8"/>
      <c r="Z277" s="8"/>
      <c r="AA277" s="8"/>
    </row>
    <row r="278" spans="2:27" s="6" customFormat="1" ht="15" customHeight="1" outlineLevel="1" x14ac:dyDescent="0.15">
      <c r="B278" s="139"/>
      <c r="C278" s="164">
        <v>45961</v>
      </c>
      <c r="D278" s="165">
        <v>6840.2</v>
      </c>
      <c r="E278" s="165">
        <v>3.8411635146083798</v>
      </c>
      <c r="F278" s="165">
        <v>2984</v>
      </c>
      <c r="G278" s="165">
        <v>54.183266932270897</v>
      </c>
      <c r="H278" s="165">
        <v>40.239043824701199</v>
      </c>
      <c r="I278" s="146"/>
      <c r="J278" s="146"/>
      <c r="K278" s="146"/>
      <c r="L278" s="30"/>
      <c r="M278" s="7"/>
      <c r="N278" s="7"/>
      <c r="O278" s="7"/>
      <c r="P278" s="7"/>
      <c r="Q278" s="7"/>
      <c r="R278" s="7"/>
      <c r="S278" s="7"/>
      <c r="T278" s="7"/>
      <c r="U278" s="7"/>
      <c r="V278" s="7"/>
      <c r="W278" s="7"/>
      <c r="Y278" s="8"/>
      <c r="Z278" s="8"/>
      <c r="AA278" s="8"/>
    </row>
    <row r="279" spans="2:27" s="6" customFormat="1" ht="15" customHeight="1" outlineLevel="1" x14ac:dyDescent="0.15">
      <c r="B279" s="139"/>
      <c r="C279" s="164">
        <v>45964</v>
      </c>
      <c r="D279" s="165">
        <v>6851.97</v>
      </c>
      <c r="E279" s="165">
        <v>3.7932978045291899</v>
      </c>
      <c r="F279" s="165">
        <v>2852</v>
      </c>
      <c r="G279" s="165">
        <v>53.386454183266899</v>
      </c>
      <c r="H279" s="165">
        <v>38.446215139442202</v>
      </c>
      <c r="I279" s="146"/>
      <c r="J279" s="146"/>
      <c r="K279" s="146"/>
      <c r="L279" s="30"/>
      <c r="M279" s="7"/>
      <c r="N279" s="7"/>
      <c r="O279" s="7"/>
      <c r="P279" s="7"/>
      <c r="Q279" s="7"/>
      <c r="R279" s="7"/>
      <c r="S279" s="7"/>
      <c r="T279" s="7"/>
      <c r="U279" s="7"/>
      <c r="V279" s="7"/>
      <c r="W279" s="7"/>
      <c r="Y279" s="8"/>
      <c r="Z279" s="8"/>
      <c r="AA279" s="8"/>
    </row>
    <row r="280" spans="2:27" s="6" customFormat="1" ht="15" customHeight="1" outlineLevel="1" x14ac:dyDescent="0.15">
      <c r="B280" s="139"/>
      <c r="C280" s="164">
        <v>45965</v>
      </c>
      <c r="D280" s="165">
        <v>6771.55</v>
      </c>
      <c r="E280" s="165">
        <v>3.8346288188514701</v>
      </c>
      <c r="F280" s="165">
        <v>2790</v>
      </c>
      <c r="G280" s="165">
        <v>53.093812375249499</v>
      </c>
      <c r="H280" s="165">
        <v>38.922155688622802</v>
      </c>
      <c r="I280" s="146"/>
      <c r="J280" s="146"/>
      <c r="K280" s="146"/>
      <c r="L280" s="30"/>
      <c r="M280" s="7"/>
      <c r="N280" s="7"/>
      <c r="O280" s="7"/>
      <c r="P280" s="7"/>
      <c r="Q280" s="7"/>
      <c r="R280" s="7"/>
      <c r="S280" s="7"/>
      <c r="T280" s="7"/>
      <c r="U280" s="7"/>
      <c r="V280" s="7"/>
      <c r="W280" s="7"/>
      <c r="Y280" s="8"/>
      <c r="Z280" s="8"/>
      <c r="AA280" s="8"/>
    </row>
    <row r="281" spans="2:27" s="6" customFormat="1" ht="15" customHeight="1" outlineLevel="1" x14ac:dyDescent="0.15">
      <c r="B281" s="139"/>
      <c r="C281" s="164">
        <v>45966</v>
      </c>
      <c r="D281" s="165">
        <v>6796.29</v>
      </c>
      <c r="E281" s="165">
        <v>3.5259138310127298</v>
      </c>
      <c r="F281" s="165">
        <v>2907</v>
      </c>
      <c r="G281" s="165">
        <v>54.091816367265501</v>
      </c>
      <c r="H281" s="165">
        <v>39.920159680638697</v>
      </c>
      <c r="I281" s="146"/>
      <c r="J281" s="146"/>
      <c r="K281" s="146"/>
      <c r="L281" s="30"/>
      <c r="M281" s="7"/>
      <c r="N281" s="7"/>
      <c r="O281" s="7"/>
      <c r="P281" s="7"/>
      <c r="Q281" s="7"/>
      <c r="R281" s="7"/>
      <c r="S281" s="7"/>
      <c r="T281" s="7"/>
      <c r="U281" s="7"/>
      <c r="V281" s="7"/>
      <c r="W281" s="7"/>
      <c r="Y281" s="8"/>
      <c r="Z281" s="8"/>
      <c r="AA281" s="8"/>
    </row>
    <row r="282" spans="2:27" s="6" customFormat="1" ht="15" customHeight="1" outlineLevel="1" x14ac:dyDescent="0.15">
      <c r="B282" s="139"/>
      <c r="C282" s="164">
        <v>45967</v>
      </c>
      <c r="D282" s="165">
        <v>6720.32</v>
      </c>
      <c r="E282" s="165">
        <v>3.6645984328947101</v>
      </c>
      <c r="F282" s="165">
        <v>2728</v>
      </c>
      <c r="G282" s="165">
        <v>51.696606786427097</v>
      </c>
      <c r="H282" s="165">
        <v>38.522954091816402</v>
      </c>
      <c r="I282" s="146"/>
      <c r="J282" s="146"/>
      <c r="K282" s="146"/>
      <c r="L282" s="30"/>
      <c r="M282" s="7"/>
      <c r="N282" s="7"/>
      <c r="O282" s="7"/>
      <c r="P282" s="7"/>
      <c r="Q282" s="7"/>
      <c r="R282" s="7"/>
      <c r="S282" s="7"/>
      <c r="T282" s="7"/>
      <c r="U282" s="7"/>
      <c r="V282" s="7"/>
      <c r="W282" s="7"/>
      <c r="Y282" s="8"/>
      <c r="Z282" s="8"/>
      <c r="AA282" s="8"/>
    </row>
    <row r="283" spans="2:27" s="6" customFormat="1" ht="15" customHeight="1" outlineLevel="1" x14ac:dyDescent="0.15">
      <c r="B283" s="139"/>
      <c r="C283" s="164">
        <v>45968</v>
      </c>
      <c r="D283" s="165">
        <v>6728.8</v>
      </c>
      <c r="E283" s="165">
        <v>3.6102827850894901</v>
      </c>
      <c r="F283" s="165">
        <v>3005</v>
      </c>
      <c r="G283" s="165">
        <v>54.291417165668697</v>
      </c>
      <c r="H283" s="165">
        <v>43.9121756487026</v>
      </c>
      <c r="I283" s="146"/>
      <c r="J283" s="146"/>
      <c r="K283" s="146"/>
      <c r="L283" s="30"/>
      <c r="M283" s="7"/>
      <c r="N283" s="7"/>
      <c r="O283" s="7"/>
      <c r="P283" s="7"/>
      <c r="Q283" s="7"/>
      <c r="R283" s="7"/>
      <c r="S283" s="7"/>
      <c r="T283" s="7"/>
      <c r="U283" s="7"/>
      <c r="V283" s="7"/>
      <c r="W283" s="7"/>
      <c r="Y283" s="8"/>
      <c r="Z283" s="8"/>
      <c r="AA283" s="8"/>
    </row>
    <row r="284" spans="2:27" s="6" customFormat="1" ht="15" customHeight="1" outlineLevel="1" x14ac:dyDescent="0.15">
      <c r="B284" s="139"/>
      <c r="C284" s="164">
        <v>45971</v>
      </c>
      <c r="D284" s="165">
        <v>6832.43</v>
      </c>
      <c r="E284" s="165">
        <v>3.2050316642513299</v>
      </c>
      <c r="F284" s="165">
        <v>3130</v>
      </c>
      <c r="G284" s="165">
        <v>55.688622754491</v>
      </c>
      <c r="H284" s="165">
        <v>45.708582834331303</v>
      </c>
      <c r="I284" s="146"/>
      <c r="J284" s="146"/>
      <c r="K284" s="146"/>
      <c r="L284" s="30"/>
      <c r="M284" s="7"/>
      <c r="N284" s="7"/>
      <c r="O284" s="7"/>
      <c r="P284" s="7"/>
      <c r="Q284" s="7"/>
      <c r="R284" s="7"/>
      <c r="S284" s="7"/>
      <c r="T284" s="7"/>
      <c r="U284" s="7"/>
      <c r="V284" s="7"/>
      <c r="W284" s="7"/>
      <c r="Y284" s="8"/>
      <c r="Z284" s="8"/>
      <c r="AA284" s="8"/>
    </row>
    <row r="285" spans="2:27" s="6" customFormat="1" ht="15" customHeight="1" outlineLevel="1" x14ac:dyDescent="0.15">
      <c r="B285" s="139"/>
      <c r="C285" s="164">
        <v>45972</v>
      </c>
      <c r="D285" s="165">
        <v>6846.61</v>
      </c>
      <c r="E285" s="165">
        <v>2.8468696760482799</v>
      </c>
      <c r="F285" s="165">
        <v>3317</v>
      </c>
      <c r="G285" s="165">
        <v>57.285429141716598</v>
      </c>
      <c r="H285" s="165">
        <v>49.101796407185603</v>
      </c>
      <c r="I285" s="146"/>
      <c r="J285" s="146"/>
      <c r="K285" s="146"/>
      <c r="L285" s="30"/>
      <c r="M285" s="7"/>
      <c r="N285" s="7"/>
      <c r="O285" s="7"/>
      <c r="P285" s="7"/>
      <c r="Q285" s="7"/>
      <c r="R285" s="7"/>
      <c r="S285" s="7"/>
      <c r="T285" s="7"/>
      <c r="U285" s="7"/>
      <c r="V285" s="7"/>
      <c r="W285" s="7"/>
      <c r="Y285" s="8"/>
      <c r="Z285" s="8"/>
      <c r="AA285" s="8"/>
    </row>
    <row r="286" spans="2:27" s="6" customFormat="1" ht="15" customHeight="1" outlineLevel="1" x14ac:dyDescent="0.15">
      <c r="B286" s="139"/>
      <c r="C286" s="164">
        <v>45973</v>
      </c>
      <c r="D286" s="165">
        <v>6850.92</v>
      </c>
      <c r="E286" s="165">
        <v>2.9966411587295498</v>
      </c>
      <c r="F286" s="165">
        <v>3408</v>
      </c>
      <c r="G286" s="165">
        <v>57.884231536926102</v>
      </c>
      <c r="H286" s="165">
        <v>51.497005988024</v>
      </c>
      <c r="I286" s="146"/>
      <c r="J286" s="146"/>
      <c r="K286" s="146"/>
      <c r="L286" s="30"/>
      <c r="M286" s="7"/>
      <c r="N286" s="7"/>
      <c r="O286" s="7"/>
      <c r="P286" s="7"/>
      <c r="Q286" s="7"/>
      <c r="R286" s="7"/>
      <c r="S286" s="7"/>
      <c r="T286" s="7"/>
      <c r="U286" s="7"/>
      <c r="V286" s="7"/>
      <c r="W286" s="7"/>
      <c r="Y286" s="8"/>
      <c r="Z286" s="8"/>
      <c r="AA286" s="8"/>
    </row>
    <row r="287" spans="2:27" s="6" customFormat="1" ht="15" customHeight="1" outlineLevel="1" x14ac:dyDescent="0.15">
      <c r="B287" s="139"/>
      <c r="C287" s="164">
        <v>45974</v>
      </c>
      <c r="D287" s="165">
        <v>6737.49</v>
      </c>
      <c r="E287" s="165">
        <v>3.4336611217517898</v>
      </c>
      <c r="F287" s="165">
        <v>3167</v>
      </c>
      <c r="G287" s="165">
        <v>57.085828343313402</v>
      </c>
      <c r="H287" s="165">
        <v>44.510978043912203</v>
      </c>
      <c r="I287" s="146"/>
      <c r="J287" s="146"/>
      <c r="K287" s="146"/>
      <c r="L287" s="30"/>
      <c r="M287" s="7"/>
      <c r="N287" s="7"/>
      <c r="O287" s="7"/>
      <c r="P287" s="7"/>
      <c r="Q287" s="7"/>
      <c r="R287" s="7"/>
      <c r="S287" s="7"/>
      <c r="T287" s="7"/>
      <c r="U287" s="7"/>
      <c r="V287" s="7"/>
      <c r="W287" s="7"/>
      <c r="Y287" s="8"/>
      <c r="Z287" s="8"/>
      <c r="AA287" s="8"/>
    </row>
    <row r="288" spans="2:27" s="6" customFormat="1" ht="15" customHeight="1" outlineLevel="1" x14ac:dyDescent="0.15">
      <c r="B288" s="139"/>
      <c r="C288" s="164">
        <v>45975</v>
      </c>
      <c r="D288" s="165">
        <v>6734.11</v>
      </c>
      <c r="E288" s="165">
        <v>3.1571270208167999</v>
      </c>
      <c r="F288" s="165">
        <v>3034</v>
      </c>
      <c r="G288" s="165">
        <v>56.0878243512974</v>
      </c>
      <c r="H288" s="165">
        <v>43.113772455089801</v>
      </c>
      <c r="I288" s="146"/>
      <c r="J288" s="146"/>
      <c r="K288" s="146"/>
      <c r="L288" s="30"/>
      <c r="M288" s="7"/>
      <c r="N288" s="7"/>
      <c r="O288" s="7"/>
      <c r="P288" s="7"/>
      <c r="Q288" s="7"/>
      <c r="R288" s="7"/>
      <c r="S288" s="7"/>
      <c r="T288" s="7"/>
      <c r="U288" s="7"/>
      <c r="V288" s="7"/>
      <c r="W288" s="7"/>
      <c r="Y288" s="8"/>
      <c r="Z288" s="8"/>
      <c r="AA288" s="8"/>
    </row>
    <row r="289" spans="2:27" s="6" customFormat="1" ht="15" customHeight="1" outlineLevel="1" x14ac:dyDescent="0.15">
      <c r="B289" s="139"/>
      <c r="C289" s="164">
        <v>45978</v>
      </c>
      <c r="D289" s="165">
        <v>6672.41</v>
      </c>
      <c r="E289" s="165">
        <v>3.1965893270816799</v>
      </c>
      <c r="F289" s="165">
        <v>2717</v>
      </c>
      <c r="G289" s="165">
        <v>51.497005988024</v>
      </c>
      <c r="H289" s="165">
        <v>36.526946107784397</v>
      </c>
      <c r="I289" s="146"/>
      <c r="J289" s="146"/>
      <c r="K289" s="146"/>
      <c r="L289" s="30"/>
      <c r="M289" s="7"/>
      <c r="N289" s="7"/>
      <c r="O289" s="7"/>
      <c r="P289" s="7"/>
      <c r="Q289" s="7"/>
      <c r="R289" s="7"/>
      <c r="S289" s="7"/>
      <c r="T289" s="7"/>
      <c r="U289" s="7"/>
      <c r="V289" s="7"/>
      <c r="W289" s="7"/>
      <c r="Y289" s="8"/>
      <c r="Z289" s="8"/>
      <c r="AA289" s="8"/>
    </row>
    <row r="290" spans="2:27" s="6" customFormat="1" ht="15" customHeight="1" outlineLevel="1" x14ac:dyDescent="0.15">
      <c r="B290" s="139"/>
      <c r="C290" s="164">
        <v>45979</v>
      </c>
      <c r="D290" s="165">
        <v>6617.32</v>
      </c>
      <c r="E290" s="165">
        <v>3.3082984237708999</v>
      </c>
      <c r="F290" s="165">
        <v>2714</v>
      </c>
      <c r="G290" s="165">
        <v>52.095808383233503</v>
      </c>
      <c r="H290" s="165">
        <v>35.728542914171697</v>
      </c>
      <c r="I290" s="146"/>
      <c r="J290" s="146"/>
      <c r="K290" s="146"/>
      <c r="L290" s="30"/>
      <c r="M290" s="7"/>
      <c r="N290" s="7"/>
      <c r="O290" s="7"/>
      <c r="P290" s="7"/>
      <c r="Q290" s="7"/>
      <c r="R290" s="7"/>
      <c r="S290" s="7"/>
      <c r="T290" s="7"/>
      <c r="U290" s="7"/>
      <c r="V290" s="7"/>
      <c r="W290" s="7"/>
      <c r="Y290" s="8"/>
      <c r="Z290" s="8"/>
      <c r="AA290" s="8"/>
    </row>
    <row r="291" spans="2:27" s="6" customFormat="1" ht="15" customHeight="1" outlineLevel="1" x14ac:dyDescent="0.15">
      <c r="B291" s="139"/>
      <c r="C291" s="164">
        <v>45980</v>
      </c>
      <c r="D291" s="165">
        <v>6642.16</v>
      </c>
      <c r="E291" s="165">
        <v>3.1722559309568399</v>
      </c>
      <c r="F291" s="165">
        <v>2604</v>
      </c>
      <c r="G291" s="165">
        <v>50.299401197604801</v>
      </c>
      <c r="H291" s="165">
        <v>34.131736526946099</v>
      </c>
      <c r="I291" s="146"/>
      <c r="J291" s="146"/>
      <c r="K291" s="146"/>
      <c r="L291" s="30"/>
      <c r="M291" s="7"/>
      <c r="N291" s="7"/>
      <c r="O291" s="7"/>
      <c r="P291" s="7"/>
      <c r="Q291" s="7"/>
      <c r="R291" s="7"/>
      <c r="S291" s="7"/>
      <c r="T291" s="7"/>
      <c r="U291" s="7"/>
      <c r="V291" s="7"/>
      <c r="W291" s="7"/>
      <c r="Y291" s="8"/>
      <c r="Z291" s="8"/>
      <c r="AA291" s="8"/>
    </row>
    <row r="292" spans="2:27" s="6" customFormat="1" ht="15" customHeight="1" outlineLevel="1" x14ac:dyDescent="0.15">
      <c r="B292" s="139"/>
      <c r="C292" s="164">
        <v>45981</v>
      </c>
      <c r="D292" s="165">
        <v>6538.76</v>
      </c>
      <c r="E292" s="165">
        <v>3.7469387483463299</v>
      </c>
      <c r="F292" s="165">
        <v>2402</v>
      </c>
      <c r="G292" s="165">
        <v>47.305389221556901</v>
      </c>
      <c r="H292" s="165">
        <v>31.137724550898199</v>
      </c>
      <c r="I292" s="146"/>
      <c r="J292" s="146"/>
      <c r="K292" s="146"/>
      <c r="L292" s="30"/>
      <c r="M292" s="7"/>
      <c r="N292" s="7"/>
      <c r="O292" s="7"/>
      <c r="P292" s="7"/>
      <c r="Q292" s="7"/>
      <c r="R292" s="7"/>
      <c r="S292" s="7"/>
      <c r="T292" s="7"/>
      <c r="U292" s="7"/>
      <c r="V292" s="7"/>
      <c r="W292" s="7"/>
      <c r="Y292" s="8"/>
      <c r="Z292" s="8"/>
      <c r="AA292" s="8"/>
    </row>
    <row r="293" spans="2:27" s="6" customFormat="1" ht="15" customHeight="1" outlineLevel="1" x14ac:dyDescent="0.15">
      <c r="B293" s="139"/>
      <c r="C293" s="164">
        <v>45982</v>
      </c>
      <c r="D293" s="165">
        <v>6602.99</v>
      </c>
      <c r="E293" s="165">
        <v>4.0211437876930196</v>
      </c>
      <c r="F293" s="165">
        <v>2794</v>
      </c>
      <c r="G293" s="165">
        <v>53.692614770459102</v>
      </c>
      <c r="H293" s="165">
        <v>38.922155688622802</v>
      </c>
      <c r="I293" s="146"/>
      <c r="J293" s="146"/>
      <c r="K293" s="146"/>
      <c r="L293" s="30"/>
      <c r="M293" s="7"/>
      <c r="N293" s="7"/>
      <c r="O293" s="7"/>
      <c r="P293" s="7"/>
      <c r="Q293" s="7"/>
      <c r="R293" s="7"/>
      <c r="S293" s="7"/>
      <c r="T293" s="7"/>
      <c r="U293" s="7"/>
      <c r="V293" s="7"/>
      <c r="W293" s="7"/>
      <c r="Y293" s="8"/>
      <c r="Z293" s="8"/>
      <c r="AA293" s="8"/>
    </row>
    <row r="294" spans="2:27" s="6" customFormat="1" ht="15" customHeight="1" outlineLevel="1" x14ac:dyDescent="0.15">
      <c r="B294" s="139"/>
      <c r="C294" s="164">
        <v>45985</v>
      </c>
      <c r="D294" s="165">
        <v>6705.12</v>
      </c>
      <c r="E294" s="165">
        <v>4.5107270487937896</v>
      </c>
      <c r="F294" s="165">
        <v>2812</v>
      </c>
      <c r="G294" s="165">
        <v>53.293413173652702</v>
      </c>
      <c r="H294" s="165">
        <v>41.117764471057903</v>
      </c>
      <c r="I294" s="146"/>
      <c r="J294" s="146"/>
      <c r="K294" s="146"/>
      <c r="L294" s="30"/>
      <c r="M294" s="7"/>
      <c r="N294" s="7"/>
      <c r="O294" s="7"/>
      <c r="P294" s="7"/>
      <c r="Q294" s="7"/>
      <c r="R294" s="7"/>
      <c r="S294" s="7"/>
      <c r="T294" s="7"/>
      <c r="U294" s="7"/>
      <c r="V294" s="7"/>
      <c r="W294" s="7"/>
      <c r="Y294" s="8"/>
      <c r="Z294" s="8"/>
      <c r="AA294" s="8"/>
    </row>
    <row r="295" spans="2:27" s="6" customFormat="1" ht="15" customHeight="1" outlineLevel="1" x14ac:dyDescent="0.15">
      <c r="B295" s="139"/>
      <c r="C295" s="164">
        <v>45986</v>
      </c>
      <c r="D295" s="165">
        <v>6765.88</v>
      </c>
      <c r="E295" s="165">
        <v>3.3165793925018301</v>
      </c>
      <c r="F295" s="165">
        <v>3164</v>
      </c>
      <c r="G295" s="165">
        <v>56.886227544910199</v>
      </c>
      <c r="H295" s="165">
        <v>50.698602794411201</v>
      </c>
      <c r="I295" s="146"/>
      <c r="J295" s="146"/>
      <c r="K295" s="146"/>
      <c r="L295" s="30"/>
      <c r="M295" s="7"/>
      <c r="N295" s="7"/>
      <c r="O295" s="7"/>
      <c r="P295" s="7"/>
      <c r="Q295" s="7"/>
      <c r="R295" s="7"/>
      <c r="S295" s="7"/>
      <c r="T295" s="7"/>
      <c r="U295" s="7"/>
      <c r="V295" s="7"/>
      <c r="W295" s="7"/>
      <c r="Y295" s="8"/>
      <c r="Z295" s="8"/>
      <c r="AA295" s="8"/>
    </row>
    <row r="296" spans="2:27" s="6" customFormat="1" ht="15" customHeight="1" outlineLevel="1" x14ac:dyDescent="0.15">
      <c r="B296" s="139"/>
      <c r="C296" s="164">
        <v>45987</v>
      </c>
      <c r="D296" s="165">
        <v>6812.61</v>
      </c>
      <c r="E296" s="165">
        <v>2.7342379461860702</v>
      </c>
      <c r="F296" s="165">
        <v>3382</v>
      </c>
      <c r="G296" s="165">
        <v>58.283433133732501</v>
      </c>
      <c r="H296" s="165">
        <v>55.2894211576846</v>
      </c>
      <c r="I296" s="146"/>
      <c r="J296" s="146"/>
      <c r="K296" s="146"/>
      <c r="L296" s="30"/>
      <c r="M296" s="7"/>
      <c r="N296" s="7"/>
      <c r="O296" s="7"/>
      <c r="P296" s="7"/>
      <c r="Q296" s="7"/>
      <c r="R296" s="7"/>
      <c r="S296" s="7"/>
      <c r="T296" s="7"/>
      <c r="U296" s="7"/>
      <c r="V296" s="7"/>
      <c r="W296" s="7"/>
      <c r="Y296" s="8"/>
      <c r="Z296" s="8"/>
      <c r="AA296" s="8"/>
    </row>
    <row r="297" spans="2:27" s="6" customFormat="1" ht="15" customHeight="1" outlineLevel="1" x14ac:dyDescent="0.15">
      <c r="B297" s="139"/>
      <c r="C297" s="164">
        <v>45989</v>
      </c>
      <c r="D297" s="165">
        <v>6849.09</v>
      </c>
      <c r="E297" s="165">
        <v>1.49172068597651</v>
      </c>
      <c r="F297" s="165">
        <v>3636</v>
      </c>
      <c r="G297" s="165">
        <v>61.277445109780402</v>
      </c>
      <c r="H297" s="165">
        <v>58.483033932135697</v>
      </c>
      <c r="I297" s="146"/>
      <c r="J297" s="146"/>
      <c r="K297" s="146"/>
      <c r="L297" s="30"/>
      <c r="M297" s="7"/>
      <c r="N297" s="7"/>
      <c r="O297" s="7"/>
      <c r="P297" s="7"/>
      <c r="Q297" s="7"/>
      <c r="R297" s="7"/>
      <c r="S297" s="7"/>
      <c r="T297" s="7"/>
      <c r="U297" s="7"/>
      <c r="V297" s="7"/>
      <c r="W297" s="7"/>
      <c r="Y297" s="8"/>
      <c r="Z297" s="8"/>
      <c r="AA297" s="8"/>
    </row>
    <row r="298" spans="2:27" s="6" customFormat="1" ht="15" customHeight="1" outlineLevel="1" x14ac:dyDescent="0.15">
      <c r="B298" s="139"/>
      <c r="C298" s="164">
        <v>45992</v>
      </c>
      <c r="D298" s="165">
        <v>6812.63</v>
      </c>
      <c r="E298" s="165">
        <v>2.83377763450813</v>
      </c>
      <c r="F298" s="165">
        <v>3403</v>
      </c>
      <c r="G298" s="165">
        <v>57.884231536926102</v>
      </c>
      <c r="H298" s="165">
        <v>51.097804391217601</v>
      </c>
      <c r="I298" s="146"/>
      <c r="J298" s="146"/>
      <c r="K298" s="146"/>
      <c r="L298" s="30"/>
      <c r="M298" s="7"/>
      <c r="N298" s="7"/>
      <c r="O298" s="7"/>
      <c r="P298" s="7"/>
      <c r="Q298" s="7"/>
      <c r="R298" s="7"/>
      <c r="S298" s="7"/>
      <c r="T298" s="7"/>
      <c r="U298" s="7"/>
      <c r="V298" s="7"/>
      <c r="W298" s="7"/>
      <c r="Y298" s="8"/>
      <c r="Z298" s="8"/>
      <c r="AA298" s="8"/>
    </row>
    <row r="299" spans="2:27" s="6" customFormat="1" ht="15" customHeight="1" outlineLevel="1" x14ac:dyDescent="0.15">
      <c r="B299" s="139"/>
      <c r="C299" s="164">
        <v>45993</v>
      </c>
      <c r="D299" s="165">
        <v>6829.37</v>
      </c>
      <c r="E299" s="165">
        <v>3.0384422971077001</v>
      </c>
      <c r="F299" s="165">
        <v>3333</v>
      </c>
      <c r="G299" s="165">
        <v>56.886227544910199</v>
      </c>
      <c r="H299" s="165">
        <v>51.097804391217601</v>
      </c>
      <c r="I299" s="146"/>
      <c r="J299" s="146"/>
      <c r="K299" s="146"/>
      <c r="L299" s="30"/>
      <c r="M299" s="7"/>
      <c r="N299" s="7"/>
      <c r="O299" s="7"/>
      <c r="P299" s="7"/>
      <c r="Q299" s="7"/>
      <c r="R299" s="7"/>
      <c r="S299" s="7"/>
      <c r="T299" s="7"/>
      <c r="U299" s="7"/>
      <c r="V299" s="7"/>
      <c r="W299" s="7"/>
      <c r="Y299" s="8"/>
      <c r="Z299" s="8"/>
      <c r="AA299" s="8"/>
    </row>
    <row r="300" spans="2:27" s="6" customFormat="1" ht="15" customHeight="1" outlineLevel="1" x14ac:dyDescent="0.15">
      <c r="B300" s="139"/>
      <c r="C300" s="164">
        <v>45994</v>
      </c>
      <c r="D300" s="165">
        <v>6849.72</v>
      </c>
      <c r="E300" s="165">
        <v>3.0130102505588501</v>
      </c>
      <c r="F300" s="165">
        <v>3505</v>
      </c>
      <c r="G300" s="165">
        <v>59.281437125748504</v>
      </c>
      <c r="H300" s="165">
        <v>53.493013972055898</v>
      </c>
      <c r="I300" s="146"/>
      <c r="J300" s="146"/>
      <c r="K300" s="146"/>
      <c r="L300" s="30"/>
      <c r="M300" s="7"/>
      <c r="N300" s="7"/>
      <c r="O300" s="7"/>
      <c r="P300" s="7"/>
      <c r="Q300" s="7"/>
      <c r="R300" s="7"/>
      <c r="S300" s="7"/>
      <c r="T300" s="7"/>
      <c r="U300" s="7"/>
      <c r="V300" s="7"/>
      <c r="W300" s="7"/>
      <c r="Y300" s="8"/>
      <c r="Z300" s="8"/>
      <c r="AA300" s="8"/>
    </row>
    <row r="301" spans="2:27" s="6" customFormat="1" ht="15" customHeight="1" outlineLevel="1" x14ac:dyDescent="0.15">
      <c r="B301" s="139"/>
      <c r="C301" s="164">
        <v>45995</v>
      </c>
      <c r="D301" s="165">
        <v>6857.12</v>
      </c>
      <c r="E301" s="165">
        <v>3.00489755256462</v>
      </c>
      <c r="F301" s="165">
        <v>3508</v>
      </c>
      <c r="G301" s="165">
        <v>59.0818363273453</v>
      </c>
      <c r="H301" s="165">
        <v>54.690618762475097</v>
      </c>
      <c r="I301" s="146"/>
      <c r="J301" s="146"/>
      <c r="K301" s="146"/>
      <c r="L301" s="30"/>
      <c r="M301" s="7"/>
      <c r="N301" s="7"/>
      <c r="O301" s="7"/>
      <c r="P301" s="7"/>
      <c r="Q301" s="7"/>
      <c r="R301" s="7"/>
      <c r="S301" s="7"/>
      <c r="T301" s="7"/>
      <c r="U301" s="7"/>
      <c r="V301" s="7"/>
      <c r="W301" s="7"/>
      <c r="Y301" s="8"/>
      <c r="Z301" s="8"/>
      <c r="AA301" s="8"/>
    </row>
    <row r="302" spans="2:27" s="6" customFormat="1" ht="15" customHeight="1" outlineLevel="1" x14ac:dyDescent="0.15">
      <c r="B302" s="139"/>
      <c r="C302" s="164">
        <v>45996</v>
      </c>
      <c r="D302" s="165">
        <v>6870.4</v>
      </c>
      <c r="E302" s="165">
        <v>3.1809888558616599</v>
      </c>
      <c r="F302" s="165">
        <v>3522</v>
      </c>
      <c r="G302" s="165">
        <v>60.279441117764499</v>
      </c>
      <c r="H302" s="165">
        <v>54.491017964071901</v>
      </c>
      <c r="I302" s="146"/>
      <c r="J302" s="146"/>
      <c r="K302" s="146"/>
      <c r="L302" s="30"/>
      <c r="M302" s="7"/>
      <c r="N302" s="7"/>
      <c r="O302" s="7"/>
      <c r="P302" s="7"/>
      <c r="Q302" s="7"/>
      <c r="R302" s="7"/>
      <c r="S302" s="7"/>
      <c r="T302" s="7"/>
      <c r="U302" s="7"/>
      <c r="V302" s="7"/>
      <c r="W302" s="7"/>
      <c r="Y302" s="8"/>
      <c r="Z302" s="8"/>
      <c r="AA302" s="8"/>
    </row>
    <row r="303" spans="2:27" s="6" customFormat="1" ht="15" customHeight="1" outlineLevel="1" x14ac:dyDescent="0.15">
      <c r="B303" s="139"/>
      <c r="C303" s="164">
        <v>45999</v>
      </c>
      <c r="D303" s="165">
        <v>6846.51</v>
      </c>
      <c r="E303" s="165">
        <v>3.2348048684692401</v>
      </c>
      <c r="F303" s="165">
        <v>3334</v>
      </c>
      <c r="G303" s="165">
        <v>56.487025948103799</v>
      </c>
      <c r="H303" s="165">
        <v>49.101796407185603</v>
      </c>
      <c r="I303" s="146"/>
      <c r="J303" s="146"/>
      <c r="K303" s="146"/>
      <c r="L303" s="30"/>
      <c r="M303" s="7"/>
      <c r="N303" s="7"/>
      <c r="O303" s="7"/>
      <c r="P303" s="7"/>
      <c r="Q303" s="7"/>
      <c r="R303" s="7"/>
      <c r="S303" s="7"/>
      <c r="T303" s="7"/>
      <c r="U303" s="7"/>
      <c r="V303" s="7"/>
      <c r="W303" s="7"/>
      <c r="Y303" s="8"/>
      <c r="Z303" s="8"/>
      <c r="AA303" s="8"/>
    </row>
    <row r="304" spans="2:27" s="6" customFormat="1" ht="15" customHeight="1" outlineLevel="1" x14ac:dyDescent="0.15">
      <c r="B304" s="139"/>
      <c r="C304" s="164">
        <v>46000</v>
      </c>
      <c r="D304" s="165">
        <v>6840.51</v>
      </c>
      <c r="E304" s="165">
        <v>2.7939724162044501</v>
      </c>
      <c r="F304" s="165">
        <v>3264</v>
      </c>
      <c r="G304" s="165">
        <v>55.888223552894203</v>
      </c>
      <c r="H304" s="165">
        <v>46.506986027944102</v>
      </c>
      <c r="I304" s="146"/>
      <c r="J304" s="146"/>
      <c r="K304" s="146"/>
      <c r="L304" s="30"/>
      <c r="M304" s="7"/>
      <c r="N304" s="7"/>
      <c r="O304" s="7"/>
      <c r="P304" s="7"/>
      <c r="Q304" s="7"/>
      <c r="R304" s="7"/>
      <c r="S304" s="7"/>
      <c r="T304" s="7"/>
      <c r="U304" s="7"/>
      <c r="V304" s="7"/>
      <c r="W304" s="7"/>
      <c r="Y304" s="8"/>
      <c r="Z304" s="8"/>
      <c r="AA304" s="8"/>
    </row>
    <row r="305" spans="2:27" s="6" customFormat="1" ht="15" customHeight="1" outlineLevel="1" x14ac:dyDescent="0.15">
      <c r="B305" s="139"/>
      <c r="C305" s="164">
        <v>46001</v>
      </c>
      <c r="D305" s="165">
        <v>6886.68</v>
      </c>
      <c r="E305" s="165">
        <v>3.5691945361709601</v>
      </c>
      <c r="F305" s="165">
        <v>3540</v>
      </c>
      <c r="G305" s="165">
        <v>59.0818363273453</v>
      </c>
      <c r="H305" s="165">
        <v>53.692614770459102</v>
      </c>
      <c r="I305" s="146"/>
      <c r="J305" s="146"/>
      <c r="K305" s="146"/>
      <c r="L305" s="30"/>
      <c r="M305" s="7"/>
      <c r="N305" s="7"/>
      <c r="O305" s="7"/>
      <c r="P305" s="7"/>
      <c r="Q305" s="7"/>
      <c r="R305" s="7"/>
      <c r="S305" s="7"/>
      <c r="T305" s="7"/>
      <c r="U305" s="7"/>
      <c r="V305" s="7"/>
      <c r="W305" s="7"/>
      <c r="Y305" s="8"/>
      <c r="Z305" s="8"/>
      <c r="AA305" s="8"/>
    </row>
    <row r="306" spans="2:27" s="6" customFormat="1" ht="15" customHeight="1" outlineLevel="1" x14ac:dyDescent="0.15">
      <c r="B306" s="139"/>
      <c r="C306" s="164">
        <v>46002</v>
      </c>
      <c r="D306" s="165">
        <v>6901</v>
      </c>
      <c r="E306" s="165">
        <v>3.2005128736514998</v>
      </c>
      <c r="F306" s="165">
        <v>3776</v>
      </c>
      <c r="G306" s="165">
        <v>62.275449101796397</v>
      </c>
      <c r="H306" s="165">
        <v>60.279441117764499</v>
      </c>
      <c r="I306" s="146"/>
      <c r="J306" s="146"/>
      <c r="K306" s="146"/>
      <c r="L306" s="30"/>
      <c r="M306" s="7"/>
      <c r="N306" s="7"/>
      <c r="O306" s="7"/>
      <c r="P306" s="7"/>
      <c r="Q306" s="7"/>
      <c r="R306" s="7"/>
      <c r="S306" s="7"/>
      <c r="T306" s="7"/>
      <c r="U306" s="7"/>
      <c r="V306" s="7"/>
      <c r="W306" s="7"/>
      <c r="Y306" s="8"/>
      <c r="Z306" s="8"/>
      <c r="AA306" s="8"/>
    </row>
    <row r="307" spans="2:27" s="6" customFormat="1" ht="15" customHeight="1" outlineLevel="1" x14ac:dyDescent="0.15">
      <c r="B307" s="139"/>
      <c r="C307" s="164">
        <v>46003</v>
      </c>
      <c r="D307" s="165">
        <v>6827.41</v>
      </c>
      <c r="E307" s="165">
        <v>3.22842341406822</v>
      </c>
      <c r="F307" s="165">
        <v>3716</v>
      </c>
      <c r="G307" s="165">
        <v>62.4750499001996</v>
      </c>
      <c r="H307" s="165">
        <v>58.682634730538901</v>
      </c>
      <c r="I307" s="146"/>
      <c r="J307" s="146"/>
      <c r="K307" s="146"/>
      <c r="L307" s="30"/>
      <c r="M307" s="7"/>
      <c r="N307" s="7"/>
      <c r="O307" s="7"/>
      <c r="P307" s="7"/>
      <c r="Q307" s="7"/>
      <c r="R307" s="7"/>
      <c r="S307" s="7"/>
      <c r="T307" s="7"/>
      <c r="U307" s="7"/>
      <c r="V307" s="7"/>
      <c r="W307" s="7"/>
      <c r="Y307" s="8"/>
      <c r="Z307" s="8"/>
      <c r="AA307" s="8"/>
    </row>
    <row r="308" spans="2:27" s="6" customFormat="1" ht="15" customHeight="1" outlineLevel="1" x14ac:dyDescent="0.15">
      <c r="B308" s="139"/>
      <c r="C308" s="164">
        <v>46006</v>
      </c>
      <c r="D308" s="165">
        <v>6816.51</v>
      </c>
      <c r="E308" s="165">
        <v>3.3651174420242298</v>
      </c>
      <c r="F308" s="165">
        <v>3779</v>
      </c>
      <c r="G308" s="165">
        <v>61.876247504989998</v>
      </c>
      <c r="H308" s="165">
        <v>61.477045908183598</v>
      </c>
      <c r="I308" s="146"/>
      <c r="J308" s="146"/>
      <c r="K308" s="146"/>
      <c r="L308" s="30"/>
      <c r="M308" s="7"/>
      <c r="N308" s="7"/>
      <c r="O308" s="7"/>
      <c r="P308" s="7"/>
      <c r="Q308" s="7"/>
      <c r="R308" s="7"/>
      <c r="S308" s="7"/>
      <c r="T308" s="7"/>
      <c r="U308" s="7"/>
      <c r="V308" s="7"/>
      <c r="W308" s="7"/>
      <c r="Y308" s="8"/>
      <c r="Z308" s="8"/>
      <c r="AA308" s="8"/>
    </row>
    <row r="309" spans="2:27" s="6" customFormat="1" ht="15" customHeight="1" outlineLevel="1" x14ac:dyDescent="0.15">
      <c r="B309" s="139"/>
      <c r="C309" s="164">
        <v>46007</v>
      </c>
      <c r="D309" s="165">
        <v>6800.26</v>
      </c>
      <c r="E309" s="165">
        <v>3.2826458020095801</v>
      </c>
      <c r="F309" s="165">
        <v>3544</v>
      </c>
      <c r="G309" s="165">
        <v>60.079840319361303</v>
      </c>
      <c r="H309" s="165">
        <v>56.0878243512974</v>
      </c>
      <c r="I309" s="146"/>
      <c r="J309" s="146"/>
      <c r="K309" s="146"/>
      <c r="L309" s="30"/>
      <c r="M309" s="7"/>
      <c r="N309" s="7"/>
      <c r="O309" s="7"/>
      <c r="P309" s="7"/>
      <c r="Q309" s="7"/>
      <c r="R309" s="7"/>
      <c r="S309" s="7"/>
      <c r="T309" s="7"/>
      <c r="U309" s="7"/>
      <c r="V309" s="7"/>
      <c r="W309" s="7"/>
      <c r="Y309" s="8"/>
      <c r="Z309" s="8"/>
      <c r="AA309" s="8"/>
    </row>
    <row r="310" spans="2:27" s="6" customFormat="1" ht="15" customHeight="1" outlineLevel="1" x14ac:dyDescent="0.15">
      <c r="B310" s="139"/>
      <c r="C310" s="164">
        <v>46008</v>
      </c>
      <c r="D310" s="165">
        <v>6721.43</v>
      </c>
      <c r="E310" s="165">
        <v>3.5157577246322602</v>
      </c>
      <c r="F310" s="165">
        <v>3557</v>
      </c>
      <c r="G310" s="165">
        <v>59.680638722554903</v>
      </c>
      <c r="H310" s="165">
        <v>58.283433133732501</v>
      </c>
      <c r="I310" s="146"/>
      <c r="J310" s="146"/>
      <c r="K310" s="146"/>
      <c r="L310" s="30"/>
      <c r="M310" s="7"/>
      <c r="N310" s="7"/>
      <c r="O310" s="7"/>
      <c r="P310" s="7"/>
      <c r="Q310" s="7"/>
      <c r="R310" s="7"/>
      <c r="S310" s="7"/>
      <c r="T310" s="7"/>
      <c r="U310" s="7"/>
      <c r="V310" s="7"/>
      <c r="W310" s="7"/>
      <c r="Y310" s="8"/>
      <c r="Z310" s="8"/>
      <c r="AA310" s="8"/>
    </row>
    <row r="311" spans="2:27" s="6" customFormat="1" ht="15" customHeight="1" outlineLevel="1" x14ac:dyDescent="0.15">
      <c r="B311" s="139"/>
      <c r="C311" s="164">
        <v>46009</v>
      </c>
      <c r="D311" s="165">
        <v>6774.76</v>
      </c>
      <c r="E311" s="165">
        <v>3.3991990462608301</v>
      </c>
      <c r="F311" s="165">
        <v>3585</v>
      </c>
      <c r="G311" s="165">
        <v>59.281437125748504</v>
      </c>
      <c r="H311" s="165">
        <v>56.0878243512974</v>
      </c>
      <c r="I311" s="146"/>
      <c r="J311" s="146"/>
      <c r="K311" s="146"/>
      <c r="L311" s="30"/>
      <c r="M311" s="7"/>
      <c r="N311" s="7"/>
      <c r="O311" s="7"/>
      <c r="P311" s="7"/>
      <c r="Q311" s="7"/>
      <c r="R311" s="7"/>
      <c r="S311" s="7"/>
      <c r="T311" s="7"/>
      <c r="U311" s="7"/>
      <c r="V311" s="7"/>
      <c r="W311" s="7"/>
      <c r="Y311" s="8"/>
      <c r="Z311" s="8"/>
      <c r="AA311" s="8"/>
    </row>
    <row r="312" spans="2:27" s="6" customFormat="1" ht="15" customHeight="1" outlineLevel="1" x14ac:dyDescent="0.15">
      <c r="B312" s="139"/>
      <c r="C312" s="164">
        <v>46010</v>
      </c>
      <c r="D312" s="165">
        <v>6834.5</v>
      </c>
      <c r="E312" s="165">
        <v>6.8965853023071304</v>
      </c>
      <c r="F312" s="165">
        <v>3652</v>
      </c>
      <c r="G312" s="165">
        <v>57.884231536926102</v>
      </c>
      <c r="H312" s="165">
        <v>56.886227544910199</v>
      </c>
      <c r="I312" s="146"/>
      <c r="J312" s="146"/>
      <c r="K312" s="146"/>
      <c r="L312" s="30"/>
      <c r="M312" s="7"/>
      <c r="N312" s="7"/>
      <c r="O312" s="7"/>
      <c r="P312" s="7"/>
      <c r="Q312" s="7"/>
      <c r="R312" s="7"/>
      <c r="S312" s="7"/>
      <c r="T312" s="7"/>
      <c r="U312" s="7"/>
      <c r="V312" s="7"/>
      <c r="W312" s="7"/>
      <c r="Y312" s="8"/>
      <c r="Z312" s="8"/>
      <c r="AA312" s="8"/>
    </row>
    <row r="313" spans="2:27" s="6" customFormat="1" ht="15" customHeight="1" outlineLevel="1" x14ac:dyDescent="0.15">
      <c r="B313" s="139"/>
      <c r="C313" s="164">
        <v>46013</v>
      </c>
      <c r="D313" s="165">
        <v>6878.49</v>
      </c>
      <c r="E313" s="165">
        <v>2.6654172498188</v>
      </c>
      <c r="F313" s="165">
        <v>3930</v>
      </c>
      <c r="G313" s="165">
        <v>60.557768924302799</v>
      </c>
      <c r="H313" s="165">
        <v>61.553784860557798</v>
      </c>
      <c r="I313" s="146"/>
      <c r="J313" s="146"/>
      <c r="K313" s="146"/>
      <c r="L313" s="30"/>
      <c r="M313" s="7"/>
      <c r="N313" s="7"/>
      <c r="O313" s="7"/>
      <c r="P313" s="7"/>
      <c r="Q313" s="7"/>
      <c r="R313" s="7"/>
      <c r="S313" s="7"/>
      <c r="T313" s="7"/>
      <c r="U313" s="7"/>
      <c r="V313" s="7"/>
      <c r="W313" s="7"/>
      <c r="Y313" s="8"/>
      <c r="Z313" s="8"/>
      <c r="AA313" s="8"/>
    </row>
    <row r="314" spans="2:27" s="6" customFormat="1" ht="15" customHeight="1" outlineLevel="1" x14ac:dyDescent="0.15">
      <c r="B314" s="139"/>
      <c r="C314" s="164">
        <v>46014</v>
      </c>
      <c r="D314" s="165">
        <v>6909.79</v>
      </c>
      <c r="E314" s="165">
        <v>2.2659979219760902</v>
      </c>
      <c r="F314" s="165">
        <v>3861</v>
      </c>
      <c r="G314" s="165">
        <v>60.557768924302799</v>
      </c>
      <c r="H314" s="165">
        <v>60.557768924302799</v>
      </c>
      <c r="I314" s="146"/>
      <c r="J314" s="146"/>
      <c r="K314" s="146"/>
      <c r="L314" s="30"/>
      <c r="M314" s="7"/>
      <c r="N314" s="7"/>
      <c r="O314" s="7"/>
      <c r="P314" s="7"/>
      <c r="Q314" s="7"/>
      <c r="R314" s="7"/>
      <c r="S314" s="7"/>
      <c r="T314" s="7"/>
      <c r="U314" s="7"/>
      <c r="V314" s="7"/>
      <c r="W314" s="7"/>
      <c r="Y314" s="8"/>
      <c r="Z314" s="8"/>
      <c r="AA314" s="8"/>
    </row>
    <row r="315" spans="2:27" s="6" customFormat="1" ht="15" customHeight="1" outlineLevel="1" x14ac:dyDescent="0.15">
      <c r="B315" s="139"/>
      <c r="C315" s="164">
        <v>46015</v>
      </c>
      <c r="D315" s="165">
        <v>6932.05</v>
      </c>
      <c r="E315" s="165">
        <v>1.0792240303773899</v>
      </c>
      <c r="F315" s="165">
        <v>4139</v>
      </c>
      <c r="G315" s="165">
        <v>60.956175298804801</v>
      </c>
      <c r="H315" s="165">
        <v>61.752988047808799</v>
      </c>
      <c r="I315" s="146"/>
      <c r="J315" s="146"/>
      <c r="K315" s="146"/>
      <c r="L315" s="30"/>
      <c r="M315" s="7"/>
      <c r="N315" s="7"/>
      <c r="O315" s="7"/>
      <c r="P315" s="7"/>
      <c r="Q315" s="7"/>
      <c r="R315" s="7"/>
      <c r="S315" s="7"/>
      <c r="T315" s="7"/>
      <c r="U315" s="7"/>
      <c r="V315" s="7"/>
      <c r="W315" s="7"/>
      <c r="Y315" s="8"/>
      <c r="Z315" s="8"/>
      <c r="AA315" s="8"/>
    </row>
    <row r="316" spans="2:27" s="6" customFormat="1" ht="15" customHeight="1" outlineLevel="1" x14ac:dyDescent="0.15">
      <c r="B316" s="139"/>
      <c r="C316" s="164">
        <v>46017</v>
      </c>
      <c r="D316" s="165">
        <v>6929.94</v>
      </c>
      <c r="E316" s="165">
        <v>1.47850414243698</v>
      </c>
      <c r="F316" s="165">
        <v>4173</v>
      </c>
      <c r="G316" s="165">
        <v>60.557768924302799</v>
      </c>
      <c r="H316" s="165">
        <v>62.549800796812697</v>
      </c>
      <c r="I316" s="146"/>
      <c r="J316" s="146"/>
      <c r="K316" s="146"/>
      <c r="L316" s="30"/>
      <c r="M316" s="7"/>
      <c r="N316" s="7"/>
      <c r="O316" s="7"/>
      <c r="P316" s="7"/>
      <c r="Q316" s="7"/>
      <c r="R316" s="7"/>
      <c r="S316" s="7"/>
      <c r="T316" s="7"/>
      <c r="U316" s="7"/>
      <c r="V316" s="7"/>
      <c r="W316" s="7"/>
      <c r="Y316" s="8"/>
      <c r="Z316" s="8"/>
      <c r="AA316" s="8"/>
    </row>
    <row r="317" spans="2:27" s="6" customFormat="1" ht="15" customHeight="1" outlineLevel="1" x14ac:dyDescent="0.15">
      <c r="B317" s="139"/>
      <c r="C317" s="164">
        <v>46020</v>
      </c>
      <c r="D317" s="165">
        <v>6905.74</v>
      </c>
      <c r="E317" s="165">
        <v>2.0002734477615398</v>
      </c>
      <c r="F317" s="165">
        <v>4089</v>
      </c>
      <c r="G317" s="165">
        <v>61.155378486055803</v>
      </c>
      <c r="H317" s="165">
        <v>63.346613545816702</v>
      </c>
      <c r="I317" s="146"/>
      <c r="J317" s="146"/>
      <c r="K317" s="146"/>
      <c r="L317" s="30"/>
      <c r="M317" s="7"/>
      <c r="N317" s="7"/>
      <c r="O317" s="7"/>
      <c r="P317" s="7"/>
      <c r="Q317" s="7"/>
      <c r="R317" s="7"/>
      <c r="S317" s="7"/>
      <c r="T317" s="7"/>
      <c r="U317" s="7"/>
      <c r="V317" s="7"/>
      <c r="W317" s="7"/>
      <c r="Y317" s="8"/>
      <c r="Z317" s="8"/>
      <c r="AA317" s="8"/>
    </row>
    <row r="318" spans="2:27" s="6" customFormat="1" ht="15" customHeight="1" outlineLevel="1" x14ac:dyDescent="0.15">
      <c r="B318" s="139"/>
      <c r="C318" s="164">
        <v>46021</v>
      </c>
      <c r="D318" s="165">
        <v>6896.24</v>
      </c>
      <c r="E318" s="165">
        <v>1.73850699066067</v>
      </c>
      <c r="F318" s="165">
        <v>3974</v>
      </c>
      <c r="G318" s="165">
        <v>61.354581673306797</v>
      </c>
      <c r="H318" s="165">
        <v>62.350597609561802</v>
      </c>
      <c r="I318" s="146"/>
      <c r="J318" s="146"/>
      <c r="K318" s="146"/>
      <c r="L318" s="30"/>
      <c r="M318" s="7"/>
      <c r="N318" s="7"/>
      <c r="O318" s="7"/>
      <c r="P318" s="7"/>
      <c r="Q318" s="7"/>
      <c r="R318" s="7"/>
      <c r="S318" s="7"/>
      <c r="T318" s="7"/>
      <c r="U318" s="7"/>
      <c r="V318" s="7"/>
      <c r="W318" s="7"/>
      <c r="Y318" s="8"/>
      <c r="Z318" s="8"/>
      <c r="AA318" s="8"/>
    </row>
    <row r="319" spans="2:27" s="6" customFormat="1" ht="15" customHeight="1" outlineLevel="1" x14ac:dyDescent="0.15">
      <c r="B319" s="139"/>
      <c r="C319" s="164">
        <v>46022</v>
      </c>
      <c r="D319" s="165">
        <v>6845.5</v>
      </c>
      <c r="E319" s="165">
        <v>1.73604022932625</v>
      </c>
      <c r="F319" s="165">
        <v>3507</v>
      </c>
      <c r="G319" s="165">
        <v>58.565737051792802</v>
      </c>
      <c r="H319" s="165">
        <v>55.776892430278899</v>
      </c>
      <c r="I319" s="146"/>
      <c r="J319" s="146"/>
      <c r="K319" s="146"/>
      <c r="L319" s="30"/>
      <c r="M319" s="7"/>
      <c r="N319" s="7"/>
      <c r="O319" s="7"/>
      <c r="P319" s="7"/>
      <c r="Q319" s="7"/>
      <c r="R319" s="7"/>
      <c r="S319" s="7"/>
      <c r="T319" s="7"/>
      <c r="U319" s="7"/>
      <c r="V319" s="7"/>
      <c r="W319" s="7"/>
      <c r="Y319" s="8"/>
      <c r="Z319" s="8"/>
      <c r="AA319" s="8"/>
    </row>
    <row r="320" spans="2:27" s="6" customFormat="1" ht="15" customHeight="1" outlineLevel="1" x14ac:dyDescent="0.15">
      <c r="B320" s="139"/>
      <c r="C320" s="164">
        <v>46024</v>
      </c>
      <c r="D320" s="165">
        <v>6858.47</v>
      </c>
      <c r="E320" s="165">
        <v>2.6591682507343299</v>
      </c>
      <c r="F320" s="165">
        <v>3659</v>
      </c>
      <c r="G320" s="165">
        <v>58.3665338645418</v>
      </c>
      <c r="H320" s="165">
        <v>58.449304174950299</v>
      </c>
      <c r="I320" s="146"/>
      <c r="J320" s="146"/>
      <c r="K320" s="146"/>
      <c r="L320" s="30"/>
      <c r="M320" s="7"/>
      <c r="N320" s="7"/>
      <c r="O320" s="7"/>
      <c r="P320" s="7"/>
      <c r="Q320" s="7"/>
      <c r="R320" s="7"/>
      <c r="S320" s="7"/>
      <c r="T320" s="7"/>
      <c r="U320" s="7"/>
      <c r="V320" s="7"/>
      <c r="W320" s="7"/>
      <c r="Y320" s="8"/>
      <c r="Z320" s="8"/>
      <c r="AA320" s="8"/>
    </row>
    <row r="321" spans="2:27" s="6" customFormat="1" ht="15" customHeight="1" outlineLevel="1" x14ac:dyDescent="0.15">
      <c r="B321" s="139"/>
      <c r="C321" s="164">
        <v>46027</v>
      </c>
      <c r="D321" s="165">
        <v>6902.05</v>
      </c>
      <c r="E321" s="165">
        <v>3.5073007904377</v>
      </c>
      <c r="F321" s="165">
        <v>3840</v>
      </c>
      <c r="G321" s="165">
        <v>60.159362549800797</v>
      </c>
      <c r="H321" s="165">
        <v>62.823061630218703</v>
      </c>
      <c r="I321" s="146"/>
      <c r="J321" s="146"/>
      <c r="K321" s="146"/>
      <c r="L321" s="30"/>
      <c r="M321" s="7"/>
      <c r="N321" s="7"/>
      <c r="O321" s="7"/>
      <c r="P321" s="7"/>
      <c r="Q321" s="7"/>
      <c r="R321" s="7"/>
      <c r="S321" s="7"/>
      <c r="T321" s="7"/>
      <c r="U321" s="7"/>
      <c r="V321" s="7"/>
      <c r="W321" s="7"/>
      <c r="Y321" s="8"/>
      <c r="Z321" s="8"/>
      <c r="AA321" s="8"/>
    </row>
    <row r="322" spans="2:27" s="6" customFormat="1" ht="15" customHeight="1" outlineLevel="1" x14ac:dyDescent="0.15">
      <c r="B322" s="139"/>
      <c r="C322" s="164">
        <v>46028</v>
      </c>
      <c r="D322" s="165">
        <v>6944.82</v>
      </c>
      <c r="E322" s="165">
        <v>3.3266301024093599</v>
      </c>
      <c r="F322" s="165">
        <v>4097</v>
      </c>
      <c r="G322" s="165">
        <v>62.749003984063698</v>
      </c>
      <c r="H322" s="165">
        <v>66.799204771371805</v>
      </c>
      <c r="I322" s="146"/>
      <c r="J322" s="146"/>
      <c r="K322" s="146"/>
      <c r="L322" s="30"/>
      <c r="M322" s="7"/>
      <c r="N322" s="7"/>
      <c r="O322" s="7"/>
      <c r="P322" s="7"/>
      <c r="Q322" s="7"/>
      <c r="R322" s="7"/>
      <c r="S322" s="7"/>
      <c r="T322" s="7"/>
      <c r="U322" s="7"/>
      <c r="V322" s="7"/>
      <c r="W322" s="7"/>
      <c r="Y322" s="8"/>
      <c r="Z322" s="8"/>
      <c r="AA322" s="8"/>
    </row>
    <row r="323" spans="2:27" s="6" customFormat="1" ht="15" customHeight="1" outlineLevel="1" x14ac:dyDescent="0.15">
      <c r="B323" s="139"/>
      <c r="C323" s="164">
        <v>46029</v>
      </c>
      <c r="D323" s="165">
        <v>6920.93</v>
      </c>
      <c r="E323" s="165">
        <v>3.23388731050491</v>
      </c>
      <c r="F323" s="165">
        <v>3822</v>
      </c>
      <c r="G323" s="165">
        <v>58.565737051792802</v>
      </c>
      <c r="H323" s="165">
        <v>60.437375745526801</v>
      </c>
      <c r="I323" s="146"/>
      <c r="J323" s="146"/>
      <c r="K323" s="146"/>
      <c r="L323" s="30"/>
      <c r="M323" s="7"/>
      <c r="N323" s="7"/>
      <c r="O323" s="7"/>
      <c r="P323" s="7"/>
      <c r="Q323" s="7"/>
      <c r="R323" s="7"/>
      <c r="S323" s="7"/>
      <c r="T323" s="7"/>
      <c r="U323" s="7"/>
      <c r="V323" s="7"/>
      <c r="W323" s="7"/>
      <c r="Y323" s="8"/>
      <c r="Z323" s="8"/>
      <c r="AA323" s="8"/>
    </row>
    <row r="324" spans="2:27" s="6" customFormat="1" ht="15" customHeight="1" outlineLevel="1" x14ac:dyDescent="0.15">
      <c r="B324" s="139"/>
      <c r="C324" s="164">
        <v>46030</v>
      </c>
      <c r="D324" s="165">
        <v>6921.46</v>
      </c>
      <c r="E324" s="165">
        <v>3.18953186926842</v>
      </c>
      <c r="F324" s="165">
        <v>4031</v>
      </c>
      <c r="G324" s="165">
        <v>62.948207171314699</v>
      </c>
      <c r="H324" s="165">
        <v>68.986083499006</v>
      </c>
      <c r="I324" s="146"/>
      <c r="J324" s="146"/>
      <c r="K324" s="146"/>
      <c r="L324" s="30"/>
      <c r="M324" s="7"/>
      <c r="N324" s="7"/>
      <c r="O324" s="7"/>
      <c r="P324" s="7"/>
      <c r="Q324" s="7"/>
      <c r="R324" s="7"/>
      <c r="S324" s="7"/>
      <c r="T324" s="7"/>
      <c r="U324" s="7"/>
      <c r="V324" s="7"/>
      <c r="W324" s="7"/>
      <c r="Y324" s="8"/>
      <c r="Z324" s="8"/>
      <c r="AA324" s="8"/>
    </row>
    <row r="325" spans="2:27" s="6" customFormat="1" ht="15" customHeight="1" outlineLevel="1" x14ac:dyDescent="0.15">
      <c r="B325" s="139"/>
      <c r="C325" s="164">
        <v>46031</v>
      </c>
      <c r="D325" s="165">
        <v>6966.28</v>
      </c>
      <c r="E325" s="165">
        <v>2.97026521955872</v>
      </c>
      <c r="F325" s="165">
        <v>4092</v>
      </c>
      <c r="G325" s="165">
        <v>64.3426294820717</v>
      </c>
      <c r="H325" s="165">
        <v>69.383697813121302</v>
      </c>
      <c r="I325" s="146"/>
      <c r="J325" s="146"/>
      <c r="K325" s="146"/>
      <c r="L325" s="30"/>
      <c r="M325" s="7"/>
      <c r="N325" s="7"/>
      <c r="O325" s="7"/>
      <c r="P325" s="7"/>
      <c r="Q325" s="7"/>
      <c r="R325" s="7"/>
      <c r="S325" s="7"/>
      <c r="T325" s="7"/>
      <c r="U325" s="7"/>
      <c r="V325" s="7"/>
      <c r="W325" s="7"/>
      <c r="Y325" s="8"/>
      <c r="Z325" s="8"/>
      <c r="AA325" s="8"/>
    </row>
    <row r="326" spans="2:27" s="6" customFormat="1" ht="15" customHeight="1" outlineLevel="1" x14ac:dyDescent="0.15">
      <c r="B326" s="139"/>
      <c r="C326" s="164">
        <v>46034</v>
      </c>
      <c r="D326" s="165">
        <v>6977.27</v>
      </c>
      <c r="E326" s="165">
        <v>3.0294347808876001</v>
      </c>
      <c r="F326" s="165">
        <v>4086</v>
      </c>
      <c r="G326" s="165">
        <v>64.940239043824704</v>
      </c>
      <c r="H326" s="165">
        <v>67.395626242544694</v>
      </c>
      <c r="I326" s="146"/>
      <c r="J326" s="146"/>
      <c r="K326" s="146"/>
      <c r="L326" s="30"/>
      <c r="M326" s="7"/>
      <c r="N326" s="7"/>
      <c r="O326" s="7"/>
      <c r="P326" s="7"/>
      <c r="Q326" s="7"/>
      <c r="R326" s="7"/>
      <c r="S326" s="7"/>
      <c r="T326" s="7"/>
      <c r="U326" s="7"/>
      <c r="V326" s="7"/>
      <c r="W326" s="7"/>
      <c r="Y326" s="8"/>
      <c r="Z326" s="8"/>
      <c r="AA326" s="8"/>
    </row>
    <row r="327" spans="2:27" s="6" customFormat="1" ht="15" customHeight="1" outlineLevel="1" x14ac:dyDescent="0.15">
      <c r="B327" s="139"/>
      <c r="C327" s="164">
        <v>46035</v>
      </c>
      <c r="D327" s="165">
        <v>6963.74</v>
      </c>
      <c r="E327" s="165">
        <v>3.2167935975475301</v>
      </c>
      <c r="F327" s="165">
        <v>4109</v>
      </c>
      <c r="G327" s="165">
        <v>63.745019920318697</v>
      </c>
      <c r="H327" s="165">
        <v>66.799204771371805</v>
      </c>
      <c r="I327" s="146"/>
      <c r="J327" s="146"/>
      <c r="K327" s="146"/>
      <c r="L327" s="30"/>
      <c r="M327" s="7"/>
      <c r="N327" s="7"/>
      <c r="O327" s="7"/>
      <c r="P327" s="7"/>
      <c r="Q327" s="7"/>
      <c r="R327" s="7"/>
      <c r="S327" s="7"/>
      <c r="T327" s="7"/>
      <c r="U327" s="7"/>
      <c r="V327" s="7"/>
      <c r="W327" s="7"/>
      <c r="Y327" s="8"/>
      <c r="Z327" s="8"/>
      <c r="AA327" s="8"/>
    </row>
    <row r="328" spans="2:27" s="6" customFormat="1" ht="15" customHeight="1" outlineLevel="1" x14ac:dyDescent="0.15">
      <c r="B328" s="139"/>
      <c r="C328" s="164">
        <v>46036</v>
      </c>
      <c r="D328" s="165">
        <v>6926.6</v>
      </c>
      <c r="E328" s="165">
        <v>3.3651601835746798</v>
      </c>
      <c r="F328" s="165">
        <v>4243</v>
      </c>
      <c r="G328" s="165">
        <v>66.533864541832699</v>
      </c>
      <c r="H328" s="165">
        <v>70.178926441351905</v>
      </c>
      <c r="I328" s="146"/>
      <c r="J328" s="146"/>
      <c r="K328" s="146"/>
      <c r="L328" s="30"/>
      <c r="M328" s="7"/>
      <c r="N328" s="7"/>
      <c r="O328" s="7"/>
      <c r="P328" s="7"/>
      <c r="Q328" s="7"/>
      <c r="R328" s="7"/>
      <c r="S328" s="7"/>
      <c r="T328" s="7"/>
      <c r="U328" s="7"/>
      <c r="V328" s="7"/>
      <c r="W328" s="7"/>
      <c r="Y328" s="8"/>
      <c r="Z328" s="8"/>
      <c r="AA328" s="8"/>
    </row>
    <row r="329" spans="2:27" s="6" customFormat="1" ht="15" customHeight="1" outlineLevel="1" x14ac:dyDescent="0.15">
      <c r="B329" s="139"/>
      <c r="C329" s="164">
        <v>46037</v>
      </c>
      <c r="D329" s="165">
        <v>6944.47</v>
      </c>
      <c r="E329" s="165">
        <v>3.16301815807343</v>
      </c>
      <c r="F329" s="165">
        <v>4361</v>
      </c>
      <c r="G329" s="165">
        <v>67.529880478087605</v>
      </c>
      <c r="H329" s="165">
        <v>71.371769383697796</v>
      </c>
      <c r="I329" s="146"/>
      <c r="J329" s="146"/>
      <c r="K329" s="146"/>
      <c r="L329" s="30"/>
      <c r="M329" s="7"/>
      <c r="N329" s="7"/>
      <c r="O329" s="7"/>
      <c r="P329" s="7"/>
      <c r="Q329" s="7"/>
      <c r="R329" s="7"/>
      <c r="S329" s="7"/>
      <c r="T329" s="7"/>
      <c r="U329" s="7"/>
      <c r="V329" s="7"/>
      <c r="W329" s="7"/>
      <c r="Y329" s="8"/>
      <c r="Z329" s="8"/>
      <c r="AA329" s="8"/>
    </row>
    <row r="330" spans="2:27" s="6" customFormat="1" ht="15" customHeight="1" outlineLevel="1" x14ac:dyDescent="0.15">
      <c r="B330" s="139"/>
      <c r="C330" s="164">
        <v>46038</v>
      </c>
      <c r="D330" s="165">
        <v>6940.01</v>
      </c>
      <c r="E330" s="165">
        <v>4.0505948015213002</v>
      </c>
      <c r="F330" s="165">
        <v>4312</v>
      </c>
      <c r="G330" s="165">
        <v>66.533864541832699</v>
      </c>
      <c r="H330" s="165">
        <v>70.974155069582494</v>
      </c>
      <c r="I330" s="146"/>
      <c r="J330" s="146"/>
      <c r="K330" s="146"/>
      <c r="L330" s="30"/>
      <c r="M330" s="7"/>
      <c r="N330" s="7"/>
      <c r="O330" s="7"/>
      <c r="P330" s="7"/>
      <c r="Q330" s="7"/>
      <c r="R330" s="7"/>
      <c r="S330" s="7"/>
      <c r="T330" s="7"/>
      <c r="U330" s="7"/>
      <c r="V330" s="7"/>
      <c r="W330" s="7"/>
      <c r="Y330" s="8"/>
      <c r="Z330" s="8"/>
      <c r="AA330" s="8"/>
    </row>
    <row r="331" spans="2:27" s="6" customFormat="1" ht="15" customHeight="1" outlineLevel="1" x14ac:dyDescent="0.15">
      <c r="B331" s="139"/>
      <c r="C331" s="164">
        <v>46042</v>
      </c>
      <c r="D331" s="165">
        <v>6796.86</v>
      </c>
      <c r="E331" s="165">
        <v>3.95297050091171</v>
      </c>
      <c r="F331" s="165">
        <v>4011</v>
      </c>
      <c r="G331" s="165">
        <v>63.147410358565701</v>
      </c>
      <c r="H331" s="165">
        <v>60.039761431411499</v>
      </c>
      <c r="I331" s="146"/>
      <c r="J331" s="146"/>
      <c r="K331" s="146"/>
      <c r="L331" s="30"/>
      <c r="M331" s="7"/>
      <c r="N331" s="7"/>
      <c r="O331" s="7"/>
      <c r="P331" s="7"/>
      <c r="Q331" s="7"/>
      <c r="R331" s="7"/>
      <c r="S331" s="7"/>
      <c r="T331" s="7"/>
      <c r="U331" s="7"/>
      <c r="V331" s="7"/>
      <c r="W331" s="7"/>
      <c r="Y331" s="8"/>
      <c r="Z331" s="8"/>
      <c r="AA331" s="8"/>
    </row>
    <row r="332" spans="2:27" s="6" customFormat="1" ht="15" customHeight="1" outlineLevel="1" x14ac:dyDescent="0.15">
      <c r="B332" s="139"/>
      <c r="C332" s="164">
        <v>46043</v>
      </c>
      <c r="D332" s="165">
        <v>6875.62</v>
      </c>
      <c r="E332" s="165">
        <v>3.84766282458496</v>
      </c>
      <c r="F332" s="165">
        <v>4336</v>
      </c>
      <c r="G332" s="165">
        <v>66.334661354581698</v>
      </c>
      <c r="H332" s="165">
        <v>68.190854870775397</v>
      </c>
      <c r="I332" s="146"/>
      <c r="J332" s="146"/>
      <c r="K332" s="146"/>
      <c r="L332" s="30"/>
      <c r="M332" s="7"/>
      <c r="N332" s="7"/>
      <c r="O332" s="7"/>
      <c r="P332" s="7"/>
      <c r="Q332" s="7"/>
      <c r="R332" s="7"/>
      <c r="S332" s="7"/>
      <c r="T332" s="7"/>
      <c r="U332" s="7"/>
      <c r="V332" s="7"/>
      <c r="W332" s="7"/>
      <c r="Y332" s="8"/>
      <c r="Z332" s="8"/>
      <c r="AA332" s="8"/>
    </row>
    <row r="333" spans="2:27" s="6" customFormat="1" ht="15" customHeight="1" outlineLevel="1" x14ac:dyDescent="0.15">
      <c r="B333" s="139"/>
      <c r="C333" s="164">
        <v>46044</v>
      </c>
      <c r="D333" s="165">
        <v>6913.35</v>
      </c>
      <c r="E333" s="165">
        <v>3.3758866410141</v>
      </c>
      <c r="F333" s="165">
        <v>4406</v>
      </c>
      <c r="G333" s="165">
        <v>65.936254980079696</v>
      </c>
      <c r="H333" s="165">
        <v>67.196819085487107</v>
      </c>
      <c r="I333" s="146"/>
      <c r="J333" s="146"/>
      <c r="K333" s="146"/>
      <c r="L333" s="30"/>
      <c r="M333" s="7"/>
      <c r="N333" s="7"/>
      <c r="O333" s="7"/>
      <c r="P333" s="7"/>
      <c r="Q333" s="7"/>
      <c r="R333" s="7"/>
      <c r="S333" s="7"/>
      <c r="T333" s="7"/>
      <c r="U333" s="7"/>
      <c r="V333" s="7"/>
      <c r="W333" s="7"/>
      <c r="Y333" s="8"/>
      <c r="Z333" s="8"/>
      <c r="AA333" s="8"/>
    </row>
    <row r="334" spans="2:27" s="6" customFormat="1" ht="15" customHeight="1" outlineLevel="1" x14ac:dyDescent="0.15">
      <c r="B334" s="139"/>
      <c r="C334" s="164">
        <v>46045</v>
      </c>
      <c r="D334" s="165">
        <v>6915.61</v>
      </c>
      <c r="E334" s="165">
        <v>3.2623538494529698</v>
      </c>
      <c r="F334" s="165">
        <v>4272</v>
      </c>
      <c r="G334" s="165">
        <v>65.338645418326706</v>
      </c>
      <c r="H334" s="165">
        <v>65.805168986083501</v>
      </c>
      <c r="I334" s="146"/>
      <c r="J334" s="146"/>
      <c r="K334" s="146"/>
      <c r="L334" s="30"/>
      <c r="M334" s="7"/>
      <c r="N334" s="7"/>
      <c r="O334" s="7"/>
      <c r="P334" s="7"/>
      <c r="Q334" s="7"/>
      <c r="R334" s="7"/>
      <c r="S334" s="7"/>
      <c r="T334" s="7"/>
      <c r="U334" s="7"/>
      <c r="V334" s="7"/>
      <c r="W334" s="7"/>
      <c r="Y334" s="8"/>
      <c r="Z334" s="8"/>
      <c r="AA334" s="8"/>
    </row>
    <row r="335" spans="2:27" s="6" customFormat="1" ht="15" customHeight="1" outlineLevel="1" x14ac:dyDescent="0.15">
      <c r="B335" s="139"/>
      <c r="C335" s="164">
        <v>46048</v>
      </c>
      <c r="D335" s="165">
        <v>6950.23</v>
      </c>
      <c r="E335" s="165">
        <v>3.01624616251183</v>
      </c>
      <c r="F335" s="165">
        <v>4404</v>
      </c>
      <c r="G335" s="165">
        <v>65.936254980079696</v>
      </c>
      <c r="H335" s="165">
        <v>68.389662027832998</v>
      </c>
      <c r="I335" s="146"/>
      <c r="J335" s="146"/>
      <c r="K335" s="146"/>
      <c r="L335" s="30"/>
      <c r="M335" s="7"/>
      <c r="N335" s="7"/>
      <c r="O335" s="7"/>
      <c r="P335" s="7"/>
      <c r="Q335" s="7"/>
      <c r="R335" s="7"/>
      <c r="S335" s="7"/>
      <c r="T335" s="7"/>
      <c r="U335" s="7"/>
      <c r="V335" s="7"/>
      <c r="W335" s="7"/>
      <c r="Y335" s="8"/>
      <c r="Z335" s="8"/>
      <c r="AA335" s="8"/>
    </row>
    <row r="336" spans="2:27" s="6" customFormat="1" ht="15" customHeight="1" outlineLevel="1" x14ac:dyDescent="0.15">
      <c r="B336" s="139"/>
      <c r="C336" s="164">
        <v>46049</v>
      </c>
      <c r="D336" s="165">
        <v>6978.6</v>
      </c>
      <c r="E336" s="165">
        <v>3.2687398155326801</v>
      </c>
      <c r="F336" s="165">
        <v>4369</v>
      </c>
      <c r="G336" s="165">
        <v>65.338645418326706</v>
      </c>
      <c r="H336" s="165">
        <v>65.606361829025801</v>
      </c>
      <c r="I336" s="146"/>
      <c r="J336" s="146"/>
      <c r="K336" s="146"/>
      <c r="L336" s="30"/>
      <c r="M336" s="7"/>
      <c r="N336" s="7"/>
      <c r="O336" s="7"/>
      <c r="P336" s="7"/>
      <c r="Q336" s="7"/>
      <c r="R336" s="7"/>
      <c r="S336" s="7"/>
      <c r="T336" s="7"/>
      <c r="U336" s="7"/>
      <c r="V336" s="7"/>
      <c r="W336" s="7"/>
      <c r="Y336" s="8"/>
      <c r="Z336" s="8"/>
      <c r="AA336" s="8"/>
    </row>
    <row r="337" spans="2:27" s="6" customFormat="1" ht="15" customHeight="1" outlineLevel="1" x14ac:dyDescent="0.15">
      <c r="B337" s="139"/>
      <c r="C337" s="164">
        <v>46050</v>
      </c>
      <c r="D337" s="165">
        <v>6978.03</v>
      </c>
      <c r="E337" s="165">
        <v>3.39451799150658</v>
      </c>
      <c r="F337" s="165">
        <v>4246</v>
      </c>
      <c r="G337" s="165">
        <v>64.3426294820717</v>
      </c>
      <c r="H337" s="165">
        <v>61.431411530815097</v>
      </c>
      <c r="I337" s="146"/>
      <c r="J337" s="146"/>
      <c r="K337" s="146"/>
      <c r="L337" s="30"/>
      <c r="M337" s="7"/>
      <c r="N337" s="7"/>
      <c r="O337" s="7"/>
      <c r="P337" s="7"/>
      <c r="Q337" s="7"/>
      <c r="R337" s="7"/>
      <c r="S337" s="7"/>
      <c r="T337" s="7"/>
      <c r="U337" s="7"/>
      <c r="V337" s="7"/>
      <c r="W337" s="7"/>
      <c r="Y337" s="8"/>
      <c r="Z337" s="8"/>
      <c r="AA337" s="8"/>
    </row>
    <row r="338" spans="2:27" s="6" customFormat="1" ht="15" customHeight="1" outlineLevel="1" x14ac:dyDescent="0.15">
      <c r="B338" s="139"/>
      <c r="C338" s="164">
        <v>46051</v>
      </c>
      <c r="D338" s="165">
        <v>6969.01</v>
      </c>
      <c r="E338" s="165">
        <v>4.1617551549224796</v>
      </c>
      <c r="F338" s="165">
        <v>4321</v>
      </c>
      <c r="G338" s="165">
        <v>63.944223107569698</v>
      </c>
      <c r="H338" s="165">
        <v>61.829025844930399</v>
      </c>
      <c r="I338" s="146"/>
      <c r="J338" s="146"/>
      <c r="K338" s="146"/>
      <c r="L338" s="30"/>
      <c r="M338" s="7"/>
      <c r="N338" s="7"/>
      <c r="O338" s="7"/>
      <c r="P338" s="7"/>
      <c r="Q338" s="7"/>
      <c r="R338" s="7"/>
      <c r="S338" s="7"/>
      <c r="T338" s="7"/>
      <c r="U338" s="7"/>
      <c r="V338" s="7"/>
      <c r="W338" s="7"/>
      <c r="Y338" s="8"/>
      <c r="Z338" s="8"/>
      <c r="AA338" s="8"/>
    </row>
    <row r="339" spans="2:27" s="6" customFormat="1" ht="15" customHeight="1" outlineLevel="1" x14ac:dyDescent="0.15">
      <c r="B339" s="139"/>
      <c r="C339" s="164">
        <v>46052</v>
      </c>
      <c r="D339" s="165">
        <v>6939.03</v>
      </c>
      <c r="E339" s="165">
        <v>4.2962745629386898</v>
      </c>
      <c r="F339" s="165">
        <v>4311</v>
      </c>
      <c r="G339" s="165">
        <v>63.944223107569698</v>
      </c>
      <c r="H339" s="165">
        <v>64.413518886679896</v>
      </c>
      <c r="I339" s="146"/>
      <c r="J339" s="146"/>
      <c r="K339" s="146"/>
      <c r="L339" s="30"/>
      <c r="M339" s="7"/>
      <c r="N339" s="7"/>
      <c r="O339" s="7"/>
      <c r="P339" s="7"/>
      <c r="Q339" s="7"/>
      <c r="R339" s="7"/>
      <c r="S339" s="7"/>
      <c r="T339" s="7"/>
      <c r="U339" s="7"/>
      <c r="V339" s="7"/>
      <c r="W339" s="7"/>
      <c r="Y339" s="8"/>
      <c r="Z339" s="8"/>
      <c r="AA339" s="8"/>
    </row>
    <row r="340" spans="2:27" s="6" customFormat="1" ht="15" customHeight="1" outlineLevel="1" x14ac:dyDescent="0.15">
      <c r="B340" s="139"/>
      <c r="C340" s="164">
        <v>46055</v>
      </c>
      <c r="D340" s="165">
        <v>6976.44</v>
      </c>
      <c r="E340" s="165">
        <v>3.6368136138915999</v>
      </c>
      <c r="F340" s="165">
        <v>4390</v>
      </c>
      <c r="G340" s="165">
        <v>63.545816733067703</v>
      </c>
      <c r="H340" s="165">
        <v>63.419483101391599</v>
      </c>
      <c r="I340" s="146"/>
      <c r="J340" s="146"/>
      <c r="K340" s="146"/>
      <c r="L340" s="30"/>
      <c r="M340" s="7"/>
      <c r="N340" s="7"/>
      <c r="O340" s="7"/>
      <c r="P340" s="7"/>
      <c r="Q340" s="7"/>
      <c r="R340" s="7"/>
      <c r="S340" s="7"/>
      <c r="T340" s="7"/>
      <c r="U340" s="7"/>
      <c r="V340" s="7"/>
      <c r="W340" s="7"/>
      <c r="Y340" s="8"/>
      <c r="Z340" s="8"/>
      <c r="AA340" s="8"/>
    </row>
    <row r="341" spans="2:27" s="6" customFormat="1" ht="15" customHeight="1" outlineLevel="1" x14ac:dyDescent="0.15">
      <c r="B341" s="139"/>
      <c r="C341" s="164">
        <v>46056</v>
      </c>
      <c r="D341" s="165">
        <v>6917.81</v>
      </c>
      <c r="E341" s="165">
        <v>4.5814166786289201</v>
      </c>
      <c r="F341" s="165">
        <v>4432</v>
      </c>
      <c r="G341" s="165">
        <v>63.545816733067703</v>
      </c>
      <c r="H341" s="165">
        <v>61.232604373757503</v>
      </c>
      <c r="I341" s="146"/>
      <c r="J341" s="146"/>
      <c r="K341" s="146"/>
      <c r="L341" s="30"/>
      <c r="M341" s="7"/>
      <c r="N341" s="7"/>
      <c r="O341" s="7"/>
      <c r="P341" s="7"/>
      <c r="Q341" s="7"/>
      <c r="R341" s="7"/>
      <c r="S341" s="7"/>
      <c r="T341" s="7"/>
      <c r="U341" s="7"/>
      <c r="V341" s="7"/>
      <c r="W341" s="7"/>
      <c r="Y341" s="8"/>
      <c r="Z341" s="8"/>
      <c r="AA341" s="8"/>
    </row>
    <row r="342" spans="2:27" s="6" customFormat="1" ht="15" customHeight="1" outlineLevel="1" x14ac:dyDescent="0.15">
      <c r="B342" s="139"/>
      <c r="C342" s="164">
        <v>46057</v>
      </c>
      <c r="D342" s="165">
        <v>6882.72</v>
      </c>
      <c r="E342" s="165">
        <v>5.1817941500778204</v>
      </c>
      <c r="F342" s="165">
        <v>4656</v>
      </c>
      <c r="G342" s="165">
        <v>66.467065868263504</v>
      </c>
      <c r="H342" s="165">
        <v>65.537848605577693</v>
      </c>
      <c r="I342" s="146"/>
      <c r="J342" s="146"/>
      <c r="K342" s="146"/>
      <c r="L342" s="30"/>
      <c r="M342" s="7"/>
      <c r="N342" s="7"/>
      <c r="O342" s="7"/>
      <c r="P342" s="7"/>
      <c r="Q342" s="7"/>
      <c r="R342" s="7"/>
      <c r="S342" s="7"/>
      <c r="T342" s="7"/>
      <c r="U342" s="7"/>
      <c r="V342" s="7"/>
      <c r="W342" s="7"/>
      <c r="Y342" s="8"/>
      <c r="Z342" s="8"/>
      <c r="AA342" s="8"/>
    </row>
    <row r="343" spans="2:27" s="6" customFormat="1" ht="15" customHeight="1" outlineLevel="1" x14ac:dyDescent="0.15">
      <c r="B343" s="139"/>
      <c r="C343" s="164">
        <v>46058</v>
      </c>
      <c r="D343" s="165">
        <v>6798.4</v>
      </c>
      <c r="E343" s="165">
        <v>4.38832036423302</v>
      </c>
      <c r="F343" s="165">
        <v>4517</v>
      </c>
      <c r="G343" s="165">
        <v>64.870259481037905</v>
      </c>
      <c r="H343" s="165">
        <v>63.147410358565701</v>
      </c>
      <c r="I343" s="146"/>
      <c r="J343" s="146"/>
      <c r="K343" s="146"/>
      <c r="L343" s="30"/>
      <c r="M343" s="7"/>
      <c r="N343" s="7"/>
      <c r="O343" s="7"/>
      <c r="P343" s="7"/>
      <c r="Q343" s="7"/>
      <c r="R343" s="7"/>
      <c r="S343" s="7"/>
      <c r="T343" s="7"/>
      <c r="U343" s="7"/>
      <c r="V343" s="7"/>
      <c r="W343" s="7"/>
      <c r="Y343" s="8"/>
      <c r="Z343" s="8"/>
      <c r="AA343" s="8"/>
    </row>
    <row r="344" spans="2:27" s="6" customFormat="1" ht="15" customHeight="1" outlineLevel="1" x14ac:dyDescent="0.15">
      <c r="B344" s="139"/>
      <c r="C344" s="164">
        <v>46059</v>
      </c>
      <c r="D344" s="165">
        <v>6932.3</v>
      </c>
      <c r="E344" s="165">
        <v>3.8768088665199301</v>
      </c>
      <c r="F344" s="165">
        <v>4815</v>
      </c>
      <c r="G344" s="165">
        <v>67.265469061876203</v>
      </c>
      <c r="H344" s="165">
        <v>68.326693227091596</v>
      </c>
      <c r="I344" s="146"/>
      <c r="J344" s="146"/>
      <c r="K344" s="146"/>
      <c r="L344" s="30"/>
      <c r="M344" s="7"/>
      <c r="N344" s="7"/>
      <c r="O344" s="7"/>
      <c r="P344" s="7"/>
      <c r="Q344" s="7"/>
      <c r="R344" s="7"/>
      <c r="S344" s="7"/>
      <c r="T344" s="7"/>
      <c r="U344" s="7"/>
      <c r="V344" s="7"/>
      <c r="W344" s="7"/>
      <c r="Y344" s="8"/>
      <c r="Z344" s="8"/>
      <c r="AA344" s="8"/>
    </row>
    <row r="345" spans="2:27" s="6" customFormat="1" ht="15" customHeight="1" outlineLevel="1" x14ac:dyDescent="0.15">
      <c r="B345" s="139"/>
      <c r="C345" s="164">
        <v>46062</v>
      </c>
      <c r="D345" s="165">
        <v>6964.82</v>
      </c>
      <c r="E345" s="165">
        <v>3.4021726025619499</v>
      </c>
      <c r="F345" s="165">
        <v>4841</v>
      </c>
      <c r="G345" s="165">
        <v>66.135458167330697</v>
      </c>
      <c r="H345" s="165">
        <v>67.594433399602394</v>
      </c>
      <c r="I345" s="146"/>
      <c r="J345" s="146"/>
      <c r="K345" s="146"/>
      <c r="L345" s="30"/>
      <c r="M345" s="7"/>
      <c r="N345" s="7"/>
      <c r="O345" s="7"/>
      <c r="P345" s="7"/>
      <c r="Q345" s="7"/>
      <c r="R345" s="7"/>
      <c r="S345" s="7"/>
      <c r="T345" s="7"/>
      <c r="U345" s="7"/>
      <c r="V345" s="7"/>
      <c r="W345" s="7"/>
      <c r="Y345" s="8"/>
      <c r="Z345" s="8"/>
      <c r="AA345" s="8"/>
    </row>
    <row r="346" spans="2:27" s="6" customFormat="1" ht="15" customHeight="1" outlineLevel="1" x14ac:dyDescent="0.15">
      <c r="B346" s="139"/>
      <c r="C346" s="164">
        <v>46063</v>
      </c>
      <c r="D346" s="165">
        <v>6941.81</v>
      </c>
      <c r="E346" s="165">
        <v>3.5334952558441199</v>
      </c>
      <c r="F346" s="165">
        <v>4942</v>
      </c>
      <c r="G346" s="165">
        <v>66.932270916334701</v>
      </c>
      <c r="H346" s="165">
        <v>67.992047713717696</v>
      </c>
      <c r="I346" s="146"/>
      <c r="J346" s="146"/>
      <c r="K346" s="146"/>
      <c r="L346" s="30"/>
      <c r="M346" s="7"/>
      <c r="N346" s="7"/>
      <c r="O346" s="7"/>
      <c r="P346" s="7"/>
      <c r="Q346" s="7"/>
      <c r="R346" s="7"/>
      <c r="S346" s="7"/>
      <c r="T346" s="7"/>
      <c r="U346" s="7"/>
      <c r="V346" s="7"/>
      <c r="W346" s="7"/>
      <c r="Y346" s="8"/>
      <c r="Z346" s="8"/>
      <c r="AA346" s="8"/>
    </row>
    <row r="347" spans="2:27" s="6" customFormat="1" ht="15" customHeight="1" outlineLevel="1" x14ac:dyDescent="0.15">
      <c r="B347" s="139"/>
      <c r="C347" s="164">
        <v>46064</v>
      </c>
      <c r="D347" s="165">
        <v>6941.47</v>
      </c>
      <c r="E347" s="165">
        <v>3.7843370811424299</v>
      </c>
      <c r="F347" s="165">
        <v>5009</v>
      </c>
      <c r="G347" s="165">
        <v>67.131474103585703</v>
      </c>
      <c r="H347" s="165">
        <v>66.202783300198803</v>
      </c>
      <c r="I347" s="146"/>
      <c r="J347" s="146"/>
      <c r="K347" s="146"/>
      <c r="L347" s="30"/>
      <c r="M347" s="7"/>
      <c r="N347" s="7"/>
      <c r="O347" s="7"/>
      <c r="P347" s="7"/>
      <c r="Q347" s="7"/>
      <c r="R347" s="7"/>
      <c r="S347" s="7"/>
      <c r="T347" s="7"/>
      <c r="U347" s="7"/>
      <c r="V347" s="7"/>
      <c r="W347" s="7"/>
      <c r="Y347" s="8"/>
      <c r="Z347" s="8"/>
      <c r="AA347" s="8"/>
    </row>
    <row r="348" spans="2:27" s="6" customFormat="1" ht="15" customHeight="1" outlineLevel="1" x14ac:dyDescent="0.15">
      <c r="B348" s="139"/>
      <c r="C348" s="164">
        <v>46065</v>
      </c>
      <c r="D348" s="165">
        <v>6832.76</v>
      </c>
      <c r="E348" s="165">
        <v>4.5689904745235399</v>
      </c>
      <c r="F348" s="165">
        <v>4826</v>
      </c>
      <c r="G348" s="165">
        <v>65.139442231075705</v>
      </c>
      <c r="H348" s="165">
        <v>60.834990059642102</v>
      </c>
      <c r="I348" s="146"/>
      <c r="J348" s="146"/>
      <c r="K348" s="146"/>
      <c r="L348" s="30"/>
      <c r="M348" s="7"/>
      <c r="N348" s="7"/>
      <c r="O348" s="7"/>
      <c r="P348" s="7"/>
      <c r="Q348" s="7"/>
      <c r="R348" s="7"/>
      <c r="S348" s="7"/>
      <c r="T348" s="7"/>
      <c r="U348" s="7"/>
      <c r="V348" s="7"/>
      <c r="W348" s="7"/>
      <c r="Y348" s="8"/>
      <c r="Z348" s="8"/>
      <c r="AA348" s="8"/>
    </row>
    <row r="349" spans="2:27" s="6" customFormat="1" ht="15" customHeight="1" outlineLevel="1" x14ac:dyDescent="0.15">
      <c r="B349" s="139"/>
      <c r="C349" s="164">
        <v>46066</v>
      </c>
      <c r="D349" s="165">
        <v>6836.17</v>
      </c>
      <c r="E349" s="165">
        <v>3.4459201400528001</v>
      </c>
      <c r="F349" s="165">
        <v>5057</v>
      </c>
      <c r="G349" s="165">
        <v>64.541832669322702</v>
      </c>
      <c r="H349" s="165">
        <v>62.226640159045701</v>
      </c>
      <c r="I349" s="146"/>
      <c r="J349" s="146"/>
      <c r="K349" s="146"/>
      <c r="L349" s="30"/>
      <c r="M349" s="7"/>
      <c r="N349" s="7"/>
      <c r="O349" s="7"/>
      <c r="P349" s="7"/>
      <c r="Q349" s="7"/>
      <c r="R349" s="7"/>
      <c r="S349" s="7"/>
      <c r="T349" s="7"/>
      <c r="U349" s="7"/>
      <c r="V349" s="7"/>
      <c r="W349" s="7"/>
      <c r="Y349" s="8"/>
      <c r="Z349" s="8"/>
      <c r="AA349" s="8"/>
    </row>
    <row r="350" spans="2:27" s="6" customFormat="1" ht="15" customHeight="1" outlineLevel="1" x14ac:dyDescent="0.15">
      <c r="B350" s="139"/>
      <c r="C350" s="164">
        <v>46070</v>
      </c>
      <c r="D350" s="165">
        <v>6843.22</v>
      </c>
      <c r="E350" s="165">
        <v>3.3432103951015502</v>
      </c>
      <c r="F350" s="165">
        <v>5037</v>
      </c>
      <c r="G350" s="165">
        <v>63.346613545816702</v>
      </c>
      <c r="H350" s="165">
        <v>63.618290258449299</v>
      </c>
      <c r="I350" s="146"/>
      <c r="J350" s="146"/>
      <c r="K350" s="146"/>
      <c r="L350" s="30"/>
      <c r="M350" s="7"/>
      <c r="N350" s="7"/>
      <c r="O350" s="7"/>
      <c r="P350" s="7"/>
      <c r="Q350" s="7"/>
      <c r="R350" s="7"/>
      <c r="S350" s="7"/>
      <c r="T350" s="7"/>
      <c r="U350" s="7"/>
      <c r="V350" s="7"/>
      <c r="W350" s="7"/>
      <c r="Y350" s="8"/>
      <c r="Z350" s="8"/>
      <c r="AA350" s="8"/>
    </row>
    <row r="351" spans="2:27" s="6" customFormat="1" ht="15" customHeight="1" outlineLevel="1" x14ac:dyDescent="0.15">
      <c r="B351" s="139"/>
      <c r="C351" s="164">
        <v>46071</v>
      </c>
      <c r="D351" s="165">
        <v>6881.31</v>
      </c>
      <c r="E351" s="165">
        <v>3.0859183241081198</v>
      </c>
      <c r="F351" s="165">
        <v>5169</v>
      </c>
      <c r="G351" s="165">
        <v>65.737051792828694</v>
      </c>
      <c r="H351" s="165">
        <v>65.805168986083501</v>
      </c>
      <c r="I351" s="146"/>
      <c r="J351" s="146"/>
      <c r="K351" s="146"/>
      <c r="L351" s="30"/>
      <c r="M351" s="7"/>
      <c r="N351" s="7"/>
      <c r="O351" s="7"/>
      <c r="P351" s="7"/>
      <c r="Q351" s="7"/>
      <c r="R351" s="7"/>
      <c r="S351" s="7"/>
      <c r="T351" s="7"/>
      <c r="U351" s="7"/>
      <c r="V351" s="7"/>
      <c r="W351" s="7"/>
      <c r="Y351" s="8"/>
      <c r="Z351" s="8"/>
      <c r="AA351" s="8"/>
    </row>
    <row r="352" spans="2:27" s="6" customFormat="1" ht="15" customHeight="1" outlineLevel="1" x14ac:dyDescent="0.15">
      <c r="B352" s="139"/>
      <c r="C352" s="164">
        <v>46072</v>
      </c>
      <c r="D352" s="165">
        <v>6861.89</v>
      </c>
      <c r="E352" s="165">
        <v>2.9341303264579799</v>
      </c>
      <c r="F352" s="165">
        <v>5076</v>
      </c>
      <c r="G352" s="165">
        <v>63.944223107569698</v>
      </c>
      <c r="H352" s="165">
        <v>63.618290258449299</v>
      </c>
      <c r="I352" s="146"/>
      <c r="J352" s="146"/>
      <c r="K352" s="146"/>
      <c r="L352" s="30"/>
      <c r="M352" s="7"/>
      <c r="N352" s="7"/>
      <c r="O352" s="7"/>
      <c r="P352" s="7"/>
      <c r="Q352" s="7"/>
      <c r="R352" s="7"/>
      <c r="S352" s="7"/>
      <c r="T352" s="7"/>
      <c r="U352" s="7"/>
      <c r="V352" s="7"/>
      <c r="W352" s="7"/>
      <c r="Y352" s="8"/>
      <c r="Z352" s="8"/>
      <c r="AA352" s="8"/>
    </row>
    <row r="353" spans="2:33" s="6" customFormat="1" ht="15" customHeight="1" outlineLevel="1" x14ac:dyDescent="0.15">
      <c r="B353" s="139"/>
      <c r="C353" s="164">
        <v>46073</v>
      </c>
      <c r="D353" s="165">
        <v>6909.51</v>
      </c>
      <c r="E353" s="165">
        <v>3.3803856237220802</v>
      </c>
      <c r="F353" s="165">
        <v>5241</v>
      </c>
      <c r="G353" s="165">
        <v>65.537848605577693</v>
      </c>
      <c r="H353" s="165">
        <v>64.214711729622294</v>
      </c>
      <c r="I353" s="146"/>
      <c r="J353" s="146"/>
      <c r="K353" s="146"/>
      <c r="L353" s="30"/>
      <c r="M353" s="7"/>
      <c r="N353" s="7"/>
      <c r="O353" s="7"/>
      <c r="P353" s="7"/>
      <c r="Q353" s="7"/>
      <c r="R353" s="7"/>
      <c r="S353" s="7"/>
      <c r="T353" s="7"/>
      <c r="U353" s="7"/>
      <c r="V353" s="7"/>
      <c r="W353" s="7"/>
      <c r="Y353" s="8"/>
      <c r="Z353" s="8"/>
      <c r="AA353" s="8"/>
    </row>
    <row r="354" spans="2:33" s="6" customFormat="1" ht="15" customHeight="1" outlineLevel="1" x14ac:dyDescent="0.15">
      <c r="B354" s="139"/>
      <c r="C354" s="164">
        <v>46076</v>
      </c>
      <c r="D354" s="165">
        <v>6837.75</v>
      </c>
      <c r="E354" s="165">
        <v>3.2871895930232999</v>
      </c>
      <c r="F354" s="165">
        <v>5084</v>
      </c>
      <c r="G354" s="165">
        <v>63.346613545816702</v>
      </c>
      <c r="H354" s="165">
        <v>60.238568588469199</v>
      </c>
      <c r="I354" s="146"/>
      <c r="J354" s="146"/>
      <c r="K354" s="146"/>
      <c r="L354" s="30"/>
      <c r="M354" s="7"/>
      <c r="N354" s="7"/>
      <c r="O354" s="7"/>
      <c r="P354" s="7"/>
      <c r="Q354" s="7"/>
      <c r="R354" s="7"/>
      <c r="S354" s="7"/>
      <c r="T354" s="7"/>
      <c r="U354" s="7"/>
      <c r="V354" s="7"/>
      <c r="W354" s="7"/>
      <c r="Y354" s="8"/>
      <c r="Z354" s="8"/>
      <c r="AA354" s="8"/>
    </row>
    <row r="355" spans="2:33" s="6" customFormat="1" ht="15" customHeight="1" outlineLevel="1" x14ac:dyDescent="0.15">
      <c r="B355" s="139"/>
      <c r="C355" s="164">
        <v>46077</v>
      </c>
      <c r="D355" s="165">
        <v>6890.07</v>
      </c>
      <c r="E355" s="165">
        <v>3.2185471388015698</v>
      </c>
      <c r="F355" s="165">
        <v>5295</v>
      </c>
      <c r="G355" s="165">
        <v>63.346613545816702</v>
      </c>
      <c r="H355" s="165">
        <v>61.232604373757503</v>
      </c>
      <c r="I355" s="146"/>
      <c r="J355" s="146"/>
      <c r="K355" s="146"/>
      <c r="L355" s="30"/>
      <c r="M355" s="7"/>
      <c r="N355" s="7"/>
      <c r="O355" s="7"/>
      <c r="P355" s="7"/>
      <c r="Q355" s="7"/>
      <c r="R355" s="7"/>
      <c r="S355" s="7"/>
      <c r="T355" s="7"/>
      <c r="U355" s="7"/>
      <c r="V355" s="7"/>
      <c r="W355" s="7"/>
      <c r="Y355" s="8"/>
      <c r="Z355" s="8"/>
      <c r="AA355" s="8"/>
    </row>
    <row r="356" spans="2:33" s="6" customFormat="1" ht="15" customHeight="1" outlineLevel="1" x14ac:dyDescent="0.15">
      <c r="B356" s="139"/>
      <c r="C356" s="164">
        <v>46078</v>
      </c>
      <c r="D356" s="165">
        <v>6946.13</v>
      </c>
      <c r="E356" s="165">
        <v>3.33946941080475</v>
      </c>
      <c r="F356" s="165">
        <v>5309</v>
      </c>
      <c r="G356" s="165">
        <v>62.749003984063698</v>
      </c>
      <c r="H356" s="165">
        <v>62.0278330019881</v>
      </c>
      <c r="I356" s="146"/>
      <c r="J356" s="146"/>
      <c r="K356" s="146"/>
      <c r="L356" s="30"/>
      <c r="M356" s="7"/>
      <c r="N356" s="7"/>
      <c r="O356" s="7"/>
      <c r="P356" s="7"/>
      <c r="Q356" s="7"/>
      <c r="R356" s="7"/>
      <c r="S356" s="7"/>
      <c r="T356" s="7"/>
      <c r="U356" s="7"/>
      <c r="V356" s="7"/>
      <c r="W356" s="7"/>
      <c r="Y356" s="8"/>
      <c r="Z356" s="8"/>
      <c r="AA356" s="8"/>
    </row>
    <row r="357" spans="2:33" s="6" customFormat="1" ht="15" customHeight="1" outlineLevel="1" x14ac:dyDescent="0.15">
      <c r="B357" s="139"/>
      <c r="C357" s="164">
        <v>46079</v>
      </c>
      <c r="D357" s="165">
        <v>6908.86</v>
      </c>
      <c r="E357" s="165">
        <v>3.5089520973758699</v>
      </c>
      <c r="F357" s="165">
        <v>5507</v>
      </c>
      <c r="G357" s="165">
        <v>65.737051792828694</v>
      </c>
      <c r="H357" s="165">
        <v>65.208747514910499</v>
      </c>
      <c r="I357" s="146"/>
      <c r="J357" s="146"/>
      <c r="K357" s="146"/>
      <c r="L357" s="30"/>
      <c r="M357" s="7"/>
      <c r="N357" s="7"/>
      <c r="O357" s="7"/>
      <c r="P357" s="7"/>
      <c r="Q357" s="7"/>
      <c r="R357" s="7"/>
      <c r="S357" s="7"/>
      <c r="T357" s="7"/>
      <c r="U357" s="7"/>
      <c r="V357" s="7"/>
      <c r="W357" s="7"/>
      <c r="Y357" s="8"/>
      <c r="Z357" s="8"/>
      <c r="AA357" s="8"/>
    </row>
    <row r="358" spans="2:33" s="6" customFormat="1" ht="15" customHeight="1" outlineLevel="1" x14ac:dyDescent="0.15">
      <c r="B358" s="139"/>
      <c r="C358" s="164">
        <v>46080</v>
      </c>
      <c r="D358" s="165">
        <v>6878.88</v>
      </c>
      <c r="E358" s="165">
        <v>4.6269359266033199</v>
      </c>
      <c r="F358" s="165">
        <v>5560</v>
      </c>
      <c r="G358" s="165">
        <v>65.139442231075705</v>
      </c>
      <c r="H358" s="165">
        <v>61.630218687872798</v>
      </c>
      <c r="I358" s="146"/>
      <c r="J358" s="146"/>
      <c r="K358" s="146"/>
      <c r="L358" s="30"/>
      <c r="M358" s="7"/>
      <c r="N358" s="7"/>
      <c r="O358" s="7"/>
      <c r="P358" s="7"/>
      <c r="Q358" s="7"/>
      <c r="R358" s="7"/>
      <c r="S358" s="7"/>
      <c r="T358" s="7"/>
      <c r="U358" s="7"/>
      <c r="V358" s="7"/>
      <c r="W358" s="7"/>
      <c r="Y358" s="8"/>
      <c r="Z358" s="8"/>
      <c r="AA358" s="8"/>
    </row>
    <row r="359" spans="2:33" s="6" customFormat="1" ht="15" customHeight="1" outlineLevel="1" x14ac:dyDescent="0.15">
      <c r="B359" s="139"/>
      <c r="C359" s="164">
        <v>46083</v>
      </c>
      <c r="D359" s="165">
        <v>6881.62</v>
      </c>
      <c r="E359" s="165">
        <v>3.5151887063980101</v>
      </c>
      <c r="F359" s="165">
        <v>5539</v>
      </c>
      <c r="G359" s="165">
        <v>64.741035856573703</v>
      </c>
      <c r="H359" s="165">
        <v>60.437375745526801</v>
      </c>
      <c r="I359" s="146"/>
      <c r="J359" s="146"/>
      <c r="K359" s="146"/>
      <c r="L359" s="30"/>
      <c r="M359" s="7"/>
      <c r="N359" s="7"/>
      <c r="O359" s="7"/>
      <c r="P359" s="7"/>
      <c r="Q359" s="7"/>
      <c r="R359" s="7"/>
      <c r="S359" s="7"/>
      <c r="T359" s="7"/>
      <c r="U359" s="7"/>
      <c r="V359" s="7"/>
      <c r="W359" s="7"/>
      <c r="Y359" s="8"/>
      <c r="Z359" s="8"/>
      <c r="AA359" s="8"/>
    </row>
    <row r="360" spans="2:33" ht="15" customHeight="1" outlineLevel="1" x14ac:dyDescent="0.15">
      <c r="B360" s="139"/>
      <c r="C360" s="164">
        <v>46084</v>
      </c>
      <c r="D360" s="165">
        <v>6816.63</v>
      </c>
      <c r="E360" s="165">
        <v>3.5553636385860399</v>
      </c>
      <c r="F360" s="165">
        <v>5307</v>
      </c>
      <c r="G360" s="165">
        <v>60.358565737051798</v>
      </c>
      <c r="H360" s="165">
        <v>55.467196819085501</v>
      </c>
      <c r="I360" s="146"/>
      <c r="J360" s="146"/>
      <c r="K360" s="146"/>
      <c r="L360" s="30"/>
      <c r="AB360" s="6"/>
      <c r="AC360" s="6"/>
      <c r="AD360" s="6"/>
      <c r="AE360" s="6"/>
      <c r="AF360" s="6"/>
      <c r="AG360" s="6"/>
    </row>
    <row r="361" spans="2:33" s="6" customFormat="1" ht="15" customHeight="1" outlineLevel="1" x14ac:dyDescent="0.15">
      <c r="B361" s="139"/>
      <c r="C361" s="164">
        <v>46085</v>
      </c>
      <c r="D361" s="165">
        <v>6869.5</v>
      </c>
      <c r="E361" s="165">
        <v>3.2497924244651801</v>
      </c>
      <c r="F361" s="165">
        <v>5374</v>
      </c>
      <c r="G361" s="165">
        <v>60.557768924302799</v>
      </c>
      <c r="H361" s="165">
        <v>56.8588469184891</v>
      </c>
      <c r="I361" s="146"/>
      <c r="J361" s="146"/>
      <c r="K361" s="146"/>
      <c r="L361" s="30"/>
      <c r="Y361" s="8"/>
      <c r="Z361" s="8"/>
      <c r="AA361" s="8"/>
    </row>
    <row r="362" spans="2:33" s="6" customFormat="1" ht="15" customHeight="1" outlineLevel="1" x14ac:dyDescent="0.15">
      <c r="B362" s="139"/>
      <c r="C362" s="164">
        <v>46086</v>
      </c>
      <c r="D362" s="165">
        <v>6830.71</v>
      </c>
      <c r="E362" s="165">
        <v>3.7351205000877399</v>
      </c>
      <c r="F362" s="165">
        <v>5146</v>
      </c>
      <c r="G362" s="165">
        <v>57.370517928286901</v>
      </c>
      <c r="H362" s="165">
        <v>51.888667992047701</v>
      </c>
      <c r="I362" s="146"/>
      <c r="J362" s="146"/>
      <c r="K362" s="146"/>
      <c r="L362" s="30"/>
      <c r="Y362" s="8"/>
      <c r="Z362" s="8"/>
      <c r="AA362" s="8"/>
      <c r="AF362" s="55"/>
      <c r="AG362" s="55"/>
    </row>
    <row r="363" spans="2:33" s="6" customFormat="1" ht="15" customHeight="1" outlineLevel="1" x14ac:dyDescent="0.15">
      <c r="B363" s="139"/>
      <c r="C363" s="164">
        <v>46087</v>
      </c>
      <c r="D363" s="165">
        <v>6740.02</v>
      </c>
      <c r="E363" s="165">
        <v>3.4197108236465499</v>
      </c>
      <c r="F363" s="165">
        <v>4934</v>
      </c>
      <c r="G363" s="165">
        <v>55.378486055776897</v>
      </c>
      <c r="H363" s="165">
        <v>43.339960238568601</v>
      </c>
      <c r="I363" s="146"/>
      <c r="J363" s="146"/>
      <c r="K363" s="146"/>
      <c r="L363" s="30"/>
      <c r="Y363" s="8"/>
      <c r="Z363" s="8"/>
      <c r="AA363" s="8"/>
      <c r="AD363" s="55"/>
      <c r="AE363" s="55"/>
    </row>
    <row r="364" spans="2:33" s="6" customFormat="1" ht="15" customHeight="1" outlineLevel="1" x14ac:dyDescent="0.15">
      <c r="B364" s="139"/>
      <c r="C364" s="164">
        <v>46090</v>
      </c>
      <c r="D364" s="165">
        <v>6795.99</v>
      </c>
      <c r="E364" s="165">
        <v>3.7444786276245101</v>
      </c>
      <c r="F364" s="165">
        <v>4939</v>
      </c>
      <c r="G364" s="165">
        <v>54.7808764940239</v>
      </c>
      <c r="H364" s="165">
        <v>42.942345924453299</v>
      </c>
      <c r="I364" s="146"/>
      <c r="J364" s="146"/>
      <c r="K364" s="146"/>
      <c r="L364" s="30"/>
      <c r="Y364" s="8"/>
      <c r="Z364" s="8"/>
      <c r="AA364" s="8"/>
    </row>
    <row r="365" spans="2:33" s="6" customFormat="1" ht="15" customHeight="1" outlineLevel="1" x14ac:dyDescent="0.15">
      <c r="B365" s="139"/>
      <c r="C365" s="164">
        <v>46091</v>
      </c>
      <c r="D365" s="165">
        <v>6781.48</v>
      </c>
      <c r="E365" s="165">
        <v>3.1778632526950799</v>
      </c>
      <c r="F365" s="165">
        <v>4730</v>
      </c>
      <c r="G365" s="165">
        <v>52.988047808764897</v>
      </c>
      <c r="H365" s="165">
        <v>39.761431411530801</v>
      </c>
      <c r="I365" s="146"/>
      <c r="J365" s="146"/>
      <c r="K365" s="146"/>
      <c r="L365" s="30"/>
      <c r="Y365" s="8"/>
      <c r="Z365" s="8"/>
      <c r="AA365" s="8"/>
      <c r="AB365" s="55"/>
      <c r="AC365" s="55"/>
    </row>
    <row r="366" spans="2:33" s="6" customFormat="1" ht="15" customHeight="1" outlineLevel="1" x14ac:dyDescent="0.15">
      <c r="B366" s="139"/>
      <c r="C366" s="164">
        <v>46092</v>
      </c>
      <c r="D366" s="165">
        <v>6775.8</v>
      </c>
      <c r="E366" s="165">
        <v>3.0188170153465301</v>
      </c>
      <c r="F366" s="165">
        <v>4569</v>
      </c>
      <c r="G366" s="165">
        <v>51.593625498008002</v>
      </c>
      <c r="H366" s="165">
        <v>37.176938369781297</v>
      </c>
      <c r="I366" s="146"/>
      <c r="J366" s="146"/>
      <c r="K366" s="146"/>
      <c r="L366" s="30"/>
      <c r="Y366" s="8"/>
      <c r="Z366" s="8"/>
      <c r="AA366" s="8"/>
    </row>
    <row r="367" spans="2:33" s="6" customFormat="1" ht="15" customHeight="1" outlineLevel="1" x14ac:dyDescent="0.15">
      <c r="B367" s="139"/>
      <c r="C367" s="164">
        <v>46093</v>
      </c>
      <c r="D367" s="165">
        <v>6672.62</v>
      </c>
      <c r="E367" s="165">
        <v>3.51914509366989</v>
      </c>
      <c r="F367" s="165">
        <v>4289</v>
      </c>
      <c r="G367" s="165">
        <v>48.804780876494</v>
      </c>
      <c r="H367" s="165">
        <v>31.013916500994</v>
      </c>
      <c r="I367" s="146"/>
      <c r="J367" s="146"/>
      <c r="K367" s="146"/>
      <c r="L367" s="30"/>
      <c r="Y367" s="8"/>
      <c r="Z367" s="8"/>
      <c r="AA367" s="8"/>
    </row>
    <row r="368" spans="2:33" s="6" customFormat="1" ht="15" customHeight="1" outlineLevel="1" x14ac:dyDescent="0.15">
      <c r="B368" s="139"/>
      <c r="C368" s="164">
        <v>46094</v>
      </c>
      <c r="D368" s="165">
        <v>6632.19</v>
      </c>
      <c r="E368" s="165">
        <v>2.9841879692878699</v>
      </c>
      <c r="F368" s="165">
        <v>4303</v>
      </c>
      <c r="G368" s="165">
        <v>48.007968127490003</v>
      </c>
      <c r="H368" s="165">
        <v>30.616302186878698</v>
      </c>
      <c r="I368" s="146"/>
      <c r="J368" s="146"/>
      <c r="K368" s="146"/>
      <c r="L368" s="30"/>
      <c r="Y368" s="8"/>
      <c r="Z368" s="8"/>
      <c r="AA368" s="8"/>
    </row>
    <row r="369" spans="2:27" s="6" customFormat="1" ht="15" customHeight="1" outlineLevel="1" x14ac:dyDescent="0.15">
      <c r="B369" s="139"/>
      <c r="C369" s="164">
        <v>46097</v>
      </c>
      <c r="D369" s="165">
        <v>6699.38</v>
      </c>
      <c r="E369" s="165">
        <v>3.0516654446926101</v>
      </c>
      <c r="F369" s="165">
        <v>4555</v>
      </c>
      <c r="G369" s="165">
        <v>48.207171314740997</v>
      </c>
      <c r="H369" s="165">
        <v>32.007952286282297</v>
      </c>
      <c r="I369" s="146"/>
      <c r="J369" s="146"/>
      <c r="K369" s="146"/>
      <c r="L369" s="30"/>
      <c r="Y369" s="8"/>
      <c r="Z369" s="8"/>
      <c r="AA369" s="8"/>
    </row>
    <row r="370" spans="2:27" s="6" customFormat="1" ht="15" customHeight="1" outlineLevel="1" x14ac:dyDescent="0.15">
      <c r="B370" s="139"/>
      <c r="C370" s="164">
        <v>46098</v>
      </c>
      <c r="D370" s="165">
        <v>6716.09</v>
      </c>
      <c r="E370" s="165">
        <v>2.9412174911594402</v>
      </c>
      <c r="F370" s="165">
        <v>4684</v>
      </c>
      <c r="G370" s="165">
        <v>50.398406374502002</v>
      </c>
      <c r="H370" s="165">
        <v>33.598409542743497</v>
      </c>
      <c r="I370" s="146"/>
      <c r="J370" s="146"/>
      <c r="K370" s="146"/>
      <c r="L370" s="30"/>
      <c r="Y370" s="8"/>
      <c r="Z370" s="8"/>
      <c r="AA370" s="8"/>
    </row>
    <row r="371" spans="2:27" s="6" customFormat="1" ht="15" customHeight="1" outlineLevel="1" x14ac:dyDescent="0.15">
      <c r="B371" s="139"/>
      <c r="C371" s="164">
        <v>46099</v>
      </c>
      <c r="D371" s="165">
        <v>6624.7</v>
      </c>
      <c r="E371" s="165">
        <v>3.05368405043221</v>
      </c>
      <c r="F371" s="165">
        <v>4343</v>
      </c>
      <c r="G371" s="165">
        <v>46.215139442231099</v>
      </c>
      <c r="H371" s="165">
        <v>26.6401590457256</v>
      </c>
      <c r="I371" s="146"/>
      <c r="J371" s="146"/>
      <c r="K371" s="146"/>
      <c r="L371" s="30"/>
      <c r="Y371" s="8"/>
      <c r="Z371" s="8"/>
      <c r="AA371" s="8"/>
    </row>
    <row r="372" spans="2:27" s="6" customFormat="1" ht="15" customHeight="1" outlineLevel="1" x14ac:dyDescent="0.15">
      <c r="B372" s="139"/>
      <c r="C372" s="164">
        <v>46100</v>
      </c>
      <c r="D372" s="165">
        <v>6606.49</v>
      </c>
      <c r="E372" s="165">
        <v>3.2818008912219998</v>
      </c>
      <c r="F372" s="165">
        <v>4264</v>
      </c>
      <c r="G372" s="165">
        <v>46.215139442231099</v>
      </c>
      <c r="H372" s="165">
        <v>26.242544731610302</v>
      </c>
      <c r="I372" s="146"/>
      <c r="J372" s="146"/>
      <c r="K372" s="146"/>
      <c r="L372" s="30"/>
      <c r="Y372" s="8"/>
      <c r="Z372" s="8"/>
      <c r="AA372" s="8"/>
    </row>
    <row r="373" spans="2:27" s="6" customFormat="1" ht="15" customHeight="1" outlineLevel="1" x14ac:dyDescent="0.15">
      <c r="B373" s="139"/>
      <c r="C373" s="164">
        <v>46101</v>
      </c>
      <c r="D373" s="165">
        <v>6506.48</v>
      </c>
      <c r="E373" s="165">
        <v>7.0643072938842799</v>
      </c>
      <c r="F373" s="165">
        <v>3989</v>
      </c>
      <c r="G373" s="165">
        <v>43.426294820717104</v>
      </c>
      <c r="H373" s="165">
        <v>17.892644135188899</v>
      </c>
      <c r="I373" s="146"/>
      <c r="J373" s="146"/>
      <c r="K373" s="146"/>
      <c r="L373" s="30"/>
      <c r="Y373" s="8"/>
      <c r="Z373" s="8"/>
      <c r="AA373" s="8"/>
    </row>
    <row r="374" spans="2:27" s="6" customFormat="1" ht="15" customHeight="1" outlineLevel="1" x14ac:dyDescent="0.15">
      <c r="B374" s="139"/>
      <c r="C374" s="164">
        <v>46104</v>
      </c>
      <c r="D374" s="165">
        <v>6581</v>
      </c>
      <c r="E374" s="165">
        <v>3.5065397770156901</v>
      </c>
      <c r="F374" s="165">
        <v>4249</v>
      </c>
      <c r="G374" s="165">
        <v>46.015936254980097</v>
      </c>
      <c r="H374" s="165">
        <v>22.067594433399599</v>
      </c>
      <c r="I374" s="146"/>
      <c r="J374" s="146"/>
      <c r="K374" s="146"/>
      <c r="L374" s="30"/>
      <c r="Y374" s="8"/>
      <c r="Z374" s="8"/>
      <c r="AA374" s="8"/>
    </row>
    <row r="375" spans="2:27" s="6" customFormat="1" ht="15" customHeight="1" outlineLevel="1" x14ac:dyDescent="0.15">
      <c r="B375" s="139"/>
      <c r="C375" s="164">
        <v>46105</v>
      </c>
      <c r="D375" s="165">
        <v>6556.37</v>
      </c>
      <c r="E375" s="165">
        <v>3.1339090708179498</v>
      </c>
      <c r="F375" s="165">
        <v>4318</v>
      </c>
      <c r="G375" s="165">
        <v>46.812749003984102</v>
      </c>
      <c r="H375" s="165">
        <v>24.0556660039761</v>
      </c>
      <c r="I375" s="146"/>
      <c r="J375" s="146"/>
      <c r="K375" s="146"/>
      <c r="L375" s="30"/>
      <c r="Y375" s="8"/>
      <c r="Z375" s="8"/>
      <c r="AA375" s="8"/>
    </row>
    <row r="376" spans="2:27" s="6" customFormat="1" ht="15" customHeight="1" outlineLevel="1" x14ac:dyDescent="0.15">
      <c r="B376" s="139"/>
      <c r="C376" s="164">
        <v>46106</v>
      </c>
      <c r="D376" s="165">
        <v>6591.9</v>
      </c>
      <c r="E376" s="165">
        <v>2.9569652908344302</v>
      </c>
      <c r="F376" s="165">
        <v>4460</v>
      </c>
      <c r="G376" s="165">
        <v>47.808764940239001</v>
      </c>
      <c r="H376" s="165">
        <v>26.441351888667999</v>
      </c>
      <c r="I376" s="146"/>
      <c r="J376" s="146"/>
      <c r="K376" s="146"/>
      <c r="L376" s="30"/>
      <c r="Y376" s="8"/>
      <c r="Z376" s="8"/>
      <c r="AA376" s="8"/>
    </row>
    <row r="377" spans="2:27" s="6" customFormat="1" ht="15" customHeight="1" outlineLevel="1" x14ac:dyDescent="0.15">
      <c r="B377" s="139"/>
      <c r="C377" s="164">
        <v>46107</v>
      </c>
      <c r="D377" s="165">
        <v>6477.16</v>
      </c>
      <c r="E377" s="165">
        <v>3.0446636249580399</v>
      </c>
      <c r="F377" s="165">
        <v>4330</v>
      </c>
      <c r="G377" s="165">
        <v>45.418326693227101</v>
      </c>
      <c r="H377" s="165">
        <v>21.6699801192843</v>
      </c>
      <c r="I377" s="146"/>
      <c r="J377" s="146"/>
      <c r="K377" s="146"/>
      <c r="L377" s="30"/>
      <c r="Y377" s="8"/>
      <c r="Z377" s="8"/>
      <c r="AA377" s="8"/>
    </row>
    <row r="378" spans="2:27" s="6" customFormat="1" ht="15" customHeight="1" outlineLevel="1" x14ac:dyDescent="0.15">
      <c r="B378" s="139"/>
      <c r="C378" s="164">
        <v>46108</v>
      </c>
      <c r="D378" s="165">
        <v>6368.85</v>
      </c>
      <c r="E378" s="165">
        <v>3.1755937886123702</v>
      </c>
      <c r="F378" s="165">
        <v>4048</v>
      </c>
      <c r="G378" s="165">
        <v>41.6334661354582</v>
      </c>
      <c r="H378" s="165">
        <v>19.681908548707799</v>
      </c>
      <c r="I378" s="146"/>
      <c r="J378" s="146"/>
      <c r="K378" s="146"/>
      <c r="L378" s="30"/>
      <c r="Y378" s="8"/>
      <c r="Z378" s="8"/>
      <c r="AA378" s="8"/>
    </row>
    <row r="379" spans="2:27" s="6" customFormat="1" ht="15" customHeight="1" outlineLevel="1" x14ac:dyDescent="0.15">
      <c r="B379" s="139"/>
      <c r="C379" s="164">
        <v>46111</v>
      </c>
      <c r="D379" s="165">
        <v>6343.72</v>
      </c>
      <c r="E379" s="165">
        <v>3.3291427863254501</v>
      </c>
      <c r="F379" s="165">
        <v>4093</v>
      </c>
      <c r="G379" s="165">
        <v>41.434262948207198</v>
      </c>
      <c r="H379" s="165">
        <v>19.483101391650099</v>
      </c>
      <c r="I379" s="146"/>
      <c r="J379" s="146"/>
      <c r="K379" s="146"/>
      <c r="L379" s="30"/>
      <c r="Y379" s="8"/>
      <c r="Z379" s="8"/>
      <c r="AA379" s="8"/>
    </row>
    <row r="380" spans="2:27" s="6" customFormat="1" ht="15" customHeight="1" outlineLevel="1" x14ac:dyDescent="0.15">
      <c r="B380" s="139"/>
      <c r="C380" s="164"/>
      <c r="D380" s="165"/>
      <c r="E380" s="165"/>
      <c r="F380" s="165">
        <v>4384</v>
      </c>
      <c r="G380" s="165">
        <v>46.812749003984102</v>
      </c>
      <c r="H380" s="165">
        <v>22.862823061630198</v>
      </c>
      <c r="I380" s="146"/>
      <c r="J380" s="146"/>
      <c r="K380" s="146"/>
      <c r="L380" s="30"/>
      <c r="Y380" s="8"/>
      <c r="Z380" s="8"/>
      <c r="AA380" s="8"/>
    </row>
    <row r="381" spans="2:27" s="6" customFormat="1" ht="15" customHeight="1" outlineLevel="1" x14ac:dyDescent="0.15">
      <c r="B381" s="139"/>
      <c r="C381" s="164"/>
      <c r="D381" s="165"/>
      <c r="E381" s="165"/>
      <c r="F381" s="165"/>
      <c r="G381" s="165"/>
      <c r="H381" s="165"/>
      <c r="I381" s="146"/>
      <c r="J381" s="146"/>
      <c r="K381" s="146"/>
      <c r="L381" s="30"/>
      <c r="Y381" s="8"/>
      <c r="Z381" s="8"/>
      <c r="AA381" s="8"/>
    </row>
    <row r="382" spans="2:27" s="6" customFormat="1" ht="15" customHeight="1" outlineLevel="1" x14ac:dyDescent="0.15">
      <c r="B382" s="139"/>
      <c r="C382" s="164"/>
      <c r="D382" s="165"/>
      <c r="E382" s="165"/>
      <c r="F382" s="165"/>
      <c r="G382" s="165"/>
      <c r="H382" s="165"/>
      <c r="I382" s="146"/>
      <c r="J382" s="146"/>
      <c r="K382" s="146"/>
      <c r="L382" s="30"/>
      <c r="Y382" s="8"/>
      <c r="Z382" s="8"/>
      <c r="AA382" s="8"/>
    </row>
    <row r="383" spans="2:27" s="6" customFormat="1" ht="15" customHeight="1" outlineLevel="1" x14ac:dyDescent="0.15">
      <c r="B383" s="139"/>
      <c r="C383" s="164"/>
      <c r="D383" s="165"/>
      <c r="E383" s="165"/>
      <c r="F383" s="165"/>
      <c r="G383" s="165"/>
      <c r="H383" s="165"/>
      <c r="I383" s="146"/>
      <c r="J383" s="146"/>
      <c r="K383" s="146"/>
      <c r="L383" s="30"/>
      <c r="Y383" s="8"/>
      <c r="Z383" s="8"/>
      <c r="AA383" s="8"/>
    </row>
    <row r="384" spans="2:27" s="6" customFormat="1" ht="15" customHeight="1" outlineLevel="1" x14ac:dyDescent="0.15">
      <c r="B384" s="28"/>
      <c r="C384" s="164"/>
      <c r="D384" s="165"/>
      <c r="E384" s="165"/>
      <c r="F384" s="165"/>
      <c r="G384" s="165"/>
      <c r="H384" s="165"/>
      <c r="I384" s="146"/>
      <c r="J384" s="146"/>
      <c r="K384" s="146"/>
      <c r="L384" s="64"/>
      <c r="M384" s="148"/>
      <c r="N384" s="148"/>
      <c r="Q384" s="148"/>
      <c r="R384" s="148"/>
      <c r="S384" s="148"/>
      <c r="T384" s="148"/>
      <c r="U384" s="148"/>
      <c r="Y384" s="8"/>
      <c r="Z384" s="8"/>
      <c r="AA384" s="8"/>
    </row>
    <row r="385" spans="2:27" s="6" customFormat="1" ht="15" customHeight="1" outlineLevel="1" x14ac:dyDescent="0.15">
      <c r="B385" s="28"/>
      <c r="C385" s="164"/>
      <c r="D385" s="165"/>
      <c r="E385" s="165"/>
      <c r="F385" s="165"/>
      <c r="G385" s="165"/>
      <c r="H385" s="165"/>
      <c r="I385" s="146"/>
      <c r="J385" s="146"/>
      <c r="K385" s="146"/>
      <c r="L385" s="64"/>
      <c r="M385" s="148"/>
      <c r="N385" s="148"/>
      <c r="Q385" s="148"/>
      <c r="R385" s="148"/>
      <c r="S385" s="148"/>
      <c r="T385" s="148"/>
      <c r="U385" s="148"/>
      <c r="Y385" s="8"/>
      <c r="Z385" s="8"/>
      <c r="AA385" s="8"/>
    </row>
    <row r="386" spans="2:27" s="6" customFormat="1" ht="15" customHeight="1" outlineLevel="1" x14ac:dyDescent="0.15">
      <c r="B386" s="28"/>
      <c r="C386" s="164"/>
      <c r="D386" s="165"/>
      <c r="E386" s="165"/>
      <c r="F386" s="165"/>
      <c r="G386" s="165"/>
      <c r="H386" s="165"/>
      <c r="I386" s="146"/>
      <c r="J386" s="146"/>
      <c r="K386" s="146"/>
      <c r="L386" s="64"/>
      <c r="M386" s="148"/>
      <c r="N386" s="148"/>
      <c r="Q386" s="148"/>
      <c r="R386" s="148"/>
      <c r="S386" s="148"/>
      <c r="T386" s="148"/>
      <c r="U386" s="148"/>
      <c r="Y386" s="8"/>
      <c r="Z386" s="8"/>
      <c r="AA386" s="8"/>
    </row>
    <row r="387" spans="2:27" s="6" customFormat="1" ht="15" customHeight="1" outlineLevel="1" x14ac:dyDescent="0.15">
      <c r="B387" s="28"/>
      <c r="C387" s="164"/>
      <c r="D387" s="165"/>
      <c r="E387" s="165"/>
      <c r="F387" s="165"/>
      <c r="G387" s="165"/>
      <c r="H387" s="165"/>
      <c r="I387" s="146"/>
      <c r="J387" s="146"/>
      <c r="K387" s="146"/>
      <c r="L387" s="64"/>
      <c r="M387" s="148"/>
      <c r="N387" s="148"/>
      <c r="Q387" s="148"/>
      <c r="R387" s="148"/>
      <c r="S387" s="148"/>
      <c r="T387" s="148"/>
      <c r="U387" s="148"/>
      <c r="Y387" s="8"/>
      <c r="Z387" s="8"/>
      <c r="AA387" s="8"/>
    </row>
    <row r="388" spans="2:27" s="6" customFormat="1" ht="15" customHeight="1" outlineLevel="1" x14ac:dyDescent="0.15">
      <c r="B388" s="28"/>
      <c r="C388" s="164"/>
      <c r="D388" s="165"/>
      <c r="E388" s="165"/>
      <c r="F388" s="165"/>
      <c r="G388" s="165"/>
      <c r="H388" s="165"/>
      <c r="I388" s="146"/>
      <c r="J388" s="146"/>
      <c r="K388" s="146"/>
      <c r="L388" s="64"/>
      <c r="M388" s="148"/>
      <c r="N388" s="148"/>
      <c r="Q388" s="148"/>
      <c r="R388" s="148"/>
      <c r="S388" s="148"/>
      <c r="T388" s="148"/>
      <c r="U388" s="148"/>
      <c r="Y388" s="8"/>
      <c r="Z388" s="8"/>
      <c r="AA388" s="8"/>
    </row>
    <row r="389" spans="2:27" s="6" customFormat="1" ht="15" customHeight="1" outlineLevel="1" x14ac:dyDescent="0.15">
      <c r="B389" s="28"/>
      <c r="C389" s="164"/>
      <c r="D389" s="165"/>
      <c r="E389" s="165"/>
      <c r="F389" s="165"/>
      <c r="G389" s="165"/>
      <c r="H389" s="165"/>
      <c r="I389" s="146"/>
      <c r="J389" s="146"/>
      <c r="K389" s="146"/>
      <c r="L389" s="64"/>
      <c r="M389" s="148"/>
      <c r="N389" s="148"/>
      <c r="Q389" s="148"/>
      <c r="R389" s="148"/>
      <c r="S389" s="148"/>
      <c r="T389" s="148"/>
      <c r="U389" s="148"/>
      <c r="Y389" s="8"/>
      <c r="Z389" s="8"/>
      <c r="AA389" s="8"/>
    </row>
    <row r="390" spans="2:27" s="6" customFormat="1" ht="15" customHeight="1" outlineLevel="1" x14ac:dyDescent="0.15">
      <c r="B390" s="28"/>
      <c r="C390" s="164"/>
      <c r="D390" s="165"/>
      <c r="E390" s="165"/>
      <c r="F390" s="165"/>
      <c r="G390" s="165"/>
      <c r="H390" s="165"/>
      <c r="I390" s="146"/>
      <c r="J390" s="146"/>
      <c r="K390" s="146"/>
      <c r="L390" s="64"/>
      <c r="M390" s="148"/>
      <c r="N390" s="148"/>
      <c r="Q390" s="148"/>
      <c r="R390" s="148"/>
      <c r="S390" s="148"/>
      <c r="T390" s="148"/>
      <c r="U390" s="148"/>
      <c r="Y390" s="8"/>
      <c r="Z390" s="8"/>
      <c r="AA390" s="8"/>
    </row>
    <row r="391" spans="2:27" s="6" customFormat="1" ht="15" customHeight="1" outlineLevel="1" x14ac:dyDescent="0.15">
      <c r="B391" s="28"/>
      <c r="C391" s="164"/>
      <c r="D391" s="165"/>
      <c r="E391" s="165"/>
      <c r="F391" s="165"/>
      <c r="G391" s="165"/>
      <c r="H391" s="165"/>
      <c r="I391" s="146"/>
      <c r="J391" s="146"/>
      <c r="K391" s="146"/>
      <c r="L391" s="64"/>
      <c r="M391" s="148"/>
      <c r="N391" s="148"/>
      <c r="Q391" s="148"/>
      <c r="R391" s="148"/>
      <c r="S391" s="148"/>
      <c r="T391" s="148"/>
      <c r="U391" s="148"/>
      <c r="Y391" s="8"/>
      <c r="Z391" s="8"/>
      <c r="AA391" s="8"/>
    </row>
    <row r="392" spans="2:27" s="6" customFormat="1" ht="15" customHeight="1" outlineLevel="1" x14ac:dyDescent="0.15">
      <c r="B392" s="28"/>
      <c r="C392" s="144"/>
      <c r="D392" s="145"/>
      <c r="E392" s="145"/>
      <c r="F392" s="145"/>
      <c r="G392" s="145"/>
      <c r="H392" s="145"/>
      <c r="I392" s="146"/>
      <c r="J392" s="146"/>
      <c r="K392" s="146"/>
      <c r="L392" s="64"/>
      <c r="M392" s="148"/>
      <c r="N392" s="148"/>
      <c r="Q392" s="148"/>
      <c r="R392" s="148"/>
      <c r="S392" s="148"/>
      <c r="T392" s="148"/>
      <c r="U392" s="148"/>
      <c r="Y392" s="8"/>
      <c r="Z392" s="8"/>
      <c r="AA392" s="8"/>
    </row>
    <row r="393" spans="2:27" s="6" customFormat="1" ht="15" customHeight="1" outlineLevel="1" x14ac:dyDescent="0.15">
      <c r="B393" s="118"/>
      <c r="C393" s="144"/>
      <c r="D393" s="145"/>
      <c r="E393" s="145"/>
      <c r="F393" s="145"/>
      <c r="G393" s="145"/>
      <c r="H393" s="145"/>
      <c r="I393" s="146"/>
      <c r="J393" s="146"/>
      <c r="K393" s="146"/>
      <c r="L393" s="119"/>
      <c r="M393" s="148"/>
      <c r="N393" s="148"/>
      <c r="Q393" s="148"/>
      <c r="R393" s="148"/>
      <c r="S393" s="148"/>
      <c r="T393" s="148"/>
      <c r="U393" s="148"/>
      <c r="Y393" s="8"/>
      <c r="Z393" s="8"/>
      <c r="AA393" s="8"/>
    </row>
    <row r="394" spans="2:27" s="6" customFormat="1" ht="15" customHeight="1" outlineLevel="1" x14ac:dyDescent="0.15">
      <c r="B394" s="28"/>
      <c r="C394" s="144"/>
      <c r="D394" s="145"/>
      <c r="E394" s="145"/>
      <c r="F394" s="145"/>
      <c r="G394" s="145"/>
      <c r="H394" s="145"/>
      <c r="I394" s="146"/>
      <c r="J394" s="146"/>
      <c r="K394" s="146"/>
      <c r="L394" s="64"/>
      <c r="M394" s="148"/>
      <c r="N394" s="148"/>
      <c r="Q394" s="148"/>
      <c r="R394" s="148"/>
      <c r="S394" s="148"/>
      <c r="T394" s="148"/>
      <c r="U394" s="148"/>
      <c r="Y394" s="8"/>
      <c r="Z394" s="8"/>
      <c r="AA394" s="8"/>
    </row>
    <row r="395" spans="2:27" s="6" customFormat="1" ht="15" customHeight="1" outlineLevel="1" x14ac:dyDescent="0.15">
      <c r="B395" s="28"/>
      <c r="C395" s="144"/>
      <c r="D395" s="145"/>
      <c r="E395" s="145"/>
      <c r="F395" s="145"/>
      <c r="G395" s="145"/>
      <c r="H395" s="145"/>
      <c r="I395" s="146"/>
      <c r="J395" s="146"/>
      <c r="K395" s="146"/>
      <c r="L395" s="64"/>
      <c r="M395" s="148"/>
      <c r="N395" s="148"/>
      <c r="Q395" s="148"/>
      <c r="R395" s="148"/>
      <c r="S395" s="148"/>
      <c r="T395" s="148"/>
      <c r="U395" s="148"/>
      <c r="Y395" s="8"/>
      <c r="Z395" s="8"/>
      <c r="AA395" s="8"/>
    </row>
    <row r="396" spans="2:27" s="6" customFormat="1" ht="15" customHeight="1" outlineLevel="1" x14ac:dyDescent="0.15">
      <c r="B396" s="28"/>
      <c r="C396" s="144"/>
      <c r="D396" s="145"/>
      <c r="E396" s="145"/>
      <c r="F396" s="145"/>
      <c r="G396" s="145"/>
      <c r="H396" s="145"/>
      <c r="I396" s="146"/>
      <c r="J396" s="146"/>
      <c r="K396" s="146"/>
      <c r="L396" s="64"/>
      <c r="M396" s="20"/>
      <c r="N396" s="20"/>
      <c r="Q396" s="20"/>
      <c r="R396" s="20"/>
      <c r="S396" s="20"/>
      <c r="T396" s="20"/>
      <c r="Y396" s="8"/>
      <c r="Z396" s="8"/>
      <c r="AA396" s="8"/>
    </row>
    <row r="397" spans="2:27" s="6" customFormat="1" ht="15" customHeight="1" outlineLevel="1" x14ac:dyDescent="0.15">
      <c r="B397" s="28"/>
      <c r="C397" s="144"/>
      <c r="D397" s="145"/>
      <c r="E397" s="145"/>
      <c r="F397" s="145"/>
      <c r="G397" s="145"/>
      <c r="H397" s="145"/>
      <c r="I397" s="146"/>
      <c r="J397" s="146"/>
      <c r="K397" s="146"/>
      <c r="L397" s="64"/>
      <c r="Y397" s="8"/>
      <c r="Z397" s="8"/>
      <c r="AA397" s="8"/>
    </row>
    <row r="398" spans="2:27" s="6" customFormat="1" ht="15" customHeight="1" outlineLevel="1" x14ac:dyDescent="0.15">
      <c r="B398" s="28"/>
      <c r="C398" s="144"/>
      <c r="D398" s="145"/>
      <c r="E398" s="145"/>
      <c r="F398" s="145"/>
      <c r="G398" s="145"/>
      <c r="H398" s="145"/>
      <c r="I398" s="146"/>
      <c r="J398" s="146"/>
      <c r="K398" s="146"/>
      <c r="L398" s="64"/>
      <c r="Y398" s="8"/>
      <c r="Z398" s="8"/>
      <c r="AA398" s="8"/>
    </row>
    <row r="399" spans="2:27" s="6" customFormat="1" ht="15" customHeight="1" outlineLevel="1" x14ac:dyDescent="0.15">
      <c r="B399" s="28"/>
      <c r="C399" s="144"/>
      <c r="D399" s="145"/>
      <c r="E399" s="145"/>
      <c r="F399" s="145"/>
      <c r="G399" s="145"/>
      <c r="H399" s="145"/>
      <c r="I399" s="146"/>
      <c r="J399" s="146"/>
      <c r="K399" s="146"/>
      <c r="L399" s="64"/>
      <c r="Y399" s="8"/>
      <c r="Z399" s="8"/>
      <c r="AA399" s="8"/>
    </row>
    <row r="400" spans="2:27" s="6" customFormat="1" ht="15" customHeight="1" outlineLevel="1" x14ac:dyDescent="0.15">
      <c r="B400" s="28"/>
      <c r="C400" s="144"/>
      <c r="D400" s="145"/>
      <c r="E400" s="145"/>
      <c r="F400" s="145"/>
      <c r="G400" s="145"/>
      <c r="H400" s="145"/>
      <c r="I400" s="146"/>
      <c r="J400" s="146"/>
      <c r="K400" s="146"/>
      <c r="L400" s="64"/>
      <c r="Y400" s="8"/>
      <c r="Z400" s="8"/>
      <c r="AA400" s="8"/>
    </row>
    <row r="401" spans="2:27" s="6" customFormat="1" ht="15" customHeight="1" outlineLevel="1" x14ac:dyDescent="0.15">
      <c r="B401" s="28"/>
      <c r="C401" s="144"/>
      <c r="D401" s="145"/>
      <c r="E401" s="145"/>
      <c r="F401" s="145"/>
      <c r="G401" s="145"/>
      <c r="H401" s="145"/>
      <c r="I401" s="146"/>
      <c r="J401" s="146"/>
      <c r="K401" s="146"/>
      <c r="L401" s="64"/>
      <c r="Y401" s="8"/>
      <c r="Z401" s="8"/>
      <c r="AA401" s="8"/>
    </row>
    <row r="402" spans="2:27" s="6" customFormat="1" ht="15" customHeight="1" outlineLevel="1" x14ac:dyDescent="0.15">
      <c r="B402" s="28"/>
      <c r="C402" s="144"/>
      <c r="D402" s="145"/>
      <c r="E402" s="145"/>
      <c r="F402" s="145"/>
      <c r="G402" s="145"/>
      <c r="H402" s="145"/>
      <c r="I402" s="146"/>
      <c r="J402" s="146"/>
      <c r="K402" s="146"/>
      <c r="L402" s="64"/>
      <c r="Y402" s="8"/>
      <c r="Z402" s="8"/>
      <c r="AA402" s="8"/>
    </row>
    <row r="403" spans="2:27" s="6" customFormat="1" ht="15" customHeight="1" outlineLevel="1" x14ac:dyDescent="0.15">
      <c r="B403" s="28"/>
      <c r="C403" s="144"/>
      <c r="D403" s="145"/>
      <c r="E403" s="145"/>
      <c r="F403" s="145"/>
      <c r="G403" s="145"/>
      <c r="H403" s="145"/>
      <c r="I403" s="146"/>
      <c r="J403" s="146"/>
      <c r="K403" s="146"/>
      <c r="L403" s="64"/>
      <c r="Y403" s="8"/>
      <c r="Z403" s="8"/>
      <c r="AA403" s="8"/>
    </row>
    <row r="404" spans="2:27" s="6" customFormat="1" ht="15" customHeight="1" outlineLevel="1" x14ac:dyDescent="0.15">
      <c r="B404" s="28"/>
      <c r="C404" s="144"/>
      <c r="D404" s="145"/>
      <c r="E404" s="145"/>
      <c r="F404" s="145"/>
      <c r="G404" s="145"/>
      <c r="H404" s="145"/>
      <c r="I404" s="146"/>
      <c r="J404" s="146"/>
      <c r="K404" s="146"/>
      <c r="L404" s="64"/>
      <c r="Y404" s="8"/>
      <c r="Z404" s="8"/>
      <c r="AA404" s="8"/>
    </row>
    <row r="405" spans="2:27" s="6" customFormat="1" ht="15" customHeight="1" outlineLevel="1" x14ac:dyDescent="0.15">
      <c r="B405" s="28"/>
      <c r="C405" s="144"/>
      <c r="D405" s="145"/>
      <c r="E405" s="145"/>
      <c r="F405" s="145"/>
      <c r="G405" s="145"/>
      <c r="H405" s="145"/>
      <c r="I405" s="146"/>
      <c r="J405" s="146"/>
      <c r="K405" s="146"/>
      <c r="L405" s="64"/>
      <c r="Y405" s="8"/>
      <c r="Z405" s="8"/>
      <c r="AA405" s="8"/>
    </row>
    <row r="406" spans="2:27" s="6" customFormat="1" ht="15" customHeight="1" outlineLevel="1" x14ac:dyDescent="0.15">
      <c r="B406" s="28"/>
      <c r="C406" s="144"/>
      <c r="D406" s="145"/>
      <c r="E406" s="145"/>
      <c r="F406" s="145"/>
      <c r="G406" s="145"/>
      <c r="H406" s="145"/>
      <c r="I406" s="146"/>
      <c r="J406" s="146"/>
      <c r="K406" s="146"/>
      <c r="L406" s="64"/>
      <c r="Y406" s="8"/>
      <c r="Z406" s="8"/>
      <c r="AA406" s="8"/>
    </row>
    <row r="407" spans="2:27" s="6" customFormat="1" ht="15" customHeight="1" outlineLevel="1" x14ac:dyDescent="0.15">
      <c r="B407" s="28"/>
      <c r="C407" s="144"/>
      <c r="D407" s="145"/>
      <c r="E407" s="145"/>
      <c r="F407" s="145"/>
      <c r="G407" s="145"/>
      <c r="H407" s="145"/>
      <c r="I407" s="146"/>
      <c r="J407" s="146"/>
      <c r="K407" s="146"/>
      <c r="L407" s="64"/>
      <c r="Y407" s="8"/>
      <c r="Z407" s="8"/>
      <c r="AA407" s="8"/>
    </row>
    <row r="408" spans="2:27" s="6" customFormat="1" ht="15" customHeight="1" outlineLevel="1" x14ac:dyDescent="0.15">
      <c r="B408" s="28"/>
      <c r="C408" s="144"/>
      <c r="D408" s="145"/>
      <c r="E408" s="145"/>
      <c r="F408" s="145"/>
      <c r="G408" s="145"/>
      <c r="H408" s="145"/>
      <c r="I408" s="146"/>
      <c r="J408" s="146"/>
      <c r="K408" s="146"/>
      <c r="L408" s="64"/>
      <c r="Y408" s="8"/>
      <c r="Z408" s="8"/>
      <c r="AA408" s="8"/>
    </row>
    <row r="409" spans="2:27" s="6" customFormat="1" ht="15" customHeight="1" outlineLevel="1" x14ac:dyDescent="0.15">
      <c r="B409" s="28"/>
      <c r="C409" s="144"/>
      <c r="D409" s="145"/>
      <c r="E409" s="145"/>
      <c r="F409" s="145"/>
      <c r="G409" s="145"/>
      <c r="H409" s="145"/>
      <c r="I409" s="146"/>
      <c r="J409" s="146"/>
      <c r="K409" s="146"/>
      <c r="L409" s="64"/>
      <c r="Y409" s="8"/>
      <c r="Z409" s="8"/>
      <c r="AA409" s="8"/>
    </row>
    <row r="410" spans="2:27" s="6" customFormat="1" ht="15" customHeight="1" outlineLevel="1" x14ac:dyDescent="0.15">
      <c r="B410" s="28"/>
      <c r="C410" s="144"/>
      <c r="D410" s="145"/>
      <c r="E410" s="145"/>
      <c r="F410" s="145"/>
      <c r="G410" s="145"/>
      <c r="H410" s="145"/>
      <c r="I410" s="146"/>
      <c r="J410" s="146"/>
      <c r="K410" s="146"/>
      <c r="L410" s="64"/>
      <c r="Y410" s="8"/>
      <c r="Z410" s="8"/>
      <c r="AA410" s="8"/>
    </row>
    <row r="411" spans="2:27" s="6" customFormat="1" ht="15" customHeight="1" outlineLevel="1" x14ac:dyDescent="0.15">
      <c r="B411" s="28"/>
      <c r="C411" s="144"/>
      <c r="D411" s="145"/>
      <c r="E411" s="145"/>
      <c r="F411" s="145"/>
      <c r="G411" s="145"/>
      <c r="H411" s="145"/>
      <c r="I411" s="146"/>
      <c r="J411" s="146"/>
      <c r="K411" s="146"/>
      <c r="L411" s="64"/>
      <c r="Y411" s="8"/>
      <c r="Z411" s="8"/>
      <c r="AA411" s="8"/>
    </row>
    <row r="412" spans="2:27" s="6" customFormat="1" ht="15" customHeight="1" outlineLevel="1" x14ac:dyDescent="0.15">
      <c r="B412" s="28"/>
      <c r="C412" s="144"/>
      <c r="D412" s="145"/>
      <c r="E412" s="145"/>
      <c r="F412" s="145"/>
      <c r="G412" s="145"/>
      <c r="H412" s="145"/>
      <c r="I412" s="146"/>
      <c r="J412" s="146"/>
      <c r="K412" s="146"/>
      <c r="L412" s="64"/>
      <c r="Y412" s="8"/>
      <c r="Z412" s="8"/>
      <c r="AA412" s="8"/>
    </row>
    <row r="413" spans="2:27" s="6" customFormat="1" ht="15" customHeight="1" outlineLevel="1" x14ac:dyDescent="0.15">
      <c r="B413" s="28"/>
      <c r="C413" s="144"/>
      <c r="D413" s="145"/>
      <c r="E413" s="145"/>
      <c r="F413" s="145"/>
      <c r="G413" s="145"/>
      <c r="H413" s="145"/>
      <c r="I413" s="146"/>
      <c r="J413" s="146"/>
      <c r="K413" s="146"/>
      <c r="L413" s="64"/>
      <c r="Y413" s="8"/>
      <c r="Z413" s="8"/>
      <c r="AA413" s="8"/>
    </row>
    <row r="414" spans="2:27" s="6" customFormat="1" ht="15" customHeight="1" outlineLevel="1" x14ac:dyDescent="0.15">
      <c r="B414" s="28"/>
      <c r="C414" s="144"/>
      <c r="D414" s="145"/>
      <c r="E414" s="145"/>
      <c r="F414" s="145"/>
      <c r="G414" s="145"/>
      <c r="H414" s="145"/>
      <c r="I414" s="146"/>
      <c r="J414" s="146"/>
      <c r="K414" s="146"/>
      <c r="L414" s="64"/>
      <c r="Y414" s="8"/>
      <c r="Z414" s="8"/>
      <c r="AA414" s="8"/>
    </row>
    <row r="415" spans="2:27" s="6" customFormat="1" ht="15" customHeight="1" outlineLevel="1" x14ac:dyDescent="0.15">
      <c r="B415" s="28"/>
      <c r="C415" s="144"/>
      <c r="D415" s="145"/>
      <c r="E415" s="145"/>
      <c r="F415" s="145"/>
      <c r="G415" s="145"/>
      <c r="H415" s="145"/>
      <c r="I415" s="146"/>
      <c r="J415" s="146"/>
      <c r="K415" s="146"/>
      <c r="L415" s="64"/>
      <c r="Y415" s="8"/>
      <c r="Z415" s="8"/>
      <c r="AA415" s="8"/>
    </row>
    <row r="416" spans="2:27" s="6" customFormat="1" ht="15" customHeight="1" outlineLevel="1" x14ac:dyDescent="0.15">
      <c r="B416" s="28"/>
      <c r="C416" s="144"/>
      <c r="D416" s="145"/>
      <c r="E416" s="145"/>
      <c r="F416" s="145"/>
      <c r="G416" s="145"/>
      <c r="H416" s="145"/>
      <c r="I416" s="146"/>
      <c r="J416" s="146"/>
      <c r="K416" s="146"/>
      <c r="L416" s="64"/>
      <c r="Y416" s="8"/>
      <c r="Z416" s="8"/>
      <c r="AA416" s="8"/>
    </row>
    <row r="417" spans="2:27" s="6" customFormat="1" ht="15" customHeight="1" outlineLevel="1" x14ac:dyDescent="0.15">
      <c r="B417" s="28"/>
      <c r="C417" s="144"/>
      <c r="D417" s="145"/>
      <c r="E417" s="145"/>
      <c r="F417" s="145"/>
      <c r="G417" s="145"/>
      <c r="H417" s="145"/>
      <c r="I417" s="146"/>
      <c r="J417" s="146"/>
      <c r="K417" s="146"/>
      <c r="L417" s="64"/>
      <c r="Y417" s="8"/>
      <c r="Z417" s="8"/>
      <c r="AA417" s="8"/>
    </row>
    <row r="418" spans="2:27" s="6" customFormat="1" ht="15" customHeight="1" outlineLevel="1" x14ac:dyDescent="0.15">
      <c r="B418" s="28"/>
      <c r="C418" s="144"/>
      <c r="D418" s="145"/>
      <c r="E418" s="145"/>
      <c r="F418" s="145"/>
      <c r="G418" s="145"/>
      <c r="H418" s="145"/>
      <c r="I418" s="146"/>
      <c r="J418" s="146"/>
      <c r="K418" s="146"/>
      <c r="L418" s="64"/>
      <c r="Y418" s="8"/>
      <c r="Z418" s="8"/>
      <c r="AA418" s="8"/>
    </row>
    <row r="419" spans="2:27" s="6" customFormat="1" ht="15" customHeight="1" outlineLevel="1" x14ac:dyDescent="0.15">
      <c r="B419" s="28"/>
      <c r="C419" s="144"/>
      <c r="D419" s="145"/>
      <c r="E419" s="145"/>
      <c r="F419" s="145"/>
      <c r="G419" s="145"/>
      <c r="H419" s="145"/>
      <c r="I419" s="146"/>
      <c r="J419" s="146"/>
      <c r="K419" s="146"/>
      <c r="L419" s="64"/>
      <c r="Y419" s="8"/>
      <c r="Z419" s="8"/>
      <c r="AA419" s="8"/>
    </row>
    <row r="420" spans="2:27" s="6" customFormat="1" ht="15" customHeight="1" outlineLevel="1" x14ac:dyDescent="0.15">
      <c r="B420" s="28"/>
      <c r="C420" s="144"/>
      <c r="D420" s="145"/>
      <c r="E420" s="145"/>
      <c r="F420" s="145"/>
      <c r="G420" s="145"/>
      <c r="H420" s="145"/>
      <c r="I420" s="146"/>
      <c r="J420" s="146"/>
      <c r="K420" s="146"/>
      <c r="L420" s="64"/>
      <c r="Y420" s="8"/>
      <c r="Z420" s="8"/>
      <c r="AA420" s="8"/>
    </row>
    <row r="421" spans="2:27" s="6" customFormat="1" ht="15" customHeight="1" outlineLevel="1" x14ac:dyDescent="0.15">
      <c r="B421" s="28"/>
      <c r="C421" s="144"/>
      <c r="D421" s="145"/>
      <c r="E421" s="145"/>
      <c r="F421" s="145"/>
      <c r="G421" s="145"/>
      <c r="H421" s="145"/>
      <c r="I421" s="146"/>
      <c r="J421" s="146"/>
      <c r="K421" s="146"/>
      <c r="L421" s="64"/>
      <c r="Y421" s="8"/>
      <c r="Z421" s="8"/>
      <c r="AA421" s="8"/>
    </row>
    <row r="422" spans="2:27" s="6" customFormat="1" ht="15" customHeight="1" outlineLevel="1" x14ac:dyDescent="0.15">
      <c r="B422" s="28"/>
      <c r="C422" s="144"/>
      <c r="D422" s="145"/>
      <c r="E422" s="145"/>
      <c r="F422" s="145"/>
      <c r="G422" s="145"/>
      <c r="H422" s="145"/>
      <c r="I422" s="146"/>
      <c r="J422" s="146"/>
      <c r="K422" s="146"/>
      <c r="L422" s="64"/>
      <c r="Y422" s="8"/>
      <c r="Z422" s="8"/>
      <c r="AA422" s="8"/>
    </row>
    <row r="423" spans="2:27" s="6" customFormat="1" ht="15" customHeight="1" outlineLevel="1" x14ac:dyDescent="0.15">
      <c r="B423" s="28"/>
      <c r="C423" s="144"/>
      <c r="D423" s="145"/>
      <c r="E423" s="145"/>
      <c r="F423" s="145"/>
      <c r="G423" s="145"/>
      <c r="H423" s="145"/>
      <c r="I423" s="146"/>
      <c r="J423" s="146"/>
      <c r="K423" s="146"/>
      <c r="L423" s="64"/>
      <c r="Y423" s="8"/>
      <c r="Z423" s="8"/>
      <c r="AA423" s="8"/>
    </row>
    <row r="424" spans="2:27" s="6" customFormat="1" ht="15" customHeight="1" outlineLevel="1" x14ac:dyDescent="0.15">
      <c r="B424" s="28"/>
      <c r="C424" s="144"/>
      <c r="D424" s="145"/>
      <c r="E424" s="145"/>
      <c r="F424" s="145"/>
      <c r="G424" s="145"/>
      <c r="H424" s="145"/>
      <c r="I424" s="146"/>
      <c r="J424" s="146"/>
      <c r="K424" s="146"/>
      <c r="L424" s="64"/>
      <c r="Y424" s="8"/>
      <c r="Z424" s="8"/>
      <c r="AA424" s="8"/>
    </row>
    <row r="425" spans="2:27" s="6" customFormat="1" ht="15" customHeight="1" outlineLevel="1" x14ac:dyDescent="0.15">
      <c r="B425" s="28"/>
      <c r="C425" s="144"/>
      <c r="D425" s="145"/>
      <c r="E425" s="145"/>
      <c r="F425" s="145"/>
      <c r="G425" s="145"/>
      <c r="H425" s="145"/>
      <c r="I425" s="146"/>
      <c r="J425" s="146"/>
      <c r="K425" s="146"/>
      <c r="L425" s="64"/>
      <c r="Y425" s="8"/>
      <c r="Z425" s="8"/>
      <c r="AA425" s="8"/>
    </row>
    <row r="426" spans="2:27" s="6" customFormat="1" ht="15" customHeight="1" outlineLevel="1" x14ac:dyDescent="0.15">
      <c r="B426" s="28"/>
      <c r="C426" s="144"/>
      <c r="D426" s="145"/>
      <c r="E426" s="145"/>
      <c r="F426" s="145"/>
      <c r="G426" s="145"/>
      <c r="H426" s="145"/>
      <c r="I426" s="146"/>
      <c r="J426" s="146"/>
      <c r="K426" s="146"/>
      <c r="L426" s="64"/>
      <c r="Y426" s="8"/>
      <c r="Z426" s="8"/>
      <c r="AA426" s="8"/>
    </row>
    <row r="427" spans="2:27" s="6" customFormat="1" ht="15" customHeight="1" outlineLevel="1" x14ac:dyDescent="0.15">
      <c r="B427" s="28"/>
      <c r="C427" s="144"/>
      <c r="D427" s="145"/>
      <c r="E427" s="145"/>
      <c r="F427" s="145"/>
      <c r="G427" s="145"/>
      <c r="H427" s="145"/>
      <c r="I427" s="146"/>
      <c r="J427" s="146"/>
      <c r="K427" s="146"/>
      <c r="L427" s="64"/>
      <c r="Y427" s="8"/>
      <c r="Z427" s="8"/>
      <c r="AA427" s="8"/>
    </row>
    <row r="428" spans="2:27" s="6" customFormat="1" ht="15" customHeight="1" outlineLevel="1" x14ac:dyDescent="0.15">
      <c r="B428" s="28"/>
      <c r="C428" s="144"/>
      <c r="D428" s="145"/>
      <c r="E428" s="145"/>
      <c r="F428" s="145"/>
      <c r="G428" s="145"/>
      <c r="H428" s="145"/>
      <c r="I428" s="146"/>
      <c r="J428" s="146"/>
      <c r="K428" s="146"/>
      <c r="L428" s="64"/>
      <c r="Y428" s="8"/>
      <c r="Z428" s="8"/>
      <c r="AA428" s="8"/>
    </row>
    <row r="429" spans="2:27" s="6" customFormat="1" ht="15" customHeight="1" outlineLevel="1" x14ac:dyDescent="0.15">
      <c r="B429" s="28"/>
      <c r="C429" s="144"/>
      <c r="D429" s="145"/>
      <c r="E429" s="145"/>
      <c r="F429" s="145"/>
      <c r="G429" s="145"/>
      <c r="H429" s="145"/>
      <c r="I429" s="146"/>
      <c r="J429" s="146"/>
      <c r="K429" s="146"/>
      <c r="L429" s="64"/>
      <c r="Y429" s="8"/>
      <c r="Z429" s="8"/>
      <c r="AA429" s="8"/>
    </row>
    <row r="430" spans="2:27" s="6" customFormat="1" ht="15" customHeight="1" outlineLevel="1" x14ac:dyDescent="0.15">
      <c r="B430" s="28"/>
      <c r="C430" s="144"/>
      <c r="D430" s="145"/>
      <c r="E430" s="145"/>
      <c r="F430" s="145"/>
      <c r="G430" s="145"/>
      <c r="H430" s="145"/>
      <c r="I430" s="146"/>
      <c r="J430" s="146"/>
      <c r="K430" s="146"/>
      <c r="L430" s="64"/>
      <c r="Y430" s="8"/>
      <c r="Z430" s="8"/>
      <c r="AA430" s="8"/>
    </row>
    <row r="431" spans="2:27" s="6" customFormat="1" ht="15" customHeight="1" outlineLevel="1" x14ac:dyDescent="0.15">
      <c r="B431" s="28"/>
      <c r="C431" s="144"/>
      <c r="D431" s="145"/>
      <c r="E431" s="145"/>
      <c r="F431" s="145"/>
      <c r="G431" s="145"/>
      <c r="H431" s="145"/>
      <c r="I431" s="146"/>
      <c r="J431" s="146"/>
      <c r="K431" s="146"/>
      <c r="L431" s="64"/>
      <c r="Y431" s="8"/>
      <c r="Z431" s="8"/>
      <c r="AA431" s="8"/>
    </row>
    <row r="432" spans="2:27" s="6" customFormat="1" ht="15" customHeight="1" outlineLevel="1" x14ac:dyDescent="0.15">
      <c r="B432" s="28"/>
      <c r="C432" s="144"/>
      <c r="D432" s="145"/>
      <c r="E432" s="145"/>
      <c r="F432" s="145"/>
      <c r="G432" s="145"/>
      <c r="H432" s="145"/>
      <c r="I432" s="146"/>
      <c r="J432" s="146"/>
      <c r="K432" s="146"/>
      <c r="L432" s="64"/>
      <c r="Y432" s="8"/>
      <c r="Z432" s="8"/>
      <c r="AA432" s="8"/>
    </row>
    <row r="433" spans="2:27" s="6" customFormat="1" ht="15" customHeight="1" outlineLevel="1" x14ac:dyDescent="0.15">
      <c r="B433" s="28"/>
      <c r="C433" s="144"/>
      <c r="D433" s="145"/>
      <c r="E433" s="145"/>
      <c r="F433" s="145"/>
      <c r="G433" s="145"/>
      <c r="H433" s="145"/>
      <c r="I433" s="146"/>
      <c r="J433" s="146"/>
      <c r="K433" s="146"/>
      <c r="L433" s="64"/>
      <c r="Y433" s="8"/>
      <c r="Z433" s="8"/>
      <c r="AA433" s="8"/>
    </row>
    <row r="434" spans="2:27" s="6" customFormat="1" ht="15" customHeight="1" outlineLevel="1" x14ac:dyDescent="0.15">
      <c r="B434" s="28"/>
      <c r="C434" s="144"/>
      <c r="D434" s="145"/>
      <c r="E434" s="145"/>
      <c r="F434" s="145"/>
      <c r="G434" s="145"/>
      <c r="H434" s="145"/>
      <c r="I434" s="146"/>
      <c r="J434" s="146"/>
      <c r="K434" s="146"/>
      <c r="L434" s="64"/>
      <c r="Y434" s="8"/>
      <c r="Z434" s="8"/>
      <c r="AA434" s="8"/>
    </row>
    <row r="435" spans="2:27" s="6" customFormat="1" ht="15" customHeight="1" outlineLevel="1" x14ac:dyDescent="0.15">
      <c r="B435" s="28"/>
      <c r="C435" s="144"/>
      <c r="D435" s="145"/>
      <c r="E435" s="145"/>
      <c r="F435" s="145"/>
      <c r="G435" s="145"/>
      <c r="H435" s="145"/>
      <c r="I435" s="146"/>
      <c r="J435" s="146"/>
      <c r="K435" s="146"/>
      <c r="L435" s="64"/>
      <c r="Y435" s="8"/>
      <c r="Z435" s="8"/>
      <c r="AA435" s="8"/>
    </row>
    <row r="436" spans="2:27" s="6" customFormat="1" ht="15" customHeight="1" outlineLevel="1" x14ac:dyDescent="0.15">
      <c r="B436" s="28"/>
      <c r="C436" s="144"/>
      <c r="D436" s="145"/>
      <c r="E436" s="145"/>
      <c r="F436" s="145"/>
      <c r="G436" s="145"/>
      <c r="H436" s="145"/>
      <c r="I436" s="146"/>
      <c r="J436" s="146"/>
      <c r="K436" s="146"/>
      <c r="L436" s="64"/>
      <c r="Y436" s="8"/>
      <c r="Z436" s="8"/>
      <c r="AA436" s="8"/>
    </row>
    <row r="437" spans="2:27" s="6" customFormat="1" ht="15" customHeight="1" outlineLevel="1" x14ac:dyDescent="0.15">
      <c r="B437" s="28"/>
      <c r="C437" s="144"/>
      <c r="D437" s="145"/>
      <c r="E437" s="145"/>
      <c r="F437" s="145"/>
      <c r="G437" s="145"/>
      <c r="H437" s="145"/>
      <c r="I437" s="146"/>
      <c r="J437" s="146"/>
      <c r="K437" s="146"/>
      <c r="L437" s="64"/>
      <c r="Y437" s="8"/>
      <c r="Z437" s="8"/>
      <c r="AA437" s="8"/>
    </row>
    <row r="438" spans="2:27" s="6" customFormat="1" ht="15" customHeight="1" outlineLevel="1" x14ac:dyDescent="0.15">
      <c r="B438" s="28"/>
      <c r="C438" s="144"/>
      <c r="D438" s="145"/>
      <c r="E438" s="145"/>
      <c r="F438" s="145"/>
      <c r="G438" s="145"/>
      <c r="H438" s="145"/>
      <c r="I438" s="146"/>
      <c r="J438" s="146"/>
      <c r="K438" s="146"/>
      <c r="L438" s="64"/>
      <c r="Y438" s="8"/>
      <c r="Z438" s="8"/>
      <c r="AA438" s="8"/>
    </row>
    <row r="439" spans="2:27" s="6" customFormat="1" ht="15" customHeight="1" outlineLevel="1" x14ac:dyDescent="0.15">
      <c r="B439" s="28"/>
      <c r="C439" s="144"/>
      <c r="D439" s="145"/>
      <c r="E439" s="145"/>
      <c r="F439" s="145"/>
      <c r="G439" s="145"/>
      <c r="H439" s="145"/>
      <c r="I439" s="146"/>
      <c r="J439" s="146"/>
      <c r="K439" s="146"/>
      <c r="L439" s="64"/>
      <c r="Y439" s="8"/>
      <c r="Z439" s="8"/>
      <c r="AA439" s="8"/>
    </row>
    <row r="440" spans="2:27" s="6" customFormat="1" ht="15" customHeight="1" outlineLevel="1" x14ac:dyDescent="0.15">
      <c r="B440" s="28"/>
      <c r="C440" s="144"/>
      <c r="D440" s="145"/>
      <c r="E440" s="145"/>
      <c r="F440" s="145"/>
      <c r="G440" s="145"/>
      <c r="H440" s="145"/>
      <c r="I440" s="146"/>
      <c r="J440" s="146"/>
      <c r="K440" s="146"/>
      <c r="L440" s="64"/>
      <c r="Y440" s="8"/>
      <c r="Z440" s="8"/>
      <c r="AA440" s="8"/>
    </row>
    <row r="441" spans="2:27" s="6" customFormat="1" ht="15" customHeight="1" outlineLevel="1" x14ac:dyDescent="0.15">
      <c r="B441" s="28"/>
      <c r="C441" s="144"/>
      <c r="D441" s="145"/>
      <c r="E441" s="145"/>
      <c r="F441" s="145"/>
      <c r="G441" s="145"/>
      <c r="H441" s="145"/>
      <c r="I441" s="146"/>
      <c r="J441" s="146"/>
      <c r="K441" s="146"/>
      <c r="L441" s="64"/>
      <c r="Y441" s="8"/>
      <c r="Z441" s="8"/>
      <c r="AA441" s="8"/>
    </row>
    <row r="442" spans="2:27" s="6" customFormat="1" ht="15" customHeight="1" outlineLevel="1" x14ac:dyDescent="0.15">
      <c r="B442" s="28"/>
      <c r="C442" s="144"/>
      <c r="D442" s="145"/>
      <c r="E442" s="145"/>
      <c r="F442" s="145"/>
      <c r="G442" s="145"/>
      <c r="H442" s="145"/>
      <c r="I442" s="146"/>
      <c r="J442" s="146"/>
      <c r="K442" s="146"/>
      <c r="L442" s="64"/>
      <c r="Y442" s="8"/>
      <c r="Z442" s="8"/>
      <c r="AA442" s="8"/>
    </row>
    <row r="443" spans="2:27" s="6" customFormat="1" ht="15" customHeight="1" outlineLevel="1" x14ac:dyDescent="0.15">
      <c r="B443" s="28"/>
      <c r="C443" s="144"/>
      <c r="D443" s="145"/>
      <c r="E443" s="145"/>
      <c r="F443" s="145"/>
      <c r="G443" s="145"/>
      <c r="H443" s="145"/>
      <c r="I443" s="146"/>
      <c r="J443" s="146"/>
      <c r="K443" s="146"/>
      <c r="L443" s="64"/>
      <c r="Y443" s="8"/>
      <c r="Z443" s="8"/>
      <c r="AA443" s="8"/>
    </row>
    <row r="444" spans="2:27" s="6" customFormat="1" ht="15" customHeight="1" outlineLevel="1" x14ac:dyDescent="0.15">
      <c r="B444" s="28"/>
      <c r="C444" s="144"/>
      <c r="D444" s="145"/>
      <c r="E444" s="145"/>
      <c r="F444" s="145"/>
      <c r="G444" s="145"/>
      <c r="H444" s="145"/>
      <c r="I444" s="146"/>
      <c r="J444" s="146"/>
      <c r="K444" s="146"/>
      <c r="L444" s="64"/>
      <c r="Y444" s="8"/>
      <c r="Z444" s="8"/>
      <c r="AA444" s="8"/>
    </row>
    <row r="445" spans="2:27" s="6" customFormat="1" ht="15" customHeight="1" outlineLevel="1" x14ac:dyDescent="0.15">
      <c r="B445" s="28"/>
      <c r="C445" s="144"/>
      <c r="D445" s="145"/>
      <c r="E445" s="145"/>
      <c r="F445" s="145"/>
      <c r="G445" s="145"/>
      <c r="H445" s="145"/>
      <c r="I445" s="146"/>
      <c r="J445" s="146"/>
      <c r="K445" s="146"/>
      <c r="L445" s="64"/>
      <c r="Y445" s="8"/>
      <c r="Z445" s="8"/>
      <c r="AA445" s="8"/>
    </row>
    <row r="446" spans="2:27" s="6" customFormat="1" ht="15" customHeight="1" outlineLevel="1" x14ac:dyDescent="0.15">
      <c r="B446" s="28"/>
      <c r="C446" s="144"/>
      <c r="D446" s="145"/>
      <c r="E446" s="145"/>
      <c r="F446" s="145"/>
      <c r="G446" s="145"/>
      <c r="H446" s="145"/>
      <c r="I446" s="146"/>
      <c r="J446" s="146"/>
      <c r="K446" s="146"/>
      <c r="L446" s="64"/>
      <c r="Y446" s="8"/>
      <c r="Z446" s="8"/>
      <c r="AA446" s="8"/>
    </row>
    <row r="447" spans="2:27" s="6" customFormat="1" ht="15" customHeight="1" outlineLevel="1" x14ac:dyDescent="0.15">
      <c r="B447" s="28"/>
      <c r="C447" s="144"/>
      <c r="D447" s="145"/>
      <c r="E447" s="145"/>
      <c r="F447" s="145"/>
      <c r="G447" s="145"/>
      <c r="H447" s="145"/>
      <c r="I447" s="146"/>
      <c r="J447" s="146"/>
      <c r="K447" s="146"/>
      <c r="L447" s="64"/>
      <c r="Y447" s="8"/>
      <c r="Z447" s="8"/>
      <c r="AA447" s="8"/>
    </row>
    <row r="448" spans="2:27" s="6" customFormat="1" ht="15" customHeight="1" outlineLevel="1" x14ac:dyDescent="0.15">
      <c r="B448" s="28"/>
      <c r="C448" s="144"/>
      <c r="D448" s="145"/>
      <c r="E448" s="145"/>
      <c r="F448" s="145"/>
      <c r="G448" s="145"/>
      <c r="H448" s="145"/>
      <c r="I448" s="146"/>
      <c r="J448" s="146"/>
      <c r="K448" s="146"/>
      <c r="L448" s="64"/>
      <c r="Y448" s="8"/>
      <c r="Z448" s="8"/>
      <c r="AA448" s="8"/>
    </row>
    <row r="449" spans="2:27" s="6" customFormat="1" ht="15" customHeight="1" outlineLevel="1" x14ac:dyDescent="0.15">
      <c r="B449" s="28"/>
      <c r="C449" s="144"/>
      <c r="D449" s="145"/>
      <c r="E449" s="145"/>
      <c r="F449" s="145"/>
      <c r="G449" s="145"/>
      <c r="H449" s="145"/>
      <c r="I449" s="146"/>
      <c r="J449" s="146"/>
      <c r="K449" s="146"/>
      <c r="L449" s="64"/>
      <c r="Y449" s="8"/>
      <c r="Z449" s="8"/>
      <c r="AA449" s="8"/>
    </row>
    <row r="450" spans="2:27" s="6" customFormat="1" ht="15" customHeight="1" outlineLevel="1" x14ac:dyDescent="0.15">
      <c r="B450" s="28"/>
      <c r="C450" s="144"/>
      <c r="D450" s="145"/>
      <c r="E450" s="145"/>
      <c r="F450" s="145"/>
      <c r="G450" s="145"/>
      <c r="H450" s="145"/>
      <c r="I450" s="146"/>
      <c r="J450" s="146"/>
      <c r="K450" s="146"/>
      <c r="L450" s="64"/>
      <c r="Y450" s="8"/>
      <c r="Z450" s="8"/>
      <c r="AA450" s="8"/>
    </row>
    <row r="451" spans="2:27" s="6" customFormat="1" ht="15" customHeight="1" outlineLevel="1" x14ac:dyDescent="0.15">
      <c r="B451" s="28"/>
      <c r="C451" s="144"/>
      <c r="D451" s="145"/>
      <c r="E451" s="145"/>
      <c r="F451" s="145"/>
      <c r="G451" s="145"/>
      <c r="H451" s="145"/>
      <c r="I451" s="146"/>
      <c r="J451" s="146"/>
      <c r="K451" s="146"/>
      <c r="L451" s="64"/>
      <c r="Y451" s="8"/>
      <c r="Z451" s="8"/>
      <c r="AA451" s="8"/>
    </row>
    <row r="452" spans="2:27" s="6" customFormat="1" ht="15" customHeight="1" outlineLevel="1" x14ac:dyDescent="0.15">
      <c r="B452" s="28"/>
      <c r="C452" s="144"/>
      <c r="D452" s="145"/>
      <c r="E452" s="145"/>
      <c r="F452" s="145"/>
      <c r="G452" s="145"/>
      <c r="H452" s="145"/>
      <c r="I452" s="146"/>
      <c r="J452" s="146"/>
      <c r="K452" s="146"/>
      <c r="L452" s="64"/>
      <c r="Y452" s="8"/>
      <c r="Z452" s="8"/>
      <c r="AA452" s="8"/>
    </row>
    <row r="453" spans="2:27" s="6" customFormat="1" ht="15" customHeight="1" outlineLevel="1" x14ac:dyDescent="0.15">
      <c r="B453" s="28"/>
      <c r="C453" s="144"/>
      <c r="D453" s="145"/>
      <c r="E453" s="145"/>
      <c r="F453" s="145"/>
      <c r="G453" s="145"/>
      <c r="H453" s="145"/>
      <c r="I453" s="146"/>
      <c r="J453" s="146"/>
      <c r="K453" s="146"/>
      <c r="L453" s="64"/>
      <c r="Y453" s="8"/>
      <c r="Z453" s="8"/>
      <c r="AA453" s="8"/>
    </row>
    <row r="454" spans="2:27" s="6" customFormat="1" ht="15" customHeight="1" outlineLevel="1" x14ac:dyDescent="0.15">
      <c r="B454" s="28"/>
      <c r="C454" s="144"/>
      <c r="D454" s="145"/>
      <c r="E454" s="145"/>
      <c r="F454" s="145"/>
      <c r="G454" s="145"/>
      <c r="H454" s="145"/>
      <c r="I454" s="146"/>
      <c r="J454" s="146"/>
      <c r="K454" s="146"/>
      <c r="L454" s="64"/>
      <c r="Y454" s="8"/>
      <c r="Z454" s="8"/>
      <c r="AA454" s="8"/>
    </row>
    <row r="455" spans="2:27" s="6" customFormat="1" ht="15" customHeight="1" outlineLevel="1" x14ac:dyDescent="0.15">
      <c r="B455" s="28"/>
      <c r="C455" s="144"/>
      <c r="D455" s="145"/>
      <c r="E455" s="145"/>
      <c r="F455" s="145"/>
      <c r="G455" s="145"/>
      <c r="H455" s="145"/>
      <c r="I455" s="146"/>
      <c r="J455" s="146"/>
      <c r="K455" s="146"/>
      <c r="L455" s="64"/>
      <c r="Y455" s="8"/>
      <c r="Z455" s="8"/>
      <c r="AA455" s="8"/>
    </row>
    <row r="456" spans="2:27" s="6" customFormat="1" ht="15" customHeight="1" outlineLevel="1" x14ac:dyDescent="0.15">
      <c r="B456" s="28"/>
      <c r="C456" s="144"/>
      <c r="D456" s="145"/>
      <c r="E456" s="145"/>
      <c r="F456" s="145"/>
      <c r="G456" s="145"/>
      <c r="H456" s="145"/>
      <c r="I456" s="146"/>
      <c r="J456" s="146"/>
      <c r="K456" s="146"/>
      <c r="L456" s="64"/>
      <c r="Y456" s="8"/>
      <c r="Z456" s="8"/>
      <c r="AA456" s="8"/>
    </row>
    <row r="457" spans="2:27" s="6" customFormat="1" ht="15" customHeight="1" outlineLevel="1" x14ac:dyDescent="0.15">
      <c r="B457" s="28"/>
      <c r="C457" s="144"/>
      <c r="D457" s="145"/>
      <c r="E457" s="145"/>
      <c r="F457" s="145"/>
      <c r="G457" s="145"/>
      <c r="H457" s="145"/>
      <c r="I457" s="146"/>
      <c r="J457" s="146"/>
      <c r="K457" s="146"/>
      <c r="L457" s="64"/>
      <c r="Y457" s="8"/>
      <c r="Z457" s="8"/>
      <c r="AA457" s="8"/>
    </row>
    <row r="458" spans="2:27" s="6" customFormat="1" ht="15" customHeight="1" outlineLevel="1" x14ac:dyDescent="0.15">
      <c r="B458" s="28"/>
      <c r="C458" s="144"/>
      <c r="D458" s="145"/>
      <c r="E458" s="145"/>
      <c r="F458" s="145"/>
      <c r="G458" s="145"/>
      <c r="H458" s="145"/>
      <c r="I458" s="146"/>
      <c r="J458" s="146"/>
      <c r="K458" s="146"/>
      <c r="L458" s="64"/>
      <c r="Y458" s="8"/>
      <c r="Z458" s="8"/>
      <c r="AA458" s="8"/>
    </row>
    <row r="459" spans="2:27" s="6" customFormat="1" ht="15" customHeight="1" outlineLevel="1" x14ac:dyDescent="0.15">
      <c r="B459" s="28"/>
      <c r="C459" s="144"/>
      <c r="D459" s="145"/>
      <c r="E459" s="145"/>
      <c r="F459" s="145"/>
      <c r="G459" s="145"/>
      <c r="H459" s="145"/>
      <c r="I459" s="146"/>
      <c r="J459" s="146"/>
      <c r="K459" s="146"/>
      <c r="L459" s="64"/>
      <c r="Y459" s="8"/>
      <c r="Z459" s="8"/>
      <c r="AA459" s="8"/>
    </row>
    <row r="460" spans="2:27" s="6" customFormat="1" ht="15" customHeight="1" outlineLevel="1" x14ac:dyDescent="0.15">
      <c r="B460" s="28"/>
      <c r="C460" s="144"/>
      <c r="D460" s="145"/>
      <c r="E460" s="145"/>
      <c r="F460" s="145"/>
      <c r="G460" s="145"/>
      <c r="H460" s="145"/>
      <c r="I460" s="146"/>
      <c r="J460" s="146"/>
      <c r="K460" s="146"/>
      <c r="L460" s="64"/>
      <c r="Y460" s="8"/>
      <c r="Z460" s="8"/>
      <c r="AA460" s="8"/>
    </row>
    <row r="461" spans="2:27" s="6" customFormat="1" ht="15" customHeight="1" outlineLevel="1" x14ac:dyDescent="0.15">
      <c r="B461" s="28"/>
      <c r="C461" s="144"/>
      <c r="D461" s="145"/>
      <c r="E461" s="145"/>
      <c r="F461" s="145"/>
      <c r="G461" s="145"/>
      <c r="H461" s="145"/>
      <c r="I461" s="146"/>
      <c r="J461" s="146"/>
      <c r="K461" s="146"/>
      <c r="L461" s="64"/>
      <c r="Y461" s="8"/>
      <c r="Z461" s="8"/>
      <c r="AA461" s="8"/>
    </row>
    <row r="462" spans="2:27" s="6" customFormat="1" ht="15" customHeight="1" outlineLevel="1" x14ac:dyDescent="0.15">
      <c r="B462" s="28"/>
      <c r="C462" s="144"/>
      <c r="D462" s="145"/>
      <c r="E462" s="145"/>
      <c r="F462" s="145"/>
      <c r="G462" s="145"/>
      <c r="H462" s="145"/>
      <c r="I462" s="146"/>
      <c r="J462" s="146"/>
      <c r="K462" s="146"/>
      <c r="L462" s="64"/>
      <c r="Y462" s="8"/>
      <c r="Z462" s="8"/>
      <c r="AA462" s="8"/>
    </row>
    <row r="463" spans="2:27" s="6" customFormat="1" ht="15" customHeight="1" outlineLevel="1" x14ac:dyDescent="0.15">
      <c r="B463" s="28"/>
      <c r="C463" s="144"/>
      <c r="D463" s="145"/>
      <c r="E463" s="145"/>
      <c r="F463" s="145"/>
      <c r="G463" s="145"/>
      <c r="H463" s="145"/>
      <c r="I463" s="146"/>
      <c r="J463" s="146"/>
      <c r="K463" s="146"/>
      <c r="L463" s="64"/>
      <c r="Y463" s="8"/>
      <c r="Z463" s="8"/>
      <c r="AA463" s="8"/>
    </row>
    <row r="464" spans="2:27" s="6" customFormat="1" ht="15" customHeight="1" outlineLevel="1" x14ac:dyDescent="0.15">
      <c r="B464" s="28"/>
      <c r="C464" s="144"/>
      <c r="D464" s="145"/>
      <c r="E464" s="145"/>
      <c r="F464" s="145"/>
      <c r="G464" s="145"/>
      <c r="H464" s="145"/>
      <c r="I464" s="146"/>
      <c r="J464" s="146"/>
      <c r="K464" s="146"/>
      <c r="L464" s="64"/>
      <c r="Y464" s="8"/>
      <c r="Z464" s="8"/>
      <c r="AA464" s="8"/>
    </row>
    <row r="465" spans="2:27" s="6" customFormat="1" ht="15" customHeight="1" outlineLevel="1" x14ac:dyDescent="0.15">
      <c r="B465" s="28"/>
      <c r="C465" s="144"/>
      <c r="D465" s="145"/>
      <c r="E465" s="145"/>
      <c r="F465" s="145"/>
      <c r="G465" s="145"/>
      <c r="H465" s="145"/>
      <c r="I465" s="146"/>
      <c r="J465" s="146"/>
      <c r="K465" s="146"/>
      <c r="L465" s="64"/>
      <c r="Y465" s="8"/>
      <c r="Z465" s="8"/>
      <c r="AA465" s="8"/>
    </row>
    <row r="466" spans="2:27" s="6" customFormat="1" ht="15" customHeight="1" outlineLevel="1" x14ac:dyDescent="0.15">
      <c r="B466" s="28"/>
      <c r="C466" s="144"/>
      <c r="D466" s="145"/>
      <c r="E466" s="145"/>
      <c r="F466" s="145"/>
      <c r="G466" s="145"/>
      <c r="H466" s="145"/>
      <c r="I466" s="146"/>
      <c r="J466" s="146"/>
      <c r="K466" s="146"/>
      <c r="L466" s="64"/>
      <c r="Y466" s="8"/>
      <c r="Z466" s="8"/>
      <c r="AA466" s="8"/>
    </row>
    <row r="467" spans="2:27" s="6" customFormat="1" ht="15" customHeight="1" outlineLevel="1" x14ac:dyDescent="0.15">
      <c r="B467" s="28"/>
      <c r="C467" s="144"/>
      <c r="D467" s="145"/>
      <c r="E467" s="145"/>
      <c r="F467" s="145"/>
      <c r="G467" s="145"/>
      <c r="H467" s="145"/>
      <c r="I467" s="146"/>
      <c r="J467" s="146"/>
      <c r="K467" s="146"/>
      <c r="L467" s="64"/>
      <c r="Y467" s="8"/>
      <c r="Z467" s="8"/>
      <c r="AA467" s="8"/>
    </row>
    <row r="468" spans="2:27" s="6" customFormat="1" ht="15" customHeight="1" outlineLevel="1" x14ac:dyDescent="0.15">
      <c r="B468" s="28"/>
      <c r="C468" s="144"/>
      <c r="D468" s="145"/>
      <c r="E468" s="145"/>
      <c r="F468" s="145"/>
      <c r="G468" s="145"/>
      <c r="H468" s="145"/>
      <c r="I468" s="146"/>
      <c r="J468" s="146"/>
      <c r="K468" s="146"/>
      <c r="L468" s="64"/>
      <c r="Y468" s="8"/>
      <c r="Z468" s="8"/>
      <c r="AA468" s="8"/>
    </row>
    <row r="469" spans="2:27" s="6" customFormat="1" ht="15" customHeight="1" outlineLevel="1" x14ac:dyDescent="0.15">
      <c r="B469" s="28"/>
      <c r="C469" s="144"/>
      <c r="D469" s="145"/>
      <c r="E469" s="145"/>
      <c r="F469" s="145"/>
      <c r="G469" s="145"/>
      <c r="H469" s="145"/>
      <c r="I469" s="146"/>
      <c r="J469" s="146"/>
      <c r="K469" s="146"/>
      <c r="L469" s="64"/>
      <c r="Y469" s="8"/>
      <c r="Z469" s="8"/>
      <c r="AA469" s="8"/>
    </row>
    <row r="470" spans="2:27" s="6" customFormat="1" ht="15" customHeight="1" outlineLevel="1" x14ac:dyDescent="0.15">
      <c r="B470" s="28"/>
      <c r="C470" s="144"/>
      <c r="D470" s="145"/>
      <c r="E470" s="145"/>
      <c r="F470" s="145"/>
      <c r="G470" s="145"/>
      <c r="H470" s="145"/>
      <c r="I470" s="146"/>
      <c r="J470" s="146"/>
      <c r="K470" s="146"/>
      <c r="L470" s="64"/>
      <c r="Y470" s="8"/>
      <c r="Z470" s="8"/>
      <c r="AA470" s="8"/>
    </row>
    <row r="471" spans="2:27" s="6" customFormat="1" ht="15" customHeight="1" outlineLevel="1" x14ac:dyDescent="0.15">
      <c r="B471" s="28"/>
      <c r="C471" s="144"/>
      <c r="D471" s="145"/>
      <c r="E471" s="145"/>
      <c r="F471" s="145"/>
      <c r="G471" s="145"/>
      <c r="H471" s="145"/>
      <c r="I471" s="146"/>
      <c r="J471" s="146"/>
      <c r="K471" s="146"/>
      <c r="L471" s="64"/>
      <c r="Y471" s="8"/>
      <c r="Z471" s="8"/>
      <c r="AA471" s="8"/>
    </row>
    <row r="472" spans="2:27" s="6" customFormat="1" ht="15" customHeight="1" outlineLevel="1" x14ac:dyDescent="0.15">
      <c r="B472" s="28"/>
      <c r="C472" s="144"/>
      <c r="D472" s="145"/>
      <c r="E472" s="145"/>
      <c r="F472" s="145"/>
      <c r="G472" s="145"/>
      <c r="H472" s="145"/>
      <c r="I472" s="146"/>
      <c r="J472" s="146"/>
      <c r="K472" s="146"/>
      <c r="L472" s="64"/>
      <c r="Y472" s="8"/>
      <c r="Z472" s="8"/>
      <c r="AA472" s="8"/>
    </row>
    <row r="473" spans="2:27" s="6" customFormat="1" ht="15" customHeight="1" outlineLevel="1" x14ac:dyDescent="0.15">
      <c r="B473" s="28"/>
      <c r="C473" s="144"/>
      <c r="D473" s="145"/>
      <c r="E473" s="145"/>
      <c r="F473" s="145"/>
      <c r="G473" s="145"/>
      <c r="H473" s="145"/>
      <c r="I473" s="146"/>
      <c r="J473" s="146"/>
      <c r="K473" s="146"/>
      <c r="L473" s="64"/>
      <c r="Y473" s="8"/>
      <c r="Z473" s="8"/>
      <c r="AA473" s="8"/>
    </row>
    <row r="474" spans="2:27" s="6" customFormat="1" ht="15" customHeight="1" outlineLevel="1" x14ac:dyDescent="0.15">
      <c r="B474" s="28"/>
      <c r="C474" s="144"/>
      <c r="D474" s="145"/>
      <c r="E474" s="145"/>
      <c r="F474" s="145"/>
      <c r="G474" s="145"/>
      <c r="H474" s="145"/>
      <c r="I474" s="146"/>
      <c r="J474" s="146"/>
      <c r="K474" s="146"/>
      <c r="L474" s="64"/>
      <c r="Y474" s="8"/>
      <c r="Z474" s="8"/>
      <c r="AA474" s="8"/>
    </row>
    <row r="475" spans="2:27" s="6" customFormat="1" ht="15" customHeight="1" outlineLevel="1" x14ac:dyDescent="0.15">
      <c r="B475" s="28"/>
      <c r="C475" s="144"/>
      <c r="D475" s="145"/>
      <c r="E475" s="145"/>
      <c r="F475" s="145"/>
      <c r="G475" s="145"/>
      <c r="H475" s="145"/>
      <c r="I475" s="146"/>
      <c r="J475" s="146"/>
      <c r="K475" s="146"/>
      <c r="L475" s="64"/>
      <c r="Y475" s="8"/>
      <c r="Z475" s="8"/>
      <c r="AA475" s="8"/>
    </row>
    <row r="476" spans="2:27" s="6" customFormat="1" ht="15" customHeight="1" outlineLevel="1" x14ac:dyDescent="0.15">
      <c r="B476" s="28"/>
      <c r="C476" s="144"/>
      <c r="D476" s="145"/>
      <c r="E476" s="145"/>
      <c r="F476" s="145"/>
      <c r="G476" s="145"/>
      <c r="H476" s="145"/>
      <c r="I476" s="146"/>
      <c r="J476" s="146"/>
      <c r="K476" s="146"/>
      <c r="L476" s="64"/>
      <c r="Y476" s="8"/>
      <c r="Z476" s="8"/>
      <c r="AA476" s="8"/>
    </row>
    <row r="477" spans="2:27" s="6" customFormat="1" ht="15" customHeight="1" outlineLevel="1" x14ac:dyDescent="0.15">
      <c r="B477" s="28"/>
      <c r="C477" s="144"/>
      <c r="D477" s="145"/>
      <c r="E477" s="145"/>
      <c r="F477" s="145"/>
      <c r="G477" s="145"/>
      <c r="H477" s="145"/>
      <c r="I477" s="146"/>
      <c r="J477" s="146"/>
      <c r="K477" s="146"/>
      <c r="L477" s="64"/>
      <c r="Y477" s="8"/>
      <c r="Z477" s="8"/>
      <c r="AA477" s="8"/>
    </row>
    <row r="478" spans="2:27" s="6" customFormat="1" ht="15" customHeight="1" outlineLevel="1" x14ac:dyDescent="0.15">
      <c r="B478" s="28"/>
      <c r="C478" s="144"/>
      <c r="D478" s="145"/>
      <c r="E478" s="145"/>
      <c r="F478" s="145"/>
      <c r="G478" s="145"/>
      <c r="H478" s="145"/>
      <c r="I478" s="146"/>
      <c r="J478" s="146"/>
      <c r="K478" s="146"/>
      <c r="L478" s="64"/>
      <c r="Y478" s="8"/>
      <c r="Z478" s="8"/>
      <c r="AA478" s="8"/>
    </row>
    <row r="479" spans="2:27" s="6" customFormat="1" ht="15" customHeight="1" outlineLevel="1" x14ac:dyDescent="0.15">
      <c r="B479" s="28"/>
      <c r="C479" s="144"/>
      <c r="D479" s="145"/>
      <c r="E479" s="145"/>
      <c r="F479" s="145"/>
      <c r="G479" s="145"/>
      <c r="H479" s="145"/>
      <c r="I479" s="146"/>
      <c r="J479" s="146"/>
      <c r="K479" s="146"/>
      <c r="L479" s="64"/>
      <c r="Y479" s="8"/>
      <c r="Z479" s="8"/>
      <c r="AA479" s="8"/>
    </row>
    <row r="480" spans="2:27" s="6" customFormat="1" ht="15" customHeight="1" outlineLevel="1" x14ac:dyDescent="0.15">
      <c r="B480" s="28"/>
      <c r="C480" s="144"/>
      <c r="D480" s="145"/>
      <c r="E480" s="145"/>
      <c r="F480" s="145"/>
      <c r="G480" s="145"/>
      <c r="H480" s="145"/>
      <c r="I480" s="146"/>
      <c r="J480" s="146"/>
      <c r="K480" s="146"/>
      <c r="L480" s="64"/>
      <c r="Y480" s="8"/>
      <c r="Z480" s="8"/>
      <c r="AA480" s="8"/>
    </row>
    <row r="481" spans="2:27" s="6" customFormat="1" ht="15" customHeight="1" outlineLevel="1" x14ac:dyDescent="0.15">
      <c r="B481" s="28"/>
      <c r="C481" s="144"/>
      <c r="D481" s="145"/>
      <c r="E481" s="145"/>
      <c r="F481" s="145"/>
      <c r="G481" s="145"/>
      <c r="H481" s="145"/>
      <c r="I481" s="146"/>
      <c r="J481" s="146"/>
      <c r="K481" s="146"/>
      <c r="L481" s="64"/>
      <c r="Y481" s="8"/>
      <c r="Z481" s="8"/>
      <c r="AA481" s="8"/>
    </row>
    <row r="482" spans="2:27" s="6" customFormat="1" ht="15" customHeight="1" outlineLevel="1" x14ac:dyDescent="0.15">
      <c r="B482" s="28"/>
      <c r="C482" s="144"/>
      <c r="D482" s="145"/>
      <c r="E482" s="145"/>
      <c r="F482" s="145"/>
      <c r="G482" s="145"/>
      <c r="H482" s="145"/>
      <c r="I482" s="146"/>
      <c r="J482" s="146"/>
      <c r="K482" s="146"/>
      <c r="L482" s="64"/>
      <c r="Y482" s="8"/>
      <c r="Z482" s="8"/>
      <c r="AA482" s="8"/>
    </row>
    <row r="483" spans="2:27" s="6" customFormat="1" ht="15" customHeight="1" outlineLevel="1" x14ac:dyDescent="0.15">
      <c r="B483" s="28"/>
      <c r="C483" s="144"/>
      <c r="D483" s="145"/>
      <c r="E483" s="145"/>
      <c r="F483" s="145"/>
      <c r="G483" s="145"/>
      <c r="H483" s="145"/>
      <c r="I483" s="146"/>
      <c r="J483" s="146"/>
      <c r="K483" s="146"/>
      <c r="L483" s="64"/>
      <c r="Y483" s="8"/>
      <c r="Z483" s="8"/>
      <c r="AA483" s="8"/>
    </row>
    <row r="484" spans="2:27" s="6" customFormat="1" ht="15" customHeight="1" outlineLevel="1" x14ac:dyDescent="0.15">
      <c r="B484" s="28"/>
      <c r="C484" s="144"/>
      <c r="D484" s="145"/>
      <c r="E484" s="145"/>
      <c r="F484" s="145"/>
      <c r="G484" s="145"/>
      <c r="H484" s="145"/>
      <c r="I484" s="146"/>
      <c r="J484" s="146"/>
      <c r="K484" s="146"/>
      <c r="L484" s="64"/>
      <c r="Y484" s="8"/>
      <c r="Z484" s="8"/>
      <c r="AA484" s="8"/>
    </row>
    <row r="485" spans="2:27" s="6" customFormat="1" ht="15" customHeight="1" outlineLevel="1" x14ac:dyDescent="0.15">
      <c r="B485" s="28"/>
      <c r="C485" s="144"/>
      <c r="D485" s="145"/>
      <c r="E485" s="145"/>
      <c r="F485" s="145"/>
      <c r="G485" s="145"/>
      <c r="H485" s="145"/>
      <c r="I485" s="146"/>
      <c r="J485" s="146"/>
      <c r="K485" s="146"/>
      <c r="L485" s="64"/>
      <c r="Y485" s="8"/>
      <c r="Z485" s="8"/>
      <c r="AA485" s="8"/>
    </row>
    <row r="486" spans="2:27" s="6" customFormat="1" ht="15" customHeight="1" outlineLevel="1" x14ac:dyDescent="0.15">
      <c r="B486" s="28"/>
      <c r="C486" s="144"/>
      <c r="D486" s="145"/>
      <c r="E486" s="145"/>
      <c r="F486" s="145"/>
      <c r="G486" s="145"/>
      <c r="H486" s="145"/>
      <c r="I486" s="146"/>
      <c r="J486" s="146"/>
      <c r="K486" s="146"/>
      <c r="L486" s="64"/>
      <c r="Y486" s="8"/>
      <c r="Z486" s="8"/>
      <c r="AA486" s="8"/>
    </row>
    <row r="487" spans="2:27" s="6" customFormat="1" ht="15" customHeight="1" outlineLevel="1" x14ac:dyDescent="0.15">
      <c r="B487" s="28"/>
      <c r="C487" s="144"/>
      <c r="D487" s="145"/>
      <c r="E487" s="145"/>
      <c r="F487" s="145"/>
      <c r="G487" s="145"/>
      <c r="H487" s="145"/>
      <c r="I487" s="146"/>
      <c r="J487" s="146"/>
      <c r="K487" s="146"/>
      <c r="L487" s="64"/>
      <c r="Y487" s="8"/>
      <c r="Z487" s="8"/>
      <c r="AA487" s="8"/>
    </row>
    <row r="488" spans="2:27" s="6" customFormat="1" ht="15" customHeight="1" outlineLevel="1" x14ac:dyDescent="0.15">
      <c r="B488" s="28"/>
      <c r="C488" s="144"/>
      <c r="D488" s="145"/>
      <c r="E488" s="145"/>
      <c r="F488" s="145"/>
      <c r="G488" s="145"/>
      <c r="H488" s="145"/>
      <c r="I488" s="146"/>
      <c r="J488" s="146"/>
      <c r="K488" s="146"/>
      <c r="L488" s="64"/>
      <c r="Y488" s="8"/>
      <c r="Z488" s="8"/>
      <c r="AA488" s="8"/>
    </row>
    <row r="489" spans="2:27" s="6" customFormat="1" ht="15" customHeight="1" outlineLevel="1" x14ac:dyDescent="0.15">
      <c r="B489" s="28"/>
      <c r="C489" s="144"/>
      <c r="D489" s="145"/>
      <c r="E489" s="145"/>
      <c r="F489" s="145"/>
      <c r="G489" s="145"/>
      <c r="H489" s="145"/>
      <c r="I489" s="146"/>
      <c r="J489" s="146"/>
      <c r="K489" s="146"/>
      <c r="L489" s="64"/>
      <c r="Y489" s="8"/>
      <c r="Z489" s="8"/>
      <c r="AA489" s="8"/>
    </row>
    <row r="490" spans="2:27" s="6" customFormat="1" ht="15" customHeight="1" outlineLevel="1" x14ac:dyDescent="0.15">
      <c r="B490" s="28"/>
      <c r="C490" s="144"/>
      <c r="D490" s="145"/>
      <c r="E490" s="145"/>
      <c r="F490" s="145"/>
      <c r="G490" s="145"/>
      <c r="H490" s="145"/>
      <c r="I490" s="146"/>
      <c r="J490" s="146"/>
      <c r="K490" s="146"/>
      <c r="L490" s="64"/>
      <c r="Y490" s="8"/>
      <c r="Z490" s="8"/>
      <c r="AA490" s="8"/>
    </row>
    <row r="491" spans="2:27" s="6" customFormat="1" ht="15" customHeight="1" outlineLevel="1" x14ac:dyDescent="0.15">
      <c r="B491" s="28"/>
      <c r="C491" s="144"/>
      <c r="D491" s="145"/>
      <c r="E491" s="145"/>
      <c r="F491" s="145"/>
      <c r="G491" s="145"/>
      <c r="H491" s="145"/>
      <c r="I491" s="146"/>
      <c r="J491" s="146"/>
      <c r="K491" s="146"/>
      <c r="L491" s="64"/>
      <c r="Y491" s="8"/>
      <c r="Z491" s="8"/>
      <c r="AA491" s="8"/>
    </row>
    <row r="492" spans="2:27" s="6" customFormat="1" ht="15" customHeight="1" outlineLevel="1" x14ac:dyDescent="0.15">
      <c r="B492" s="28"/>
      <c r="C492" s="144"/>
      <c r="D492" s="145"/>
      <c r="E492" s="145"/>
      <c r="F492" s="145"/>
      <c r="G492" s="145"/>
      <c r="H492" s="145"/>
      <c r="I492" s="146"/>
      <c r="J492" s="146"/>
      <c r="K492" s="146"/>
      <c r="L492" s="64"/>
      <c r="Y492" s="8"/>
      <c r="Z492" s="8"/>
      <c r="AA492" s="8"/>
    </row>
    <row r="493" spans="2:27" s="6" customFormat="1" ht="15" customHeight="1" outlineLevel="1" x14ac:dyDescent="0.15">
      <c r="B493" s="28"/>
      <c r="C493" s="144"/>
      <c r="D493" s="145"/>
      <c r="E493" s="145"/>
      <c r="F493" s="145"/>
      <c r="G493" s="145"/>
      <c r="H493" s="145"/>
      <c r="I493" s="146"/>
      <c r="J493" s="146"/>
      <c r="K493" s="146"/>
      <c r="L493" s="64"/>
      <c r="Y493" s="8"/>
      <c r="Z493" s="8"/>
      <c r="AA493" s="8"/>
    </row>
    <row r="494" spans="2:27" s="6" customFormat="1" ht="15" customHeight="1" outlineLevel="1" x14ac:dyDescent="0.15">
      <c r="B494" s="28"/>
      <c r="C494" s="144"/>
      <c r="D494" s="145"/>
      <c r="E494" s="145"/>
      <c r="F494" s="145"/>
      <c r="G494" s="145"/>
      <c r="H494" s="145"/>
      <c r="I494" s="146"/>
      <c r="J494" s="146"/>
      <c r="K494" s="146"/>
      <c r="L494" s="64"/>
      <c r="Y494" s="8"/>
      <c r="Z494" s="8"/>
      <c r="AA494" s="8"/>
    </row>
    <row r="495" spans="2:27" s="6" customFormat="1" ht="15" customHeight="1" outlineLevel="1" x14ac:dyDescent="0.15">
      <c r="B495" s="28"/>
      <c r="C495" s="144"/>
      <c r="D495" s="145"/>
      <c r="E495" s="145"/>
      <c r="F495" s="145"/>
      <c r="G495" s="145"/>
      <c r="H495" s="145"/>
      <c r="I495" s="146"/>
      <c r="J495" s="146"/>
      <c r="K495" s="146"/>
      <c r="L495" s="64"/>
      <c r="Y495" s="8"/>
      <c r="Z495" s="8"/>
      <c r="AA495" s="8"/>
    </row>
    <row r="496" spans="2:27" s="6" customFormat="1" ht="15" customHeight="1" x14ac:dyDescent="0.15">
      <c r="B496" s="118"/>
      <c r="C496" s="59"/>
      <c r="D496" s="149"/>
      <c r="E496" s="150"/>
      <c r="F496" s="149"/>
      <c r="G496" s="149"/>
      <c r="H496" s="149"/>
      <c r="I496" s="59"/>
      <c r="J496" s="59"/>
      <c r="K496" s="59"/>
      <c r="L496" s="119"/>
      <c r="Y496" s="8"/>
      <c r="Z496" s="8"/>
      <c r="AA496" s="8"/>
    </row>
    <row r="497" spans="4:33" s="6" customFormat="1" ht="15" customHeight="1" x14ac:dyDescent="0.15">
      <c r="D497" s="65"/>
      <c r="E497" s="151"/>
      <c r="F497" s="65"/>
      <c r="G497" s="65"/>
      <c r="H497" s="65"/>
      <c r="Y497" s="8"/>
      <c r="Z497" s="8"/>
      <c r="AA497" s="8"/>
    </row>
    <row r="498" spans="4:33" s="6" customFormat="1" ht="15" customHeight="1" x14ac:dyDescent="0.15">
      <c r="D498" s="65"/>
      <c r="E498" s="151"/>
      <c r="F498" s="65"/>
      <c r="G498" s="65"/>
      <c r="H498" s="65"/>
      <c r="Y498" s="8"/>
      <c r="Z498" s="8"/>
      <c r="AA498" s="8"/>
    </row>
    <row r="499" spans="4:33" ht="15" customHeight="1" x14ac:dyDescent="0.15">
      <c r="AB499" s="6"/>
      <c r="AC499" s="6"/>
      <c r="AD499" s="6"/>
      <c r="AE499" s="6"/>
      <c r="AF499" s="6"/>
      <c r="AG499" s="6"/>
    </row>
    <row r="500" spans="4:33" ht="15" customHeight="1" x14ac:dyDescent="0.15">
      <c r="AB500" s="6"/>
      <c r="AC500" s="6"/>
      <c r="AD500" s="6"/>
      <c r="AE500" s="6"/>
      <c r="AF500" s="6"/>
      <c r="AG500" s="6"/>
    </row>
    <row r="501" spans="4:33" ht="15" customHeight="1" x14ac:dyDescent="0.15">
      <c r="AB501" s="6"/>
      <c r="AC501" s="6"/>
      <c r="AD501" s="6"/>
      <c r="AE501" s="6"/>
    </row>
    <row r="502" spans="4:33" ht="15" customHeight="1" x14ac:dyDescent="0.15">
      <c r="AB502" s="6"/>
      <c r="AC502" s="6"/>
    </row>
    <row r="503" spans="4:33" ht="15" customHeight="1" x14ac:dyDescent="0.15">
      <c r="AB503" s="6"/>
      <c r="AC503" s="6"/>
    </row>
  </sheetData>
  <mergeCells count="3">
    <mergeCell ref="C14:G20"/>
    <mergeCell ref="D3:F3"/>
    <mergeCell ref="D5:F5"/>
  </mergeCells>
  <conditionalFormatting sqref="C110:C121">
    <cfRule type="expression" dxfId="33" priority="9">
      <formula>AND(MOD(ROW(),2)=1,LEN($C110)&gt;0)</formula>
    </cfRule>
  </conditionalFormatting>
  <conditionalFormatting sqref="C78:E78 N78 Q78:V78 C91:N92 C107:N107 D121:N121 Q121:U121 C122:N122 Q122:V122">
    <cfRule type="expression" dxfId="32" priority="148">
      <formula>AND(MOD(ROW(),2)=1,LEN($C78)&gt;0)</formula>
    </cfRule>
  </conditionalFormatting>
  <conditionalFormatting sqref="C95:E95 D96:E104 C96:C106">
    <cfRule type="expression" dxfId="31" priority="103">
      <formula>AND(MOD(ROW(),2)=1,LEN($C95)&gt;0)</formula>
    </cfRule>
  </conditionalFormatting>
  <conditionalFormatting sqref="C80:T90">
    <cfRule type="expression" dxfId="30" priority="3">
      <formula>AND(MOD(ROW(),2)=1,LEN($C80)&gt;0)</formula>
    </cfRule>
  </conditionalFormatting>
  <conditionalFormatting sqref="D105:P105">
    <cfRule type="expression" dxfId="29" priority="104">
      <formula>AND(MOD(ROW(),2)=1,LEN($C105)&gt;0)</formula>
    </cfRule>
  </conditionalFormatting>
  <conditionalFormatting sqref="D106:U106">
    <cfRule type="expression" dxfId="28" priority="4">
      <formula>AND(MOD(ROW(),2)=1,LEN($C106)&gt;0)</formula>
    </cfRule>
  </conditionalFormatting>
  <conditionalFormatting sqref="D110:U120">
    <cfRule type="expression" dxfId="27" priority="15">
      <formula>AND(MOD(ROW(),2)=1,LEN($C110)&gt;0)</formula>
    </cfRule>
  </conditionalFormatting>
  <conditionalFormatting sqref="F95:P104">
    <cfRule type="expression" dxfId="26" priority="84">
      <formula>AND(MOD(ROW(),2)=1,LEN($C95)&gt;0)</formula>
    </cfRule>
  </conditionalFormatting>
  <conditionalFormatting sqref="G110:I119">
    <cfRule type="expression" dxfId="25" priority="13">
      <formula>AND(MOD(ROW(),2)=1,LEN($C110)&gt;0)</formula>
    </cfRule>
  </conditionalFormatting>
  <conditionalFormatting sqref="N110:N119">
    <cfRule type="expression" dxfId="24" priority="63">
      <formula>AND(MOD(ROW(),2)=1,LEN($C110)&gt;0)</formula>
    </cfRule>
  </conditionalFormatting>
  <conditionalFormatting sqref="O13:V22 O29:V38 O45:V56 O63:V72">
    <cfRule type="expression" dxfId="23" priority="137">
      <formula>AND(MOD(ROW(),2)=1)</formula>
    </cfRule>
  </conditionalFormatting>
  <conditionalFormatting sqref="Q95:U105">
    <cfRule type="expression" dxfId="22" priority="67">
      <formula>AND(MOD(ROW(),2)=1,LEN($C95)&gt;0)</formula>
    </cfRule>
  </conditionalFormatting>
  <conditionalFormatting sqref="Q80:V93 C93:E93 N93">
    <cfRule type="expression" dxfId="21" priority="6">
      <formula>AND(MOD(ROW(),2)=1,LEN($C80)&gt;0)</formula>
    </cfRule>
  </conditionalFormatting>
  <conditionalFormatting sqref="Q107:V108 C108:E108 N108">
    <cfRule type="expression" dxfId="20" priority="5">
      <formula>AND(MOD(ROW(),2)=1,LEN($C107)&gt;0)</formula>
    </cfRule>
  </conditionalFormatting>
  <conditionalFormatting sqref="R95:T104">
    <cfRule type="expression" dxfId="19" priority="65">
      <formula>AND(MOD(ROW(),2)=1,LEN($C95)&gt;0)</formula>
    </cfRule>
  </conditionalFormatting>
  <conditionalFormatting sqref="R110:T119">
    <cfRule type="expression" dxfId="18" priority="29">
      <formula>AND(MOD(ROW(),2)=1,LEN($C110)&gt;0)</formula>
    </cfRule>
  </conditionalFormatting>
  <conditionalFormatting sqref="U3">
    <cfRule type="expression" dxfId="17" priority="1">
      <formula>AND(LEN(#REF!)&gt;0,ROW()&gt;17,COLUMN()&lt;12,COLUMN()&gt;2,#REF!=$W$5)</formula>
    </cfRule>
    <cfRule type="expression" dxfId="16" priority="2">
      <formula>AND(MOD(ROW(#REF!),2)=1,LEN(#REF!)&gt;0,ROW()&lt;&gt;25,ROW()&gt;16,COLUMN()&lt;14,COLUMN()&gt;2)</formula>
    </cfRule>
  </conditionalFormatting>
  <conditionalFormatting sqref="V95:V106">
    <cfRule type="expression" dxfId="15" priority="8">
      <formula>AND(MOD(ROW(),2)=1,LEN($C95)&gt;0)</formula>
    </cfRule>
  </conditionalFormatting>
  <conditionalFormatting sqref="V110:V121">
    <cfRule type="expression" dxfId="14" priority="7">
      <formula>AND(MOD(ROW(),2)=1,LEN($C110)&gt;0)</formula>
    </cfRule>
  </conditionalFormatting>
  <dataValidations count="7">
    <dataValidation errorStyle="information" allowBlank="1" showInputMessage="1" showErrorMessage="1" promptTitle="BETA Function" prompt="Note that FactSet's BETA function can be fully customized. See Online Assistant Page #1587." sqref="K48" xr:uid="{00000000-0002-0000-0200-000000000000}"/>
    <dataValidation errorStyle="information" allowBlank="1" showInputMessage="1" showErrorMessage="1" promptTitle="Identifier Input." prompt="Please input a valid identifier. This is the only input in this model." sqref="H2 H6" xr:uid="{00000000-0002-0000-0200-000001000000}"/>
    <dataValidation type="list" allowBlank="1" showInputMessage="1" showErrorMessage="1" sqref="D3:F3" xr:uid="{00000000-0002-0000-0200-000002000000}">
      <formula1>$Q$130:$Q$191</formula1>
    </dataValidation>
    <dataValidation errorStyle="information" allowBlank="1" showErrorMessage="1" promptTitle="Identifier Input." prompt="Please input a valid identifier. This is the only input in this model." sqref="H5 G6" xr:uid="{00000000-0002-0000-0200-000003000000}"/>
    <dataValidation type="list" allowBlank="1" showInputMessage="1" showErrorMessage="1" sqref="T26" xr:uid="{00000000-0002-0000-0200-000004000000}">
      <formula1>$O$29:$O$34</formula1>
    </dataValidation>
    <dataValidation type="list" allowBlank="1" showInputMessage="1" showErrorMessage="1" sqref="T42" xr:uid="{00000000-0002-0000-0200-000005000000}">
      <formula1>$O$45:$O$48</formula1>
    </dataValidation>
    <dataValidation type="list" allowBlank="1" showInputMessage="1" showErrorMessage="1" sqref="T60" xr:uid="{00000000-0002-0000-0200-000006000000}">
      <formula1>$O$63:$O$68</formula1>
    </dataValidation>
  </dataValidations>
  <pageMargins left="0.23622047244094499" right="0.23622047244094499" top="0.23622047244094499" bottom="0.23622047244094499" header="0.511811023622047" footer="0.511811023622047"/>
  <pageSetup scale="35" orientation="portrait" horizontalDpi="300" verticalDpi="300" r:id="rId1"/>
  <headerFooter alignWithMargins="0">
    <oddFooter>&amp;RPowered by FactSet</oddFooter>
  </headerFooter>
  <ignoredErrors>
    <ignoredError sqref="T131:T133 T142:T152 T174:T176 T187:T191 T135:T139 T154:T156" numberStoredAsText="1"/>
  </ignoredErrors>
  <drawing r:id="rId2"/>
  <legacyDrawing r:id="rId3"/>
  <extLst>
    <ext xmlns:x14="http://schemas.microsoft.com/office/spreadsheetml/2009/9/main" uri="{05C60535-1F16-4fd2-B633-F4F36F0B64E0}">
      <x14:sparklineGroups xmlns:xm="http://schemas.microsoft.com/office/excel/2006/main">
        <x14:sparklineGroup displayEmptyCellsAs="gap" xr2:uid="{00000000-0003-0000-0200-000009000000}">
          <x14:colorSeries rgb="FF376092"/>
          <x14:colorNegative rgb="FFD00000"/>
          <x14:colorAxis rgb="FF000000"/>
          <x14:colorMarkers rgb="FFD00000"/>
          <x14:colorFirst rgb="FFD00000"/>
          <x14:colorLast rgb="FFD00000"/>
          <x14:colorHigh rgb="FFD00000"/>
          <x14:colorLow rgb="FFD00000"/>
          <x14:sparklines>
            <x14:sparkline>
              <xm:f>'Index Snapshot'!AA23:AC23</xm:f>
              <xm:sqref>AE23</xm:sqref>
            </x14:sparkline>
          </x14:sparklines>
        </x14:sparklineGroup>
        <x14:sparklineGroup displayEmptyCellsAs="gap" xr2:uid="{00000000-0003-0000-0200-000008000000}">
          <x14:colorSeries rgb="FF376092"/>
          <x14:colorNegative rgb="FFD00000"/>
          <x14:colorAxis rgb="FF000000"/>
          <x14:colorMarkers rgb="FFD00000"/>
          <x14:colorFirst rgb="FFD00000"/>
          <x14:colorLast rgb="FFD00000"/>
          <x14:colorHigh rgb="FFD00000"/>
          <x14:colorLow rgb="FFD00000"/>
          <x14:sparklines>
            <x14:sparkline>
              <xm:f>'Index Snapshot'!AA22:AC22</xm:f>
              <xm:sqref>AE22</xm:sqref>
            </x14:sparkline>
          </x14:sparklines>
        </x14:sparklineGroup>
        <x14:sparklineGroup displayEmptyCellsAs="gap" xr2:uid="{00000000-0003-0000-0200-000007000000}">
          <x14:colorSeries rgb="FF376092"/>
          <x14:colorNegative rgb="FFD00000"/>
          <x14:colorAxis rgb="FF000000"/>
          <x14:colorMarkers rgb="FFD00000"/>
          <x14:colorFirst rgb="FFD00000"/>
          <x14:colorLast rgb="FFD00000"/>
          <x14:colorHigh rgb="FFD00000"/>
          <x14:colorLow rgb="FFD00000"/>
          <x14:sparklines>
            <x14:sparkline>
              <xm:f>'Index Snapshot'!AA21:AC21</xm:f>
              <xm:sqref>AE21</xm:sqref>
            </x14:sparkline>
          </x14:sparklines>
        </x14:sparklineGroup>
        <x14:sparklineGroup displayEmptyCellsAs="gap" xr2:uid="{00000000-0003-0000-0200-000006000000}">
          <x14:colorSeries rgb="FF376092"/>
          <x14:colorNegative rgb="FFD00000"/>
          <x14:colorAxis rgb="FF000000"/>
          <x14:colorMarkers rgb="FFD00000"/>
          <x14:colorFirst rgb="FFD00000"/>
          <x14:colorLast rgb="FFD00000"/>
          <x14:colorHigh rgb="FFD00000"/>
          <x14:colorLow rgb="FFD00000"/>
          <x14:sparklines>
            <x14:sparkline>
              <xm:f>'Index Snapshot'!AA20:AC20</xm:f>
              <xm:sqref>AE20</xm:sqref>
            </x14:sparkline>
          </x14:sparklines>
        </x14:sparklineGroup>
        <x14:sparklineGroup displayEmptyCellsAs="gap" xr2:uid="{00000000-0003-0000-0200-000005000000}">
          <x14:colorSeries rgb="FF376092"/>
          <x14:colorNegative rgb="FFD00000"/>
          <x14:colorAxis rgb="FF000000"/>
          <x14:colorMarkers rgb="FFD00000"/>
          <x14:colorFirst rgb="FFD00000"/>
          <x14:colorLast rgb="FFD00000"/>
          <x14:colorHigh rgb="FFD00000"/>
          <x14:colorLow rgb="FFD00000"/>
          <x14:sparklines>
            <x14:sparkline>
              <xm:f>'Index Snapshot'!AA19:AC19</xm:f>
              <xm:sqref>AE19</xm:sqref>
            </x14:sparkline>
          </x14:sparklines>
        </x14:sparklineGroup>
        <x14:sparklineGroup displayEmptyCellsAs="gap" xr2:uid="{00000000-0003-0000-0200-000004000000}">
          <x14:colorSeries rgb="FF376092"/>
          <x14:colorNegative rgb="FFD00000"/>
          <x14:colorAxis rgb="FF000000"/>
          <x14:colorMarkers rgb="FFD00000"/>
          <x14:colorFirst rgb="FFD00000"/>
          <x14:colorLast rgb="FFD00000"/>
          <x14:colorHigh rgb="FFD00000"/>
          <x14:colorLow rgb="FFD00000"/>
          <x14:sparklines>
            <x14:sparkline>
              <xm:f>'Index Snapshot'!AA18:AC18</xm:f>
              <xm:sqref>AE18</xm:sqref>
            </x14:sparkline>
          </x14:sparklines>
        </x14:sparklineGroup>
        <x14:sparklineGroup displayEmptyCellsAs="gap" xr2:uid="{00000000-0003-0000-0200-000003000000}">
          <x14:colorSeries rgb="FF376092"/>
          <x14:colorNegative rgb="FFD00000"/>
          <x14:colorAxis rgb="FF000000"/>
          <x14:colorMarkers rgb="FFD00000"/>
          <x14:colorFirst rgb="FFD00000"/>
          <x14:colorLast rgb="FFD00000"/>
          <x14:colorHigh rgb="FFD00000"/>
          <x14:colorLow rgb="FFD00000"/>
          <x14:sparklines>
            <x14:sparkline>
              <xm:f>'Index Snapshot'!AA17:AC17</xm:f>
              <xm:sqref>AE17</xm:sqref>
            </x14:sparkline>
          </x14:sparklines>
        </x14:sparklineGroup>
        <x14:sparklineGroup displayEmptyCellsAs="gap" xr2:uid="{00000000-0003-0000-0200-000002000000}">
          <x14:colorSeries rgb="FF376092"/>
          <x14:colorNegative rgb="FFD00000"/>
          <x14:colorAxis rgb="FF000000"/>
          <x14:colorMarkers rgb="FFD00000"/>
          <x14:colorFirst rgb="FFD00000"/>
          <x14:colorLast rgb="FFD00000"/>
          <x14:colorHigh rgb="FFD00000"/>
          <x14:colorLow rgb="FFD00000"/>
          <x14:sparklines>
            <x14:sparkline>
              <xm:f>'Index Snapshot'!AA16:AC16</xm:f>
              <xm:sqref>AE16</xm:sqref>
            </x14:sparkline>
          </x14:sparklines>
        </x14:sparklineGroup>
        <x14:sparklineGroup displayEmptyCellsAs="gap" xr2:uid="{00000000-0003-0000-0200-000001000000}">
          <x14:colorSeries rgb="FF376092"/>
          <x14:colorNegative rgb="FFD00000"/>
          <x14:colorAxis rgb="FF000000"/>
          <x14:colorMarkers rgb="FFD00000"/>
          <x14:colorFirst rgb="FFD00000"/>
          <x14:colorLast rgb="FFD00000"/>
          <x14:colorHigh rgb="FFD00000"/>
          <x14:colorLow rgb="FFD00000"/>
          <x14:sparklines>
            <x14:sparkline>
              <xm:f>'Index Snapshot'!AA15:AC15</xm:f>
              <xm:sqref>AE15</xm:sqref>
            </x14:sparkline>
          </x14:sparklines>
        </x14:sparklineGroup>
        <x14:sparklineGroup displayEmptyCellsAs="gap" xr2:uid="{00000000-0003-0000-0200-000000000000}">
          <x14:colorSeries rgb="FF376092"/>
          <x14:colorNegative rgb="FFD00000"/>
          <x14:colorAxis rgb="FF000000"/>
          <x14:colorMarkers rgb="FFD00000"/>
          <x14:colorFirst rgb="FFD00000"/>
          <x14:colorLast rgb="FFD00000"/>
          <x14:colorHigh rgb="FFD00000"/>
          <x14:colorLow rgb="FFD00000"/>
          <x14:sparklines>
            <x14:sparkline>
              <xm:f>'Index Snapshot'!AA14:AC14</xm:f>
              <xm:sqref>AE14</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8A63E-C453-489B-8BC4-1E49ECE48DD0}">
  <sheetPr>
    <pageSetUpPr fitToPage="1"/>
  </sheetPr>
  <dimension ref="A2:AZ1026"/>
  <sheetViews>
    <sheetView showGridLines="0" workbookViewId="0">
      <selection activeCell="D8" sqref="D8"/>
    </sheetView>
  </sheetViews>
  <sheetFormatPr baseColWidth="10" defaultColWidth="9.1640625" defaultRowHeight="12" outlineLevelCol="1" x14ac:dyDescent="0.15"/>
  <cols>
    <col min="1" max="1" width="2.83203125" style="270" customWidth="1"/>
    <col min="2" max="2" width="5.33203125" style="270" hidden="1" customWidth="1" outlineLevel="1" collapsed="1"/>
    <col min="3" max="3" width="10.6640625" style="270" customWidth="1" collapsed="1"/>
    <col min="4" max="4" width="37.33203125" style="270" bestFit="1" customWidth="1"/>
    <col min="5" max="5" width="2.6640625" style="6" customWidth="1"/>
    <col min="6" max="6" width="16.6640625" style="6" customWidth="1"/>
    <col min="7" max="7" width="12.6640625" style="6" customWidth="1"/>
    <col min="8" max="8" width="46.6640625" style="6" customWidth="1"/>
    <col min="9" max="9" width="2.6640625" style="6" customWidth="1"/>
    <col min="10" max="10" width="16.6640625" style="6" customWidth="1"/>
    <col min="11" max="11" width="12.6640625" style="6" customWidth="1"/>
    <col min="12" max="12" width="46.6640625" style="6" customWidth="1"/>
    <col min="13" max="13" width="2.6640625" style="6" customWidth="1"/>
    <col min="14" max="14" width="14.6640625" style="270" customWidth="1"/>
    <col min="15" max="15" width="12.6640625" style="270" customWidth="1"/>
    <col min="16" max="16" width="46.6640625" style="270" customWidth="1"/>
    <col min="17" max="17" width="4.6640625" style="272" customWidth="1"/>
    <col min="18" max="18" width="14.6640625" style="270" customWidth="1"/>
    <col min="19" max="19" width="12.6640625" style="270" customWidth="1"/>
    <col min="20" max="20" width="46.6640625" style="270" customWidth="1"/>
    <col min="21" max="21" width="4.6640625" style="6" customWidth="1"/>
    <col min="22" max="22" width="14.6640625" style="270" customWidth="1"/>
    <col min="23" max="23" width="13.33203125" style="270" customWidth="1"/>
    <col min="24" max="24" width="46.6640625" style="270" customWidth="1"/>
    <col min="25" max="25" width="9.1640625" style="270"/>
    <col min="26" max="26" width="46.83203125" style="270" hidden="1" customWidth="1" outlineLevel="1"/>
    <col min="27" max="27" width="10.33203125" style="270" hidden="1" customWidth="1" outlineLevel="1"/>
    <col min="28" max="28" width="9.1640625" style="270" hidden="1" customWidth="1" outlineLevel="1"/>
    <col min="29" max="29" width="28.33203125" style="270" hidden="1" customWidth="1" outlineLevel="1"/>
    <col min="30" max="30" width="24.5" style="270" hidden="1" customWidth="1" outlineLevel="1"/>
    <col min="31" max="33" width="25.83203125" style="270" hidden="1" customWidth="1" outlineLevel="1"/>
    <col min="34" max="34" width="9.1640625" style="270" hidden="1" customWidth="1" outlineLevel="1"/>
    <col min="35" max="35" width="9.1640625" style="270" collapsed="1"/>
    <col min="36" max="16384" width="9.1640625" style="270"/>
  </cols>
  <sheetData>
    <row r="2" spans="1:52" x14ac:dyDescent="0.15">
      <c r="C2" s="271" t="s">
        <v>5</v>
      </c>
    </row>
    <row r="3" spans="1:52" x14ac:dyDescent="0.15">
      <c r="C3" s="322" t="s">
        <v>9</v>
      </c>
      <c r="D3" s="323"/>
    </row>
    <row r="4" spans="1:52" x14ac:dyDescent="0.15">
      <c r="C4" s="324" t="s">
        <v>11</v>
      </c>
      <c r="D4" s="325"/>
    </row>
    <row r="5" spans="1:52" ht="6" customHeight="1" x14ac:dyDescent="0.15"/>
    <row r="6" spans="1:52" x14ac:dyDescent="0.15">
      <c r="A6" s="275"/>
      <c r="B6" s="276"/>
      <c r="C6" s="271" t="s">
        <v>208</v>
      </c>
      <c r="E6" s="276"/>
      <c r="F6" s="195"/>
      <c r="H6" s="195"/>
      <c r="I6" s="195"/>
      <c r="J6" s="195"/>
      <c r="K6" s="195"/>
      <c r="L6" s="195"/>
      <c r="M6" s="195"/>
      <c r="N6" s="276"/>
      <c r="O6" s="276"/>
    </row>
    <row r="7" spans="1:52" x14ac:dyDescent="0.15">
      <c r="A7" s="275"/>
      <c r="B7" s="276"/>
      <c r="C7" s="316"/>
      <c r="D7" s="317"/>
      <c r="F7" s="195"/>
      <c r="H7" s="277"/>
      <c r="I7" s="195"/>
      <c r="J7" s="195"/>
      <c r="K7" s="195"/>
      <c r="L7" s="195"/>
      <c r="M7" s="195"/>
      <c r="N7" s="276"/>
      <c r="Q7" s="270"/>
      <c r="U7" s="270"/>
    </row>
    <row r="8" spans="1:52" x14ac:dyDescent="0.15">
      <c r="A8" s="275"/>
      <c r="B8" s="276"/>
      <c r="C8" s="318" t="s">
        <v>28</v>
      </c>
      <c r="D8" s="319" t="s">
        <v>29</v>
      </c>
      <c r="F8" s="278"/>
      <c r="H8" s="278"/>
      <c r="I8" s="278"/>
      <c r="J8" s="278"/>
      <c r="K8" s="278"/>
      <c r="L8" s="278"/>
      <c r="M8" s="278"/>
      <c r="N8" s="276"/>
      <c r="Q8" s="270"/>
      <c r="U8" s="270"/>
      <c r="W8" s="273" t="s">
        <v>30</v>
      </c>
      <c r="X8" s="274" cm="1">
        <f t="array" ref="X8">_xll.FDSB("dummy","julian(today)")</f>
        <v>46170</v>
      </c>
    </row>
    <row r="9" spans="1:52" x14ac:dyDescent="0.15">
      <c r="A9" s="275"/>
      <c r="B9" s="276"/>
      <c r="C9" s="318" t="s">
        <v>209</v>
      </c>
      <c r="D9" s="319" t="s">
        <v>210</v>
      </c>
      <c r="F9" s="279"/>
      <c r="G9" s="280"/>
      <c r="H9" s="279"/>
      <c r="I9" s="279"/>
      <c r="J9" s="279"/>
      <c r="K9" s="279"/>
      <c r="L9" s="279"/>
      <c r="M9" s="279"/>
      <c r="Q9" s="270"/>
      <c r="U9" s="270"/>
    </row>
    <row r="10" spans="1:52" x14ac:dyDescent="0.15">
      <c r="A10" s="275"/>
      <c r="B10" s="276"/>
      <c r="C10" s="320"/>
      <c r="D10" s="321"/>
      <c r="F10" s="281"/>
      <c r="G10" s="282"/>
      <c r="H10" s="281"/>
      <c r="I10" s="281"/>
      <c r="J10" s="281"/>
      <c r="K10" s="281"/>
      <c r="L10" s="281"/>
      <c r="M10" s="281"/>
      <c r="Q10" s="270"/>
      <c r="U10" s="270"/>
    </row>
    <row r="11" spans="1:52" x14ac:dyDescent="0.15">
      <c r="A11" s="275"/>
      <c r="B11" s="276"/>
      <c r="C11" s="276"/>
      <c r="D11" s="276"/>
      <c r="E11" s="195"/>
      <c r="F11" s="195"/>
      <c r="G11" s="282"/>
      <c r="H11" s="195"/>
      <c r="I11" s="195"/>
      <c r="J11" s="195"/>
      <c r="K11" s="195"/>
      <c r="L11" s="195"/>
      <c r="M11" s="195"/>
      <c r="Q11" s="270"/>
      <c r="U11" s="270"/>
      <c r="AQ11" s="283"/>
      <c r="AR11" s="283"/>
    </row>
    <row r="12" spans="1:52" s="286" customFormat="1" ht="14" x14ac:dyDescent="0.15">
      <c r="A12" s="284"/>
      <c r="B12" s="285"/>
      <c r="C12" s="285" t="str" cm="1">
        <f t="array" ref="C12">_xll.FDSC("-",$AA$22,"FG_COMPANY_NAME")&amp;" - "&amp;$D$9</f>
        <v>S&amp;P 500 - Earnings Release &amp; Call Details</v>
      </c>
      <c r="D12" s="285"/>
      <c r="E12" s="285"/>
      <c r="F12" s="285"/>
      <c r="G12" s="285"/>
      <c r="H12" s="285"/>
      <c r="I12" s="285"/>
      <c r="J12" s="285"/>
      <c r="K12" s="285"/>
      <c r="L12" s="285"/>
      <c r="M12" s="285"/>
      <c r="N12" s="285"/>
      <c r="O12" s="285"/>
      <c r="P12" s="285"/>
      <c r="Q12" s="285"/>
      <c r="R12" s="285"/>
      <c r="S12" s="285"/>
      <c r="T12" s="285"/>
      <c r="U12" s="285"/>
      <c r="V12" s="285"/>
      <c r="W12" s="285"/>
      <c r="X12" s="285"/>
      <c r="Z12" s="285"/>
      <c r="AA12" s="285"/>
      <c r="AB12" s="285"/>
      <c r="AC12" s="285"/>
      <c r="AD12" s="285"/>
      <c r="AE12" s="285"/>
      <c r="AF12" s="285"/>
      <c r="AG12" s="285"/>
      <c r="AH12" s="285"/>
    </row>
    <row r="13" spans="1:52" ht="12.75" customHeight="1" x14ac:dyDescent="0.15">
      <c r="A13" s="275"/>
      <c r="B13" s="276"/>
      <c r="C13" s="276"/>
      <c r="D13" s="276"/>
      <c r="E13" s="195"/>
      <c r="F13" s="195"/>
      <c r="G13" s="282"/>
      <c r="H13" s="195"/>
      <c r="I13" s="195"/>
      <c r="J13" s="195"/>
      <c r="K13" s="195"/>
      <c r="L13" s="195"/>
      <c r="M13" s="195"/>
      <c r="Q13" s="270"/>
      <c r="U13" s="270"/>
    </row>
    <row r="14" spans="1:52" x14ac:dyDescent="0.15">
      <c r="A14" s="275"/>
      <c r="B14" s="276"/>
      <c r="F14" s="336" t="str">
        <f>Z18</f>
        <v>Earnings Release &amp; Call Details</v>
      </c>
      <c r="G14" s="337"/>
      <c r="H14" s="337"/>
      <c r="I14" s="337"/>
      <c r="J14" s="337"/>
      <c r="K14" s="337"/>
      <c r="L14" s="338"/>
      <c r="N14" s="287" t="str">
        <f>AE18</f>
        <v>Upcoming Earnings Release 2</v>
      </c>
      <c r="O14" s="288"/>
      <c r="P14" s="289"/>
      <c r="Q14" s="290"/>
      <c r="R14" s="287" t="str">
        <f>AF18</f>
        <v>Upcoming Earnings Release 3</v>
      </c>
      <c r="S14" s="291"/>
      <c r="T14" s="292"/>
      <c r="V14" s="287" t="str">
        <f>AG18</f>
        <v>Upcoming Earnings Release 4</v>
      </c>
      <c r="W14" s="288"/>
      <c r="X14" s="292"/>
    </row>
    <row r="15" spans="1:52" x14ac:dyDescent="0.15">
      <c r="A15" s="275"/>
      <c r="B15" s="276"/>
      <c r="C15" s="293" t="s">
        <v>36</v>
      </c>
      <c r="D15" s="293" t="s">
        <v>37</v>
      </c>
      <c r="E15" s="281"/>
      <c r="F15" s="293" t="s">
        <v>125</v>
      </c>
      <c r="G15" s="293" t="s">
        <v>211</v>
      </c>
      <c r="H15" s="294" t="s">
        <v>4</v>
      </c>
      <c r="I15" s="281"/>
      <c r="J15" s="293" t="s">
        <v>125</v>
      </c>
      <c r="K15" s="293" t="s">
        <v>211</v>
      </c>
      <c r="L15" s="294" t="s">
        <v>4</v>
      </c>
      <c r="M15" s="281"/>
      <c r="N15" s="293" t="s">
        <v>125</v>
      </c>
      <c r="O15" s="293" t="s">
        <v>211</v>
      </c>
      <c r="P15" s="294" t="s">
        <v>4</v>
      </c>
      <c r="Q15" s="281"/>
      <c r="R15" s="293" t="s">
        <v>125</v>
      </c>
      <c r="S15" s="293" t="s">
        <v>211</v>
      </c>
      <c r="T15" s="294" t="s">
        <v>4</v>
      </c>
      <c r="U15" s="281"/>
      <c r="V15" s="293" t="s">
        <v>125</v>
      </c>
      <c r="W15" s="293" t="s">
        <v>211</v>
      </c>
      <c r="X15" s="294" t="s">
        <v>4</v>
      </c>
      <c r="Z15" s="295" t="s">
        <v>124</v>
      </c>
      <c r="AA15" s="295"/>
      <c r="AB15" s="233"/>
      <c r="AC15" s="233"/>
      <c r="AD15" s="233"/>
      <c r="AE15" s="233"/>
      <c r="AF15" s="233"/>
      <c r="AG15" s="233"/>
      <c r="AH15" s="233"/>
      <c r="AJ15" s="195"/>
      <c r="AL15" s="296"/>
      <c r="AM15" s="296"/>
      <c r="AN15" s="296"/>
      <c r="AO15" s="296"/>
      <c r="AQ15" s="297"/>
      <c r="AZ15" s="195"/>
    </row>
    <row r="16" spans="1:52" x14ac:dyDescent="0.15">
      <c r="A16" s="275"/>
      <c r="B16" s="298">
        <v>1</v>
      </c>
      <c r="C16" s="299" t="str" cm="1">
        <f t="array" ref="C16:C518">_xll.FDS("","SORT_INDIRECT(TRANSPOSE(US_UNIV('(FG_CONSTITUENTS("&amp;$AA$22&amp;"))=1','TICKER')),TRANSPOSE(GET_FQL_ARRAY(US_UNIV('(FG_CONSTITUENTS("&amp;$AA$22&amp;"))=1','TICKER'),""JULIAN(CS_EVENT_DESC_N("&amp;$AH$18&amp;",1).dates)"")),1)")</f>
        <v>ADSK</v>
      </c>
      <c r="D16" s="300" t="str" cm="1">
        <f t="array" ref="D16">_xll.FDSB($C16,"FG_COMPANY_NAME")</f>
        <v>Autodesk, Inc.</v>
      </c>
      <c r="E16" s="300"/>
      <c r="F16" s="274" cm="1">
        <f t="array" ref="F16">_xll.FDSB($C16,"CS_EVENT_DATEJ_N("&amp;$AA$18&amp;",1)")</f>
        <v>46170</v>
      </c>
      <c r="G16" s="282" t="str" cm="1">
        <f t="array" ref="G16">_xll.FDSB($C16,"CS_EVENT_TIME_N("&amp;$AA$18&amp;",1)")</f>
        <v>4:01 PM</v>
      </c>
      <c r="H16" s="282" t="str" cm="1">
        <f t="array" ref="H16">_xll.FDSB($C16,"CS_EVENT_DESC_N("&amp;$AA$18&amp;",1)")</f>
        <v>Q1 2027 Earnings Release</v>
      </c>
      <c r="I16" s="282"/>
      <c r="J16" s="274" cm="1">
        <f t="array" ref="J16">_xll.FDSB($C16,"CS_EVENT_DATEJ_N("&amp;$AB$18&amp;",1)")</f>
        <v>46170</v>
      </c>
      <c r="K16" s="282" t="str" cm="1">
        <f t="array" ref="K16">_xll.FDSB($C16,"CS_EVENT_TIME_N("&amp;$AB$18&amp;",1)")</f>
        <v>5:00 PM</v>
      </c>
      <c r="L16" s="282" t="str" cm="1">
        <f t="array" ref="L16">_xll.FDSB($C16,"CS_EVENT_DESC_N("&amp;$AB$18&amp;",1)")</f>
        <v>Q1 2027 Earnings Call</v>
      </c>
      <c r="M16" s="300"/>
      <c r="N16" s="274" cm="1">
        <f t="array" ref="N16">_xll.FDSB($C16,"CS_EVENT_DATEJ_N("&amp;$AA$18&amp;",2)")</f>
        <v>46260</v>
      </c>
      <c r="O16" s="282" t="str" cm="1">
        <f t="array" ref="O16">_xll.FDSB($C16,"CS_EVENT_TIME_N("&amp;$AA$18&amp;",2)")</f>
        <v>Unspecified</v>
      </c>
      <c r="P16" s="282" t="str" cm="1">
        <f t="array" ref="P16">_xll.FDSB($C16,"CS_EVENT_DESC_N("&amp;$AA$18&amp;",2)")</f>
        <v>Q2 2027 Earnings Release (Projected)</v>
      </c>
      <c r="Q16" s="282"/>
      <c r="R16" s="274" cm="1">
        <f t="array" ref="R16">_xll.FDSB($C16,"CS_EVENT_DATEJ_N("&amp;$AA$18&amp;",3)")</f>
        <v>46350</v>
      </c>
      <c r="S16" s="282" t="str" cm="1">
        <f t="array" ref="S16">_xll.FDSB($C16,"CS_EVENT_TIME_N("&amp;$AA$18&amp;",3)")</f>
        <v>Unspecified</v>
      </c>
      <c r="T16" s="282" t="str" cm="1">
        <f t="array" ref="T16">_xll.FDSB($C16,"CS_EVENT_DESC_N("&amp;$AA$18&amp;",3)")</f>
        <v>Q3 2027 Earnings Release (Projected)</v>
      </c>
      <c r="U16" s="282"/>
      <c r="V16" s="274" cm="1">
        <f t="array" ref="V16">_xll.FDSB($C16,"CS_EVENT_DATEJ_N("&amp;$AA$18&amp;",4)")</f>
        <v>46443</v>
      </c>
      <c r="W16" s="282" t="str" cm="1">
        <f t="array" ref="W16">_xll.FDSB($C16,"CS_EVENT_TIME_N("&amp;$AA$18&amp;",4)")</f>
        <v>Unspecified</v>
      </c>
      <c r="X16" s="282" t="str" cm="1">
        <f t="array" ref="X16">_xll.FDSB($C16,"CS_EVENT_DESC_N("&amp;$AA$18&amp;",4)")</f>
        <v>Q4 2027 Earnings Release (Projected)</v>
      </c>
      <c r="Y16" s="274"/>
      <c r="Z16" s="295"/>
      <c r="AA16" s="295"/>
      <c r="AB16" s="233"/>
      <c r="AC16" s="301"/>
      <c r="AD16" s="233"/>
      <c r="AE16" s="233"/>
      <c r="AF16" s="233"/>
      <c r="AG16" s="233"/>
      <c r="AH16" s="233"/>
      <c r="AJ16" s="195"/>
      <c r="AK16" s="296"/>
    </row>
    <row r="17" spans="1:36" x14ac:dyDescent="0.15">
      <c r="A17" s="275"/>
      <c r="B17" s="298">
        <f>B16+1</f>
        <v>2</v>
      </c>
      <c r="C17" s="299" t="str">
        <v>DLTR</v>
      </c>
      <c r="D17" s="300" t="str" cm="1">
        <f t="array" ref="D17">_xll.FDSB($C17,"FG_COMPANY_NAME")</f>
        <v>Dollar Tree, Inc.</v>
      </c>
      <c r="E17" s="300"/>
      <c r="F17" s="274" cm="1">
        <f t="array" ref="F17">_xll.FDSB($C17,"CS_EVENT_DATEJ_N("&amp;$AA$18&amp;",1)")</f>
        <v>46170</v>
      </c>
      <c r="G17" s="282" t="str" cm="1">
        <f t="array" ref="G17">_xll.FDSB($C17,"CS_EVENT_TIME_N("&amp;$AA$18&amp;",1)")</f>
        <v>6:30 AM</v>
      </c>
      <c r="H17" s="282" t="str" cm="1">
        <f t="array" ref="H17">_xll.FDSB($C17,"CS_EVENT_DESC_N("&amp;$AA$18&amp;",1)")</f>
        <v>Q1 2026 Earnings Release</v>
      </c>
      <c r="I17" s="282"/>
      <c r="J17" s="274" cm="1">
        <f t="array" ref="J17">_xll.FDSB($C17,"CS_EVENT_DATEJ_N("&amp;$AB$18&amp;",1)")</f>
        <v>46170</v>
      </c>
      <c r="K17" s="282" t="str" cm="1">
        <f t="array" ref="K17">_xll.FDSB($C17,"CS_EVENT_TIME_N("&amp;$AB$18&amp;",1)")</f>
        <v>8:00 AM</v>
      </c>
      <c r="L17" s="282" t="str" cm="1">
        <f t="array" ref="L17">_xll.FDSB($C17,"CS_EVENT_DESC_N("&amp;$AB$18&amp;",1)")</f>
        <v>Q1 2026 Earnings Call</v>
      </c>
      <c r="M17" s="300"/>
      <c r="N17" s="274" cm="1">
        <f t="array" ref="N17">_xll.FDSB($C17,"CS_EVENT_DATEJ_N("&amp;$AA$18&amp;",2)")</f>
        <v>46254</v>
      </c>
      <c r="O17" s="282" t="str" cm="1">
        <f t="array" ref="O17">_xll.FDSB($C17,"CS_EVENT_TIME_N("&amp;$AA$18&amp;",2)")</f>
        <v>Unspecified</v>
      </c>
      <c r="P17" s="282" t="str" cm="1">
        <f t="array" ref="P17">_xll.FDSB($C17,"CS_EVENT_DESC_N("&amp;$AA$18&amp;",2)")</f>
        <v>Q2 2026 Earnings Release (Projected)</v>
      </c>
      <c r="Q17" s="282"/>
      <c r="R17" s="274" cm="1">
        <f t="array" ref="R17">_xll.FDSB($C17,"CS_EVENT_DATEJ_N("&amp;$AA$18&amp;",3)")</f>
        <v>46350</v>
      </c>
      <c r="S17" s="282" t="str" cm="1">
        <f t="array" ref="S17">_xll.FDSB($C17,"CS_EVENT_TIME_N("&amp;$AA$18&amp;",3)")</f>
        <v>Unspecified</v>
      </c>
      <c r="T17" s="282" t="str" cm="1">
        <f t="array" ref="T17">_xll.FDSB($C17,"CS_EVENT_DESC_N("&amp;$AA$18&amp;",3)")</f>
        <v>Q3 2026 Earnings Release (Projected)</v>
      </c>
      <c r="U17" s="282"/>
      <c r="V17" s="274" cm="1">
        <f t="array" ref="V17">_xll.FDSB($C17,"CS_EVENT_DATEJ_N("&amp;$AA$18&amp;",4)")</f>
        <v>46449</v>
      </c>
      <c r="W17" s="282" t="str" cm="1">
        <f t="array" ref="W17">_xll.FDSB($C17,"CS_EVENT_TIME_N("&amp;$AA$18&amp;",4)")</f>
        <v>Unspecified</v>
      </c>
      <c r="X17" s="282" t="str" cm="1">
        <f t="array" ref="X17">_xll.FDSB($C17,"CS_EVENT_DESC_N("&amp;$AA$18&amp;",4)")</f>
        <v>Q4 2026 Earnings Release (Projected)</v>
      </c>
      <c r="Y17" s="274"/>
      <c r="Z17" s="302">
        <v>1</v>
      </c>
      <c r="AA17" s="302">
        <f>Z17+1</f>
        <v>2</v>
      </c>
      <c r="AB17" s="302">
        <f t="shared" ref="AB17:AG17" si="0">AA17+1</f>
        <v>3</v>
      </c>
      <c r="AC17" s="303">
        <f t="shared" si="0"/>
        <v>4</v>
      </c>
      <c r="AD17" s="303">
        <f t="shared" si="0"/>
        <v>5</v>
      </c>
      <c r="AE17" s="303">
        <f t="shared" si="0"/>
        <v>6</v>
      </c>
      <c r="AF17" s="303">
        <f t="shared" si="0"/>
        <v>7</v>
      </c>
      <c r="AG17" s="303">
        <f t="shared" si="0"/>
        <v>8</v>
      </c>
      <c r="AH17" s="302">
        <v>9</v>
      </c>
      <c r="AI17" s="304"/>
      <c r="AJ17" s="278"/>
    </row>
    <row r="18" spans="1:36" ht="13" x14ac:dyDescent="0.2">
      <c r="A18" s="275"/>
      <c r="B18" s="298">
        <f t="shared" ref="B18:B81" si="1">B17+1</f>
        <v>3</v>
      </c>
      <c r="C18" s="299" t="str">
        <v>COST</v>
      </c>
      <c r="D18" s="300" t="str" cm="1">
        <f t="array" ref="D18">_xll.FDSB($C18,"FG_COMPANY_NAME")</f>
        <v>Costco Wholesale Corporation</v>
      </c>
      <c r="E18" s="300"/>
      <c r="F18" s="274" cm="1">
        <f t="array" ref="F18">_xll.FDSB($C18,"CS_EVENT_DATEJ_N("&amp;$AA$18&amp;",1)")</f>
        <v>46170</v>
      </c>
      <c r="G18" s="282" t="str" cm="1">
        <f t="array" ref="G18">_xll.FDSB($C18,"CS_EVENT_TIME_N("&amp;$AA$18&amp;",1)")</f>
        <v>4:15 PM</v>
      </c>
      <c r="H18" s="282" t="str" cm="1">
        <f t="array" ref="H18">_xll.FDSB($C18,"CS_EVENT_DESC_N("&amp;$AA$18&amp;",1)")</f>
        <v>Q3 2026 Earnings Release</v>
      </c>
      <c r="I18" s="282"/>
      <c r="J18" s="274" cm="1">
        <f t="array" ref="J18">_xll.FDSB($C18,"CS_EVENT_DATEJ_N("&amp;$AB$18&amp;",1)")</f>
        <v>46170</v>
      </c>
      <c r="K18" s="282" t="str" cm="1">
        <f t="array" ref="K18">_xll.FDSB($C18,"CS_EVENT_TIME_N("&amp;$AB$18&amp;",1)")</f>
        <v>5:00 PM</v>
      </c>
      <c r="L18" s="282" t="str" cm="1">
        <f t="array" ref="L18">_xll.FDSB($C18,"CS_EVENT_DESC_N("&amp;$AB$18&amp;",1)")</f>
        <v>Q3 2026 Earnings Call</v>
      </c>
      <c r="M18" s="300"/>
      <c r="N18" s="274" cm="1">
        <f t="array" ref="N18">_xll.FDSB($C18,"CS_EVENT_DATEJ_N("&amp;$AA$18&amp;",2)")</f>
        <v>46289</v>
      </c>
      <c r="O18" s="282" t="str" cm="1">
        <f t="array" ref="O18">_xll.FDSB($C18,"CS_EVENT_TIME_N("&amp;$AA$18&amp;",2)")</f>
        <v>Unspecified</v>
      </c>
      <c r="P18" s="282" t="str" cm="1">
        <f t="array" ref="P18">_xll.FDSB($C18,"CS_EVENT_DESC_N("&amp;$AA$18&amp;",2)")</f>
        <v>Q4 2026 Earnings Release (Projected)</v>
      </c>
      <c r="Q18" s="282"/>
      <c r="R18" s="274" cm="1">
        <f t="array" ref="R18">_xll.FDSB($C18,"CS_EVENT_DATEJ_N("&amp;$AA$18&amp;",3)")</f>
        <v>46366</v>
      </c>
      <c r="S18" s="282" t="str" cm="1">
        <f t="array" ref="S18">_xll.FDSB($C18,"CS_EVENT_TIME_N("&amp;$AA$18&amp;",3)")</f>
        <v>Unspecified</v>
      </c>
      <c r="T18" s="282" t="str" cm="1">
        <f t="array" ref="T18">_xll.FDSB($C18,"CS_EVENT_DESC_N("&amp;$AA$18&amp;",3)")</f>
        <v>Q1 2027 Earnings Release (Projected)</v>
      </c>
      <c r="U18" s="282"/>
      <c r="V18" s="274" cm="1">
        <f t="array" ref="V18">_xll.FDSB($C18,"CS_EVENT_DATEJ_N("&amp;$AA$18&amp;",4)")</f>
        <v>46534</v>
      </c>
      <c r="W18" s="282" t="str" cm="1">
        <f t="array" ref="W18">_xll.FDSB($C18,"CS_EVENT_TIME_N("&amp;$AA$18&amp;",4)")</f>
        <v>Unspecified</v>
      </c>
      <c r="X18" s="282" t="str" cm="1">
        <f t="array" ref="X18">_xll.FDSB($C18,"CS_EVENT_DESC_N("&amp;$AA$18&amp;",4)")</f>
        <v>Q3 2027 Earnings Release (Projected)</v>
      </c>
      <c r="Z18" s="305" t="str">
        <f t="shared" ref="Z18:AG18" si="2">VLOOKUP($D$9,$Z$19:$AG$20,Z$17,FALSE)</f>
        <v>Earnings Release &amp; Call Details</v>
      </c>
      <c r="AA18" s="306" t="str">
        <f t="shared" si="2"/>
        <v>"ER"</v>
      </c>
      <c r="AB18" s="306" t="str">
        <f t="shared" si="2"/>
        <v>"E"</v>
      </c>
      <c r="AC18" s="305" t="str">
        <f t="shared" si="2"/>
        <v>Earnings Release Details</v>
      </c>
      <c r="AD18" s="305" t="str">
        <f t="shared" si="2"/>
        <v>Earnings Call Details</v>
      </c>
      <c r="AE18" s="305" t="str">
        <f t="shared" si="2"/>
        <v>Upcoming Earnings Release 2</v>
      </c>
      <c r="AF18" s="305" t="str">
        <f t="shared" si="2"/>
        <v>Upcoming Earnings Release 3</v>
      </c>
      <c r="AG18" s="305" t="str">
        <f t="shared" si="2"/>
        <v>Upcoming Earnings Release 4</v>
      </c>
      <c r="AH18" s="306" t="str">
        <f>VLOOKUP($D$9,$Z$19:$AH$20,AH$17,FALSE)</f>
        <v>'ER'</v>
      </c>
      <c r="AI18" s="304"/>
      <c r="AJ18" s="307"/>
    </row>
    <row r="19" spans="1:36" x14ac:dyDescent="0.15">
      <c r="A19" s="275"/>
      <c r="B19" s="298">
        <f t="shared" si="1"/>
        <v>4</v>
      </c>
      <c r="C19" s="299" t="str">
        <v>HRL</v>
      </c>
      <c r="D19" s="300" t="str" cm="1">
        <f t="array" ref="D19">_xll.FDSB($C19,"FG_COMPANY_NAME")</f>
        <v>Hormel Foods Corporation</v>
      </c>
      <c r="E19" s="300"/>
      <c r="F19" s="274" cm="1">
        <f t="array" ref="F19">_xll.FDSB($C19,"CS_EVENT_DATEJ_N("&amp;$AA$18&amp;",1)")</f>
        <v>46170</v>
      </c>
      <c r="G19" s="282" t="str" cm="1">
        <f t="array" ref="G19">_xll.FDSB($C19,"CS_EVENT_TIME_N("&amp;$AA$18&amp;",1)")</f>
        <v>6:30 AM</v>
      </c>
      <c r="H19" s="282" t="str" cm="1">
        <f t="array" ref="H19">_xll.FDSB($C19,"CS_EVENT_DESC_N("&amp;$AA$18&amp;",1)")</f>
        <v>Q2 2026 Earnings Release</v>
      </c>
      <c r="I19" s="282"/>
      <c r="J19" s="274" cm="1">
        <f t="array" ref="J19">_xll.FDSB($C19,"CS_EVENT_DATEJ_N("&amp;$AB$18&amp;",1)")</f>
        <v>46170</v>
      </c>
      <c r="K19" s="282" t="str" cm="1">
        <f t="array" ref="K19">_xll.FDSB($C19,"CS_EVENT_TIME_N("&amp;$AB$18&amp;",1)")</f>
        <v>9:00 AM</v>
      </c>
      <c r="L19" s="282" t="str" cm="1">
        <f t="array" ref="L19">_xll.FDSB($C19,"CS_EVENT_DESC_N("&amp;$AB$18&amp;",1)")</f>
        <v>Q2 2026 Earnings Call</v>
      </c>
      <c r="M19" s="300"/>
      <c r="N19" s="274" cm="1">
        <f t="array" ref="N19">_xll.FDSB($C19,"CS_EVENT_DATEJ_N("&amp;$AA$18&amp;",2)")</f>
        <v>46261</v>
      </c>
      <c r="O19" s="282" t="str" cm="1">
        <f t="array" ref="O19">_xll.FDSB($C19,"CS_EVENT_TIME_N("&amp;$AA$18&amp;",2)")</f>
        <v>Unspecified</v>
      </c>
      <c r="P19" s="282" t="str" cm="1">
        <f t="array" ref="P19">_xll.FDSB($C19,"CS_EVENT_DESC_N("&amp;$AA$18&amp;",2)")</f>
        <v>Q3 2026 Earnings Release (Projected)</v>
      </c>
      <c r="Q19" s="282"/>
      <c r="R19" s="274" cm="1">
        <f t="array" ref="R19">_xll.FDSB($C19,"CS_EVENT_DATEJ_N("&amp;$AA$18&amp;",3)")</f>
        <v>46358</v>
      </c>
      <c r="S19" s="282" t="str" cm="1">
        <f t="array" ref="S19">_xll.FDSB($C19,"CS_EVENT_TIME_N("&amp;$AA$18&amp;",3)")</f>
        <v>Unspecified</v>
      </c>
      <c r="T19" s="282" t="str" cm="1">
        <f t="array" ref="T19">_xll.FDSB($C19,"CS_EVENT_DESC_N("&amp;$AA$18&amp;",3)")</f>
        <v>Q4 2026 Earnings Release (Projected)</v>
      </c>
      <c r="U19" s="282"/>
      <c r="V19" s="274" cm="1">
        <f t="array" ref="V19">_xll.FDSB($C19,"CS_EVENT_DATEJ_N("&amp;$AA$18&amp;",4)")</f>
        <v>46450</v>
      </c>
      <c r="W19" s="282" t="str" cm="1">
        <f t="array" ref="W19">_xll.FDSB($C19,"CS_EVENT_TIME_N("&amp;$AA$18&amp;",4)")</f>
        <v>Unspecified</v>
      </c>
      <c r="X19" s="282" t="str" cm="1">
        <f t="array" ref="X19">_xll.FDSB($C19,"CS_EVENT_DESC_N("&amp;$AA$18&amp;",4)")</f>
        <v>Q1 2027 Earnings Release (Projected)</v>
      </c>
      <c r="Z19" s="308" t="s">
        <v>210</v>
      </c>
      <c r="AA19" s="309" t="s">
        <v>212</v>
      </c>
      <c r="AB19" s="309" t="s">
        <v>213</v>
      </c>
      <c r="AC19" s="308" t="s">
        <v>214</v>
      </c>
      <c r="AD19" s="305" t="s">
        <v>215</v>
      </c>
      <c r="AE19" s="310" t="s">
        <v>216</v>
      </c>
      <c r="AF19" s="310" t="s">
        <v>217</v>
      </c>
      <c r="AG19" s="310" t="s">
        <v>218</v>
      </c>
      <c r="AH19" s="311" t="str">
        <f>"'ER'"</f>
        <v>'ER'</v>
      </c>
      <c r="AI19" s="304"/>
    </row>
    <row r="20" spans="1:36" x14ac:dyDescent="0.15">
      <c r="A20" s="275"/>
      <c r="B20" s="298">
        <f t="shared" si="1"/>
        <v>5</v>
      </c>
      <c r="C20" s="299" t="str">
        <v>NTAP</v>
      </c>
      <c r="D20" s="300" t="str" cm="1">
        <f t="array" ref="D20">_xll.FDSB($C20,"FG_COMPANY_NAME")</f>
        <v>NetApp, Inc.</v>
      </c>
      <c r="E20" s="300"/>
      <c r="F20" s="274" cm="1">
        <f t="array" ref="F20">_xll.FDSB($C20,"CS_EVENT_DATEJ_N("&amp;$AA$18&amp;",1)")</f>
        <v>46170</v>
      </c>
      <c r="G20" s="282" t="str" cm="1">
        <f t="array" ref="G20">_xll.FDSB($C20,"CS_EVENT_TIME_N("&amp;$AA$18&amp;",1)")</f>
        <v>4:01 PM</v>
      </c>
      <c r="H20" s="282" t="str" cm="1">
        <f t="array" ref="H20">_xll.FDSB($C20,"CS_EVENT_DESC_N("&amp;$AA$18&amp;",1)")</f>
        <v>Q4 2026 Earnings Release</v>
      </c>
      <c r="I20" s="282"/>
      <c r="J20" s="274" cm="1">
        <f t="array" ref="J20">_xll.FDSB($C20,"CS_EVENT_DATEJ_N("&amp;$AB$18&amp;",1)")</f>
        <v>46170</v>
      </c>
      <c r="K20" s="282" t="str" cm="1">
        <f t="array" ref="K20">_xll.FDSB($C20,"CS_EVENT_TIME_N("&amp;$AB$18&amp;",1)")</f>
        <v>5:30 PM</v>
      </c>
      <c r="L20" s="282" t="str" cm="1">
        <f t="array" ref="L20">_xll.FDSB($C20,"CS_EVENT_DESC_N("&amp;$AB$18&amp;",1)")</f>
        <v>Q4 2026 Earnings Call</v>
      </c>
      <c r="M20" s="300"/>
      <c r="N20" s="274" cm="1">
        <f t="array" ref="N20">_xll.FDSB($C20,"CS_EVENT_DATEJ_N("&amp;$AA$18&amp;",2)")</f>
        <v>46267</v>
      </c>
      <c r="O20" s="282" t="str" cm="1">
        <f t="array" ref="O20">_xll.FDSB($C20,"CS_EVENT_TIME_N("&amp;$AA$18&amp;",2)")</f>
        <v>4:01 PM</v>
      </c>
      <c r="P20" s="282" t="str" cm="1">
        <f t="array" ref="P20">_xll.FDSB($C20,"CS_EVENT_DESC_N("&amp;$AA$18&amp;",2)")</f>
        <v>Q1 2027 Earnings Release</v>
      </c>
      <c r="Q20" s="282"/>
      <c r="R20" s="274" cm="1">
        <f t="array" ref="R20">_xll.FDSB($C20,"CS_EVENT_DATEJ_N("&amp;$AA$18&amp;",3)")</f>
        <v>46357</v>
      </c>
      <c r="S20" s="282" t="str" cm="1">
        <f t="array" ref="S20">_xll.FDSB($C20,"CS_EVENT_TIME_N("&amp;$AA$18&amp;",3)")</f>
        <v>4:01 PM</v>
      </c>
      <c r="T20" s="282" t="str" cm="1">
        <f t="array" ref="T20">_xll.FDSB($C20,"CS_EVENT_DESC_N("&amp;$AA$18&amp;",3)")</f>
        <v>Q2 2027 Earnings Release</v>
      </c>
      <c r="U20" s="282"/>
      <c r="V20" s="274" cm="1">
        <f t="array" ref="V20">_xll.FDSB($C20,"CS_EVENT_DATEJ_N("&amp;$AA$18&amp;",4)")</f>
        <v>46450</v>
      </c>
      <c r="W20" s="282" t="str" cm="1">
        <f t="array" ref="W20">_xll.FDSB($C20,"CS_EVENT_TIME_N("&amp;$AA$18&amp;",4)")</f>
        <v>4:01 PM</v>
      </c>
      <c r="X20" s="282" t="str" cm="1">
        <f t="array" ref="X20">_xll.FDSB($C20,"CS_EVENT_DESC_N("&amp;$AA$18&amp;",4)")</f>
        <v>Q3 2027 Earnings Release</v>
      </c>
      <c r="Z20" s="308" t="s">
        <v>219</v>
      </c>
      <c r="AA20" s="309" t="s">
        <v>220</v>
      </c>
      <c r="AB20" s="309" t="s">
        <v>221</v>
      </c>
      <c r="AC20" s="308" t="s">
        <v>222</v>
      </c>
      <c r="AD20" s="308" t="s">
        <v>223</v>
      </c>
      <c r="AE20" s="310" t="s">
        <v>224</v>
      </c>
      <c r="AF20" s="310" t="s">
        <v>225</v>
      </c>
      <c r="AG20" s="310" t="s">
        <v>226</v>
      </c>
      <c r="AH20" s="311" t="str">
        <f>"'SR'"</f>
        <v>'SR'</v>
      </c>
      <c r="AI20" s="304"/>
    </row>
    <row r="21" spans="1:36" x14ac:dyDescent="0.15">
      <c r="A21" s="275"/>
      <c r="B21" s="298">
        <f t="shared" si="1"/>
        <v>6</v>
      </c>
      <c r="C21" s="299" t="str">
        <v>DELL</v>
      </c>
      <c r="D21" s="300" t="str" cm="1">
        <f t="array" ref="D21">_xll.FDSB($C21,"FG_COMPANY_NAME")</f>
        <v>Dell Technologies, Inc. Class C</v>
      </c>
      <c r="E21" s="300"/>
      <c r="F21" s="274" cm="1">
        <f t="array" ref="F21">_xll.FDSB($C21,"CS_EVENT_DATEJ_N("&amp;$AA$18&amp;",1)")</f>
        <v>46170</v>
      </c>
      <c r="G21" s="282" t="str" cm="1">
        <f t="array" ref="G21">_xll.FDSB($C21,"CS_EVENT_TIME_N("&amp;$AA$18&amp;",1)")</f>
        <v>After Market</v>
      </c>
      <c r="H21" s="282" t="str" cm="1">
        <f t="array" ref="H21">_xll.FDSB($C21,"CS_EVENT_DESC_N("&amp;$AA$18&amp;",1)")</f>
        <v>Q1 2027 Earnings Release</v>
      </c>
      <c r="I21" s="282"/>
      <c r="J21" s="274" cm="1">
        <f t="array" ref="J21">_xll.FDSB($C21,"CS_EVENT_DATEJ_N("&amp;$AB$18&amp;",1)")</f>
        <v>46170</v>
      </c>
      <c r="K21" s="282" t="str" cm="1">
        <f t="array" ref="K21">_xll.FDSB($C21,"CS_EVENT_TIME_N("&amp;$AB$18&amp;",1)")</f>
        <v>4:30 PM</v>
      </c>
      <c r="L21" s="282" t="str" cm="1">
        <f t="array" ref="L21">_xll.FDSB($C21,"CS_EVENT_DESC_N("&amp;$AB$18&amp;",1)")</f>
        <v>Q1 2027 Earnings Call</v>
      </c>
      <c r="M21" s="300"/>
      <c r="N21" s="274" cm="1">
        <f t="array" ref="N21">_xll.FDSB($C21,"CS_EVENT_DATEJ_N("&amp;$AA$18&amp;",2)")</f>
        <v>46268</v>
      </c>
      <c r="O21" s="282" t="str" cm="1">
        <f t="array" ref="O21">_xll.FDSB($C21,"CS_EVENT_TIME_N("&amp;$AA$18&amp;",2)")</f>
        <v>4:05 PM</v>
      </c>
      <c r="P21" s="282" t="str" cm="1">
        <f t="array" ref="P21">_xll.FDSB($C21,"CS_EVENT_DESC_N("&amp;$AA$18&amp;",2)")</f>
        <v>Q2 2027 Earnings Release</v>
      </c>
      <c r="Q21" s="282"/>
      <c r="R21" s="274" cm="1">
        <f t="array" ref="R21">_xll.FDSB($C21,"CS_EVENT_DATEJ_N("&amp;$AA$18&amp;",3)")</f>
        <v>46357</v>
      </c>
      <c r="S21" s="282" t="str" cm="1">
        <f t="array" ref="S21">_xll.FDSB($C21,"CS_EVENT_TIME_N("&amp;$AA$18&amp;",3)")</f>
        <v>Unspecified</v>
      </c>
      <c r="T21" s="282" t="str" cm="1">
        <f t="array" ref="T21">_xll.FDSB($C21,"CS_EVENT_DESC_N("&amp;$AA$18&amp;",3)")</f>
        <v>Q3 2027 Earnings Release (Projected)</v>
      </c>
      <c r="U21" s="282"/>
      <c r="V21" s="274" cm="1">
        <f t="array" ref="V21">_xll.FDSB($C21,"CS_EVENT_DATEJ_N("&amp;$AA$18&amp;",4)")</f>
        <v>46450</v>
      </c>
      <c r="W21" s="282" t="str" cm="1">
        <f t="array" ref="W21">_xll.FDSB($C21,"CS_EVENT_TIME_N("&amp;$AA$18&amp;",4)")</f>
        <v>Unspecified</v>
      </c>
      <c r="X21" s="282" t="str" cm="1">
        <f t="array" ref="X21">_xll.FDSB($C21,"CS_EVENT_DESC_N("&amp;$AA$18&amp;",4)")</f>
        <v>Q4 2027 Earnings Release (Projected)</v>
      </c>
      <c r="Z21" s="233"/>
      <c r="AA21" s="233"/>
      <c r="AB21" s="301"/>
      <c r="AC21" s="233"/>
      <c r="AD21" s="233"/>
      <c r="AE21" s="233"/>
      <c r="AF21" s="233"/>
      <c r="AG21" s="233"/>
      <c r="AH21" s="233"/>
    </row>
    <row r="22" spans="1:36" x14ac:dyDescent="0.15">
      <c r="A22" s="275"/>
      <c r="B22" s="298">
        <f t="shared" si="1"/>
        <v>7</v>
      </c>
      <c r="C22" s="299" t="str">
        <v>HPE</v>
      </c>
      <c r="D22" s="300" t="str" cm="1">
        <f t="array" ref="D22">_xll.FDSB($C22,"FG_COMPANY_NAME")</f>
        <v>Hewlett Packard Enterprise Co.</v>
      </c>
      <c r="E22" s="300"/>
      <c r="F22" s="274" cm="1">
        <f t="array" ref="F22">_xll.FDSB($C22,"CS_EVENT_DATEJ_N("&amp;$AA$18&amp;",1)")</f>
        <v>46174</v>
      </c>
      <c r="G22" s="282" t="str" cm="1">
        <f t="array" ref="G22">_xll.FDSB($C22,"CS_EVENT_TIME_N("&amp;$AA$18&amp;",1)")</f>
        <v>4:05 PM</v>
      </c>
      <c r="H22" s="282" t="str" cm="1">
        <f t="array" ref="H22">_xll.FDSB($C22,"CS_EVENT_DESC_N("&amp;$AA$18&amp;",1)")</f>
        <v>Q2 2026 Earnings Release</v>
      </c>
      <c r="I22" s="282"/>
      <c r="J22" s="274" cm="1">
        <f t="array" ref="J22">_xll.FDSB($C22,"CS_EVENT_DATEJ_N("&amp;$AB$18&amp;",1)")</f>
        <v>46174</v>
      </c>
      <c r="K22" s="282" t="str" cm="1">
        <f t="array" ref="K22">_xll.FDSB($C22,"CS_EVENT_TIME_N("&amp;$AB$18&amp;",1)")</f>
        <v>5:00 PM</v>
      </c>
      <c r="L22" s="282" t="str" cm="1">
        <f t="array" ref="L22">_xll.FDSB($C22,"CS_EVENT_DESC_N("&amp;$AB$18&amp;",1)")</f>
        <v>Q2 2026 Earnings Call</v>
      </c>
      <c r="M22" s="300"/>
      <c r="N22" s="274" cm="1">
        <f t="array" ref="N22">_xll.FDSB($C22,"CS_EVENT_DATEJ_N("&amp;$AA$18&amp;",2)")</f>
        <v>46266</v>
      </c>
      <c r="O22" s="282" t="str" cm="1">
        <f t="array" ref="O22">_xll.FDSB($C22,"CS_EVENT_TIME_N("&amp;$AA$18&amp;",2)")</f>
        <v>Unspecified</v>
      </c>
      <c r="P22" s="282" t="str" cm="1">
        <f t="array" ref="P22">_xll.FDSB($C22,"CS_EVENT_DESC_N("&amp;$AA$18&amp;",2)")</f>
        <v>Q3 2026 Earnings Release (Projected)</v>
      </c>
      <c r="Q22" s="282"/>
      <c r="R22" s="274" cm="1">
        <f t="array" ref="R22">_xll.FDSB($C22,"CS_EVENT_DATEJ_N("&amp;$AA$18&amp;",3)")</f>
        <v>46359</v>
      </c>
      <c r="S22" s="282" t="str" cm="1">
        <f t="array" ref="S22">_xll.FDSB($C22,"CS_EVENT_TIME_N("&amp;$AA$18&amp;",3)")</f>
        <v>Unspecified</v>
      </c>
      <c r="T22" s="282" t="str" cm="1">
        <f t="array" ref="T22">_xll.FDSB($C22,"CS_EVENT_DESC_N("&amp;$AA$18&amp;",3)")</f>
        <v>Q4 2026 Earnings Release (Projected)</v>
      </c>
      <c r="U22" s="282"/>
      <c r="V22" s="274" cm="1">
        <f t="array" ref="V22">_xll.FDSB($C22,"CS_EVENT_DATEJ_N("&amp;$AA$18&amp;",4)")</f>
        <v>46448</v>
      </c>
      <c r="W22" s="282" t="str" cm="1">
        <f t="array" ref="W22">_xll.FDSB($C22,"CS_EVENT_TIME_N("&amp;$AA$18&amp;",4)")</f>
        <v>Unspecified</v>
      </c>
      <c r="X22" s="282" t="str" cm="1">
        <f t="array" ref="X22">_xll.FDSB($C22,"CS_EVENT_DESC_N("&amp;$AA$18&amp;",4)")</f>
        <v>Q1 2027 Earnings Release (Projected)</v>
      </c>
      <c r="Z22" s="233"/>
      <c r="AA22" s="233" t="str">
        <f>VLOOKUP(D8,Z24:AA79,2,FALSE)</f>
        <v>000001172</v>
      </c>
      <c r="AB22" s="301"/>
      <c r="AC22" s="233"/>
      <c r="AD22" s="233"/>
      <c r="AE22" s="233"/>
      <c r="AF22" s="233"/>
      <c r="AG22" s="233"/>
      <c r="AH22" s="233"/>
    </row>
    <row r="23" spans="1:36" x14ac:dyDescent="0.15">
      <c r="A23" s="275"/>
      <c r="B23" s="298">
        <f t="shared" si="1"/>
        <v>8</v>
      </c>
      <c r="C23" s="299" t="str">
        <v>ULTA</v>
      </c>
      <c r="D23" s="300" t="str" cm="1">
        <f t="array" ref="D23">_xll.FDSB($C23,"FG_COMPANY_NAME")</f>
        <v>Ulta Beauty Inc.</v>
      </c>
      <c r="E23" s="300"/>
      <c r="F23" s="274" cm="1">
        <f t="array" ref="F23">_xll.FDSB($C23,"CS_EVENT_DATEJ_N("&amp;$AA$18&amp;",1)")</f>
        <v>46175</v>
      </c>
      <c r="G23" s="282" t="str" cm="1">
        <f t="array" ref="G23">_xll.FDSB($C23,"CS_EVENT_TIME_N("&amp;$AA$18&amp;",1)")</f>
        <v>After Market</v>
      </c>
      <c r="H23" s="282" t="str" cm="1">
        <f t="array" ref="H23">_xll.FDSB($C23,"CS_EVENT_DESC_N("&amp;$AA$18&amp;",1)")</f>
        <v>Q1 2026 Earnings Release</v>
      </c>
      <c r="I23" s="282"/>
      <c r="J23" s="274" cm="1">
        <f t="array" ref="J23">_xll.FDSB($C23,"CS_EVENT_DATEJ_N("&amp;$AB$18&amp;",1)")</f>
        <v>46175</v>
      </c>
      <c r="K23" s="282" t="str" cm="1">
        <f t="array" ref="K23">_xll.FDSB($C23,"CS_EVENT_TIME_N("&amp;$AB$18&amp;",1)")</f>
        <v>4:30 PM</v>
      </c>
      <c r="L23" s="282" t="str" cm="1">
        <f t="array" ref="L23">_xll.FDSB($C23,"CS_EVENT_DESC_N("&amp;$AB$18&amp;",1)")</f>
        <v>Q1 2026 Earnings Call</v>
      </c>
      <c r="M23" s="300"/>
      <c r="N23" s="274" cm="1">
        <f t="array" ref="N23">_xll.FDSB($C23,"CS_EVENT_DATEJ_N("&amp;$AA$18&amp;",2)")</f>
        <v>46254</v>
      </c>
      <c r="O23" s="282" t="str" cm="1">
        <f t="array" ref="O23">_xll.FDSB($C23,"CS_EVENT_TIME_N("&amp;$AA$18&amp;",2)")</f>
        <v>Unspecified</v>
      </c>
      <c r="P23" s="282" t="str" cm="1">
        <f t="array" ref="P23">_xll.FDSB($C23,"CS_EVENT_DESC_N("&amp;$AA$18&amp;",2)")</f>
        <v>Q2 2026 Earnings Release (Projected)</v>
      </c>
      <c r="Q23" s="282"/>
      <c r="R23" s="274" cm="1">
        <f t="array" ref="R23">_xll.FDSB($C23,"CS_EVENT_DATEJ_N("&amp;$AA$18&amp;",3)")</f>
        <v>46352</v>
      </c>
      <c r="S23" s="282" t="str" cm="1">
        <f t="array" ref="S23">_xll.FDSB($C23,"CS_EVENT_TIME_N("&amp;$AA$18&amp;",3)")</f>
        <v>Unspecified</v>
      </c>
      <c r="T23" s="282" t="str" cm="1">
        <f t="array" ref="T23">_xll.FDSB($C23,"CS_EVENT_DESC_N("&amp;$AA$18&amp;",3)")</f>
        <v>Q3 2026 Earnings Release (Projected)</v>
      </c>
      <c r="U23" s="282"/>
      <c r="V23" s="274" cm="1">
        <f t="array" ref="V23">_xll.FDSB($C23,"CS_EVENT_DATEJ_N("&amp;$AA$18&amp;",4)")</f>
        <v>46457</v>
      </c>
      <c r="W23" s="282" t="str" cm="1">
        <f t="array" ref="W23">_xll.FDSB($C23,"CS_EVENT_TIME_N("&amp;$AA$18&amp;",4)")</f>
        <v>Unspecified</v>
      </c>
      <c r="X23" s="282" t="str" cm="1">
        <f t="array" ref="X23">_xll.FDSB($C23,"CS_EVENT_DESC_N("&amp;$AA$18&amp;",4)")</f>
        <v>Q4 2026 Earnings Release (Projected)</v>
      </c>
      <c r="Z23" s="312" t="s">
        <v>128</v>
      </c>
      <c r="AA23" s="313"/>
      <c r="AB23" s="233"/>
      <c r="AC23" s="233"/>
      <c r="AD23" s="233"/>
      <c r="AE23" s="233"/>
      <c r="AF23" s="233"/>
      <c r="AG23" s="233"/>
      <c r="AH23" s="233"/>
    </row>
    <row r="24" spans="1:36" x14ac:dyDescent="0.15">
      <c r="A24" s="275"/>
      <c r="B24" s="298">
        <f t="shared" si="1"/>
        <v>9</v>
      </c>
      <c r="C24" s="299" t="str">
        <v>PANW</v>
      </c>
      <c r="D24" s="300" t="str" cm="1">
        <f t="array" ref="D24">_xll.FDSB($C24,"FG_COMPANY_NAME")</f>
        <v>Palo Alto Networks, Inc.</v>
      </c>
      <c r="E24" s="300"/>
      <c r="F24" s="274" cm="1">
        <f t="array" ref="F24">_xll.FDSB($C24,"CS_EVENT_DATEJ_N("&amp;$AA$18&amp;",1)")</f>
        <v>46175</v>
      </c>
      <c r="G24" s="282" t="str" cm="1">
        <f t="array" ref="G24">_xll.FDSB($C24,"CS_EVENT_TIME_N("&amp;$AA$18&amp;",1)")</f>
        <v>After Market</v>
      </c>
      <c r="H24" s="282" t="str" cm="1">
        <f t="array" ref="H24">_xll.FDSB($C24,"CS_EVENT_DESC_N("&amp;$AA$18&amp;",1)")</f>
        <v>Q3 2026 Earnings Release</v>
      </c>
      <c r="I24" s="282"/>
      <c r="J24" s="274" cm="1">
        <f t="array" ref="J24">_xll.FDSB($C24,"CS_EVENT_DATEJ_N("&amp;$AB$18&amp;",1)")</f>
        <v>46175</v>
      </c>
      <c r="K24" s="282" t="str" cm="1">
        <f t="array" ref="K24">_xll.FDSB($C24,"CS_EVENT_TIME_N("&amp;$AB$18&amp;",1)")</f>
        <v>4:30 PM</v>
      </c>
      <c r="L24" s="282" t="str" cm="1">
        <f t="array" ref="L24">_xll.FDSB($C24,"CS_EVENT_DESC_N("&amp;$AB$18&amp;",1)")</f>
        <v>Q3 2026 Earnings Call</v>
      </c>
      <c r="M24" s="300"/>
      <c r="N24" s="274" cm="1">
        <f t="array" ref="N24">_xll.FDSB($C24,"CS_EVENT_DATEJ_N("&amp;$AA$18&amp;",2)")</f>
        <v>46258</v>
      </c>
      <c r="O24" s="282" t="str" cm="1">
        <f t="array" ref="O24">_xll.FDSB($C24,"CS_EVENT_TIME_N("&amp;$AA$18&amp;",2)")</f>
        <v>Unspecified</v>
      </c>
      <c r="P24" s="282" t="str" cm="1">
        <f t="array" ref="P24">_xll.FDSB($C24,"CS_EVENT_DESC_N("&amp;$AA$18&amp;",2)")</f>
        <v>Q4 2026 Earnings Release (Projected)</v>
      </c>
      <c r="Q24" s="282"/>
      <c r="R24" s="274" cm="1">
        <f t="array" ref="R24">_xll.FDSB($C24,"CS_EVENT_DATEJ_N("&amp;$AA$18&amp;",3)")</f>
        <v>46338</v>
      </c>
      <c r="S24" s="282" t="str" cm="1">
        <f t="array" ref="S24">_xll.FDSB($C24,"CS_EVENT_TIME_N("&amp;$AA$18&amp;",3)")</f>
        <v>Unspecified</v>
      </c>
      <c r="T24" s="282" t="str" cm="1">
        <f t="array" ref="T24">_xll.FDSB($C24,"CS_EVENT_DESC_N("&amp;$AA$18&amp;",3)")</f>
        <v>Q1 2027 Earnings Release (Projected)</v>
      </c>
      <c r="U24" s="282"/>
      <c r="V24" s="274" cm="1">
        <f t="array" ref="V24">_xll.FDSB($C24,"CS_EVENT_DATEJ_N("&amp;$AA$18&amp;",4)")</f>
        <v>46441</v>
      </c>
      <c r="W24" s="282" t="str" cm="1">
        <f t="array" ref="W24">_xll.FDSB($C24,"CS_EVENT_TIME_N("&amp;$AA$18&amp;",4)")</f>
        <v>Unspecified</v>
      </c>
      <c r="X24" s="282" t="str" cm="1">
        <f t="array" ref="X24">_xll.FDSB($C24,"CS_EVENT_DESC_N("&amp;$AA$18&amp;",4)")</f>
        <v>Q2 2027 Earnings Release (Projected)</v>
      </c>
      <c r="Z24" s="308" t="s">
        <v>129</v>
      </c>
      <c r="AA24" s="308" t="s">
        <v>227</v>
      </c>
      <c r="AB24" s="314" cm="1">
        <f t="array" ref="AB24">_xll.FDS(AA24,"count(FG_CONSTITUENTS)")</f>
        <v>30</v>
      </c>
      <c r="AC24" s="233"/>
      <c r="AD24" s="233"/>
      <c r="AE24" s="233"/>
      <c r="AF24" s="233"/>
      <c r="AG24" s="233"/>
      <c r="AH24" s="233"/>
    </row>
    <row r="25" spans="1:36" x14ac:dyDescent="0.15">
      <c r="A25" s="275"/>
      <c r="B25" s="298">
        <f t="shared" si="1"/>
        <v>10</v>
      </c>
      <c r="C25" s="299" t="str">
        <v>DG</v>
      </c>
      <c r="D25" s="300" t="str" cm="1">
        <f t="array" ref="D25">_xll.FDSB($C25,"FG_COMPANY_NAME")</f>
        <v>Dollar General Corporation</v>
      </c>
      <c r="E25" s="300"/>
      <c r="F25" s="274" cm="1">
        <f t="array" ref="F25">_xll.FDSB($C25,"CS_EVENT_DATEJ_N("&amp;$AA$18&amp;",1)")</f>
        <v>46175</v>
      </c>
      <c r="G25" s="282" t="str" cm="1">
        <f t="array" ref="G25">_xll.FDSB($C25,"CS_EVENT_TIME_N("&amp;$AA$18&amp;",1)")</f>
        <v>6:50 AM</v>
      </c>
      <c r="H25" s="282" t="str" cm="1">
        <f t="array" ref="H25">_xll.FDSB($C25,"CS_EVENT_DESC_N("&amp;$AA$18&amp;",1)")</f>
        <v>Q1 2026 Earnings Release</v>
      </c>
      <c r="I25" s="282"/>
      <c r="J25" s="274" cm="1">
        <f t="array" ref="J25">_xll.FDSB($C25,"CS_EVENT_DATEJ_N("&amp;$AB$18&amp;",1)")</f>
        <v>46175</v>
      </c>
      <c r="K25" s="282" t="str" cm="1">
        <f t="array" ref="K25">_xll.FDSB($C25,"CS_EVENT_TIME_N("&amp;$AB$18&amp;",1)")</f>
        <v>9:00 AM</v>
      </c>
      <c r="L25" s="282" t="str" cm="1">
        <f t="array" ref="L25">_xll.FDSB($C25,"CS_EVENT_DESC_N("&amp;$AB$18&amp;",1)")</f>
        <v>Q1 2026 Earnings Call</v>
      </c>
      <c r="M25" s="300"/>
      <c r="N25" s="274" cm="1">
        <f t="array" ref="N25">_xll.FDSB($C25,"CS_EVENT_DATEJ_N("&amp;$AA$18&amp;",2)")</f>
        <v>46261</v>
      </c>
      <c r="O25" s="282" t="str" cm="1">
        <f t="array" ref="O25">_xll.FDSB($C25,"CS_EVENT_TIME_N("&amp;$AA$18&amp;",2)")</f>
        <v>Unspecified</v>
      </c>
      <c r="P25" s="282" t="str" cm="1">
        <f t="array" ref="P25">_xll.FDSB($C25,"CS_EVENT_DESC_N("&amp;$AA$18&amp;",2)")</f>
        <v>Q2 2026 Earnings Release (Projected)</v>
      </c>
      <c r="Q25" s="282"/>
      <c r="R25" s="274" cm="1">
        <f t="array" ref="R25">_xll.FDSB($C25,"CS_EVENT_DATEJ_N("&amp;$AA$18&amp;",3)")</f>
        <v>46359</v>
      </c>
      <c r="S25" s="282" t="str" cm="1">
        <f t="array" ref="S25">_xll.FDSB($C25,"CS_EVENT_TIME_N("&amp;$AA$18&amp;",3)")</f>
        <v>Unspecified</v>
      </c>
      <c r="T25" s="282" t="str" cm="1">
        <f t="array" ref="T25">_xll.FDSB($C25,"CS_EVENT_DESC_N("&amp;$AA$18&amp;",3)")</f>
        <v>Q3 2026 Earnings Release (Projected)</v>
      </c>
      <c r="U25" s="282"/>
      <c r="V25" s="274" cm="1">
        <f t="array" ref="V25">_xll.FDSB($C25,"CS_EVENT_DATEJ_N("&amp;$AA$18&amp;",4)")</f>
        <v>46464</v>
      </c>
      <c r="W25" s="282" t="str" cm="1">
        <f t="array" ref="W25">_xll.FDSB($C25,"CS_EVENT_TIME_N("&amp;$AA$18&amp;",4)")</f>
        <v>Unspecified</v>
      </c>
      <c r="X25" s="282" t="str" cm="1">
        <f t="array" ref="X25">_xll.FDSB($C25,"CS_EVENT_DESC_N("&amp;$AA$18&amp;",4)")</f>
        <v>Q4 2026 Earnings Release (Projected)</v>
      </c>
      <c r="Z25" s="308" t="s">
        <v>29</v>
      </c>
      <c r="AA25" s="315" t="s">
        <v>131</v>
      </c>
      <c r="AB25" s="314" cm="1">
        <f t="array" ref="AB25">_xll.FDS(AA25,"count(FG_CONSTITUENTS)")</f>
        <v>503</v>
      </c>
      <c r="AC25" s="233"/>
      <c r="AD25" s="233"/>
      <c r="AE25" s="233"/>
      <c r="AF25" s="233"/>
      <c r="AG25" s="233"/>
      <c r="AH25" s="233"/>
    </row>
    <row r="26" spans="1:36" x14ac:dyDescent="0.15">
      <c r="A26" s="275"/>
      <c r="B26" s="298">
        <f t="shared" si="1"/>
        <v>11</v>
      </c>
      <c r="C26" s="299" t="str">
        <v>MDT</v>
      </c>
      <c r="D26" s="300" t="str" cm="1">
        <f t="array" ref="D26">_xll.FDSB($C26,"FG_COMPANY_NAME")</f>
        <v>Medtronic Plc</v>
      </c>
      <c r="E26" s="300"/>
      <c r="F26" s="274" cm="1">
        <f t="array" ref="F26">_xll.FDSB($C26,"CS_EVENT_DATEJ_N("&amp;$AA$18&amp;",1)")</f>
        <v>46176</v>
      </c>
      <c r="G26" s="282" t="str" cm="1">
        <f t="array" ref="G26">_xll.FDSB($C26,"CS_EVENT_TIME_N("&amp;$AA$18&amp;",1)")</f>
        <v>6:45 AM</v>
      </c>
      <c r="H26" s="282" t="str" cm="1">
        <f t="array" ref="H26">_xll.FDSB($C26,"CS_EVENT_DESC_N("&amp;$AA$18&amp;",1)")</f>
        <v>Q4 2026 Earnings Release</v>
      </c>
      <c r="I26" s="282"/>
      <c r="J26" s="274" cm="1">
        <f t="array" ref="J26">_xll.FDSB($C26,"CS_EVENT_DATEJ_N("&amp;$AB$18&amp;",1)")</f>
        <v>46176</v>
      </c>
      <c r="K26" s="282" t="str" cm="1">
        <f t="array" ref="K26">_xll.FDSB($C26,"CS_EVENT_TIME_N("&amp;$AB$18&amp;",1)")</f>
        <v>7:45 AM</v>
      </c>
      <c r="L26" s="282" t="str" cm="1">
        <f t="array" ref="L26">_xll.FDSB($C26,"CS_EVENT_DESC_N("&amp;$AB$18&amp;",1)")</f>
        <v>Q4 2026 Earnings Call</v>
      </c>
      <c r="M26" s="300"/>
      <c r="N26" s="274" cm="1">
        <f t="array" ref="N26">_xll.FDSB($C26,"CS_EVENT_DATEJ_N("&amp;$AA$18&amp;",2)")</f>
        <v>46259</v>
      </c>
      <c r="O26" s="282" t="str" cm="1">
        <f t="array" ref="O26">_xll.FDSB($C26,"CS_EVENT_TIME_N("&amp;$AA$18&amp;",2)")</f>
        <v>Unspecified</v>
      </c>
      <c r="P26" s="282" t="str" cm="1">
        <f t="array" ref="P26">_xll.FDSB($C26,"CS_EVENT_DESC_N("&amp;$AA$18&amp;",2)")</f>
        <v>Q1 2027 Earnings Release (Projected)</v>
      </c>
      <c r="Q26" s="282"/>
      <c r="R26" s="274" cm="1">
        <f t="array" ref="R26">_xll.FDSB($C26,"CS_EVENT_DATEJ_N("&amp;$AA$18&amp;",3)")</f>
        <v>46350</v>
      </c>
      <c r="S26" s="282" t="str" cm="1">
        <f t="array" ref="S26">_xll.FDSB($C26,"CS_EVENT_TIME_N("&amp;$AA$18&amp;",3)")</f>
        <v>Unspecified</v>
      </c>
      <c r="T26" s="282" t="str" cm="1">
        <f t="array" ref="T26">_xll.FDSB($C26,"CS_EVENT_DESC_N("&amp;$AA$18&amp;",3)")</f>
        <v>Q2 2027 Earnings Release (Projected)</v>
      </c>
      <c r="U26" s="282"/>
      <c r="V26" s="274" cm="1">
        <f t="array" ref="V26">_xll.FDSB($C26,"CS_EVENT_DATEJ_N("&amp;$AA$18&amp;",4)")</f>
        <v>46441</v>
      </c>
      <c r="W26" s="282" t="str" cm="1">
        <f t="array" ref="W26">_xll.FDSB($C26,"CS_EVENT_TIME_N("&amp;$AA$18&amp;",4)")</f>
        <v>Unspecified</v>
      </c>
      <c r="X26" s="282" t="str" cm="1">
        <f t="array" ref="X26">_xll.FDSB($C26,"CS_EVENT_DESC_N("&amp;$AA$18&amp;",4)")</f>
        <v>Q3 2027 Earnings Release (Projected)</v>
      </c>
      <c r="Z26" s="308" t="s">
        <v>134</v>
      </c>
      <c r="AA26" s="308" t="s">
        <v>135</v>
      </c>
      <c r="AB26" s="314" cm="1">
        <f t="array" ref="AB26">_xll.FDS(AA26,"count(FG_CONSTITUENTS)")</f>
        <v>101</v>
      </c>
      <c r="AC26" s="233"/>
      <c r="AD26" s="233"/>
      <c r="AE26" s="233"/>
      <c r="AF26" s="233"/>
      <c r="AG26" s="233"/>
      <c r="AH26" s="233"/>
    </row>
    <row r="27" spans="1:36" x14ac:dyDescent="0.15">
      <c r="A27" s="275"/>
      <c r="B27" s="298">
        <f t="shared" si="1"/>
        <v>12</v>
      </c>
      <c r="C27" s="299" t="str">
        <v>AVGO</v>
      </c>
      <c r="D27" s="300" t="str" cm="1">
        <f t="array" ref="D27">_xll.FDSB($C27,"FG_COMPANY_NAME")</f>
        <v>Broadcom Inc.</v>
      </c>
      <c r="E27" s="300"/>
      <c r="F27" s="274" cm="1">
        <f t="array" ref="F27">_xll.FDSB($C27,"CS_EVENT_DATEJ_N("&amp;$AA$18&amp;",1)")</f>
        <v>46176</v>
      </c>
      <c r="G27" s="282" t="str" cm="1">
        <f t="array" ref="G27">_xll.FDSB($C27,"CS_EVENT_TIME_N("&amp;$AA$18&amp;",1)")</f>
        <v>4:15 PM</v>
      </c>
      <c r="H27" s="282" t="str" cm="1">
        <f t="array" ref="H27">_xll.FDSB($C27,"CS_EVENT_DESC_N("&amp;$AA$18&amp;",1)")</f>
        <v>Q2 2026 Earnings Release</v>
      </c>
      <c r="I27" s="282"/>
      <c r="J27" s="274" cm="1">
        <f t="array" ref="J27">_xll.FDSB($C27,"CS_EVENT_DATEJ_N("&amp;$AB$18&amp;",1)")</f>
        <v>46176</v>
      </c>
      <c r="K27" s="282" t="str" cm="1">
        <f t="array" ref="K27">_xll.FDSB($C27,"CS_EVENT_TIME_N("&amp;$AB$18&amp;",1)")</f>
        <v>5:00 PM</v>
      </c>
      <c r="L27" s="282" t="str" cm="1">
        <f t="array" ref="L27">_xll.FDSB($C27,"CS_EVENT_DESC_N("&amp;$AB$18&amp;",1)")</f>
        <v>Q2 2026 Earnings Call</v>
      </c>
      <c r="M27" s="300"/>
      <c r="N27" s="274" cm="1">
        <f t="array" ref="N27">_xll.FDSB($C27,"CS_EVENT_DATEJ_N("&amp;$AA$18&amp;",2)")</f>
        <v>46268</v>
      </c>
      <c r="O27" s="282" t="str" cm="1">
        <f t="array" ref="O27">_xll.FDSB($C27,"CS_EVENT_TIME_N("&amp;$AA$18&amp;",2)")</f>
        <v>Unspecified</v>
      </c>
      <c r="P27" s="282" t="str" cm="1">
        <f t="array" ref="P27">_xll.FDSB($C27,"CS_EVENT_DESC_N("&amp;$AA$18&amp;",2)")</f>
        <v>Q3 2026 Earnings Release (Projected)</v>
      </c>
      <c r="Q27" s="282"/>
      <c r="R27" s="274" cm="1">
        <f t="array" ref="R27">_xll.FDSB($C27,"CS_EVENT_DATEJ_N("&amp;$AA$18&amp;",3)")</f>
        <v>46366</v>
      </c>
      <c r="S27" s="282" t="str" cm="1">
        <f t="array" ref="S27">_xll.FDSB($C27,"CS_EVENT_TIME_N("&amp;$AA$18&amp;",3)")</f>
        <v>Unspecified</v>
      </c>
      <c r="T27" s="282" t="str" cm="1">
        <f t="array" ref="T27">_xll.FDSB($C27,"CS_EVENT_DESC_N("&amp;$AA$18&amp;",3)")</f>
        <v>Q4 2026 Earnings Release (Projected)</v>
      </c>
      <c r="U27" s="282"/>
      <c r="V27" s="274" cm="1">
        <f t="array" ref="V27">_xll.FDSB($C27,"CS_EVENT_DATEJ_N("&amp;$AA$18&amp;",4)")</f>
        <v>46457</v>
      </c>
      <c r="W27" s="282" t="str" cm="1">
        <f t="array" ref="W27">_xll.FDSB($C27,"CS_EVENT_TIME_N("&amp;$AA$18&amp;",4)")</f>
        <v>Unspecified</v>
      </c>
      <c r="X27" s="282" t="str" cm="1">
        <f t="array" ref="X27">_xll.FDSB($C27,"CS_EVENT_DESC_N("&amp;$AA$18&amp;",4)")</f>
        <v>Q1 2027 Earnings Release (Projected)</v>
      </c>
      <c r="Z27" s="308" t="s">
        <v>136</v>
      </c>
      <c r="AA27" s="308" t="s">
        <v>137</v>
      </c>
      <c r="AB27" s="314" cm="1">
        <f t="array" ref="AB27">_xll.FDS(AA27,"count(FG_CONSTITUENTS)")</f>
        <v>0</v>
      </c>
      <c r="AC27" s="233"/>
      <c r="AD27" s="233"/>
      <c r="AE27" s="233"/>
      <c r="AF27" s="233"/>
      <c r="AG27" s="233"/>
      <c r="AH27" s="233"/>
    </row>
    <row r="28" spans="1:36" x14ac:dyDescent="0.15">
      <c r="A28" s="275"/>
      <c r="B28" s="298">
        <f t="shared" si="1"/>
        <v>13</v>
      </c>
      <c r="C28" s="299" t="str">
        <v>VEEV</v>
      </c>
      <c r="D28" s="300" t="str" cm="1">
        <f t="array" ref="D28">_xll.FDSB($C28,"FG_COMPANY_NAME")</f>
        <v>Veeva Systems Inc Class A</v>
      </c>
      <c r="E28" s="300"/>
      <c r="F28" s="274" cm="1">
        <f t="array" ref="F28">_xll.FDSB($C28,"CS_EVENT_DATEJ_N("&amp;$AA$18&amp;",1)")</f>
        <v>46176</v>
      </c>
      <c r="G28" s="282" t="str" cm="1">
        <f t="array" ref="G28">_xll.FDSB($C28,"CS_EVENT_TIME_N("&amp;$AA$18&amp;",1)")</f>
        <v>4:05 PM</v>
      </c>
      <c r="H28" s="282" t="str" cm="1">
        <f t="array" ref="H28">_xll.FDSB($C28,"CS_EVENT_DESC_N("&amp;$AA$18&amp;",1)")</f>
        <v>Q1 2027 Earnings Release</v>
      </c>
      <c r="I28" s="282"/>
      <c r="J28" s="274" cm="1">
        <f t="array" ref="J28">_xll.FDSB($C28,"CS_EVENT_DATEJ_N("&amp;$AB$18&amp;",1)")</f>
        <v>46176</v>
      </c>
      <c r="K28" s="282" t="str" cm="1">
        <f t="array" ref="K28">_xll.FDSB($C28,"CS_EVENT_TIME_N("&amp;$AB$18&amp;",1)")</f>
        <v>5:00 PM</v>
      </c>
      <c r="L28" s="282" t="str" cm="1">
        <f t="array" ref="L28">_xll.FDSB($C28,"CS_EVENT_DESC_N("&amp;$AB$18&amp;",1)")</f>
        <v>Q1 2027 Earnings Call</v>
      </c>
      <c r="M28" s="300"/>
      <c r="N28" s="274" cm="1">
        <f t="array" ref="N28">_xll.FDSB($C28,"CS_EVENT_DATEJ_N("&amp;$AA$18&amp;",2)")</f>
        <v>46267</v>
      </c>
      <c r="O28" s="282" t="str" cm="1">
        <f t="array" ref="O28">_xll.FDSB($C28,"CS_EVENT_TIME_N("&amp;$AA$18&amp;",2)")</f>
        <v>Unspecified</v>
      </c>
      <c r="P28" s="282" t="str" cm="1">
        <f t="array" ref="P28">_xll.FDSB($C28,"CS_EVENT_DESC_N("&amp;$AA$18&amp;",2)")</f>
        <v>Q2 2027 Earnings Release (Projected)</v>
      </c>
      <c r="Q28" s="282"/>
      <c r="R28" s="274" cm="1">
        <f t="array" ref="R28">_xll.FDSB($C28,"CS_EVENT_DATEJ_N("&amp;$AA$18&amp;",3)")</f>
        <v>46352</v>
      </c>
      <c r="S28" s="282" t="str" cm="1">
        <f t="array" ref="S28">_xll.FDSB($C28,"CS_EVENT_TIME_N("&amp;$AA$18&amp;",3)")</f>
        <v>Unspecified</v>
      </c>
      <c r="T28" s="282" t="str" cm="1">
        <f t="array" ref="T28">_xll.FDSB($C28,"CS_EVENT_DESC_N("&amp;$AA$18&amp;",3)")</f>
        <v>Q3 2027 Earnings Release (Projected)</v>
      </c>
      <c r="U28" s="282"/>
      <c r="V28" s="274" cm="1">
        <f t="array" ref="V28">_xll.FDSB($C28,"CS_EVENT_DATEJ_N("&amp;$AA$18&amp;",4)")</f>
        <v>46449</v>
      </c>
      <c r="W28" s="282" t="str" cm="1">
        <f t="array" ref="W28">_xll.FDSB($C28,"CS_EVENT_TIME_N("&amp;$AA$18&amp;",4)")</f>
        <v>Unspecified</v>
      </c>
      <c r="X28" s="282" t="str" cm="1">
        <f t="array" ref="X28">_xll.FDSB($C28,"CS_EVENT_DESC_N("&amp;$AA$18&amp;",4)")</f>
        <v>Q4 2027 Earnings Release (Projected)</v>
      </c>
      <c r="Z28" s="308" t="s">
        <v>140</v>
      </c>
      <c r="AA28" s="308">
        <v>891990004</v>
      </c>
      <c r="AB28" s="314" cm="1">
        <f t="array" ref="AB28">_xll.FDS(AA28,"count(FG_CONSTITUENTS)")</f>
        <v>220</v>
      </c>
      <c r="AC28" s="233"/>
      <c r="AD28" s="233"/>
      <c r="AE28" s="233"/>
      <c r="AF28" s="233"/>
      <c r="AG28" s="233"/>
      <c r="AH28" s="233"/>
    </row>
    <row r="29" spans="1:36" x14ac:dyDescent="0.15">
      <c r="A29" s="275"/>
      <c r="B29" s="298">
        <f t="shared" si="1"/>
        <v>14</v>
      </c>
      <c r="C29" s="299" t="str">
        <v>CRWD</v>
      </c>
      <c r="D29" s="300" t="str" cm="1">
        <f t="array" ref="D29">_xll.FDSB($C29,"FG_COMPANY_NAME")</f>
        <v>CrowdStrike Holdings, Inc. Class A</v>
      </c>
      <c r="E29" s="300"/>
      <c r="F29" s="274" cm="1">
        <f t="array" ref="F29">_xll.FDSB($C29,"CS_EVENT_DATEJ_N("&amp;$AA$18&amp;",1)")</f>
        <v>46176</v>
      </c>
      <c r="G29" s="282" t="str" cm="1">
        <f t="array" ref="G29">_xll.FDSB($C29,"CS_EVENT_TIME_N("&amp;$AA$18&amp;",1)")</f>
        <v>After Market</v>
      </c>
      <c r="H29" s="282" t="str" cm="1">
        <f t="array" ref="H29">_xll.FDSB($C29,"CS_EVENT_DESC_N("&amp;$AA$18&amp;",1)")</f>
        <v>Q1 2027 Earnings Release</v>
      </c>
      <c r="I29" s="282"/>
      <c r="J29" s="274" cm="1">
        <f t="array" ref="J29">_xll.FDSB($C29,"CS_EVENT_DATEJ_N("&amp;$AB$18&amp;",1)")</f>
        <v>46176</v>
      </c>
      <c r="K29" s="282" t="str" cm="1">
        <f t="array" ref="K29">_xll.FDSB($C29,"CS_EVENT_TIME_N("&amp;$AB$18&amp;",1)")</f>
        <v>5:00 PM</v>
      </c>
      <c r="L29" s="282" t="str" cm="1">
        <f t="array" ref="L29">_xll.FDSB($C29,"CS_EVENT_DESC_N("&amp;$AB$18&amp;",1)")</f>
        <v>Q1 2027 Earnings Call</v>
      </c>
      <c r="M29" s="300"/>
      <c r="N29" s="274" cm="1">
        <f t="array" ref="N29">_xll.FDSB($C29,"CS_EVENT_DATEJ_N("&amp;$AA$18&amp;",2)")</f>
        <v>46267</v>
      </c>
      <c r="O29" s="282" t="str" cm="1">
        <f t="array" ref="O29">_xll.FDSB($C29,"CS_EVENT_TIME_N("&amp;$AA$18&amp;",2)")</f>
        <v>Unspecified</v>
      </c>
      <c r="P29" s="282" t="str" cm="1">
        <f t="array" ref="P29">_xll.FDSB($C29,"CS_EVENT_DESC_N("&amp;$AA$18&amp;",2)")</f>
        <v>Q2 2027 Earnings Release (Projected)</v>
      </c>
      <c r="Q29" s="282"/>
      <c r="R29" s="274" cm="1">
        <f t="array" ref="R29">_xll.FDSB($C29,"CS_EVENT_DATEJ_N("&amp;$AA$18&amp;",3)")</f>
        <v>46357</v>
      </c>
      <c r="S29" s="282" t="str" cm="1">
        <f t="array" ref="S29">_xll.FDSB($C29,"CS_EVENT_TIME_N("&amp;$AA$18&amp;",3)")</f>
        <v>Unspecified</v>
      </c>
      <c r="T29" s="282" t="str" cm="1">
        <f t="array" ref="T29">_xll.FDSB($C29,"CS_EVENT_DESC_N("&amp;$AA$18&amp;",3)")</f>
        <v>Q3 2027 Earnings Release (Projected)</v>
      </c>
      <c r="U29" s="282"/>
      <c r="V29" s="274" cm="1">
        <f t="array" ref="V29">_xll.FDSB($C29,"CS_EVENT_DATEJ_N("&amp;$AA$18&amp;",4)")</f>
        <v>46455</v>
      </c>
      <c r="W29" s="282" t="str" cm="1">
        <f t="array" ref="W29">_xll.FDSB($C29,"CS_EVENT_TIME_N("&amp;$AA$18&amp;",4)")</f>
        <v>Unspecified</v>
      </c>
      <c r="X29" s="282" t="str" cm="1">
        <f t="array" ref="X29">_xll.FDSB($C29,"CS_EVENT_DESC_N("&amp;$AA$18&amp;",4)")</f>
        <v>Q4 2027 Earnings Release (Projected)</v>
      </c>
      <c r="Z29" s="308" t="s">
        <v>141</v>
      </c>
      <c r="AA29" s="308" t="s">
        <v>142</v>
      </c>
      <c r="AB29" s="314" cm="1">
        <f t="array" ref="AB29">_xll.FDS(AA29,"count(FG_CONSTITUENTS)")</f>
        <v>79</v>
      </c>
      <c r="AC29" s="233"/>
      <c r="AD29" s="233"/>
      <c r="AE29" s="233"/>
      <c r="AF29" s="233"/>
      <c r="AG29" s="233"/>
      <c r="AH29" s="233"/>
    </row>
    <row r="30" spans="1:36" x14ac:dyDescent="0.15">
      <c r="A30" s="275"/>
      <c r="B30" s="298">
        <f t="shared" si="1"/>
        <v>15</v>
      </c>
      <c r="C30" s="299" t="str">
        <v>BF.B</v>
      </c>
      <c r="D30" s="300" t="str" cm="1">
        <f t="array" ref="D30">_xll.FDSB($C30,"FG_COMPANY_NAME")</f>
        <v>Brown-Forman Corporation Class B</v>
      </c>
      <c r="E30" s="300"/>
      <c r="F30" s="274" cm="1">
        <f t="array" ref="F30">_xll.FDSB($C30,"CS_EVENT_DATEJ_N("&amp;$AA$18&amp;",1)")</f>
        <v>46177</v>
      </c>
      <c r="G30" s="282" t="str" cm="1">
        <f t="array" ref="G30">_xll.FDSB($C30,"CS_EVENT_TIME_N("&amp;$AA$18&amp;",1)")</f>
        <v>8:00 AM</v>
      </c>
      <c r="H30" s="282" t="str" cm="1">
        <f t="array" ref="H30">_xll.FDSB($C30,"CS_EVENT_DESC_N("&amp;$AA$18&amp;",1)")</f>
        <v>Q4 2026 Earnings Release</v>
      </c>
      <c r="I30" s="282"/>
      <c r="J30" s="274" cm="1">
        <f t="array" ref="J30">_xll.FDSB($C30,"CS_EVENT_DATEJ_N("&amp;$AB$18&amp;",1)")</f>
        <v>46177</v>
      </c>
      <c r="K30" s="282" t="str" cm="1">
        <f t="array" ref="K30">_xll.FDSB($C30,"CS_EVENT_TIME_N("&amp;$AB$18&amp;",1)")</f>
        <v>10:00 AM</v>
      </c>
      <c r="L30" s="282" t="str" cm="1">
        <f t="array" ref="L30">_xll.FDSB($C30,"CS_EVENT_DESC_N("&amp;$AB$18&amp;",1)")</f>
        <v>Q4 2026 Earnings Call</v>
      </c>
      <c r="M30" s="300"/>
      <c r="N30" s="274" cm="1">
        <f t="array" ref="N30">_xll.FDSB($C30,"CS_EVENT_DATEJ_N("&amp;$AA$18&amp;",2)")</f>
        <v>46267</v>
      </c>
      <c r="O30" s="282" t="str" cm="1">
        <f t="array" ref="O30">_xll.FDSB($C30,"CS_EVENT_TIME_N("&amp;$AA$18&amp;",2)")</f>
        <v>Unspecified</v>
      </c>
      <c r="P30" s="282" t="str" cm="1">
        <f t="array" ref="P30">_xll.FDSB($C30,"CS_EVENT_DESC_N("&amp;$AA$18&amp;",2)")</f>
        <v>Q1 2027 Earnings Release (Projected)</v>
      </c>
      <c r="Q30" s="282"/>
      <c r="R30" s="274" cm="1">
        <f t="array" ref="R30">_xll.FDSB($C30,"CS_EVENT_DATEJ_N("&amp;$AA$18&amp;",3)")</f>
        <v>46365</v>
      </c>
      <c r="S30" s="282" t="str" cm="1">
        <f t="array" ref="S30">_xll.FDSB($C30,"CS_EVENT_TIME_N("&amp;$AA$18&amp;",3)")</f>
        <v>Unspecified</v>
      </c>
      <c r="T30" s="282" t="str" cm="1">
        <f t="array" ref="T30">_xll.FDSB($C30,"CS_EVENT_DESC_N("&amp;$AA$18&amp;",3)")</f>
        <v>Q2 2027 Earnings Release (Projected)</v>
      </c>
      <c r="U30" s="282"/>
      <c r="V30" s="274" cm="1">
        <f t="array" ref="V30">_xll.FDSB($C30,"CS_EVENT_DATEJ_N("&amp;$AA$18&amp;",4)")</f>
        <v>46456</v>
      </c>
      <c r="W30" s="282" t="str" cm="1">
        <f t="array" ref="W30">_xll.FDSB($C30,"CS_EVENT_TIME_N("&amp;$AA$18&amp;",4)")</f>
        <v>Unspecified</v>
      </c>
      <c r="X30" s="282" t="str" cm="1">
        <f t="array" ref="X30">_xll.FDSB($C30,"CS_EVENT_DESC_N("&amp;$AA$18&amp;",4)")</f>
        <v>Q3 2027 Earnings Release (Projected)</v>
      </c>
      <c r="Z30" s="308" t="s">
        <v>143</v>
      </c>
      <c r="AA30" s="308" t="s">
        <v>144</v>
      </c>
      <c r="AB30" s="314" cm="1">
        <f t="array" ref="AB30">_xll.FDS(AA30,"count(FG_CONSTITUENTS)")</f>
        <v>35</v>
      </c>
      <c r="AC30" s="233"/>
      <c r="AD30" s="233"/>
      <c r="AE30" s="233"/>
      <c r="AF30" s="233"/>
      <c r="AG30" s="233"/>
      <c r="AH30" s="233"/>
    </row>
    <row r="31" spans="1:36" x14ac:dyDescent="0.15">
      <c r="A31" s="275"/>
      <c r="B31" s="298">
        <f t="shared" si="1"/>
        <v>16</v>
      </c>
      <c r="C31" s="299" t="str">
        <v>LULU</v>
      </c>
      <c r="D31" s="300" t="str" cm="1">
        <f t="array" ref="D31">_xll.FDSB($C31,"FG_COMPANY_NAME")</f>
        <v>lululemon athletica inc.</v>
      </c>
      <c r="E31" s="300"/>
      <c r="F31" s="274" cm="1">
        <f t="array" ref="F31">_xll.FDSB($C31,"CS_EVENT_DATEJ_N("&amp;$AA$18&amp;",1)")</f>
        <v>46177</v>
      </c>
      <c r="G31" s="282" t="str" cm="1">
        <f t="array" ref="G31">_xll.FDSB($C31,"CS_EVENT_TIME_N("&amp;$AA$18&amp;",1)")</f>
        <v>4:05 PM</v>
      </c>
      <c r="H31" s="282" t="str" cm="1">
        <f t="array" ref="H31">_xll.FDSB($C31,"CS_EVENT_DESC_N("&amp;$AA$18&amp;",1)")</f>
        <v>Q1 2026 Earnings Release</v>
      </c>
      <c r="I31" s="282"/>
      <c r="J31" s="274" cm="1">
        <f t="array" ref="J31">_xll.FDSB($C31,"CS_EVENT_DATEJ_N("&amp;$AB$18&amp;",1)")</f>
        <v>46177</v>
      </c>
      <c r="K31" s="282" t="str" cm="1">
        <f t="array" ref="K31">_xll.FDSB($C31,"CS_EVENT_TIME_N("&amp;$AB$18&amp;",1)")</f>
        <v>4:30 PM</v>
      </c>
      <c r="L31" s="282" t="str" cm="1">
        <f t="array" ref="L31">_xll.FDSB($C31,"CS_EVENT_DESC_N("&amp;$AB$18&amp;",1)")</f>
        <v>Q1 2026 Earnings Call</v>
      </c>
      <c r="M31" s="300"/>
      <c r="N31" s="274" cm="1">
        <f t="array" ref="N31">_xll.FDSB($C31,"CS_EVENT_DATEJ_N("&amp;$AA$18&amp;",2)")</f>
        <v>46261</v>
      </c>
      <c r="O31" s="282" t="str" cm="1">
        <f t="array" ref="O31">_xll.FDSB($C31,"CS_EVENT_TIME_N("&amp;$AA$18&amp;",2)")</f>
        <v>Unspecified</v>
      </c>
      <c r="P31" s="282" t="str" cm="1">
        <f t="array" ref="P31">_xll.FDSB($C31,"CS_EVENT_DESC_N("&amp;$AA$18&amp;",2)")</f>
        <v>Q2 2026 Earnings Release (Projected)</v>
      </c>
      <c r="Q31" s="282"/>
      <c r="R31" s="274" cm="1">
        <f t="array" ref="R31">_xll.FDSB($C31,"CS_EVENT_DATEJ_N("&amp;$AA$18&amp;",3)")</f>
        <v>46359</v>
      </c>
      <c r="S31" s="282" t="str" cm="1">
        <f t="array" ref="S31">_xll.FDSB($C31,"CS_EVENT_TIME_N("&amp;$AA$18&amp;",3)")</f>
        <v>Unspecified</v>
      </c>
      <c r="T31" s="282" t="str" cm="1">
        <f t="array" ref="T31">_xll.FDSB($C31,"CS_EVENT_DESC_N("&amp;$AA$18&amp;",3)")</f>
        <v>Q3 2026 Earnings Release (Projected)</v>
      </c>
      <c r="U31" s="282"/>
      <c r="V31" s="274" cm="1">
        <f t="array" ref="V31">_xll.FDSB($C31,"CS_EVENT_DATEJ_N("&amp;$AA$18&amp;",4)")</f>
        <v>46476</v>
      </c>
      <c r="W31" s="282" t="str" cm="1">
        <f t="array" ref="W31">_xll.FDSB($C31,"CS_EVENT_TIME_N("&amp;$AA$18&amp;",4)")</f>
        <v>Unspecified</v>
      </c>
      <c r="X31" s="282" t="str" cm="1">
        <f t="array" ref="X31">_xll.FDSB($C31,"CS_EVENT_DESC_N("&amp;$AA$18&amp;",4)")</f>
        <v>Q4 2026 Earnings Release (Projected)</v>
      </c>
      <c r="Z31" s="308"/>
      <c r="AA31" s="308"/>
      <c r="AB31" s="233"/>
      <c r="AC31" s="233"/>
      <c r="AD31" s="233"/>
      <c r="AE31" s="233"/>
      <c r="AF31" s="233"/>
      <c r="AG31" s="233"/>
      <c r="AH31" s="233"/>
    </row>
    <row r="32" spans="1:36" x14ac:dyDescent="0.15">
      <c r="A32" s="275"/>
      <c r="B32" s="298">
        <f t="shared" si="1"/>
        <v>17</v>
      </c>
      <c r="C32" s="299" t="str">
        <v>CIEN</v>
      </c>
      <c r="D32" s="300" t="str" cm="1">
        <f t="array" ref="D32">_xll.FDSB($C32,"FG_COMPANY_NAME")</f>
        <v>Ciena Corporation</v>
      </c>
      <c r="E32" s="300"/>
      <c r="F32" s="274" cm="1">
        <f t="array" ref="F32">_xll.FDSB($C32,"CS_EVENT_DATEJ_N("&amp;$AA$18&amp;",1)")</f>
        <v>46177</v>
      </c>
      <c r="G32" s="282" t="str" cm="1">
        <f t="array" ref="G32">_xll.FDSB($C32,"CS_EVENT_TIME_N("&amp;$AA$18&amp;",1)")</f>
        <v>7:00 AM</v>
      </c>
      <c r="H32" s="282" t="str" cm="1">
        <f t="array" ref="H32">_xll.FDSB($C32,"CS_EVENT_DESC_N("&amp;$AA$18&amp;",1)")</f>
        <v>Q2 2026 Earnings Release</v>
      </c>
      <c r="I32" s="282"/>
      <c r="J32" s="274" cm="1">
        <f t="array" ref="J32">_xll.FDSB($C32,"CS_EVENT_DATEJ_N("&amp;$AB$18&amp;",1)")</f>
        <v>46177</v>
      </c>
      <c r="K32" s="282" t="str" cm="1">
        <f t="array" ref="K32">_xll.FDSB($C32,"CS_EVENT_TIME_N("&amp;$AB$18&amp;",1)")</f>
        <v>8:30 AM</v>
      </c>
      <c r="L32" s="282" t="str" cm="1">
        <f t="array" ref="L32">_xll.FDSB($C32,"CS_EVENT_DESC_N("&amp;$AB$18&amp;",1)")</f>
        <v>Q2 2026 Earnings Call</v>
      </c>
      <c r="M32" s="300"/>
      <c r="N32" s="274" cm="1">
        <f t="array" ref="N32">_xll.FDSB($C32,"CS_EVENT_DATEJ_N("&amp;$AA$18&amp;",2)")</f>
        <v>46268</v>
      </c>
      <c r="O32" s="282" t="str" cm="1">
        <f t="array" ref="O32">_xll.FDSB($C32,"CS_EVENT_TIME_N("&amp;$AA$18&amp;",2)")</f>
        <v>Unspecified</v>
      </c>
      <c r="P32" s="282" t="str" cm="1">
        <f t="array" ref="P32">_xll.FDSB($C32,"CS_EVENT_DESC_N("&amp;$AA$18&amp;",2)")</f>
        <v>Q3 2026 Earnings Release (Projected)</v>
      </c>
      <c r="Q32" s="282"/>
      <c r="R32" s="274" cm="1">
        <f t="array" ref="R32">_xll.FDSB($C32,"CS_EVENT_DATEJ_N("&amp;$AA$18&amp;",3)")</f>
        <v>46366</v>
      </c>
      <c r="S32" s="282" t="str" cm="1">
        <f t="array" ref="S32">_xll.FDSB($C32,"CS_EVENT_TIME_N("&amp;$AA$18&amp;",3)")</f>
        <v>Unspecified</v>
      </c>
      <c r="T32" s="282" t="str" cm="1">
        <f t="array" ref="T32">_xll.FDSB($C32,"CS_EVENT_DESC_N("&amp;$AA$18&amp;",3)")</f>
        <v>Q4 2026 Earnings Release (Projected)</v>
      </c>
      <c r="U32" s="282"/>
      <c r="V32" s="274" cm="1">
        <f t="array" ref="V32">_xll.FDSB($C32,"CS_EVENT_DATEJ_N("&amp;$AA$18&amp;",4)")</f>
        <v>46454</v>
      </c>
      <c r="W32" s="282" t="str" cm="1">
        <f t="array" ref="W32">_xll.FDSB($C32,"CS_EVENT_TIME_N("&amp;$AA$18&amp;",4)")</f>
        <v>Unspecified</v>
      </c>
      <c r="X32" s="282" t="str" cm="1">
        <f t="array" ref="X32">_xll.FDSB($C32,"CS_EVENT_DESC_N("&amp;$AA$18&amp;",4)")</f>
        <v>Q1 2027 Earnings Release (Projected)</v>
      </c>
      <c r="Z32" s="313" t="s">
        <v>145</v>
      </c>
      <c r="AA32" s="313"/>
      <c r="AB32" s="233"/>
      <c r="AC32" s="233"/>
      <c r="AD32" s="233"/>
      <c r="AE32" s="233"/>
      <c r="AF32" s="233"/>
      <c r="AG32" s="233"/>
      <c r="AH32" s="233"/>
    </row>
    <row r="33" spans="1:34" x14ac:dyDescent="0.15">
      <c r="A33" s="275"/>
      <c r="B33" s="298">
        <f t="shared" si="1"/>
        <v>18</v>
      </c>
      <c r="C33" s="299" t="str">
        <v>COO</v>
      </c>
      <c r="D33" s="300" t="str" cm="1">
        <f t="array" ref="D33">_xll.FDSB($C33,"FG_COMPANY_NAME")</f>
        <v>Cooper Companies, Inc.</v>
      </c>
      <c r="E33" s="300"/>
      <c r="F33" s="274" cm="1">
        <f t="array" ref="F33">_xll.FDSB($C33,"CS_EVENT_DATEJ_N("&amp;$AA$18&amp;",1)")</f>
        <v>46177</v>
      </c>
      <c r="G33" s="282" t="str" cm="1">
        <f t="array" ref="G33">_xll.FDSB($C33,"CS_EVENT_TIME_N("&amp;$AA$18&amp;",1)")</f>
        <v>4:15 PM</v>
      </c>
      <c r="H33" s="282" t="str" cm="1">
        <f t="array" ref="H33">_xll.FDSB($C33,"CS_EVENT_DESC_N("&amp;$AA$18&amp;",1)")</f>
        <v>Q2 2026 Earnings Release</v>
      </c>
      <c r="I33" s="282"/>
      <c r="J33" s="274" cm="1">
        <f t="array" ref="J33">_xll.FDSB($C33,"CS_EVENT_DATEJ_N("&amp;$AB$18&amp;",1)")</f>
        <v>46177</v>
      </c>
      <c r="K33" s="282" t="str" cm="1">
        <f t="array" ref="K33">_xll.FDSB($C33,"CS_EVENT_TIME_N("&amp;$AB$18&amp;",1)")</f>
        <v>5:00 PM</v>
      </c>
      <c r="L33" s="282" t="str" cm="1">
        <f t="array" ref="L33">_xll.FDSB($C33,"CS_EVENT_DESC_N("&amp;$AB$18&amp;",1)")</f>
        <v>Q2 2026 Earnings Call</v>
      </c>
      <c r="M33" s="300"/>
      <c r="N33" s="274" cm="1">
        <f t="array" ref="N33">_xll.FDSB($C33,"CS_EVENT_DATEJ_N("&amp;$AA$18&amp;",2)")</f>
        <v>46267</v>
      </c>
      <c r="O33" s="282" t="str" cm="1">
        <f t="array" ref="O33">_xll.FDSB($C33,"CS_EVENT_TIME_N("&amp;$AA$18&amp;",2)")</f>
        <v>Unspecified</v>
      </c>
      <c r="P33" s="282" t="str" cm="1">
        <f t="array" ref="P33">_xll.FDSB($C33,"CS_EVENT_DESC_N("&amp;$AA$18&amp;",2)")</f>
        <v>Q3 2026 Earnings Release (Projected)</v>
      </c>
      <c r="Q33" s="282"/>
      <c r="R33" s="274" cm="1">
        <f t="array" ref="R33">_xll.FDSB($C33,"CS_EVENT_DATEJ_N("&amp;$AA$18&amp;",3)")</f>
        <v>46450</v>
      </c>
      <c r="S33" s="282" t="str" cm="1">
        <f t="array" ref="S33">_xll.FDSB($C33,"CS_EVENT_TIME_N("&amp;$AA$18&amp;",3)")</f>
        <v>Unspecified</v>
      </c>
      <c r="T33" s="282" t="str" cm="1">
        <f t="array" ref="T33">_xll.FDSB($C33,"CS_EVENT_DESC_N("&amp;$AA$18&amp;",3)")</f>
        <v>Q1 2027 Earnings Release (Projected)</v>
      </c>
      <c r="U33" s="282"/>
      <c r="V33" s="274" cm="1">
        <f t="array" ref="V33">_xll.FDSB($C33,"CS_EVENT_DATEJ_N("&amp;$AA$18&amp;",4)")</f>
        <v>46541</v>
      </c>
      <c r="W33" s="282" t="str" cm="1">
        <f t="array" ref="W33">_xll.FDSB($C33,"CS_EVENT_TIME_N("&amp;$AA$18&amp;",4)")</f>
        <v>Unspecified</v>
      </c>
      <c r="X33" s="282" t="str" cm="1">
        <f t="array" ref="X33">_xll.FDSB($C33,"CS_EVENT_DESC_N("&amp;$AA$18&amp;",4)")</f>
        <v>Q2 2027 Earnings Release (Projected)</v>
      </c>
      <c r="Z33" s="308" t="s">
        <v>146</v>
      </c>
      <c r="AA33" s="308" t="s">
        <v>147</v>
      </c>
      <c r="AB33" s="314" cm="1">
        <f t="array" ref="AB33">_xll.FDS(AA33,"count(FG_CONSTITUENTS)")</f>
        <v>0</v>
      </c>
      <c r="AC33" s="233"/>
      <c r="AD33" s="233"/>
      <c r="AE33" s="233"/>
      <c r="AF33" s="233"/>
      <c r="AG33" s="233"/>
      <c r="AH33" s="233"/>
    </row>
    <row r="34" spans="1:34" x14ac:dyDescent="0.15">
      <c r="A34" s="275"/>
      <c r="B34" s="298">
        <f t="shared" si="1"/>
        <v>19</v>
      </c>
      <c r="C34" s="299" t="str">
        <v>CPB</v>
      </c>
      <c r="D34" s="300" t="str" cm="1">
        <f t="array" ref="D34">_xll.FDSB($C34,"FG_COMPANY_NAME")</f>
        <v>Campbell's Company</v>
      </c>
      <c r="E34" s="300"/>
      <c r="F34" s="274" cm="1">
        <f t="array" ref="F34">_xll.FDSB($C34,"CS_EVENT_DATEJ_N("&amp;$AA$18&amp;",1)")</f>
        <v>46181</v>
      </c>
      <c r="G34" s="282" t="str" cm="1">
        <f t="array" ref="G34">_xll.FDSB($C34,"CS_EVENT_TIME_N("&amp;$AA$18&amp;",1)")</f>
        <v>7:15 AM</v>
      </c>
      <c r="H34" s="282" t="str" cm="1">
        <f t="array" ref="H34">_xll.FDSB($C34,"CS_EVENT_DESC_N("&amp;$AA$18&amp;",1)")</f>
        <v>Q3 2026 Earnings Release</v>
      </c>
      <c r="I34" s="282"/>
      <c r="J34" s="274" cm="1">
        <f t="array" ref="J34">_xll.FDSB($C34,"CS_EVENT_DATEJ_N("&amp;$AB$18&amp;",1)")</f>
        <v>46181</v>
      </c>
      <c r="K34" s="282" t="str" cm="1">
        <f t="array" ref="K34">_xll.FDSB($C34,"CS_EVENT_TIME_N("&amp;$AB$18&amp;",1)")</f>
        <v>7:15 AM</v>
      </c>
      <c r="L34" s="282" t="str" cm="1">
        <f t="array" ref="L34">_xll.FDSB($C34,"CS_EVENT_DESC_N("&amp;$AB$18&amp;",1)")</f>
        <v>Q3 2026 Earnings Call - Pre Recorded</v>
      </c>
      <c r="M34" s="300"/>
      <c r="N34" s="274" cm="1">
        <f t="array" ref="N34">_xll.FDSB($C34,"CS_EVENT_DATEJ_N("&amp;$AA$18&amp;",2)")</f>
        <v>46261</v>
      </c>
      <c r="O34" s="282" t="str" cm="1">
        <f t="array" ref="O34">_xll.FDSB($C34,"CS_EVENT_TIME_N("&amp;$AA$18&amp;",2)")</f>
        <v>Unspecified</v>
      </c>
      <c r="P34" s="282" t="str" cm="1">
        <f t="array" ref="P34">_xll.FDSB($C34,"CS_EVENT_DESC_N("&amp;$AA$18&amp;",2)")</f>
        <v>Q4 2026 Earnings Release (Projected)</v>
      </c>
      <c r="Q34" s="282"/>
      <c r="R34" s="274" cm="1">
        <f t="array" ref="R34">_xll.FDSB($C34,"CS_EVENT_DATEJ_N("&amp;$AA$18&amp;",3)")</f>
        <v>46365</v>
      </c>
      <c r="S34" s="282" t="str" cm="1">
        <f t="array" ref="S34">_xll.FDSB($C34,"CS_EVENT_TIME_N("&amp;$AA$18&amp;",3)")</f>
        <v>Unspecified</v>
      </c>
      <c r="T34" s="282" t="str" cm="1">
        <f t="array" ref="T34">_xll.FDSB($C34,"CS_EVENT_DESC_N("&amp;$AA$18&amp;",3)")</f>
        <v>Q1 2027 Earnings Release (Projected)</v>
      </c>
      <c r="U34" s="282"/>
      <c r="V34" s="274" cm="1">
        <f t="array" ref="V34">_xll.FDSB($C34,"CS_EVENT_DATEJ_N("&amp;$AA$18&amp;",4)")</f>
        <v>46547</v>
      </c>
      <c r="W34" s="282" t="str" cm="1">
        <f t="array" ref="W34">_xll.FDSB($C34,"CS_EVENT_TIME_N("&amp;$AA$18&amp;",4)")</f>
        <v>Unspecified</v>
      </c>
      <c r="X34" s="282" t="str" cm="1">
        <f t="array" ref="X34">_xll.FDSB($C34,"CS_EVENT_DESC_N("&amp;$AA$18&amp;",4)")</f>
        <v>Q3 2027 Earnings Release (Projected)</v>
      </c>
      <c r="Z34" s="308" t="s">
        <v>148</v>
      </c>
      <c r="AA34" s="308">
        <v>180334</v>
      </c>
      <c r="AB34" s="314" cm="1">
        <f t="array" ref="AB34">_xll.FDS(AA34,"count(FG_CONSTITUENTS)")</f>
        <v>0</v>
      </c>
      <c r="AC34" s="233"/>
      <c r="AD34" s="233"/>
      <c r="AE34" s="233"/>
      <c r="AF34" s="233"/>
      <c r="AG34" s="233"/>
      <c r="AH34" s="233"/>
    </row>
    <row r="35" spans="1:34" x14ac:dyDescent="0.15">
      <c r="A35" s="275"/>
      <c r="B35" s="298">
        <f t="shared" si="1"/>
        <v>20</v>
      </c>
      <c r="C35" s="299" t="str">
        <v>SJM</v>
      </c>
      <c r="D35" s="300" t="str" cm="1">
        <f t="array" ref="D35">_xll.FDSB($C35,"FG_COMPANY_NAME")</f>
        <v>J.M. Smucker Company</v>
      </c>
      <c r="E35" s="300"/>
      <c r="F35" s="274" cm="1">
        <f t="array" ref="F35">_xll.FDSB($C35,"CS_EVENT_DATEJ_N("&amp;$AA$18&amp;",1)")</f>
        <v>46182</v>
      </c>
      <c r="G35" s="282" t="str" cm="1">
        <f t="array" ref="G35">_xll.FDSB($C35,"CS_EVENT_TIME_N("&amp;$AA$18&amp;",1)")</f>
        <v>7:00 AM</v>
      </c>
      <c r="H35" s="282" t="str" cm="1">
        <f t="array" ref="H35">_xll.FDSB($C35,"CS_EVENT_DESC_N("&amp;$AA$18&amp;",1)")</f>
        <v>Q4 2026 Earnings Release</v>
      </c>
      <c r="I35" s="282"/>
      <c r="J35" s="274" cm="1">
        <f t="array" ref="J35">_xll.FDSB($C35,"CS_EVENT_DATEJ_N("&amp;$AB$18&amp;",1)")</f>
        <v>46182</v>
      </c>
      <c r="K35" s="282" t="str" cm="1">
        <f t="array" ref="K35">_xll.FDSB($C35,"CS_EVENT_TIME_N("&amp;$AB$18&amp;",1)")</f>
        <v>7:00 AM</v>
      </c>
      <c r="L35" s="282" t="str" cm="1">
        <f t="array" ref="L35">_xll.FDSB($C35,"CS_EVENT_DESC_N("&amp;$AB$18&amp;",1)")</f>
        <v>Q4 2026 Earnings Call - Pre-Recorded</v>
      </c>
      <c r="M35" s="300"/>
      <c r="N35" s="274" cm="1">
        <f t="array" ref="N35">_xll.FDSB($C35,"CS_EVENT_DATEJ_N("&amp;$AA$18&amp;",2)")</f>
        <v>46267</v>
      </c>
      <c r="O35" s="282" t="str" cm="1">
        <f t="array" ref="O35">_xll.FDSB($C35,"CS_EVENT_TIME_N("&amp;$AA$18&amp;",2)")</f>
        <v>Unspecified</v>
      </c>
      <c r="P35" s="282" t="str" cm="1">
        <f t="array" ref="P35">_xll.FDSB($C35,"CS_EVENT_DESC_N("&amp;$AA$18&amp;",2)")</f>
        <v>Q1 2027 Earnings Release (Projected)</v>
      </c>
      <c r="Q35" s="282"/>
      <c r="R35" s="274" cm="1">
        <f t="array" ref="R35">_xll.FDSB($C35,"CS_EVENT_DATEJ_N("&amp;$AA$18&amp;",3)")</f>
        <v>46350</v>
      </c>
      <c r="S35" s="282" t="str" cm="1">
        <f t="array" ref="S35">_xll.FDSB($C35,"CS_EVENT_TIME_N("&amp;$AA$18&amp;",3)")</f>
        <v>Unspecified</v>
      </c>
      <c r="T35" s="282" t="str" cm="1">
        <f t="array" ref="T35">_xll.FDSB($C35,"CS_EVENT_DESC_N("&amp;$AA$18&amp;",3)")</f>
        <v>Q2 2027 Earnings Release (Projected)</v>
      </c>
      <c r="U35" s="282"/>
      <c r="V35" s="274" cm="1">
        <f t="array" ref="V35">_xll.FDSB($C35,"CS_EVENT_DATEJ_N("&amp;$AA$18&amp;",4)")</f>
        <v>46448</v>
      </c>
      <c r="W35" s="282" t="str" cm="1">
        <f t="array" ref="W35">_xll.FDSB($C35,"CS_EVENT_TIME_N("&amp;$AA$18&amp;",4)")</f>
        <v>Unspecified</v>
      </c>
      <c r="X35" s="282" t="str" cm="1">
        <f t="array" ref="X35">_xll.FDSB($C35,"CS_EVENT_DESC_N("&amp;$AA$18&amp;",4)")</f>
        <v>Q3 2027 Earnings Release (Projected)</v>
      </c>
      <c r="Z35" s="308" t="s">
        <v>150</v>
      </c>
      <c r="AA35" s="308">
        <v>183872</v>
      </c>
      <c r="AB35" s="314" cm="1">
        <f t="array" ref="AB35">_xll.FDS(AA35,"count(FG_CONSTITUENTS)")</f>
        <v>500</v>
      </c>
      <c r="AC35" s="233"/>
      <c r="AD35" s="233"/>
      <c r="AE35" s="233"/>
      <c r="AF35" s="233"/>
      <c r="AG35" s="233"/>
      <c r="AH35" s="233"/>
    </row>
    <row r="36" spans="1:34" x14ac:dyDescent="0.15">
      <c r="A36" s="275"/>
      <c r="B36" s="298">
        <f t="shared" si="1"/>
        <v>21</v>
      </c>
      <c r="C36" s="299" t="str">
        <v>CASY</v>
      </c>
      <c r="D36" s="300" t="str" cm="1">
        <f t="array" ref="D36">_xll.FDSB($C36,"FG_COMPANY_NAME")</f>
        <v>Casey's General Stores, Inc.</v>
      </c>
      <c r="E36" s="300"/>
      <c r="F36" s="274" cm="1">
        <f t="array" ref="F36">_xll.FDSB($C36,"CS_EVENT_DATEJ_N("&amp;$AA$18&amp;",1)")</f>
        <v>46182</v>
      </c>
      <c r="G36" s="282" t="str" cm="1">
        <f t="array" ref="G36">_xll.FDSB($C36,"CS_EVENT_TIME_N("&amp;$AA$18&amp;",1)")</f>
        <v>4:30 PM</v>
      </c>
      <c r="H36" s="282" t="str" cm="1">
        <f t="array" ref="H36">_xll.FDSB($C36,"CS_EVENT_DESC_N("&amp;$AA$18&amp;",1)")</f>
        <v>Q4 2026 Earnings Release</v>
      </c>
      <c r="I36" s="282"/>
      <c r="J36" s="274" cm="1">
        <f t="array" ref="J36">_xll.FDSB($C36,"CS_EVENT_DATEJ_N("&amp;$AB$18&amp;",1)")</f>
        <v>46183</v>
      </c>
      <c r="K36" s="282" t="str" cm="1">
        <f t="array" ref="K36">_xll.FDSB($C36,"CS_EVENT_TIME_N("&amp;$AB$18&amp;",1)")</f>
        <v>8:30 AM</v>
      </c>
      <c r="L36" s="282" t="str" cm="1">
        <f t="array" ref="L36">_xll.FDSB($C36,"CS_EVENT_DESC_N("&amp;$AB$18&amp;",1)")</f>
        <v>Q4 2026 Earnings Call</v>
      </c>
      <c r="M36" s="300"/>
      <c r="N36" s="274" cm="1">
        <f t="array" ref="N36">_xll.FDSB($C36,"CS_EVENT_DATEJ_N("&amp;$AA$18&amp;",2)")</f>
        <v>46274</v>
      </c>
      <c r="O36" s="282" t="str" cm="1">
        <f t="array" ref="O36">_xll.FDSB($C36,"CS_EVENT_TIME_N("&amp;$AA$18&amp;",2)")</f>
        <v>Unspecified</v>
      </c>
      <c r="P36" s="282" t="str" cm="1">
        <f t="array" ref="P36">_xll.FDSB($C36,"CS_EVENT_DESC_N("&amp;$AA$18&amp;",2)")</f>
        <v>Q1 2027 Earnings Release (Projected)</v>
      </c>
      <c r="Q36" s="282"/>
      <c r="R36" s="274" cm="1">
        <f t="array" ref="R36">_xll.FDSB($C36,"CS_EVENT_DATEJ_N("&amp;$AA$18&amp;",3)")</f>
        <v>46370</v>
      </c>
      <c r="S36" s="282" t="str" cm="1">
        <f t="array" ref="S36">_xll.FDSB($C36,"CS_EVENT_TIME_N("&amp;$AA$18&amp;",3)")</f>
        <v>Unspecified</v>
      </c>
      <c r="T36" s="282" t="str" cm="1">
        <f t="array" ref="T36">_xll.FDSB($C36,"CS_EVENT_DESC_N("&amp;$AA$18&amp;",3)")</f>
        <v>Q2 2027 Earnings Release (Projected)</v>
      </c>
      <c r="U36" s="282"/>
      <c r="V36" s="274" cm="1">
        <f t="array" ref="V36">_xll.FDSB($C36,"CS_EVENT_DATEJ_N("&amp;$AA$18&amp;",4)")</f>
        <v>46455</v>
      </c>
      <c r="W36" s="282" t="str" cm="1">
        <f t="array" ref="W36">_xll.FDSB($C36,"CS_EVENT_TIME_N("&amp;$AA$18&amp;",4)")</f>
        <v>Unspecified</v>
      </c>
      <c r="X36" s="282" t="str" cm="1">
        <f t="array" ref="X36">_xll.FDSB($C36,"CS_EVENT_DESC_N("&amp;$AA$18&amp;",4)")</f>
        <v>Q3 2027 Earnings Release (Projected)</v>
      </c>
      <c r="Z36" s="308" t="s">
        <v>151</v>
      </c>
      <c r="AA36" s="308" t="s">
        <v>152</v>
      </c>
      <c r="AB36" s="314" cm="1">
        <f t="array" ref="AB36">_xll.FDS(AA36,"count(FG_CONSTITUENTS)")</f>
        <v>300</v>
      </c>
      <c r="AC36" s="233"/>
      <c r="AD36" s="233"/>
      <c r="AE36" s="233"/>
      <c r="AF36" s="233"/>
      <c r="AG36" s="233"/>
      <c r="AH36" s="233"/>
    </row>
    <row r="37" spans="1:34" x14ac:dyDescent="0.15">
      <c r="A37" s="275"/>
      <c r="B37" s="298">
        <f t="shared" si="1"/>
        <v>22</v>
      </c>
      <c r="C37" s="299" t="str">
        <v>ADBE</v>
      </c>
      <c r="D37" s="300" t="str" cm="1">
        <f t="array" ref="D37">_xll.FDSB($C37,"FG_COMPANY_NAME")</f>
        <v>Adobe Inc.</v>
      </c>
      <c r="E37" s="300"/>
      <c r="F37" s="274" cm="1">
        <f t="array" ref="F37">_xll.FDSB($C37,"CS_EVENT_DATEJ_N("&amp;$AA$18&amp;",1)")</f>
        <v>46184</v>
      </c>
      <c r="G37" s="282" t="str" cm="1">
        <f t="array" ref="G37">_xll.FDSB($C37,"CS_EVENT_TIME_N("&amp;$AA$18&amp;",1)")</f>
        <v>Unspecified</v>
      </c>
      <c r="H37" s="282" t="str" cm="1">
        <f t="array" ref="H37">_xll.FDSB($C37,"CS_EVENT_DESC_N("&amp;$AA$18&amp;",1)")</f>
        <v>Q2 2026 Earnings Release (Projected)</v>
      </c>
      <c r="I37" s="282"/>
      <c r="J37" s="274" t="str" cm="1">
        <f t="array" ref="J37">_xll.FDSB($C37,"CS_EVENT_DATEJ_N("&amp;$AB$18&amp;",1)")</f>
        <v/>
      </c>
      <c r="K37" s="282" t="str" cm="1">
        <f t="array" ref="K37">_xll.FDSB($C37,"CS_EVENT_TIME_N("&amp;$AB$18&amp;",1)")</f>
        <v/>
      </c>
      <c r="L37" s="282" t="str" cm="1">
        <f t="array" ref="L37">_xll.FDSB($C37,"CS_EVENT_DESC_N("&amp;$AB$18&amp;",1)")</f>
        <v/>
      </c>
      <c r="M37" s="300"/>
      <c r="N37" s="274" cm="1">
        <f t="array" ref="N37">_xll.FDSB($C37,"CS_EVENT_DATEJ_N("&amp;$AA$18&amp;",2)")</f>
        <v>46275</v>
      </c>
      <c r="O37" s="282" t="str" cm="1">
        <f t="array" ref="O37">_xll.FDSB($C37,"CS_EVENT_TIME_N("&amp;$AA$18&amp;",2)")</f>
        <v>Unspecified</v>
      </c>
      <c r="P37" s="282" t="str" cm="1">
        <f t="array" ref="P37">_xll.FDSB($C37,"CS_EVENT_DESC_N("&amp;$AA$18&amp;",2)")</f>
        <v>Q3 2026 Earnings Release (Projected)</v>
      </c>
      <c r="Q37" s="282"/>
      <c r="R37" s="274" cm="1">
        <f t="array" ref="R37">_xll.FDSB($C37,"CS_EVENT_DATEJ_N("&amp;$AA$18&amp;",3)")</f>
        <v>46366</v>
      </c>
      <c r="S37" s="282" t="str" cm="1">
        <f t="array" ref="S37">_xll.FDSB($C37,"CS_EVENT_TIME_N("&amp;$AA$18&amp;",3)")</f>
        <v>Unspecified</v>
      </c>
      <c r="T37" s="282" t="str" cm="1">
        <f t="array" ref="T37">_xll.FDSB($C37,"CS_EVENT_DESC_N("&amp;$AA$18&amp;",3)")</f>
        <v>Q4 2026 Earnings Release (Projected)</v>
      </c>
      <c r="U37" s="282"/>
      <c r="V37" s="274" cm="1">
        <f t="array" ref="V37">_xll.FDSB($C37,"CS_EVENT_DATEJ_N("&amp;$AA$18&amp;",4)")</f>
        <v>46464</v>
      </c>
      <c r="W37" s="282" t="str" cm="1">
        <f t="array" ref="W37">_xll.FDSB($C37,"CS_EVENT_TIME_N("&amp;$AA$18&amp;",4)")</f>
        <v>Unspecified</v>
      </c>
      <c r="X37" s="282" t="str" cm="1">
        <f t="array" ref="X37">_xll.FDSB($C37,"CS_EVENT_DESC_N("&amp;$AA$18&amp;",4)")</f>
        <v>Q1 2027 Earnings Release (Projected)</v>
      </c>
      <c r="Z37" s="308" t="s">
        <v>155</v>
      </c>
      <c r="AA37" s="308">
        <v>153354</v>
      </c>
      <c r="AB37" s="314" cm="1">
        <f t="array" ref="AB37">_xll.FDS(AA37,"count(FG_CONSTITUENTS)")</f>
        <v>50</v>
      </c>
      <c r="AC37" s="233"/>
      <c r="AD37" s="233"/>
      <c r="AE37" s="233"/>
      <c r="AF37" s="233"/>
      <c r="AG37" s="233"/>
      <c r="AH37" s="233"/>
    </row>
    <row r="38" spans="1:34" x14ac:dyDescent="0.15">
      <c r="A38" s="275"/>
      <c r="B38" s="298">
        <f t="shared" si="1"/>
        <v>23</v>
      </c>
      <c r="C38" s="299" t="str">
        <v>ORCL</v>
      </c>
      <c r="D38" s="300" t="str" cm="1">
        <f t="array" ref="D38">_xll.FDSB($C38,"FG_COMPANY_NAME")</f>
        <v>Oracle Corporation</v>
      </c>
      <c r="E38" s="300"/>
      <c r="F38" s="274" cm="1">
        <f t="array" ref="F38">_xll.FDSB($C38,"CS_EVENT_DATEJ_N("&amp;$AA$18&amp;",1)")</f>
        <v>46189</v>
      </c>
      <c r="G38" s="282" t="str" cm="1">
        <f t="array" ref="G38">_xll.FDSB($C38,"CS_EVENT_TIME_N("&amp;$AA$18&amp;",1)")</f>
        <v>Unspecified</v>
      </c>
      <c r="H38" s="282" t="str" cm="1">
        <f t="array" ref="H38">_xll.FDSB($C38,"CS_EVENT_DESC_N("&amp;$AA$18&amp;",1)")</f>
        <v>Q4 2026 Earnings Release (Projected)</v>
      </c>
      <c r="I38" s="282"/>
      <c r="J38" s="274" t="str" cm="1">
        <f t="array" ref="J38">_xll.FDSB($C38,"CS_EVENT_DATEJ_N("&amp;$AB$18&amp;",1)")</f>
        <v/>
      </c>
      <c r="K38" s="282" t="str" cm="1">
        <f t="array" ref="K38">_xll.FDSB($C38,"CS_EVENT_TIME_N("&amp;$AB$18&amp;",1)")</f>
        <v/>
      </c>
      <c r="L38" s="282" t="str" cm="1">
        <f t="array" ref="L38">_xll.FDSB($C38,"CS_EVENT_DESC_N("&amp;$AB$18&amp;",1)")</f>
        <v/>
      </c>
      <c r="M38" s="300"/>
      <c r="N38" s="274" cm="1">
        <f t="array" ref="N38">_xll.FDSB($C38,"CS_EVENT_DATEJ_N("&amp;$AA$18&amp;",2)")</f>
        <v>46279</v>
      </c>
      <c r="O38" s="282" t="str" cm="1">
        <f t="array" ref="O38">_xll.FDSB($C38,"CS_EVENT_TIME_N("&amp;$AA$18&amp;",2)")</f>
        <v>Unspecified</v>
      </c>
      <c r="P38" s="282" t="str" cm="1">
        <f t="array" ref="P38">_xll.FDSB($C38,"CS_EVENT_DESC_N("&amp;$AA$18&amp;",2)")</f>
        <v>Q1 2027 Earnings Release (Projected)</v>
      </c>
      <c r="Q38" s="282"/>
      <c r="R38" s="274" cm="1">
        <f t="array" ref="R38">_xll.FDSB($C38,"CS_EVENT_DATEJ_N("&amp;$AA$18&amp;",3)")</f>
        <v>46370</v>
      </c>
      <c r="S38" s="282" t="str" cm="1">
        <f t="array" ref="S38">_xll.FDSB($C38,"CS_EVENT_TIME_N("&amp;$AA$18&amp;",3)")</f>
        <v>Unspecified</v>
      </c>
      <c r="T38" s="282" t="str" cm="1">
        <f t="array" ref="T38">_xll.FDSB($C38,"CS_EVENT_DESC_N("&amp;$AA$18&amp;",3)")</f>
        <v>Q2 2027 Earnings Release (Projected)</v>
      </c>
      <c r="U38" s="282"/>
      <c r="V38" s="274" t="str" cm="1">
        <f t="array" ref="V38">_xll.FDSB($C38,"CS_EVENT_DATEJ_N("&amp;$AA$18&amp;",4)")</f>
        <v/>
      </c>
      <c r="W38" s="282" t="str" cm="1">
        <f t="array" ref="W38">_xll.FDSB($C38,"CS_EVENT_TIME_N("&amp;$AA$18&amp;",4)")</f>
        <v/>
      </c>
      <c r="X38" s="282" t="str" cm="1">
        <f t="array" ref="X38">_xll.FDSB($C38,"CS_EVENT_DESC_N("&amp;$AA$18&amp;",4)")</f>
        <v/>
      </c>
      <c r="Z38" s="308" t="s">
        <v>156</v>
      </c>
      <c r="AA38" s="308">
        <v>180458</v>
      </c>
      <c r="AB38" s="314" cm="1">
        <f t="array" ref="AB38">_xll.FDS(AA38,"count(FG_CONSTITUENTS)")</f>
        <v>90</v>
      </c>
      <c r="AC38" s="233"/>
      <c r="AD38" s="233"/>
      <c r="AE38" s="233"/>
      <c r="AF38" s="233"/>
      <c r="AG38" s="233"/>
      <c r="AH38" s="233"/>
    </row>
    <row r="39" spans="1:34" x14ac:dyDescent="0.15">
      <c r="B39" s="298">
        <f t="shared" si="1"/>
        <v>24</v>
      </c>
      <c r="C39" s="299" t="str">
        <v>ACN</v>
      </c>
      <c r="D39" s="300" t="str" cm="1">
        <f t="array" ref="D39">_xll.FDSB($C39,"FG_COMPANY_NAME")</f>
        <v>Accenture Plc Class A</v>
      </c>
      <c r="E39" s="300"/>
      <c r="F39" s="274" cm="1">
        <f t="array" ref="F39">_xll.FDSB($C39,"CS_EVENT_DATEJ_N("&amp;$AA$18&amp;",1)")</f>
        <v>46191</v>
      </c>
      <c r="G39" s="282" t="str" cm="1">
        <f t="array" ref="G39">_xll.FDSB($C39,"CS_EVENT_TIME_N("&amp;$AA$18&amp;",1)")</f>
        <v>Before Market</v>
      </c>
      <c r="H39" s="282" t="str" cm="1">
        <f t="array" ref="H39">_xll.FDSB($C39,"CS_EVENT_DESC_N("&amp;$AA$18&amp;",1)")</f>
        <v>Q3 2026 Earnings Release</v>
      </c>
      <c r="I39" s="282"/>
      <c r="J39" s="274" cm="1">
        <f t="array" ref="J39">_xll.FDSB($C39,"CS_EVENT_DATEJ_N("&amp;$AB$18&amp;",1)")</f>
        <v>46191</v>
      </c>
      <c r="K39" s="282" t="str" cm="1">
        <f t="array" ref="K39">_xll.FDSB($C39,"CS_EVENT_TIME_N("&amp;$AB$18&amp;",1)")</f>
        <v>8:00 AM</v>
      </c>
      <c r="L39" s="282" t="str" cm="1">
        <f t="array" ref="L39">_xll.FDSB($C39,"CS_EVENT_DESC_N("&amp;$AB$18&amp;",1)")</f>
        <v>Q3 2026 Earnings Call</v>
      </c>
      <c r="M39" s="300"/>
      <c r="N39" s="274" cm="1">
        <f t="array" ref="N39">_xll.FDSB($C39,"CS_EVENT_DATEJ_N("&amp;$AA$18&amp;",2)")</f>
        <v>46289</v>
      </c>
      <c r="O39" s="282" t="str" cm="1">
        <f t="array" ref="O39">_xll.FDSB($C39,"CS_EVENT_TIME_N("&amp;$AA$18&amp;",2)")</f>
        <v>Unspecified</v>
      </c>
      <c r="P39" s="282" t="str" cm="1">
        <f t="array" ref="P39">_xll.FDSB($C39,"CS_EVENT_DESC_N("&amp;$AA$18&amp;",2)")</f>
        <v>Q4 2026 Earnings Release (Projected)</v>
      </c>
      <c r="Q39" s="282"/>
      <c r="R39" s="274" cm="1">
        <f t="array" ref="R39">_xll.FDSB($C39,"CS_EVENT_DATEJ_N("&amp;$AA$18&amp;",3)")</f>
        <v>46373</v>
      </c>
      <c r="S39" s="282" t="str" cm="1">
        <f t="array" ref="S39">_xll.FDSB($C39,"CS_EVENT_TIME_N("&amp;$AA$18&amp;",3)")</f>
        <v>Unspecified</v>
      </c>
      <c r="T39" s="282" t="str" cm="1">
        <f t="array" ref="T39">_xll.FDSB($C39,"CS_EVENT_DESC_N("&amp;$AA$18&amp;",3)")</f>
        <v>Q1 2027 Earnings Release (Projected)</v>
      </c>
      <c r="U39" s="282"/>
      <c r="V39" s="274" cm="1">
        <f t="array" ref="V39">_xll.FDSB($C39,"CS_EVENT_DATEJ_N("&amp;$AA$18&amp;",4)")</f>
        <v>46471</v>
      </c>
      <c r="W39" s="282" t="str" cm="1">
        <f t="array" ref="W39">_xll.FDSB($C39,"CS_EVENT_TIME_N("&amp;$AA$18&amp;",4)")</f>
        <v>Unspecified</v>
      </c>
      <c r="X39" s="282" t="str" cm="1">
        <f t="array" ref="X39">_xll.FDSB($C39,"CS_EVENT_DESC_N("&amp;$AA$18&amp;",4)")</f>
        <v>Q2 2027 Earnings Release (Projected)</v>
      </c>
      <c r="Z39" s="308" t="s">
        <v>157</v>
      </c>
      <c r="AA39" s="308" t="s">
        <v>158</v>
      </c>
      <c r="AB39" s="314" cm="1">
        <f t="array" ref="AB39">_xll.FDS(AA39,"count(FG_CONSTITUENTS)")</f>
        <v>1056</v>
      </c>
      <c r="AC39" s="233"/>
      <c r="AD39" s="233"/>
      <c r="AE39" s="233"/>
      <c r="AF39" s="233"/>
      <c r="AG39" s="233"/>
      <c r="AH39" s="233"/>
    </row>
    <row r="40" spans="1:34" x14ac:dyDescent="0.15">
      <c r="B40" s="298">
        <f t="shared" si="1"/>
        <v>25</v>
      </c>
      <c r="C40" s="299" t="str">
        <v>JBL</v>
      </c>
      <c r="D40" s="300" t="str" cm="1">
        <f t="array" ref="D40">_xll.FDSB($C40,"FG_COMPANY_NAME")</f>
        <v>Jabil Inc.</v>
      </c>
      <c r="E40" s="300"/>
      <c r="F40" s="274" cm="1">
        <f t="array" ref="F40">_xll.FDSB($C40,"CS_EVENT_DATEJ_N("&amp;$AA$18&amp;",1)")</f>
        <v>46191</v>
      </c>
      <c r="G40" s="282" t="str" cm="1">
        <f t="array" ref="G40">_xll.FDSB($C40,"CS_EVENT_TIME_N("&amp;$AA$18&amp;",1)")</f>
        <v>Unspecified</v>
      </c>
      <c r="H40" s="282" t="str" cm="1">
        <f t="array" ref="H40">_xll.FDSB($C40,"CS_EVENT_DESC_N("&amp;$AA$18&amp;",1)")</f>
        <v>Q3 2026 Earnings Release (Projected)</v>
      </c>
      <c r="I40" s="282"/>
      <c r="J40" s="274" t="str" cm="1">
        <f t="array" ref="J40">_xll.FDSB($C40,"CS_EVENT_DATEJ_N("&amp;$AB$18&amp;",1)")</f>
        <v/>
      </c>
      <c r="K40" s="282" t="str" cm="1">
        <f t="array" ref="K40">_xll.FDSB($C40,"CS_EVENT_TIME_N("&amp;$AB$18&amp;",1)")</f>
        <v/>
      </c>
      <c r="L40" s="282" t="str" cm="1">
        <f t="array" ref="L40">_xll.FDSB($C40,"CS_EVENT_DESC_N("&amp;$AB$18&amp;",1)")</f>
        <v/>
      </c>
      <c r="M40" s="300"/>
      <c r="N40" s="274" cm="1">
        <f t="array" ref="N40">_xll.FDSB($C40,"CS_EVENT_DATEJ_N("&amp;$AA$18&amp;",2)")</f>
        <v>46289</v>
      </c>
      <c r="O40" s="282" t="str" cm="1">
        <f t="array" ref="O40">_xll.FDSB($C40,"CS_EVENT_TIME_N("&amp;$AA$18&amp;",2)")</f>
        <v>Unspecified</v>
      </c>
      <c r="P40" s="282" t="str" cm="1">
        <f t="array" ref="P40">_xll.FDSB($C40,"CS_EVENT_DESC_N("&amp;$AA$18&amp;",2)")</f>
        <v>Q4 2026 Earnings Release (Projected)</v>
      </c>
      <c r="Q40" s="282"/>
      <c r="R40" s="274" cm="1">
        <f t="array" ref="R40">_xll.FDSB($C40,"CS_EVENT_DATEJ_N("&amp;$AA$18&amp;",3)")</f>
        <v>46366</v>
      </c>
      <c r="S40" s="282" t="str" cm="1">
        <f t="array" ref="S40">_xll.FDSB($C40,"CS_EVENT_TIME_N("&amp;$AA$18&amp;",3)")</f>
        <v>Unspecified</v>
      </c>
      <c r="T40" s="282" t="str" cm="1">
        <f t="array" ref="T40">_xll.FDSB($C40,"CS_EVENT_DESC_N("&amp;$AA$18&amp;",3)")</f>
        <v>Q1 2027 Earnings Release (Projected)</v>
      </c>
      <c r="U40" s="282"/>
      <c r="V40" s="274" cm="1">
        <f t="array" ref="V40">_xll.FDSB($C40,"CS_EVENT_DATEJ_N("&amp;$AA$18&amp;",4)")</f>
        <v>46464</v>
      </c>
      <c r="W40" s="282" t="str" cm="1">
        <f t="array" ref="W40">_xll.FDSB($C40,"CS_EVENT_TIME_N("&amp;$AA$18&amp;",4)")</f>
        <v>Unspecified</v>
      </c>
      <c r="X40" s="282" t="str" cm="1">
        <f t="array" ref="X40">_xll.FDSB($C40,"CS_EVENT_DESC_N("&amp;$AA$18&amp;",4)")</f>
        <v>Q2 2027 Earnings Release (Projected)</v>
      </c>
      <c r="Z40" s="308" t="s">
        <v>159</v>
      </c>
      <c r="AA40" s="308">
        <v>180461</v>
      </c>
      <c r="AB40" s="314" cm="1">
        <f t="array" ref="AB40">_xll.FDS(AA40,"count(FG_CONSTITUENTS)")</f>
        <v>0</v>
      </c>
      <c r="AC40" s="233"/>
      <c r="AD40" s="233"/>
      <c r="AE40" s="233"/>
      <c r="AF40" s="233"/>
      <c r="AG40" s="233"/>
      <c r="AH40" s="233"/>
    </row>
    <row r="41" spans="1:34" x14ac:dyDescent="0.15">
      <c r="B41" s="298">
        <f t="shared" si="1"/>
        <v>26</v>
      </c>
      <c r="C41" s="299" t="str">
        <v>KR</v>
      </c>
      <c r="D41" s="300" t="str" cm="1">
        <f t="array" ref="D41">_xll.FDSB($C41,"FG_COMPANY_NAME")</f>
        <v>Kroger Co.</v>
      </c>
      <c r="E41" s="300"/>
      <c r="F41" s="274" cm="1">
        <f t="array" ref="F41">_xll.FDSB($C41,"CS_EVENT_DATEJ_N("&amp;$AA$18&amp;",1)")</f>
        <v>46191</v>
      </c>
      <c r="G41" s="282" t="str" cm="1">
        <f t="array" ref="G41">_xll.FDSB($C41,"CS_EVENT_TIME_N("&amp;$AA$18&amp;",1)")</f>
        <v>Before Market</v>
      </c>
      <c r="H41" s="282" t="str" cm="1">
        <f t="array" ref="H41">_xll.FDSB($C41,"CS_EVENT_DESC_N("&amp;$AA$18&amp;",1)")</f>
        <v>Q1 2026 Earnings Release</v>
      </c>
      <c r="I41" s="282"/>
      <c r="J41" s="274" cm="1">
        <f t="array" ref="J41">_xll.FDSB($C41,"CS_EVENT_DATEJ_N("&amp;$AB$18&amp;",1)")</f>
        <v>46191</v>
      </c>
      <c r="K41" s="282" t="str" cm="1">
        <f t="array" ref="K41">_xll.FDSB($C41,"CS_EVENT_TIME_N("&amp;$AB$18&amp;",1)")</f>
        <v>8:00 AM</v>
      </c>
      <c r="L41" s="282" t="str" cm="1">
        <f t="array" ref="L41">_xll.FDSB($C41,"CS_EVENT_DESC_N("&amp;$AB$18&amp;",1)")</f>
        <v>Q1 2026 Earnings Call</v>
      </c>
      <c r="M41" s="300"/>
      <c r="N41" s="274" cm="1">
        <f t="array" ref="N41">_xll.FDSB($C41,"CS_EVENT_DATEJ_N("&amp;$AA$18&amp;",2)")</f>
        <v>46269</v>
      </c>
      <c r="O41" s="282" t="str" cm="1">
        <f t="array" ref="O41">_xll.FDSB($C41,"CS_EVENT_TIME_N("&amp;$AA$18&amp;",2)")</f>
        <v>Unspecified</v>
      </c>
      <c r="P41" s="282" t="str" cm="1">
        <f t="array" ref="P41">_xll.FDSB($C41,"CS_EVENT_DESC_N("&amp;$AA$18&amp;",2)")</f>
        <v>Q2 2026 Earnings Release (Projected)</v>
      </c>
      <c r="Q41" s="282"/>
      <c r="R41" s="274" cm="1">
        <f t="array" ref="R41">_xll.FDSB($C41,"CS_EVENT_DATEJ_N("&amp;$AA$18&amp;",3)")</f>
        <v>46352</v>
      </c>
      <c r="S41" s="282" t="str" cm="1">
        <f t="array" ref="S41">_xll.FDSB($C41,"CS_EVENT_TIME_N("&amp;$AA$18&amp;",3)")</f>
        <v>Unspecified</v>
      </c>
      <c r="T41" s="282" t="str" cm="1">
        <f t="array" ref="T41">_xll.FDSB($C41,"CS_EVENT_DESC_N("&amp;$AA$18&amp;",3)")</f>
        <v>Q3 2026 Earnings Release (Projected)</v>
      </c>
      <c r="U41" s="282"/>
      <c r="V41" s="274" cm="1">
        <f t="array" ref="V41">_xll.FDSB($C41,"CS_EVENT_DATEJ_N("&amp;$AA$18&amp;",4)")</f>
        <v>46450</v>
      </c>
      <c r="W41" s="282" t="str" cm="1">
        <f t="array" ref="W41">_xll.FDSB($C41,"CS_EVENT_TIME_N("&amp;$AA$18&amp;",4)")</f>
        <v>Unspecified</v>
      </c>
      <c r="X41" s="282" t="str" cm="1">
        <f t="array" ref="X41">_xll.FDSB($C41,"CS_EVENT_DESC_N("&amp;$AA$18&amp;",4)")</f>
        <v>Q4 2026 Earnings Release (Projected)</v>
      </c>
      <c r="Z41" s="308" t="s">
        <v>162</v>
      </c>
      <c r="AA41" s="308">
        <v>180721</v>
      </c>
      <c r="AB41" s="314" cm="1">
        <f t="array" ref="AB41">_xll.FDS(AA41,"count(FG_CONSTITUENTS)")</f>
        <v>835</v>
      </c>
      <c r="AC41" s="233"/>
      <c r="AD41" s="233"/>
      <c r="AE41" s="233"/>
      <c r="AF41" s="233"/>
      <c r="AG41" s="233"/>
      <c r="AH41" s="233"/>
    </row>
    <row r="42" spans="1:34" x14ac:dyDescent="0.15">
      <c r="B42" s="298">
        <f t="shared" si="1"/>
        <v>27</v>
      </c>
      <c r="C42" s="299" t="str">
        <v>DRI</v>
      </c>
      <c r="D42" s="300" t="str" cm="1">
        <f t="array" ref="D42">_xll.FDSB($C42,"FG_COMPANY_NAME")</f>
        <v>Darden Restaurants, Inc.</v>
      </c>
      <c r="E42" s="300"/>
      <c r="F42" s="274" cm="1">
        <f t="array" ref="F42">_xll.FDSB($C42,"CS_EVENT_DATEJ_N("&amp;$AA$18&amp;",1)")</f>
        <v>46191</v>
      </c>
      <c r="G42" s="282" t="str" cm="1">
        <f t="array" ref="G42">_xll.FDSB($C42,"CS_EVENT_TIME_N("&amp;$AA$18&amp;",1)")</f>
        <v>Unspecified</v>
      </c>
      <c r="H42" s="282" t="str" cm="1">
        <f t="array" ref="H42">_xll.FDSB($C42,"CS_EVENT_DESC_N("&amp;$AA$18&amp;",1)")</f>
        <v>Q4 2026 Earnings Release (Projected)</v>
      </c>
      <c r="I42" s="282"/>
      <c r="J42" s="274" t="str" cm="1">
        <f t="array" ref="J42">_xll.FDSB($C42,"CS_EVENT_DATEJ_N("&amp;$AB$18&amp;",1)")</f>
        <v/>
      </c>
      <c r="K42" s="282" t="str" cm="1">
        <f t="array" ref="K42">_xll.FDSB($C42,"CS_EVENT_TIME_N("&amp;$AB$18&amp;",1)")</f>
        <v/>
      </c>
      <c r="L42" s="282" t="str" cm="1">
        <f t="array" ref="L42">_xll.FDSB($C42,"CS_EVENT_DESC_N("&amp;$AB$18&amp;",1)")</f>
        <v/>
      </c>
      <c r="M42" s="300"/>
      <c r="N42" s="274" cm="1">
        <f t="array" ref="N42">_xll.FDSB($C42,"CS_EVENT_DATEJ_N("&amp;$AA$18&amp;",2)")</f>
        <v>46282</v>
      </c>
      <c r="O42" s="282" t="str" cm="1">
        <f t="array" ref="O42">_xll.FDSB($C42,"CS_EVENT_TIME_N("&amp;$AA$18&amp;",2)")</f>
        <v>Unspecified</v>
      </c>
      <c r="P42" s="282" t="str" cm="1">
        <f t="array" ref="P42">_xll.FDSB($C42,"CS_EVENT_DESC_N("&amp;$AA$18&amp;",2)")</f>
        <v>Q1 2027 Earnings Release (Projected)</v>
      </c>
      <c r="Q42" s="282"/>
      <c r="R42" s="274" cm="1">
        <f t="array" ref="R42">_xll.FDSB($C42,"CS_EVENT_DATEJ_N("&amp;$AA$18&amp;",3)")</f>
        <v>46367</v>
      </c>
      <c r="S42" s="282" t="str" cm="1">
        <f t="array" ref="S42">_xll.FDSB($C42,"CS_EVENT_TIME_N("&amp;$AA$18&amp;",3)")</f>
        <v>Unspecified</v>
      </c>
      <c r="T42" s="282" t="str" cm="1">
        <f t="array" ref="T42">_xll.FDSB($C42,"CS_EVENT_DESC_N("&amp;$AA$18&amp;",3)")</f>
        <v>Q2 2027 Earnings Release (Projected)</v>
      </c>
      <c r="U42" s="282"/>
      <c r="V42" s="274" cm="1">
        <f t="array" ref="V42">_xll.FDSB($C42,"CS_EVENT_DATEJ_N("&amp;$AA$18&amp;",4)")</f>
        <v>46471</v>
      </c>
      <c r="W42" s="282" t="str" cm="1">
        <f t="array" ref="W42">_xll.FDSB($C42,"CS_EVENT_TIME_N("&amp;$AA$18&amp;",4)")</f>
        <v>Unspecified</v>
      </c>
      <c r="X42" s="282" t="str" cm="1">
        <f t="array" ref="X42">_xll.FDSB($C42,"CS_EVENT_DESC_N("&amp;$AA$18&amp;",4)")</f>
        <v>Q3 2027 Earnings Release (Projected)</v>
      </c>
      <c r="Z42" s="308" t="s">
        <v>163</v>
      </c>
      <c r="AA42" s="308">
        <v>180085</v>
      </c>
      <c r="AB42" s="314" cm="1">
        <f t="array" ref="AB42">_xll.FDS(AA42,"count(FG_CONSTITUENTS)")</f>
        <v>0</v>
      </c>
      <c r="AC42" s="233"/>
      <c r="AD42" s="233"/>
      <c r="AE42" s="233"/>
      <c r="AF42" s="233"/>
      <c r="AG42" s="233"/>
      <c r="AH42" s="233"/>
    </row>
    <row r="43" spans="1:34" x14ac:dyDescent="0.15">
      <c r="B43" s="298">
        <f t="shared" si="1"/>
        <v>28</v>
      </c>
      <c r="C43" s="299" t="str">
        <v>FDS</v>
      </c>
      <c r="D43" s="300" t="str" cm="1">
        <f t="array" ref="D43">_xll.FDSB($C43,"FG_COMPANY_NAME")</f>
        <v>FactSet Research Systems Inc.</v>
      </c>
      <c r="E43" s="300"/>
      <c r="F43" s="274" cm="1">
        <f t="array" ref="F43">_xll.FDSB($C43,"CS_EVENT_DATEJ_N("&amp;$AA$18&amp;",1)")</f>
        <v>46192</v>
      </c>
      <c r="G43" s="282" t="str" cm="1">
        <f t="array" ref="G43">_xll.FDSB($C43,"CS_EVENT_TIME_N("&amp;$AA$18&amp;",1)")</f>
        <v>Unspecified</v>
      </c>
      <c r="H43" s="282" t="str" cm="1">
        <f t="array" ref="H43">_xll.FDSB($C43,"CS_EVENT_DESC_N("&amp;$AA$18&amp;",1)")</f>
        <v>Q3 2026 Earnings Release (Projected)</v>
      </c>
      <c r="I43" s="282"/>
      <c r="J43" s="274" t="str" cm="1">
        <f t="array" ref="J43">_xll.FDSB($C43,"CS_EVENT_DATEJ_N("&amp;$AB$18&amp;",1)")</f>
        <v/>
      </c>
      <c r="K43" s="282" t="str" cm="1">
        <f t="array" ref="K43">_xll.FDSB($C43,"CS_EVENT_TIME_N("&amp;$AB$18&amp;",1)")</f>
        <v/>
      </c>
      <c r="L43" s="282" t="str" cm="1">
        <f t="array" ref="L43">_xll.FDSB($C43,"CS_EVENT_DESC_N("&amp;$AB$18&amp;",1)")</f>
        <v/>
      </c>
      <c r="M43" s="300"/>
      <c r="N43" s="274" cm="1">
        <f t="array" ref="N43">_xll.FDSB($C43,"CS_EVENT_DATEJ_N("&amp;$AA$18&amp;",2)")</f>
        <v>46282</v>
      </c>
      <c r="O43" s="282" t="str" cm="1">
        <f t="array" ref="O43">_xll.FDSB($C43,"CS_EVENT_TIME_N("&amp;$AA$18&amp;",2)")</f>
        <v>Unspecified</v>
      </c>
      <c r="P43" s="282" t="str" cm="1">
        <f t="array" ref="P43">_xll.FDSB($C43,"CS_EVENT_DESC_N("&amp;$AA$18&amp;",2)")</f>
        <v>Q4 2026 Earnings Release (Projected)</v>
      </c>
      <c r="Q43" s="282"/>
      <c r="R43" s="274" cm="1">
        <f t="array" ref="R43">_xll.FDSB($C43,"CS_EVENT_DATEJ_N("&amp;$AA$18&amp;",3)")</f>
        <v>46373</v>
      </c>
      <c r="S43" s="282" t="str" cm="1">
        <f t="array" ref="S43">_xll.FDSB($C43,"CS_EVENT_TIME_N("&amp;$AA$18&amp;",3)")</f>
        <v>Unspecified</v>
      </c>
      <c r="T43" s="282" t="str" cm="1">
        <f t="array" ref="T43">_xll.FDSB($C43,"CS_EVENT_DESC_N("&amp;$AA$18&amp;",3)")</f>
        <v>Q1 2027 Earnings Release (Projected)</v>
      </c>
      <c r="U43" s="282"/>
      <c r="V43" s="274" cm="1">
        <f t="array" ref="V43">_xll.FDSB($C43,"CS_EVENT_DATEJ_N("&amp;$AA$18&amp;",4)")</f>
        <v>46471</v>
      </c>
      <c r="W43" s="282" t="str" cm="1">
        <f t="array" ref="W43">_xll.FDSB($C43,"CS_EVENT_TIME_N("&amp;$AA$18&amp;",4)")</f>
        <v>Unspecified</v>
      </c>
      <c r="X43" s="282" t="str" cm="1">
        <f t="array" ref="X43">_xll.FDSB($C43,"CS_EVENT_DESC_N("&amp;$AA$18&amp;",4)")</f>
        <v>Q2 2027 Earnings Release (Projected)</v>
      </c>
      <c r="Z43" s="308" t="s">
        <v>164</v>
      </c>
      <c r="AA43" s="308" t="s">
        <v>165</v>
      </c>
      <c r="AB43" s="314" cm="1">
        <f t="array" ref="AB43">_xll.FDS(AA43,"count(FG_CONSTITUENTS)")</f>
        <v>0</v>
      </c>
      <c r="AC43" s="233"/>
      <c r="AD43" s="233"/>
      <c r="AE43" s="233"/>
      <c r="AF43" s="233"/>
      <c r="AG43" s="233"/>
      <c r="AH43" s="233"/>
    </row>
    <row r="44" spans="1:34" x14ac:dyDescent="0.15">
      <c r="B44" s="298">
        <f t="shared" si="1"/>
        <v>29</v>
      </c>
      <c r="C44" s="299" t="str">
        <v>LEN</v>
      </c>
      <c r="D44" s="300" t="str" cm="1">
        <f t="array" ref="D44">_xll.FDSB($C44,"FG_COMPANY_NAME")</f>
        <v>Lennar Corporation Class A</v>
      </c>
      <c r="E44" s="300"/>
      <c r="F44" s="274" cm="1">
        <f t="array" ref="F44">_xll.FDSB($C44,"CS_EVENT_DATEJ_N("&amp;$AA$18&amp;",1)")</f>
        <v>46195</v>
      </c>
      <c r="G44" s="282" t="str" cm="1">
        <f t="array" ref="G44">_xll.FDSB($C44,"CS_EVENT_TIME_N("&amp;$AA$18&amp;",1)")</f>
        <v>Unspecified</v>
      </c>
      <c r="H44" s="282" t="str" cm="1">
        <f t="array" ref="H44">_xll.FDSB($C44,"CS_EVENT_DESC_N("&amp;$AA$18&amp;",1)")</f>
        <v>Q2 2026 Earnings Release (Projected)</v>
      </c>
      <c r="I44" s="282"/>
      <c r="J44" s="274" t="str" cm="1">
        <f t="array" ref="J44">_xll.FDSB($C44,"CS_EVENT_DATEJ_N("&amp;$AB$18&amp;",1)")</f>
        <v/>
      </c>
      <c r="K44" s="282" t="str" cm="1">
        <f t="array" ref="K44">_xll.FDSB($C44,"CS_EVENT_TIME_N("&amp;$AB$18&amp;",1)")</f>
        <v/>
      </c>
      <c r="L44" s="282" t="str" cm="1">
        <f t="array" ref="L44">_xll.FDSB($C44,"CS_EVENT_DESC_N("&amp;$AB$18&amp;",1)")</f>
        <v/>
      </c>
      <c r="M44" s="300"/>
      <c r="N44" s="274" cm="1">
        <f t="array" ref="N44">_xll.FDSB($C44,"CS_EVENT_DATEJ_N("&amp;$AA$18&amp;",2)")</f>
        <v>46282</v>
      </c>
      <c r="O44" s="282" t="str" cm="1">
        <f t="array" ref="O44">_xll.FDSB($C44,"CS_EVENT_TIME_N("&amp;$AA$18&amp;",2)")</f>
        <v>Unspecified</v>
      </c>
      <c r="P44" s="282" t="str" cm="1">
        <f t="array" ref="P44">_xll.FDSB($C44,"CS_EVENT_DESC_N("&amp;$AA$18&amp;",2)")</f>
        <v>Q3 2026 Earnings Release (Projected)</v>
      </c>
      <c r="Q44" s="282"/>
      <c r="R44" s="274" cm="1">
        <f t="array" ref="R44">_xll.FDSB($C44,"CS_EVENT_DATEJ_N("&amp;$AA$18&amp;",3)")</f>
        <v>46372</v>
      </c>
      <c r="S44" s="282" t="str" cm="1">
        <f t="array" ref="S44">_xll.FDSB($C44,"CS_EVENT_TIME_N("&amp;$AA$18&amp;",3)")</f>
        <v>Unspecified</v>
      </c>
      <c r="T44" s="282" t="str" cm="1">
        <f t="array" ref="T44">_xll.FDSB($C44,"CS_EVENT_DESC_N("&amp;$AA$18&amp;",3)")</f>
        <v>Q4 2026 Earnings Release (Projected)</v>
      </c>
      <c r="U44" s="282"/>
      <c r="V44" s="274" cm="1">
        <f t="array" ref="V44">_xll.FDSB($C44,"CS_EVENT_DATEJ_N("&amp;$AA$18&amp;",4)")</f>
        <v>46463</v>
      </c>
      <c r="W44" s="282" t="str" cm="1">
        <f t="array" ref="W44">_xll.FDSB($C44,"CS_EVENT_TIME_N("&amp;$AA$18&amp;",4)")</f>
        <v>Unspecified</v>
      </c>
      <c r="X44" s="282" t="str" cm="1">
        <f t="array" ref="X44">_xll.FDSB($C44,"CS_EVENT_DESC_N("&amp;$AA$18&amp;",4)")</f>
        <v>Q1 2027 Earnings Release (Projected)</v>
      </c>
      <c r="Z44" s="308" t="s">
        <v>166</v>
      </c>
      <c r="AA44" s="308" t="s">
        <v>167</v>
      </c>
      <c r="AB44" s="314" cm="1">
        <f t="array" ref="AB44">_xll.FDS(AA44,"count(FG_CONSTITUENTS)")</f>
        <v>0</v>
      </c>
      <c r="AC44" s="233"/>
      <c r="AD44" s="233"/>
      <c r="AE44" s="233"/>
      <c r="AF44" s="233"/>
      <c r="AG44" s="233"/>
      <c r="AH44" s="233"/>
    </row>
    <row r="45" spans="1:34" x14ac:dyDescent="0.15">
      <c r="B45" s="298">
        <f t="shared" si="1"/>
        <v>30</v>
      </c>
      <c r="C45" s="299" t="str">
        <v>FDX</v>
      </c>
      <c r="D45" s="300" t="str" cm="1">
        <f t="array" ref="D45">_xll.FDSB($C45,"FG_COMPANY_NAME")</f>
        <v>FedEx Corporation</v>
      </c>
      <c r="E45" s="300"/>
      <c r="F45" s="274" cm="1">
        <f t="array" ref="F45">_xll.FDSB($C45,"CS_EVENT_DATEJ_N("&amp;$AA$18&amp;",1)")</f>
        <v>46196</v>
      </c>
      <c r="G45" s="282" t="str" cm="1">
        <f t="array" ref="G45">_xll.FDSB($C45,"CS_EVENT_TIME_N("&amp;$AA$18&amp;",1)")</f>
        <v>Unspecified</v>
      </c>
      <c r="H45" s="282" t="str" cm="1">
        <f t="array" ref="H45">_xll.FDSB($C45,"CS_EVENT_DESC_N("&amp;$AA$18&amp;",1)")</f>
        <v>Q4 2026 Earnings Release</v>
      </c>
      <c r="I45" s="282"/>
      <c r="J45" s="274" cm="1">
        <f t="array" ref="J45">_xll.FDSB($C45,"CS_EVENT_DATEJ_N("&amp;$AB$18&amp;",1)")</f>
        <v>46196</v>
      </c>
      <c r="K45" s="282" t="str" cm="1">
        <f t="array" ref="K45">_xll.FDSB($C45,"CS_EVENT_TIME_N("&amp;$AB$18&amp;",1)")</f>
        <v>5:00 PM</v>
      </c>
      <c r="L45" s="282" t="str" cm="1">
        <f t="array" ref="L45">_xll.FDSB($C45,"CS_EVENT_DESC_N("&amp;$AB$18&amp;",1)")</f>
        <v>Q4 2026 Earnings Call</v>
      </c>
      <c r="M45" s="300"/>
      <c r="N45" s="274" cm="1">
        <f t="array" ref="N45">_xll.FDSB($C45,"CS_EVENT_DATEJ_N("&amp;$AA$18&amp;",2)")</f>
        <v>46323</v>
      </c>
      <c r="O45" s="282" t="str" cm="1">
        <f t="array" ref="O45">_xll.FDSB($C45,"CS_EVENT_TIME_N("&amp;$AA$18&amp;",2)")</f>
        <v>Unspecified</v>
      </c>
      <c r="P45" s="282" t="str" cm="1">
        <f t="array" ref="P45">_xll.FDSB($C45,"CS_EVENT_DESC_N("&amp;$AA$18&amp;",2)")</f>
        <v>Q1 2027 Earnings Release</v>
      </c>
      <c r="Q45" s="282"/>
      <c r="R45" s="274" cm="1">
        <f t="array" ref="R45">_xll.FDSB($C45,"CS_EVENT_DATEJ_N("&amp;$AA$18&amp;",3)")</f>
        <v>46378</v>
      </c>
      <c r="S45" s="282" t="str" cm="1">
        <f t="array" ref="S45">_xll.FDSB($C45,"CS_EVENT_TIME_N("&amp;$AA$18&amp;",3)")</f>
        <v>Unspecified</v>
      </c>
      <c r="T45" s="282" t="str" cm="1">
        <f t="array" ref="T45">_xll.FDSB($C45,"CS_EVENT_DESC_N("&amp;$AA$18&amp;",3)")</f>
        <v>Q2 2027 Earnings Release (Projected)</v>
      </c>
      <c r="U45" s="282"/>
      <c r="V45" s="274" cm="1">
        <f t="array" ref="V45">_xll.FDSB($C45,"CS_EVENT_DATEJ_N("&amp;$AA$18&amp;",4)")</f>
        <v>46464</v>
      </c>
      <c r="W45" s="282" t="str" cm="1">
        <f t="array" ref="W45">_xll.FDSB($C45,"CS_EVENT_TIME_N("&amp;$AA$18&amp;",4)")</f>
        <v>Unspecified</v>
      </c>
      <c r="X45" s="282" t="str" cm="1">
        <f t="array" ref="X45">_xll.FDSB($C45,"CS_EVENT_DESC_N("&amp;$AA$18&amp;",4)")</f>
        <v>Q3 2027 Earnings Release (Projected)</v>
      </c>
      <c r="Z45" s="308"/>
      <c r="AA45" s="308"/>
      <c r="AB45" s="233"/>
      <c r="AC45" s="233"/>
      <c r="AD45" s="233"/>
      <c r="AE45" s="233"/>
      <c r="AF45" s="233"/>
      <c r="AG45" s="233"/>
      <c r="AH45" s="233"/>
    </row>
    <row r="46" spans="1:34" x14ac:dyDescent="0.15">
      <c r="B46" s="298">
        <f t="shared" si="1"/>
        <v>31</v>
      </c>
      <c r="C46" s="299" t="str">
        <v>MKC</v>
      </c>
      <c r="D46" s="300" t="str" cm="1">
        <f t="array" ref="D46">_xll.FDSB($C46,"FG_COMPANY_NAME")</f>
        <v>McCormick &amp; Company, Incorporated</v>
      </c>
      <c r="E46" s="300"/>
      <c r="F46" s="274" cm="1">
        <f t="array" ref="F46">_xll.FDSB($C46,"CS_EVENT_DATEJ_N("&amp;$AA$18&amp;",1)")</f>
        <v>46198</v>
      </c>
      <c r="G46" s="282" t="str" cm="1">
        <f t="array" ref="G46">_xll.FDSB($C46,"CS_EVENT_TIME_N("&amp;$AA$18&amp;",1)")</f>
        <v>Unspecified</v>
      </c>
      <c r="H46" s="282" t="str" cm="1">
        <f t="array" ref="H46">_xll.FDSB($C46,"CS_EVENT_DESC_N("&amp;$AA$18&amp;",1)")</f>
        <v>Q2 2026 Earnings Release (Projected)</v>
      </c>
      <c r="I46" s="282"/>
      <c r="J46" s="274" t="str" cm="1">
        <f t="array" ref="J46">_xll.FDSB($C46,"CS_EVENT_DATEJ_N("&amp;$AB$18&amp;",1)")</f>
        <v/>
      </c>
      <c r="K46" s="282" t="str" cm="1">
        <f t="array" ref="K46">_xll.FDSB($C46,"CS_EVENT_TIME_N("&amp;$AB$18&amp;",1)")</f>
        <v/>
      </c>
      <c r="L46" s="282" t="str" cm="1">
        <f t="array" ref="L46">_xll.FDSB($C46,"CS_EVENT_DESC_N("&amp;$AB$18&amp;",1)")</f>
        <v/>
      </c>
      <c r="M46" s="300"/>
      <c r="N46" s="274" cm="1">
        <f t="array" ref="N46">_xll.FDSB($C46,"CS_EVENT_DATEJ_N("&amp;$AA$18&amp;",2)")</f>
        <v>46301</v>
      </c>
      <c r="O46" s="282" t="str" cm="1">
        <f t="array" ref="O46">_xll.FDSB($C46,"CS_EVENT_TIME_N("&amp;$AA$18&amp;",2)")</f>
        <v>Unspecified</v>
      </c>
      <c r="P46" s="282" t="str" cm="1">
        <f t="array" ref="P46">_xll.FDSB($C46,"CS_EVENT_DESC_N("&amp;$AA$18&amp;",2)")</f>
        <v>Q3 2026 Earnings Release (Projected)</v>
      </c>
      <c r="Q46" s="282"/>
      <c r="R46" s="274" cm="1">
        <f t="array" ref="R46">_xll.FDSB($C46,"CS_EVENT_DATEJ_N("&amp;$AA$18&amp;",3)")</f>
        <v>46415</v>
      </c>
      <c r="S46" s="282" t="str" cm="1">
        <f t="array" ref="S46">_xll.FDSB($C46,"CS_EVENT_TIME_N("&amp;$AA$18&amp;",3)")</f>
        <v>Unspecified</v>
      </c>
      <c r="T46" s="282" t="str" cm="1">
        <f t="array" ref="T46">_xll.FDSB($C46,"CS_EVENT_DESC_N("&amp;$AA$18&amp;",3)")</f>
        <v>Q4 2026 Earnings Release (Projected)</v>
      </c>
      <c r="U46" s="282"/>
      <c r="V46" s="274" cm="1">
        <f t="array" ref="V46">_xll.FDSB($C46,"CS_EVENT_DATEJ_N("&amp;$AA$18&amp;",4)")</f>
        <v>46476</v>
      </c>
      <c r="W46" s="282" t="str" cm="1">
        <f t="array" ref="W46">_xll.FDSB($C46,"CS_EVENT_TIME_N("&amp;$AA$18&amp;",4)")</f>
        <v>Unspecified</v>
      </c>
      <c r="X46" s="282" t="str" cm="1">
        <f t="array" ref="X46">_xll.FDSB($C46,"CS_EVENT_DESC_N("&amp;$AA$18&amp;",4)")</f>
        <v>Q1 2027 Earnings Release (Projected)</v>
      </c>
      <c r="Z46" s="313" t="s">
        <v>168</v>
      </c>
      <c r="AA46" s="313"/>
      <c r="AB46" s="233"/>
      <c r="AC46" s="233"/>
      <c r="AD46" s="233"/>
      <c r="AE46" s="233"/>
      <c r="AF46" s="233"/>
      <c r="AG46" s="233"/>
      <c r="AH46" s="233"/>
    </row>
    <row r="47" spans="1:34" x14ac:dyDescent="0.15">
      <c r="B47" s="298">
        <f t="shared" si="1"/>
        <v>32</v>
      </c>
      <c r="C47" s="299" t="str">
        <v>NKE</v>
      </c>
      <c r="D47" s="300" t="str" cm="1">
        <f t="array" ref="D47">_xll.FDSB($C47,"FG_COMPANY_NAME")</f>
        <v>NIKE, Inc. Class B</v>
      </c>
      <c r="E47" s="300"/>
      <c r="F47" s="274" cm="1">
        <f t="array" ref="F47">_xll.FDSB($C47,"CS_EVENT_DATEJ_N("&amp;$AA$18&amp;",1)")</f>
        <v>46198</v>
      </c>
      <c r="G47" s="282" t="str" cm="1">
        <f t="array" ref="G47">_xll.FDSB($C47,"CS_EVENT_TIME_N("&amp;$AA$18&amp;",1)")</f>
        <v>Unspecified</v>
      </c>
      <c r="H47" s="282" t="str" cm="1">
        <f t="array" ref="H47">_xll.FDSB($C47,"CS_EVENT_DESC_N("&amp;$AA$18&amp;",1)")</f>
        <v>Q4 2026 Earnings Release (Projected)</v>
      </c>
      <c r="I47" s="282"/>
      <c r="J47" s="274" t="str" cm="1">
        <f t="array" ref="J47">_xll.FDSB($C47,"CS_EVENT_DATEJ_N("&amp;$AB$18&amp;",1)")</f>
        <v/>
      </c>
      <c r="K47" s="282" t="str" cm="1">
        <f t="array" ref="K47">_xll.FDSB($C47,"CS_EVENT_TIME_N("&amp;$AB$18&amp;",1)")</f>
        <v/>
      </c>
      <c r="L47" s="282" t="str" cm="1">
        <f t="array" ref="L47">_xll.FDSB($C47,"CS_EVENT_DESC_N("&amp;$AB$18&amp;",1)")</f>
        <v/>
      </c>
      <c r="M47" s="300"/>
      <c r="N47" s="274" cm="1">
        <f t="array" ref="N47">_xll.FDSB($C47,"CS_EVENT_DATEJ_N("&amp;$AA$18&amp;",2)")</f>
        <v>46289</v>
      </c>
      <c r="O47" s="282" t="str" cm="1">
        <f t="array" ref="O47">_xll.FDSB($C47,"CS_EVENT_TIME_N("&amp;$AA$18&amp;",2)")</f>
        <v>Unspecified</v>
      </c>
      <c r="P47" s="282" t="str" cm="1">
        <f t="array" ref="P47">_xll.FDSB($C47,"CS_EVENT_DESC_N("&amp;$AA$18&amp;",2)")</f>
        <v>Q1 2027 Earnings Release (Projected)</v>
      </c>
      <c r="Q47" s="282"/>
      <c r="R47" s="274" cm="1">
        <f t="array" ref="R47">_xll.FDSB($C47,"CS_EVENT_DATEJ_N("&amp;$AA$18&amp;",3)")</f>
        <v>46373</v>
      </c>
      <c r="S47" s="282" t="str" cm="1">
        <f t="array" ref="S47">_xll.FDSB($C47,"CS_EVENT_TIME_N("&amp;$AA$18&amp;",3)")</f>
        <v>Unspecified</v>
      </c>
      <c r="T47" s="282" t="str" cm="1">
        <f t="array" ref="T47">_xll.FDSB($C47,"CS_EVENT_DESC_N("&amp;$AA$18&amp;",3)")</f>
        <v>Q2 2027 Earnings Release (Projected)</v>
      </c>
      <c r="U47" s="282"/>
      <c r="V47" s="274" cm="1">
        <f t="array" ref="V47">_xll.FDSB($C47,"CS_EVENT_DATEJ_N("&amp;$AA$18&amp;",4)")</f>
        <v>46471</v>
      </c>
      <c r="W47" s="282" t="str" cm="1">
        <f t="array" ref="W47">_xll.FDSB($C47,"CS_EVENT_TIME_N("&amp;$AA$18&amp;",4)")</f>
        <v>Unspecified</v>
      </c>
      <c r="X47" s="282" t="str" cm="1">
        <f t="array" ref="X47">_xll.FDSB($C47,"CS_EVENT_DESC_N("&amp;$AA$18&amp;",4)")</f>
        <v>Q3 2027 Earnings Release (Projected)</v>
      </c>
      <c r="Z47" s="308" t="s">
        <v>169</v>
      </c>
      <c r="AA47" s="308">
        <v>180555</v>
      </c>
      <c r="AB47" s="314" cm="1">
        <f t="array" ref="AB47">_xll.FDS(AA47,"count(FG_CONSTITUENTS)")</f>
        <v>0</v>
      </c>
      <c r="AC47" s="233"/>
      <c r="AD47" s="233"/>
      <c r="AE47" s="233"/>
      <c r="AF47" s="233"/>
      <c r="AG47" s="233"/>
      <c r="AH47" s="233"/>
    </row>
    <row r="48" spans="1:34" x14ac:dyDescent="0.15">
      <c r="B48" s="298">
        <f t="shared" si="1"/>
        <v>33</v>
      </c>
      <c r="C48" s="299" t="str">
        <v>CCL</v>
      </c>
      <c r="D48" s="300" t="str" cm="1">
        <f t="array" ref="D48">_xll.FDSB($C48,"FG_COMPANY_NAME")</f>
        <v>Carnival Corporation Ltd.</v>
      </c>
      <c r="E48" s="300"/>
      <c r="F48" s="274" cm="1">
        <f t="array" ref="F48">_xll.FDSB($C48,"CS_EVENT_DATEJ_N("&amp;$AA$18&amp;",1)")</f>
        <v>46203</v>
      </c>
      <c r="G48" s="282" t="str" cm="1">
        <f t="array" ref="G48">_xll.FDSB($C48,"CS_EVENT_TIME_N("&amp;$AA$18&amp;",1)")</f>
        <v>Unspecified</v>
      </c>
      <c r="H48" s="282" t="str" cm="1">
        <f t="array" ref="H48">_xll.FDSB($C48,"CS_EVENT_DESC_N("&amp;$AA$18&amp;",1)")</f>
        <v>Q2 2026 Earnings Release (Projected)</v>
      </c>
      <c r="I48" s="282"/>
      <c r="J48" s="274" t="str" cm="1">
        <f t="array" ref="J48">_xll.FDSB($C48,"CS_EVENT_DATEJ_N("&amp;$AB$18&amp;",1)")</f>
        <v/>
      </c>
      <c r="K48" s="282" t="str" cm="1">
        <f t="array" ref="K48">_xll.FDSB($C48,"CS_EVENT_TIME_N("&amp;$AB$18&amp;",1)")</f>
        <v/>
      </c>
      <c r="L48" s="282" t="str" cm="1">
        <f t="array" ref="L48">_xll.FDSB($C48,"CS_EVENT_DESC_N("&amp;$AB$18&amp;",1)")</f>
        <v/>
      </c>
      <c r="M48" s="300"/>
      <c r="N48" s="274" cm="1">
        <f t="array" ref="N48">_xll.FDSB($C48,"CS_EVENT_DATEJ_N("&amp;$AA$18&amp;",2)")</f>
        <v>46282</v>
      </c>
      <c r="O48" s="282" t="str" cm="1">
        <f t="array" ref="O48">_xll.FDSB($C48,"CS_EVENT_TIME_N("&amp;$AA$18&amp;",2)")</f>
        <v>Unspecified</v>
      </c>
      <c r="P48" s="282" t="str" cm="1">
        <f t="array" ref="P48">_xll.FDSB($C48,"CS_EVENT_DESC_N("&amp;$AA$18&amp;",2)")</f>
        <v>Q3 2026 Earnings Release (Projected)</v>
      </c>
      <c r="Q48" s="282"/>
      <c r="R48" s="274" cm="1">
        <f t="array" ref="R48">_xll.FDSB($C48,"CS_EVENT_DATEJ_N("&amp;$AA$18&amp;",3)")</f>
        <v>46374</v>
      </c>
      <c r="S48" s="282" t="str" cm="1">
        <f t="array" ref="S48">_xll.FDSB($C48,"CS_EVENT_TIME_N("&amp;$AA$18&amp;",3)")</f>
        <v>Unspecified</v>
      </c>
      <c r="T48" s="282" t="str" cm="1">
        <f t="array" ref="T48">_xll.FDSB($C48,"CS_EVENT_DESC_N("&amp;$AA$18&amp;",3)")</f>
        <v>Q4 2026 Earnings Release (Projected)</v>
      </c>
      <c r="U48" s="282"/>
      <c r="V48" s="274" cm="1">
        <f t="array" ref="V48">_xll.FDSB($C48,"CS_EVENT_DATEJ_N("&amp;$AA$18&amp;",4)")</f>
        <v>46477</v>
      </c>
      <c r="W48" s="282" t="str" cm="1">
        <f t="array" ref="W48">_xll.FDSB($C48,"CS_EVENT_TIME_N("&amp;$AA$18&amp;",4)")</f>
        <v>Unspecified</v>
      </c>
      <c r="X48" s="282" t="str" cm="1">
        <f t="array" ref="X48">_xll.FDSB($C48,"CS_EVENT_DESC_N("&amp;$AA$18&amp;",4)")</f>
        <v>Q1 2027 Earnings Release (Projected)</v>
      </c>
      <c r="Z48" s="308" t="s">
        <v>170</v>
      </c>
      <c r="AA48" s="308">
        <v>186800</v>
      </c>
      <c r="AB48" s="314" cm="1">
        <f t="array" ref="AB48">_xll.FDS(AA48,"count(FG_CONSTITUENTS)")</f>
        <v>0</v>
      </c>
      <c r="AC48" s="233"/>
      <c r="AD48" s="233"/>
      <c r="AE48" s="233"/>
      <c r="AF48" s="233"/>
      <c r="AG48" s="233"/>
      <c r="AH48" s="233"/>
    </row>
    <row r="49" spans="2:34" x14ac:dyDescent="0.15">
      <c r="B49" s="298">
        <f t="shared" si="1"/>
        <v>34</v>
      </c>
      <c r="C49" s="299" t="str">
        <v>GIS</v>
      </c>
      <c r="D49" s="300" t="str" cm="1">
        <f t="array" ref="D49">_xll.FDSB($C49,"FG_COMPANY_NAME")</f>
        <v>General Mills, Inc.</v>
      </c>
      <c r="E49" s="300"/>
      <c r="F49" s="274" cm="1">
        <f t="array" ref="F49">_xll.FDSB($C49,"CS_EVENT_DATEJ_N("&amp;$AA$18&amp;",1)")</f>
        <v>46204</v>
      </c>
      <c r="G49" s="282" t="str" cm="1">
        <f t="array" ref="G49">_xll.FDSB($C49,"CS_EVENT_TIME_N("&amp;$AA$18&amp;",1)")</f>
        <v>Unspecified</v>
      </c>
      <c r="H49" s="282" t="str" cm="1">
        <f t="array" ref="H49">_xll.FDSB($C49,"CS_EVENT_DESC_N("&amp;$AA$18&amp;",1)")</f>
        <v>Q4 2026 Earnings Release (Projected)</v>
      </c>
      <c r="I49" s="282"/>
      <c r="J49" s="274" t="str" cm="1">
        <f t="array" ref="J49">_xll.FDSB($C49,"CS_EVENT_DATEJ_N("&amp;$AB$18&amp;",1)")</f>
        <v/>
      </c>
      <c r="K49" s="282" t="str" cm="1">
        <f t="array" ref="K49">_xll.FDSB($C49,"CS_EVENT_TIME_N("&amp;$AB$18&amp;",1)")</f>
        <v/>
      </c>
      <c r="L49" s="282" t="str" cm="1">
        <f t="array" ref="L49">_xll.FDSB($C49,"CS_EVENT_DESC_N("&amp;$AB$18&amp;",1)")</f>
        <v/>
      </c>
      <c r="M49" s="300"/>
      <c r="N49" s="274" cm="1">
        <f t="array" ref="N49">_xll.FDSB($C49,"CS_EVENT_DATEJ_N("&amp;$AA$18&amp;",2)")</f>
        <v>46288</v>
      </c>
      <c r="O49" s="282" t="str" cm="1">
        <f t="array" ref="O49">_xll.FDSB($C49,"CS_EVENT_TIME_N("&amp;$AA$18&amp;",2)")</f>
        <v>Unspecified</v>
      </c>
      <c r="P49" s="282" t="str" cm="1">
        <f t="array" ref="P49">_xll.FDSB($C49,"CS_EVENT_DESC_N("&amp;$AA$18&amp;",2)")</f>
        <v>Q1 2027 Earnings Release (Projected)</v>
      </c>
      <c r="Q49" s="282"/>
      <c r="R49" s="274" cm="1">
        <f t="array" ref="R49">_xll.FDSB($C49,"CS_EVENT_DATEJ_N("&amp;$AA$18&amp;",3)")</f>
        <v>46379</v>
      </c>
      <c r="S49" s="282" t="str" cm="1">
        <f t="array" ref="S49">_xll.FDSB($C49,"CS_EVENT_TIME_N("&amp;$AA$18&amp;",3)")</f>
        <v>Unspecified</v>
      </c>
      <c r="T49" s="282" t="str" cm="1">
        <f t="array" ref="T49">_xll.FDSB($C49,"CS_EVENT_DESC_N("&amp;$AA$18&amp;",3)")</f>
        <v>Q2 2027 Earnings Release (Projected)</v>
      </c>
      <c r="U49" s="282"/>
      <c r="V49" s="274" cm="1">
        <f t="array" ref="V49">_xll.FDSB($C49,"CS_EVENT_DATEJ_N("&amp;$AA$18&amp;",4)")</f>
        <v>46470</v>
      </c>
      <c r="W49" s="282" t="str" cm="1">
        <f t="array" ref="W49">_xll.FDSB($C49,"CS_EVENT_TIME_N("&amp;$AA$18&amp;",4)")</f>
        <v>Unspecified</v>
      </c>
      <c r="X49" s="282" t="str" cm="1">
        <f t="array" ref="X49">_xll.FDSB($C49,"CS_EVENT_DESC_N("&amp;$AA$18&amp;",4)")</f>
        <v>Q3 2027 Earnings Release (Projected)</v>
      </c>
      <c r="Z49" s="308" t="s">
        <v>171</v>
      </c>
      <c r="AA49" s="308">
        <v>186801</v>
      </c>
      <c r="AB49" s="314" cm="1">
        <f t="array" ref="AB49">_xll.FDS(AA49,"count(FG_CONSTITUENTS)")</f>
        <v>0</v>
      </c>
      <c r="AC49" s="233"/>
      <c r="AD49" s="233"/>
      <c r="AE49" s="233"/>
      <c r="AF49" s="233"/>
      <c r="AG49" s="233"/>
      <c r="AH49" s="233"/>
    </row>
    <row r="50" spans="2:34" x14ac:dyDescent="0.15">
      <c r="B50" s="298">
        <f t="shared" si="1"/>
        <v>35</v>
      </c>
      <c r="C50" s="299" t="str">
        <v>MU</v>
      </c>
      <c r="D50" s="300" t="str" cm="1">
        <f t="array" ref="D50">_xll.FDSB($C50,"FG_COMPANY_NAME")</f>
        <v>Micron Technology, Inc.</v>
      </c>
      <c r="E50" s="300"/>
      <c r="F50" s="274" cm="1">
        <f t="array" ref="F50">_xll.FDSB($C50,"CS_EVENT_DATEJ_N("&amp;$AA$18&amp;",1)")</f>
        <v>46204</v>
      </c>
      <c r="G50" s="282" t="str" cm="1">
        <f t="array" ref="G50">_xll.FDSB($C50,"CS_EVENT_TIME_N("&amp;$AA$18&amp;",1)")</f>
        <v>Unspecified</v>
      </c>
      <c r="H50" s="282" t="str" cm="1">
        <f t="array" ref="H50">_xll.FDSB($C50,"CS_EVENT_DESC_N("&amp;$AA$18&amp;",1)")</f>
        <v>Q3 2026 Earnings Release (Projected)</v>
      </c>
      <c r="I50" s="282"/>
      <c r="J50" s="274" t="str" cm="1">
        <f t="array" ref="J50">_xll.FDSB($C50,"CS_EVENT_DATEJ_N("&amp;$AB$18&amp;",1)")</f>
        <v/>
      </c>
      <c r="K50" s="282" t="str" cm="1">
        <f t="array" ref="K50">_xll.FDSB($C50,"CS_EVENT_TIME_N("&amp;$AB$18&amp;",1)")</f>
        <v/>
      </c>
      <c r="L50" s="282" t="str" cm="1">
        <f t="array" ref="L50">_xll.FDSB($C50,"CS_EVENT_DESC_N("&amp;$AB$18&amp;",1)")</f>
        <v/>
      </c>
      <c r="M50" s="300"/>
      <c r="N50" s="274" cm="1">
        <f t="array" ref="N50">_xll.FDSB($C50,"CS_EVENT_DATEJ_N("&amp;$AA$18&amp;",2)")</f>
        <v>46294</v>
      </c>
      <c r="O50" s="282" t="str" cm="1">
        <f t="array" ref="O50">_xll.FDSB($C50,"CS_EVENT_TIME_N("&amp;$AA$18&amp;",2)")</f>
        <v>Unspecified</v>
      </c>
      <c r="P50" s="282" t="str" cm="1">
        <f t="array" ref="P50">_xll.FDSB($C50,"CS_EVENT_DESC_N("&amp;$AA$18&amp;",2)")</f>
        <v>Q4 2026 Earnings Release (Projected)</v>
      </c>
      <c r="Q50" s="282"/>
      <c r="R50" s="274" cm="1">
        <f t="array" ref="R50">_xll.FDSB($C50,"CS_EVENT_DATEJ_N("&amp;$AA$18&amp;",3)")</f>
        <v>46379</v>
      </c>
      <c r="S50" s="282" t="str" cm="1">
        <f t="array" ref="S50">_xll.FDSB($C50,"CS_EVENT_TIME_N("&amp;$AA$18&amp;",3)")</f>
        <v>Unspecified</v>
      </c>
      <c r="T50" s="282" t="str" cm="1">
        <f t="array" ref="T50">_xll.FDSB($C50,"CS_EVENT_DESC_N("&amp;$AA$18&amp;",3)")</f>
        <v>Q1 2027 Earnings Release (Projected)</v>
      </c>
      <c r="U50" s="282"/>
      <c r="V50" s="274" cm="1">
        <f t="array" ref="V50">_xll.FDSB($C50,"CS_EVENT_DATEJ_N("&amp;$AA$18&amp;",4)")</f>
        <v>46476</v>
      </c>
      <c r="W50" s="282" t="str" cm="1">
        <f t="array" ref="W50">_xll.FDSB($C50,"CS_EVENT_TIME_N("&amp;$AA$18&amp;",4)")</f>
        <v>Unspecified</v>
      </c>
      <c r="X50" s="282" t="str" cm="1">
        <f t="array" ref="X50">_xll.FDSB($C50,"CS_EVENT_DESC_N("&amp;$AA$18&amp;",4)")</f>
        <v>Q2 2027 Earnings Release (Projected)</v>
      </c>
      <c r="Z50" s="308" t="s">
        <v>172</v>
      </c>
      <c r="AA50" s="308">
        <v>180554</v>
      </c>
      <c r="AB50" s="314" cm="1">
        <f t="array" ref="AB50">_xll.FDS(AA50,"count(FG_CONSTITUENTS)")</f>
        <v>0</v>
      </c>
      <c r="AC50" s="233"/>
      <c r="AD50" s="233"/>
      <c r="AE50" s="233"/>
      <c r="AF50" s="233"/>
      <c r="AG50" s="233"/>
      <c r="AH50" s="233"/>
    </row>
    <row r="51" spans="2:34" x14ac:dyDescent="0.15">
      <c r="B51" s="298">
        <f t="shared" si="1"/>
        <v>36</v>
      </c>
      <c r="C51" s="299" t="str">
        <v>PAYX</v>
      </c>
      <c r="D51" s="300" t="str" cm="1">
        <f t="array" ref="D51">_xll.FDSB($C51,"FG_COMPANY_NAME")</f>
        <v>Paychex, Inc.</v>
      </c>
      <c r="E51" s="300"/>
      <c r="F51" s="274" cm="1">
        <f t="array" ref="F51">_xll.FDSB($C51,"CS_EVENT_DATEJ_N("&amp;$AA$18&amp;",1)")</f>
        <v>46204</v>
      </c>
      <c r="G51" s="282" t="str" cm="1">
        <f t="array" ref="G51">_xll.FDSB($C51,"CS_EVENT_TIME_N("&amp;$AA$18&amp;",1)")</f>
        <v>Unspecified</v>
      </c>
      <c r="H51" s="282" t="str" cm="1">
        <f t="array" ref="H51">_xll.FDSB($C51,"CS_EVENT_DESC_N("&amp;$AA$18&amp;",1)")</f>
        <v>Q4 2026 Earnings Release (Projected)</v>
      </c>
      <c r="I51" s="282"/>
      <c r="J51" s="274" t="str" cm="1">
        <f t="array" ref="J51">_xll.FDSB($C51,"CS_EVENT_DATEJ_N("&amp;$AB$18&amp;",1)")</f>
        <v/>
      </c>
      <c r="K51" s="282" t="str" cm="1">
        <f t="array" ref="K51">_xll.FDSB($C51,"CS_EVENT_TIME_N("&amp;$AB$18&amp;",1)")</f>
        <v/>
      </c>
      <c r="L51" s="282" t="str" cm="1">
        <f t="array" ref="L51">_xll.FDSB($C51,"CS_EVENT_DESC_N("&amp;$AB$18&amp;",1)")</f>
        <v/>
      </c>
      <c r="M51" s="300"/>
      <c r="N51" s="274" cm="1">
        <f t="array" ref="N51">_xll.FDSB($C51,"CS_EVENT_DATEJ_N("&amp;$AA$18&amp;",2)")</f>
        <v>46295</v>
      </c>
      <c r="O51" s="282" t="str" cm="1">
        <f t="array" ref="O51">_xll.FDSB($C51,"CS_EVENT_TIME_N("&amp;$AA$18&amp;",2)")</f>
        <v>Unspecified</v>
      </c>
      <c r="P51" s="282" t="str" cm="1">
        <f t="array" ref="P51">_xll.FDSB($C51,"CS_EVENT_DESC_N("&amp;$AA$18&amp;",2)")</f>
        <v>Q1 2027 Earnings Release (Projected)</v>
      </c>
      <c r="Q51" s="282"/>
      <c r="R51" s="274" cm="1">
        <f t="array" ref="R51">_xll.FDSB($C51,"CS_EVENT_DATEJ_N("&amp;$AA$18&amp;",3)")</f>
        <v>46373</v>
      </c>
      <c r="S51" s="282" t="str" cm="1">
        <f t="array" ref="S51">_xll.FDSB($C51,"CS_EVENT_TIME_N("&amp;$AA$18&amp;",3)")</f>
        <v>Unspecified</v>
      </c>
      <c r="T51" s="282" t="str" cm="1">
        <f t="array" ref="T51">_xll.FDSB($C51,"CS_EVENT_DESC_N("&amp;$AA$18&amp;",3)")</f>
        <v>Q2 2027 Earnings Release (Projected)</v>
      </c>
      <c r="U51" s="282"/>
      <c r="V51" s="274" cm="1">
        <f t="array" ref="V51">_xll.FDSB($C51,"CS_EVENT_DATEJ_N("&amp;$AA$18&amp;",4)")</f>
        <v>46477</v>
      </c>
      <c r="W51" s="282" t="str" cm="1">
        <f t="array" ref="W51">_xll.FDSB($C51,"CS_EVENT_TIME_N("&amp;$AA$18&amp;",4)")</f>
        <v>Unspecified</v>
      </c>
      <c r="X51" s="282" t="str" cm="1">
        <f t="array" ref="X51">_xll.FDSB($C51,"CS_EVENT_DESC_N("&amp;$AA$18&amp;",4)")</f>
        <v>Q3 2027 Earnings Release (Projected)</v>
      </c>
      <c r="Z51" s="308" t="s">
        <v>173</v>
      </c>
      <c r="AA51" s="308">
        <v>181510</v>
      </c>
      <c r="AB51" s="314" cm="1">
        <f t="array" ref="AB51">_xll.FDS(AA51,"count(FG_CONSTITUENTS)")</f>
        <v>0</v>
      </c>
      <c r="AC51" s="233"/>
      <c r="AD51" s="233"/>
      <c r="AE51" s="233"/>
      <c r="AF51" s="233"/>
      <c r="AG51" s="233"/>
      <c r="AH51" s="233"/>
    </row>
    <row r="52" spans="2:34" x14ac:dyDescent="0.15">
      <c r="B52" s="298">
        <f t="shared" si="1"/>
        <v>37</v>
      </c>
      <c r="C52" s="299" t="str">
        <v>STZ</v>
      </c>
      <c r="D52" s="300" t="str" cm="1">
        <f t="array" ref="D52">_xll.FDSB($C52,"FG_COMPANY_NAME")</f>
        <v>Constellation Brands, Inc. Class A</v>
      </c>
      <c r="E52" s="300"/>
      <c r="F52" s="274" cm="1">
        <f t="array" ref="F52">_xll.FDSB($C52,"CS_EVENT_DATEJ_N("&amp;$AA$18&amp;",1)")</f>
        <v>46211</v>
      </c>
      <c r="G52" s="282" t="str" cm="1">
        <f t="array" ref="G52">_xll.FDSB($C52,"CS_EVENT_TIME_N("&amp;$AA$18&amp;",1)")</f>
        <v>Unspecified</v>
      </c>
      <c r="H52" s="282" t="str" cm="1">
        <f t="array" ref="H52">_xll.FDSB($C52,"CS_EVENT_DESC_N("&amp;$AA$18&amp;",1)")</f>
        <v>Q1 2027 Earnings Release (Projected)</v>
      </c>
      <c r="I52" s="282"/>
      <c r="J52" s="274" t="str" cm="1">
        <f t="array" ref="J52">_xll.FDSB($C52,"CS_EVENT_DATEJ_N("&amp;$AB$18&amp;",1)")</f>
        <v/>
      </c>
      <c r="K52" s="282" t="str" cm="1">
        <f t="array" ref="K52">_xll.FDSB($C52,"CS_EVENT_TIME_N("&amp;$AB$18&amp;",1)")</f>
        <v/>
      </c>
      <c r="L52" s="282" t="str" cm="1">
        <f t="array" ref="L52">_xll.FDSB($C52,"CS_EVENT_DESC_N("&amp;$AB$18&amp;",1)")</f>
        <v/>
      </c>
      <c r="M52" s="300"/>
      <c r="N52" s="274" cm="1">
        <f t="array" ref="N52">_xll.FDSB($C52,"CS_EVENT_DATEJ_N("&amp;$AA$18&amp;",2)")</f>
        <v>46296</v>
      </c>
      <c r="O52" s="282" t="str" cm="1">
        <f t="array" ref="O52">_xll.FDSB($C52,"CS_EVENT_TIME_N("&amp;$AA$18&amp;",2)")</f>
        <v>Unspecified</v>
      </c>
      <c r="P52" s="282" t="str" cm="1">
        <f t="array" ref="P52">_xll.FDSB($C52,"CS_EVENT_DESC_N("&amp;$AA$18&amp;",2)")</f>
        <v>Q2 2027 Earnings Release (Projected)</v>
      </c>
      <c r="Q52" s="282"/>
      <c r="R52" s="274" cm="1">
        <f t="array" ref="R52">_xll.FDSB($C52,"CS_EVENT_DATEJ_N("&amp;$AA$18&amp;",3)")</f>
        <v>46394</v>
      </c>
      <c r="S52" s="282" t="str" cm="1">
        <f t="array" ref="S52">_xll.FDSB($C52,"CS_EVENT_TIME_N("&amp;$AA$18&amp;",3)")</f>
        <v>Unspecified</v>
      </c>
      <c r="T52" s="282" t="str" cm="1">
        <f t="array" ref="T52">_xll.FDSB($C52,"CS_EVENT_DESC_N("&amp;$AA$18&amp;",3)")</f>
        <v>Q3 2027 Earnings Release (Projected)</v>
      </c>
      <c r="U52" s="282"/>
      <c r="V52" s="274" t="str" cm="1">
        <f t="array" ref="V52">_xll.FDSB($C52,"CS_EVENT_DATEJ_N("&amp;$AA$18&amp;",4)")</f>
        <v/>
      </c>
      <c r="W52" s="282" t="str" cm="1">
        <f t="array" ref="W52">_xll.FDSB($C52,"CS_EVENT_TIME_N("&amp;$AA$18&amp;",4)")</f>
        <v/>
      </c>
      <c r="X52" s="282" t="str" cm="1">
        <f t="array" ref="X52">_xll.FDSB($C52,"CS_EVENT_DESC_N("&amp;$AA$18&amp;",4)")</f>
        <v/>
      </c>
      <c r="Z52" s="308" t="s">
        <v>174</v>
      </c>
      <c r="AA52" s="308">
        <v>187653</v>
      </c>
      <c r="AB52" s="314" cm="1">
        <f t="array" ref="AB52">_xll.FDS(AA52,"count(FG_CONSTITUENTS)")</f>
        <v>40</v>
      </c>
      <c r="AC52" s="233"/>
      <c r="AD52" s="233"/>
      <c r="AE52" s="233"/>
      <c r="AF52" s="233"/>
      <c r="AG52" s="233"/>
      <c r="AH52" s="233"/>
    </row>
    <row r="53" spans="2:34" x14ac:dyDescent="0.15">
      <c r="B53" s="298">
        <f t="shared" si="1"/>
        <v>38</v>
      </c>
      <c r="C53" s="299" t="str">
        <v>CTAS</v>
      </c>
      <c r="D53" s="300" t="str" cm="1">
        <f t="array" ref="D53">_xll.FDSB($C53,"FG_COMPANY_NAME")</f>
        <v>Cintas Corporation</v>
      </c>
      <c r="E53" s="300"/>
      <c r="F53" s="274" cm="1">
        <f t="array" ref="F53">_xll.FDSB($C53,"CS_EVENT_DATEJ_N("&amp;$AA$18&amp;",1)")</f>
        <v>46212</v>
      </c>
      <c r="G53" s="282" t="str" cm="1">
        <f t="array" ref="G53">_xll.FDSB($C53,"CS_EVENT_TIME_N("&amp;$AA$18&amp;",1)")</f>
        <v>Unspecified</v>
      </c>
      <c r="H53" s="282" t="str" cm="1">
        <f t="array" ref="H53">_xll.FDSB($C53,"CS_EVENT_DESC_N("&amp;$AA$18&amp;",1)")</f>
        <v>Q4 2026 Earnings Release (Projected)</v>
      </c>
      <c r="I53" s="282"/>
      <c r="J53" s="274" t="str" cm="1">
        <f t="array" ref="J53">_xll.FDSB($C53,"CS_EVENT_DATEJ_N("&amp;$AB$18&amp;",1)")</f>
        <v/>
      </c>
      <c r="K53" s="282" t="str" cm="1">
        <f t="array" ref="K53">_xll.FDSB($C53,"CS_EVENT_TIME_N("&amp;$AB$18&amp;",1)")</f>
        <v/>
      </c>
      <c r="L53" s="282" t="str" cm="1">
        <f t="array" ref="L53">_xll.FDSB($C53,"CS_EVENT_DESC_N("&amp;$AB$18&amp;",1)")</f>
        <v/>
      </c>
      <c r="M53" s="300"/>
      <c r="N53" s="274" cm="1">
        <f t="array" ref="N53">_xll.FDSB($C53,"CS_EVENT_DATEJ_N("&amp;$AA$18&amp;",2)")</f>
        <v>46295</v>
      </c>
      <c r="O53" s="282" t="str" cm="1">
        <f t="array" ref="O53">_xll.FDSB($C53,"CS_EVENT_TIME_N("&amp;$AA$18&amp;",2)")</f>
        <v>Unspecified</v>
      </c>
      <c r="P53" s="282" t="str" cm="1">
        <f t="array" ref="P53">_xll.FDSB($C53,"CS_EVENT_DESC_N("&amp;$AA$18&amp;",2)")</f>
        <v>Q1 2027 Earnings Release (Projected)</v>
      </c>
      <c r="Q53" s="282"/>
      <c r="R53" s="274" cm="1">
        <f t="array" ref="R53">_xll.FDSB($C53,"CS_EVENT_DATEJ_N("&amp;$AA$18&amp;",3)")</f>
        <v>46373</v>
      </c>
      <c r="S53" s="282" t="str" cm="1">
        <f t="array" ref="S53">_xll.FDSB($C53,"CS_EVENT_TIME_N("&amp;$AA$18&amp;",3)")</f>
        <v>Unspecified</v>
      </c>
      <c r="T53" s="282" t="str" cm="1">
        <f t="array" ref="T53">_xll.FDSB($C53,"CS_EVENT_DESC_N("&amp;$AA$18&amp;",3)")</f>
        <v>Q2 2027 Earnings Release (Projected)</v>
      </c>
      <c r="U53" s="282"/>
      <c r="V53" s="274" cm="1">
        <f t="array" ref="V53">_xll.FDSB($C53,"CS_EVENT_DATEJ_N("&amp;$AA$18&amp;",4)")</f>
        <v>46477</v>
      </c>
      <c r="W53" s="282" t="str" cm="1">
        <f t="array" ref="W53">_xll.FDSB($C53,"CS_EVENT_TIME_N("&amp;$AA$18&amp;",4)")</f>
        <v>Unspecified</v>
      </c>
      <c r="X53" s="282" t="str" cm="1">
        <f t="array" ref="X53">_xll.FDSB($C53,"CS_EVENT_DESC_N("&amp;$AA$18&amp;",4)")</f>
        <v>Q3 2027 Earnings Release (Projected)</v>
      </c>
      <c r="Z53" s="308" t="s">
        <v>175</v>
      </c>
      <c r="AA53" s="308">
        <v>180454</v>
      </c>
      <c r="AB53" s="314" cm="1">
        <f t="array" ref="AB53">_xll.FDS(AA53,"count(FG_CONSTITUENTS)")</f>
        <v>40</v>
      </c>
      <c r="AC53" s="233"/>
      <c r="AD53" s="233"/>
      <c r="AE53" s="233"/>
      <c r="AF53" s="233"/>
      <c r="AG53" s="233"/>
      <c r="AH53" s="233"/>
    </row>
    <row r="54" spans="2:34" x14ac:dyDescent="0.15">
      <c r="B54" s="298">
        <f t="shared" si="1"/>
        <v>39</v>
      </c>
      <c r="C54" s="299" t="str">
        <v>PGR</v>
      </c>
      <c r="D54" s="300" t="str" cm="1">
        <f t="array" ref="D54">_xll.FDSB($C54,"FG_COMPANY_NAME")</f>
        <v>Progressive Corporation</v>
      </c>
      <c r="E54" s="300"/>
      <c r="F54" s="274" cm="1">
        <f t="array" ref="F54">_xll.FDSB($C54,"CS_EVENT_DATEJ_N("&amp;$AA$18&amp;",1)")</f>
        <v>46212</v>
      </c>
      <c r="G54" s="282" t="str" cm="1">
        <f t="array" ref="G54">_xll.FDSB($C54,"CS_EVENT_TIME_N("&amp;$AA$18&amp;",1)")</f>
        <v>Unspecified</v>
      </c>
      <c r="H54" s="282" t="str" cm="1">
        <f t="array" ref="H54">_xll.FDSB($C54,"CS_EVENT_DESC_N("&amp;$AA$18&amp;",1)")</f>
        <v>Q2 2026 Earnings Release (Projected)</v>
      </c>
      <c r="I54" s="282"/>
      <c r="J54" s="274" t="str" cm="1">
        <f t="array" ref="J54">_xll.FDSB($C54,"CS_EVENT_DATEJ_N("&amp;$AB$18&amp;",1)")</f>
        <v/>
      </c>
      <c r="K54" s="282" t="str" cm="1">
        <f t="array" ref="K54">_xll.FDSB($C54,"CS_EVENT_TIME_N("&amp;$AB$18&amp;",1)")</f>
        <v/>
      </c>
      <c r="L54" s="282" t="str" cm="1">
        <f t="array" ref="L54">_xll.FDSB($C54,"CS_EVENT_DESC_N("&amp;$AB$18&amp;",1)")</f>
        <v/>
      </c>
      <c r="M54" s="300"/>
      <c r="N54" s="274" cm="1">
        <f t="array" ref="N54">_xll.FDSB($C54,"CS_EVENT_DATEJ_N("&amp;$AA$18&amp;",2)")</f>
        <v>46303</v>
      </c>
      <c r="O54" s="282" t="str" cm="1">
        <f t="array" ref="O54">_xll.FDSB($C54,"CS_EVENT_TIME_N("&amp;$AA$18&amp;",2)")</f>
        <v>Unspecified</v>
      </c>
      <c r="P54" s="282" t="str" cm="1">
        <f t="array" ref="P54">_xll.FDSB($C54,"CS_EVENT_DESC_N("&amp;$AA$18&amp;",2)")</f>
        <v>Q3 2026 Earnings Release (Projected)</v>
      </c>
      <c r="Q54" s="282"/>
      <c r="R54" s="274" cm="1">
        <f t="array" ref="R54">_xll.FDSB($C54,"CS_EVENT_DATEJ_N("&amp;$AA$18&amp;",3)")</f>
        <v>46414</v>
      </c>
      <c r="S54" s="282" t="str" cm="1">
        <f t="array" ref="S54">_xll.FDSB($C54,"CS_EVENT_TIME_N("&amp;$AA$18&amp;",3)")</f>
        <v>Unspecified</v>
      </c>
      <c r="T54" s="282" t="str" cm="1">
        <f t="array" ref="T54">_xll.FDSB($C54,"CS_EVENT_DESC_N("&amp;$AA$18&amp;",3)")</f>
        <v>Q4 2026 Earnings Release (Projected)</v>
      </c>
      <c r="U54" s="282"/>
      <c r="V54" s="274" cm="1">
        <f t="array" ref="V54">_xll.FDSB($C54,"CS_EVENT_DATEJ_N("&amp;$AA$18&amp;",4)")</f>
        <v>46492</v>
      </c>
      <c r="W54" s="282" t="str" cm="1">
        <f t="array" ref="W54">_xll.FDSB($C54,"CS_EVENT_TIME_N("&amp;$AA$18&amp;",4)")</f>
        <v>Unspecified</v>
      </c>
      <c r="X54" s="282" t="str" cm="1">
        <f t="array" ref="X54">_xll.FDSB($C54,"CS_EVENT_DESC_N("&amp;$AA$18&amp;",4)")</f>
        <v>Q1 2027 Earnings Release (Projected)</v>
      </c>
      <c r="Z54" s="308" t="s">
        <v>176</v>
      </c>
      <c r="AA54" s="308">
        <v>187640</v>
      </c>
      <c r="AB54" s="314" cm="1">
        <f t="array" ref="AB54">_xll.FDS(AA54,"count(FG_CONSTITUENTS)")</f>
        <v>207</v>
      </c>
      <c r="AC54" s="233"/>
      <c r="AD54" s="233"/>
      <c r="AE54" s="233"/>
      <c r="AF54" s="233"/>
      <c r="AG54" s="233"/>
      <c r="AH54" s="233"/>
    </row>
    <row r="55" spans="2:34" x14ac:dyDescent="0.15">
      <c r="B55" s="298">
        <f t="shared" si="1"/>
        <v>40</v>
      </c>
      <c r="C55" s="299" t="str">
        <v>CAG</v>
      </c>
      <c r="D55" s="300" t="str" cm="1">
        <f t="array" ref="D55">_xll.FDSB($C55,"FG_COMPANY_NAME")</f>
        <v>Conagra Brands, Inc.</v>
      </c>
      <c r="E55" s="300"/>
      <c r="F55" s="274" cm="1">
        <f t="array" ref="F55">_xll.FDSB($C55,"CS_EVENT_DATEJ_N("&amp;$AA$18&amp;",1)")</f>
        <v>46212</v>
      </c>
      <c r="G55" s="282" t="str" cm="1">
        <f t="array" ref="G55">_xll.FDSB($C55,"CS_EVENT_TIME_N("&amp;$AA$18&amp;",1)")</f>
        <v>Unspecified</v>
      </c>
      <c r="H55" s="282" t="str" cm="1">
        <f t="array" ref="H55">_xll.FDSB($C55,"CS_EVENT_DESC_N("&amp;$AA$18&amp;",1)")</f>
        <v>Q4 2026 Earnings Release (Projected)</v>
      </c>
      <c r="I55" s="282"/>
      <c r="J55" s="274" t="str" cm="1">
        <f t="array" ref="J55">_xll.FDSB($C55,"CS_EVENT_DATEJ_N("&amp;$AB$18&amp;",1)")</f>
        <v/>
      </c>
      <c r="K55" s="282" t="str" cm="1">
        <f t="array" ref="K55">_xll.FDSB($C55,"CS_EVENT_TIME_N("&amp;$AB$18&amp;",1)")</f>
        <v/>
      </c>
      <c r="L55" s="282" t="str" cm="1">
        <f t="array" ref="L55">_xll.FDSB($C55,"CS_EVENT_DESC_N("&amp;$AB$18&amp;",1)")</f>
        <v/>
      </c>
      <c r="M55" s="300"/>
      <c r="N55" s="274" cm="1">
        <f t="array" ref="N55">_xll.FDSB($C55,"CS_EVENT_DATEJ_N("&amp;$AA$18&amp;",2)")</f>
        <v>46296</v>
      </c>
      <c r="O55" s="282" t="str" cm="1">
        <f t="array" ref="O55">_xll.FDSB($C55,"CS_EVENT_TIME_N("&amp;$AA$18&amp;",2)")</f>
        <v>Unspecified</v>
      </c>
      <c r="P55" s="282" t="str" cm="1">
        <f t="array" ref="P55">_xll.FDSB($C55,"CS_EVENT_DESC_N("&amp;$AA$18&amp;",2)")</f>
        <v>Q1 2027 Earnings Release (Projected)</v>
      </c>
      <c r="Q55" s="282"/>
      <c r="R55" s="274" cm="1">
        <f t="array" ref="R55">_xll.FDSB($C55,"CS_EVENT_DATEJ_N("&amp;$AA$18&amp;",3)")</f>
        <v>46388</v>
      </c>
      <c r="S55" s="282" t="str" cm="1">
        <f t="array" ref="S55">_xll.FDSB($C55,"CS_EVENT_TIME_N("&amp;$AA$18&amp;",3)")</f>
        <v>Unspecified</v>
      </c>
      <c r="T55" s="282" t="str" cm="1">
        <f t="array" ref="T55">_xll.FDSB($C55,"CS_EVENT_DESC_N("&amp;$AA$18&amp;",3)")</f>
        <v>Q2 2027 Earnings Release (Projected)</v>
      </c>
      <c r="U55" s="282"/>
      <c r="V55" s="274" cm="1">
        <f t="array" ref="V55">_xll.FDSB($C55,"CS_EVENT_DATEJ_N("&amp;$AA$18&amp;",4)")</f>
        <v>46485</v>
      </c>
      <c r="W55" s="282" t="str" cm="1">
        <f t="array" ref="W55">_xll.FDSB($C55,"CS_EVENT_TIME_N("&amp;$AA$18&amp;",4)")</f>
        <v>Unspecified</v>
      </c>
      <c r="X55" s="282" t="str" cm="1">
        <f t="array" ref="X55">_xll.FDSB($C55,"CS_EVENT_DESC_N("&amp;$AA$18&amp;",4)")</f>
        <v>Q3 2027 Earnings Release (Projected)</v>
      </c>
      <c r="Z55" s="308" t="s">
        <v>177</v>
      </c>
      <c r="AA55" s="308">
        <v>180824</v>
      </c>
      <c r="AB55" s="314" cm="1">
        <f t="array" ref="AB55">_xll.FDS(AA55,"count(FG_CONSTITUENTS)")</f>
        <v>35</v>
      </c>
      <c r="AC55" s="233"/>
      <c r="AD55" s="233"/>
      <c r="AE55" s="233"/>
      <c r="AF55" s="233"/>
      <c r="AG55" s="233"/>
      <c r="AH55" s="233"/>
    </row>
    <row r="56" spans="2:34" x14ac:dyDescent="0.15">
      <c r="B56" s="298">
        <f t="shared" si="1"/>
        <v>41</v>
      </c>
      <c r="C56" s="299" t="str">
        <v>DAL</v>
      </c>
      <c r="D56" s="300" t="str" cm="1">
        <f t="array" ref="D56">_xll.FDSB($C56,"FG_COMPANY_NAME")</f>
        <v>Delta Air Lines, Inc.</v>
      </c>
      <c r="E56" s="300"/>
      <c r="F56" s="274" cm="1">
        <f t="array" ref="F56">_xll.FDSB($C56,"CS_EVENT_DATEJ_N("&amp;$AA$18&amp;",1)")</f>
        <v>46212</v>
      </c>
      <c r="G56" s="282" t="str" cm="1">
        <f t="array" ref="G56">_xll.FDSB($C56,"CS_EVENT_TIME_N("&amp;$AA$18&amp;",1)")</f>
        <v>Unspecified</v>
      </c>
      <c r="H56" s="282" t="str" cm="1">
        <f t="array" ref="H56">_xll.FDSB($C56,"CS_EVENT_DESC_N("&amp;$AA$18&amp;",1)")</f>
        <v>Q2 2026 Earnings Release (Projected)</v>
      </c>
      <c r="I56" s="282"/>
      <c r="J56" s="274" t="str" cm="1">
        <f t="array" ref="J56">_xll.FDSB($C56,"CS_EVENT_DATEJ_N("&amp;$AB$18&amp;",1)")</f>
        <v/>
      </c>
      <c r="K56" s="282" t="str" cm="1">
        <f t="array" ref="K56">_xll.FDSB($C56,"CS_EVENT_TIME_N("&amp;$AB$18&amp;",1)")</f>
        <v/>
      </c>
      <c r="L56" s="282" t="str" cm="1">
        <f t="array" ref="L56">_xll.FDSB($C56,"CS_EVENT_DESC_N("&amp;$AB$18&amp;",1)")</f>
        <v/>
      </c>
      <c r="M56" s="300"/>
      <c r="N56" s="274" cm="1">
        <f t="array" ref="N56">_xll.FDSB($C56,"CS_EVENT_DATEJ_N("&amp;$AA$18&amp;",2)")</f>
        <v>46303</v>
      </c>
      <c r="O56" s="282" t="str" cm="1">
        <f t="array" ref="O56">_xll.FDSB($C56,"CS_EVENT_TIME_N("&amp;$AA$18&amp;",2)")</f>
        <v>Unspecified</v>
      </c>
      <c r="P56" s="282" t="str" cm="1">
        <f t="array" ref="P56">_xll.FDSB($C56,"CS_EVENT_DESC_N("&amp;$AA$18&amp;",2)")</f>
        <v>Q3 2026 Earnings Release (Projected)</v>
      </c>
      <c r="Q56" s="282"/>
      <c r="R56" s="274" cm="1">
        <f t="array" ref="R56">_xll.FDSB($C56,"CS_EVENT_DATEJ_N("&amp;$AA$18&amp;",3)")</f>
        <v>46395</v>
      </c>
      <c r="S56" s="282" t="str" cm="1">
        <f t="array" ref="S56">_xll.FDSB($C56,"CS_EVENT_TIME_N("&amp;$AA$18&amp;",3)")</f>
        <v>Unspecified</v>
      </c>
      <c r="T56" s="282" t="str" cm="1">
        <f t="array" ref="T56">_xll.FDSB($C56,"CS_EVENT_DESC_N("&amp;$AA$18&amp;",3)")</f>
        <v>Q4 2026 Earnings Release (Projected)</v>
      </c>
      <c r="U56" s="282"/>
      <c r="V56" s="274" cm="1">
        <f t="array" ref="V56">_xll.FDSB($C56,"CS_EVENT_DATEJ_N("&amp;$AA$18&amp;",4)")</f>
        <v>46491</v>
      </c>
      <c r="W56" s="282" t="str" cm="1">
        <f t="array" ref="W56">_xll.FDSB($C56,"CS_EVENT_TIME_N("&amp;$AA$18&amp;",4)")</f>
        <v>Unspecified</v>
      </c>
      <c r="X56" s="282" t="str" cm="1">
        <f t="array" ref="X56">_xll.FDSB($C56,"CS_EVENT_DESC_N("&amp;$AA$18&amp;",4)")</f>
        <v>Q1 2027 Earnings Release (Projected)</v>
      </c>
      <c r="Z56" s="308" t="s">
        <v>178</v>
      </c>
      <c r="AA56" s="308">
        <v>160261</v>
      </c>
      <c r="AB56" s="314" cm="1">
        <f t="array" ref="AB56">_xll.FDS(AA56,"count(FG_CONSTITUENTS)")</f>
        <v>8</v>
      </c>
      <c r="AC56" s="233"/>
      <c r="AD56" s="233"/>
      <c r="AE56" s="233"/>
      <c r="AF56" s="233"/>
      <c r="AG56" s="233"/>
      <c r="AH56" s="233"/>
    </row>
    <row r="57" spans="2:34" x14ac:dyDescent="0.15">
      <c r="B57" s="298">
        <f t="shared" si="1"/>
        <v>42</v>
      </c>
      <c r="C57" s="299" t="str">
        <v>UNH</v>
      </c>
      <c r="D57" s="300" t="str" cm="1">
        <f t="array" ref="D57">_xll.FDSB($C57,"FG_COMPANY_NAME")</f>
        <v>UnitedHealth Group Incorporated</v>
      </c>
      <c r="E57" s="300"/>
      <c r="F57" s="274" cm="1">
        <f t="array" ref="F57">_xll.FDSB($C57,"CS_EVENT_DATEJ_N("&amp;$AA$18&amp;",1)")</f>
        <v>46213</v>
      </c>
      <c r="G57" s="282" t="str" cm="1">
        <f t="array" ref="G57">_xll.FDSB($C57,"CS_EVENT_TIME_N("&amp;$AA$18&amp;",1)")</f>
        <v>Unspecified</v>
      </c>
      <c r="H57" s="282" t="str" cm="1">
        <f t="array" ref="H57">_xll.FDSB($C57,"CS_EVENT_DESC_N("&amp;$AA$18&amp;",1)")</f>
        <v>Q2 2026 Earnings Release (Projected)</v>
      </c>
      <c r="I57" s="282"/>
      <c r="J57" s="274" t="str" cm="1">
        <f t="array" ref="J57">_xll.FDSB($C57,"CS_EVENT_DATEJ_N("&amp;$AB$18&amp;",1)")</f>
        <v/>
      </c>
      <c r="K57" s="282" t="str" cm="1">
        <f t="array" ref="K57">_xll.FDSB($C57,"CS_EVENT_TIME_N("&amp;$AB$18&amp;",1)")</f>
        <v/>
      </c>
      <c r="L57" s="282" t="str" cm="1">
        <f t="array" ref="L57">_xll.FDSB($C57,"CS_EVENT_DESC_N("&amp;$AB$18&amp;",1)")</f>
        <v/>
      </c>
      <c r="M57" s="300"/>
      <c r="N57" s="274" cm="1">
        <f t="array" ref="N57">_xll.FDSB($C57,"CS_EVENT_DATEJ_N("&amp;$AA$18&amp;",2)")</f>
        <v>46304</v>
      </c>
      <c r="O57" s="282" t="str" cm="1">
        <f t="array" ref="O57">_xll.FDSB($C57,"CS_EVENT_TIME_N("&amp;$AA$18&amp;",2)")</f>
        <v>Unspecified</v>
      </c>
      <c r="P57" s="282" t="str" cm="1">
        <f t="array" ref="P57">_xll.FDSB($C57,"CS_EVENT_DESC_N("&amp;$AA$18&amp;",2)")</f>
        <v>Q3 2026 Earnings Release (Projected)</v>
      </c>
      <c r="Q57" s="282"/>
      <c r="R57" s="274" cm="1">
        <f t="array" ref="R57">_xll.FDSB($C57,"CS_EVENT_DATEJ_N("&amp;$AA$18&amp;",3)")</f>
        <v>46407</v>
      </c>
      <c r="S57" s="282" t="str" cm="1">
        <f t="array" ref="S57">_xll.FDSB($C57,"CS_EVENT_TIME_N("&amp;$AA$18&amp;",3)")</f>
        <v>Unspecified</v>
      </c>
      <c r="T57" s="282" t="str" cm="1">
        <f t="array" ref="T57">_xll.FDSB($C57,"CS_EVENT_DESC_N("&amp;$AA$18&amp;",3)")</f>
        <v>Q4 2026 Earnings Release (Projected)</v>
      </c>
      <c r="U57" s="282"/>
      <c r="V57" s="274" cm="1">
        <f t="array" ref="V57">_xll.FDSB($C57,"CS_EVENT_DATEJ_N("&amp;$AA$18&amp;",4)")</f>
        <v>46492</v>
      </c>
      <c r="W57" s="282" t="str" cm="1">
        <f t="array" ref="W57">_xll.FDSB($C57,"CS_EVENT_TIME_N("&amp;$AA$18&amp;",4)")</f>
        <v>Unspecified</v>
      </c>
      <c r="X57" s="282" t="str" cm="1">
        <f t="array" ref="X57">_xll.FDSB($C57,"CS_EVENT_DESC_N("&amp;$AA$18&amp;",4)")</f>
        <v>Q1 2027 Earnings Release (Projected)</v>
      </c>
      <c r="Z57" s="308" t="s">
        <v>179</v>
      </c>
      <c r="AA57" s="308">
        <v>188580</v>
      </c>
      <c r="AB57" s="314" cm="1">
        <f t="array" ref="AB57">_xll.FDS(AA57,"count(FG_CONSTITUENTS)")</f>
        <v>16</v>
      </c>
      <c r="AC57" s="233"/>
      <c r="AD57" s="233"/>
      <c r="AE57" s="233"/>
      <c r="AF57" s="233"/>
      <c r="AG57" s="233"/>
      <c r="AH57" s="233"/>
    </row>
    <row r="58" spans="2:34" x14ac:dyDescent="0.15">
      <c r="B58" s="298">
        <f t="shared" si="1"/>
        <v>43</v>
      </c>
      <c r="C58" s="299" t="str">
        <v>STT</v>
      </c>
      <c r="D58" s="300" t="str" cm="1">
        <f t="array" ref="D58">_xll.FDSB($C58,"FG_COMPANY_NAME")</f>
        <v>State Street Corporation</v>
      </c>
      <c r="E58" s="300"/>
      <c r="F58" s="274" cm="1">
        <f t="array" ref="F58">_xll.FDSB($C58,"CS_EVENT_DATEJ_N("&amp;$AA$18&amp;",1)")</f>
        <v>46213</v>
      </c>
      <c r="G58" s="282" t="str" cm="1">
        <f t="array" ref="G58">_xll.FDSB($C58,"CS_EVENT_TIME_N("&amp;$AA$18&amp;",1)")</f>
        <v>Unspecified</v>
      </c>
      <c r="H58" s="282" t="str" cm="1">
        <f t="array" ref="H58">_xll.FDSB($C58,"CS_EVENT_DESC_N("&amp;$AA$18&amp;",1)")</f>
        <v>Q2 2026 Earnings Release (Projected)</v>
      </c>
      <c r="I58" s="282"/>
      <c r="J58" s="274" t="str" cm="1">
        <f t="array" ref="J58">_xll.FDSB($C58,"CS_EVENT_DATEJ_N("&amp;$AB$18&amp;",1)")</f>
        <v/>
      </c>
      <c r="K58" s="282" t="str" cm="1">
        <f t="array" ref="K58">_xll.FDSB($C58,"CS_EVENT_TIME_N("&amp;$AB$18&amp;",1)")</f>
        <v/>
      </c>
      <c r="L58" s="282" t="str" cm="1">
        <f t="array" ref="L58">_xll.FDSB($C58,"CS_EVENT_DESC_N("&amp;$AB$18&amp;",1)")</f>
        <v/>
      </c>
      <c r="M58" s="300"/>
      <c r="N58" s="274" cm="1">
        <f t="array" ref="N58">_xll.FDSB($C58,"CS_EVENT_DATEJ_N("&amp;$AA$18&amp;",2)")</f>
        <v>46315</v>
      </c>
      <c r="O58" s="282" t="str" cm="1">
        <f t="array" ref="O58">_xll.FDSB($C58,"CS_EVENT_TIME_N("&amp;$AA$18&amp;",2)")</f>
        <v>Unspecified</v>
      </c>
      <c r="P58" s="282" t="str" cm="1">
        <f t="array" ref="P58">_xll.FDSB($C58,"CS_EVENT_DESC_N("&amp;$AA$18&amp;",2)")</f>
        <v>Q3 2026 Earnings Release (Projected)</v>
      </c>
      <c r="Q58" s="282"/>
      <c r="R58" s="274" cm="1">
        <f t="array" ref="R58">_xll.FDSB($C58,"CS_EVENT_DATEJ_N("&amp;$AA$18&amp;",3)")</f>
        <v>46402</v>
      </c>
      <c r="S58" s="282" t="str" cm="1">
        <f t="array" ref="S58">_xll.FDSB($C58,"CS_EVENT_TIME_N("&amp;$AA$18&amp;",3)")</f>
        <v>Unspecified</v>
      </c>
      <c r="T58" s="282" t="str" cm="1">
        <f t="array" ref="T58">_xll.FDSB($C58,"CS_EVENT_DESC_N("&amp;$AA$18&amp;",3)")</f>
        <v>Q4 2026 Earnings Release (Projected)</v>
      </c>
      <c r="U58" s="282"/>
      <c r="V58" s="274" cm="1">
        <f t="array" ref="V58">_xll.FDSB($C58,"CS_EVENT_DATEJ_N("&amp;$AA$18&amp;",4)")</f>
        <v>46499</v>
      </c>
      <c r="W58" s="282" t="str" cm="1">
        <f t="array" ref="W58">_xll.FDSB($C58,"CS_EVENT_TIME_N("&amp;$AA$18&amp;",4)")</f>
        <v>Unspecified</v>
      </c>
      <c r="X58" s="282" t="str" cm="1">
        <f t="array" ref="X58">_xll.FDSB($C58,"CS_EVENT_DESC_N("&amp;$AA$18&amp;",4)")</f>
        <v>Q1 2027 Earnings Release (Projected)</v>
      </c>
      <c r="Z58" s="308" t="s">
        <v>180</v>
      </c>
      <c r="AA58" s="308">
        <v>180060</v>
      </c>
      <c r="AB58" s="314" cm="1">
        <f t="array" ref="AB58">_xll.FDS(AA58,"count(FG_CONSTITUENTS)")</f>
        <v>31</v>
      </c>
      <c r="AC58" s="233"/>
      <c r="AD58" s="233"/>
      <c r="AE58" s="233"/>
      <c r="AF58" s="233"/>
      <c r="AG58" s="233"/>
      <c r="AH58" s="233"/>
    </row>
    <row r="59" spans="2:34" x14ac:dyDescent="0.15">
      <c r="B59" s="298">
        <f t="shared" si="1"/>
        <v>44</v>
      </c>
      <c r="C59" s="299" t="str">
        <v>FAST</v>
      </c>
      <c r="D59" s="300" t="str" cm="1">
        <f t="array" ref="D59">_xll.FDSB($C59,"FG_COMPANY_NAME")</f>
        <v>Fastenal Company</v>
      </c>
      <c r="E59" s="300"/>
      <c r="F59" s="274" cm="1">
        <f t="array" ref="F59">_xll.FDSB($C59,"CS_EVENT_DATEJ_N("&amp;$AA$18&amp;",1)")</f>
        <v>46216</v>
      </c>
      <c r="G59" s="282" t="str" cm="1">
        <f t="array" ref="G59">_xll.FDSB($C59,"CS_EVENT_TIME_N("&amp;$AA$18&amp;",1)")</f>
        <v>7:00 AM</v>
      </c>
      <c r="H59" s="282" t="str" cm="1">
        <f t="array" ref="H59">_xll.FDSB($C59,"CS_EVENT_DESC_N("&amp;$AA$18&amp;",1)")</f>
        <v>Q2 2026 Earnings Release</v>
      </c>
      <c r="I59" s="282"/>
      <c r="J59" s="274" t="str" cm="1">
        <f t="array" ref="J59">_xll.FDSB($C59,"CS_EVENT_DATEJ_N("&amp;$AB$18&amp;",1)")</f>
        <v/>
      </c>
      <c r="K59" s="282" t="str" cm="1">
        <f t="array" ref="K59">_xll.FDSB($C59,"CS_EVENT_TIME_N("&amp;$AB$18&amp;",1)")</f>
        <v/>
      </c>
      <c r="L59" s="282" t="str" cm="1">
        <f t="array" ref="L59">_xll.FDSB($C59,"CS_EVENT_DESC_N("&amp;$AB$18&amp;",1)")</f>
        <v/>
      </c>
      <c r="M59" s="300"/>
      <c r="N59" s="274" cm="1">
        <f t="array" ref="N59">_xll.FDSB($C59,"CS_EVENT_DATEJ_N("&amp;$AA$18&amp;",2)")</f>
        <v>46309</v>
      </c>
      <c r="O59" s="282" t="str" cm="1">
        <f t="array" ref="O59">_xll.FDSB($C59,"CS_EVENT_TIME_N("&amp;$AA$18&amp;",2)")</f>
        <v>7:00 AM</v>
      </c>
      <c r="P59" s="282" t="str" cm="1">
        <f t="array" ref="P59">_xll.FDSB($C59,"CS_EVENT_DESC_N("&amp;$AA$18&amp;",2)")</f>
        <v>Q3 2026 Earnings Release</v>
      </c>
      <c r="Q59" s="282"/>
      <c r="R59" s="274" cm="1">
        <f t="array" ref="R59">_xll.FDSB($C59,"CS_EVENT_DATEJ_N("&amp;$AA$18&amp;",3)")</f>
        <v>46406</v>
      </c>
      <c r="S59" s="282" t="str" cm="1">
        <f t="array" ref="S59">_xll.FDSB($C59,"CS_EVENT_TIME_N("&amp;$AA$18&amp;",3)")</f>
        <v>7:00 AM</v>
      </c>
      <c r="T59" s="282" t="str" cm="1">
        <f t="array" ref="T59">_xll.FDSB($C59,"CS_EVENT_DESC_N("&amp;$AA$18&amp;",3)")</f>
        <v>Q4 2026 Earnings Release</v>
      </c>
      <c r="U59" s="282"/>
      <c r="V59" s="274" cm="1">
        <f t="array" ref="V59">_xll.FDSB($C59,"CS_EVENT_DATEJ_N("&amp;$AA$18&amp;",4)")</f>
        <v>46489</v>
      </c>
      <c r="W59" s="282" t="str" cm="1">
        <f t="array" ref="W59">_xll.FDSB($C59,"CS_EVENT_TIME_N("&amp;$AA$18&amp;",4)")</f>
        <v>7:00 AM</v>
      </c>
      <c r="X59" s="282" t="str" cm="1">
        <f t="array" ref="X59">_xll.FDSB($C59,"CS_EVENT_DESC_N("&amp;$AA$18&amp;",4)")</f>
        <v>Q1 2027 Earnings Release</v>
      </c>
      <c r="Z59" s="308" t="s">
        <v>181</v>
      </c>
      <c r="AA59" s="308">
        <v>167202</v>
      </c>
      <c r="AB59" s="314" cm="1">
        <f t="array" ref="AB59">_xll.FDS(AA59,"count(FG_CONSTITUENTS)")</f>
        <v>0</v>
      </c>
      <c r="AC59" s="233"/>
      <c r="AD59" s="233"/>
      <c r="AE59" s="233"/>
      <c r="AF59" s="233"/>
      <c r="AG59" s="233"/>
      <c r="AH59" s="233"/>
    </row>
    <row r="60" spans="2:34" x14ac:dyDescent="0.15">
      <c r="B60" s="298">
        <f t="shared" si="1"/>
        <v>45</v>
      </c>
      <c r="C60" s="299" t="str">
        <v>JPM</v>
      </c>
      <c r="D60" s="300" t="str" cm="1">
        <f t="array" ref="D60">_xll.FDSB($C60,"FG_COMPANY_NAME")</f>
        <v>JPMorgan Chase &amp; Co.</v>
      </c>
      <c r="E60" s="300"/>
      <c r="F60" s="274" cm="1">
        <f t="array" ref="F60">_xll.FDSB($C60,"CS_EVENT_DATEJ_N("&amp;$AA$18&amp;",1)")</f>
        <v>46217</v>
      </c>
      <c r="G60" s="282" t="str" cm="1">
        <f t="array" ref="G60">_xll.FDSB($C60,"CS_EVENT_TIME_N("&amp;$AA$18&amp;",1)")</f>
        <v>6:45 AM</v>
      </c>
      <c r="H60" s="282" t="str" cm="1">
        <f t="array" ref="H60">_xll.FDSB($C60,"CS_EVENT_DESC_N("&amp;$AA$18&amp;",1)")</f>
        <v>Q2 2026 Earnings Release</v>
      </c>
      <c r="I60" s="282"/>
      <c r="J60" s="274" cm="1">
        <f t="array" ref="J60">_xll.FDSB($C60,"CS_EVENT_DATEJ_N("&amp;$AB$18&amp;",1)")</f>
        <v>46217</v>
      </c>
      <c r="K60" s="282" t="str" cm="1">
        <f t="array" ref="K60">_xll.FDSB($C60,"CS_EVENT_TIME_N("&amp;$AB$18&amp;",1)")</f>
        <v>8:30 AM</v>
      </c>
      <c r="L60" s="282" t="str" cm="1">
        <f t="array" ref="L60">_xll.FDSB($C60,"CS_EVENT_DESC_N("&amp;$AB$18&amp;",1)")</f>
        <v>Q2 2026 Earnings Call</v>
      </c>
      <c r="M60" s="300"/>
      <c r="N60" s="274" cm="1">
        <f t="array" ref="N60">_xll.FDSB($C60,"CS_EVENT_DATEJ_N("&amp;$AA$18&amp;",2)")</f>
        <v>46308</v>
      </c>
      <c r="O60" s="282" t="str" cm="1">
        <f t="array" ref="O60">_xll.FDSB($C60,"CS_EVENT_TIME_N("&amp;$AA$18&amp;",2)")</f>
        <v>6:45 AM</v>
      </c>
      <c r="P60" s="282" t="str" cm="1">
        <f t="array" ref="P60">_xll.FDSB($C60,"CS_EVENT_DESC_N("&amp;$AA$18&amp;",2)")</f>
        <v>Q3 2026 Earnings Release</v>
      </c>
      <c r="Q60" s="282"/>
      <c r="R60" s="274" cm="1">
        <f t="array" ref="R60">_xll.FDSB($C60,"CS_EVENT_DATEJ_N("&amp;$AA$18&amp;",3)")</f>
        <v>46401</v>
      </c>
      <c r="S60" s="282" t="str" cm="1">
        <f t="array" ref="S60">_xll.FDSB($C60,"CS_EVENT_TIME_N("&amp;$AA$18&amp;",3)")</f>
        <v>6:45 AM</v>
      </c>
      <c r="T60" s="282" t="str" cm="1">
        <f t="array" ref="T60">_xll.FDSB($C60,"CS_EVENT_DESC_N("&amp;$AA$18&amp;",3)")</f>
        <v>Q4 2026 Earnings Release</v>
      </c>
      <c r="U60" s="282"/>
      <c r="V60" s="274" cm="1">
        <f t="array" ref="V60">_xll.FDSB($C60,"CS_EVENT_DATEJ_N("&amp;$AA$18&amp;",4)")</f>
        <v>46490</v>
      </c>
      <c r="W60" s="282" t="str" cm="1">
        <f t="array" ref="W60">_xll.FDSB($C60,"CS_EVENT_TIME_N("&amp;$AA$18&amp;",4)")</f>
        <v>6:45 AM</v>
      </c>
      <c r="X60" s="282" t="str" cm="1">
        <f t="array" ref="X60">_xll.FDSB($C60,"CS_EVENT_DESC_N("&amp;$AA$18&amp;",4)")</f>
        <v>Q1 2027 Earnings Release</v>
      </c>
      <c r="Z60" s="308" t="s">
        <v>182</v>
      </c>
      <c r="AA60" s="308">
        <v>181010</v>
      </c>
      <c r="AB60" s="314" cm="1">
        <f t="array" ref="AB60">_xll.FDS(AA60,"count(FG_CONSTITUENTS)")</f>
        <v>29</v>
      </c>
      <c r="AC60" s="233"/>
      <c r="AD60" s="233"/>
      <c r="AE60" s="233"/>
      <c r="AF60" s="233"/>
      <c r="AG60" s="233"/>
      <c r="AH60" s="233"/>
    </row>
    <row r="61" spans="2:34" x14ac:dyDescent="0.15">
      <c r="B61" s="298">
        <f t="shared" si="1"/>
        <v>46</v>
      </c>
      <c r="C61" s="299" t="str">
        <v>BAC</v>
      </c>
      <c r="D61" s="300" t="str" cm="1">
        <f t="array" ref="D61">_xll.FDSB($C61,"FG_COMPANY_NAME")</f>
        <v>Bank of America Corp</v>
      </c>
      <c r="E61" s="300"/>
      <c r="F61" s="274" cm="1">
        <f t="array" ref="F61">_xll.FDSB($C61,"CS_EVENT_DATEJ_N("&amp;$AA$18&amp;",1)")</f>
        <v>46217</v>
      </c>
      <c r="G61" s="282" t="str" cm="1">
        <f t="array" ref="G61">_xll.FDSB($C61,"CS_EVENT_TIME_N("&amp;$AA$18&amp;",1)")</f>
        <v>6:45 AM</v>
      </c>
      <c r="H61" s="282" t="str" cm="1">
        <f t="array" ref="H61">_xll.FDSB($C61,"CS_EVENT_DESC_N("&amp;$AA$18&amp;",1)")</f>
        <v>Q2 2026 Earnings Release</v>
      </c>
      <c r="I61" s="282"/>
      <c r="J61" s="274" cm="1">
        <f t="array" ref="J61">_xll.FDSB($C61,"CS_EVENT_DATEJ_N("&amp;$AB$18&amp;",1)")</f>
        <v>46217</v>
      </c>
      <c r="K61" s="282" t="str" cm="1">
        <f t="array" ref="K61">_xll.FDSB($C61,"CS_EVENT_TIME_N("&amp;$AB$18&amp;",1)")</f>
        <v>8:30 AM</v>
      </c>
      <c r="L61" s="282" t="str" cm="1">
        <f t="array" ref="L61">_xll.FDSB($C61,"CS_EVENT_DESC_N("&amp;$AB$18&amp;",1)")</f>
        <v>Q2 2026 Earnings Call</v>
      </c>
      <c r="M61" s="300"/>
      <c r="N61" s="274" cm="1">
        <f t="array" ref="N61">_xll.FDSB($C61,"CS_EVENT_DATEJ_N("&amp;$AA$18&amp;",2)")</f>
        <v>46309</v>
      </c>
      <c r="O61" s="282" t="str" cm="1">
        <f t="array" ref="O61">_xll.FDSB($C61,"CS_EVENT_TIME_N("&amp;$AA$18&amp;",2)")</f>
        <v>6:45 AM</v>
      </c>
      <c r="P61" s="282" t="str" cm="1">
        <f t="array" ref="P61">_xll.FDSB($C61,"CS_EVENT_DESC_N("&amp;$AA$18&amp;",2)")</f>
        <v>Q3 2026 Earnings Release</v>
      </c>
      <c r="Q61" s="282"/>
      <c r="R61" s="274" cm="1">
        <f t="array" ref="R61">_xll.FDSB($C61,"CS_EVENT_DATEJ_N("&amp;$AA$18&amp;",3)")</f>
        <v>46402</v>
      </c>
      <c r="S61" s="282" t="str" cm="1">
        <f t="array" ref="S61">_xll.FDSB($C61,"CS_EVENT_TIME_N("&amp;$AA$18&amp;",3)")</f>
        <v>6:45 AM</v>
      </c>
      <c r="T61" s="282" t="str" cm="1">
        <f t="array" ref="T61">_xll.FDSB($C61,"CS_EVENT_DESC_N("&amp;$AA$18&amp;",3)")</f>
        <v>Q4 2026 Earnings Release</v>
      </c>
      <c r="U61" s="282"/>
      <c r="V61" s="274" cm="1">
        <f t="array" ref="V61">_xll.FDSB($C61,"CS_EVENT_DATEJ_N("&amp;$AA$18&amp;",4)")</f>
        <v>46491</v>
      </c>
      <c r="W61" s="282" t="str" cm="1">
        <f t="array" ref="W61">_xll.FDSB($C61,"CS_EVENT_TIME_N("&amp;$AA$18&amp;",4)")</f>
        <v>6:45 AM</v>
      </c>
      <c r="X61" s="282" t="str" cm="1">
        <f t="array" ref="X61">_xll.FDSB($C61,"CS_EVENT_DESC_N("&amp;$AA$18&amp;",4)")</f>
        <v>Q1 2027 Earnings Release</v>
      </c>
      <c r="Z61" s="308" t="s">
        <v>183</v>
      </c>
      <c r="AA61" s="308">
        <v>180825</v>
      </c>
      <c r="AB61" s="314" cm="1">
        <f t="array" ref="AB61">_xll.FDS(AA61,"count(FG_CONSTITUENTS)")</f>
        <v>20</v>
      </c>
      <c r="AC61" s="233"/>
      <c r="AD61" s="233"/>
      <c r="AE61" s="233"/>
      <c r="AF61" s="233"/>
      <c r="AG61" s="233"/>
      <c r="AH61" s="233"/>
    </row>
    <row r="62" spans="2:34" x14ac:dyDescent="0.15">
      <c r="B62" s="298">
        <f t="shared" si="1"/>
        <v>47</v>
      </c>
      <c r="C62" s="299" t="str">
        <v>WFC</v>
      </c>
      <c r="D62" s="300" t="str" cm="1">
        <f t="array" ref="D62">_xll.FDSB($C62,"FG_COMPANY_NAME")</f>
        <v>Wells Fargo &amp; Company</v>
      </c>
      <c r="E62" s="300"/>
      <c r="F62" s="274" cm="1">
        <f t="array" ref="F62">_xll.FDSB($C62,"CS_EVENT_DATEJ_N("&amp;$AA$18&amp;",1)")</f>
        <v>46217</v>
      </c>
      <c r="G62" s="282" t="str" cm="1">
        <f t="array" ref="G62">_xll.FDSB($C62,"CS_EVENT_TIME_N("&amp;$AA$18&amp;",1)")</f>
        <v>7:00 AM</v>
      </c>
      <c r="H62" s="282" t="str" cm="1">
        <f t="array" ref="H62">_xll.FDSB($C62,"CS_EVENT_DESC_N("&amp;$AA$18&amp;",1)")</f>
        <v>Q2 2026 Earnings Release</v>
      </c>
      <c r="I62" s="282"/>
      <c r="J62" s="274" cm="1">
        <f t="array" ref="J62">_xll.FDSB($C62,"CS_EVENT_DATEJ_N("&amp;$AB$18&amp;",1)")</f>
        <v>46217</v>
      </c>
      <c r="K62" s="282" t="str" cm="1">
        <f t="array" ref="K62">_xll.FDSB($C62,"CS_EVENT_TIME_N("&amp;$AB$18&amp;",1)")</f>
        <v>10:00 AM</v>
      </c>
      <c r="L62" s="282" t="str" cm="1">
        <f t="array" ref="L62">_xll.FDSB($C62,"CS_EVENT_DESC_N("&amp;$AB$18&amp;",1)")</f>
        <v>Q2 2026 Earnings Call</v>
      </c>
      <c r="M62" s="300"/>
      <c r="N62" s="274" cm="1">
        <f t="array" ref="N62">_xll.FDSB($C62,"CS_EVENT_DATEJ_N("&amp;$AA$18&amp;",2)")</f>
        <v>46308</v>
      </c>
      <c r="O62" s="282" t="str" cm="1">
        <f t="array" ref="O62">_xll.FDSB($C62,"CS_EVENT_TIME_N("&amp;$AA$18&amp;",2)")</f>
        <v>7:00 AM</v>
      </c>
      <c r="P62" s="282" t="str" cm="1">
        <f t="array" ref="P62">_xll.FDSB($C62,"CS_EVENT_DESC_N("&amp;$AA$18&amp;",2)")</f>
        <v>Q3 2026 Earnings Release</v>
      </c>
      <c r="Q62" s="282"/>
      <c r="R62" s="274" cm="1">
        <f t="array" ref="R62">_xll.FDSB($C62,"CS_EVENT_DATEJ_N("&amp;$AA$18&amp;",3)")</f>
        <v>46401</v>
      </c>
      <c r="S62" s="282" t="str" cm="1">
        <f t="array" ref="S62">_xll.FDSB($C62,"CS_EVENT_TIME_N("&amp;$AA$18&amp;",3)")</f>
        <v>7:00 AM</v>
      </c>
      <c r="T62" s="282" t="str" cm="1">
        <f t="array" ref="T62">_xll.FDSB($C62,"CS_EVENT_DESC_N("&amp;$AA$18&amp;",3)")</f>
        <v>Q4 2026 Earnings Release</v>
      </c>
      <c r="U62" s="282"/>
      <c r="V62" s="274" cm="1">
        <f t="array" ref="V62">_xll.FDSB($C62,"CS_EVENT_DATEJ_N("&amp;$AA$18&amp;",4)")</f>
        <v>46490</v>
      </c>
      <c r="W62" s="282" t="str" cm="1">
        <f t="array" ref="W62">_xll.FDSB($C62,"CS_EVENT_TIME_N("&amp;$AA$18&amp;",4)")</f>
        <v>7:00 AM</v>
      </c>
      <c r="X62" s="282" t="str" cm="1">
        <f t="array" ref="X62">_xll.FDSB($C62,"CS_EVENT_DESC_N("&amp;$AA$18&amp;",4)")</f>
        <v>Q1 2027 Earnings Release</v>
      </c>
      <c r="Z62" s="308" t="s">
        <v>184</v>
      </c>
      <c r="AA62" s="308" t="s">
        <v>185</v>
      </c>
      <c r="AB62" s="314" cm="1">
        <f t="array" ref="AB62">_xll.FDS(AA62,"count(FG_CONSTITUENTS)")</f>
        <v>20</v>
      </c>
      <c r="AC62" s="233"/>
      <c r="AD62" s="233"/>
      <c r="AE62" s="233"/>
      <c r="AF62" s="233"/>
      <c r="AG62" s="233"/>
      <c r="AH62" s="233"/>
    </row>
    <row r="63" spans="2:34" x14ac:dyDescent="0.15">
      <c r="B63" s="298">
        <f t="shared" si="1"/>
        <v>48</v>
      </c>
      <c r="C63" s="299" t="str">
        <v>GS</v>
      </c>
      <c r="D63" s="300" t="str" cm="1">
        <f t="array" ref="D63">_xll.FDSB($C63,"FG_COMPANY_NAME")</f>
        <v>Goldman Sachs Group, Inc.</v>
      </c>
      <c r="E63" s="300"/>
      <c r="F63" s="274" cm="1">
        <f t="array" ref="F63">_xll.FDSB($C63,"CS_EVENT_DATEJ_N("&amp;$AA$18&amp;",1)")</f>
        <v>46217</v>
      </c>
      <c r="G63" s="282" t="str" cm="1">
        <f t="array" ref="G63">_xll.FDSB($C63,"CS_EVENT_TIME_N("&amp;$AA$18&amp;",1)")</f>
        <v>7:30 AM</v>
      </c>
      <c r="H63" s="282" t="str" cm="1">
        <f t="array" ref="H63">_xll.FDSB($C63,"CS_EVENT_DESC_N("&amp;$AA$18&amp;",1)")</f>
        <v>Q2 2026 Earnings Release</v>
      </c>
      <c r="I63" s="282"/>
      <c r="J63" s="274" cm="1">
        <f t="array" ref="J63">_xll.FDSB($C63,"CS_EVENT_DATEJ_N("&amp;$AB$18&amp;",1)")</f>
        <v>46217</v>
      </c>
      <c r="K63" s="282" t="str" cm="1">
        <f t="array" ref="K63">_xll.FDSB($C63,"CS_EVENT_TIME_N("&amp;$AB$18&amp;",1)")</f>
        <v>9:30 AM</v>
      </c>
      <c r="L63" s="282" t="str" cm="1">
        <f t="array" ref="L63">_xll.FDSB($C63,"CS_EVENT_DESC_N("&amp;$AB$18&amp;",1)")</f>
        <v>Q2 2026 Earnings Call</v>
      </c>
      <c r="M63" s="300"/>
      <c r="N63" s="274" cm="1">
        <f t="array" ref="N63">_xll.FDSB($C63,"CS_EVENT_DATEJ_N("&amp;$AA$18&amp;",2)")</f>
        <v>46308</v>
      </c>
      <c r="O63" s="282" t="str" cm="1">
        <f t="array" ref="O63">_xll.FDSB($C63,"CS_EVENT_TIME_N("&amp;$AA$18&amp;",2)")</f>
        <v>7:30 AM</v>
      </c>
      <c r="P63" s="282" t="str" cm="1">
        <f t="array" ref="P63">_xll.FDSB($C63,"CS_EVENT_DESC_N("&amp;$AA$18&amp;",2)")</f>
        <v>Q3 2026 Earnings Release</v>
      </c>
      <c r="Q63" s="282"/>
      <c r="R63" s="274" cm="1">
        <f t="array" ref="R63">_xll.FDSB($C63,"CS_EVENT_DATEJ_N("&amp;$AA$18&amp;",3)")</f>
        <v>46406</v>
      </c>
      <c r="S63" s="282" t="str" cm="1">
        <f t="array" ref="S63">_xll.FDSB($C63,"CS_EVENT_TIME_N("&amp;$AA$18&amp;",3)")</f>
        <v>7:30 AM</v>
      </c>
      <c r="T63" s="282" t="str" cm="1">
        <f t="array" ref="T63">_xll.FDSB($C63,"CS_EVENT_DESC_N("&amp;$AA$18&amp;",3)")</f>
        <v>Q4 2026 Earnings Release</v>
      </c>
      <c r="U63" s="282"/>
      <c r="V63" s="274" cm="1">
        <f t="array" ref="V63">_xll.FDSB($C63,"CS_EVENT_DATEJ_N("&amp;$AA$18&amp;",4)")</f>
        <v>46496</v>
      </c>
      <c r="W63" s="282" t="str" cm="1">
        <f t="array" ref="W63">_xll.FDSB($C63,"CS_EVENT_TIME_N("&amp;$AA$18&amp;",4)")</f>
        <v>Unspecified</v>
      </c>
      <c r="X63" s="282" t="str" cm="1">
        <f t="array" ref="X63">_xll.FDSB($C63,"CS_EVENT_DESC_N("&amp;$AA$18&amp;",4)")</f>
        <v>Q1 2027 Earnings Release (Projected)</v>
      </c>
      <c r="Z63" s="308" t="s">
        <v>186</v>
      </c>
      <c r="AA63" s="308" t="s">
        <v>187</v>
      </c>
      <c r="AB63" s="314" cm="1">
        <f t="array" ref="AB63">_xll.FDS(AA63,"count(FG_CONSTITUENTS)")</f>
        <v>20</v>
      </c>
      <c r="AC63" s="233"/>
      <c r="AD63" s="233"/>
      <c r="AE63" s="233"/>
      <c r="AF63" s="233"/>
      <c r="AG63" s="233"/>
      <c r="AH63" s="233"/>
    </row>
    <row r="64" spans="2:34" x14ac:dyDescent="0.15">
      <c r="B64" s="298">
        <f t="shared" si="1"/>
        <v>49</v>
      </c>
      <c r="C64" s="299" t="str">
        <v>PEP</v>
      </c>
      <c r="D64" s="300" t="str" cm="1">
        <f t="array" ref="D64">_xll.FDSB($C64,"FG_COMPANY_NAME")</f>
        <v>PepsiCo, Inc.</v>
      </c>
      <c r="E64" s="300"/>
      <c r="F64" s="274" cm="1">
        <f t="array" ref="F64">_xll.FDSB($C64,"CS_EVENT_DATEJ_N("&amp;$AA$18&amp;",1)")</f>
        <v>46217</v>
      </c>
      <c r="G64" s="282" t="str" cm="1">
        <f t="array" ref="G64">_xll.FDSB($C64,"CS_EVENT_TIME_N("&amp;$AA$18&amp;",1)")</f>
        <v>Unspecified</v>
      </c>
      <c r="H64" s="282" t="str" cm="1">
        <f t="array" ref="H64">_xll.FDSB($C64,"CS_EVENT_DESC_N("&amp;$AA$18&amp;",1)")</f>
        <v>Q2 2026 Earnings Release (Projected)</v>
      </c>
      <c r="I64" s="282"/>
      <c r="J64" s="274" t="str" cm="1">
        <f t="array" ref="J64">_xll.FDSB($C64,"CS_EVENT_DATEJ_N("&amp;$AB$18&amp;",1)")</f>
        <v/>
      </c>
      <c r="K64" s="282" t="str" cm="1">
        <f t="array" ref="K64">_xll.FDSB($C64,"CS_EVENT_TIME_N("&amp;$AB$18&amp;",1)")</f>
        <v/>
      </c>
      <c r="L64" s="282" t="str" cm="1">
        <f t="array" ref="L64">_xll.FDSB($C64,"CS_EVENT_DESC_N("&amp;$AB$18&amp;",1)")</f>
        <v/>
      </c>
      <c r="M64" s="300"/>
      <c r="N64" s="274" cm="1">
        <f t="array" ref="N64">_xll.FDSB($C64,"CS_EVENT_DATEJ_N("&amp;$AA$18&amp;",2)")</f>
        <v>46308</v>
      </c>
      <c r="O64" s="282" t="str" cm="1">
        <f t="array" ref="O64">_xll.FDSB($C64,"CS_EVENT_TIME_N("&amp;$AA$18&amp;",2)")</f>
        <v>Unspecified</v>
      </c>
      <c r="P64" s="282" t="str" cm="1">
        <f t="array" ref="P64">_xll.FDSB($C64,"CS_EVENT_DESC_N("&amp;$AA$18&amp;",2)")</f>
        <v>Q3 2026 Earnings Release (Projected)</v>
      </c>
      <c r="Q64" s="282"/>
      <c r="R64" s="274" cm="1">
        <f t="array" ref="R64">_xll.FDSB($C64,"CS_EVENT_DATEJ_N("&amp;$AA$18&amp;",3)")</f>
        <v>46429</v>
      </c>
      <c r="S64" s="282" t="str" cm="1">
        <f t="array" ref="S64">_xll.FDSB($C64,"CS_EVENT_TIME_N("&amp;$AA$18&amp;",3)")</f>
        <v>Unspecified</v>
      </c>
      <c r="T64" s="282" t="str" cm="1">
        <f t="array" ref="T64">_xll.FDSB($C64,"CS_EVENT_DESC_N("&amp;$AA$18&amp;",3)")</f>
        <v>Q4 2026 Earnings Release (Projected)</v>
      </c>
      <c r="U64" s="282"/>
      <c r="V64" s="274" cm="1">
        <f t="array" ref="V64">_xll.FDSB($C64,"CS_EVENT_DATEJ_N("&amp;$AA$18&amp;",4)")</f>
        <v>46504</v>
      </c>
      <c r="W64" s="282" t="str" cm="1">
        <f t="array" ref="W64">_xll.FDSB($C64,"CS_EVENT_TIME_N("&amp;$AA$18&amp;",4)")</f>
        <v>Unspecified</v>
      </c>
      <c r="X64" s="282" t="str" cm="1">
        <f t="array" ref="X64">_xll.FDSB($C64,"CS_EVENT_DESC_N("&amp;$AA$18&amp;",4)")</f>
        <v>Q1 2027 Earnings Release (Projected)</v>
      </c>
      <c r="Z64" s="308" t="s">
        <v>188</v>
      </c>
      <c r="AA64" s="308" t="s">
        <v>189</v>
      </c>
      <c r="AB64" s="314" cm="1">
        <f t="array" ref="AB64">_xll.FDS(AA64,"count(FG_CONSTITUENTS)")</f>
        <v>0</v>
      </c>
      <c r="AC64" s="233"/>
      <c r="AD64" s="233"/>
      <c r="AE64" s="233"/>
      <c r="AF64" s="233"/>
      <c r="AG64" s="233"/>
      <c r="AH64" s="233"/>
    </row>
    <row r="65" spans="2:34" x14ac:dyDescent="0.15">
      <c r="B65" s="298">
        <f t="shared" si="1"/>
        <v>50</v>
      </c>
      <c r="C65" s="299" t="str">
        <v>C</v>
      </c>
      <c r="D65" s="300" t="str" cm="1">
        <f t="array" ref="D65">_xll.FDSB($C65,"FG_COMPANY_NAME")</f>
        <v>Citigroup Inc.</v>
      </c>
      <c r="E65" s="300"/>
      <c r="F65" s="274" cm="1">
        <f t="array" ref="F65">_xll.FDSB($C65,"CS_EVENT_DATEJ_N("&amp;$AA$18&amp;",1)")</f>
        <v>46217</v>
      </c>
      <c r="G65" s="282" t="str" cm="1">
        <f t="array" ref="G65">_xll.FDSB($C65,"CS_EVENT_TIME_N("&amp;$AA$18&amp;",1)")</f>
        <v>8:00 AM</v>
      </c>
      <c r="H65" s="282" t="str" cm="1">
        <f t="array" ref="H65">_xll.FDSB($C65,"CS_EVENT_DESC_N("&amp;$AA$18&amp;",1)")</f>
        <v>Q2 2026 Earnings Release</v>
      </c>
      <c r="I65" s="282"/>
      <c r="J65" s="274" cm="1">
        <f t="array" ref="J65">_xll.FDSB($C65,"CS_EVENT_DATEJ_N("&amp;$AB$18&amp;",1)")</f>
        <v>46217</v>
      </c>
      <c r="K65" s="282" t="str" cm="1">
        <f t="array" ref="K65">_xll.FDSB($C65,"CS_EVENT_TIME_N("&amp;$AB$18&amp;",1)")</f>
        <v>11:00 AM</v>
      </c>
      <c r="L65" s="282" t="str" cm="1">
        <f t="array" ref="L65">_xll.FDSB($C65,"CS_EVENT_DESC_N("&amp;$AB$18&amp;",1)")</f>
        <v>Q2 2026 Earnings Call</v>
      </c>
      <c r="M65" s="300"/>
      <c r="N65" s="274" cm="1">
        <f t="array" ref="N65">_xll.FDSB($C65,"CS_EVENT_DATEJ_N("&amp;$AA$18&amp;",2)")</f>
        <v>46308</v>
      </c>
      <c r="O65" s="282" t="str" cm="1">
        <f t="array" ref="O65">_xll.FDSB($C65,"CS_EVENT_TIME_N("&amp;$AA$18&amp;",2)")</f>
        <v>8:00 AM</v>
      </c>
      <c r="P65" s="282" t="str" cm="1">
        <f t="array" ref="P65">_xll.FDSB($C65,"CS_EVENT_DESC_N("&amp;$AA$18&amp;",2)")</f>
        <v>Q3 2026 Earnings Release</v>
      </c>
      <c r="Q65" s="282"/>
      <c r="R65" s="274" cm="1">
        <f t="array" ref="R65">_xll.FDSB($C65,"CS_EVENT_DATEJ_N("&amp;$AA$18&amp;",3)")</f>
        <v>46401</v>
      </c>
      <c r="S65" s="282" t="str" cm="1">
        <f t="array" ref="S65">_xll.FDSB($C65,"CS_EVENT_TIME_N("&amp;$AA$18&amp;",3)")</f>
        <v>8:00 AM</v>
      </c>
      <c r="T65" s="282" t="str" cm="1">
        <f t="array" ref="T65">_xll.FDSB($C65,"CS_EVENT_DESC_N("&amp;$AA$18&amp;",3)")</f>
        <v>Q4 2026 Earnings Release</v>
      </c>
      <c r="U65" s="282"/>
      <c r="V65" s="274" cm="1">
        <f t="array" ref="V65">_xll.FDSB($C65,"CS_EVENT_DATEJ_N("&amp;$AA$18&amp;",4)")</f>
        <v>46492</v>
      </c>
      <c r="W65" s="282" t="str" cm="1">
        <f t="array" ref="W65">_xll.FDSB($C65,"CS_EVENT_TIME_N("&amp;$AA$18&amp;",4)")</f>
        <v>Unspecified</v>
      </c>
      <c r="X65" s="282" t="str" cm="1">
        <f t="array" ref="X65">_xll.FDSB($C65,"CS_EVENT_DESC_N("&amp;$AA$18&amp;",4)")</f>
        <v>Q1 2027 Earnings Release (Projected)</v>
      </c>
      <c r="Z65" s="308" t="s">
        <v>190</v>
      </c>
      <c r="AA65" s="308">
        <v>188923</v>
      </c>
      <c r="AB65" s="314" cm="1">
        <f t="array" ref="AB65">_xll.FDS(AA65,"count(FG_CONSTITUENTS)")</f>
        <v>0</v>
      </c>
      <c r="AC65" s="233"/>
      <c r="AD65" s="233"/>
      <c r="AE65" s="233"/>
      <c r="AF65" s="233"/>
      <c r="AG65" s="233"/>
      <c r="AH65" s="233"/>
    </row>
    <row r="66" spans="2:34" x14ac:dyDescent="0.15">
      <c r="B66" s="298">
        <f t="shared" si="1"/>
        <v>51</v>
      </c>
      <c r="C66" s="299" t="str">
        <v>MS</v>
      </c>
      <c r="D66" s="300" t="str" cm="1">
        <f t="array" ref="D66">_xll.FDSB($C66,"FG_COMPANY_NAME")</f>
        <v>Morgan Stanley</v>
      </c>
      <c r="E66" s="300"/>
      <c r="F66" s="274" cm="1">
        <f t="array" ref="F66">_xll.FDSB($C66,"CS_EVENT_DATEJ_N("&amp;$AA$18&amp;",1)")</f>
        <v>46218</v>
      </c>
      <c r="G66" s="282" t="str" cm="1">
        <f t="array" ref="G66">_xll.FDSB($C66,"CS_EVENT_TIME_N("&amp;$AA$18&amp;",1)")</f>
        <v>7:30 AM</v>
      </c>
      <c r="H66" s="282" t="str" cm="1">
        <f t="array" ref="H66">_xll.FDSB($C66,"CS_EVENT_DESC_N("&amp;$AA$18&amp;",1)")</f>
        <v>Q2 2026 Earnings Release</v>
      </c>
      <c r="I66" s="282"/>
      <c r="J66" s="274" cm="1">
        <f t="array" ref="J66">_xll.FDSB($C66,"CS_EVENT_DATEJ_N("&amp;$AB$18&amp;",1)")</f>
        <v>46218</v>
      </c>
      <c r="K66" s="282" t="str" cm="1">
        <f t="array" ref="K66">_xll.FDSB($C66,"CS_EVENT_TIME_N("&amp;$AB$18&amp;",1)")</f>
        <v>8:30 AM</v>
      </c>
      <c r="L66" s="282" t="str" cm="1">
        <f t="array" ref="L66">_xll.FDSB($C66,"CS_EVENT_DESC_N("&amp;$AB$18&amp;",1)")</f>
        <v>Q2 2026 Earnings Call</v>
      </c>
      <c r="M66" s="300"/>
      <c r="N66" s="274" cm="1">
        <f t="array" ref="N66">_xll.FDSB($C66,"CS_EVENT_DATEJ_N("&amp;$AA$18&amp;",2)")</f>
        <v>46309</v>
      </c>
      <c r="O66" s="282" t="str" cm="1">
        <f t="array" ref="O66">_xll.FDSB($C66,"CS_EVENT_TIME_N("&amp;$AA$18&amp;",2)")</f>
        <v>7:30 AM</v>
      </c>
      <c r="P66" s="282" t="str" cm="1">
        <f t="array" ref="P66">_xll.FDSB($C66,"CS_EVENT_DESC_N("&amp;$AA$18&amp;",2)")</f>
        <v>Q3 2026 Earnings Release</v>
      </c>
      <c r="Q66" s="282"/>
      <c r="R66" s="274" cm="1">
        <f t="array" ref="R66">_xll.FDSB($C66,"CS_EVENT_DATEJ_N("&amp;$AA$18&amp;",3)")</f>
        <v>46401</v>
      </c>
      <c r="S66" s="282" t="str" cm="1">
        <f t="array" ref="S66">_xll.FDSB($C66,"CS_EVENT_TIME_N("&amp;$AA$18&amp;",3)")</f>
        <v>7:30 AM</v>
      </c>
      <c r="T66" s="282" t="str" cm="1">
        <f t="array" ref="T66">_xll.FDSB($C66,"CS_EVENT_DESC_N("&amp;$AA$18&amp;",3)")</f>
        <v>Q4 2026 Earnings Release</v>
      </c>
      <c r="U66" s="282"/>
      <c r="V66" s="274" cm="1">
        <f t="array" ref="V66">_xll.FDSB($C66,"CS_EVENT_DATEJ_N("&amp;$AA$18&amp;",4)")</f>
        <v>46486</v>
      </c>
      <c r="W66" s="282" t="str" cm="1">
        <f t="array" ref="W66">_xll.FDSB($C66,"CS_EVENT_TIME_N("&amp;$AA$18&amp;",4)")</f>
        <v>Unspecified</v>
      </c>
      <c r="X66" s="282" t="str" cm="1">
        <f t="array" ref="X66">_xll.FDSB($C66,"CS_EVENT_DESC_N("&amp;$AA$18&amp;",4)")</f>
        <v>Q1 2027 Earnings Release (Projected)</v>
      </c>
      <c r="Z66" s="308" t="s">
        <v>191</v>
      </c>
      <c r="AA66" s="308">
        <v>186658</v>
      </c>
      <c r="AB66" s="314" cm="1">
        <f t="array" ref="AB66">_xll.FDS(AA66,"count(FG_CONSTITUENTS)")</f>
        <v>0</v>
      </c>
      <c r="AC66" s="233"/>
      <c r="AD66" s="233"/>
      <c r="AE66" s="233"/>
      <c r="AF66" s="233"/>
      <c r="AG66" s="233"/>
      <c r="AH66" s="233"/>
    </row>
    <row r="67" spans="2:34" x14ac:dyDescent="0.15">
      <c r="B67" s="298">
        <f t="shared" si="1"/>
        <v>52</v>
      </c>
      <c r="C67" s="299" t="str">
        <v>MTB</v>
      </c>
      <c r="D67" s="300" t="str" cm="1">
        <f t="array" ref="D67">_xll.FDSB($C67,"FG_COMPANY_NAME")</f>
        <v>M&amp;T Bank Corporation</v>
      </c>
      <c r="E67" s="300"/>
      <c r="F67" s="274" cm="1">
        <f t="array" ref="F67">_xll.FDSB($C67,"CS_EVENT_DATEJ_N("&amp;$AA$18&amp;",1)")</f>
        <v>46218</v>
      </c>
      <c r="G67" s="282" t="str" cm="1">
        <f t="array" ref="G67">_xll.FDSB($C67,"CS_EVENT_TIME_N("&amp;$AA$18&amp;",1)")</f>
        <v>Before Market</v>
      </c>
      <c r="H67" s="282" t="str" cm="1">
        <f t="array" ref="H67">_xll.FDSB($C67,"CS_EVENT_DESC_N("&amp;$AA$18&amp;",1)")</f>
        <v>Q2 2026 Earnings Release</v>
      </c>
      <c r="I67" s="282"/>
      <c r="J67" s="274" cm="1">
        <f t="array" ref="J67">_xll.FDSB($C67,"CS_EVENT_DATEJ_N("&amp;$AB$18&amp;",1)")</f>
        <v>46218</v>
      </c>
      <c r="K67" s="282" t="str" cm="1">
        <f t="array" ref="K67">_xll.FDSB($C67,"CS_EVENT_TIME_N("&amp;$AB$18&amp;",1)")</f>
        <v>8:00 AM</v>
      </c>
      <c r="L67" s="282" t="str" cm="1">
        <f t="array" ref="L67">_xll.FDSB($C67,"CS_EVENT_DESC_N("&amp;$AB$18&amp;",1)")</f>
        <v>Q2 2026 Earnings Call</v>
      </c>
      <c r="M67" s="300"/>
      <c r="N67" s="274" cm="1">
        <f t="array" ref="N67">_xll.FDSB($C67,"CS_EVENT_DATEJ_N("&amp;$AA$18&amp;",2)")</f>
        <v>46311</v>
      </c>
      <c r="O67" s="282" t="str" cm="1">
        <f t="array" ref="O67">_xll.FDSB($C67,"CS_EVENT_TIME_N("&amp;$AA$18&amp;",2)")</f>
        <v>Before Market</v>
      </c>
      <c r="P67" s="282" t="str" cm="1">
        <f t="array" ref="P67">_xll.FDSB($C67,"CS_EVENT_DESC_N("&amp;$AA$18&amp;",2)")</f>
        <v>Q3 2026 Earnings Release</v>
      </c>
      <c r="Q67" s="282"/>
      <c r="R67" s="274" cm="1">
        <f t="array" ref="R67">_xll.FDSB($C67,"CS_EVENT_DATEJ_N("&amp;$AA$18&amp;",3)")</f>
        <v>46406</v>
      </c>
      <c r="S67" s="282" t="str" cm="1">
        <f t="array" ref="S67">_xll.FDSB($C67,"CS_EVENT_TIME_N("&amp;$AA$18&amp;",3)")</f>
        <v>Before Market</v>
      </c>
      <c r="T67" s="282" t="str" cm="1">
        <f t="array" ref="T67">_xll.FDSB($C67,"CS_EVENT_DESC_N("&amp;$AA$18&amp;",3)")</f>
        <v>Q4 2026 Earnings Release</v>
      </c>
      <c r="U67" s="282"/>
      <c r="V67" s="274" cm="1">
        <f t="array" ref="V67">_xll.FDSB($C67,"CS_EVENT_DATEJ_N("&amp;$AA$18&amp;",4)")</f>
        <v>46492</v>
      </c>
      <c r="W67" s="282" t="str" cm="1">
        <f t="array" ref="W67">_xll.FDSB($C67,"CS_EVENT_TIME_N("&amp;$AA$18&amp;",4)")</f>
        <v>Before Market</v>
      </c>
      <c r="X67" s="282" t="str" cm="1">
        <f t="array" ref="X67">_xll.FDSB($C67,"CS_EVENT_DESC_N("&amp;$AA$18&amp;",4)")</f>
        <v>Q1 2027 Earnings Release</v>
      </c>
      <c r="Z67" s="308" t="s">
        <v>192</v>
      </c>
      <c r="AA67" s="308">
        <v>180180</v>
      </c>
      <c r="AB67" s="314" cm="1">
        <f t="array" ref="AB67">_xll.FDS(AA67,"count(FG_CONSTITUENTS)")</f>
        <v>0</v>
      </c>
      <c r="AC67" s="233"/>
      <c r="AD67" s="233"/>
      <c r="AE67" s="233"/>
      <c r="AF67" s="233"/>
      <c r="AG67" s="233"/>
      <c r="AH67" s="233"/>
    </row>
    <row r="68" spans="2:34" x14ac:dyDescent="0.15">
      <c r="B68" s="298">
        <f t="shared" si="1"/>
        <v>53</v>
      </c>
      <c r="C68" s="299" t="str">
        <v>PNC</v>
      </c>
      <c r="D68" s="300" t="str" cm="1">
        <f t="array" ref="D68">_xll.FDSB($C68,"FG_COMPANY_NAME")</f>
        <v>PNC Financial Services Group, Inc.</v>
      </c>
      <c r="E68" s="300"/>
      <c r="F68" s="274" cm="1">
        <f t="array" ref="F68">_xll.FDSB($C68,"CS_EVENT_DATEJ_N("&amp;$AA$18&amp;",1)")</f>
        <v>46218</v>
      </c>
      <c r="G68" s="282" t="str" cm="1">
        <f t="array" ref="G68">_xll.FDSB($C68,"CS_EVENT_TIME_N("&amp;$AA$18&amp;",1)")</f>
        <v>Before Market</v>
      </c>
      <c r="H68" s="282" t="str" cm="1">
        <f t="array" ref="H68">_xll.FDSB($C68,"CS_EVENT_DESC_N("&amp;$AA$18&amp;",1)")</f>
        <v>Q2 2026 Earnings Release</v>
      </c>
      <c r="I68" s="282"/>
      <c r="J68" s="274" cm="1">
        <f t="array" ref="J68">_xll.FDSB($C68,"CS_EVENT_DATEJ_N("&amp;$AB$18&amp;",1)")</f>
        <v>46218</v>
      </c>
      <c r="K68" s="282" t="str" cm="1">
        <f t="array" ref="K68">_xll.FDSB($C68,"CS_EVENT_TIME_N("&amp;$AB$18&amp;",1)")</f>
        <v>10:00 AM</v>
      </c>
      <c r="L68" s="282" t="str" cm="1">
        <f t="array" ref="L68">_xll.FDSB($C68,"CS_EVENT_DESC_N("&amp;$AB$18&amp;",1)")</f>
        <v>Q2 2026 Earnings Call</v>
      </c>
      <c r="M68" s="300"/>
      <c r="N68" s="274" cm="1">
        <f t="array" ref="N68">_xll.FDSB($C68,"CS_EVENT_DATEJ_N("&amp;$AA$18&amp;",2)")</f>
        <v>46310</v>
      </c>
      <c r="O68" s="282" t="str" cm="1">
        <f t="array" ref="O68">_xll.FDSB($C68,"CS_EVENT_TIME_N("&amp;$AA$18&amp;",2)")</f>
        <v>Before Market</v>
      </c>
      <c r="P68" s="282" t="str" cm="1">
        <f t="array" ref="P68">_xll.FDSB($C68,"CS_EVENT_DESC_N("&amp;$AA$18&amp;",2)")</f>
        <v>Q3 2026 Earnings Release</v>
      </c>
      <c r="Q68" s="282"/>
      <c r="R68" s="274" cm="1">
        <f t="array" ref="R68">_xll.FDSB($C68,"CS_EVENT_DATEJ_N("&amp;$AA$18&amp;",3)")</f>
        <v>46402</v>
      </c>
      <c r="S68" s="282" t="str" cm="1">
        <f t="array" ref="S68">_xll.FDSB($C68,"CS_EVENT_TIME_N("&amp;$AA$18&amp;",3)")</f>
        <v>Before Market</v>
      </c>
      <c r="T68" s="282" t="str" cm="1">
        <f t="array" ref="T68">_xll.FDSB($C68,"CS_EVENT_DESC_N("&amp;$AA$18&amp;",3)")</f>
        <v>Q4 2026 Earnings Release</v>
      </c>
      <c r="U68" s="282"/>
      <c r="V68" s="274" cm="1">
        <f t="array" ref="V68">_xll.FDSB($C68,"CS_EVENT_DATEJ_N("&amp;$AA$18&amp;",4)")</f>
        <v>46498</v>
      </c>
      <c r="W68" s="282" t="str" cm="1">
        <f t="array" ref="W68">_xll.FDSB($C68,"CS_EVENT_TIME_N("&amp;$AA$18&amp;",4)")</f>
        <v>Unspecified</v>
      </c>
      <c r="X68" s="282" t="str" cm="1">
        <f t="array" ref="X68">_xll.FDSB($C68,"CS_EVENT_DESC_N("&amp;$AA$18&amp;",4)")</f>
        <v>Q1 2027 Earnings Release (Projected)</v>
      </c>
      <c r="Z68" s="308" t="s">
        <v>193</v>
      </c>
      <c r="AA68" s="308">
        <v>187183</v>
      </c>
      <c r="AB68" s="314" cm="1">
        <f t="array" ref="AB68">_xll.FDS(AA68,"count(FG_CONSTITUENTS)")</f>
        <v>0</v>
      </c>
      <c r="AC68" s="233"/>
      <c r="AD68" s="233"/>
      <c r="AE68" s="233"/>
      <c r="AF68" s="233"/>
      <c r="AG68" s="233"/>
      <c r="AH68" s="233"/>
    </row>
    <row r="69" spans="2:34" x14ac:dyDescent="0.15">
      <c r="B69" s="298">
        <f t="shared" si="1"/>
        <v>54</v>
      </c>
      <c r="C69" s="299" t="str">
        <v>BNY</v>
      </c>
      <c r="D69" s="300" t="str" cm="1">
        <f t="array" ref="D69">_xll.FDSB($C69,"FG_COMPANY_NAME")</f>
        <v>Bank of New York Mellon Corp</v>
      </c>
      <c r="E69" s="300"/>
      <c r="F69" s="274" cm="1">
        <f t="array" ref="F69">_xll.FDSB($C69,"CS_EVENT_DATEJ_N("&amp;$AA$18&amp;",1)")</f>
        <v>46218</v>
      </c>
      <c r="G69" s="282" t="str" cm="1">
        <f t="array" ref="G69">_xll.FDSB($C69,"CS_EVENT_TIME_N("&amp;$AA$18&amp;",1)")</f>
        <v>6:30 AM</v>
      </c>
      <c r="H69" s="282" t="str" cm="1">
        <f t="array" ref="H69">_xll.FDSB($C69,"CS_EVENT_DESC_N("&amp;$AA$18&amp;",1)")</f>
        <v>Q2 2026 Earnings Release</v>
      </c>
      <c r="I69" s="282"/>
      <c r="J69" s="274" cm="1">
        <f t="array" ref="J69">_xll.FDSB($C69,"CS_EVENT_DATEJ_N("&amp;$AB$18&amp;",1)")</f>
        <v>46218</v>
      </c>
      <c r="K69" s="282" t="str" cm="1">
        <f t="array" ref="K69">_xll.FDSB($C69,"CS_EVENT_TIME_N("&amp;$AB$18&amp;",1)")</f>
        <v>11:00 AM</v>
      </c>
      <c r="L69" s="282" t="str" cm="1">
        <f t="array" ref="L69">_xll.FDSB($C69,"CS_EVENT_DESC_N("&amp;$AB$18&amp;",1)")</f>
        <v>Q2 2026 Earnings Call</v>
      </c>
      <c r="M69" s="300"/>
      <c r="N69" s="274" cm="1">
        <f t="array" ref="N69">_xll.FDSB($C69,"CS_EVENT_DATEJ_N("&amp;$AA$18&amp;",2)")</f>
        <v>46310</v>
      </c>
      <c r="O69" s="282" t="str" cm="1">
        <f t="array" ref="O69">_xll.FDSB($C69,"CS_EVENT_TIME_N("&amp;$AA$18&amp;",2)")</f>
        <v>6:30 AM</v>
      </c>
      <c r="P69" s="282" t="str" cm="1">
        <f t="array" ref="P69">_xll.FDSB($C69,"CS_EVENT_DESC_N("&amp;$AA$18&amp;",2)")</f>
        <v>Q3 2026 Earnings Release</v>
      </c>
      <c r="Q69" s="282"/>
      <c r="R69" s="274" cm="1">
        <f t="array" ref="R69">_xll.FDSB($C69,"CS_EVENT_DATEJ_N("&amp;$AA$18&amp;",3)")</f>
        <v>46407</v>
      </c>
      <c r="S69" s="282" t="str" cm="1">
        <f t="array" ref="S69">_xll.FDSB($C69,"CS_EVENT_TIME_N("&amp;$AA$18&amp;",3)")</f>
        <v>Unspecified</v>
      </c>
      <c r="T69" s="282" t="str" cm="1">
        <f t="array" ref="T69">_xll.FDSB($C69,"CS_EVENT_DESC_N("&amp;$AA$18&amp;",3)")</f>
        <v>Q4 2026 Earnings Release (Projected)</v>
      </c>
      <c r="U69" s="282"/>
      <c r="V69" s="274" cm="1">
        <f t="array" ref="V69">_xll.FDSB($C69,"CS_EVENT_DATEJ_N("&amp;$AA$18&amp;",4)")</f>
        <v>46499</v>
      </c>
      <c r="W69" s="282" t="str" cm="1">
        <f t="array" ref="W69">_xll.FDSB($C69,"CS_EVENT_TIME_N("&amp;$AA$18&amp;",4)")</f>
        <v>Unspecified</v>
      </c>
      <c r="X69" s="282" t="str" cm="1">
        <f t="array" ref="X69">_xll.FDSB($C69,"CS_EVENT_DESC_N("&amp;$AA$18&amp;",4)")</f>
        <v>Q1 2027 Earnings Release (Projected)</v>
      </c>
      <c r="Z69" s="308" t="s">
        <v>194</v>
      </c>
      <c r="AA69" s="308">
        <v>185419</v>
      </c>
      <c r="AB69" s="314" cm="1">
        <f t="array" ref="AB69">_xll.FDS(AA69,"count(FG_CONSTITUENTS)")</f>
        <v>0</v>
      </c>
      <c r="AC69" s="233"/>
      <c r="AD69" s="233"/>
      <c r="AE69" s="233"/>
      <c r="AF69" s="233"/>
      <c r="AG69" s="233"/>
      <c r="AH69" s="233"/>
    </row>
    <row r="70" spans="2:34" x14ac:dyDescent="0.15">
      <c r="B70" s="298">
        <f t="shared" si="1"/>
        <v>55</v>
      </c>
      <c r="C70" s="299" t="str">
        <v>FCX</v>
      </c>
      <c r="D70" s="300" t="str" cm="1">
        <f t="array" ref="D70">_xll.FDSB($C70,"FG_COMPANY_NAME")</f>
        <v>Freeport-McMoRan, Inc.</v>
      </c>
      <c r="E70" s="300"/>
      <c r="F70" s="274" cm="1">
        <f t="array" ref="F70">_xll.FDSB($C70,"CS_EVENT_DATEJ_N("&amp;$AA$18&amp;",1)")</f>
        <v>46219</v>
      </c>
      <c r="G70" s="282" t="str" cm="1">
        <f t="array" ref="G70">_xll.FDSB($C70,"CS_EVENT_TIME_N("&amp;$AA$18&amp;",1)")</f>
        <v>Unspecified</v>
      </c>
      <c r="H70" s="282" t="str" cm="1">
        <f t="array" ref="H70">_xll.FDSB($C70,"CS_EVENT_DESC_N("&amp;$AA$18&amp;",1)")</f>
        <v>Q2 2026 Earnings Release (Projected)</v>
      </c>
      <c r="I70" s="282"/>
      <c r="J70" s="274" t="str" cm="1">
        <f t="array" ref="J70">_xll.FDSB($C70,"CS_EVENT_DATEJ_N("&amp;$AB$18&amp;",1)")</f>
        <v/>
      </c>
      <c r="K70" s="282" t="str" cm="1">
        <f t="array" ref="K70">_xll.FDSB($C70,"CS_EVENT_TIME_N("&amp;$AB$18&amp;",1)")</f>
        <v/>
      </c>
      <c r="L70" s="282" t="str" cm="1">
        <f t="array" ref="L70">_xll.FDSB($C70,"CS_EVENT_DESC_N("&amp;$AB$18&amp;",1)")</f>
        <v/>
      </c>
      <c r="M70" s="300"/>
      <c r="N70" s="274" cm="1">
        <f t="array" ref="N70">_xll.FDSB($C70,"CS_EVENT_DATEJ_N("&amp;$AA$18&amp;",2)")</f>
        <v>46310</v>
      </c>
      <c r="O70" s="282" t="str" cm="1">
        <f t="array" ref="O70">_xll.FDSB($C70,"CS_EVENT_TIME_N("&amp;$AA$18&amp;",2)")</f>
        <v>Unspecified</v>
      </c>
      <c r="P70" s="282" t="str" cm="1">
        <f t="array" ref="P70">_xll.FDSB($C70,"CS_EVENT_DESC_N("&amp;$AA$18&amp;",2)")</f>
        <v>Q3 2026 Earnings Release (Projected)</v>
      </c>
      <c r="Q70" s="282"/>
      <c r="R70" s="274" cm="1">
        <f t="array" ref="R70">_xll.FDSB($C70,"CS_EVENT_DATEJ_N("&amp;$AA$18&amp;",3)")</f>
        <v>46414</v>
      </c>
      <c r="S70" s="282" t="str" cm="1">
        <f t="array" ref="S70">_xll.FDSB($C70,"CS_EVENT_TIME_N("&amp;$AA$18&amp;",3)")</f>
        <v>Unspecified</v>
      </c>
      <c r="T70" s="282" t="str" cm="1">
        <f t="array" ref="T70">_xll.FDSB($C70,"CS_EVENT_DESC_N("&amp;$AA$18&amp;",3)")</f>
        <v>Q4 2026 Earnings Release (Projected)</v>
      </c>
      <c r="U70" s="282"/>
      <c r="V70" s="274" cm="1">
        <f t="array" ref="V70">_xll.FDSB($C70,"CS_EVENT_DATEJ_N("&amp;$AA$18&amp;",4)")</f>
        <v>46499</v>
      </c>
      <c r="W70" s="282" t="str" cm="1">
        <f t="array" ref="W70">_xll.FDSB($C70,"CS_EVENT_TIME_N("&amp;$AA$18&amp;",4)")</f>
        <v>Unspecified</v>
      </c>
      <c r="X70" s="282" t="str" cm="1">
        <f t="array" ref="X70">_xll.FDSB($C70,"CS_EVENT_DESC_N("&amp;$AA$18&amp;",4)")</f>
        <v>Q1 2027 Earnings Release (Projected)</v>
      </c>
      <c r="Z70" s="308" t="s">
        <v>195</v>
      </c>
      <c r="AA70" s="308">
        <v>180553</v>
      </c>
      <c r="AB70" s="314" cm="1">
        <f t="array" ref="AB70">_xll.FDS(AA70,"count(FG_CONSTITUENTS)")</f>
        <v>0</v>
      </c>
      <c r="AC70" s="233"/>
      <c r="AD70" s="233"/>
      <c r="AE70" s="233"/>
      <c r="AF70" s="233"/>
      <c r="AG70" s="233"/>
      <c r="AH70" s="233"/>
    </row>
    <row r="71" spans="2:34" x14ac:dyDescent="0.15">
      <c r="B71" s="298">
        <f t="shared" si="1"/>
        <v>56</v>
      </c>
      <c r="C71" s="299" t="str">
        <v>HAL</v>
      </c>
      <c r="D71" s="300" t="str" cm="1">
        <f t="array" ref="D71">_xll.FDSB($C71,"FG_COMPANY_NAME")</f>
        <v>Halliburton Company</v>
      </c>
      <c r="E71" s="300"/>
      <c r="F71" s="274" cm="1">
        <f t="array" ref="F71">_xll.FDSB($C71,"CS_EVENT_DATEJ_N("&amp;$AA$18&amp;",1)")</f>
        <v>46219</v>
      </c>
      <c r="G71" s="282" t="str" cm="1">
        <f t="array" ref="G71">_xll.FDSB($C71,"CS_EVENT_TIME_N("&amp;$AA$18&amp;",1)")</f>
        <v>Unspecified</v>
      </c>
      <c r="H71" s="282" t="str" cm="1">
        <f t="array" ref="H71">_xll.FDSB($C71,"CS_EVENT_DESC_N("&amp;$AA$18&amp;",1)")</f>
        <v>Q2 2026 Earnings Release (Projected)</v>
      </c>
      <c r="I71" s="282"/>
      <c r="J71" s="274" t="str" cm="1">
        <f t="array" ref="J71">_xll.FDSB($C71,"CS_EVENT_DATEJ_N("&amp;$AB$18&amp;",1)")</f>
        <v/>
      </c>
      <c r="K71" s="282" t="str" cm="1">
        <f t="array" ref="K71">_xll.FDSB($C71,"CS_EVENT_TIME_N("&amp;$AB$18&amp;",1)")</f>
        <v/>
      </c>
      <c r="L71" s="282" t="str" cm="1">
        <f t="array" ref="L71">_xll.FDSB($C71,"CS_EVENT_DESC_N("&amp;$AB$18&amp;",1)")</f>
        <v/>
      </c>
      <c r="M71" s="300"/>
      <c r="N71" s="274" cm="1">
        <f t="array" ref="N71">_xll.FDSB($C71,"CS_EVENT_DATEJ_N("&amp;$AA$18&amp;",2)")</f>
        <v>46322</v>
      </c>
      <c r="O71" s="282" t="str" cm="1">
        <f t="array" ref="O71">_xll.FDSB($C71,"CS_EVENT_TIME_N("&amp;$AA$18&amp;",2)")</f>
        <v>Unspecified</v>
      </c>
      <c r="P71" s="282" t="str" cm="1">
        <f t="array" ref="P71">_xll.FDSB($C71,"CS_EVENT_DESC_N("&amp;$AA$18&amp;",2)")</f>
        <v>Q3 2026 Earnings Release (Projected)</v>
      </c>
      <c r="Q71" s="282"/>
      <c r="R71" s="274" cm="1">
        <f t="array" ref="R71">_xll.FDSB($C71,"CS_EVENT_DATEJ_N("&amp;$AA$18&amp;",3)")</f>
        <v>46413</v>
      </c>
      <c r="S71" s="282" t="str" cm="1">
        <f t="array" ref="S71">_xll.FDSB($C71,"CS_EVENT_TIME_N("&amp;$AA$18&amp;",3)")</f>
        <v>Unspecified</v>
      </c>
      <c r="T71" s="282" t="str" cm="1">
        <f t="array" ref="T71">_xll.FDSB($C71,"CS_EVENT_DESC_N("&amp;$AA$18&amp;",3)")</f>
        <v>Q4 2026 Earnings Release (Projected)</v>
      </c>
      <c r="U71" s="282"/>
      <c r="V71" s="274" cm="1">
        <f t="array" ref="V71">_xll.FDSB($C71,"CS_EVENT_DATEJ_N("&amp;$AA$18&amp;",4)")</f>
        <v>46504</v>
      </c>
      <c r="W71" s="282" t="str" cm="1">
        <f t="array" ref="W71">_xll.FDSB($C71,"CS_EVENT_TIME_N("&amp;$AA$18&amp;",4)")</f>
        <v>Unspecified</v>
      </c>
      <c r="X71" s="282" t="str" cm="1">
        <f t="array" ref="X71">_xll.FDSB($C71,"CS_EVENT_DESC_N("&amp;$AA$18&amp;",4)")</f>
        <v>Q1 2027 Earnings Release (Projected)</v>
      </c>
      <c r="Z71" s="308"/>
      <c r="AA71" s="308"/>
      <c r="AB71" s="233"/>
      <c r="AC71" s="233"/>
      <c r="AD71" s="233"/>
      <c r="AE71" s="233"/>
      <c r="AF71" s="233"/>
      <c r="AG71" s="233"/>
      <c r="AH71" s="233"/>
    </row>
    <row r="72" spans="2:34" x14ac:dyDescent="0.15">
      <c r="B72" s="298">
        <f t="shared" si="1"/>
        <v>57</v>
      </c>
      <c r="C72" s="299" t="str">
        <v>WRB</v>
      </c>
      <c r="D72" s="300" t="str" cm="1">
        <f t="array" ref="D72">_xll.FDSB($C72,"FG_COMPANY_NAME")</f>
        <v>W. R. Berkley Corporation</v>
      </c>
      <c r="E72" s="300"/>
      <c r="F72" s="274" cm="1">
        <f t="array" ref="F72">_xll.FDSB($C72,"CS_EVENT_DATEJ_N("&amp;$AA$18&amp;",1)")</f>
        <v>46219</v>
      </c>
      <c r="G72" s="282" t="str" cm="1">
        <f t="array" ref="G72">_xll.FDSB($C72,"CS_EVENT_TIME_N("&amp;$AA$18&amp;",1)")</f>
        <v>Unspecified</v>
      </c>
      <c r="H72" s="282" t="str" cm="1">
        <f t="array" ref="H72">_xll.FDSB($C72,"CS_EVENT_DESC_N("&amp;$AA$18&amp;",1)")</f>
        <v>Q2 2026 Earnings Release (Projected)</v>
      </c>
      <c r="I72" s="282"/>
      <c r="J72" s="274" t="str" cm="1">
        <f t="array" ref="J72">_xll.FDSB($C72,"CS_EVENT_DATEJ_N("&amp;$AB$18&amp;",1)")</f>
        <v/>
      </c>
      <c r="K72" s="282" t="str" cm="1">
        <f t="array" ref="K72">_xll.FDSB($C72,"CS_EVENT_TIME_N("&amp;$AB$18&amp;",1)")</f>
        <v/>
      </c>
      <c r="L72" s="282" t="str" cm="1">
        <f t="array" ref="L72">_xll.FDSB($C72,"CS_EVENT_DESC_N("&amp;$AB$18&amp;",1)")</f>
        <v/>
      </c>
      <c r="M72" s="300"/>
      <c r="N72" s="274" cm="1">
        <f t="array" ref="N72">_xll.FDSB($C72,"CS_EVENT_DATEJ_N("&amp;$AA$18&amp;",2)")</f>
        <v>46321</v>
      </c>
      <c r="O72" s="282" t="str" cm="1">
        <f t="array" ref="O72">_xll.FDSB($C72,"CS_EVENT_TIME_N("&amp;$AA$18&amp;",2)")</f>
        <v>Unspecified</v>
      </c>
      <c r="P72" s="282" t="str" cm="1">
        <f t="array" ref="P72">_xll.FDSB($C72,"CS_EVENT_DESC_N("&amp;$AA$18&amp;",2)")</f>
        <v>Q3 2026 Earnings Release (Projected)</v>
      </c>
      <c r="Q72" s="282"/>
      <c r="R72" s="274" cm="1">
        <f t="array" ref="R72">_xll.FDSB($C72,"CS_EVENT_DATEJ_N("&amp;$AA$18&amp;",3)")</f>
        <v>46415</v>
      </c>
      <c r="S72" s="282" t="str" cm="1">
        <f t="array" ref="S72">_xll.FDSB($C72,"CS_EVENT_TIME_N("&amp;$AA$18&amp;",3)")</f>
        <v>Unspecified</v>
      </c>
      <c r="T72" s="282" t="str" cm="1">
        <f t="array" ref="T72">_xll.FDSB($C72,"CS_EVENT_DESC_N("&amp;$AA$18&amp;",3)")</f>
        <v>Q4 2026 Earnings Release (Projected)</v>
      </c>
      <c r="U72" s="282"/>
      <c r="V72" s="274" cm="1">
        <f t="array" ref="V72">_xll.FDSB($C72,"CS_EVENT_DATEJ_N("&amp;$AA$18&amp;",4)")</f>
        <v>46503</v>
      </c>
      <c r="W72" s="282" t="str" cm="1">
        <f t="array" ref="W72">_xll.FDSB($C72,"CS_EVENT_TIME_N("&amp;$AA$18&amp;",4)")</f>
        <v>Unspecified</v>
      </c>
      <c r="X72" s="282" t="str" cm="1">
        <f t="array" ref="X72">_xll.FDSB($C72,"CS_EVENT_DESC_N("&amp;$AA$18&amp;",4)")</f>
        <v>Q1 2027 Earnings Release (Projected)</v>
      </c>
      <c r="Z72" s="313" t="s">
        <v>196</v>
      </c>
      <c r="AA72" s="313"/>
      <c r="AB72" s="233"/>
      <c r="AC72" s="233"/>
      <c r="AD72" s="233"/>
      <c r="AE72" s="233"/>
      <c r="AF72" s="233"/>
      <c r="AG72" s="233"/>
      <c r="AH72" s="233"/>
    </row>
    <row r="73" spans="2:34" x14ac:dyDescent="0.15">
      <c r="B73" s="298">
        <f t="shared" si="1"/>
        <v>58</v>
      </c>
      <c r="C73" s="299" t="str">
        <v>USB</v>
      </c>
      <c r="D73" s="300" t="str" cm="1">
        <f t="array" ref="D73">_xll.FDSB($C73,"FG_COMPANY_NAME")</f>
        <v>U.S. Bancorp</v>
      </c>
      <c r="E73" s="300"/>
      <c r="F73" s="274" cm="1">
        <f t="array" ref="F73">_xll.FDSB($C73,"CS_EVENT_DATEJ_N("&amp;$AA$18&amp;",1)")</f>
        <v>46219</v>
      </c>
      <c r="G73" s="282" t="str" cm="1">
        <f t="array" ref="G73">_xll.FDSB($C73,"CS_EVENT_TIME_N("&amp;$AA$18&amp;",1)")</f>
        <v>6:45 AM</v>
      </c>
      <c r="H73" s="282" t="str" cm="1">
        <f t="array" ref="H73">_xll.FDSB($C73,"CS_EVENT_DESC_N("&amp;$AA$18&amp;",1)")</f>
        <v>Q2 2026 Earnings Release</v>
      </c>
      <c r="I73" s="282"/>
      <c r="J73" s="274" cm="1">
        <f t="array" ref="J73">_xll.FDSB($C73,"CS_EVENT_DATEJ_N("&amp;$AB$18&amp;",1)")</f>
        <v>46219</v>
      </c>
      <c r="K73" s="282" t="str" cm="1">
        <f t="array" ref="K73">_xll.FDSB($C73,"CS_EVENT_TIME_N("&amp;$AB$18&amp;",1)")</f>
        <v>8:00 AM</v>
      </c>
      <c r="L73" s="282" t="str" cm="1">
        <f t="array" ref="L73">_xll.FDSB($C73,"CS_EVENT_DESC_N("&amp;$AB$18&amp;",1)")</f>
        <v>Q2 2026 Earnings Call</v>
      </c>
      <c r="M73" s="300"/>
      <c r="N73" s="274" cm="1">
        <f t="array" ref="N73">_xll.FDSB($C73,"CS_EVENT_DATEJ_N("&amp;$AA$18&amp;",2)")</f>
        <v>46310</v>
      </c>
      <c r="O73" s="282" t="str" cm="1">
        <f t="array" ref="O73">_xll.FDSB($C73,"CS_EVENT_TIME_N("&amp;$AA$18&amp;",2)")</f>
        <v>6:45 AM</v>
      </c>
      <c r="P73" s="282" t="str" cm="1">
        <f t="array" ref="P73">_xll.FDSB($C73,"CS_EVENT_DESC_N("&amp;$AA$18&amp;",2)")</f>
        <v>Q3 2026 Earnings Release</v>
      </c>
      <c r="Q73" s="282"/>
      <c r="R73" s="274" cm="1">
        <f t="array" ref="R73">_xll.FDSB($C73,"CS_EVENT_DATEJ_N("&amp;$AA$18&amp;",3)")</f>
        <v>46406</v>
      </c>
      <c r="S73" s="282" t="str" cm="1">
        <f t="array" ref="S73">_xll.FDSB($C73,"CS_EVENT_TIME_N("&amp;$AA$18&amp;",3)")</f>
        <v>6:45 AM</v>
      </c>
      <c r="T73" s="282" t="str" cm="1">
        <f t="array" ref="T73">_xll.FDSB($C73,"CS_EVENT_DESC_N("&amp;$AA$18&amp;",3)")</f>
        <v>Q4 2026 Earnings Release</v>
      </c>
      <c r="U73" s="282"/>
      <c r="V73" s="274" cm="1">
        <f t="array" ref="V73">_xll.FDSB($C73,"CS_EVENT_DATEJ_N("&amp;$AA$18&amp;",4)")</f>
        <v>46497</v>
      </c>
      <c r="W73" s="282" t="str" cm="1">
        <f t="array" ref="W73">_xll.FDSB($C73,"CS_EVENT_TIME_N("&amp;$AA$18&amp;",4)")</f>
        <v>6:45 AM</v>
      </c>
      <c r="X73" s="282" t="str" cm="1">
        <f t="array" ref="X73">_xll.FDSB($C73,"CS_EVENT_DESC_N("&amp;$AA$18&amp;",4)")</f>
        <v>Q1 2027 Earnings Release</v>
      </c>
      <c r="Z73" s="308" t="s">
        <v>197</v>
      </c>
      <c r="AA73" s="308">
        <v>188440</v>
      </c>
      <c r="AB73" s="314" cm="1">
        <f t="array" ref="AB73">_xll.FDS(AA73,"count(FG_CONSTITUENTS)")</f>
        <v>125</v>
      </c>
      <c r="AC73" s="233"/>
      <c r="AD73" s="233"/>
      <c r="AE73" s="233"/>
      <c r="AF73" s="233"/>
      <c r="AG73" s="233"/>
      <c r="AH73" s="233"/>
    </row>
    <row r="74" spans="2:34" x14ac:dyDescent="0.15">
      <c r="B74" s="298">
        <f t="shared" si="1"/>
        <v>59</v>
      </c>
      <c r="C74" s="299" t="str">
        <v>BIIB</v>
      </c>
      <c r="D74" s="300" t="str" cm="1">
        <f t="array" ref="D74">_xll.FDSB($C74,"FG_COMPANY_NAME")</f>
        <v>Biogen Inc.</v>
      </c>
      <c r="E74" s="300"/>
      <c r="F74" s="274" cm="1">
        <f t="array" ref="F74">_xll.FDSB($C74,"CS_EVENT_DATEJ_N("&amp;$AA$18&amp;",1)")</f>
        <v>46219</v>
      </c>
      <c r="G74" s="282" t="str" cm="1">
        <f t="array" ref="G74">_xll.FDSB($C74,"CS_EVENT_TIME_N("&amp;$AA$18&amp;",1)")</f>
        <v>Unspecified</v>
      </c>
      <c r="H74" s="282" t="str" cm="1">
        <f t="array" ref="H74">_xll.FDSB($C74,"CS_EVENT_DESC_N("&amp;$AA$18&amp;",1)")</f>
        <v>Q2 2026 Earnings Release (Projected)</v>
      </c>
      <c r="I74" s="282"/>
      <c r="J74" s="274" t="str" cm="1">
        <f t="array" ref="J74">_xll.FDSB($C74,"CS_EVENT_DATEJ_N("&amp;$AB$18&amp;",1)")</f>
        <v/>
      </c>
      <c r="K74" s="282" t="str" cm="1">
        <f t="array" ref="K74">_xll.FDSB($C74,"CS_EVENT_TIME_N("&amp;$AB$18&amp;",1)")</f>
        <v/>
      </c>
      <c r="L74" s="282" t="str" cm="1">
        <f t="array" ref="L74">_xll.FDSB($C74,"CS_EVENT_DESC_N("&amp;$AB$18&amp;",1)")</f>
        <v/>
      </c>
      <c r="M74" s="300"/>
      <c r="N74" s="274" cm="1">
        <f t="array" ref="N74">_xll.FDSB($C74,"CS_EVENT_DATEJ_N("&amp;$AA$18&amp;",2)")</f>
        <v>46324</v>
      </c>
      <c r="O74" s="282" t="str" cm="1">
        <f t="array" ref="O74">_xll.FDSB($C74,"CS_EVENT_TIME_N("&amp;$AA$18&amp;",2)")</f>
        <v>Unspecified</v>
      </c>
      <c r="P74" s="282" t="str" cm="1">
        <f t="array" ref="P74">_xll.FDSB($C74,"CS_EVENT_DESC_N("&amp;$AA$18&amp;",2)")</f>
        <v>Q3 2026 Earnings Release (Projected)</v>
      </c>
      <c r="Q74" s="282"/>
      <c r="R74" s="274" cm="1">
        <f t="array" ref="R74">_xll.FDSB($C74,"CS_EVENT_DATEJ_N("&amp;$AA$18&amp;",3)")</f>
        <v>46435</v>
      </c>
      <c r="S74" s="282" t="str" cm="1">
        <f t="array" ref="S74">_xll.FDSB($C74,"CS_EVENT_TIME_N("&amp;$AA$18&amp;",3)")</f>
        <v>Unspecified</v>
      </c>
      <c r="T74" s="282" t="str" cm="1">
        <f t="array" ref="T74">_xll.FDSB($C74,"CS_EVENT_DESC_N("&amp;$AA$18&amp;",3)")</f>
        <v>Q4 2026 Earnings Release (Projected)</v>
      </c>
      <c r="U74" s="282"/>
      <c r="V74" s="274" t="str" cm="1">
        <f t="array" ref="V74">_xll.FDSB($C74,"CS_EVENT_DATEJ_N("&amp;$AA$18&amp;",4)")</f>
        <v/>
      </c>
      <c r="W74" s="282" t="str" cm="1">
        <f t="array" ref="W74">_xll.FDSB($C74,"CS_EVENT_TIME_N("&amp;$AA$18&amp;",4)")</f>
        <v/>
      </c>
      <c r="X74" s="282" t="str" cm="1">
        <f t="array" ref="X74">_xll.FDSB($C74,"CS_EVENT_DESC_N("&amp;$AA$18&amp;",4)")</f>
        <v/>
      </c>
      <c r="Z74" s="308" t="s">
        <v>198</v>
      </c>
      <c r="AA74" s="308">
        <v>161597</v>
      </c>
      <c r="AB74" s="314" cm="1">
        <f t="array" ref="AB74">_xll.FDS(AA74,"count(FG_CONSTITUENTS)")</f>
        <v>269</v>
      </c>
      <c r="AC74" s="233"/>
      <c r="AD74" s="233"/>
      <c r="AE74" s="233"/>
      <c r="AF74" s="233"/>
      <c r="AG74" s="233"/>
      <c r="AH74" s="233"/>
    </row>
    <row r="75" spans="2:34" x14ac:dyDescent="0.15">
      <c r="B75" s="298">
        <f t="shared" si="1"/>
        <v>60</v>
      </c>
      <c r="C75" s="299" t="str">
        <v>TFC</v>
      </c>
      <c r="D75" s="300" t="str" cm="1">
        <f t="array" ref="D75">_xll.FDSB($C75,"FG_COMPANY_NAME")</f>
        <v>Truist Financial Corporation</v>
      </c>
      <c r="E75" s="300"/>
      <c r="F75" s="274" cm="1">
        <f t="array" ref="F75">_xll.FDSB($C75,"CS_EVENT_DATEJ_N("&amp;$AA$18&amp;",1)")</f>
        <v>46219</v>
      </c>
      <c r="G75" s="282" t="str" cm="1">
        <f t="array" ref="G75">_xll.FDSB($C75,"CS_EVENT_TIME_N("&amp;$AA$18&amp;",1)")</f>
        <v>Before Market</v>
      </c>
      <c r="H75" s="282" t="str" cm="1">
        <f t="array" ref="H75">_xll.FDSB($C75,"CS_EVENT_DESC_N("&amp;$AA$18&amp;",1)")</f>
        <v>Q2 2027 Earnings Release</v>
      </c>
      <c r="I75" s="282"/>
      <c r="J75" s="274" cm="1">
        <f t="array" ref="J75">_xll.FDSB($C75,"CS_EVENT_DATEJ_N("&amp;$AB$18&amp;",1)")</f>
        <v>46220</v>
      </c>
      <c r="K75" s="282" t="str" cm="1">
        <f t="array" ref="K75">_xll.FDSB($C75,"CS_EVENT_TIME_N("&amp;$AB$18&amp;",1)")</f>
        <v>8:00 AM</v>
      </c>
      <c r="L75" s="282" t="str" cm="1">
        <f t="array" ref="L75">_xll.FDSB($C75,"CS_EVENT_DESC_N("&amp;$AB$18&amp;",1)")</f>
        <v>Q2 2026 Earnings Call</v>
      </c>
      <c r="M75" s="300"/>
      <c r="N75" s="274" cm="1">
        <f t="array" ref="N75">_xll.FDSB($C75,"CS_EVENT_DATEJ_N("&amp;$AA$18&amp;",2)")</f>
        <v>46220</v>
      </c>
      <c r="O75" s="282" t="str" cm="1">
        <f t="array" ref="O75">_xll.FDSB($C75,"CS_EVENT_TIME_N("&amp;$AA$18&amp;",2)")</f>
        <v>Before Market</v>
      </c>
      <c r="P75" s="282" t="str" cm="1">
        <f t="array" ref="P75">_xll.FDSB($C75,"CS_EVENT_DESC_N("&amp;$AA$18&amp;",2)")</f>
        <v>Q2 2026 Earnings Release</v>
      </c>
      <c r="Q75" s="282"/>
      <c r="R75" s="274" cm="1">
        <f t="array" ref="R75">_xll.FDSB($C75,"CS_EVENT_DATEJ_N("&amp;$AA$18&amp;",3)")</f>
        <v>46311</v>
      </c>
      <c r="S75" s="282" t="str" cm="1">
        <f t="array" ref="S75">_xll.FDSB($C75,"CS_EVENT_TIME_N("&amp;$AA$18&amp;",3)")</f>
        <v>Before Market</v>
      </c>
      <c r="T75" s="282" t="str" cm="1">
        <f t="array" ref="T75">_xll.FDSB($C75,"CS_EVENT_DESC_N("&amp;$AA$18&amp;",3)")</f>
        <v>Q3 2026 Earnings Release</v>
      </c>
      <c r="U75" s="282"/>
      <c r="V75" s="274" cm="1">
        <f t="array" ref="V75">_xll.FDSB($C75,"CS_EVENT_DATEJ_N("&amp;$AA$18&amp;",4)")</f>
        <v>46407</v>
      </c>
      <c r="W75" s="282" t="str" cm="1">
        <f t="array" ref="W75">_xll.FDSB($C75,"CS_EVENT_TIME_N("&amp;$AA$18&amp;",4)")</f>
        <v>Before Market</v>
      </c>
      <c r="X75" s="282" t="str" cm="1">
        <f t="array" ref="X75">_xll.FDSB($C75,"CS_EVENT_DESC_N("&amp;$AA$18&amp;",4)")</f>
        <v>Q4 2026 Earnings Release</v>
      </c>
      <c r="Z75" s="308" t="s">
        <v>199</v>
      </c>
      <c r="AA75" s="308" t="s">
        <v>200</v>
      </c>
      <c r="AB75" s="314" cm="1">
        <f t="array" ref="AB75">_xll.FDS(AA75,"count(FG_CONSTITUENTS)")</f>
        <v>0</v>
      </c>
      <c r="AC75" s="233"/>
      <c r="AD75" s="233"/>
      <c r="AE75" s="233"/>
      <c r="AF75" s="233"/>
      <c r="AG75" s="233"/>
      <c r="AH75" s="233"/>
    </row>
    <row r="76" spans="2:34" x14ac:dyDescent="0.15">
      <c r="B76" s="298">
        <f t="shared" si="1"/>
        <v>61</v>
      </c>
      <c r="C76" s="299" t="str">
        <v>GE</v>
      </c>
      <c r="D76" s="300" t="str" cm="1">
        <f t="array" ref="D76">_xll.FDSB($C76,"FG_COMPANY_NAME")</f>
        <v>GE Aerospace</v>
      </c>
      <c r="E76" s="300"/>
      <c r="F76" s="274" cm="1">
        <f t="array" ref="F76">_xll.FDSB($C76,"CS_EVENT_DATEJ_N("&amp;$AA$18&amp;",1)")</f>
        <v>46219</v>
      </c>
      <c r="G76" s="282" t="str" cm="1">
        <f t="array" ref="G76">_xll.FDSB($C76,"CS_EVENT_TIME_N("&amp;$AA$18&amp;",1)")</f>
        <v>Before Market</v>
      </c>
      <c r="H76" s="282" t="str" cm="1">
        <f t="array" ref="H76">_xll.FDSB($C76,"CS_EVENT_DESC_N("&amp;$AA$18&amp;",1)")</f>
        <v>Q2 2026 Earnings Release</v>
      </c>
      <c r="I76" s="282"/>
      <c r="J76" s="274" cm="1">
        <f t="array" ref="J76">_xll.FDSB($C76,"CS_EVENT_DATEJ_N("&amp;$AB$18&amp;",1)")</f>
        <v>46219</v>
      </c>
      <c r="K76" s="282" t="str" cm="1">
        <f t="array" ref="K76">_xll.FDSB($C76,"CS_EVENT_TIME_N("&amp;$AB$18&amp;",1)")</f>
        <v>7:30 AM</v>
      </c>
      <c r="L76" s="282" t="str" cm="1">
        <f t="array" ref="L76">_xll.FDSB($C76,"CS_EVENT_DESC_N("&amp;$AB$18&amp;",1)")</f>
        <v>Q2 2026 Earnings Call</v>
      </c>
      <c r="M76" s="300"/>
      <c r="N76" s="274" cm="1">
        <f t="array" ref="N76">_xll.FDSB($C76,"CS_EVENT_DATEJ_N("&amp;$AA$18&amp;",2)")</f>
        <v>46315</v>
      </c>
      <c r="O76" s="282" t="str" cm="1">
        <f t="array" ref="O76">_xll.FDSB($C76,"CS_EVENT_TIME_N("&amp;$AA$18&amp;",2)")</f>
        <v>Unspecified</v>
      </c>
      <c r="P76" s="282" t="str" cm="1">
        <f t="array" ref="P76">_xll.FDSB($C76,"CS_EVENT_DESC_N("&amp;$AA$18&amp;",2)")</f>
        <v>Q3 2026 Earnings Release</v>
      </c>
      <c r="Q76" s="282"/>
      <c r="R76" s="274" cm="1">
        <f t="array" ref="R76">_xll.FDSB($C76,"CS_EVENT_DATEJ_N("&amp;$AA$18&amp;",3)")</f>
        <v>46413</v>
      </c>
      <c r="S76" s="282" t="str" cm="1">
        <f t="array" ref="S76">_xll.FDSB($C76,"CS_EVENT_TIME_N("&amp;$AA$18&amp;",3)")</f>
        <v>Unspecified</v>
      </c>
      <c r="T76" s="282" t="str" cm="1">
        <f t="array" ref="T76">_xll.FDSB($C76,"CS_EVENT_DESC_N("&amp;$AA$18&amp;",3)")</f>
        <v>Q4 2026 Earnings Release (Projected)</v>
      </c>
      <c r="U76" s="282"/>
      <c r="V76" s="274" cm="1">
        <f t="array" ref="V76">_xll.FDSB($C76,"CS_EVENT_DATEJ_N("&amp;$AA$18&amp;",4)")</f>
        <v>46504</v>
      </c>
      <c r="W76" s="282" t="str" cm="1">
        <f t="array" ref="W76">_xll.FDSB($C76,"CS_EVENT_TIME_N("&amp;$AA$18&amp;",4)")</f>
        <v>Unspecified</v>
      </c>
      <c r="X76" s="282" t="str" cm="1">
        <f t="array" ref="X76">_xll.FDSB($C76,"CS_EVENT_DESC_N("&amp;$AA$18&amp;",4)")</f>
        <v>Q1 2027 Earnings Release (Projected)</v>
      </c>
      <c r="Z76" s="308" t="s">
        <v>201</v>
      </c>
      <c r="AA76" s="308" t="s">
        <v>202</v>
      </c>
      <c r="AB76" s="314" cm="1">
        <f t="array" ref="AB76">_xll.FDS(AA76,"count(FG_CONSTITUENTS)")</f>
        <v>0</v>
      </c>
      <c r="AC76" s="233"/>
      <c r="AD76" s="233"/>
      <c r="AE76" s="233"/>
      <c r="AF76" s="233"/>
      <c r="AG76" s="233"/>
      <c r="AH76" s="233"/>
    </row>
    <row r="77" spans="2:34" x14ac:dyDescent="0.15">
      <c r="B77" s="298">
        <f t="shared" si="1"/>
        <v>62</v>
      </c>
      <c r="C77" s="299" t="str">
        <v>POOL</v>
      </c>
      <c r="D77" s="300" t="str" cm="1">
        <f t="array" ref="D77">_xll.FDSB($C77,"FG_COMPANY_NAME")</f>
        <v>Pool Corporation</v>
      </c>
      <c r="E77" s="300"/>
      <c r="F77" s="274" cm="1">
        <f t="array" ref="F77">_xll.FDSB($C77,"CS_EVENT_DATEJ_N("&amp;$AA$18&amp;",1)")</f>
        <v>46219</v>
      </c>
      <c r="G77" s="282" t="str" cm="1">
        <f t="array" ref="G77">_xll.FDSB($C77,"CS_EVENT_TIME_N("&amp;$AA$18&amp;",1)")</f>
        <v>Unspecified</v>
      </c>
      <c r="H77" s="282" t="str" cm="1">
        <f t="array" ref="H77">_xll.FDSB($C77,"CS_EVENT_DESC_N("&amp;$AA$18&amp;",1)")</f>
        <v>Q2 2026 Earnings Release (Projected)</v>
      </c>
      <c r="I77" s="282"/>
      <c r="J77" s="274" t="str" cm="1">
        <f t="array" ref="J77">_xll.FDSB($C77,"CS_EVENT_DATEJ_N("&amp;$AB$18&amp;",1)")</f>
        <v/>
      </c>
      <c r="K77" s="282" t="str" cm="1">
        <f t="array" ref="K77">_xll.FDSB($C77,"CS_EVENT_TIME_N("&amp;$AB$18&amp;",1)")</f>
        <v/>
      </c>
      <c r="L77" s="282" t="str" cm="1">
        <f t="array" ref="L77">_xll.FDSB($C77,"CS_EVENT_DESC_N("&amp;$AB$18&amp;",1)")</f>
        <v/>
      </c>
      <c r="M77" s="300"/>
      <c r="N77" s="274" cm="1">
        <f t="array" ref="N77">_xll.FDSB($C77,"CS_EVENT_DATEJ_N("&amp;$AA$18&amp;",2)")</f>
        <v>46310</v>
      </c>
      <c r="O77" s="282" t="str" cm="1">
        <f t="array" ref="O77">_xll.FDSB($C77,"CS_EVENT_TIME_N("&amp;$AA$18&amp;",2)")</f>
        <v>Unspecified</v>
      </c>
      <c r="P77" s="282" t="str" cm="1">
        <f t="array" ref="P77">_xll.FDSB($C77,"CS_EVENT_DESC_N("&amp;$AA$18&amp;",2)")</f>
        <v>Q3 2026 Earnings Release (Projected)</v>
      </c>
      <c r="Q77" s="282"/>
      <c r="R77" s="274" cm="1">
        <f t="array" ref="R77">_xll.FDSB($C77,"CS_EVENT_DATEJ_N("&amp;$AA$18&amp;",3)")</f>
        <v>46443</v>
      </c>
      <c r="S77" s="282" t="str" cm="1">
        <f t="array" ref="S77">_xll.FDSB($C77,"CS_EVENT_TIME_N("&amp;$AA$18&amp;",3)")</f>
        <v>Unspecified</v>
      </c>
      <c r="T77" s="282" t="str" cm="1">
        <f t="array" ref="T77">_xll.FDSB($C77,"CS_EVENT_DESC_N("&amp;$AA$18&amp;",3)")</f>
        <v>Q4 2026 Earnings Release (Projected)</v>
      </c>
      <c r="U77" s="282"/>
      <c r="V77" s="274" cm="1">
        <f t="array" ref="V77">_xll.FDSB($C77,"CS_EVENT_DATEJ_N("&amp;$AA$18&amp;",4)")</f>
        <v>46499</v>
      </c>
      <c r="W77" s="282" t="str" cm="1">
        <f t="array" ref="W77">_xll.FDSB($C77,"CS_EVENT_TIME_N("&amp;$AA$18&amp;",4)")</f>
        <v>Unspecified</v>
      </c>
      <c r="X77" s="282" t="str" cm="1">
        <f t="array" ref="X77">_xll.FDSB($C77,"CS_EVENT_DESC_N("&amp;$AA$18&amp;",4)")</f>
        <v>Q1 2027 Earnings Release (Projected)</v>
      </c>
      <c r="Z77" s="308" t="s">
        <v>203</v>
      </c>
      <c r="AA77" s="308" t="s">
        <v>204</v>
      </c>
      <c r="AB77" s="314" cm="1">
        <f t="array" ref="AB77">_xll.FDS(AA77,"count(FG_CONSTITUENTS)")</f>
        <v>0</v>
      </c>
      <c r="AC77" s="233"/>
      <c r="AD77" s="233"/>
      <c r="AE77" s="233"/>
      <c r="AF77" s="233"/>
      <c r="AG77" s="233"/>
      <c r="AH77" s="233"/>
    </row>
    <row r="78" spans="2:34" x14ac:dyDescent="0.15">
      <c r="B78" s="298">
        <f t="shared" si="1"/>
        <v>63</v>
      </c>
      <c r="C78" s="299" t="str">
        <v>SNA</v>
      </c>
      <c r="D78" s="300" t="str" cm="1">
        <f t="array" ref="D78">_xll.FDSB($C78,"FG_COMPANY_NAME")</f>
        <v>Snap-on Incorporated</v>
      </c>
      <c r="E78" s="300"/>
      <c r="F78" s="274" cm="1">
        <f t="array" ref="F78">_xll.FDSB($C78,"CS_EVENT_DATEJ_N("&amp;$AA$18&amp;",1)")</f>
        <v>46219</v>
      </c>
      <c r="G78" s="282" t="str" cm="1">
        <f t="array" ref="G78">_xll.FDSB($C78,"CS_EVENT_TIME_N("&amp;$AA$18&amp;",1)")</f>
        <v>Unspecified</v>
      </c>
      <c r="H78" s="282" t="str" cm="1">
        <f t="array" ref="H78">_xll.FDSB($C78,"CS_EVENT_DESC_N("&amp;$AA$18&amp;",1)")</f>
        <v>Q2 2026 Earnings Release (Projected)</v>
      </c>
      <c r="I78" s="282"/>
      <c r="J78" s="274" t="str" cm="1">
        <f t="array" ref="J78">_xll.FDSB($C78,"CS_EVENT_DATEJ_N("&amp;$AB$18&amp;",1)")</f>
        <v/>
      </c>
      <c r="K78" s="282" t="str" cm="1">
        <f t="array" ref="K78">_xll.FDSB($C78,"CS_EVENT_TIME_N("&amp;$AB$18&amp;",1)")</f>
        <v/>
      </c>
      <c r="L78" s="282" t="str" cm="1">
        <f t="array" ref="L78">_xll.FDSB($C78,"CS_EVENT_DESC_N("&amp;$AB$18&amp;",1)")</f>
        <v/>
      </c>
      <c r="M78" s="300"/>
      <c r="N78" s="274" cm="1">
        <f t="array" ref="N78">_xll.FDSB($C78,"CS_EVENT_DATEJ_N("&amp;$AA$18&amp;",2)")</f>
        <v>46310</v>
      </c>
      <c r="O78" s="282" t="str" cm="1">
        <f t="array" ref="O78">_xll.FDSB($C78,"CS_EVENT_TIME_N("&amp;$AA$18&amp;",2)")</f>
        <v>Unspecified</v>
      </c>
      <c r="P78" s="282" t="str" cm="1">
        <f t="array" ref="P78">_xll.FDSB($C78,"CS_EVENT_DESC_N("&amp;$AA$18&amp;",2)")</f>
        <v>Q3 2026 Earnings Release (Projected)</v>
      </c>
      <c r="Q78" s="282"/>
      <c r="R78" s="274" cm="1">
        <f t="array" ref="R78">_xll.FDSB($C78,"CS_EVENT_DATEJ_N("&amp;$AA$18&amp;",3)")</f>
        <v>46422</v>
      </c>
      <c r="S78" s="282" t="str" cm="1">
        <f t="array" ref="S78">_xll.FDSB($C78,"CS_EVENT_TIME_N("&amp;$AA$18&amp;",3)")</f>
        <v>Unspecified</v>
      </c>
      <c r="T78" s="282" t="str" cm="1">
        <f t="array" ref="T78">_xll.FDSB($C78,"CS_EVENT_DESC_N("&amp;$AA$18&amp;",3)")</f>
        <v>Q4 2026 Earnings Release (Projected)</v>
      </c>
      <c r="U78" s="282"/>
      <c r="V78" s="274" cm="1">
        <f t="array" ref="V78">_xll.FDSB($C78,"CS_EVENT_DATEJ_N("&amp;$AA$18&amp;",4)")</f>
        <v>46499</v>
      </c>
      <c r="W78" s="282" t="str" cm="1">
        <f t="array" ref="W78">_xll.FDSB($C78,"CS_EVENT_TIME_N("&amp;$AA$18&amp;",4)")</f>
        <v>Unspecified</v>
      </c>
      <c r="X78" s="282" t="str" cm="1">
        <f t="array" ref="X78">_xll.FDSB($C78,"CS_EVENT_DESC_N("&amp;$AA$18&amp;",4)")</f>
        <v>Q1 2027 Earnings Release (Projected)</v>
      </c>
      <c r="Z78" s="308" t="s">
        <v>205</v>
      </c>
      <c r="AA78" s="308">
        <v>140378</v>
      </c>
      <c r="AB78" s="314" cm="1">
        <f t="array" ref="AB78">_xll.FDS(AA78,"count(FG_CONSTITUENTS)")</f>
        <v>0</v>
      </c>
      <c r="AC78" s="233"/>
      <c r="AD78" s="233"/>
      <c r="AE78" s="233"/>
      <c r="AF78" s="233"/>
      <c r="AG78" s="233"/>
      <c r="AH78" s="233"/>
    </row>
    <row r="79" spans="2:34" x14ac:dyDescent="0.15">
      <c r="B79" s="298">
        <f t="shared" si="1"/>
        <v>64</v>
      </c>
      <c r="C79" s="299" t="str">
        <v>MRSH</v>
      </c>
      <c r="D79" s="300" t="str" cm="1">
        <f t="array" ref="D79">_xll.FDSB($C79,"FG_COMPANY_NAME")</f>
        <v>Marsh &amp; McLennan Companies, Inc.</v>
      </c>
      <c r="E79" s="300"/>
      <c r="F79" s="274" cm="1">
        <f t="array" ref="F79">_xll.FDSB($C79,"CS_EVENT_DATEJ_N("&amp;$AA$18&amp;",1)")</f>
        <v>46219</v>
      </c>
      <c r="G79" s="282" t="str" cm="1">
        <f t="array" ref="G79">_xll.FDSB($C79,"CS_EVENT_TIME_N("&amp;$AA$18&amp;",1)")</f>
        <v>Unspecified</v>
      </c>
      <c r="H79" s="282" t="str" cm="1">
        <f t="array" ref="H79">_xll.FDSB($C79,"CS_EVENT_DESC_N("&amp;$AA$18&amp;",1)")</f>
        <v>Q2 2026 Earnings Release (Projected)</v>
      </c>
      <c r="I79" s="282"/>
      <c r="J79" s="274" t="str" cm="1">
        <f t="array" ref="J79">_xll.FDSB($C79,"CS_EVENT_DATEJ_N("&amp;$AB$18&amp;",1)")</f>
        <v/>
      </c>
      <c r="K79" s="282" t="str" cm="1">
        <f t="array" ref="K79">_xll.FDSB($C79,"CS_EVENT_TIME_N("&amp;$AB$18&amp;",1)")</f>
        <v/>
      </c>
      <c r="L79" s="282" t="str" cm="1">
        <f t="array" ref="L79">_xll.FDSB($C79,"CS_EVENT_DESC_N("&amp;$AB$18&amp;",1)")</f>
        <v/>
      </c>
      <c r="M79" s="300"/>
      <c r="N79" s="274" cm="1">
        <f t="array" ref="N79">_xll.FDSB($C79,"CS_EVENT_DATEJ_N("&amp;$AA$18&amp;",2)")</f>
        <v>46310</v>
      </c>
      <c r="O79" s="282" t="str" cm="1">
        <f t="array" ref="O79">_xll.FDSB($C79,"CS_EVENT_TIME_N("&amp;$AA$18&amp;",2)")</f>
        <v>Unspecified</v>
      </c>
      <c r="P79" s="282" t="str" cm="1">
        <f t="array" ref="P79">_xll.FDSB($C79,"CS_EVENT_DESC_N("&amp;$AA$18&amp;",2)")</f>
        <v>Q3 2026 Earnings Release (Projected)</v>
      </c>
      <c r="Q79" s="282"/>
      <c r="R79" s="274" cm="1">
        <f t="array" ref="R79">_xll.FDSB($C79,"CS_EVENT_DATEJ_N("&amp;$AA$18&amp;",3)")</f>
        <v>46415</v>
      </c>
      <c r="S79" s="282" t="str" cm="1">
        <f t="array" ref="S79">_xll.FDSB($C79,"CS_EVENT_TIME_N("&amp;$AA$18&amp;",3)")</f>
        <v>Unspecified</v>
      </c>
      <c r="T79" s="282" t="str" cm="1">
        <f t="array" ref="T79">_xll.FDSB($C79,"CS_EVENT_DESC_N("&amp;$AA$18&amp;",3)")</f>
        <v>Q4 2026 Earnings Release (Projected)</v>
      </c>
      <c r="U79" s="282"/>
      <c r="V79" s="274" cm="1">
        <f t="array" ref="V79">_xll.FDSB($C79,"CS_EVENT_DATEJ_N("&amp;$AA$18&amp;",4)")</f>
        <v>46499</v>
      </c>
      <c r="W79" s="282" t="str" cm="1">
        <f t="array" ref="W79">_xll.FDSB($C79,"CS_EVENT_TIME_N("&amp;$AA$18&amp;",4)")</f>
        <v>Unspecified</v>
      </c>
      <c r="X79" s="282" t="str" cm="1">
        <f t="array" ref="X79">_xll.FDSB($C79,"CS_EVENT_DESC_N("&amp;$AA$18&amp;",4)")</f>
        <v>Q1 2027 Earnings Release (Projected)</v>
      </c>
      <c r="Z79" s="308" t="s">
        <v>206</v>
      </c>
      <c r="AA79" s="308" t="s">
        <v>207</v>
      </c>
      <c r="AB79" s="314" cm="1">
        <f t="array" ref="AB79">_xll.FDS(AA79,"count(FG_CONSTITUENTS)")</f>
        <v>0</v>
      </c>
      <c r="AC79" s="233"/>
      <c r="AD79" s="233"/>
      <c r="AE79" s="233"/>
      <c r="AF79" s="233"/>
      <c r="AG79" s="233"/>
      <c r="AH79" s="233"/>
    </row>
    <row r="80" spans="2:34" x14ac:dyDescent="0.15">
      <c r="B80" s="298">
        <f t="shared" si="1"/>
        <v>65</v>
      </c>
      <c r="C80" s="299" t="str">
        <v>NFLX</v>
      </c>
      <c r="D80" s="300" t="str" cm="1">
        <f t="array" ref="D80">_xll.FDSB($C80,"FG_COMPANY_NAME")</f>
        <v>Netflix, Inc.</v>
      </c>
      <c r="E80" s="300"/>
      <c r="F80" s="274" cm="1">
        <f t="array" ref="F80">_xll.FDSB($C80,"CS_EVENT_DATEJ_N("&amp;$AA$18&amp;",1)")</f>
        <v>46219</v>
      </c>
      <c r="G80" s="282" t="str" cm="1">
        <f t="array" ref="G80">_xll.FDSB($C80,"CS_EVENT_TIME_N("&amp;$AA$18&amp;",1)")</f>
        <v>Unspecified</v>
      </c>
      <c r="H80" s="282" t="str" cm="1">
        <f t="array" ref="H80">_xll.FDSB($C80,"CS_EVENT_DESC_N("&amp;$AA$18&amp;",1)")</f>
        <v>Q2 2026 Earnings Release (Projected)</v>
      </c>
      <c r="I80" s="282"/>
      <c r="J80" s="274" t="str" cm="1">
        <f t="array" ref="J80">_xll.FDSB($C80,"CS_EVENT_DATEJ_N("&amp;$AB$18&amp;",1)")</f>
        <v/>
      </c>
      <c r="K80" s="282" t="str" cm="1">
        <f t="array" ref="K80">_xll.FDSB($C80,"CS_EVENT_TIME_N("&amp;$AB$18&amp;",1)")</f>
        <v/>
      </c>
      <c r="L80" s="282" t="str" cm="1">
        <f t="array" ref="L80">_xll.FDSB($C80,"CS_EVENT_DESC_N("&amp;$AB$18&amp;",1)")</f>
        <v/>
      </c>
      <c r="M80" s="300"/>
      <c r="N80" s="274" cm="1">
        <f t="array" ref="N80">_xll.FDSB($C80,"CS_EVENT_DATEJ_N("&amp;$AA$18&amp;",2)")</f>
        <v>46315</v>
      </c>
      <c r="O80" s="282" t="str" cm="1">
        <f t="array" ref="O80">_xll.FDSB($C80,"CS_EVENT_TIME_N("&amp;$AA$18&amp;",2)")</f>
        <v>Unspecified</v>
      </c>
      <c r="P80" s="282" t="str" cm="1">
        <f t="array" ref="P80">_xll.FDSB($C80,"CS_EVENT_DESC_N("&amp;$AA$18&amp;",2)")</f>
        <v>Q3 2026 Earnings Release (Projected)</v>
      </c>
      <c r="Q80" s="282"/>
      <c r="R80" s="274" t="str" cm="1">
        <f t="array" ref="R80">_xll.FDSB($C80,"CS_EVENT_DATEJ_N("&amp;$AA$18&amp;",3)")</f>
        <v/>
      </c>
      <c r="S80" s="282" t="str" cm="1">
        <f t="array" ref="S80">_xll.FDSB($C80,"CS_EVENT_TIME_N("&amp;$AA$18&amp;",3)")</f>
        <v/>
      </c>
      <c r="T80" s="282" t="str" cm="1">
        <f t="array" ref="T80">_xll.FDSB($C80,"CS_EVENT_DESC_N("&amp;$AA$18&amp;",3)")</f>
        <v/>
      </c>
      <c r="U80" s="282"/>
      <c r="V80" s="274" t="str" cm="1">
        <f t="array" ref="V80">_xll.FDSB($C80,"CS_EVENT_DATEJ_N("&amp;$AA$18&amp;",4)")</f>
        <v/>
      </c>
      <c r="W80" s="282" t="str" cm="1">
        <f t="array" ref="W80">_xll.FDSB($C80,"CS_EVENT_TIME_N("&amp;$AA$18&amp;",4)")</f>
        <v/>
      </c>
      <c r="X80" s="282" t="str" cm="1">
        <f t="array" ref="X80">_xll.FDSB($C80,"CS_EVENT_DESC_N("&amp;$AA$18&amp;",4)")</f>
        <v/>
      </c>
      <c r="Z80" s="283"/>
    </row>
    <row r="81" spans="2:26" x14ac:dyDescent="0.15">
      <c r="B81" s="298">
        <f t="shared" si="1"/>
        <v>66</v>
      </c>
      <c r="C81" s="299" t="str">
        <v>ABT</v>
      </c>
      <c r="D81" s="300" t="str" cm="1">
        <f t="array" ref="D81">_xll.FDSB($C81,"FG_COMPANY_NAME")</f>
        <v>Abbott Laboratories</v>
      </c>
      <c r="E81" s="300"/>
      <c r="F81" s="274" cm="1">
        <f t="array" ref="F81">_xll.FDSB($C81,"CS_EVENT_DATEJ_N("&amp;$AA$18&amp;",1)")</f>
        <v>46219</v>
      </c>
      <c r="G81" s="282" t="str" cm="1">
        <f t="array" ref="G81">_xll.FDSB($C81,"CS_EVENT_TIME_N("&amp;$AA$18&amp;",1)")</f>
        <v>Unspecified</v>
      </c>
      <c r="H81" s="282" t="str" cm="1">
        <f t="array" ref="H81">_xll.FDSB($C81,"CS_EVENT_DESC_N("&amp;$AA$18&amp;",1)")</f>
        <v>Q2 2026 Earnings Release (Projected)</v>
      </c>
      <c r="I81" s="282"/>
      <c r="J81" s="274" t="str" cm="1">
        <f t="array" ref="J81">_xll.FDSB($C81,"CS_EVENT_DATEJ_N("&amp;$AB$18&amp;",1)")</f>
        <v/>
      </c>
      <c r="K81" s="282" t="str" cm="1">
        <f t="array" ref="K81">_xll.FDSB($C81,"CS_EVENT_TIME_N("&amp;$AB$18&amp;",1)")</f>
        <v/>
      </c>
      <c r="L81" s="282" t="str" cm="1">
        <f t="array" ref="L81">_xll.FDSB($C81,"CS_EVENT_DESC_N("&amp;$AB$18&amp;",1)")</f>
        <v/>
      </c>
      <c r="M81" s="300"/>
      <c r="N81" s="274" cm="1">
        <f t="array" ref="N81">_xll.FDSB($C81,"CS_EVENT_DATEJ_N("&amp;$AA$18&amp;",2)")</f>
        <v>46316</v>
      </c>
      <c r="O81" s="282" t="str" cm="1">
        <f t="array" ref="O81">_xll.FDSB($C81,"CS_EVENT_TIME_N("&amp;$AA$18&amp;",2)")</f>
        <v>Unspecified</v>
      </c>
      <c r="P81" s="282" t="str" cm="1">
        <f t="array" ref="P81">_xll.FDSB($C81,"CS_EVENT_DESC_N("&amp;$AA$18&amp;",2)")</f>
        <v>Q3 2026 Earnings Release (Projected)</v>
      </c>
      <c r="Q81" s="282"/>
      <c r="R81" s="274" cm="1">
        <f t="array" ref="R81">_xll.FDSB($C81,"CS_EVENT_DATEJ_N("&amp;$AA$18&amp;",3)")</f>
        <v>46414</v>
      </c>
      <c r="S81" s="282" t="str" cm="1">
        <f t="array" ref="S81">_xll.FDSB($C81,"CS_EVENT_TIME_N("&amp;$AA$18&amp;",3)")</f>
        <v>Unspecified</v>
      </c>
      <c r="T81" s="282" t="str" cm="1">
        <f t="array" ref="T81">_xll.FDSB($C81,"CS_EVENT_DESC_N("&amp;$AA$18&amp;",3)")</f>
        <v>Q4 2026 Earnings Release (Projected)</v>
      </c>
      <c r="U81" s="282"/>
      <c r="V81" s="274" cm="1">
        <f t="array" ref="V81">_xll.FDSB($C81,"CS_EVENT_DATEJ_N("&amp;$AA$18&amp;",4)")</f>
        <v>46491</v>
      </c>
      <c r="W81" s="282" t="str" cm="1">
        <f t="array" ref="W81">_xll.FDSB($C81,"CS_EVENT_TIME_N("&amp;$AA$18&amp;",4)")</f>
        <v>Unspecified</v>
      </c>
      <c r="X81" s="282" t="str" cm="1">
        <f t="array" ref="X81">_xll.FDSB($C81,"CS_EVENT_DESC_N("&amp;$AA$18&amp;",4)")</f>
        <v>Q1 2027 Earnings Release (Projected)</v>
      </c>
    </row>
    <row r="82" spans="2:26" x14ac:dyDescent="0.15">
      <c r="B82" s="298">
        <f t="shared" ref="B82:B145" si="3">B81+1</f>
        <v>67</v>
      </c>
      <c r="C82" s="299" t="str">
        <v>ISRG</v>
      </c>
      <c r="D82" s="300" t="str" cm="1">
        <f t="array" ref="D82">_xll.FDSB($C82,"FG_COMPANY_NAME")</f>
        <v>Intuitive Surgical, Inc.</v>
      </c>
      <c r="E82" s="300"/>
      <c r="F82" s="274" cm="1">
        <f t="array" ref="F82">_xll.FDSB($C82,"CS_EVENT_DATEJ_N("&amp;$AA$18&amp;",1)")</f>
        <v>46219</v>
      </c>
      <c r="G82" s="282" t="str" cm="1">
        <f t="array" ref="G82">_xll.FDSB($C82,"CS_EVENT_TIME_N("&amp;$AA$18&amp;",1)")</f>
        <v>Unspecified</v>
      </c>
      <c r="H82" s="282" t="str" cm="1">
        <f t="array" ref="H82">_xll.FDSB($C82,"CS_EVENT_DESC_N("&amp;$AA$18&amp;",1)")</f>
        <v>Q2 2026 Earnings Release (Projected)</v>
      </c>
      <c r="I82" s="282"/>
      <c r="J82" s="274" t="str" cm="1">
        <f t="array" ref="J82">_xll.FDSB($C82,"CS_EVENT_DATEJ_N("&amp;$AB$18&amp;",1)")</f>
        <v/>
      </c>
      <c r="K82" s="282" t="str" cm="1">
        <f t="array" ref="K82">_xll.FDSB($C82,"CS_EVENT_TIME_N("&amp;$AB$18&amp;",1)")</f>
        <v/>
      </c>
      <c r="L82" s="282" t="str" cm="1">
        <f t="array" ref="L82">_xll.FDSB($C82,"CS_EVENT_DESC_N("&amp;$AB$18&amp;",1)")</f>
        <v/>
      </c>
      <c r="M82" s="300"/>
      <c r="N82" s="274" cm="1">
        <f t="array" ref="N82">_xll.FDSB($C82,"CS_EVENT_DATEJ_N("&amp;$AA$18&amp;",2)")</f>
        <v>46315</v>
      </c>
      <c r="O82" s="282" t="str" cm="1">
        <f t="array" ref="O82">_xll.FDSB($C82,"CS_EVENT_TIME_N("&amp;$AA$18&amp;",2)")</f>
        <v>Unspecified</v>
      </c>
      <c r="P82" s="282" t="str" cm="1">
        <f t="array" ref="P82">_xll.FDSB($C82,"CS_EVENT_DESC_N("&amp;$AA$18&amp;",2)")</f>
        <v>Q3 2026 Earnings Release (Projected)</v>
      </c>
      <c r="Q82" s="282"/>
      <c r="R82" s="274" cm="1">
        <f t="array" ref="R82">_xll.FDSB($C82,"CS_EVENT_DATEJ_N("&amp;$AA$18&amp;",3)")</f>
        <v>46413</v>
      </c>
      <c r="S82" s="282" t="str" cm="1">
        <f t="array" ref="S82">_xll.FDSB($C82,"CS_EVENT_TIME_N("&amp;$AA$18&amp;",3)")</f>
        <v>Unspecified</v>
      </c>
      <c r="T82" s="282" t="str" cm="1">
        <f t="array" ref="T82">_xll.FDSB($C82,"CS_EVENT_DESC_N("&amp;$AA$18&amp;",3)")</f>
        <v>Q4 2026 Earnings Release (Projected)</v>
      </c>
      <c r="U82" s="282"/>
      <c r="V82" s="274" cm="1">
        <f t="array" ref="V82">_xll.FDSB($C82,"CS_EVENT_DATEJ_N("&amp;$AA$18&amp;",4)")</f>
        <v>46497</v>
      </c>
      <c r="W82" s="282" t="str" cm="1">
        <f t="array" ref="W82">_xll.FDSB($C82,"CS_EVENT_TIME_N("&amp;$AA$18&amp;",4)")</f>
        <v>Unspecified</v>
      </c>
      <c r="X82" s="282" t="str" cm="1">
        <f t="array" ref="X82">_xll.FDSB($C82,"CS_EVENT_DESC_N("&amp;$AA$18&amp;",4)")</f>
        <v>Q1 2027 Earnings Release (Projected)</v>
      </c>
    </row>
    <row r="83" spans="2:26" x14ac:dyDescent="0.15">
      <c r="B83" s="298">
        <f t="shared" si="3"/>
        <v>68</v>
      </c>
      <c r="C83" s="299" t="str">
        <v>PPG</v>
      </c>
      <c r="D83" s="300" t="str" cm="1">
        <f t="array" ref="D83">_xll.FDSB($C83,"FG_COMPANY_NAME")</f>
        <v>PPG Industries, Inc.</v>
      </c>
      <c r="E83" s="300"/>
      <c r="F83" s="274" cm="1">
        <f t="array" ref="F83">_xll.FDSB($C83,"CS_EVENT_DATEJ_N("&amp;$AA$18&amp;",1)")</f>
        <v>46219</v>
      </c>
      <c r="G83" s="282" t="str" cm="1">
        <f t="array" ref="G83">_xll.FDSB($C83,"CS_EVENT_TIME_N("&amp;$AA$18&amp;",1)")</f>
        <v>Unspecified</v>
      </c>
      <c r="H83" s="282" t="str" cm="1">
        <f t="array" ref="H83">_xll.FDSB($C83,"CS_EVENT_DESC_N("&amp;$AA$18&amp;",1)")</f>
        <v>Q2 2026 Earnings Release (Projected)</v>
      </c>
      <c r="I83" s="282"/>
      <c r="J83" s="274" t="str" cm="1">
        <f t="array" ref="J83">_xll.FDSB($C83,"CS_EVENT_DATEJ_N("&amp;$AB$18&amp;",1)")</f>
        <v/>
      </c>
      <c r="K83" s="282" t="str" cm="1">
        <f t="array" ref="K83">_xll.FDSB($C83,"CS_EVENT_TIME_N("&amp;$AB$18&amp;",1)")</f>
        <v/>
      </c>
      <c r="L83" s="282" t="str" cm="1">
        <f t="array" ref="L83">_xll.FDSB($C83,"CS_EVENT_DESC_N("&amp;$AB$18&amp;",1)")</f>
        <v/>
      </c>
      <c r="M83" s="300"/>
      <c r="N83" s="274" cm="1">
        <f t="array" ref="N83">_xll.FDSB($C83,"CS_EVENT_DATEJ_N("&amp;$AA$18&amp;",2)")</f>
        <v>46316</v>
      </c>
      <c r="O83" s="282" t="str" cm="1">
        <f t="array" ref="O83">_xll.FDSB($C83,"CS_EVENT_TIME_N("&amp;$AA$18&amp;",2)")</f>
        <v>Unspecified</v>
      </c>
      <c r="P83" s="282" t="str" cm="1">
        <f t="array" ref="P83">_xll.FDSB($C83,"CS_EVENT_DESC_N("&amp;$AA$18&amp;",2)")</f>
        <v>Q3 2026 Earnings Release (Projected)</v>
      </c>
      <c r="Q83" s="282"/>
      <c r="R83" s="274" cm="1">
        <f t="array" ref="R83">_xll.FDSB($C83,"CS_EVENT_DATEJ_N("&amp;$AA$18&amp;",3)")</f>
        <v>46408</v>
      </c>
      <c r="S83" s="282" t="str" cm="1">
        <f t="array" ref="S83">_xll.FDSB($C83,"CS_EVENT_TIME_N("&amp;$AA$18&amp;",3)")</f>
        <v>Unspecified</v>
      </c>
      <c r="T83" s="282" t="str" cm="1">
        <f t="array" ref="T83">_xll.FDSB($C83,"CS_EVENT_DESC_N("&amp;$AA$18&amp;",3)")</f>
        <v>Q4 2026 Earnings Release (Projected)</v>
      </c>
      <c r="U83" s="282"/>
      <c r="V83" s="274" cm="1">
        <f t="array" ref="V83">_xll.FDSB($C83,"CS_EVENT_DATEJ_N("&amp;$AA$18&amp;",4)")</f>
        <v>46499</v>
      </c>
      <c r="W83" s="282" t="str" cm="1">
        <f t="array" ref="W83">_xll.FDSB($C83,"CS_EVENT_TIME_N("&amp;$AA$18&amp;",4)")</f>
        <v>Unspecified</v>
      </c>
      <c r="X83" s="282" t="str" cm="1">
        <f t="array" ref="X83">_xll.FDSB($C83,"CS_EVENT_DESC_N("&amp;$AA$18&amp;",4)")</f>
        <v>Q1 2027 Earnings Release (Projected)</v>
      </c>
    </row>
    <row r="84" spans="2:26" x14ac:dyDescent="0.15">
      <c r="B84" s="298">
        <f t="shared" si="3"/>
        <v>69</v>
      </c>
      <c r="C84" s="299" t="str">
        <v>DPZ</v>
      </c>
      <c r="D84" s="300" t="str" cm="1">
        <f t="array" ref="D84">_xll.FDSB($C84,"FG_COMPANY_NAME")</f>
        <v>Domino's Pizza, Inc.</v>
      </c>
      <c r="E84" s="300"/>
      <c r="F84" s="274" cm="1">
        <f t="array" ref="F84">_xll.FDSB($C84,"CS_EVENT_DATEJ_N("&amp;$AA$18&amp;",1)")</f>
        <v>46219</v>
      </c>
      <c r="G84" s="282" t="str" cm="1">
        <f t="array" ref="G84">_xll.FDSB($C84,"CS_EVENT_TIME_N("&amp;$AA$18&amp;",1)")</f>
        <v>Unspecified</v>
      </c>
      <c r="H84" s="282" t="str" cm="1">
        <f t="array" ref="H84">_xll.FDSB($C84,"CS_EVENT_DESC_N("&amp;$AA$18&amp;",1)")</f>
        <v>Q2 2026 Earnings Release (Projected)</v>
      </c>
      <c r="I84" s="282"/>
      <c r="J84" s="274" t="str" cm="1">
        <f t="array" ref="J84">_xll.FDSB($C84,"CS_EVENT_DATEJ_N("&amp;$AB$18&amp;",1)")</f>
        <v/>
      </c>
      <c r="K84" s="282" t="str" cm="1">
        <f t="array" ref="K84">_xll.FDSB($C84,"CS_EVENT_TIME_N("&amp;$AB$18&amp;",1)")</f>
        <v/>
      </c>
      <c r="L84" s="282" t="str" cm="1">
        <f t="array" ref="L84">_xll.FDSB($C84,"CS_EVENT_DESC_N("&amp;$AB$18&amp;",1)")</f>
        <v/>
      </c>
      <c r="M84" s="300"/>
      <c r="N84" s="274" cm="1">
        <f t="array" ref="N84">_xll.FDSB($C84,"CS_EVENT_DATEJ_N("&amp;$AA$18&amp;",2)")</f>
        <v>46303</v>
      </c>
      <c r="O84" s="282" t="str" cm="1">
        <f t="array" ref="O84">_xll.FDSB($C84,"CS_EVENT_TIME_N("&amp;$AA$18&amp;",2)")</f>
        <v>Unspecified</v>
      </c>
      <c r="P84" s="282" t="str" cm="1">
        <f t="array" ref="P84">_xll.FDSB($C84,"CS_EVENT_DESC_N("&amp;$AA$18&amp;",2)")</f>
        <v>Q3 2026 Earnings Release (Projected)</v>
      </c>
      <c r="Q84" s="282"/>
      <c r="R84" s="274" cm="1">
        <f t="array" ref="R84">_xll.FDSB($C84,"CS_EVENT_DATEJ_N("&amp;$AA$18&amp;",3)")</f>
        <v>46447</v>
      </c>
      <c r="S84" s="282" t="str" cm="1">
        <f t="array" ref="S84">_xll.FDSB($C84,"CS_EVENT_TIME_N("&amp;$AA$18&amp;",3)")</f>
        <v>Unspecified</v>
      </c>
      <c r="T84" s="282" t="str" cm="1">
        <f t="array" ref="T84">_xll.FDSB($C84,"CS_EVENT_DESC_N("&amp;$AA$18&amp;",3)")</f>
        <v>Q4 2026 Earnings Release (Projected)</v>
      </c>
      <c r="U84" s="282"/>
      <c r="V84" s="274" cm="1">
        <f t="array" ref="V84">_xll.FDSB($C84,"CS_EVENT_DATEJ_N("&amp;$AA$18&amp;",4)")</f>
        <v>46506</v>
      </c>
      <c r="W84" s="282" t="str" cm="1">
        <f t="array" ref="W84">_xll.FDSB($C84,"CS_EVENT_TIME_N("&amp;$AA$18&amp;",4)")</f>
        <v>Unspecified</v>
      </c>
      <c r="X84" s="282" t="str" cm="1">
        <f t="array" ref="X84">_xll.FDSB($C84,"CS_EVENT_DESC_N("&amp;$AA$18&amp;",4)")</f>
        <v>Q1 2027 Earnings Release (Projected)</v>
      </c>
    </row>
    <row r="85" spans="2:26" x14ac:dyDescent="0.15">
      <c r="B85" s="298">
        <f t="shared" si="3"/>
        <v>70</v>
      </c>
      <c r="C85" s="299" t="str">
        <v>STX</v>
      </c>
      <c r="D85" s="300" t="str" cm="1">
        <f t="array" ref="D85">_xll.FDSB($C85,"FG_COMPANY_NAME")</f>
        <v>Seagate Technology Holdings PLC</v>
      </c>
      <c r="E85" s="300"/>
      <c r="F85" s="274" cm="1">
        <f t="array" ref="F85">_xll.FDSB($C85,"CS_EVENT_DATEJ_N("&amp;$AA$18&amp;",1)")</f>
        <v>46219</v>
      </c>
      <c r="G85" s="282" t="str" cm="1">
        <f t="array" ref="G85">_xll.FDSB($C85,"CS_EVENT_TIME_N("&amp;$AA$18&amp;",1)")</f>
        <v>Unspecified</v>
      </c>
      <c r="H85" s="282" t="str" cm="1">
        <f t="array" ref="H85">_xll.FDSB($C85,"CS_EVENT_DESC_N("&amp;$AA$18&amp;",1)")</f>
        <v>Q4 2026 Earnings Release (Projected)</v>
      </c>
      <c r="I85" s="282"/>
      <c r="J85" s="274" t="str" cm="1">
        <f t="array" ref="J85">_xll.FDSB($C85,"CS_EVENT_DATEJ_N("&amp;$AB$18&amp;",1)")</f>
        <v/>
      </c>
      <c r="K85" s="282" t="str" cm="1">
        <f t="array" ref="K85">_xll.FDSB($C85,"CS_EVENT_TIME_N("&amp;$AB$18&amp;",1)")</f>
        <v/>
      </c>
      <c r="L85" s="282" t="str" cm="1">
        <f t="array" ref="L85">_xll.FDSB($C85,"CS_EVENT_DESC_N("&amp;$AB$18&amp;",1)")</f>
        <v/>
      </c>
      <c r="M85" s="300"/>
      <c r="N85" s="274" cm="1">
        <f t="array" ref="N85">_xll.FDSB($C85,"CS_EVENT_DATEJ_N("&amp;$AA$18&amp;",2)")</f>
        <v>46323</v>
      </c>
      <c r="O85" s="282" t="str" cm="1">
        <f t="array" ref="O85">_xll.FDSB($C85,"CS_EVENT_TIME_N("&amp;$AA$18&amp;",2)")</f>
        <v>Unspecified</v>
      </c>
      <c r="P85" s="282" t="str" cm="1">
        <f t="array" ref="P85">_xll.FDSB($C85,"CS_EVENT_DESC_N("&amp;$AA$18&amp;",2)")</f>
        <v>Q1 2027 Earnings Release (Projected)</v>
      </c>
      <c r="Q85" s="282"/>
      <c r="R85" s="274" cm="1">
        <f t="array" ref="R85">_xll.FDSB($C85,"CS_EVENT_DATEJ_N("&amp;$AA$18&amp;",3)")</f>
        <v>46414</v>
      </c>
      <c r="S85" s="282" t="str" cm="1">
        <f t="array" ref="S85">_xll.FDSB($C85,"CS_EVENT_TIME_N("&amp;$AA$18&amp;",3)")</f>
        <v>Unspecified</v>
      </c>
      <c r="T85" s="282" t="str" cm="1">
        <f t="array" ref="T85">_xll.FDSB($C85,"CS_EVENT_DESC_N("&amp;$AA$18&amp;",3)")</f>
        <v>Q2 2027 Earnings Release (Projected)</v>
      </c>
      <c r="U85" s="282"/>
      <c r="V85" s="274" cm="1">
        <f t="array" ref="V85">_xll.FDSB($C85,"CS_EVENT_DATEJ_N("&amp;$AA$18&amp;",4)")</f>
        <v>46505</v>
      </c>
      <c r="W85" s="282" t="str" cm="1">
        <f t="array" ref="W85">_xll.FDSB($C85,"CS_EVENT_TIME_N("&amp;$AA$18&amp;",4)")</f>
        <v>Unspecified</v>
      </c>
      <c r="X85" s="282" t="str" cm="1">
        <f t="array" ref="X85">_xll.FDSB($C85,"CS_EVENT_DESC_N("&amp;$AA$18&amp;",4)")</f>
        <v>Q3 2027 Earnings Release (Projected)</v>
      </c>
    </row>
    <row r="86" spans="2:26" x14ac:dyDescent="0.15">
      <c r="B86" s="298">
        <f t="shared" si="3"/>
        <v>71</v>
      </c>
      <c r="C86" s="299" t="str">
        <v>TRV</v>
      </c>
      <c r="D86" s="300" t="str" cm="1">
        <f t="array" ref="D86">_xll.FDSB($C86,"FG_COMPANY_NAME")</f>
        <v>Travelers Companies, Inc.</v>
      </c>
      <c r="E86" s="300"/>
      <c r="F86" s="274" cm="1">
        <f t="array" ref="F86">_xll.FDSB($C86,"CS_EVENT_DATEJ_N("&amp;$AA$18&amp;",1)")</f>
        <v>46219</v>
      </c>
      <c r="G86" s="282" t="str" cm="1">
        <f t="array" ref="G86">_xll.FDSB($C86,"CS_EVENT_TIME_N("&amp;$AA$18&amp;",1)")</f>
        <v>Unspecified</v>
      </c>
      <c r="H86" s="282" t="str" cm="1">
        <f t="array" ref="H86">_xll.FDSB($C86,"CS_EVENT_DESC_N("&amp;$AA$18&amp;",1)")</f>
        <v>Q2 2026 Earnings Release (Projected)</v>
      </c>
      <c r="I86" s="282"/>
      <c r="J86" s="274" t="str" cm="1">
        <f t="array" ref="J86">_xll.FDSB($C86,"CS_EVENT_DATEJ_N("&amp;$AB$18&amp;",1)")</f>
        <v/>
      </c>
      <c r="K86" s="282" t="str" cm="1">
        <f t="array" ref="K86">_xll.FDSB($C86,"CS_EVENT_TIME_N("&amp;$AB$18&amp;",1)")</f>
        <v/>
      </c>
      <c r="L86" s="282" t="str" cm="1">
        <f t="array" ref="L86">_xll.FDSB($C86,"CS_EVENT_DESC_N("&amp;$AB$18&amp;",1)")</f>
        <v/>
      </c>
      <c r="M86" s="300"/>
      <c r="N86" s="274" cm="1">
        <f t="array" ref="N86">_xll.FDSB($C86,"CS_EVENT_DATEJ_N("&amp;$AA$18&amp;",2)")</f>
        <v>46316</v>
      </c>
      <c r="O86" s="282" t="str" cm="1">
        <f t="array" ref="O86">_xll.FDSB($C86,"CS_EVENT_TIME_N("&amp;$AA$18&amp;",2)")</f>
        <v>Unspecified</v>
      </c>
      <c r="P86" s="282" t="str" cm="1">
        <f t="array" ref="P86">_xll.FDSB($C86,"CS_EVENT_DESC_N("&amp;$AA$18&amp;",2)")</f>
        <v>Q3 2026 Earnings Release (Projected)</v>
      </c>
      <c r="Q86" s="282"/>
      <c r="R86" s="274" cm="1">
        <f t="array" ref="R86">_xll.FDSB($C86,"CS_EVENT_DATEJ_N("&amp;$AA$18&amp;",3)")</f>
        <v>46498</v>
      </c>
      <c r="S86" s="282" t="str" cm="1">
        <f t="array" ref="S86">_xll.FDSB($C86,"CS_EVENT_TIME_N("&amp;$AA$18&amp;",3)")</f>
        <v>Unspecified</v>
      </c>
      <c r="T86" s="282" t="str" cm="1">
        <f t="array" ref="T86">_xll.FDSB($C86,"CS_EVENT_DESC_N("&amp;$AA$18&amp;",3)")</f>
        <v>Q1 2027 Earnings Release (Projected)</v>
      </c>
      <c r="U86" s="282"/>
      <c r="V86" s="274" t="str" cm="1">
        <f t="array" ref="V86">_xll.FDSB($C86,"CS_EVENT_DATEJ_N("&amp;$AA$18&amp;",4)")</f>
        <v/>
      </c>
      <c r="W86" s="282" t="str" cm="1">
        <f t="array" ref="W86">_xll.FDSB($C86,"CS_EVENT_TIME_N("&amp;$AA$18&amp;",4)")</f>
        <v/>
      </c>
      <c r="X86" s="282" t="str" cm="1">
        <f t="array" ref="X86">_xll.FDSB($C86,"CS_EVENT_DESC_N("&amp;$AA$18&amp;",4)")</f>
        <v/>
      </c>
    </row>
    <row r="87" spans="2:26" x14ac:dyDescent="0.15">
      <c r="B87" s="298">
        <f t="shared" si="3"/>
        <v>72</v>
      </c>
      <c r="C87" s="299" t="str">
        <v>BX</v>
      </c>
      <c r="D87" s="300" t="str" cm="1">
        <f t="array" ref="D87">_xll.FDSB($C87,"FG_COMPANY_NAME")</f>
        <v>Blackstone Inc.</v>
      </c>
      <c r="E87" s="300"/>
      <c r="F87" s="274" cm="1">
        <f t="array" ref="F87">_xll.FDSB($C87,"CS_EVENT_DATEJ_N("&amp;$AA$18&amp;",1)")</f>
        <v>46219</v>
      </c>
      <c r="G87" s="282" t="str" cm="1">
        <f t="array" ref="G87">_xll.FDSB($C87,"CS_EVENT_TIME_N("&amp;$AA$18&amp;",1)")</f>
        <v>Unspecified</v>
      </c>
      <c r="H87" s="282" t="str" cm="1">
        <f t="array" ref="H87">_xll.FDSB($C87,"CS_EVENT_DESC_N("&amp;$AA$18&amp;",1)")</f>
        <v>Q2 2026 Earnings Release (Projected)</v>
      </c>
      <c r="I87" s="282"/>
      <c r="J87" s="274" t="str" cm="1">
        <f t="array" ref="J87">_xll.FDSB($C87,"CS_EVENT_DATEJ_N("&amp;$AB$18&amp;",1)")</f>
        <v/>
      </c>
      <c r="K87" s="282" t="str" cm="1">
        <f t="array" ref="K87">_xll.FDSB($C87,"CS_EVENT_TIME_N("&amp;$AB$18&amp;",1)")</f>
        <v/>
      </c>
      <c r="L87" s="282" t="str" cm="1">
        <f t="array" ref="L87">_xll.FDSB($C87,"CS_EVENT_DESC_N("&amp;$AB$18&amp;",1)")</f>
        <v/>
      </c>
      <c r="M87" s="300"/>
      <c r="N87" s="274" cm="1">
        <f t="array" ref="N87">_xll.FDSB($C87,"CS_EVENT_DATEJ_N("&amp;$AA$18&amp;",2)")</f>
        <v>46310</v>
      </c>
      <c r="O87" s="282" t="str" cm="1">
        <f t="array" ref="O87">_xll.FDSB($C87,"CS_EVENT_TIME_N("&amp;$AA$18&amp;",2)")</f>
        <v>Unspecified</v>
      </c>
      <c r="P87" s="282" t="str" cm="1">
        <f t="array" ref="P87">_xll.FDSB($C87,"CS_EVENT_DESC_N("&amp;$AA$18&amp;",2)")</f>
        <v>Q3 2026 Earnings Release (Projected)</v>
      </c>
      <c r="Q87" s="282"/>
      <c r="R87" s="274" cm="1">
        <f t="array" ref="R87">_xll.FDSB($C87,"CS_EVENT_DATEJ_N("&amp;$AA$18&amp;",3)")</f>
        <v>46415</v>
      </c>
      <c r="S87" s="282" t="str" cm="1">
        <f t="array" ref="S87">_xll.FDSB($C87,"CS_EVENT_TIME_N("&amp;$AA$18&amp;",3)")</f>
        <v>Unspecified</v>
      </c>
      <c r="T87" s="282" t="str" cm="1">
        <f t="array" ref="T87">_xll.FDSB($C87,"CS_EVENT_DESC_N("&amp;$AA$18&amp;",3)")</f>
        <v>Q4 2026 Earnings Release (Projected)</v>
      </c>
      <c r="U87" s="282"/>
      <c r="V87" s="274" cm="1">
        <f t="array" ref="V87">_xll.FDSB($C87,"CS_EVENT_DATEJ_N("&amp;$AA$18&amp;",4)")</f>
        <v>46499</v>
      </c>
      <c r="W87" s="282" t="str" cm="1">
        <f t="array" ref="W87">_xll.FDSB($C87,"CS_EVENT_TIME_N("&amp;$AA$18&amp;",4)")</f>
        <v>Unspecified</v>
      </c>
      <c r="X87" s="282" t="str" cm="1">
        <f t="array" ref="X87">_xll.FDSB($C87,"CS_EVENT_DESC_N("&amp;$AA$18&amp;",4)")</f>
        <v>Q1 2027 Earnings Release (Projected)</v>
      </c>
    </row>
    <row r="88" spans="2:26" x14ac:dyDescent="0.15">
      <c r="B88" s="298">
        <f t="shared" si="3"/>
        <v>73</v>
      </c>
      <c r="C88" s="299" t="str">
        <v>CFG</v>
      </c>
      <c r="D88" s="300" t="str" cm="1">
        <f t="array" ref="D88">_xll.FDSB($C88,"FG_COMPANY_NAME")</f>
        <v>Citizens Financial Group, Inc.</v>
      </c>
      <c r="E88" s="300"/>
      <c r="F88" s="274" cm="1">
        <f t="array" ref="F88">_xll.FDSB($C88,"CS_EVENT_DATEJ_N("&amp;$AA$18&amp;",1)")</f>
        <v>46219</v>
      </c>
      <c r="G88" s="282" t="str" cm="1">
        <f t="array" ref="G88">_xll.FDSB($C88,"CS_EVENT_TIME_N("&amp;$AA$18&amp;",1)")</f>
        <v>6:20 AM</v>
      </c>
      <c r="H88" s="282" t="str" cm="1">
        <f t="array" ref="H88">_xll.FDSB($C88,"CS_EVENT_DESC_N("&amp;$AA$18&amp;",1)")</f>
        <v>Q2 2026 Earnings Release</v>
      </c>
      <c r="I88" s="282"/>
      <c r="J88" s="274" cm="1">
        <f t="array" ref="J88">_xll.FDSB($C88,"CS_EVENT_DATEJ_N("&amp;$AB$18&amp;",1)")</f>
        <v>46219</v>
      </c>
      <c r="K88" s="282" t="str" cm="1">
        <f t="array" ref="K88">_xll.FDSB($C88,"CS_EVENT_TIME_N("&amp;$AB$18&amp;",1)")</f>
        <v>9:00 AM</v>
      </c>
      <c r="L88" s="282" t="str" cm="1">
        <f t="array" ref="L88">_xll.FDSB($C88,"CS_EVENT_DESC_N("&amp;$AB$18&amp;",1)")</f>
        <v>Q2 2026 Earnings Call</v>
      </c>
      <c r="M88" s="300"/>
      <c r="N88" s="274" cm="1">
        <f t="array" ref="N88">_xll.FDSB($C88,"CS_EVENT_DATEJ_N("&amp;$AA$18&amp;",2)")</f>
        <v>46311</v>
      </c>
      <c r="O88" s="282" t="str" cm="1">
        <f t="array" ref="O88">_xll.FDSB($C88,"CS_EVENT_TIME_N("&amp;$AA$18&amp;",2)")</f>
        <v>6:20 AM</v>
      </c>
      <c r="P88" s="282" t="str" cm="1">
        <f t="array" ref="P88">_xll.FDSB($C88,"CS_EVENT_DESC_N("&amp;$AA$18&amp;",2)")</f>
        <v>Q3 2026 Earnings Release</v>
      </c>
      <c r="Q88" s="282"/>
      <c r="R88" s="274" cm="1">
        <f t="array" ref="R88">_xll.FDSB($C88,"CS_EVENT_DATEJ_N("&amp;$AA$18&amp;",3)")</f>
        <v>46407</v>
      </c>
      <c r="S88" s="282" t="str" cm="1">
        <f t="array" ref="S88">_xll.FDSB($C88,"CS_EVENT_TIME_N("&amp;$AA$18&amp;",3)")</f>
        <v>6:20 AM</v>
      </c>
      <c r="T88" s="282" t="str" cm="1">
        <f t="array" ref="T88">_xll.FDSB($C88,"CS_EVENT_DESC_N("&amp;$AA$18&amp;",3)")</f>
        <v>Q4 2026 Earnings Release</v>
      </c>
      <c r="U88" s="282"/>
      <c r="V88" s="274" cm="1">
        <f t="array" ref="V88">_xll.FDSB($C88,"CS_EVENT_DATEJ_N("&amp;$AA$18&amp;",4)")</f>
        <v>46492</v>
      </c>
      <c r="W88" s="282" t="str" cm="1">
        <f t="array" ref="W88">_xll.FDSB($C88,"CS_EVENT_TIME_N("&amp;$AA$18&amp;",4)")</f>
        <v>6:20 AM</v>
      </c>
      <c r="X88" s="282" t="str" cm="1">
        <f t="array" ref="X88">_xll.FDSB($C88,"CS_EVENT_DESC_N("&amp;$AA$18&amp;",4)")</f>
        <v>Q1 2027 Earnings Release</v>
      </c>
    </row>
    <row r="89" spans="2:26" x14ac:dyDescent="0.15">
      <c r="B89" s="298">
        <f t="shared" si="3"/>
        <v>74</v>
      </c>
      <c r="C89" s="299" t="str">
        <v>FITB</v>
      </c>
      <c r="D89" s="300" t="str" cm="1">
        <f t="array" ref="D89">_xll.FDSB($C89,"FG_COMPANY_NAME")</f>
        <v>Fifth Third Bancorp</v>
      </c>
      <c r="E89" s="300"/>
      <c r="F89" s="274" cm="1">
        <f t="array" ref="F89">_xll.FDSB($C89,"CS_EVENT_DATEJ_N("&amp;$AA$18&amp;",1)")</f>
        <v>46220</v>
      </c>
      <c r="G89" s="282" t="str" cm="1">
        <f t="array" ref="G89">_xll.FDSB($C89,"CS_EVENT_TIME_N("&amp;$AA$18&amp;",1)")</f>
        <v>6:30 AM</v>
      </c>
      <c r="H89" s="282" t="str" cm="1">
        <f t="array" ref="H89">_xll.FDSB($C89,"CS_EVENT_DESC_N("&amp;$AA$18&amp;",1)")</f>
        <v>Q2 2026 Earnings Release</v>
      </c>
      <c r="I89" s="282"/>
      <c r="J89" s="274" cm="1">
        <f t="array" ref="J89">_xll.FDSB($C89,"CS_EVENT_DATEJ_N("&amp;$AB$18&amp;",1)")</f>
        <v>46220</v>
      </c>
      <c r="K89" s="282" t="str" cm="1">
        <f t="array" ref="K89">_xll.FDSB($C89,"CS_EVENT_TIME_N("&amp;$AB$18&amp;",1)")</f>
        <v>9:00 AM</v>
      </c>
      <c r="L89" s="282" t="str" cm="1">
        <f t="array" ref="L89">_xll.FDSB($C89,"CS_EVENT_DESC_N("&amp;$AB$18&amp;",1)")</f>
        <v>Q2 2026 Earnings Call</v>
      </c>
      <c r="M89" s="300"/>
      <c r="N89" s="274" cm="1">
        <f t="array" ref="N89">_xll.FDSB($C89,"CS_EVENT_DATEJ_N("&amp;$AA$18&amp;",2)")</f>
        <v>46314</v>
      </c>
      <c r="O89" s="282" t="str" cm="1">
        <f t="array" ref="O89">_xll.FDSB($C89,"CS_EVENT_TIME_N("&amp;$AA$18&amp;",2)")</f>
        <v>6:30 AM</v>
      </c>
      <c r="P89" s="282" t="str" cm="1">
        <f t="array" ref="P89">_xll.FDSB($C89,"CS_EVENT_DESC_N("&amp;$AA$18&amp;",2)")</f>
        <v>Q3 2026 Earnings Release</v>
      </c>
      <c r="Q89" s="282"/>
      <c r="R89" s="274" cm="1">
        <f t="array" ref="R89">_xll.FDSB($C89,"CS_EVENT_DATEJ_N("&amp;$AA$18&amp;",3)")</f>
        <v>46406</v>
      </c>
      <c r="S89" s="282" t="str" cm="1">
        <f t="array" ref="S89">_xll.FDSB($C89,"CS_EVENT_TIME_N("&amp;$AA$18&amp;",3)")</f>
        <v>6:30 AM</v>
      </c>
      <c r="T89" s="282" t="str" cm="1">
        <f t="array" ref="T89">_xll.FDSB($C89,"CS_EVENT_DESC_N("&amp;$AA$18&amp;",3)")</f>
        <v>Q4 2026 Earnings Release</v>
      </c>
      <c r="U89" s="282"/>
      <c r="V89" s="274" cm="1">
        <f t="array" ref="V89">_xll.FDSB($C89,"CS_EVENT_DATEJ_N("&amp;$AA$18&amp;",4)")</f>
        <v>46497</v>
      </c>
      <c r="W89" s="282" t="str" cm="1">
        <f t="array" ref="W89">_xll.FDSB($C89,"CS_EVENT_TIME_N("&amp;$AA$18&amp;",4)")</f>
        <v>6:30 AM</v>
      </c>
      <c r="X89" s="282" t="str" cm="1">
        <f t="array" ref="X89">_xll.FDSB($C89,"CS_EVENT_DESC_N("&amp;$AA$18&amp;",4)")</f>
        <v>Q1 2027 Earnings Release</v>
      </c>
    </row>
    <row r="90" spans="2:26" x14ac:dyDescent="0.15">
      <c r="B90" s="298">
        <f t="shared" si="3"/>
        <v>75</v>
      </c>
      <c r="C90" s="299" t="str">
        <v>ROP</v>
      </c>
      <c r="D90" s="300" t="str" cm="1">
        <f t="array" ref="D90">_xll.FDSB($C90,"FG_COMPANY_NAME")</f>
        <v>Roper Technologies, Inc.</v>
      </c>
      <c r="E90" s="300"/>
      <c r="F90" s="274" cm="1">
        <f t="array" ref="F90">_xll.FDSB($C90,"CS_EVENT_DATEJ_N("&amp;$AA$18&amp;",1)")</f>
        <v>46220</v>
      </c>
      <c r="G90" s="282" t="str" cm="1">
        <f t="array" ref="G90">_xll.FDSB($C90,"CS_EVENT_TIME_N("&amp;$AA$18&amp;",1)")</f>
        <v>Unspecified</v>
      </c>
      <c r="H90" s="282" t="str" cm="1">
        <f t="array" ref="H90">_xll.FDSB($C90,"CS_EVENT_DESC_N("&amp;$AA$18&amp;",1)")</f>
        <v>Q2 2026 Earnings Release (Projected)</v>
      </c>
      <c r="I90" s="282"/>
      <c r="J90" s="274" t="str" cm="1">
        <f t="array" ref="J90">_xll.FDSB($C90,"CS_EVENT_DATEJ_N("&amp;$AB$18&amp;",1)")</f>
        <v/>
      </c>
      <c r="K90" s="282" t="str" cm="1">
        <f t="array" ref="K90">_xll.FDSB($C90,"CS_EVENT_TIME_N("&amp;$AB$18&amp;",1)")</f>
        <v/>
      </c>
      <c r="L90" s="282" t="str" cm="1">
        <f t="array" ref="L90">_xll.FDSB($C90,"CS_EVENT_DESC_N("&amp;$AB$18&amp;",1)")</f>
        <v/>
      </c>
      <c r="M90" s="300"/>
      <c r="N90" s="274" cm="1">
        <f t="array" ref="N90">_xll.FDSB($C90,"CS_EVENT_DATEJ_N("&amp;$AA$18&amp;",2)")</f>
        <v>46323</v>
      </c>
      <c r="O90" s="282" t="str" cm="1">
        <f t="array" ref="O90">_xll.FDSB($C90,"CS_EVENT_TIME_N("&amp;$AA$18&amp;",2)")</f>
        <v>Unspecified</v>
      </c>
      <c r="P90" s="282" t="str" cm="1">
        <f t="array" ref="P90">_xll.FDSB($C90,"CS_EVENT_DESC_N("&amp;$AA$18&amp;",2)")</f>
        <v>Q3 2026 Earnings Release (Projected)</v>
      </c>
      <c r="Q90" s="282"/>
      <c r="R90" s="274" cm="1">
        <f t="array" ref="R90">_xll.FDSB($C90,"CS_EVENT_DATEJ_N("&amp;$AA$18&amp;",3)")</f>
        <v>46504</v>
      </c>
      <c r="S90" s="282" t="str" cm="1">
        <f t="array" ref="S90">_xll.FDSB($C90,"CS_EVENT_TIME_N("&amp;$AA$18&amp;",3)")</f>
        <v>Unspecified</v>
      </c>
      <c r="T90" s="282" t="str" cm="1">
        <f t="array" ref="T90">_xll.FDSB($C90,"CS_EVENT_DESC_N("&amp;$AA$18&amp;",3)")</f>
        <v>Q1 2027 Earnings Release (Projected)</v>
      </c>
      <c r="U90" s="282"/>
      <c r="V90" s="274" t="str" cm="1">
        <f t="array" ref="V90">_xll.FDSB($C90,"CS_EVENT_DATEJ_N("&amp;$AA$18&amp;",4)")</f>
        <v/>
      </c>
      <c r="W90" s="282" t="str" cm="1">
        <f t="array" ref="W90">_xll.FDSB($C90,"CS_EVENT_TIME_N("&amp;$AA$18&amp;",4)")</f>
        <v/>
      </c>
      <c r="X90" s="282" t="str" cm="1">
        <f t="array" ref="X90">_xll.FDSB($C90,"CS_EVENT_DESC_N("&amp;$AA$18&amp;",4)")</f>
        <v/>
      </c>
    </row>
    <row r="91" spans="2:26" x14ac:dyDescent="0.15">
      <c r="B91" s="298">
        <f t="shared" si="3"/>
        <v>76</v>
      </c>
      <c r="C91" s="299" t="str">
        <v>RF</v>
      </c>
      <c r="D91" s="300" t="str" cm="1">
        <f t="array" ref="D91">_xll.FDSB($C91,"FG_COMPANY_NAME")</f>
        <v>Regions Financial Corporation</v>
      </c>
      <c r="E91" s="300"/>
      <c r="F91" s="274" cm="1">
        <f t="array" ref="F91">_xll.FDSB($C91,"CS_EVENT_DATEJ_N("&amp;$AA$18&amp;",1)")</f>
        <v>46220</v>
      </c>
      <c r="G91" s="282" t="str" cm="1">
        <f t="array" ref="G91">_xll.FDSB($C91,"CS_EVENT_TIME_N("&amp;$AA$18&amp;",1)")</f>
        <v>6:00 AM</v>
      </c>
      <c r="H91" s="282" t="str" cm="1">
        <f t="array" ref="H91">_xll.FDSB($C91,"CS_EVENT_DESC_N("&amp;$AA$18&amp;",1)")</f>
        <v>Q2 2026 Earnings Release</v>
      </c>
      <c r="I91" s="282"/>
      <c r="J91" s="274" cm="1">
        <f t="array" ref="J91">_xll.FDSB($C91,"CS_EVENT_DATEJ_N("&amp;$AB$18&amp;",1)")</f>
        <v>46220</v>
      </c>
      <c r="K91" s="282" t="str" cm="1">
        <f t="array" ref="K91">_xll.FDSB($C91,"CS_EVENT_TIME_N("&amp;$AB$18&amp;",1)")</f>
        <v>10:00 AM</v>
      </c>
      <c r="L91" s="282" t="str" cm="1">
        <f t="array" ref="L91">_xll.FDSB($C91,"CS_EVENT_DESC_N("&amp;$AB$18&amp;",1)")</f>
        <v>Q2 2026 Earnings Call</v>
      </c>
      <c r="M91" s="300"/>
      <c r="N91" s="274" cm="1">
        <f t="array" ref="N91">_xll.FDSB($C91,"CS_EVENT_DATEJ_N("&amp;$AA$18&amp;",2)")</f>
        <v>46311</v>
      </c>
      <c r="O91" s="282" t="str" cm="1">
        <f t="array" ref="O91">_xll.FDSB($C91,"CS_EVENT_TIME_N("&amp;$AA$18&amp;",2)")</f>
        <v>6:00 AM</v>
      </c>
      <c r="P91" s="282" t="str" cm="1">
        <f t="array" ref="P91">_xll.FDSB($C91,"CS_EVENT_DESC_N("&amp;$AA$18&amp;",2)")</f>
        <v>Q3 2026 Earnings Release</v>
      </c>
      <c r="Q91" s="282"/>
      <c r="R91" s="274" cm="1">
        <f t="array" ref="R91">_xll.FDSB($C91,"CS_EVENT_DATEJ_N("&amp;$AA$18&amp;",3)")</f>
        <v>46402</v>
      </c>
      <c r="S91" s="282" t="str" cm="1">
        <f t="array" ref="S91">_xll.FDSB($C91,"CS_EVENT_TIME_N("&amp;$AA$18&amp;",3)")</f>
        <v>Unspecified</v>
      </c>
      <c r="T91" s="282" t="str" cm="1">
        <f t="array" ref="T91">_xll.FDSB($C91,"CS_EVENT_DESC_N("&amp;$AA$18&amp;",3)")</f>
        <v>Q4 2026 Earnings Release (Projected)</v>
      </c>
      <c r="U91" s="282"/>
      <c r="V91" s="274" cm="1">
        <f t="array" ref="V91">_xll.FDSB($C91,"CS_EVENT_DATEJ_N("&amp;$AA$18&amp;",4)")</f>
        <v>46493</v>
      </c>
      <c r="W91" s="282" t="str" cm="1">
        <f t="array" ref="W91">_xll.FDSB($C91,"CS_EVENT_TIME_N("&amp;$AA$18&amp;",4)")</f>
        <v>Unspecified</v>
      </c>
      <c r="X91" s="282" t="str" cm="1">
        <f t="array" ref="X91">_xll.FDSB($C91,"CS_EVENT_DESC_N("&amp;$AA$18&amp;",4)")</f>
        <v>Q1 2027 Earnings Release (Projected)</v>
      </c>
    </row>
    <row r="92" spans="2:26" x14ac:dyDescent="0.15">
      <c r="B92" s="298">
        <f t="shared" si="3"/>
        <v>77</v>
      </c>
      <c r="C92" s="299" t="str">
        <v>PLD</v>
      </c>
      <c r="D92" s="300" t="str" cm="1">
        <f t="array" ref="D92">_xll.FDSB($C92,"FG_COMPANY_NAME")</f>
        <v>Prologis, Inc.</v>
      </c>
      <c r="E92" s="300"/>
      <c r="F92" s="274" cm="1">
        <f t="array" ref="F92">_xll.FDSB($C92,"CS_EVENT_DATEJ_N("&amp;$AA$18&amp;",1)")</f>
        <v>46223</v>
      </c>
      <c r="G92" s="282" t="str" cm="1">
        <f t="array" ref="G92">_xll.FDSB($C92,"CS_EVENT_TIME_N("&amp;$AA$18&amp;",1)")</f>
        <v>Unspecified</v>
      </c>
      <c r="H92" s="282" t="str" cm="1">
        <f t="array" ref="H92">_xll.FDSB($C92,"CS_EVENT_DESC_N("&amp;$AA$18&amp;",1)")</f>
        <v>Q2 2026 Earnings Release (Projected)</v>
      </c>
      <c r="I92" s="282"/>
      <c r="J92" s="274" t="str" cm="1">
        <f t="array" ref="J92">_xll.FDSB($C92,"CS_EVENT_DATEJ_N("&amp;$AB$18&amp;",1)")</f>
        <v/>
      </c>
      <c r="K92" s="282" t="str" cm="1">
        <f t="array" ref="K92">_xll.FDSB($C92,"CS_EVENT_TIME_N("&amp;$AB$18&amp;",1)")</f>
        <v/>
      </c>
      <c r="L92" s="282" t="str" cm="1">
        <f t="array" ref="L92">_xll.FDSB($C92,"CS_EVENT_DESC_N("&amp;$AB$18&amp;",1)")</f>
        <v/>
      </c>
      <c r="M92" s="300"/>
      <c r="N92" s="274" cm="1">
        <f t="array" ref="N92">_xll.FDSB($C92,"CS_EVENT_DATEJ_N("&amp;$AA$18&amp;",2)")</f>
        <v>46316</v>
      </c>
      <c r="O92" s="282" t="str" cm="1">
        <f t="array" ref="O92">_xll.FDSB($C92,"CS_EVENT_TIME_N("&amp;$AA$18&amp;",2)")</f>
        <v>Unspecified</v>
      </c>
      <c r="P92" s="282" t="str" cm="1">
        <f t="array" ref="P92">_xll.FDSB($C92,"CS_EVENT_DESC_N("&amp;$AA$18&amp;",2)")</f>
        <v>Q3 2026 Earnings Release (Projected)</v>
      </c>
      <c r="Q92" s="282"/>
      <c r="R92" s="274" cm="1">
        <f t="array" ref="R92">_xll.FDSB($C92,"CS_EVENT_DATEJ_N("&amp;$AA$18&amp;",3)")</f>
        <v>46414</v>
      </c>
      <c r="S92" s="282" t="str" cm="1">
        <f t="array" ref="S92">_xll.FDSB($C92,"CS_EVENT_TIME_N("&amp;$AA$18&amp;",3)")</f>
        <v>Unspecified</v>
      </c>
      <c r="T92" s="282" t="str" cm="1">
        <f t="array" ref="T92">_xll.FDSB($C92,"CS_EVENT_DESC_N("&amp;$AA$18&amp;",3)")</f>
        <v>Q4 2026 Earnings Release (Projected)</v>
      </c>
      <c r="U92" s="282"/>
      <c r="V92" s="274" cm="1">
        <f t="array" ref="V92">_xll.FDSB($C92,"CS_EVENT_DATEJ_N("&amp;$AA$18&amp;",4)")</f>
        <v>46497</v>
      </c>
      <c r="W92" s="282" t="str" cm="1">
        <f t="array" ref="W92">_xll.FDSB($C92,"CS_EVENT_TIME_N("&amp;$AA$18&amp;",4)")</f>
        <v>Unspecified</v>
      </c>
      <c r="X92" s="282" t="str" cm="1">
        <f t="array" ref="X92">_xll.FDSB($C92,"CS_EVENT_DESC_N("&amp;$AA$18&amp;",4)")</f>
        <v>Q1 2027 Earnings Release (Projected)</v>
      </c>
      <c r="Z92" s="283"/>
    </row>
    <row r="93" spans="2:26" x14ac:dyDescent="0.15">
      <c r="B93" s="298">
        <f t="shared" si="3"/>
        <v>78</v>
      </c>
      <c r="C93" s="299" t="str">
        <v>KEY</v>
      </c>
      <c r="D93" s="300" t="str" cm="1">
        <f t="array" ref="D93">_xll.FDSB($C93,"FG_COMPANY_NAME")</f>
        <v>KeyCorp</v>
      </c>
      <c r="E93" s="300"/>
      <c r="F93" s="274" cm="1">
        <f t="array" ref="F93">_xll.FDSB($C93,"CS_EVENT_DATEJ_N("&amp;$AA$18&amp;",1)")</f>
        <v>46224</v>
      </c>
      <c r="G93" s="282" t="str" cm="1">
        <f t="array" ref="G93">_xll.FDSB($C93,"CS_EVENT_TIME_N("&amp;$AA$18&amp;",1)")</f>
        <v>6:30 AM</v>
      </c>
      <c r="H93" s="282" t="str" cm="1">
        <f t="array" ref="H93">_xll.FDSB($C93,"CS_EVENT_DESC_N("&amp;$AA$18&amp;",1)")</f>
        <v>Q2 2026 Earnings Release</v>
      </c>
      <c r="I93" s="282"/>
      <c r="J93" s="274" cm="1">
        <f t="array" ref="J93">_xll.FDSB($C93,"CS_EVENT_DATEJ_N("&amp;$AB$18&amp;",1)")</f>
        <v>46224</v>
      </c>
      <c r="K93" s="282" t="str" cm="1">
        <f t="array" ref="K93">_xll.FDSB($C93,"CS_EVENT_TIME_N("&amp;$AB$18&amp;",1)")</f>
        <v>9:00 AM</v>
      </c>
      <c r="L93" s="282" t="str" cm="1">
        <f t="array" ref="L93">_xll.FDSB($C93,"CS_EVENT_DESC_N("&amp;$AB$18&amp;",1)")</f>
        <v>Q2 2026 Earnings Call</v>
      </c>
      <c r="M93" s="300"/>
      <c r="N93" s="274" cm="1">
        <f t="array" ref="N93">_xll.FDSB($C93,"CS_EVENT_DATEJ_N("&amp;$AA$18&amp;",2)")</f>
        <v>46315</v>
      </c>
      <c r="O93" s="282" t="str" cm="1">
        <f t="array" ref="O93">_xll.FDSB($C93,"CS_EVENT_TIME_N("&amp;$AA$18&amp;",2)")</f>
        <v>6:30 AM</v>
      </c>
      <c r="P93" s="282" t="str" cm="1">
        <f t="array" ref="P93">_xll.FDSB($C93,"CS_EVENT_DESC_N("&amp;$AA$18&amp;",2)")</f>
        <v>Q3 2026 Earnings Release</v>
      </c>
      <c r="Q93" s="282"/>
      <c r="R93" s="274" cm="1">
        <f t="array" ref="R93">_xll.FDSB($C93,"CS_EVENT_DATEJ_N("&amp;$AA$18&amp;",3)")</f>
        <v>46407</v>
      </c>
      <c r="S93" s="282" t="str" cm="1">
        <f t="array" ref="S93">_xll.FDSB($C93,"CS_EVENT_TIME_N("&amp;$AA$18&amp;",3)")</f>
        <v>6:30 AM</v>
      </c>
      <c r="T93" s="282" t="str" cm="1">
        <f t="array" ref="T93">_xll.FDSB($C93,"CS_EVENT_DESC_N("&amp;$AA$18&amp;",3)")</f>
        <v>Q4 2026 Earnings Release</v>
      </c>
      <c r="U93" s="282"/>
      <c r="V93" s="274" cm="1">
        <f t="array" ref="V93">_xll.FDSB($C93,"CS_EVENT_DATEJ_N("&amp;$AA$18&amp;",4)")</f>
        <v>46499</v>
      </c>
      <c r="W93" s="282" t="str" cm="1">
        <f t="array" ref="W93">_xll.FDSB($C93,"CS_EVENT_TIME_N("&amp;$AA$18&amp;",4)")</f>
        <v>Unspecified</v>
      </c>
      <c r="X93" s="282" t="str" cm="1">
        <f t="array" ref="X93">_xll.FDSB($C93,"CS_EVENT_DESC_N("&amp;$AA$18&amp;",4)")</f>
        <v>Q1 2027 Earnings Release (Projected)</v>
      </c>
      <c r="Z93" s="283"/>
    </row>
    <row r="94" spans="2:26" x14ac:dyDescent="0.15">
      <c r="B94" s="298">
        <f t="shared" si="3"/>
        <v>79</v>
      </c>
      <c r="C94" s="299" t="str">
        <v>VZ</v>
      </c>
      <c r="D94" s="300" t="str" cm="1">
        <f t="array" ref="D94">_xll.FDSB($C94,"FG_COMPANY_NAME")</f>
        <v>Verizon Communications Inc.</v>
      </c>
      <c r="E94" s="300"/>
      <c r="F94" s="274" cm="1">
        <f t="array" ref="F94">_xll.FDSB($C94,"CS_EVENT_DATEJ_N("&amp;$AA$18&amp;",1)")</f>
        <v>46224</v>
      </c>
      <c r="G94" s="282" t="str" cm="1">
        <f t="array" ref="G94">_xll.FDSB($C94,"CS_EVENT_TIME_N("&amp;$AA$18&amp;",1)")</f>
        <v>Before Market</v>
      </c>
      <c r="H94" s="282" t="str" cm="1">
        <f t="array" ref="H94">_xll.FDSB($C94,"CS_EVENT_DESC_N("&amp;$AA$18&amp;",1)")</f>
        <v>Q2 2026 Earnings Release</v>
      </c>
      <c r="I94" s="282"/>
      <c r="J94" s="274" cm="1">
        <f t="array" ref="J94">_xll.FDSB($C94,"CS_EVENT_DATEJ_N("&amp;$AB$18&amp;",1)")</f>
        <v>46224</v>
      </c>
      <c r="K94" s="282" t="str" cm="1">
        <f t="array" ref="K94">_xll.FDSB($C94,"CS_EVENT_TIME_N("&amp;$AB$18&amp;",1)")</f>
        <v>8:30 AM</v>
      </c>
      <c r="L94" s="282" t="str" cm="1">
        <f t="array" ref="L94">_xll.FDSB($C94,"CS_EVENT_DESC_N("&amp;$AB$18&amp;",1)")</f>
        <v>Q2 2026 Earnings Call</v>
      </c>
      <c r="M94" s="300"/>
      <c r="N94" s="274" cm="1">
        <f t="array" ref="N94">_xll.FDSB($C94,"CS_EVENT_DATEJ_N("&amp;$AA$18&amp;",2)")</f>
        <v>46315</v>
      </c>
      <c r="O94" s="282" t="str" cm="1">
        <f t="array" ref="O94">_xll.FDSB($C94,"CS_EVENT_TIME_N("&amp;$AA$18&amp;",2)")</f>
        <v>Before Market</v>
      </c>
      <c r="P94" s="282" t="str" cm="1">
        <f t="array" ref="P94">_xll.FDSB($C94,"CS_EVENT_DESC_N("&amp;$AA$18&amp;",2)")</f>
        <v>Q3 2026 Earnings Release</v>
      </c>
      <c r="Q94" s="282"/>
      <c r="R94" s="274" cm="1">
        <f t="array" ref="R94">_xll.FDSB($C94,"CS_EVENT_DATEJ_N("&amp;$AA$18&amp;",3)")</f>
        <v>46413</v>
      </c>
      <c r="S94" s="282" t="str" cm="1">
        <f t="array" ref="S94">_xll.FDSB($C94,"CS_EVENT_TIME_N("&amp;$AA$18&amp;",3)")</f>
        <v>Unspecified</v>
      </c>
      <c r="T94" s="282" t="str" cm="1">
        <f t="array" ref="T94">_xll.FDSB($C94,"CS_EVENT_DESC_N("&amp;$AA$18&amp;",3)")</f>
        <v>Q4 2026 Earnings Release (Projected)</v>
      </c>
      <c r="U94" s="282"/>
      <c r="V94" s="274" cm="1">
        <f t="array" ref="V94">_xll.FDSB($C94,"CS_EVENT_DATEJ_N("&amp;$AA$18&amp;",4)")</f>
        <v>46504</v>
      </c>
      <c r="W94" s="282" t="str" cm="1">
        <f t="array" ref="W94">_xll.FDSB($C94,"CS_EVENT_TIME_N("&amp;$AA$18&amp;",4)")</f>
        <v>Unspecified</v>
      </c>
      <c r="X94" s="282" t="str" cm="1">
        <f t="array" ref="X94">_xll.FDSB($C94,"CS_EVENT_DESC_N("&amp;$AA$18&amp;",4)")</f>
        <v>Q1 2027 Earnings Release (Projected)</v>
      </c>
      <c r="Z94" s="283"/>
    </row>
    <row r="95" spans="2:26" x14ac:dyDescent="0.15">
      <c r="B95" s="298">
        <f t="shared" si="3"/>
        <v>80</v>
      </c>
      <c r="C95" s="299" t="str">
        <v>BLK</v>
      </c>
      <c r="D95" s="300" t="str" cm="1">
        <f t="array" ref="D95">_xll.FDSB($C95,"FG_COMPANY_NAME")</f>
        <v>BlackRock, Inc.</v>
      </c>
      <c r="E95" s="300"/>
      <c r="F95" s="274" cm="1">
        <f t="array" ref="F95">_xll.FDSB($C95,"CS_EVENT_DATEJ_N("&amp;$AA$18&amp;",1)")</f>
        <v>46224</v>
      </c>
      <c r="G95" s="282" t="str" cm="1">
        <f t="array" ref="G95">_xll.FDSB($C95,"CS_EVENT_TIME_N("&amp;$AA$18&amp;",1)")</f>
        <v>Unspecified</v>
      </c>
      <c r="H95" s="282" t="str" cm="1">
        <f t="array" ref="H95">_xll.FDSB($C95,"CS_EVENT_DESC_N("&amp;$AA$18&amp;",1)")</f>
        <v>Q2 2026 Earnings Release (Projected)</v>
      </c>
      <c r="I95" s="282"/>
      <c r="J95" s="274" t="str" cm="1">
        <f t="array" ref="J95">_xll.FDSB($C95,"CS_EVENT_DATEJ_N("&amp;$AB$18&amp;",1)")</f>
        <v/>
      </c>
      <c r="K95" s="282" t="str" cm="1">
        <f t="array" ref="K95">_xll.FDSB($C95,"CS_EVENT_TIME_N("&amp;$AB$18&amp;",1)")</f>
        <v/>
      </c>
      <c r="L95" s="282" t="str" cm="1">
        <f t="array" ref="L95">_xll.FDSB($C95,"CS_EVENT_DESC_N("&amp;$AB$18&amp;",1)")</f>
        <v/>
      </c>
      <c r="M95" s="300"/>
      <c r="N95" s="274" cm="1">
        <f t="array" ref="N95">_xll.FDSB($C95,"CS_EVENT_DATEJ_N("&amp;$AA$18&amp;",2)")</f>
        <v>46304</v>
      </c>
      <c r="O95" s="282" t="str" cm="1">
        <f t="array" ref="O95">_xll.FDSB($C95,"CS_EVENT_TIME_N("&amp;$AA$18&amp;",2)")</f>
        <v>Unspecified</v>
      </c>
      <c r="P95" s="282" t="str" cm="1">
        <f t="array" ref="P95">_xll.FDSB($C95,"CS_EVENT_DESC_N("&amp;$AA$18&amp;",2)")</f>
        <v>Q3 2026 Earnings Release (Projected)</v>
      </c>
      <c r="Q95" s="282"/>
      <c r="R95" s="274" cm="1">
        <f t="array" ref="R95">_xll.FDSB($C95,"CS_EVENT_DATEJ_N("&amp;$AA$18&amp;",3)")</f>
        <v>46408</v>
      </c>
      <c r="S95" s="282" t="str" cm="1">
        <f t="array" ref="S95">_xll.FDSB($C95,"CS_EVENT_TIME_N("&amp;$AA$18&amp;",3)")</f>
        <v>Unspecified</v>
      </c>
      <c r="T95" s="282" t="str" cm="1">
        <f t="array" ref="T95">_xll.FDSB($C95,"CS_EVENT_DESC_N("&amp;$AA$18&amp;",3)")</f>
        <v>Q4 2026 Earnings Release (Projected)</v>
      </c>
      <c r="U95" s="282"/>
      <c r="V95" s="274" cm="1">
        <f t="array" ref="V95">_xll.FDSB($C95,"CS_EVENT_DATEJ_N("&amp;$AA$18&amp;",4)")</f>
        <v>46486</v>
      </c>
      <c r="W95" s="282" t="str" cm="1">
        <f t="array" ref="W95">_xll.FDSB($C95,"CS_EVENT_TIME_N("&amp;$AA$18&amp;",4)")</f>
        <v>Unspecified</v>
      </c>
      <c r="X95" s="282" t="str" cm="1">
        <f t="array" ref="X95">_xll.FDSB($C95,"CS_EVENT_DESC_N("&amp;$AA$18&amp;",4)")</f>
        <v>Q1 2027 Earnings Release (Projected)</v>
      </c>
      <c r="Z95" s="283"/>
    </row>
    <row r="96" spans="2:26" x14ac:dyDescent="0.15">
      <c r="B96" s="298">
        <f t="shared" si="3"/>
        <v>81</v>
      </c>
      <c r="C96" s="299" t="str">
        <v>SCHW</v>
      </c>
      <c r="D96" s="300" t="str" cm="1">
        <f t="array" ref="D96">_xll.FDSB($C96,"FG_COMPANY_NAME")</f>
        <v>Charles Schwab Corp</v>
      </c>
      <c r="E96" s="300"/>
      <c r="F96" s="274" cm="1">
        <f t="array" ref="F96">_xll.FDSB($C96,"CS_EVENT_DATEJ_N("&amp;$AA$18&amp;",1)")</f>
        <v>46224</v>
      </c>
      <c r="G96" s="282" t="str" cm="1">
        <f t="array" ref="G96">_xll.FDSB($C96,"CS_EVENT_TIME_N("&amp;$AA$18&amp;",1)")</f>
        <v>Unspecified</v>
      </c>
      <c r="H96" s="282" t="str" cm="1">
        <f t="array" ref="H96">_xll.FDSB($C96,"CS_EVENT_DESC_N("&amp;$AA$18&amp;",1)")</f>
        <v>Q2 2026 Earnings Release (Projected)</v>
      </c>
      <c r="I96" s="282"/>
      <c r="J96" s="274" t="str" cm="1">
        <f t="array" ref="J96">_xll.FDSB($C96,"CS_EVENT_DATEJ_N("&amp;$AB$18&amp;",1)")</f>
        <v/>
      </c>
      <c r="K96" s="282" t="str" cm="1">
        <f t="array" ref="K96">_xll.FDSB($C96,"CS_EVENT_TIME_N("&amp;$AB$18&amp;",1)")</f>
        <v/>
      </c>
      <c r="L96" s="282" t="str" cm="1">
        <f t="array" ref="L96">_xll.FDSB($C96,"CS_EVENT_DESC_N("&amp;$AB$18&amp;",1)")</f>
        <v/>
      </c>
      <c r="M96" s="300"/>
      <c r="N96" s="274" cm="1">
        <f t="array" ref="N96">_xll.FDSB($C96,"CS_EVENT_DATEJ_N("&amp;$AA$18&amp;",2)")</f>
        <v>46310</v>
      </c>
      <c r="O96" s="282" t="str" cm="1">
        <f t="array" ref="O96">_xll.FDSB($C96,"CS_EVENT_TIME_N("&amp;$AA$18&amp;",2)")</f>
        <v>Unspecified</v>
      </c>
      <c r="P96" s="282" t="str" cm="1">
        <f t="array" ref="P96">_xll.FDSB($C96,"CS_EVENT_DESC_N("&amp;$AA$18&amp;",2)")</f>
        <v>Q3 2026 Earnings Release (Projected)</v>
      </c>
      <c r="Q96" s="282"/>
      <c r="R96" s="274" cm="1">
        <f t="array" ref="R96">_xll.FDSB($C96,"CS_EVENT_DATEJ_N("&amp;$AA$18&amp;",3)")</f>
        <v>46406</v>
      </c>
      <c r="S96" s="282" t="str" cm="1">
        <f t="array" ref="S96">_xll.FDSB($C96,"CS_EVENT_TIME_N("&amp;$AA$18&amp;",3)")</f>
        <v>Unspecified</v>
      </c>
      <c r="T96" s="282" t="str" cm="1">
        <f t="array" ref="T96">_xll.FDSB($C96,"CS_EVENT_DESC_N("&amp;$AA$18&amp;",3)")</f>
        <v>Q4 2026 Earnings Release (Projected)</v>
      </c>
      <c r="U96" s="282"/>
      <c r="V96" s="274" cm="1">
        <f t="array" ref="V96">_xll.FDSB($C96,"CS_EVENT_DATEJ_N("&amp;$AA$18&amp;",4)")</f>
        <v>46496</v>
      </c>
      <c r="W96" s="282" t="str" cm="1">
        <f t="array" ref="W96">_xll.FDSB($C96,"CS_EVENT_TIME_N("&amp;$AA$18&amp;",4)")</f>
        <v>Unspecified</v>
      </c>
      <c r="X96" s="282" t="str" cm="1">
        <f t="array" ref="X96">_xll.FDSB($C96,"CS_EVENT_DESC_N("&amp;$AA$18&amp;",4)")</f>
        <v>Q1 2027 Earnings Release (Projected)</v>
      </c>
      <c r="Z96" s="283"/>
    </row>
    <row r="97" spans="2:26" x14ac:dyDescent="0.15">
      <c r="B97" s="298">
        <f t="shared" si="3"/>
        <v>82</v>
      </c>
      <c r="C97" s="299" t="str">
        <v>JBHT</v>
      </c>
      <c r="D97" s="300" t="str" cm="1">
        <f t="array" ref="D97">_xll.FDSB($C97,"FG_COMPANY_NAME")</f>
        <v>J.B. Hunt Transport Services, Inc.</v>
      </c>
      <c r="E97" s="300"/>
      <c r="F97" s="274" cm="1">
        <f t="array" ref="F97">_xll.FDSB($C97,"CS_EVENT_DATEJ_N("&amp;$AA$18&amp;",1)")</f>
        <v>46224</v>
      </c>
      <c r="G97" s="282" t="str" cm="1">
        <f t="array" ref="G97">_xll.FDSB($C97,"CS_EVENT_TIME_N("&amp;$AA$18&amp;",1)")</f>
        <v>Unspecified</v>
      </c>
      <c r="H97" s="282" t="str" cm="1">
        <f t="array" ref="H97">_xll.FDSB($C97,"CS_EVENT_DESC_N("&amp;$AA$18&amp;",1)")</f>
        <v>Q2 2026 Earnings Release (Projected)</v>
      </c>
      <c r="I97" s="282"/>
      <c r="J97" s="274" t="str" cm="1">
        <f t="array" ref="J97">_xll.FDSB($C97,"CS_EVENT_DATEJ_N("&amp;$AB$18&amp;",1)")</f>
        <v/>
      </c>
      <c r="K97" s="282" t="str" cm="1">
        <f t="array" ref="K97">_xll.FDSB($C97,"CS_EVENT_TIME_N("&amp;$AB$18&amp;",1)")</f>
        <v/>
      </c>
      <c r="L97" s="282" t="str" cm="1">
        <f t="array" ref="L97">_xll.FDSB($C97,"CS_EVENT_DESC_N("&amp;$AB$18&amp;",1)")</f>
        <v/>
      </c>
      <c r="M97" s="300"/>
      <c r="N97" s="274" cm="1">
        <f t="array" ref="N97">_xll.FDSB($C97,"CS_EVENT_DATEJ_N("&amp;$AA$18&amp;",2)")</f>
        <v>46315</v>
      </c>
      <c r="O97" s="282" t="str" cm="1">
        <f t="array" ref="O97">_xll.FDSB($C97,"CS_EVENT_TIME_N("&amp;$AA$18&amp;",2)")</f>
        <v>Unspecified</v>
      </c>
      <c r="P97" s="282" t="str" cm="1">
        <f t="array" ref="P97">_xll.FDSB($C97,"CS_EVENT_DESC_N("&amp;$AA$18&amp;",2)")</f>
        <v>Q3 2026 Earnings Release (Projected)</v>
      </c>
      <c r="Q97" s="282"/>
      <c r="R97" s="274" cm="1">
        <f t="array" ref="R97">_xll.FDSB($C97,"CS_EVENT_DATEJ_N("&amp;$AA$18&amp;",3)")</f>
        <v>46408</v>
      </c>
      <c r="S97" s="282" t="str" cm="1">
        <f t="array" ref="S97">_xll.FDSB($C97,"CS_EVENT_TIME_N("&amp;$AA$18&amp;",3)")</f>
        <v>Unspecified</v>
      </c>
      <c r="T97" s="282" t="str" cm="1">
        <f t="array" ref="T97">_xll.FDSB($C97,"CS_EVENT_DESC_N("&amp;$AA$18&amp;",3)")</f>
        <v>Q4 2026 Earnings Release (Projected)</v>
      </c>
      <c r="U97" s="282"/>
      <c r="V97" s="274" cm="1">
        <f t="array" ref="V97">_xll.FDSB($C97,"CS_EVENT_DATEJ_N("&amp;$AA$18&amp;",4)")</f>
        <v>46496</v>
      </c>
      <c r="W97" s="282" t="str" cm="1">
        <f t="array" ref="W97">_xll.FDSB($C97,"CS_EVENT_TIME_N("&amp;$AA$18&amp;",4)")</f>
        <v>Unspecified</v>
      </c>
      <c r="X97" s="282" t="str" cm="1">
        <f t="array" ref="X97">_xll.FDSB($C97,"CS_EVENT_DESC_N("&amp;$AA$18&amp;",4)")</f>
        <v>Q1 2027 Earnings Release (Projected)</v>
      </c>
      <c r="Z97" s="283"/>
    </row>
    <row r="98" spans="2:26" x14ac:dyDescent="0.15">
      <c r="B98" s="298">
        <f t="shared" si="3"/>
        <v>83</v>
      </c>
      <c r="C98" s="299" t="str">
        <v>DHI</v>
      </c>
      <c r="D98" s="300" t="str" cm="1">
        <f t="array" ref="D98">_xll.FDSB($C98,"FG_COMPANY_NAME")</f>
        <v>D.R. Horton, Inc.</v>
      </c>
      <c r="E98" s="300"/>
      <c r="F98" s="274" cm="1">
        <f t="array" ref="F98">_xll.FDSB($C98,"CS_EVENT_DATEJ_N("&amp;$AA$18&amp;",1)")</f>
        <v>46224</v>
      </c>
      <c r="G98" s="282" t="str" cm="1">
        <f t="array" ref="G98">_xll.FDSB($C98,"CS_EVENT_TIME_N("&amp;$AA$18&amp;",1)")</f>
        <v>Before Market</v>
      </c>
      <c r="H98" s="282" t="str" cm="1">
        <f t="array" ref="H98">_xll.FDSB($C98,"CS_EVENT_DESC_N("&amp;$AA$18&amp;",1)")</f>
        <v>Q3 2026 Earnings Release</v>
      </c>
      <c r="I98" s="282"/>
      <c r="J98" s="274" cm="1">
        <f t="array" ref="J98">_xll.FDSB($C98,"CS_EVENT_DATEJ_N("&amp;$AB$18&amp;",1)")</f>
        <v>46224</v>
      </c>
      <c r="K98" s="282" t="str" cm="1">
        <f t="array" ref="K98">_xll.FDSB($C98,"CS_EVENT_TIME_N("&amp;$AB$18&amp;",1)")</f>
        <v>8:30 AM</v>
      </c>
      <c r="L98" s="282" t="str" cm="1">
        <f t="array" ref="L98">_xll.FDSB($C98,"CS_EVENT_DESC_N("&amp;$AB$18&amp;",1)")</f>
        <v>Q3 2026 Earnings Call</v>
      </c>
      <c r="M98" s="300"/>
      <c r="N98" s="274" cm="1">
        <f t="array" ref="N98">_xll.FDSB($C98,"CS_EVENT_DATEJ_N("&amp;$AA$18&amp;",2)")</f>
        <v>46324</v>
      </c>
      <c r="O98" s="282" t="str" cm="1">
        <f t="array" ref="O98">_xll.FDSB($C98,"CS_EVENT_TIME_N("&amp;$AA$18&amp;",2)")</f>
        <v>Before Market</v>
      </c>
      <c r="P98" s="282" t="str" cm="1">
        <f t="array" ref="P98">_xll.FDSB($C98,"CS_EVENT_DESC_N("&amp;$AA$18&amp;",2)")</f>
        <v>Q4 2026 Earnings Release</v>
      </c>
      <c r="Q98" s="282"/>
      <c r="R98" s="274" cm="1">
        <f t="array" ref="R98">_xll.FDSB($C98,"CS_EVENT_DATEJ_N("&amp;$AA$18&amp;",3)")</f>
        <v>46413</v>
      </c>
      <c r="S98" s="282" t="str" cm="1">
        <f t="array" ref="S98">_xll.FDSB($C98,"CS_EVENT_TIME_N("&amp;$AA$18&amp;",3)")</f>
        <v>Unspecified</v>
      </c>
      <c r="T98" s="282" t="str" cm="1">
        <f t="array" ref="T98">_xll.FDSB($C98,"CS_EVENT_DESC_N("&amp;$AA$18&amp;",3)")</f>
        <v>Q1 2027 Earnings Release (Projected)</v>
      </c>
      <c r="U98" s="282"/>
      <c r="V98" s="274" cm="1">
        <f t="array" ref="V98">_xll.FDSB($C98,"CS_EVENT_DATEJ_N("&amp;$AA$18&amp;",4)")</f>
        <v>46499</v>
      </c>
      <c r="W98" s="282" t="str" cm="1">
        <f t="array" ref="W98">_xll.FDSB($C98,"CS_EVENT_TIME_N("&amp;$AA$18&amp;",4)")</f>
        <v>Unspecified</v>
      </c>
      <c r="X98" s="282" t="str" cm="1">
        <f t="array" ref="X98">_xll.FDSB($C98,"CS_EVENT_DESC_N("&amp;$AA$18&amp;",4)")</f>
        <v>Q2 2027 Earnings Release (Projected)</v>
      </c>
      <c r="Z98" s="283"/>
    </row>
    <row r="99" spans="2:26" x14ac:dyDescent="0.15">
      <c r="B99" s="298">
        <f t="shared" si="3"/>
        <v>84</v>
      </c>
      <c r="C99" s="299" t="str">
        <v>OMC</v>
      </c>
      <c r="D99" s="300" t="str" cm="1">
        <f t="array" ref="D99">_xll.FDSB($C99,"FG_COMPANY_NAME")</f>
        <v>Omnicom Group Inc</v>
      </c>
      <c r="E99" s="300"/>
      <c r="F99" s="274" cm="1">
        <f t="array" ref="F99">_xll.FDSB($C99,"CS_EVENT_DATEJ_N("&amp;$AA$18&amp;",1)")</f>
        <v>46224</v>
      </c>
      <c r="G99" s="282" t="str" cm="1">
        <f t="array" ref="G99">_xll.FDSB($C99,"CS_EVENT_TIME_N("&amp;$AA$18&amp;",1)")</f>
        <v>Unspecified</v>
      </c>
      <c r="H99" s="282" t="str" cm="1">
        <f t="array" ref="H99">_xll.FDSB($C99,"CS_EVENT_DESC_N("&amp;$AA$18&amp;",1)")</f>
        <v>Q2 2026 Earnings Release (Projected)</v>
      </c>
      <c r="I99" s="282"/>
      <c r="J99" s="274" t="str" cm="1">
        <f t="array" ref="J99">_xll.FDSB($C99,"CS_EVENT_DATEJ_N("&amp;$AB$18&amp;",1)")</f>
        <v/>
      </c>
      <c r="K99" s="282" t="str" cm="1">
        <f t="array" ref="K99">_xll.FDSB($C99,"CS_EVENT_TIME_N("&amp;$AB$18&amp;",1)")</f>
        <v/>
      </c>
      <c r="L99" s="282" t="str" cm="1">
        <f t="array" ref="L99">_xll.FDSB($C99,"CS_EVENT_DESC_N("&amp;$AB$18&amp;",1)")</f>
        <v/>
      </c>
      <c r="M99" s="300"/>
      <c r="N99" s="274" cm="1">
        <f t="array" ref="N99">_xll.FDSB($C99,"CS_EVENT_DATEJ_N("&amp;$AA$18&amp;",2)")</f>
        <v>46315</v>
      </c>
      <c r="O99" s="282" t="str" cm="1">
        <f t="array" ref="O99">_xll.FDSB($C99,"CS_EVENT_TIME_N("&amp;$AA$18&amp;",2)")</f>
        <v>Unspecified</v>
      </c>
      <c r="P99" s="282" t="str" cm="1">
        <f t="array" ref="P99">_xll.FDSB($C99,"CS_EVENT_DESC_N("&amp;$AA$18&amp;",2)")</f>
        <v>Q3 2026 Earnings Release (Projected)</v>
      </c>
      <c r="Q99" s="282"/>
      <c r="R99" s="274" cm="1">
        <f t="array" ref="R99">_xll.FDSB($C99,"CS_EVENT_DATEJ_N("&amp;$AA$18&amp;",3)")</f>
        <v>46427</v>
      </c>
      <c r="S99" s="282" t="str" cm="1">
        <f t="array" ref="S99">_xll.FDSB($C99,"CS_EVENT_TIME_N("&amp;$AA$18&amp;",3)")</f>
        <v>Unspecified</v>
      </c>
      <c r="T99" s="282" t="str" cm="1">
        <f t="array" ref="T99">_xll.FDSB($C99,"CS_EVENT_DESC_N("&amp;$AA$18&amp;",3)")</f>
        <v>Q4 2026 Earnings Release (Projected)</v>
      </c>
      <c r="U99" s="282"/>
      <c r="V99" s="274" cm="1">
        <f t="array" ref="V99">_xll.FDSB($C99,"CS_EVENT_DATEJ_N("&amp;$AA$18&amp;",4)")</f>
        <v>46497</v>
      </c>
      <c r="W99" s="282" t="str" cm="1">
        <f t="array" ref="W99">_xll.FDSB($C99,"CS_EVENT_TIME_N("&amp;$AA$18&amp;",4)")</f>
        <v>Unspecified</v>
      </c>
      <c r="X99" s="282" t="str" cm="1">
        <f t="array" ref="X99">_xll.FDSB($C99,"CS_EVENT_DESC_N("&amp;$AA$18&amp;",4)")</f>
        <v>Q1 2027 Earnings Release (Projected)</v>
      </c>
      <c r="Z99" s="283"/>
    </row>
    <row r="100" spans="2:26" x14ac:dyDescent="0.15">
      <c r="B100" s="298">
        <f t="shared" si="3"/>
        <v>85</v>
      </c>
      <c r="C100" s="299" t="str">
        <v>MSCI</v>
      </c>
      <c r="D100" s="300" t="str" cm="1">
        <f t="array" ref="D100">_xll.FDSB($C100,"FG_COMPANY_NAME")</f>
        <v>MSCI Inc. Class A</v>
      </c>
      <c r="E100" s="300"/>
      <c r="F100" s="274" cm="1">
        <f t="array" ref="F100">_xll.FDSB($C100,"CS_EVENT_DATEJ_N("&amp;$AA$18&amp;",1)")</f>
        <v>46224</v>
      </c>
      <c r="G100" s="282" t="str" cm="1">
        <f t="array" ref="G100">_xll.FDSB($C100,"CS_EVENT_TIME_N("&amp;$AA$18&amp;",1)")</f>
        <v>6:45 AM</v>
      </c>
      <c r="H100" s="282" t="str" cm="1">
        <f t="array" ref="H100">_xll.FDSB($C100,"CS_EVENT_DESC_N("&amp;$AA$18&amp;",1)")</f>
        <v>Q2 2026 Earnings Release</v>
      </c>
      <c r="I100" s="282"/>
      <c r="J100" s="274" cm="1">
        <f t="array" ref="J100">_xll.FDSB($C100,"CS_EVENT_DATEJ_N("&amp;$AB$18&amp;",1)")</f>
        <v>46224</v>
      </c>
      <c r="K100" s="282" t="str" cm="1">
        <f t="array" ref="K100">_xll.FDSB($C100,"CS_EVENT_TIME_N("&amp;$AB$18&amp;",1)")</f>
        <v>11:00 AM</v>
      </c>
      <c r="L100" s="282" t="str" cm="1">
        <f t="array" ref="L100">_xll.FDSB($C100,"CS_EVENT_DESC_N("&amp;$AB$18&amp;",1)")</f>
        <v>Q2 2026 Earnings Call</v>
      </c>
      <c r="M100" s="300"/>
      <c r="N100" s="274" cm="1">
        <f t="array" ref="N100">_xll.FDSB($C100,"CS_EVENT_DATEJ_N("&amp;$AA$18&amp;",2)")</f>
        <v>46315</v>
      </c>
      <c r="O100" s="282" t="str" cm="1">
        <f t="array" ref="O100">_xll.FDSB($C100,"CS_EVENT_TIME_N("&amp;$AA$18&amp;",2)")</f>
        <v>6:45 AM</v>
      </c>
      <c r="P100" s="282" t="str" cm="1">
        <f t="array" ref="P100">_xll.FDSB($C100,"CS_EVENT_DESC_N("&amp;$AA$18&amp;",2)")</f>
        <v>Q3 2026 Earnings Release</v>
      </c>
      <c r="Q100" s="282"/>
      <c r="R100" s="274" cm="1">
        <f t="array" ref="R100">_xll.FDSB($C100,"CS_EVENT_DATEJ_N("&amp;$AA$18&amp;",3)")</f>
        <v>46413</v>
      </c>
      <c r="S100" s="282" t="str" cm="1">
        <f t="array" ref="S100">_xll.FDSB($C100,"CS_EVENT_TIME_N("&amp;$AA$18&amp;",3)")</f>
        <v>6:45 AM</v>
      </c>
      <c r="T100" s="282" t="str" cm="1">
        <f t="array" ref="T100">_xll.FDSB($C100,"CS_EVENT_DESC_N("&amp;$AA$18&amp;",3)")</f>
        <v>Q4 2026 Earnings Release</v>
      </c>
      <c r="U100" s="282"/>
      <c r="V100" s="274" cm="1">
        <f t="array" ref="V100">_xll.FDSB($C100,"CS_EVENT_DATEJ_N("&amp;$AA$18&amp;",4)")</f>
        <v>46504</v>
      </c>
      <c r="W100" s="282" t="str" cm="1">
        <f t="array" ref="W100">_xll.FDSB($C100,"CS_EVENT_TIME_N("&amp;$AA$18&amp;",4)")</f>
        <v>Unspecified</v>
      </c>
      <c r="X100" s="282" t="str" cm="1">
        <f t="array" ref="X100">_xll.FDSB($C100,"CS_EVENT_DESC_N("&amp;$AA$18&amp;",4)")</f>
        <v>Q1 2027 Earnings Release (Projected)</v>
      </c>
      <c r="Z100" s="283"/>
    </row>
    <row r="101" spans="2:26" x14ac:dyDescent="0.15">
      <c r="B101" s="298">
        <f t="shared" si="3"/>
        <v>86</v>
      </c>
      <c r="C101" s="299" t="str">
        <v>GM</v>
      </c>
      <c r="D101" s="300" t="str" cm="1">
        <f t="array" ref="D101">_xll.FDSB($C101,"FG_COMPANY_NAME")</f>
        <v>General Motors Company</v>
      </c>
      <c r="E101" s="300"/>
      <c r="F101" s="274" cm="1">
        <f t="array" ref="F101">_xll.FDSB($C101,"CS_EVENT_DATEJ_N("&amp;$AA$18&amp;",1)")</f>
        <v>46224</v>
      </c>
      <c r="G101" s="282" t="str" cm="1">
        <f t="array" ref="G101">_xll.FDSB($C101,"CS_EVENT_TIME_N("&amp;$AA$18&amp;",1)")</f>
        <v>Unspecified</v>
      </c>
      <c r="H101" s="282" t="str" cm="1">
        <f t="array" ref="H101">_xll.FDSB($C101,"CS_EVENT_DESC_N("&amp;$AA$18&amp;",1)")</f>
        <v>Q2 2026 Earnings Release</v>
      </c>
      <c r="I101" s="282"/>
      <c r="J101" s="274" t="str" cm="1">
        <f t="array" ref="J101">_xll.FDSB($C101,"CS_EVENT_DATEJ_N("&amp;$AB$18&amp;",1)")</f>
        <v/>
      </c>
      <c r="K101" s="282" t="str" cm="1">
        <f t="array" ref="K101">_xll.FDSB($C101,"CS_EVENT_TIME_N("&amp;$AB$18&amp;",1)")</f>
        <v/>
      </c>
      <c r="L101" s="282" t="str" cm="1">
        <f t="array" ref="L101">_xll.FDSB($C101,"CS_EVENT_DESC_N("&amp;$AB$18&amp;",1)")</f>
        <v/>
      </c>
      <c r="M101" s="300"/>
      <c r="N101" s="274" cm="1">
        <f t="array" ref="N101">_xll.FDSB($C101,"CS_EVENT_DATEJ_N("&amp;$AA$18&amp;",2)")</f>
        <v>46315</v>
      </c>
      <c r="O101" s="282" t="str" cm="1">
        <f t="array" ref="O101">_xll.FDSB($C101,"CS_EVENT_TIME_N("&amp;$AA$18&amp;",2)")</f>
        <v>Unspecified</v>
      </c>
      <c r="P101" s="282" t="str" cm="1">
        <f t="array" ref="P101">_xll.FDSB($C101,"CS_EVENT_DESC_N("&amp;$AA$18&amp;",2)")</f>
        <v>Q3 2026 Earnings Release</v>
      </c>
      <c r="Q101" s="282"/>
      <c r="R101" s="274" cm="1">
        <f t="array" ref="R101">_xll.FDSB($C101,"CS_EVENT_DATEJ_N("&amp;$AA$18&amp;",3)")</f>
        <v>46420</v>
      </c>
      <c r="S101" s="282" t="str" cm="1">
        <f t="array" ref="S101">_xll.FDSB($C101,"CS_EVENT_TIME_N("&amp;$AA$18&amp;",3)")</f>
        <v>Unspecified</v>
      </c>
      <c r="T101" s="282" t="str" cm="1">
        <f t="array" ref="T101">_xll.FDSB($C101,"CS_EVENT_DESC_N("&amp;$AA$18&amp;",3)")</f>
        <v>Q4 2026 Earnings Release (Projected)</v>
      </c>
      <c r="U101" s="282"/>
      <c r="V101" s="274" cm="1">
        <f t="array" ref="V101">_xll.FDSB($C101,"CS_EVENT_DATEJ_N("&amp;$AA$18&amp;",4)")</f>
        <v>46511</v>
      </c>
      <c r="W101" s="282" t="str" cm="1">
        <f t="array" ref="W101">_xll.FDSB($C101,"CS_EVENT_TIME_N("&amp;$AA$18&amp;",4)")</f>
        <v>Unspecified</v>
      </c>
      <c r="X101" s="282" t="str" cm="1">
        <f t="array" ref="X101">_xll.FDSB($C101,"CS_EVENT_DESC_N("&amp;$AA$18&amp;",4)")</f>
        <v>Q1 2027 Earnings Release (Projected)</v>
      </c>
      <c r="Z101" s="283"/>
    </row>
    <row r="102" spans="2:26" x14ac:dyDescent="0.15">
      <c r="B102" s="298">
        <f t="shared" si="3"/>
        <v>87</v>
      </c>
      <c r="C102" s="299" t="str">
        <v>IBKR</v>
      </c>
      <c r="D102" s="300" t="str" cm="1">
        <f t="array" ref="D102">_xll.FDSB($C102,"FG_COMPANY_NAME")</f>
        <v>Interactive Brokers Group, Inc. Class A</v>
      </c>
      <c r="E102" s="300"/>
      <c r="F102" s="274" cm="1">
        <f t="array" ref="F102">_xll.FDSB($C102,"CS_EVENT_DATEJ_N("&amp;$AA$18&amp;",1)")</f>
        <v>46224</v>
      </c>
      <c r="G102" s="282" t="str" cm="1">
        <f t="array" ref="G102">_xll.FDSB($C102,"CS_EVENT_TIME_N("&amp;$AA$18&amp;",1)")</f>
        <v>Unspecified</v>
      </c>
      <c r="H102" s="282" t="str" cm="1">
        <f t="array" ref="H102">_xll.FDSB($C102,"CS_EVENT_DESC_N("&amp;$AA$18&amp;",1)")</f>
        <v>Q2 2026 Earnings Release (Projected)</v>
      </c>
      <c r="I102" s="282"/>
      <c r="J102" s="274" t="str" cm="1">
        <f t="array" ref="J102">_xll.FDSB($C102,"CS_EVENT_DATEJ_N("&amp;$AB$18&amp;",1)")</f>
        <v/>
      </c>
      <c r="K102" s="282" t="str" cm="1">
        <f t="array" ref="K102">_xll.FDSB($C102,"CS_EVENT_TIME_N("&amp;$AB$18&amp;",1)")</f>
        <v/>
      </c>
      <c r="L102" s="282" t="str" cm="1">
        <f t="array" ref="L102">_xll.FDSB($C102,"CS_EVENT_DESC_N("&amp;$AB$18&amp;",1)")</f>
        <v/>
      </c>
      <c r="M102" s="300"/>
      <c r="N102" s="274" cm="1">
        <f t="array" ref="N102">_xll.FDSB($C102,"CS_EVENT_DATEJ_N("&amp;$AA$18&amp;",2)")</f>
        <v>46315</v>
      </c>
      <c r="O102" s="282" t="str" cm="1">
        <f t="array" ref="O102">_xll.FDSB($C102,"CS_EVENT_TIME_N("&amp;$AA$18&amp;",2)")</f>
        <v>Unspecified</v>
      </c>
      <c r="P102" s="282" t="str" cm="1">
        <f t="array" ref="P102">_xll.FDSB($C102,"CS_EVENT_DESC_N("&amp;$AA$18&amp;",2)")</f>
        <v>Q3 2026 Earnings Release (Projected)</v>
      </c>
      <c r="Q102" s="282"/>
      <c r="R102" s="274" cm="1">
        <f t="array" ref="R102">_xll.FDSB($C102,"CS_EVENT_DATEJ_N("&amp;$AA$18&amp;",3)")</f>
        <v>46406</v>
      </c>
      <c r="S102" s="282" t="str" cm="1">
        <f t="array" ref="S102">_xll.FDSB($C102,"CS_EVENT_TIME_N("&amp;$AA$18&amp;",3)")</f>
        <v>Unspecified</v>
      </c>
      <c r="T102" s="282" t="str" cm="1">
        <f t="array" ref="T102">_xll.FDSB($C102,"CS_EVENT_DESC_N("&amp;$AA$18&amp;",3)")</f>
        <v>Q4 2026 Earnings Release (Projected)</v>
      </c>
      <c r="U102" s="282"/>
      <c r="V102" s="274" cm="1">
        <f t="array" ref="V102">_xll.FDSB($C102,"CS_EVENT_DATEJ_N("&amp;$AA$18&amp;",4)")</f>
        <v>46497</v>
      </c>
      <c r="W102" s="282" t="str" cm="1">
        <f t="array" ref="W102">_xll.FDSB($C102,"CS_EVENT_TIME_N("&amp;$AA$18&amp;",4)")</f>
        <v>Unspecified</v>
      </c>
      <c r="X102" s="282" t="str" cm="1">
        <f t="array" ref="X102">_xll.FDSB($C102,"CS_EVENT_DESC_N("&amp;$AA$18&amp;",4)")</f>
        <v>Q1 2027 Earnings Release (Projected)</v>
      </c>
      <c r="Z102" s="283"/>
    </row>
    <row r="103" spans="2:26" x14ac:dyDescent="0.15">
      <c r="B103" s="298">
        <f t="shared" si="3"/>
        <v>88</v>
      </c>
      <c r="C103" s="299" t="str">
        <v>SYF</v>
      </c>
      <c r="D103" s="300" t="str" cm="1">
        <f t="array" ref="D103">_xll.FDSB($C103,"FG_COMPANY_NAME")</f>
        <v>Synchrony Financial</v>
      </c>
      <c r="E103" s="300"/>
      <c r="F103" s="274" cm="1">
        <f t="array" ref="F103">_xll.FDSB($C103,"CS_EVENT_DATEJ_N("&amp;$AA$18&amp;",1)")</f>
        <v>46224</v>
      </c>
      <c r="G103" s="282" t="str" cm="1">
        <f t="array" ref="G103">_xll.FDSB($C103,"CS_EVENT_TIME_N("&amp;$AA$18&amp;",1)")</f>
        <v>Unspecified</v>
      </c>
      <c r="H103" s="282" t="str" cm="1">
        <f t="array" ref="H103">_xll.FDSB($C103,"CS_EVENT_DESC_N("&amp;$AA$18&amp;",1)")</f>
        <v>Q2 2026 Earnings Release (Projected)</v>
      </c>
      <c r="I103" s="282"/>
      <c r="J103" s="274" t="str" cm="1">
        <f t="array" ref="J103">_xll.FDSB($C103,"CS_EVENT_DATEJ_N("&amp;$AB$18&amp;",1)")</f>
        <v/>
      </c>
      <c r="K103" s="282" t="str" cm="1">
        <f t="array" ref="K103">_xll.FDSB($C103,"CS_EVENT_TIME_N("&amp;$AB$18&amp;",1)")</f>
        <v/>
      </c>
      <c r="L103" s="282" t="str" cm="1">
        <f t="array" ref="L103">_xll.FDSB($C103,"CS_EVENT_DESC_N("&amp;$AB$18&amp;",1)")</f>
        <v/>
      </c>
      <c r="M103" s="300"/>
      <c r="N103" s="274" cm="1">
        <f t="array" ref="N103">_xll.FDSB($C103,"CS_EVENT_DATEJ_N("&amp;$AA$18&amp;",2)")</f>
        <v>46316</v>
      </c>
      <c r="O103" s="282" t="str" cm="1">
        <f t="array" ref="O103">_xll.FDSB($C103,"CS_EVENT_TIME_N("&amp;$AA$18&amp;",2)")</f>
        <v>Unspecified</v>
      </c>
      <c r="P103" s="282" t="str" cm="1">
        <f t="array" ref="P103">_xll.FDSB($C103,"CS_EVENT_DESC_N("&amp;$AA$18&amp;",2)")</f>
        <v>Q3 2026 Earnings Release (Projected)</v>
      </c>
      <c r="Q103" s="282"/>
      <c r="R103" s="274" cm="1">
        <f t="array" ref="R103">_xll.FDSB($C103,"CS_EVENT_DATEJ_N("&amp;$AA$18&amp;",3)")</f>
        <v>46409</v>
      </c>
      <c r="S103" s="282" t="str" cm="1">
        <f t="array" ref="S103">_xll.FDSB($C103,"CS_EVENT_TIME_N("&amp;$AA$18&amp;",3)")</f>
        <v>Unspecified</v>
      </c>
      <c r="T103" s="282" t="str" cm="1">
        <f t="array" ref="T103">_xll.FDSB($C103,"CS_EVENT_DESC_N("&amp;$AA$18&amp;",3)")</f>
        <v>Q4 2026 Earnings Release (Projected)</v>
      </c>
      <c r="U103" s="282"/>
      <c r="V103" s="274" cm="1">
        <f t="array" ref="V103">_xll.FDSB($C103,"CS_EVENT_DATEJ_N("&amp;$AA$18&amp;",4)")</f>
        <v>46504</v>
      </c>
      <c r="W103" s="282" t="str" cm="1">
        <f t="array" ref="W103">_xll.FDSB($C103,"CS_EVENT_TIME_N("&amp;$AA$18&amp;",4)")</f>
        <v>Unspecified</v>
      </c>
      <c r="X103" s="282" t="str" cm="1">
        <f t="array" ref="X103">_xll.FDSB($C103,"CS_EVENT_DESC_N("&amp;$AA$18&amp;",4)")</f>
        <v>Q1 2027 Earnings Release (Projected)</v>
      </c>
      <c r="Z103" s="283"/>
    </row>
    <row r="104" spans="2:26" x14ac:dyDescent="0.15">
      <c r="B104" s="298">
        <f t="shared" si="3"/>
        <v>89</v>
      </c>
      <c r="C104" s="299" t="str">
        <v>CCI</v>
      </c>
      <c r="D104" s="300" t="str" cm="1">
        <f t="array" ref="D104">_xll.FDSB($C104,"FG_COMPANY_NAME")</f>
        <v>Crown Castle Inc.</v>
      </c>
      <c r="E104" s="300"/>
      <c r="F104" s="274" cm="1">
        <f t="array" ref="F104">_xll.FDSB($C104,"CS_EVENT_DATEJ_N("&amp;$AA$18&amp;",1)")</f>
        <v>46225</v>
      </c>
      <c r="G104" s="282" t="str" cm="1">
        <f t="array" ref="G104">_xll.FDSB($C104,"CS_EVENT_TIME_N("&amp;$AA$18&amp;",1)")</f>
        <v>Unspecified</v>
      </c>
      <c r="H104" s="282" t="str" cm="1">
        <f t="array" ref="H104">_xll.FDSB($C104,"CS_EVENT_DESC_N("&amp;$AA$18&amp;",1)")</f>
        <v>Q2 2026 Earnings Release (Projected)</v>
      </c>
      <c r="I104" s="282"/>
      <c r="J104" s="274" t="str" cm="1">
        <f t="array" ref="J104">_xll.FDSB($C104,"CS_EVENT_DATEJ_N("&amp;$AB$18&amp;",1)")</f>
        <v/>
      </c>
      <c r="K104" s="282" t="str" cm="1">
        <f t="array" ref="K104">_xll.FDSB($C104,"CS_EVENT_TIME_N("&amp;$AB$18&amp;",1)")</f>
        <v/>
      </c>
      <c r="L104" s="282" t="str" cm="1">
        <f t="array" ref="L104">_xll.FDSB($C104,"CS_EVENT_DESC_N("&amp;$AB$18&amp;",1)")</f>
        <v/>
      </c>
      <c r="M104" s="300"/>
      <c r="N104" s="274" cm="1">
        <f t="array" ref="N104">_xll.FDSB($C104,"CS_EVENT_DATEJ_N("&amp;$AA$18&amp;",2)")</f>
        <v>46316</v>
      </c>
      <c r="O104" s="282" t="str" cm="1">
        <f t="array" ref="O104">_xll.FDSB($C104,"CS_EVENT_TIME_N("&amp;$AA$18&amp;",2)")</f>
        <v>Unspecified</v>
      </c>
      <c r="P104" s="282" t="str" cm="1">
        <f t="array" ref="P104">_xll.FDSB($C104,"CS_EVENT_DESC_N("&amp;$AA$18&amp;",2)")</f>
        <v>Q3 2026 Earnings Release (Projected)</v>
      </c>
      <c r="Q104" s="282"/>
      <c r="R104" s="274" cm="1">
        <f t="array" ref="R104">_xll.FDSB($C104,"CS_EVENT_DATEJ_N("&amp;$AA$18&amp;",3)")</f>
        <v>46414</v>
      </c>
      <c r="S104" s="282" t="str" cm="1">
        <f t="array" ref="S104">_xll.FDSB($C104,"CS_EVENT_TIME_N("&amp;$AA$18&amp;",3)")</f>
        <v>Unspecified</v>
      </c>
      <c r="T104" s="282" t="str" cm="1">
        <f t="array" ref="T104">_xll.FDSB($C104,"CS_EVENT_DESC_N("&amp;$AA$18&amp;",3)")</f>
        <v>Q4 2026 Earnings Release (Projected)</v>
      </c>
      <c r="U104" s="282"/>
      <c r="V104" s="274" cm="1">
        <f t="array" ref="V104">_xll.FDSB($C104,"CS_EVENT_DATEJ_N("&amp;$AA$18&amp;",4)")</f>
        <v>46498</v>
      </c>
      <c r="W104" s="282" t="str" cm="1">
        <f t="array" ref="W104">_xll.FDSB($C104,"CS_EVENT_TIME_N("&amp;$AA$18&amp;",4)")</f>
        <v>Unspecified</v>
      </c>
      <c r="X104" s="282" t="str" cm="1">
        <f t="array" ref="X104">_xll.FDSB($C104,"CS_EVENT_DESC_N("&amp;$AA$18&amp;",4)")</f>
        <v>Q1 2027 Earnings Release (Projected)</v>
      </c>
      <c r="Z104" s="283"/>
    </row>
    <row r="105" spans="2:26" x14ac:dyDescent="0.15">
      <c r="B105" s="298">
        <f t="shared" si="3"/>
        <v>90</v>
      </c>
      <c r="C105" s="299" t="str">
        <v>EFX</v>
      </c>
      <c r="D105" s="300" t="str" cm="1">
        <f t="array" ref="D105">_xll.FDSB($C105,"FG_COMPANY_NAME")</f>
        <v>Equifax Inc.</v>
      </c>
      <c r="E105" s="300"/>
      <c r="F105" s="274" cm="1">
        <f t="array" ref="F105">_xll.FDSB($C105,"CS_EVENT_DATEJ_N("&amp;$AA$18&amp;",1)")</f>
        <v>46225</v>
      </c>
      <c r="G105" s="282" t="str" cm="1">
        <f t="array" ref="G105">_xll.FDSB($C105,"CS_EVENT_TIME_N("&amp;$AA$18&amp;",1)")</f>
        <v>Unspecified</v>
      </c>
      <c r="H105" s="282" t="str" cm="1">
        <f t="array" ref="H105">_xll.FDSB($C105,"CS_EVENT_DESC_N("&amp;$AA$18&amp;",1)")</f>
        <v>Q2 2026 Earnings Release (Projected)</v>
      </c>
      <c r="I105" s="282"/>
      <c r="J105" s="274" t="str" cm="1">
        <f t="array" ref="J105">_xll.FDSB($C105,"CS_EVENT_DATEJ_N("&amp;$AB$18&amp;",1)")</f>
        <v/>
      </c>
      <c r="K105" s="282" t="str" cm="1">
        <f t="array" ref="K105">_xll.FDSB($C105,"CS_EVENT_TIME_N("&amp;$AB$18&amp;",1)")</f>
        <v/>
      </c>
      <c r="L105" s="282" t="str" cm="1">
        <f t="array" ref="L105">_xll.FDSB($C105,"CS_EVENT_DESC_N("&amp;$AB$18&amp;",1)")</f>
        <v/>
      </c>
      <c r="M105" s="300"/>
      <c r="N105" s="274" cm="1">
        <f t="array" ref="N105">_xll.FDSB($C105,"CS_EVENT_DATEJ_N("&amp;$AA$18&amp;",2)")</f>
        <v>46316</v>
      </c>
      <c r="O105" s="282" t="str" cm="1">
        <f t="array" ref="O105">_xll.FDSB($C105,"CS_EVENT_TIME_N("&amp;$AA$18&amp;",2)")</f>
        <v>Unspecified</v>
      </c>
      <c r="P105" s="282" t="str" cm="1">
        <f t="array" ref="P105">_xll.FDSB($C105,"CS_EVENT_DESC_N("&amp;$AA$18&amp;",2)")</f>
        <v>Q3 2026 Earnings Release (Projected)</v>
      </c>
      <c r="Q105" s="282"/>
      <c r="R105" s="274" cm="1">
        <f t="array" ref="R105">_xll.FDSB($C105,"CS_EVENT_DATEJ_N("&amp;$AA$18&amp;",3)")</f>
        <v>46428</v>
      </c>
      <c r="S105" s="282" t="str" cm="1">
        <f t="array" ref="S105">_xll.FDSB($C105,"CS_EVENT_TIME_N("&amp;$AA$18&amp;",3)")</f>
        <v>Unspecified</v>
      </c>
      <c r="T105" s="282" t="str" cm="1">
        <f t="array" ref="T105">_xll.FDSB($C105,"CS_EVENT_DESC_N("&amp;$AA$18&amp;",3)")</f>
        <v>Q4 2026 Earnings Release (Projected)</v>
      </c>
      <c r="U105" s="282"/>
      <c r="V105" s="274" cm="1">
        <f t="array" ref="V105">_xll.FDSB($C105,"CS_EVENT_DATEJ_N("&amp;$AA$18&amp;",4)")</f>
        <v>46498</v>
      </c>
      <c r="W105" s="282" t="str" cm="1">
        <f t="array" ref="W105">_xll.FDSB($C105,"CS_EVENT_TIME_N("&amp;$AA$18&amp;",4)")</f>
        <v>Unspecified</v>
      </c>
      <c r="X105" s="282" t="str" cm="1">
        <f t="array" ref="X105">_xll.FDSB($C105,"CS_EVENT_DESC_N("&amp;$AA$18&amp;",4)")</f>
        <v>Q1 2027 Earnings Release (Projected)</v>
      </c>
      <c r="Z105" s="283"/>
    </row>
    <row r="106" spans="2:26" x14ac:dyDescent="0.15">
      <c r="B106" s="298">
        <f t="shared" si="3"/>
        <v>91</v>
      </c>
      <c r="C106" s="299" t="str">
        <v>PHM</v>
      </c>
      <c r="D106" s="300" t="str" cm="1">
        <f t="array" ref="D106">_xll.FDSB($C106,"FG_COMPANY_NAME")</f>
        <v>PulteGroup, Inc.</v>
      </c>
      <c r="E106" s="300"/>
      <c r="F106" s="274" cm="1">
        <f t="array" ref="F106">_xll.FDSB($C106,"CS_EVENT_DATEJ_N("&amp;$AA$18&amp;",1)")</f>
        <v>46225</v>
      </c>
      <c r="G106" s="282" t="str" cm="1">
        <f t="array" ref="G106">_xll.FDSB($C106,"CS_EVENT_TIME_N("&amp;$AA$18&amp;",1)")</f>
        <v>Before Market</v>
      </c>
      <c r="H106" s="282" t="str" cm="1">
        <f t="array" ref="H106">_xll.FDSB($C106,"CS_EVENT_DESC_N("&amp;$AA$18&amp;",1)")</f>
        <v>Q2 2026 Earnings Release</v>
      </c>
      <c r="I106" s="282"/>
      <c r="J106" s="274" cm="1">
        <f t="array" ref="J106">_xll.FDSB($C106,"CS_EVENT_DATEJ_N("&amp;$AB$18&amp;",1)")</f>
        <v>46225</v>
      </c>
      <c r="K106" s="282" t="str" cm="1">
        <f t="array" ref="K106">_xll.FDSB($C106,"CS_EVENT_TIME_N("&amp;$AB$18&amp;",1)")</f>
        <v>8:30 AM</v>
      </c>
      <c r="L106" s="282" t="str" cm="1">
        <f t="array" ref="L106">_xll.FDSB($C106,"CS_EVENT_DESC_N("&amp;$AB$18&amp;",1)")</f>
        <v>Q2 2026 Earnings Call</v>
      </c>
      <c r="M106" s="300"/>
      <c r="N106" s="274" cm="1">
        <f t="array" ref="N106">_xll.FDSB($C106,"CS_EVENT_DATEJ_N("&amp;$AA$18&amp;",2)")</f>
        <v>46322</v>
      </c>
      <c r="O106" s="282" t="str" cm="1">
        <f t="array" ref="O106">_xll.FDSB($C106,"CS_EVENT_TIME_N("&amp;$AA$18&amp;",2)")</f>
        <v>Unspecified</v>
      </c>
      <c r="P106" s="282" t="str" cm="1">
        <f t="array" ref="P106">_xll.FDSB($C106,"CS_EVENT_DESC_N("&amp;$AA$18&amp;",2)")</f>
        <v>Q3 2026 Earnings Release (Projected)</v>
      </c>
      <c r="Q106" s="282"/>
      <c r="R106" s="274" cm="1">
        <f t="array" ref="R106">_xll.FDSB($C106,"CS_EVENT_DATEJ_N("&amp;$AA$18&amp;",3)")</f>
        <v>46420</v>
      </c>
      <c r="S106" s="282" t="str" cm="1">
        <f t="array" ref="S106">_xll.FDSB($C106,"CS_EVENT_TIME_N("&amp;$AA$18&amp;",3)")</f>
        <v>Unspecified</v>
      </c>
      <c r="T106" s="282" t="str" cm="1">
        <f t="array" ref="T106">_xll.FDSB($C106,"CS_EVENT_DESC_N("&amp;$AA$18&amp;",3)")</f>
        <v>Q4 2026 Earnings Release (Projected)</v>
      </c>
      <c r="U106" s="282"/>
      <c r="V106" s="274" cm="1">
        <f t="array" ref="V106">_xll.FDSB($C106,"CS_EVENT_DATEJ_N("&amp;$AA$18&amp;",4)")</f>
        <v>46504</v>
      </c>
      <c r="W106" s="282" t="str" cm="1">
        <f t="array" ref="W106">_xll.FDSB($C106,"CS_EVENT_TIME_N("&amp;$AA$18&amp;",4)")</f>
        <v>Unspecified</v>
      </c>
      <c r="X106" s="282" t="str" cm="1">
        <f t="array" ref="X106">_xll.FDSB($C106,"CS_EVENT_DESC_N("&amp;$AA$18&amp;",4)")</f>
        <v>Q1 2027 Earnings Release (Projected)</v>
      </c>
      <c r="Z106" s="283"/>
    </row>
    <row r="107" spans="2:26" x14ac:dyDescent="0.15">
      <c r="B107" s="298">
        <f t="shared" si="3"/>
        <v>92</v>
      </c>
      <c r="C107" s="299" t="str">
        <v>STLD</v>
      </c>
      <c r="D107" s="300" t="str" cm="1">
        <f t="array" ref="D107">_xll.FDSB($C107,"FG_COMPANY_NAME")</f>
        <v>Steel Dynamics, Inc.</v>
      </c>
      <c r="E107" s="300"/>
      <c r="F107" s="274" cm="1">
        <f t="array" ref="F107">_xll.FDSB($C107,"CS_EVENT_DATEJ_N("&amp;$AA$18&amp;",1)")</f>
        <v>46225</v>
      </c>
      <c r="G107" s="282" t="str" cm="1">
        <f t="array" ref="G107">_xll.FDSB($C107,"CS_EVENT_TIME_N("&amp;$AA$18&amp;",1)")</f>
        <v>Unspecified</v>
      </c>
      <c r="H107" s="282" t="str" cm="1">
        <f t="array" ref="H107">_xll.FDSB($C107,"CS_EVENT_DESC_N("&amp;$AA$18&amp;",1)")</f>
        <v>Q2 2026 Earnings Release (Projected)</v>
      </c>
      <c r="I107" s="282"/>
      <c r="J107" s="274" t="str" cm="1">
        <f t="array" ref="J107">_xll.FDSB($C107,"CS_EVENT_DATEJ_N("&amp;$AB$18&amp;",1)")</f>
        <v/>
      </c>
      <c r="K107" s="282" t="str" cm="1">
        <f t="array" ref="K107">_xll.FDSB($C107,"CS_EVENT_TIME_N("&amp;$AB$18&amp;",1)")</f>
        <v/>
      </c>
      <c r="L107" s="282" t="str" cm="1">
        <f t="array" ref="L107">_xll.FDSB($C107,"CS_EVENT_DESC_N("&amp;$AB$18&amp;",1)")</f>
        <v/>
      </c>
      <c r="M107" s="300"/>
      <c r="N107" s="274" cm="1">
        <f t="array" ref="N107">_xll.FDSB($C107,"CS_EVENT_DATEJ_N("&amp;$AA$18&amp;",2)")</f>
        <v>46316</v>
      </c>
      <c r="O107" s="282" t="str" cm="1">
        <f t="array" ref="O107">_xll.FDSB($C107,"CS_EVENT_TIME_N("&amp;$AA$18&amp;",2)")</f>
        <v>Unspecified</v>
      </c>
      <c r="P107" s="282" t="str" cm="1">
        <f t="array" ref="P107">_xll.FDSB($C107,"CS_EVENT_DESC_N("&amp;$AA$18&amp;",2)")</f>
        <v>Q3 2026 Earnings Release (Projected)</v>
      </c>
      <c r="Q107" s="282"/>
      <c r="R107" s="274" cm="1">
        <f t="array" ref="R107">_xll.FDSB($C107,"CS_EVENT_DATEJ_N("&amp;$AA$18&amp;",3)")</f>
        <v>46414</v>
      </c>
      <c r="S107" s="282" t="str" cm="1">
        <f t="array" ref="S107">_xll.FDSB($C107,"CS_EVENT_TIME_N("&amp;$AA$18&amp;",3)")</f>
        <v>Unspecified</v>
      </c>
      <c r="T107" s="282" t="str" cm="1">
        <f t="array" ref="T107">_xll.FDSB($C107,"CS_EVENT_DESC_N("&amp;$AA$18&amp;",3)")</f>
        <v>Q4 2026 Earnings Release (Projected)</v>
      </c>
      <c r="U107" s="282"/>
      <c r="V107" s="274" cm="1">
        <f t="array" ref="V107">_xll.FDSB($C107,"CS_EVENT_DATEJ_N("&amp;$AA$18&amp;",4)")</f>
        <v>46504</v>
      </c>
      <c r="W107" s="282" t="str" cm="1">
        <f t="array" ref="W107">_xll.FDSB($C107,"CS_EVENT_TIME_N("&amp;$AA$18&amp;",4)")</f>
        <v>Unspecified</v>
      </c>
      <c r="X107" s="282" t="str" cm="1">
        <f t="array" ref="X107">_xll.FDSB($C107,"CS_EVENT_DESC_N("&amp;$AA$18&amp;",4)")</f>
        <v>Q1 2027 Earnings Release (Projected)</v>
      </c>
      <c r="Z107" s="283"/>
    </row>
    <row r="108" spans="2:26" x14ac:dyDescent="0.15">
      <c r="B108" s="298">
        <f t="shared" si="3"/>
        <v>93</v>
      </c>
      <c r="C108" s="299" t="str">
        <v>JNJ</v>
      </c>
      <c r="D108" s="300" t="str" cm="1">
        <f t="array" ref="D108">_xll.FDSB($C108,"FG_COMPANY_NAME")</f>
        <v>Johnson &amp; Johnson</v>
      </c>
      <c r="E108" s="300"/>
      <c r="F108" s="274" cm="1">
        <f t="array" ref="F108">_xll.FDSB($C108,"CS_EVENT_DATEJ_N("&amp;$AA$18&amp;",1)")</f>
        <v>46225</v>
      </c>
      <c r="G108" s="282" t="str" cm="1">
        <f t="array" ref="G108">_xll.FDSB($C108,"CS_EVENT_TIME_N("&amp;$AA$18&amp;",1)")</f>
        <v>Unspecified</v>
      </c>
      <c r="H108" s="282" t="str" cm="1">
        <f t="array" ref="H108">_xll.FDSB($C108,"CS_EVENT_DESC_N("&amp;$AA$18&amp;",1)")</f>
        <v>Q2 2026 Earnings Release (Projected)</v>
      </c>
      <c r="I108" s="282"/>
      <c r="J108" s="274" t="str" cm="1">
        <f t="array" ref="J108">_xll.FDSB($C108,"CS_EVENT_DATEJ_N("&amp;$AB$18&amp;",1)")</f>
        <v/>
      </c>
      <c r="K108" s="282" t="str" cm="1">
        <f t="array" ref="K108">_xll.FDSB($C108,"CS_EVENT_TIME_N("&amp;$AB$18&amp;",1)")</f>
        <v/>
      </c>
      <c r="L108" s="282" t="str" cm="1">
        <f t="array" ref="L108">_xll.FDSB($C108,"CS_EVENT_DESC_N("&amp;$AB$18&amp;",1)")</f>
        <v/>
      </c>
      <c r="M108" s="300"/>
      <c r="N108" s="274" cm="1">
        <f t="array" ref="N108">_xll.FDSB($C108,"CS_EVENT_DATEJ_N("&amp;$AA$18&amp;",2)")</f>
        <v>46315</v>
      </c>
      <c r="O108" s="282" t="str" cm="1">
        <f t="array" ref="O108">_xll.FDSB($C108,"CS_EVENT_TIME_N("&amp;$AA$18&amp;",2)")</f>
        <v>Unspecified</v>
      </c>
      <c r="P108" s="282" t="str" cm="1">
        <f t="array" ref="P108">_xll.FDSB($C108,"CS_EVENT_DESC_N("&amp;$AA$18&amp;",2)")</f>
        <v>Q3 2026 Earnings Release (Projected)</v>
      </c>
      <c r="Q108" s="282"/>
      <c r="R108" s="274" cm="1">
        <f t="array" ref="R108">_xll.FDSB($C108,"CS_EVENT_DATEJ_N("&amp;$AA$18&amp;",3)")</f>
        <v>46413</v>
      </c>
      <c r="S108" s="282" t="str" cm="1">
        <f t="array" ref="S108">_xll.FDSB($C108,"CS_EVENT_TIME_N("&amp;$AA$18&amp;",3)")</f>
        <v>Unspecified</v>
      </c>
      <c r="T108" s="282" t="str" cm="1">
        <f t="array" ref="T108">_xll.FDSB($C108,"CS_EVENT_DESC_N("&amp;$AA$18&amp;",3)")</f>
        <v>Q4 2026 Earnings Release (Projected)</v>
      </c>
      <c r="U108" s="282"/>
      <c r="V108" s="274" cm="1">
        <f t="array" ref="V108">_xll.FDSB($C108,"CS_EVENT_DATEJ_N("&amp;$AA$18&amp;",4)")</f>
        <v>46497</v>
      </c>
      <c r="W108" s="282" t="str" cm="1">
        <f t="array" ref="W108">_xll.FDSB($C108,"CS_EVENT_TIME_N("&amp;$AA$18&amp;",4)")</f>
        <v>Unspecified</v>
      </c>
      <c r="X108" s="282" t="str" cm="1">
        <f t="array" ref="X108">_xll.FDSB($C108,"CS_EVENT_DESC_N("&amp;$AA$18&amp;",4)")</f>
        <v>Q1 2027 Earnings Release (Projected)</v>
      </c>
      <c r="Z108" s="283"/>
    </row>
    <row r="109" spans="2:26" x14ac:dyDescent="0.15">
      <c r="B109" s="298">
        <f t="shared" si="3"/>
        <v>94</v>
      </c>
      <c r="C109" s="299" t="str">
        <v>RJF</v>
      </c>
      <c r="D109" s="300" t="str" cm="1">
        <f t="array" ref="D109">_xll.FDSB($C109,"FG_COMPANY_NAME")</f>
        <v>Raymond James Financial, Inc.</v>
      </c>
      <c r="E109" s="300"/>
      <c r="F109" s="274" cm="1">
        <f t="array" ref="F109">_xll.FDSB($C109,"CS_EVENT_DATEJ_N("&amp;$AA$18&amp;",1)")</f>
        <v>46225</v>
      </c>
      <c r="G109" s="282" t="str" cm="1">
        <f t="array" ref="G109">_xll.FDSB($C109,"CS_EVENT_TIME_N("&amp;$AA$18&amp;",1)")</f>
        <v>4:15 PM</v>
      </c>
      <c r="H109" s="282" t="str" cm="1">
        <f t="array" ref="H109">_xll.FDSB($C109,"CS_EVENT_DESC_N("&amp;$AA$18&amp;",1)")</f>
        <v>Q3 2026 Earnings Release</v>
      </c>
      <c r="I109" s="282"/>
      <c r="J109" s="274" cm="1">
        <f t="array" ref="J109">_xll.FDSB($C109,"CS_EVENT_DATEJ_N("&amp;$AB$18&amp;",1)")</f>
        <v>46225</v>
      </c>
      <c r="K109" s="282" t="str" cm="1">
        <f t="array" ref="K109">_xll.FDSB($C109,"CS_EVENT_TIME_N("&amp;$AB$18&amp;",1)")</f>
        <v>5:00 PM</v>
      </c>
      <c r="L109" s="282" t="str" cm="1">
        <f t="array" ref="L109">_xll.FDSB($C109,"CS_EVENT_DESC_N("&amp;$AB$18&amp;",1)")</f>
        <v>Q3 2026 Earnings Call</v>
      </c>
      <c r="M109" s="300"/>
      <c r="N109" s="274" cm="1">
        <f t="array" ref="N109">_xll.FDSB($C109,"CS_EVENT_DATEJ_N("&amp;$AA$18&amp;",2)")</f>
        <v>46323</v>
      </c>
      <c r="O109" s="282" t="str" cm="1">
        <f t="array" ref="O109">_xll.FDSB($C109,"CS_EVENT_TIME_N("&amp;$AA$18&amp;",2)")</f>
        <v>4:15 PM</v>
      </c>
      <c r="P109" s="282" t="str" cm="1">
        <f t="array" ref="P109">_xll.FDSB($C109,"CS_EVENT_DESC_N("&amp;$AA$18&amp;",2)")</f>
        <v>Q4 2026 Earnings Release</v>
      </c>
      <c r="Q109" s="282"/>
      <c r="R109" s="274" cm="1">
        <f t="array" ref="R109">_xll.FDSB($C109,"CS_EVENT_DATEJ_N("&amp;$AA$18&amp;",3)")</f>
        <v>46414</v>
      </c>
      <c r="S109" s="282" t="str" cm="1">
        <f t="array" ref="S109">_xll.FDSB($C109,"CS_EVENT_TIME_N("&amp;$AA$18&amp;",3)")</f>
        <v>Unspecified</v>
      </c>
      <c r="T109" s="282" t="str" cm="1">
        <f t="array" ref="T109">_xll.FDSB($C109,"CS_EVENT_DESC_N("&amp;$AA$18&amp;",3)")</f>
        <v>Q1 2027 Earnings Release (Projected)</v>
      </c>
      <c r="U109" s="282"/>
      <c r="V109" s="274" cm="1">
        <f t="array" ref="V109">_xll.FDSB($C109,"CS_EVENT_DATEJ_N("&amp;$AA$18&amp;",4)")</f>
        <v>46505</v>
      </c>
      <c r="W109" s="282" t="str" cm="1">
        <f t="array" ref="W109">_xll.FDSB($C109,"CS_EVENT_TIME_N("&amp;$AA$18&amp;",4)")</f>
        <v>Unspecified</v>
      </c>
      <c r="X109" s="282" t="str" cm="1">
        <f t="array" ref="X109">_xll.FDSB($C109,"CS_EVENT_DESC_N("&amp;$AA$18&amp;",4)")</f>
        <v>Q2 2027 Earnings Release (Projected)</v>
      </c>
      <c r="Z109" s="283"/>
    </row>
    <row r="110" spans="2:26" x14ac:dyDescent="0.15">
      <c r="B110" s="298">
        <f t="shared" si="3"/>
        <v>95</v>
      </c>
      <c r="C110" s="299" t="str">
        <v>IBM</v>
      </c>
      <c r="D110" s="300" t="str" cm="1">
        <f t="array" ref="D110">_xll.FDSB($C110,"FG_COMPANY_NAME")</f>
        <v>International Business Machines Corporation</v>
      </c>
      <c r="E110" s="300"/>
      <c r="F110" s="274" cm="1">
        <f t="array" ref="F110">_xll.FDSB($C110,"CS_EVENT_DATEJ_N("&amp;$AA$18&amp;",1)")</f>
        <v>46225</v>
      </c>
      <c r="G110" s="282" t="str" cm="1">
        <f t="array" ref="G110">_xll.FDSB($C110,"CS_EVENT_TIME_N("&amp;$AA$18&amp;",1)")</f>
        <v>4:08 PM</v>
      </c>
      <c r="H110" s="282" t="str" cm="1">
        <f t="array" ref="H110">_xll.FDSB($C110,"CS_EVENT_DESC_N("&amp;$AA$18&amp;",1)")</f>
        <v>Q2 2026 Earnings Release</v>
      </c>
      <c r="I110" s="282"/>
      <c r="J110" s="274" t="str" cm="1">
        <f t="array" ref="J110">_xll.FDSB($C110,"CS_EVENT_DATEJ_N("&amp;$AB$18&amp;",1)")</f>
        <v/>
      </c>
      <c r="K110" s="282" t="str" cm="1">
        <f t="array" ref="K110">_xll.FDSB($C110,"CS_EVENT_TIME_N("&amp;$AB$18&amp;",1)")</f>
        <v/>
      </c>
      <c r="L110" s="282" t="str" cm="1">
        <f t="array" ref="L110">_xll.FDSB($C110,"CS_EVENT_DESC_N("&amp;$AB$18&amp;",1)")</f>
        <v/>
      </c>
      <c r="M110" s="300"/>
      <c r="N110" s="274" cm="1">
        <f t="array" ref="N110">_xll.FDSB($C110,"CS_EVENT_DATEJ_N("&amp;$AA$18&amp;",2)")</f>
        <v>46316</v>
      </c>
      <c r="O110" s="282" t="str" cm="1">
        <f t="array" ref="O110">_xll.FDSB($C110,"CS_EVENT_TIME_N("&amp;$AA$18&amp;",2)")</f>
        <v>4:08 PM</v>
      </c>
      <c r="P110" s="282" t="str" cm="1">
        <f t="array" ref="P110">_xll.FDSB($C110,"CS_EVENT_DESC_N("&amp;$AA$18&amp;",2)")</f>
        <v>Q3 2026 Earnings Release</v>
      </c>
      <c r="Q110" s="282"/>
      <c r="R110" s="274" cm="1">
        <f t="array" ref="R110">_xll.FDSB($C110,"CS_EVENT_DATEJ_N("&amp;$AA$18&amp;",3)")</f>
        <v>46414</v>
      </c>
      <c r="S110" s="282" t="str" cm="1">
        <f t="array" ref="S110">_xll.FDSB($C110,"CS_EVENT_TIME_N("&amp;$AA$18&amp;",3)")</f>
        <v>Unspecified</v>
      </c>
      <c r="T110" s="282" t="str" cm="1">
        <f t="array" ref="T110">_xll.FDSB($C110,"CS_EVENT_DESC_N("&amp;$AA$18&amp;",3)")</f>
        <v>Q4 2026 Earnings Release (Projected)</v>
      </c>
      <c r="U110" s="282"/>
      <c r="V110" s="274" cm="1">
        <f t="array" ref="V110">_xll.FDSB($C110,"CS_EVENT_DATEJ_N("&amp;$AA$18&amp;",4)")</f>
        <v>46497</v>
      </c>
      <c r="W110" s="282" t="str" cm="1">
        <f t="array" ref="W110">_xll.FDSB($C110,"CS_EVENT_TIME_N("&amp;$AA$18&amp;",4)")</f>
        <v>Unspecified</v>
      </c>
      <c r="X110" s="282" t="str" cm="1">
        <f t="array" ref="X110">_xll.FDSB($C110,"CS_EVENT_DESC_N("&amp;$AA$18&amp;",4)")</f>
        <v>Q1 2027 Earnings Release (Projected)</v>
      </c>
      <c r="Z110" s="283"/>
    </row>
    <row r="111" spans="2:26" x14ac:dyDescent="0.15">
      <c r="B111" s="298">
        <f t="shared" si="3"/>
        <v>96</v>
      </c>
      <c r="C111" s="299" t="str">
        <v>CSX</v>
      </c>
      <c r="D111" s="300" t="str" cm="1">
        <f t="array" ref="D111">_xll.FDSB($C111,"FG_COMPANY_NAME")</f>
        <v>CSX Corporation</v>
      </c>
      <c r="E111" s="300"/>
      <c r="F111" s="274" cm="1">
        <f t="array" ref="F111">_xll.FDSB($C111,"CS_EVENT_DATEJ_N("&amp;$AA$18&amp;",1)")</f>
        <v>46225</v>
      </c>
      <c r="G111" s="282" t="str" cm="1">
        <f t="array" ref="G111">_xll.FDSB($C111,"CS_EVENT_TIME_N("&amp;$AA$18&amp;",1)")</f>
        <v>Unspecified</v>
      </c>
      <c r="H111" s="282" t="str" cm="1">
        <f t="array" ref="H111">_xll.FDSB($C111,"CS_EVENT_DESC_N("&amp;$AA$18&amp;",1)")</f>
        <v>Q2 2026 Earnings Release (Projected)</v>
      </c>
      <c r="I111" s="282"/>
      <c r="J111" s="274" t="str" cm="1">
        <f t="array" ref="J111">_xll.FDSB($C111,"CS_EVENT_DATEJ_N("&amp;$AB$18&amp;",1)")</f>
        <v/>
      </c>
      <c r="K111" s="282" t="str" cm="1">
        <f t="array" ref="K111">_xll.FDSB($C111,"CS_EVENT_TIME_N("&amp;$AB$18&amp;",1)")</f>
        <v/>
      </c>
      <c r="L111" s="282" t="str" cm="1">
        <f t="array" ref="L111">_xll.FDSB($C111,"CS_EVENT_DESC_N("&amp;$AB$18&amp;",1)")</f>
        <v/>
      </c>
      <c r="M111" s="300"/>
      <c r="N111" s="274" cm="1">
        <f t="array" ref="N111">_xll.FDSB($C111,"CS_EVENT_DATEJ_N("&amp;$AA$18&amp;",2)")</f>
        <v>46310</v>
      </c>
      <c r="O111" s="282" t="str" cm="1">
        <f t="array" ref="O111">_xll.FDSB($C111,"CS_EVENT_TIME_N("&amp;$AA$18&amp;",2)")</f>
        <v>Unspecified</v>
      </c>
      <c r="P111" s="282" t="str" cm="1">
        <f t="array" ref="P111">_xll.FDSB($C111,"CS_EVENT_DESC_N("&amp;$AA$18&amp;",2)")</f>
        <v>Q3 2026 Earnings Release (Projected)</v>
      </c>
      <c r="Q111" s="282"/>
      <c r="R111" s="274" cm="1">
        <f t="array" ref="R111">_xll.FDSB($C111,"CS_EVENT_DATEJ_N("&amp;$AA$18&amp;",3)")</f>
        <v>46414</v>
      </c>
      <c r="S111" s="282" t="str" cm="1">
        <f t="array" ref="S111">_xll.FDSB($C111,"CS_EVENT_TIME_N("&amp;$AA$18&amp;",3)")</f>
        <v>Unspecified</v>
      </c>
      <c r="T111" s="282" t="str" cm="1">
        <f t="array" ref="T111">_xll.FDSB($C111,"CS_EVENT_DESC_N("&amp;$AA$18&amp;",3)")</f>
        <v>Q4 2026 Earnings Release (Projected)</v>
      </c>
      <c r="U111" s="282"/>
      <c r="V111" s="274" cm="1">
        <f t="array" ref="V111">_xll.FDSB($C111,"CS_EVENT_DATEJ_N("&amp;$AA$18&amp;",4)")</f>
        <v>46498</v>
      </c>
      <c r="W111" s="282" t="str" cm="1">
        <f t="array" ref="W111">_xll.FDSB($C111,"CS_EVENT_TIME_N("&amp;$AA$18&amp;",4)")</f>
        <v>Unspecified</v>
      </c>
      <c r="X111" s="282" t="str" cm="1">
        <f t="array" ref="X111">_xll.FDSB($C111,"CS_EVENT_DESC_N("&amp;$AA$18&amp;",4)")</f>
        <v>Q1 2027 Earnings Release (Projected)</v>
      </c>
      <c r="Z111" s="283"/>
    </row>
    <row r="112" spans="2:26" x14ac:dyDescent="0.15">
      <c r="B112" s="298">
        <f t="shared" si="3"/>
        <v>97</v>
      </c>
      <c r="C112" s="299" t="str">
        <v>LUV</v>
      </c>
      <c r="D112" s="300" t="str" cm="1">
        <f t="array" ref="D112">_xll.FDSB($C112,"FG_COMPANY_NAME")</f>
        <v>Southwest Airlines Co.</v>
      </c>
      <c r="E112" s="300"/>
      <c r="F112" s="274" cm="1">
        <f t="array" ref="F112">_xll.FDSB($C112,"CS_EVENT_DATEJ_N("&amp;$AA$18&amp;",1)")</f>
        <v>46225</v>
      </c>
      <c r="G112" s="282" t="str" cm="1">
        <f t="array" ref="G112">_xll.FDSB($C112,"CS_EVENT_TIME_N("&amp;$AA$18&amp;",1)")</f>
        <v>Unspecified</v>
      </c>
      <c r="H112" s="282" t="str" cm="1">
        <f t="array" ref="H112">_xll.FDSB($C112,"CS_EVENT_DESC_N("&amp;$AA$18&amp;",1)")</f>
        <v>Q2 2026 Earnings Release</v>
      </c>
      <c r="I112" s="282"/>
      <c r="J112" s="274" cm="1">
        <f t="array" ref="J112">_xll.FDSB($C112,"CS_EVENT_DATEJ_N("&amp;$AB$18&amp;",1)")</f>
        <v>46226</v>
      </c>
      <c r="K112" s="282" t="str" cm="1">
        <f t="array" ref="K112">_xll.FDSB($C112,"CS_EVENT_TIME_N("&amp;$AB$18&amp;",1)")</f>
        <v>10:00 AM</v>
      </c>
      <c r="L112" s="282" t="str" cm="1">
        <f t="array" ref="L112">_xll.FDSB($C112,"CS_EVENT_DESC_N("&amp;$AB$18&amp;",1)")</f>
        <v>Q2 2026 Earnings Call</v>
      </c>
      <c r="M112" s="300"/>
      <c r="N112" s="274" cm="1">
        <f t="array" ref="N112">_xll.FDSB($C112,"CS_EVENT_DATEJ_N("&amp;$AA$18&amp;",2)")</f>
        <v>46316</v>
      </c>
      <c r="O112" s="282" t="str" cm="1">
        <f t="array" ref="O112">_xll.FDSB($C112,"CS_EVENT_TIME_N("&amp;$AA$18&amp;",2)")</f>
        <v>Unspecified</v>
      </c>
      <c r="P112" s="282" t="str" cm="1">
        <f t="array" ref="P112">_xll.FDSB($C112,"CS_EVENT_DESC_N("&amp;$AA$18&amp;",2)")</f>
        <v>Q3 2026 Earnings Release</v>
      </c>
      <c r="Q112" s="282"/>
      <c r="R112" s="274" cm="1">
        <f t="array" ref="R112">_xll.FDSB($C112,"CS_EVENT_DATEJ_N("&amp;$AA$18&amp;",3)")</f>
        <v>46415</v>
      </c>
      <c r="S112" s="282" t="str" cm="1">
        <f t="array" ref="S112">_xll.FDSB($C112,"CS_EVENT_TIME_N("&amp;$AA$18&amp;",3)")</f>
        <v>Unspecified</v>
      </c>
      <c r="T112" s="282" t="str" cm="1">
        <f t="array" ref="T112">_xll.FDSB($C112,"CS_EVENT_DESC_N("&amp;$AA$18&amp;",3)")</f>
        <v>Q4 2026 Earnings Release (Projected)</v>
      </c>
      <c r="U112" s="282"/>
      <c r="V112" s="274" cm="1">
        <f t="array" ref="V112">_xll.FDSB($C112,"CS_EVENT_DATEJ_N("&amp;$AA$18&amp;",4)")</f>
        <v>46506</v>
      </c>
      <c r="W112" s="282" t="str" cm="1">
        <f t="array" ref="W112">_xll.FDSB($C112,"CS_EVENT_TIME_N("&amp;$AA$18&amp;",4)")</f>
        <v>Unspecified</v>
      </c>
      <c r="X112" s="282" t="str" cm="1">
        <f t="array" ref="X112">_xll.FDSB($C112,"CS_EVENT_DESC_N("&amp;$AA$18&amp;",4)")</f>
        <v>Q1 2027 Earnings Release (Projected)</v>
      </c>
      <c r="Z112" s="283"/>
    </row>
    <row r="113" spans="2:26" x14ac:dyDescent="0.15">
      <c r="B113" s="298">
        <f t="shared" si="3"/>
        <v>98</v>
      </c>
      <c r="C113" s="299" t="str">
        <v>NTRS</v>
      </c>
      <c r="D113" s="300" t="str" cm="1">
        <f t="array" ref="D113">_xll.FDSB($C113,"FG_COMPANY_NAME")</f>
        <v>Northern Trust Corporation</v>
      </c>
      <c r="E113" s="300"/>
      <c r="F113" s="274" cm="1">
        <f t="array" ref="F113">_xll.FDSB($C113,"CS_EVENT_DATEJ_N("&amp;$AA$18&amp;",1)")</f>
        <v>46225</v>
      </c>
      <c r="G113" s="282" t="str" cm="1">
        <f t="array" ref="G113">_xll.FDSB($C113,"CS_EVENT_TIME_N("&amp;$AA$18&amp;",1)")</f>
        <v>Before Market</v>
      </c>
      <c r="H113" s="282" t="str" cm="1">
        <f t="array" ref="H113">_xll.FDSB($C113,"CS_EVENT_DESC_N("&amp;$AA$18&amp;",1)")</f>
        <v>Q2 2026 Earnings Release</v>
      </c>
      <c r="I113" s="282"/>
      <c r="J113" s="274" cm="1">
        <f t="array" ref="J113">_xll.FDSB($C113,"CS_EVENT_DATEJ_N("&amp;$AB$18&amp;",1)")</f>
        <v>46225</v>
      </c>
      <c r="K113" s="282" t="str" cm="1">
        <f t="array" ref="K113">_xll.FDSB($C113,"CS_EVENT_TIME_N("&amp;$AB$18&amp;",1)")</f>
        <v>9:00 AM</v>
      </c>
      <c r="L113" s="282" t="str" cm="1">
        <f t="array" ref="L113">_xll.FDSB($C113,"CS_EVENT_DESC_N("&amp;$AB$18&amp;",1)")</f>
        <v>Q2 2026 Earnings Call</v>
      </c>
      <c r="M113" s="300"/>
      <c r="N113" s="274" cm="1">
        <f t="array" ref="N113">_xll.FDSB($C113,"CS_EVENT_DATEJ_N("&amp;$AA$18&amp;",2)")</f>
        <v>46316</v>
      </c>
      <c r="O113" s="282" t="str" cm="1">
        <f t="array" ref="O113">_xll.FDSB($C113,"CS_EVENT_TIME_N("&amp;$AA$18&amp;",2)")</f>
        <v>Before Market</v>
      </c>
      <c r="P113" s="282" t="str" cm="1">
        <f t="array" ref="P113">_xll.FDSB($C113,"CS_EVENT_DESC_N("&amp;$AA$18&amp;",2)")</f>
        <v>Q3 2026 Earnings Release</v>
      </c>
      <c r="Q113" s="282"/>
      <c r="R113" s="274" cm="1">
        <f t="array" ref="R113">_xll.FDSB($C113,"CS_EVENT_DATEJ_N("&amp;$AA$18&amp;",3)")</f>
        <v>46408</v>
      </c>
      <c r="S113" s="282" t="str" cm="1">
        <f t="array" ref="S113">_xll.FDSB($C113,"CS_EVENT_TIME_N("&amp;$AA$18&amp;",3)")</f>
        <v>Before Market</v>
      </c>
      <c r="T113" s="282" t="str" cm="1">
        <f t="array" ref="T113">_xll.FDSB($C113,"CS_EVENT_DESC_N("&amp;$AA$18&amp;",3)")</f>
        <v>Q4 2026 Earnings Release</v>
      </c>
      <c r="U113" s="282"/>
      <c r="V113" s="274" cm="1">
        <f t="array" ref="V113">_xll.FDSB($C113,"CS_EVENT_DATEJ_N("&amp;$AA$18&amp;",4)")</f>
        <v>46504</v>
      </c>
      <c r="W113" s="282" t="str" cm="1">
        <f t="array" ref="W113">_xll.FDSB($C113,"CS_EVENT_TIME_N("&amp;$AA$18&amp;",4)")</f>
        <v>Unspecified</v>
      </c>
      <c r="X113" s="282" t="str" cm="1">
        <f t="array" ref="X113">_xll.FDSB($C113,"CS_EVENT_DESC_N("&amp;$AA$18&amp;",4)")</f>
        <v>Q1 2027 Earnings Release (Projected)</v>
      </c>
      <c r="Z113" s="283"/>
    </row>
    <row r="114" spans="2:26" x14ac:dyDescent="0.15">
      <c r="B114" s="298">
        <f t="shared" si="3"/>
        <v>99</v>
      </c>
      <c r="C114" s="299" t="str">
        <v>KMI</v>
      </c>
      <c r="D114" s="300" t="str" cm="1">
        <f t="array" ref="D114">_xll.FDSB($C114,"FG_COMPANY_NAME")</f>
        <v>Kinder Morgan Inc Class P</v>
      </c>
      <c r="E114" s="300"/>
      <c r="F114" s="274" cm="1">
        <f t="array" ref="F114">_xll.FDSB($C114,"CS_EVENT_DATEJ_N("&amp;$AA$18&amp;",1)")</f>
        <v>46225</v>
      </c>
      <c r="G114" s="282" t="str" cm="1">
        <f t="array" ref="G114">_xll.FDSB($C114,"CS_EVENT_TIME_N("&amp;$AA$18&amp;",1)")</f>
        <v>Unspecified</v>
      </c>
      <c r="H114" s="282" t="str" cm="1">
        <f t="array" ref="H114">_xll.FDSB($C114,"CS_EVENT_DESC_N("&amp;$AA$18&amp;",1)")</f>
        <v>Q2 2026 Earnings Release (Projected)</v>
      </c>
      <c r="I114" s="282"/>
      <c r="J114" s="274" t="str" cm="1">
        <f t="array" ref="J114">_xll.FDSB($C114,"CS_EVENT_DATEJ_N("&amp;$AB$18&amp;",1)")</f>
        <v/>
      </c>
      <c r="K114" s="282" t="str" cm="1">
        <f t="array" ref="K114">_xll.FDSB($C114,"CS_EVENT_TIME_N("&amp;$AB$18&amp;",1)")</f>
        <v/>
      </c>
      <c r="L114" s="282" t="str" cm="1">
        <f t="array" ref="L114">_xll.FDSB($C114,"CS_EVENT_DESC_N("&amp;$AB$18&amp;",1)")</f>
        <v/>
      </c>
      <c r="M114" s="300"/>
      <c r="N114" s="274" cm="1">
        <f t="array" ref="N114">_xll.FDSB($C114,"CS_EVENT_DATEJ_N("&amp;$AA$18&amp;",2)")</f>
        <v>46407</v>
      </c>
      <c r="O114" s="282" t="str" cm="1">
        <f t="array" ref="O114">_xll.FDSB($C114,"CS_EVENT_TIME_N("&amp;$AA$18&amp;",2)")</f>
        <v>Unspecified</v>
      </c>
      <c r="P114" s="282" t="str" cm="1">
        <f t="array" ref="P114">_xll.FDSB($C114,"CS_EVENT_DESC_N("&amp;$AA$18&amp;",2)")</f>
        <v>Q4 2026 Earnings Release (Projected)</v>
      </c>
      <c r="Q114" s="282"/>
      <c r="R114" s="274" cm="1">
        <f t="array" ref="R114">_xll.FDSB($C114,"CS_EVENT_DATEJ_N("&amp;$AA$18&amp;",3)")</f>
        <v>46498</v>
      </c>
      <c r="S114" s="282" t="str" cm="1">
        <f t="array" ref="S114">_xll.FDSB($C114,"CS_EVENT_TIME_N("&amp;$AA$18&amp;",3)")</f>
        <v>Unspecified</v>
      </c>
      <c r="T114" s="282" t="str" cm="1">
        <f t="array" ref="T114">_xll.FDSB($C114,"CS_EVENT_DESC_N("&amp;$AA$18&amp;",3)")</f>
        <v>Q1 2027 Earnings Release (Projected)</v>
      </c>
      <c r="U114" s="282"/>
      <c r="V114" s="274" t="str" cm="1">
        <f t="array" ref="V114">_xll.FDSB($C114,"CS_EVENT_DATEJ_N("&amp;$AA$18&amp;",4)")</f>
        <v/>
      </c>
      <c r="W114" s="282" t="str" cm="1">
        <f t="array" ref="W114">_xll.FDSB($C114,"CS_EVENT_TIME_N("&amp;$AA$18&amp;",4)")</f>
        <v/>
      </c>
      <c r="X114" s="282" t="str" cm="1">
        <f t="array" ref="X114">_xll.FDSB($C114,"CS_EVENT_DESC_N("&amp;$AA$18&amp;",4)")</f>
        <v/>
      </c>
      <c r="Z114" s="283"/>
    </row>
    <row r="115" spans="2:26" x14ac:dyDescent="0.15">
      <c r="B115" s="298">
        <f t="shared" si="3"/>
        <v>100</v>
      </c>
      <c r="C115" s="299" t="str">
        <v>BKR</v>
      </c>
      <c r="D115" s="300" t="str" cm="1">
        <f t="array" ref="D115">_xll.FDSB($C115,"FG_COMPANY_NAME")</f>
        <v>Baker Hughes Company Class A</v>
      </c>
      <c r="E115" s="300"/>
      <c r="F115" s="274" cm="1">
        <f t="array" ref="F115">_xll.FDSB($C115,"CS_EVENT_DATEJ_N("&amp;$AA$18&amp;",1)")</f>
        <v>46225</v>
      </c>
      <c r="G115" s="282" t="str" cm="1">
        <f t="array" ref="G115">_xll.FDSB($C115,"CS_EVENT_TIME_N("&amp;$AA$18&amp;",1)")</f>
        <v>Unspecified</v>
      </c>
      <c r="H115" s="282" t="str" cm="1">
        <f t="array" ref="H115">_xll.FDSB($C115,"CS_EVENT_DESC_N("&amp;$AA$18&amp;",1)")</f>
        <v>Q2 2026 Earnings Release (Projected)</v>
      </c>
      <c r="I115" s="282"/>
      <c r="J115" s="274" t="str" cm="1">
        <f t="array" ref="J115">_xll.FDSB($C115,"CS_EVENT_DATEJ_N("&amp;$AB$18&amp;",1)")</f>
        <v/>
      </c>
      <c r="K115" s="282" t="str" cm="1">
        <f t="array" ref="K115">_xll.FDSB($C115,"CS_EVENT_TIME_N("&amp;$AB$18&amp;",1)")</f>
        <v/>
      </c>
      <c r="L115" s="282" t="str" cm="1">
        <f t="array" ref="L115">_xll.FDSB($C115,"CS_EVENT_DESC_N("&amp;$AB$18&amp;",1)")</f>
        <v/>
      </c>
      <c r="M115" s="300"/>
      <c r="N115" s="274" cm="1">
        <f t="array" ref="N115">_xll.FDSB($C115,"CS_EVENT_DATEJ_N("&amp;$AA$18&amp;",2)")</f>
        <v>46323</v>
      </c>
      <c r="O115" s="282" t="str" cm="1">
        <f t="array" ref="O115">_xll.FDSB($C115,"CS_EVENT_TIME_N("&amp;$AA$18&amp;",2)")</f>
        <v>Unspecified</v>
      </c>
      <c r="P115" s="282" t="str" cm="1">
        <f t="array" ref="P115">_xll.FDSB($C115,"CS_EVENT_DESC_N("&amp;$AA$18&amp;",2)")</f>
        <v>Q3 2026 Earnings Release (Projected)</v>
      </c>
      <c r="Q115" s="282"/>
      <c r="R115" s="274" cm="1">
        <f t="array" ref="R115">_xll.FDSB($C115,"CS_EVENT_DATEJ_N("&amp;$AA$18&amp;",3)")</f>
        <v>46414</v>
      </c>
      <c r="S115" s="282" t="str" cm="1">
        <f t="array" ref="S115">_xll.FDSB($C115,"CS_EVENT_TIME_N("&amp;$AA$18&amp;",3)")</f>
        <v>Unspecified</v>
      </c>
      <c r="T115" s="282" t="str" cm="1">
        <f t="array" ref="T115">_xll.FDSB($C115,"CS_EVENT_DESC_N("&amp;$AA$18&amp;",3)")</f>
        <v>Q4 2026 Earnings Release (Projected)</v>
      </c>
      <c r="U115" s="282"/>
      <c r="V115" s="274" t="str" cm="1">
        <f t="array" ref="V115">_xll.FDSB($C115,"CS_EVENT_DATEJ_N("&amp;$AA$18&amp;",4)")</f>
        <v/>
      </c>
      <c r="W115" s="282" t="str" cm="1">
        <f t="array" ref="W115">_xll.FDSB($C115,"CS_EVENT_TIME_N("&amp;$AA$18&amp;",4)")</f>
        <v/>
      </c>
      <c r="X115" s="282" t="str" cm="1">
        <f t="array" ref="X115">_xll.FDSB($C115,"CS_EVENT_DESC_N("&amp;$AA$18&amp;",4)")</f>
        <v/>
      </c>
      <c r="Z115" s="283"/>
    </row>
    <row r="116" spans="2:26" x14ac:dyDescent="0.15">
      <c r="B116" s="298">
        <f t="shared" si="3"/>
        <v>101</v>
      </c>
      <c r="C116" s="299" t="str">
        <v>NDAQ</v>
      </c>
      <c r="D116" s="300" t="str" cm="1">
        <f t="array" ref="D116">_xll.FDSB($C116,"FG_COMPANY_NAME")</f>
        <v>Nasdaq, Inc.</v>
      </c>
      <c r="E116" s="300"/>
      <c r="F116" s="274" cm="1">
        <f t="array" ref="F116">_xll.FDSB($C116,"CS_EVENT_DATEJ_N("&amp;$AA$18&amp;",1)")</f>
        <v>46225</v>
      </c>
      <c r="G116" s="282" t="str" cm="1">
        <f t="array" ref="G116">_xll.FDSB($C116,"CS_EVENT_TIME_N("&amp;$AA$18&amp;",1)")</f>
        <v>Unspecified</v>
      </c>
      <c r="H116" s="282" t="str" cm="1">
        <f t="array" ref="H116">_xll.FDSB($C116,"CS_EVENT_DESC_N("&amp;$AA$18&amp;",1)")</f>
        <v>Q2 2026 Earnings Release (Projected)</v>
      </c>
      <c r="I116" s="282"/>
      <c r="J116" s="274" t="str" cm="1">
        <f t="array" ref="J116">_xll.FDSB($C116,"CS_EVENT_DATEJ_N("&amp;$AB$18&amp;",1)")</f>
        <v/>
      </c>
      <c r="K116" s="282" t="str" cm="1">
        <f t="array" ref="K116">_xll.FDSB($C116,"CS_EVENT_TIME_N("&amp;$AB$18&amp;",1)")</f>
        <v/>
      </c>
      <c r="L116" s="282" t="str" cm="1">
        <f t="array" ref="L116">_xll.FDSB($C116,"CS_EVENT_DESC_N("&amp;$AB$18&amp;",1)")</f>
        <v/>
      </c>
      <c r="M116" s="300"/>
      <c r="N116" s="274" cm="1">
        <f t="array" ref="N116">_xll.FDSB($C116,"CS_EVENT_DATEJ_N("&amp;$AA$18&amp;",2)")</f>
        <v>46316</v>
      </c>
      <c r="O116" s="282" t="str" cm="1">
        <f t="array" ref="O116">_xll.FDSB($C116,"CS_EVENT_TIME_N("&amp;$AA$18&amp;",2)")</f>
        <v>Unspecified</v>
      </c>
      <c r="P116" s="282" t="str" cm="1">
        <f t="array" ref="P116">_xll.FDSB($C116,"CS_EVENT_DESC_N("&amp;$AA$18&amp;",2)")</f>
        <v>Q3 2026 Earnings Release (Projected)</v>
      </c>
      <c r="Q116" s="282"/>
      <c r="R116" s="274" cm="1">
        <f t="array" ref="R116">_xll.FDSB($C116,"CS_EVENT_DATEJ_N("&amp;$AA$18&amp;",3)")</f>
        <v>46421</v>
      </c>
      <c r="S116" s="282" t="str" cm="1">
        <f t="array" ref="S116">_xll.FDSB($C116,"CS_EVENT_TIME_N("&amp;$AA$18&amp;",3)")</f>
        <v>Unspecified</v>
      </c>
      <c r="T116" s="282" t="str" cm="1">
        <f t="array" ref="T116">_xll.FDSB($C116,"CS_EVENT_DESC_N("&amp;$AA$18&amp;",3)")</f>
        <v>Q4 2026 Earnings Release (Projected)</v>
      </c>
      <c r="U116" s="282"/>
      <c r="V116" s="274" cm="1">
        <f t="array" ref="V116">_xll.FDSB($C116,"CS_EVENT_DATEJ_N("&amp;$AA$18&amp;",4)")</f>
        <v>46506</v>
      </c>
      <c r="W116" s="282" t="str" cm="1">
        <f t="array" ref="W116">_xll.FDSB($C116,"CS_EVENT_TIME_N("&amp;$AA$18&amp;",4)")</f>
        <v>Unspecified</v>
      </c>
      <c r="X116" s="282" t="str" cm="1">
        <f t="array" ref="X116">_xll.FDSB($C116,"CS_EVENT_DESC_N("&amp;$AA$18&amp;",4)")</f>
        <v>Q1 2027 Earnings Release (Projected)</v>
      </c>
      <c r="Z116" s="283"/>
    </row>
    <row r="117" spans="2:26" x14ac:dyDescent="0.15">
      <c r="B117" s="298">
        <f t="shared" si="3"/>
        <v>102</v>
      </c>
      <c r="C117" s="299" t="str">
        <v>ELV</v>
      </c>
      <c r="D117" s="300" t="str" cm="1">
        <f t="array" ref="D117">_xll.FDSB($C117,"FG_COMPANY_NAME")</f>
        <v>Elevance Health, Inc.</v>
      </c>
      <c r="E117" s="300"/>
      <c r="F117" s="274" cm="1">
        <f t="array" ref="F117">_xll.FDSB($C117,"CS_EVENT_DATEJ_N("&amp;$AA$18&amp;",1)")</f>
        <v>46225</v>
      </c>
      <c r="G117" s="282" t="str" cm="1">
        <f t="array" ref="G117">_xll.FDSB($C117,"CS_EVENT_TIME_N("&amp;$AA$18&amp;",1)")</f>
        <v>Unspecified</v>
      </c>
      <c r="H117" s="282" t="str" cm="1">
        <f t="array" ref="H117">_xll.FDSB($C117,"CS_EVENT_DESC_N("&amp;$AA$18&amp;",1)")</f>
        <v>Q2 2026 Earnings Release (Projected)</v>
      </c>
      <c r="I117" s="282"/>
      <c r="J117" s="274" t="str" cm="1">
        <f t="array" ref="J117">_xll.FDSB($C117,"CS_EVENT_DATEJ_N("&amp;$AB$18&amp;",1)")</f>
        <v/>
      </c>
      <c r="K117" s="282" t="str" cm="1">
        <f t="array" ref="K117">_xll.FDSB($C117,"CS_EVENT_TIME_N("&amp;$AB$18&amp;",1)")</f>
        <v/>
      </c>
      <c r="L117" s="282" t="str" cm="1">
        <f t="array" ref="L117">_xll.FDSB($C117,"CS_EVENT_DESC_N("&amp;$AB$18&amp;",1)")</f>
        <v/>
      </c>
      <c r="M117" s="300"/>
      <c r="N117" s="274" cm="1">
        <f t="array" ref="N117">_xll.FDSB($C117,"CS_EVENT_DATEJ_N("&amp;$AA$18&amp;",2)")</f>
        <v>46316</v>
      </c>
      <c r="O117" s="282" t="str" cm="1">
        <f t="array" ref="O117">_xll.FDSB($C117,"CS_EVENT_TIME_N("&amp;$AA$18&amp;",2)")</f>
        <v>Unspecified</v>
      </c>
      <c r="P117" s="282" t="str" cm="1">
        <f t="array" ref="P117">_xll.FDSB($C117,"CS_EVENT_DESC_N("&amp;$AA$18&amp;",2)")</f>
        <v>Q3 2026 Earnings Release (Projected)</v>
      </c>
      <c r="Q117" s="282"/>
      <c r="R117" s="274" cm="1">
        <f t="array" ref="R117">_xll.FDSB($C117,"CS_EVENT_DATEJ_N("&amp;$AA$18&amp;",3)")</f>
        <v>46414</v>
      </c>
      <c r="S117" s="282" t="str" cm="1">
        <f t="array" ref="S117">_xll.FDSB($C117,"CS_EVENT_TIME_N("&amp;$AA$18&amp;",3)")</f>
        <v>Unspecified</v>
      </c>
      <c r="T117" s="282" t="str" cm="1">
        <f t="array" ref="T117">_xll.FDSB($C117,"CS_EVENT_DESC_N("&amp;$AA$18&amp;",3)")</f>
        <v>Q4 2026 Earnings Release (Projected)</v>
      </c>
      <c r="U117" s="282"/>
      <c r="V117" s="274" t="str" cm="1">
        <f t="array" ref="V117">_xll.FDSB($C117,"CS_EVENT_DATEJ_N("&amp;$AA$18&amp;",4)")</f>
        <v/>
      </c>
      <c r="W117" s="282" t="str" cm="1">
        <f t="array" ref="W117">_xll.FDSB($C117,"CS_EVENT_TIME_N("&amp;$AA$18&amp;",4)")</f>
        <v/>
      </c>
      <c r="X117" s="282" t="str" cm="1">
        <f t="array" ref="X117">_xll.FDSB($C117,"CS_EVENT_DESC_N("&amp;$AA$18&amp;",4)")</f>
        <v/>
      </c>
      <c r="Z117" s="283"/>
    </row>
    <row r="118" spans="2:26" x14ac:dyDescent="0.15">
      <c r="B118" s="298">
        <f t="shared" si="3"/>
        <v>103</v>
      </c>
      <c r="C118" s="299" t="str">
        <v>UAL</v>
      </c>
      <c r="D118" s="300" t="str" cm="1">
        <f t="array" ref="D118">_xll.FDSB($C118,"FG_COMPANY_NAME")</f>
        <v>United Airlines Holdings, Inc.</v>
      </c>
      <c r="E118" s="300"/>
      <c r="F118" s="274" cm="1">
        <f t="array" ref="F118">_xll.FDSB($C118,"CS_EVENT_DATEJ_N("&amp;$AA$18&amp;",1)")</f>
        <v>46225</v>
      </c>
      <c r="G118" s="282" t="str" cm="1">
        <f t="array" ref="G118">_xll.FDSB($C118,"CS_EVENT_TIME_N("&amp;$AA$18&amp;",1)")</f>
        <v>Unspecified</v>
      </c>
      <c r="H118" s="282" t="str" cm="1">
        <f t="array" ref="H118">_xll.FDSB($C118,"CS_EVENT_DESC_N("&amp;$AA$18&amp;",1)")</f>
        <v>Q2 2026 Earnings Release (Projected)</v>
      </c>
      <c r="I118" s="282"/>
      <c r="J118" s="274" t="str" cm="1">
        <f t="array" ref="J118">_xll.FDSB($C118,"CS_EVENT_DATEJ_N("&amp;$AB$18&amp;",1)")</f>
        <v/>
      </c>
      <c r="K118" s="282" t="str" cm="1">
        <f t="array" ref="K118">_xll.FDSB($C118,"CS_EVENT_TIME_N("&amp;$AB$18&amp;",1)")</f>
        <v/>
      </c>
      <c r="L118" s="282" t="str" cm="1">
        <f t="array" ref="L118">_xll.FDSB($C118,"CS_EVENT_DESC_N("&amp;$AB$18&amp;",1)")</f>
        <v/>
      </c>
      <c r="M118" s="300"/>
      <c r="N118" s="274" cm="1">
        <f t="array" ref="N118">_xll.FDSB($C118,"CS_EVENT_DATEJ_N("&amp;$AA$18&amp;",2)")</f>
        <v>46315</v>
      </c>
      <c r="O118" s="282" t="str" cm="1">
        <f t="array" ref="O118">_xll.FDSB($C118,"CS_EVENT_TIME_N("&amp;$AA$18&amp;",2)")</f>
        <v>Unspecified</v>
      </c>
      <c r="P118" s="282" t="str" cm="1">
        <f t="array" ref="P118">_xll.FDSB($C118,"CS_EVENT_DESC_N("&amp;$AA$18&amp;",2)")</f>
        <v>Q3 2026 Earnings Release (Projected)</v>
      </c>
      <c r="Q118" s="282"/>
      <c r="R118" s="274" cm="1">
        <f t="array" ref="R118">_xll.FDSB($C118,"CS_EVENT_DATEJ_N("&amp;$AA$18&amp;",3)")</f>
        <v>46497</v>
      </c>
      <c r="S118" s="282" t="str" cm="1">
        <f t="array" ref="S118">_xll.FDSB($C118,"CS_EVENT_TIME_N("&amp;$AA$18&amp;",3)")</f>
        <v>Unspecified</v>
      </c>
      <c r="T118" s="282" t="str" cm="1">
        <f t="array" ref="T118">_xll.FDSB($C118,"CS_EVENT_DESC_N("&amp;$AA$18&amp;",3)")</f>
        <v>Q1 2027 Earnings Release (Projected)</v>
      </c>
      <c r="U118" s="282"/>
      <c r="V118" s="274" t="str" cm="1">
        <f t="array" ref="V118">_xll.FDSB($C118,"CS_EVENT_DATEJ_N("&amp;$AA$18&amp;",4)")</f>
        <v/>
      </c>
      <c r="W118" s="282" t="str" cm="1">
        <f t="array" ref="W118">_xll.FDSB($C118,"CS_EVENT_TIME_N("&amp;$AA$18&amp;",4)")</f>
        <v/>
      </c>
      <c r="X118" s="282" t="str" cm="1">
        <f t="array" ref="X118">_xll.FDSB($C118,"CS_EVENT_DESC_N("&amp;$AA$18&amp;",4)")</f>
        <v/>
      </c>
      <c r="Z118" s="283"/>
    </row>
    <row r="119" spans="2:26" x14ac:dyDescent="0.15">
      <c r="B119" s="298">
        <f t="shared" si="3"/>
        <v>104</v>
      </c>
      <c r="C119" s="299" t="str">
        <v>LVS</v>
      </c>
      <c r="D119" s="300" t="str" cm="1">
        <f t="array" ref="D119">_xll.FDSB($C119,"FG_COMPANY_NAME")</f>
        <v>Las Vegas Sands Corp.</v>
      </c>
      <c r="E119" s="300"/>
      <c r="F119" s="274" cm="1">
        <f t="array" ref="F119">_xll.FDSB($C119,"CS_EVENT_DATEJ_N("&amp;$AA$18&amp;",1)")</f>
        <v>46225</v>
      </c>
      <c r="G119" s="282" t="str" cm="1">
        <f t="array" ref="G119">_xll.FDSB($C119,"CS_EVENT_TIME_N("&amp;$AA$18&amp;",1)")</f>
        <v>Unspecified</v>
      </c>
      <c r="H119" s="282" t="str" cm="1">
        <f t="array" ref="H119">_xll.FDSB($C119,"CS_EVENT_DESC_N("&amp;$AA$18&amp;",1)")</f>
        <v>Q2 2026 Earnings Release (Projected)</v>
      </c>
      <c r="I119" s="282"/>
      <c r="J119" s="274" t="str" cm="1">
        <f t="array" ref="J119">_xll.FDSB($C119,"CS_EVENT_DATEJ_N("&amp;$AB$18&amp;",1)")</f>
        <v/>
      </c>
      <c r="K119" s="282" t="str" cm="1">
        <f t="array" ref="K119">_xll.FDSB($C119,"CS_EVENT_TIME_N("&amp;$AB$18&amp;",1)")</f>
        <v/>
      </c>
      <c r="L119" s="282" t="str" cm="1">
        <f t="array" ref="L119">_xll.FDSB($C119,"CS_EVENT_DESC_N("&amp;$AB$18&amp;",1)")</f>
        <v/>
      </c>
      <c r="M119" s="300"/>
      <c r="N119" s="274" cm="1">
        <f t="array" ref="N119">_xll.FDSB($C119,"CS_EVENT_DATEJ_N("&amp;$AA$18&amp;",2)")</f>
        <v>46316</v>
      </c>
      <c r="O119" s="282" t="str" cm="1">
        <f t="array" ref="O119">_xll.FDSB($C119,"CS_EVENT_TIME_N("&amp;$AA$18&amp;",2)")</f>
        <v>Unspecified</v>
      </c>
      <c r="P119" s="282" t="str" cm="1">
        <f t="array" ref="P119">_xll.FDSB($C119,"CS_EVENT_DESC_N("&amp;$AA$18&amp;",2)")</f>
        <v>Q3 2026 Earnings Release (Projected)</v>
      </c>
      <c r="Q119" s="282"/>
      <c r="R119" s="274" cm="1">
        <f t="array" ref="R119">_xll.FDSB($C119,"CS_EVENT_DATEJ_N("&amp;$AA$18&amp;",3)")</f>
        <v>46414</v>
      </c>
      <c r="S119" s="282" t="str" cm="1">
        <f t="array" ref="S119">_xll.FDSB($C119,"CS_EVENT_TIME_N("&amp;$AA$18&amp;",3)")</f>
        <v>Unspecified</v>
      </c>
      <c r="T119" s="282" t="str" cm="1">
        <f t="array" ref="T119">_xll.FDSB($C119,"CS_EVENT_DESC_N("&amp;$AA$18&amp;",3)")</f>
        <v>Q4 2026 Earnings Release (Projected)</v>
      </c>
      <c r="U119" s="282"/>
      <c r="V119" s="274" cm="1">
        <f t="array" ref="V119">_xll.FDSB($C119,"CS_EVENT_DATEJ_N("&amp;$AA$18&amp;",4)")</f>
        <v>46505</v>
      </c>
      <c r="W119" s="282" t="str" cm="1">
        <f t="array" ref="W119">_xll.FDSB($C119,"CS_EVENT_TIME_N("&amp;$AA$18&amp;",4)")</f>
        <v>Unspecified</v>
      </c>
      <c r="X119" s="282" t="str" cm="1">
        <f t="array" ref="X119">_xll.FDSB($C119,"CS_EVENT_DESC_N("&amp;$AA$18&amp;",4)")</f>
        <v>Q1 2027 Earnings Release (Projected)</v>
      </c>
      <c r="Z119" s="283"/>
    </row>
    <row r="120" spans="2:26" x14ac:dyDescent="0.15">
      <c r="B120" s="298">
        <f t="shared" si="3"/>
        <v>105</v>
      </c>
      <c r="C120" s="299" t="str">
        <v>PM</v>
      </c>
      <c r="D120" s="300" t="str" cm="1">
        <f t="array" ref="D120">_xll.FDSB($C120,"FG_COMPANY_NAME")</f>
        <v>Philip Morris International Inc.</v>
      </c>
      <c r="E120" s="300"/>
      <c r="F120" s="274" cm="1">
        <f t="array" ref="F120">_xll.FDSB($C120,"CS_EVENT_DATEJ_N("&amp;$AA$18&amp;",1)")</f>
        <v>46225</v>
      </c>
      <c r="G120" s="282" t="str" cm="1">
        <f t="array" ref="G120">_xll.FDSB($C120,"CS_EVENT_TIME_N("&amp;$AA$18&amp;",1)")</f>
        <v>Before Market</v>
      </c>
      <c r="H120" s="282" t="str" cm="1">
        <f t="array" ref="H120">_xll.FDSB($C120,"CS_EVENT_DESC_N("&amp;$AA$18&amp;",1)")</f>
        <v>Q2 2026 Earnings Release</v>
      </c>
      <c r="I120" s="282"/>
      <c r="J120" s="274" cm="1">
        <f t="array" ref="J120">_xll.FDSB($C120,"CS_EVENT_DATEJ_N("&amp;$AB$18&amp;",1)")</f>
        <v>46225</v>
      </c>
      <c r="K120" s="282" t="str" cm="1">
        <f t="array" ref="K120">_xll.FDSB($C120,"CS_EVENT_TIME_N("&amp;$AB$18&amp;",1)")</f>
        <v>9:00 AM</v>
      </c>
      <c r="L120" s="282" t="str" cm="1">
        <f t="array" ref="L120">_xll.FDSB($C120,"CS_EVENT_DESC_N("&amp;$AB$18&amp;",1)")</f>
        <v>Q2 2026 Earnings Call</v>
      </c>
      <c r="M120" s="300"/>
      <c r="N120" s="274" cm="1">
        <f t="array" ref="N120">_xll.FDSB($C120,"CS_EVENT_DATEJ_N("&amp;$AA$18&amp;",2)")</f>
        <v>46315</v>
      </c>
      <c r="O120" s="282" t="str" cm="1">
        <f t="array" ref="O120">_xll.FDSB($C120,"CS_EVENT_TIME_N("&amp;$AA$18&amp;",2)")</f>
        <v>Before Market</v>
      </c>
      <c r="P120" s="282" t="str" cm="1">
        <f t="array" ref="P120">_xll.FDSB($C120,"CS_EVENT_DESC_N("&amp;$AA$18&amp;",2)")</f>
        <v>Q3 2026 Earnings Release</v>
      </c>
      <c r="Q120" s="282"/>
      <c r="R120" s="274" cm="1">
        <f t="array" ref="R120">_xll.FDSB($C120,"CS_EVENT_DATEJ_N("&amp;$AA$18&amp;",3)")</f>
        <v>46429</v>
      </c>
      <c r="S120" s="282" t="str" cm="1">
        <f t="array" ref="S120">_xll.FDSB($C120,"CS_EVENT_TIME_N("&amp;$AA$18&amp;",3)")</f>
        <v>Unspecified</v>
      </c>
      <c r="T120" s="282" t="str" cm="1">
        <f t="array" ref="T120">_xll.FDSB($C120,"CS_EVENT_DESC_N("&amp;$AA$18&amp;",3)")</f>
        <v>Q4 2026 Earnings Release (Projected)</v>
      </c>
      <c r="U120" s="282"/>
      <c r="V120" s="274" cm="1">
        <f t="array" ref="V120">_xll.FDSB($C120,"CS_EVENT_DATEJ_N("&amp;$AA$18&amp;",4)")</f>
        <v>46499</v>
      </c>
      <c r="W120" s="282" t="str" cm="1">
        <f t="array" ref="W120">_xll.FDSB($C120,"CS_EVENT_TIME_N("&amp;$AA$18&amp;",4)")</f>
        <v>Unspecified</v>
      </c>
      <c r="X120" s="282" t="str" cm="1">
        <f t="array" ref="X120">_xll.FDSB($C120,"CS_EVENT_DESC_N("&amp;$AA$18&amp;",4)")</f>
        <v>Q1 2027 Earnings Release (Projected)</v>
      </c>
      <c r="Z120" s="283"/>
    </row>
    <row r="121" spans="2:26" x14ac:dyDescent="0.15">
      <c r="B121" s="298">
        <f t="shared" si="3"/>
        <v>106</v>
      </c>
      <c r="C121" s="299" t="str">
        <v>GEV</v>
      </c>
      <c r="D121" s="300" t="str" cm="1">
        <f t="array" ref="D121">_xll.FDSB($C121,"FG_COMPANY_NAME")</f>
        <v>GE Vernova Inc.</v>
      </c>
      <c r="E121" s="300"/>
      <c r="F121" s="274" cm="1">
        <f t="array" ref="F121">_xll.FDSB($C121,"CS_EVENT_DATEJ_N("&amp;$AA$18&amp;",1)")</f>
        <v>46225</v>
      </c>
      <c r="G121" s="282" t="str" cm="1">
        <f t="array" ref="G121">_xll.FDSB($C121,"CS_EVENT_TIME_N("&amp;$AA$18&amp;",1)")</f>
        <v>Before Market</v>
      </c>
      <c r="H121" s="282" t="str" cm="1">
        <f t="array" ref="H121">_xll.FDSB($C121,"CS_EVENT_DESC_N("&amp;$AA$18&amp;",1)")</f>
        <v>Q2 2026 Earnings Release</v>
      </c>
      <c r="I121" s="282"/>
      <c r="J121" s="274" cm="1">
        <f t="array" ref="J121">_xll.FDSB($C121,"CS_EVENT_DATEJ_N("&amp;$AB$18&amp;",1)")</f>
        <v>46225</v>
      </c>
      <c r="K121" s="282" t="str" cm="1">
        <f t="array" ref="K121">_xll.FDSB($C121,"CS_EVENT_TIME_N("&amp;$AB$18&amp;",1)")</f>
        <v>7:30 AM</v>
      </c>
      <c r="L121" s="282" t="str" cm="1">
        <f t="array" ref="L121">_xll.FDSB($C121,"CS_EVENT_DESC_N("&amp;$AB$18&amp;",1)")</f>
        <v>Q2 2026 Earnings Call</v>
      </c>
      <c r="M121" s="300"/>
      <c r="N121" s="274" cm="1">
        <f t="array" ref="N121">_xll.FDSB($C121,"CS_EVENT_DATEJ_N("&amp;$AA$18&amp;",2)")</f>
        <v>46323</v>
      </c>
      <c r="O121" s="282" t="str" cm="1">
        <f t="array" ref="O121">_xll.FDSB($C121,"CS_EVENT_TIME_N("&amp;$AA$18&amp;",2)")</f>
        <v>Unspecified</v>
      </c>
      <c r="P121" s="282" t="str" cm="1">
        <f t="array" ref="P121">_xll.FDSB($C121,"CS_EVENT_DESC_N("&amp;$AA$18&amp;",2)")</f>
        <v>Q3 2026 Earnings Release (Projected)</v>
      </c>
      <c r="Q121" s="282"/>
      <c r="R121" s="274" cm="1">
        <f t="array" ref="R121">_xll.FDSB($C121,"CS_EVENT_DATEJ_N("&amp;$AA$18&amp;",3)")</f>
        <v>46505</v>
      </c>
      <c r="S121" s="282" t="str" cm="1">
        <f t="array" ref="S121">_xll.FDSB($C121,"CS_EVENT_TIME_N("&amp;$AA$18&amp;",3)")</f>
        <v>Unspecified</v>
      </c>
      <c r="T121" s="282" t="str" cm="1">
        <f t="array" ref="T121">_xll.FDSB($C121,"CS_EVENT_DESC_N("&amp;$AA$18&amp;",3)")</f>
        <v>Q1 2027 Earnings Release (Projected)</v>
      </c>
      <c r="U121" s="282"/>
      <c r="V121" s="274" cm="1">
        <f t="array" ref="V121">_xll.FDSB($C121,"CS_EVENT_DATEJ_N("&amp;$AA$18&amp;",4)")</f>
        <v>46596</v>
      </c>
      <c r="W121" s="282" t="str" cm="1">
        <f t="array" ref="W121">_xll.FDSB($C121,"CS_EVENT_TIME_N("&amp;$AA$18&amp;",4)")</f>
        <v>Unspecified</v>
      </c>
      <c r="X121" s="282" t="str" cm="1">
        <f t="array" ref="X121">_xll.FDSB($C121,"CS_EVENT_DESC_N("&amp;$AA$18&amp;",4)")</f>
        <v>Q2 2027 Earnings Release (Projected)</v>
      </c>
    </row>
    <row r="122" spans="2:26" x14ac:dyDescent="0.15">
      <c r="B122" s="298">
        <f t="shared" si="3"/>
        <v>107</v>
      </c>
      <c r="C122" s="299" t="str">
        <v>MLM</v>
      </c>
      <c r="D122" s="300" t="str" cm="1">
        <f t="array" ref="D122">_xll.FDSB($C122,"FG_COMPANY_NAME")</f>
        <v>Martin Marietta Materials, Inc.</v>
      </c>
      <c r="E122" s="300"/>
      <c r="F122" s="274" cm="1">
        <f t="array" ref="F122">_xll.FDSB($C122,"CS_EVENT_DATEJ_N("&amp;$AA$18&amp;",1)")</f>
        <v>46226</v>
      </c>
      <c r="G122" s="282" t="str" cm="1">
        <f t="array" ref="G122">_xll.FDSB($C122,"CS_EVENT_TIME_N("&amp;$AA$18&amp;",1)")</f>
        <v>Unspecified</v>
      </c>
      <c r="H122" s="282" t="str" cm="1">
        <f t="array" ref="H122">_xll.FDSB($C122,"CS_EVENT_DESC_N("&amp;$AA$18&amp;",1)")</f>
        <v>Q2 2026 Earnings Release (Projected)</v>
      </c>
      <c r="I122" s="282"/>
      <c r="J122" s="274" t="str" cm="1">
        <f t="array" ref="J122">_xll.FDSB($C122,"CS_EVENT_DATEJ_N("&amp;$AB$18&amp;",1)")</f>
        <v/>
      </c>
      <c r="K122" s="282" t="str" cm="1">
        <f t="array" ref="K122">_xll.FDSB($C122,"CS_EVENT_TIME_N("&amp;$AB$18&amp;",1)")</f>
        <v/>
      </c>
      <c r="L122" s="282" t="str" cm="1">
        <f t="array" ref="L122">_xll.FDSB($C122,"CS_EVENT_DESC_N("&amp;$AB$18&amp;",1)")</f>
        <v/>
      </c>
      <c r="M122" s="300"/>
      <c r="N122" s="274" cm="1">
        <f t="array" ref="N122">_xll.FDSB($C122,"CS_EVENT_DATEJ_N("&amp;$AA$18&amp;",2)")</f>
        <v>46330</v>
      </c>
      <c r="O122" s="282" t="str" cm="1">
        <f t="array" ref="O122">_xll.FDSB($C122,"CS_EVENT_TIME_N("&amp;$AA$18&amp;",2)")</f>
        <v>Unspecified</v>
      </c>
      <c r="P122" s="282" t="str" cm="1">
        <f t="array" ref="P122">_xll.FDSB($C122,"CS_EVENT_DESC_N("&amp;$AA$18&amp;",2)")</f>
        <v>Q3 2026 Earnings Release (Projected)</v>
      </c>
      <c r="Q122" s="282"/>
      <c r="R122" s="274" cm="1">
        <f t="array" ref="R122">_xll.FDSB($C122,"CS_EVENT_DATEJ_N("&amp;$AA$18&amp;",3)")</f>
        <v>46435</v>
      </c>
      <c r="S122" s="282" t="str" cm="1">
        <f t="array" ref="S122">_xll.FDSB($C122,"CS_EVENT_TIME_N("&amp;$AA$18&amp;",3)")</f>
        <v>Unspecified</v>
      </c>
      <c r="T122" s="282" t="str" cm="1">
        <f t="array" ref="T122">_xll.FDSB($C122,"CS_EVENT_DESC_N("&amp;$AA$18&amp;",3)")</f>
        <v>Q4 2026 Earnings Release (Projected)</v>
      </c>
      <c r="U122" s="282"/>
      <c r="V122" s="274" cm="1">
        <f t="array" ref="V122">_xll.FDSB($C122,"CS_EVENT_DATEJ_N("&amp;$AA$18&amp;",4)")</f>
        <v>46511</v>
      </c>
      <c r="W122" s="282" t="str" cm="1">
        <f t="array" ref="W122">_xll.FDSB($C122,"CS_EVENT_TIME_N("&amp;$AA$18&amp;",4)")</f>
        <v>Unspecified</v>
      </c>
      <c r="X122" s="282" t="str" cm="1">
        <f t="array" ref="X122">_xll.FDSB($C122,"CS_EVENT_DESC_N("&amp;$AA$18&amp;",4)")</f>
        <v>Q1 2027 Earnings Release (Projected)</v>
      </c>
    </row>
    <row r="123" spans="2:26" x14ac:dyDescent="0.15">
      <c r="B123" s="298">
        <f t="shared" si="3"/>
        <v>108</v>
      </c>
      <c r="C123" s="299" t="str">
        <v>WST</v>
      </c>
      <c r="D123" s="300" t="str" cm="1">
        <f t="array" ref="D123">_xll.FDSB($C123,"FG_COMPANY_NAME")</f>
        <v>West Pharmaceutical Services, Inc.</v>
      </c>
      <c r="E123" s="300"/>
      <c r="F123" s="274" cm="1">
        <f t="array" ref="F123">_xll.FDSB($C123,"CS_EVENT_DATEJ_N("&amp;$AA$18&amp;",1)")</f>
        <v>46226</v>
      </c>
      <c r="G123" s="282" t="str" cm="1">
        <f t="array" ref="G123">_xll.FDSB($C123,"CS_EVENT_TIME_N("&amp;$AA$18&amp;",1)")</f>
        <v>Unspecified</v>
      </c>
      <c r="H123" s="282" t="str" cm="1">
        <f t="array" ref="H123">_xll.FDSB($C123,"CS_EVENT_DESC_N("&amp;$AA$18&amp;",1)")</f>
        <v>Q2 2026 Earnings Release (Projected)</v>
      </c>
      <c r="I123" s="282"/>
      <c r="J123" s="274" t="str" cm="1">
        <f t="array" ref="J123">_xll.FDSB($C123,"CS_EVENT_DATEJ_N("&amp;$AB$18&amp;",1)")</f>
        <v/>
      </c>
      <c r="K123" s="282" t="str" cm="1">
        <f t="array" ref="K123">_xll.FDSB($C123,"CS_EVENT_TIME_N("&amp;$AB$18&amp;",1)")</f>
        <v/>
      </c>
      <c r="L123" s="282" t="str" cm="1">
        <f t="array" ref="L123">_xll.FDSB($C123,"CS_EVENT_DESC_N("&amp;$AB$18&amp;",1)")</f>
        <v/>
      </c>
      <c r="M123" s="300"/>
      <c r="N123" s="274" cm="1">
        <f t="array" ref="N123">_xll.FDSB($C123,"CS_EVENT_DATEJ_N("&amp;$AA$18&amp;",2)")</f>
        <v>46317</v>
      </c>
      <c r="O123" s="282" t="str" cm="1">
        <f t="array" ref="O123">_xll.FDSB($C123,"CS_EVENT_TIME_N("&amp;$AA$18&amp;",2)")</f>
        <v>Unspecified</v>
      </c>
      <c r="P123" s="282" t="str" cm="1">
        <f t="array" ref="P123">_xll.FDSB($C123,"CS_EVENT_DESC_N("&amp;$AA$18&amp;",2)")</f>
        <v>Q3 2026 Earnings Release (Projected)</v>
      </c>
      <c r="Q123" s="282"/>
      <c r="R123" s="274" cm="1">
        <f t="array" ref="R123">_xll.FDSB($C123,"CS_EVENT_DATEJ_N("&amp;$AA$18&amp;",3)")</f>
        <v>46436</v>
      </c>
      <c r="S123" s="282" t="str" cm="1">
        <f t="array" ref="S123">_xll.FDSB($C123,"CS_EVENT_TIME_N("&amp;$AA$18&amp;",3)")</f>
        <v>Unspecified</v>
      </c>
      <c r="T123" s="282" t="str" cm="1">
        <f t="array" ref="T123">_xll.FDSB($C123,"CS_EVENT_DESC_N("&amp;$AA$18&amp;",3)")</f>
        <v>Q4 2026 Earnings Release (Projected)</v>
      </c>
      <c r="U123" s="282"/>
      <c r="V123" s="274" cm="1">
        <f t="array" ref="V123">_xll.FDSB($C123,"CS_EVENT_DATEJ_N("&amp;$AA$18&amp;",4)")</f>
        <v>46506</v>
      </c>
      <c r="W123" s="282" t="str" cm="1">
        <f t="array" ref="W123">_xll.FDSB($C123,"CS_EVENT_TIME_N("&amp;$AA$18&amp;",4)")</f>
        <v>Unspecified</v>
      </c>
      <c r="X123" s="282" t="str" cm="1">
        <f t="array" ref="X123">_xll.FDSB($C123,"CS_EVENT_DESC_N("&amp;$AA$18&amp;",4)")</f>
        <v>Q1 2027 Earnings Release (Projected)</v>
      </c>
    </row>
    <row r="124" spans="2:26" x14ac:dyDescent="0.15">
      <c r="B124" s="298">
        <f t="shared" si="3"/>
        <v>109</v>
      </c>
      <c r="C124" s="299" t="str">
        <v>HON</v>
      </c>
      <c r="D124" s="300" t="str" cm="1">
        <f t="array" ref="D124">_xll.FDSB($C124,"FG_COMPANY_NAME")</f>
        <v>Honeywell International Inc.</v>
      </c>
      <c r="E124" s="300"/>
      <c r="F124" s="274" cm="1">
        <f t="array" ref="F124">_xll.FDSB($C124,"CS_EVENT_DATEJ_N("&amp;$AA$18&amp;",1)")</f>
        <v>46226</v>
      </c>
      <c r="G124" s="282" t="str" cm="1">
        <f t="array" ref="G124">_xll.FDSB($C124,"CS_EVENT_TIME_N("&amp;$AA$18&amp;",1)")</f>
        <v>Unspecified</v>
      </c>
      <c r="H124" s="282" t="str" cm="1">
        <f t="array" ref="H124">_xll.FDSB($C124,"CS_EVENT_DESC_N("&amp;$AA$18&amp;",1)")</f>
        <v>Q2 2026 Earnings Release (Projected)</v>
      </c>
      <c r="I124" s="282"/>
      <c r="J124" s="274" t="str" cm="1">
        <f t="array" ref="J124">_xll.FDSB($C124,"CS_EVENT_DATEJ_N("&amp;$AB$18&amp;",1)")</f>
        <v/>
      </c>
      <c r="K124" s="282" t="str" cm="1">
        <f t="array" ref="K124">_xll.FDSB($C124,"CS_EVENT_TIME_N("&amp;$AB$18&amp;",1)")</f>
        <v/>
      </c>
      <c r="L124" s="282" t="str" cm="1">
        <f t="array" ref="L124">_xll.FDSB($C124,"CS_EVENT_DESC_N("&amp;$AB$18&amp;",1)")</f>
        <v/>
      </c>
      <c r="M124" s="300"/>
      <c r="N124" s="274" cm="1">
        <f t="array" ref="N124">_xll.FDSB($C124,"CS_EVENT_DATEJ_N("&amp;$AA$18&amp;",2)")</f>
        <v>46317</v>
      </c>
      <c r="O124" s="282" t="str" cm="1">
        <f t="array" ref="O124">_xll.FDSB($C124,"CS_EVENT_TIME_N("&amp;$AA$18&amp;",2)")</f>
        <v>Unspecified</v>
      </c>
      <c r="P124" s="282" t="str" cm="1">
        <f t="array" ref="P124">_xll.FDSB($C124,"CS_EVENT_DESC_N("&amp;$AA$18&amp;",2)")</f>
        <v>Q3 2026 Earnings Release (Projected)</v>
      </c>
      <c r="Q124" s="282"/>
      <c r="R124" s="274" cm="1">
        <f t="array" ref="R124">_xll.FDSB($C124,"CS_EVENT_DATEJ_N("&amp;$AA$18&amp;",3)")</f>
        <v>46506</v>
      </c>
      <c r="S124" s="282" t="str" cm="1">
        <f t="array" ref="S124">_xll.FDSB($C124,"CS_EVENT_TIME_N("&amp;$AA$18&amp;",3)")</f>
        <v>Unspecified</v>
      </c>
      <c r="T124" s="282" t="str" cm="1">
        <f t="array" ref="T124">_xll.FDSB($C124,"CS_EVENT_DESC_N("&amp;$AA$18&amp;",3)")</f>
        <v>Q1 2027 Earnings Release (Projected)</v>
      </c>
      <c r="U124" s="282"/>
      <c r="V124" s="274" t="str" cm="1">
        <f t="array" ref="V124">_xll.FDSB($C124,"CS_EVENT_DATEJ_N("&amp;$AA$18&amp;",4)")</f>
        <v/>
      </c>
      <c r="W124" s="282" t="str" cm="1">
        <f t="array" ref="W124">_xll.FDSB($C124,"CS_EVENT_TIME_N("&amp;$AA$18&amp;",4)")</f>
        <v/>
      </c>
      <c r="X124" s="282" t="str" cm="1">
        <f t="array" ref="X124">_xll.FDSB($C124,"CS_EVENT_DESC_N("&amp;$AA$18&amp;",4)")</f>
        <v/>
      </c>
    </row>
    <row r="125" spans="2:26" x14ac:dyDescent="0.15">
      <c r="B125" s="298">
        <f t="shared" si="3"/>
        <v>110</v>
      </c>
      <c r="C125" s="299" t="str">
        <v>EW</v>
      </c>
      <c r="D125" s="300" t="str" cm="1">
        <f t="array" ref="D125">_xll.FDSB($C125,"FG_COMPANY_NAME")</f>
        <v>Edwards Lifesciences Corporation</v>
      </c>
      <c r="E125" s="300"/>
      <c r="F125" s="274" cm="1">
        <f t="array" ref="F125">_xll.FDSB($C125,"CS_EVENT_DATEJ_N("&amp;$AA$18&amp;",1)")</f>
        <v>46226</v>
      </c>
      <c r="G125" s="282" t="str" cm="1">
        <f t="array" ref="G125">_xll.FDSB($C125,"CS_EVENT_TIME_N("&amp;$AA$18&amp;",1)")</f>
        <v>Unspecified</v>
      </c>
      <c r="H125" s="282" t="str" cm="1">
        <f t="array" ref="H125">_xll.FDSB($C125,"CS_EVENT_DESC_N("&amp;$AA$18&amp;",1)")</f>
        <v>Q2 2026 Earnings Release (Projected)</v>
      </c>
      <c r="I125" s="282"/>
      <c r="J125" s="274" t="str" cm="1">
        <f t="array" ref="J125">_xll.FDSB($C125,"CS_EVENT_DATEJ_N("&amp;$AB$18&amp;",1)")</f>
        <v/>
      </c>
      <c r="K125" s="282" t="str" cm="1">
        <f t="array" ref="K125">_xll.FDSB($C125,"CS_EVENT_TIME_N("&amp;$AB$18&amp;",1)")</f>
        <v/>
      </c>
      <c r="L125" s="282" t="str" cm="1">
        <f t="array" ref="L125">_xll.FDSB($C125,"CS_EVENT_DESC_N("&amp;$AB$18&amp;",1)")</f>
        <v/>
      </c>
      <c r="M125" s="300"/>
      <c r="N125" s="274" cm="1">
        <f t="array" ref="N125">_xll.FDSB($C125,"CS_EVENT_DATEJ_N("&amp;$AA$18&amp;",2)")</f>
        <v>46414</v>
      </c>
      <c r="O125" s="282" t="str" cm="1">
        <f t="array" ref="O125">_xll.FDSB($C125,"CS_EVENT_TIME_N("&amp;$AA$18&amp;",2)")</f>
        <v>Unspecified</v>
      </c>
      <c r="P125" s="282" t="str" cm="1">
        <f t="array" ref="P125">_xll.FDSB($C125,"CS_EVENT_DESC_N("&amp;$AA$18&amp;",2)")</f>
        <v>Q4 2026 Earnings Release (Projected)</v>
      </c>
      <c r="Q125" s="282"/>
      <c r="R125" s="274" t="str" cm="1">
        <f t="array" ref="R125">_xll.FDSB($C125,"CS_EVENT_DATEJ_N("&amp;$AA$18&amp;",3)")</f>
        <v/>
      </c>
      <c r="S125" s="282" t="str" cm="1">
        <f t="array" ref="S125">_xll.FDSB($C125,"CS_EVENT_TIME_N("&amp;$AA$18&amp;",3)")</f>
        <v/>
      </c>
      <c r="T125" s="282" t="str" cm="1">
        <f t="array" ref="T125">_xll.FDSB($C125,"CS_EVENT_DESC_N("&amp;$AA$18&amp;",3)")</f>
        <v/>
      </c>
      <c r="U125" s="282"/>
      <c r="V125" s="274" t="str" cm="1">
        <f t="array" ref="V125">_xll.FDSB($C125,"CS_EVENT_DATEJ_N("&amp;$AA$18&amp;",4)")</f>
        <v/>
      </c>
      <c r="W125" s="282" t="str" cm="1">
        <f t="array" ref="W125">_xll.FDSB($C125,"CS_EVENT_TIME_N("&amp;$AA$18&amp;",4)")</f>
        <v/>
      </c>
      <c r="X125" s="282" t="str" cm="1">
        <f t="array" ref="X125">_xll.FDSB($C125,"CS_EVENT_DESC_N("&amp;$AA$18&amp;",4)")</f>
        <v/>
      </c>
    </row>
    <row r="126" spans="2:26" x14ac:dyDescent="0.15">
      <c r="B126" s="298">
        <f t="shared" si="3"/>
        <v>111</v>
      </c>
      <c r="C126" s="299" t="str">
        <v>BAX</v>
      </c>
      <c r="D126" s="300" t="str" cm="1">
        <f t="array" ref="D126">_xll.FDSB($C126,"FG_COMPANY_NAME")</f>
        <v>Baxter International Inc.</v>
      </c>
      <c r="E126" s="300"/>
      <c r="F126" s="274" cm="1">
        <f t="array" ref="F126">_xll.FDSB($C126,"CS_EVENT_DATEJ_N("&amp;$AA$18&amp;",1)")</f>
        <v>46226</v>
      </c>
      <c r="G126" s="282" t="str" cm="1">
        <f t="array" ref="G126">_xll.FDSB($C126,"CS_EVENT_TIME_N("&amp;$AA$18&amp;",1)")</f>
        <v>Unspecified</v>
      </c>
      <c r="H126" s="282" t="str" cm="1">
        <f t="array" ref="H126">_xll.FDSB($C126,"CS_EVENT_DESC_N("&amp;$AA$18&amp;",1)")</f>
        <v>Q2 2026 Earnings Release (Projected)</v>
      </c>
      <c r="I126" s="282"/>
      <c r="J126" s="274" t="str" cm="1">
        <f t="array" ref="J126">_xll.FDSB($C126,"CS_EVENT_DATEJ_N("&amp;$AB$18&amp;",1)")</f>
        <v/>
      </c>
      <c r="K126" s="282" t="str" cm="1">
        <f t="array" ref="K126">_xll.FDSB($C126,"CS_EVENT_TIME_N("&amp;$AB$18&amp;",1)")</f>
        <v/>
      </c>
      <c r="L126" s="282" t="str" cm="1">
        <f t="array" ref="L126">_xll.FDSB($C126,"CS_EVENT_DESC_N("&amp;$AB$18&amp;",1)")</f>
        <v/>
      </c>
      <c r="M126" s="300"/>
      <c r="N126" s="274" cm="1">
        <f t="array" ref="N126">_xll.FDSB($C126,"CS_EVENT_DATEJ_N("&amp;$AA$18&amp;",2)")</f>
        <v>46324</v>
      </c>
      <c r="O126" s="282" t="str" cm="1">
        <f t="array" ref="O126">_xll.FDSB($C126,"CS_EVENT_TIME_N("&amp;$AA$18&amp;",2)")</f>
        <v>Unspecified</v>
      </c>
      <c r="P126" s="282" t="str" cm="1">
        <f t="array" ref="P126">_xll.FDSB($C126,"CS_EVENT_DESC_N("&amp;$AA$18&amp;",2)")</f>
        <v>Q3 2026 Earnings Release (Projected)</v>
      </c>
      <c r="Q126" s="282"/>
      <c r="R126" s="274" cm="1">
        <f t="array" ref="R126">_xll.FDSB($C126,"CS_EVENT_DATEJ_N("&amp;$AA$18&amp;",3)")</f>
        <v>46436</v>
      </c>
      <c r="S126" s="282" t="str" cm="1">
        <f t="array" ref="S126">_xll.FDSB($C126,"CS_EVENT_TIME_N("&amp;$AA$18&amp;",3)")</f>
        <v>Unspecified</v>
      </c>
      <c r="T126" s="282" t="str" cm="1">
        <f t="array" ref="T126">_xll.FDSB($C126,"CS_EVENT_DESC_N("&amp;$AA$18&amp;",3)")</f>
        <v>Q4 2026 Earnings Release (Projected)</v>
      </c>
      <c r="U126" s="282"/>
      <c r="V126" s="274" cm="1">
        <f t="array" ref="V126">_xll.FDSB($C126,"CS_EVENT_DATEJ_N("&amp;$AA$18&amp;",4)")</f>
        <v>46506</v>
      </c>
      <c r="W126" s="282" t="str" cm="1">
        <f t="array" ref="W126">_xll.FDSB($C126,"CS_EVENT_TIME_N("&amp;$AA$18&amp;",4)")</f>
        <v>Unspecified</v>
      </c>
      <c r="X126" s="282" t="str" cm="1">
        <f t="array" ref="X126">_xll.FDSB($C126,"CS_EVENT_DESC_N("&amp;$AA$18&amp;",4)")</f>
        <v>Q1 2027 Earnings Release (Projected)</v>
      </c>
    </row>
    <row r="127" spans="2:26" x14ac:dyDescent="0.15">
      <c r="B127" s="298">
        <f t="shared" si="3"/>
        <v>112</v>
      </c>
      <c r="C127" s="299" t="str">
        <v>PCG</v>
      </c>
      <c r="D127" s="300" t="str" cm="1">
        <f t="array" ref="D127">_xll.FDSB($C127,"FG_COMPANY_NAME")</f>
        <v>PG&amp;E Corporation</v>
      </c>
      <c r="E127" s="300"/>
      <c r="F127" s="274" cm="1">
        <f t="array" ref="F127">_xll.FDSB($C127,"CS_EVENT_DATEJ_N("&amp;$AA$18&amp;",1)")</f>
        <v>46226</v>
      </c>
      <c r="G127" s="282" t="str" cm="1">
        <f t="array" ref="G127">_xll.FDSB($C127,"CS_EVENT_TIME_N("&amp;$AA$18&amp;",1)")</f>
        <v>Unspecified</v>
      </c>
      <c r="H127" s="282" t="str" cm="1">
        <f t="array" ref="H127">_xll.FDSB($C127,"CS_EVENT_DESC_N("&amp;$AA$18&amp;",1)")</f>
        <v>Q2 2026 Earnings Release (Projected)</v>
      </c>
      <c r="I127" s="282"/>
      <c r="J127" s="274" t="str" cm="1">
        <f t="array" ref="J127">_xll.FDSB($C127,"CS_EVENT_DATEJ_N("&amp;$AB$18&amp;",1)")</f>
        <v/>
      </c>
      <c r="K127" s="282" t="str" cm="1">
        <f t="array" ref="K127">_xll.FDSB($C127,"CS_EVENT_TIME_N("&amp;$AB$18&amp;",1)")</f>
        <v/>
      </c>
      <c r="L127" s="282" t="str" cm="1">
        <f t="array" ref="L127">_xll.FDSB($C127,"CS_EVENT_DESC_N("&amp;$AB$18&amp;",1)")</f>
        <v/>
      </c>
      <c r="M127" s="300"/>
      <c r="N127" s="274" cm="1">
        <f t="array" ref="N127">_xll.FDSB($C127,"CS_EVENT_DATEJ_N("&amp;$AA$18&amp;",2)")</f>
        <v>46317</v>
      </c>
      <c r="O127" s="282" t="str" cm="1">
        <f t="array" ref="O127">_xll.FDSB($C127,"CS_EVENT_TIME_N("&amp;$AA$18&amp;",2)")</f>
        <v>Unspecified</v>
      </c>
      <c r="P127" s="282" t="str" cm="1">
        <f t="array" ref="P127">_xll.FDSB($C127,"CS_EVENT_DESC_N("&amp;$AA$18&amp;",2)")</f>
        <v>Q3 2026 Earnings Release (Projected)</v>
      </c>
      <c r="Q127" s="282"/>
      <c r="R127" s="274" cm="1">
        <f t="array" ref="R127">_xll.FDSB($C127,"CS_EVENT_DATEJ_N("&amp;$AA$18&amp;",3)")</f>
        <v>46443</v>
      </c>
      <c r="S127" s="282" t="str" cm="1">
        <f t="array" ref="S127">_xll.FDSB($C127,"CS_EVENT_TIME_N("&amp;$AA$18&amp;",3)")</f>
        <v>Unspecified</v>
      </c>
      <c r="T127" s="282" t="str" cm="1">
        <f t="array" ref="T127">_xll.FDSB($C127,"CS_EVENT_DESC_N("&amp;$AA$18&amp;",3)")</f>
        <v>Q4 2026 Earnings Release (Projected)</v>
      </c>
      <c r="U127" s="282"/>
      <c r="V127" s="274" cm="1">
        <f t="array" ref="V127">_xll.FDSB($C127,"CS_EVENT_DATEJ_N("&amp;$AA$18&amp;",4)")</f>
        <v>46506</v>
      </c>
      <c r="W127" s="282" t="str" cm="1">
        <f t="array" ref="W127">_xll.FDSB($C127,"CS_EVENT_TIME_N("&amp;$AA$18&amp;",4)")</f>
        <v>Unspecified</v>
      </c>
      <c r="X127" s="282" t="str" cm="1">
        <f t="array" ref="X127">_xll.FDSB($C127,"CS_EVENT_DESC_N("&amp;$AA$18&amp;",4)")</f>
        <v>Q1 2027 Earnings Release (Projected)</v>
      </c>
    </row>
    <row r="128" spans="2:26" x14ac:dyDescent="0.15">
      <c r="B128" s="298">
        <f t="shared" si="3"/>
        <v>113</v>
      </c>
      <c r="C128" s="299" t="str">
        <v>LHX</v>
      </c>
      <c r="D128" s="300" t="str" cm="1">
        <f t="array" ref="D128">_xll.FDSB($C128,"FG_COMPANY_NAME")</f>
        <v>L3Harris Technologies Inc</v>
      </c>
      <c r="E128" s="300"/>
      <c r="F128" s="274" cm="1">
        <f t="array" ref="F128">_xll.FDSB($C128,"CS_EVENT_DATEJ_N("&amp;$AA$18&amp;",1)")</f>
        <v>46226</v>
      </c>
      <c r="G128" s="282" t="str" cm="1">
        <f t="array" ref="G128">_xll.FDSB($C128,"CS_EVENT_TIME_N("&amp;$AA$18&amp;",1)")</f>
        <v>Unspecified</v>
      </c>
      <c r="H128" s="282" t="str" cm="1">
        <f t="array" ref="H128">_xll.FDSB($C128,"CS_EVENT_DESC_N("&amp;$AA$18&amp;",1)")</f>
        <v>Q2 2026 Earnings Release (Projected)</v>
      </c>
      <c r="I128" s="282"/>
      <c r="J128" s="274" t="str" cm="1">
        <f t="array" ref="J128">_xll.FDSB($C128,"CS_EVENT_DATEJ_N("&amp;$AB$18&amp;",1)")</f>
        <v/>
      </c>
      <c r="K128" s="282" t="str" cm="1">
        <f t="array" ref="K128">_xll.FDSB($C128,"CS_EVENT_TIME_N("&amp;$AB$18&amp;",1)")</f>
        <v/>
      </c>
      <c r="L128" s="282" t="str" cm="1">
        <f t="array" ref="L128">_xll.FDSB($C128,"CS_EVENT_DESC_N("&amp;$AB$18&amp;",1)")</f>
        <v/>
      </c>
      <c r="M128" s="300"/>
      <c r="N128" s="274" cm="1">
        <f t="array" ref="N128">_xll.FDSB($C128,"CS_EVENT_DATEJ_N("&amp;$AA$18&amp;",2)")</f>
        <v>46317</v>
      </c>
      <c r="O128" s="282" t="str" cm="1">
        <f t="array" ref="O128">_xll.FDSB($C128,"CS_EVENT_TIME_N("&amp;$AA$18&amp;",2)")</f>
        <v>Unspecified</v>
      </c>
      <c r="P128" s="282" t="str" cm="1">
        <f t="array" ref="P128">_xll.FDSB($C128,"CS_EVENT_DESC_N("&amp;$AA$18&amp;",2)")</f>
        <v>Q3 2026 Earnings Release (Projected)</v>
      </c>
      <c r="Q128" s="282"/>
      <c r="R128" s="274" cm="1">
        <f t="array" ref="R128">_xll.FDSB($C128,"CS_EVENT_DATEJ_N("&amp;$AA$18&amp;",3)")</f>
        <v>46415</v>
      </c>
      <c r="S128" s="282" t="str" cm="1">
        <f t="array" ref="S128">_xll.FDSB($C128,"CS_EVENT_TIME_N("&amp;$AA$18&amp;",3)")</f>
        <v>Unspecified</v>
      </c>
      <c r="T128" s="282" t="str" cm="1">
        <f t="array" ref="T128">_xll.FDSB($C128,"CS_EVENT_DESC_N("&amp;$AA$18&amp;",3)")</f>
        <v>Q4 2026 Earnings Release (Projected)</v>
      </c>
      <c r="U128" s="282"/>
      <c r="V128" s="274" cm="1">
        <f t="array" ref="V128">_xll.FDSB($C128,"CS_EVENT_DATEJ_N("&amp;$AA$18&amp;",4)")</f>
        <v>46506</v>
      </c>
      <c r="W128" s="282" t="str" cm="1">
        <f t="array" ref="W128">_xll.FDSB($C128,"CS_EVENT_TIME_N("&amp;$AA$18&amp;",4)")</f>
        <v>Unspecified</v>
      </c>
      <c r="X128" s="282" t="str" cm="1">
        <f t="array" ref="X128">_xll.FDSB($C128,"CS_EVENT_DESC_N("&amp;$AA$18&amp;",4)")</f>
        <v>Q1 2027 Earnings Release (Projected)</v>
      </c>
    </row>
    <row r="129" spans="2:24" x14ac:dyDescent="0.15">
      <c r="B129" s="298">
        <f t="shared" si="3"/>
        <v>114</v>
      </c>
      <c r="C129" s="299" t="str">
        <v>AOS</v>
      </c>
      <c r="D129" s="300" t="str" cm="1">
        <f t="array" ref="D129">_xll.FDSB($C129,"FG_COMPANY_NAME")</f>
        <v>A. O. Smith Corporation</v>
      </c>
      <c r="E129" s="300"/>
      <c r="F129" s="274" cm="1">
        <f t="array" ref="F129">_xll.FDSB($C129,"CS_EVENT_DATEJ_N("&amp;$AA$18&amp;",1)")</f>
        <v>46226</v>
      </c>
      <c r="G129" s="282" t="str" cm="1">
        <f t="array" ref="G129">_xll.FDSB($C129,"CS_EVENT_TIME_N("&amp;$AA$18&amp;",1)")</f>
        <v>Unspecified</v>
      </c>
      <c r="H129" s="282" t="str" cm="1">
        <f t="array" ref="H129">_xll.FDSB($C129,"CS_EVENT_DESC_N("&amp;$AA$18&amp;",1)")</f>
        <v>Q2 2026 Earnings Release (Projected)</v>
      </c>
      <c r="I129" s="282"/>
      <c r="J129" s="274" t="str" cm="1">
        <f t="array" ref="J129">_xll.FDSB($C129,"CS_EVENT_DATEJ_N("&amp;$AB$18&amp;",1)")</f>
        <v/>
      </c>
      <c r="K129" s="282" t="str" cm="1">
        <f t="array" ref="K129">_xll.FDSB($C129,"CS_EVENT_TIME_N("&amp;$AB$18&amp;",1)")</f>
        <v/>
      </c>
      <c r="L129" s="282" t="str" cm="1">
        <f t="array" ref="L129">_xll.FDSB($C129,"CS_EVENT_DESC_N("&amp;$AB$18&amp;",1)")</f>
        <v/>
      </c>
      <c r="M129" s="300"/>
      <c r="N129" s="274" cm="1">
        <f t="array" ref="N129">_xll.FDSB($C129,"CS_EVENT_DATEJ_N("&amp;$AA$18&amp;",2)")</f>
        <v>46317</v>
      </c>
      <c r="O129" s="282" t="str" cm="1">
        <f t="array" ref="O129">_xll.FDSB($C129,"CS_EVENT_TIME_N("&amp;$AA$18&amp;",2)")</f>
        <v>Unspecified</v>
      </c>
      <c r="P129" s="282" t="str" cm="1">
        <f t="array" ref="P129">_xll.FDSB($C129,"CS_EVENT_DESC_N("&amp;$AA$18&amp;",2)")</f>
        <v>Q3 2026 Earnings Release (Projected)</v>
      </c>
      <c r="Q129" s="282"/>
      <c r="R129" s="274" cm="1">
        <f t="array" ref="R129">_xll.FDSB($C129,"CS_EVENT_DATEJ_N("&amp;$AA$18&amp;",3)")</f>
        <v>46420</v>
      </c>
      <c r="S129" s="282" t="str" cm="1">
        <f t="array" ref="S129">_xll.FDSB($C129,"CS_EVENT_TIME_N("&amp;$AA$18&amp;",3)")</f>
        <v>Unspecified</v>
      </c>
      <c r="T129" s="282" t="str" cm="1">
        <f t="array" ref="T129">_xll.FDSB($C129,"CS_EVENT_DESC_N("&amp;$AA$18&amp;",3)")</f>
        <v>Q4 2026 Earnings Release (Projected)</v>
      </c>
      <c r="U129" s="282"/>
      <c r="V129" s="274" cm="1">
        <f t="array" ref="V129">_xll.FDSB($C129,"CS_EVENT_DATEJ_N("&amp;$AA$18&amp;",4)")</f>
        <v>46506</v>
      </c>
      <c r="W129" s="282" t="str" cm="1">
        <f t="array" ref="W129">_xll.FDSB($C129,"CS_EVENT_TIME_N("&amp;$AA$18&amp;",4)")</f>
        <v>Unspecified</v>
      </c>
      <c r="X129" s="282" t="str" cm="1">
        <f t="array" ref="X129">_xll.FDSB($C129,"CS_EVENT_DESC_N("&amp;$AA$18&amp;",4)")</f>
        <v>Q1 2027 Earnings Release (Projected)</v>
      </c>
    </row>
    <row r="130" spans="2:24" x14ac:dyDescent="0.15">
      <c r="B130" s="298">
        <f t="shared" si="3"/>
        <v>115</v>
      </c>
      <c r="C130" s="299" t="str">
        <v>KIM</v>
      </c>
      <c r="D130" s="300" t="str" cm="1">
        <f t="array" ref="D130">_xll.FDSB($C130,"FG_COMPANY_NAME")</f>
        <v>Kimco Realty Corporation</v>
      </c>
      <c r="E130" s="300"/>
      <c r="F130" s="274" cm="1">
        <f t="array" ref="F130">_xll.FDSB($C130,"CS_EVENT_DATEJ_N("&amp;$AA$18&amp;",1)")</f>
        <v>46226</v>
      </c>
      <c r="G130" s="282" t="str" cm="1">
        <f t="array" ref="G130">_xll.FDSB($C130,"CS_EVENT_TIME_N("&amp;$AA$18&amp;",1)")</f>
        <v>Unspecified</v>
      </c>
      <c r="H130" s="282" t="str" cm="1">
        <f t="array" ref="H130">_xll.FDSB($C130,"CS_EVENT_DESC_N("&amp;$AA$18&amp;",1)")</f>
        <v>Q2 2026 Earnings Release (Projected)</v>
      </c>
      <c r="I130" s="282"/>
      <c r="J130" s="274" t="str" cm="1">
        <f t="array" ref="J130">_xll.FDSB($C130,"CS_EVENT_DATEJ_N("&amp;$AB$18&amp;",1)")</f>
        <v/>
      </c>
      <c r="K130" s="282" t="str" cm="1">
        <f t="array" ref="K130">_xll.FDSB($C130,"CS_EVENT_TIME_N("&amp;$AB$18&amp;",1)")</f>
        <v/>
      </c>
      <c r="L130" s="282" t="str" cm="1">
        <f t="array" ref="L130">_xll.FDSB($C130,"CS_EVENT_DESC_N("&amp;$AB$18&amp;",1)")</f>
        <v/>
      </c>
      <c r="M130" s="300"/>
      <c r="N130" s="274" cm="1">
        <f t="array" ref="N130">_xll.FDSB($C130,"CS_EVENT_DATEJ_N("&amp;$AA$18&amp;",2)")</f>
        <v>46324</v>
      </c>
      <c r="O130" s="282" t="str" cm="1">
        <f t="array" ref="O130">_xll.FDSB($C130,"CS_EVENT_TIME_N("&amp;$AA$18&amp;",2)")</f>
        <v>Unspecified</v>
      </c>
      <c r="P130" s="282" t="str" cm="1">
        <f t="array" ref="P130">_xll.FDSB($C130,"CS_EVENT_DESC_N("&amp;$AA$18&amp;",2)")</f>
        <v>Q3 2026 Earnings Release (Projected)</v>
      </c>
      <c r="Q130" s="282"/>
      <c r="R130" s="274" cm="1">
        <f t="array" ref="R130">_xll.FDSB($C130,"CS_EVENT_DATEJ_N("&amp;$AA$18&amp;",3)")</f>
        <v>46429</v>
      </c>
      <c r="S130" s="282" t="str" cm="1">
        <f t="array" ref="S130">_xll.FDSB($C130,"CS_EVENT_TIME_N("&amp;$AA$18&amp;",3)")</f>
        <v>Unspecified</v>
      </c>
      <c r="T130" s="282" t="str" cm="1">
        <f t="array" ref="T130">_xll.FDSB($C130,"CS_EVENT_DESC_N("&amp;$AA$18&amp;",3)")</f>
        <v>Q4 2026 Earnings Release (Projected)</v>
      </c>
      <c r="U130" s="282"/>
      <c r="V130" s="274" t="str" cm="1">
        <f t="array" ref="V130">_xll.FDSB($C130,"CS_EVENT_DATEJ_N("&amp;$AA$18&amp;",4)")</f>
        <v/>
      </c>
      <c r="W130" s="282" t="str" cm="1">
        <f t="array" ref="W130">_xll.FDSB($C130,"CS_EVENT_TIME_N("&amp;$AA$18&amp;",4)")</f>
        <v/>
      </c>
      <c r="X130" s="282" t="str" cm="1">
        <f t="array" ref="X130">_xll.FDSB($C130,"CS_EVENT_DESC_N("&amp;$AA$18&amp;",4)")</f>
        <v/>
      </c>
    </row>
    <row r="131" spans="2:24" x14ac:dyDescent="0.15">
      <c r="B131" s="298">
        <f t="shared" si="3"/>
        <v>116</v>
      </c>
      <c r="C131" s="299" t="str">
        <v>AMT</v>
      </c>
      <c r="D131" s="300" t="str" cm="1">
        <f t="array" ref="D131">_xll.FDSB($C131,"FG_COMPANY_NAME")</f>
        <v>American Tower Corporation</v>
      </c>
      <c r="E131" s="300"/>
      <c r="F131" s="274" cm="1">
        <f t="array" ref="F131">_xll.FDSB($C131,"CS_EVENT_DATEJ_N("&amp;$AA$18&amp;",1)")</f>
        <v>46226</v>
      </c>
      <c r="G131" s="282" t="str" cm="1">
        <f t="array" ref="G131">_xll.FDSB($C131,"CS_EVENT_TIME_N("&amp;$AA$18&amp;",1)")</f>
        <v>Unspecified</v>
      </c>
      <c r="H131" s="282" t="str" cm="1">
        <f t="array" ref="H131">_xll.FDSB($C131,"CS_EVENT_DESC_N("&amp;$AA$18&amp;",1)")</f>
        <v>Q2 2026 Earnings Release (Projected)</v>
      </c>
      <c r="I131" s="282"/>
      <c r="J131" s="274" t="str" cm="1">
        <f t="array" ref="J131">_xll.FDSB($C131,"CS_EVENT_DATEJ_N("&amp;$AB$18&amp;",1)")</f>
        <v/>
      </c>
      <c r="K131" s="282" t="str" cm="1">
        <f t="array" ref="K131">_xll.FDSB($C131,"CS_EVENT_TIME_N("&amp;$AB$18&amp;",1)")</f>
        <v/>
      </c>
      <c r="L131" s="282" t="str" cm="1">
        <f t="array" ref="L131">_xll.FDSB($C131,"CS_EVENT_DESC_N("&amp;$AB$18&amp;",1)")</f>
        <v/>
      </c>
      <c r="M131" s="300"/>
      <c r="N131" s="274" cm="1">
        <f t="array" ref="N131">_xll.FDSB($C131,"CS_EVENT_DATEJ_N("&amp;$AA$18&amp;",2)")</f>
        <v>46317</v>
      </c>
      <c r="O131" s="282" t="str" cm="1">
        <f t="array" ref="O131">_xll.FDSB($C131,"CS_EVENT_TIME_N("&amp;$AA$18&amp;",2)")</f>
        <v>Unspecified</v>
      </c>
      <c r="P131" s="282" t="str" cm="1">
        <f t="array" ref="P131">_xll.FDSB($C131,"CS_EVENT_DESC_N("&amp;$AA$18&amp;",2)")</f>
        <v>Q3 2026 Earnings Release (Projected)</v>
      </c>
      <c r="Q131" s="282"/>
      <c r="R131" s="274" cm="1">
        <f t="array" ref="R131">_xll.FDSB($C131,"CS_EVENT_DATEJ_N("&amp;$AA$18&amp;",3)")</f>
        <v>46443</v>
      </c>
      <c r="S131" s="282" t="str" cm="1">
        <f t="array" ref="S131">_xll.FDSB($C131,"CS_EVENT_TIME_N("&amp;$AA$18&amp;",3)")</f>
        <v>Unspecified</v>
      </c>
      <c r="T131" s="282" t="str" cm="1">
        <f t="array" ref="T131">_xll.FDSB($C131,"CS_EVENT_DESC_N("&amp;$AA$18&amp;",3)")</f>
        <v>Q4 2026 Earnings Release (Projected)</v>
      </c>
      <c r="U131" s="282"/>
      <c r="V131" s="274" cm="1">
        <f t="array" ref="V131">_xll.FDSB($C131,"CS_EVENT_DATEJ_N("&amp;$AA$18&amp;",4)")</f>
        <v>46505</v>
      </c>
      <c r="W131" s="282" t="str" cm="1">
        <f t="array" ref="W131">_xll.FDSB($C131,"CS_EVENT_TIME_N("&amp;$AA$18&amp;",4)")</f>
        <v>Unspecified</v>
      </c>
      <c r="X131" s="282" t="str" cm="1">
        <f t="array" ref="X131">_xll.FDSB($C131,"CS_EVENT_DESC_N("&amp;$AA$18&amp;",4)")</f>
        <v>Q1 2027 Earnings Release (Projected)</v>
      </c>
    </row>
    <row r="132" spans="2:24" x14ac:dyDescent="0.15">
      <c r="B132" s="298">
        <f t="shared" si="3"/>
        <v>117</v>
      </c>
      <c r="C132" s="299" t="str">
        <v>HSY</v>
      </c>
      <c r="D132" s="300" t="str" cm="1">
        <f t="array" ref="D132">_xll.FDSB($C132,"FG_COMPANY_NAME")</f>
        <v>Hershey Company</v>
      </c>
      <c r="E132" s="300"/>
      <c r="F132" s="274" cm="1">
        <f t="array" ref="F132">_xll.FDSB($C132,"CS_EVENT_DATEJ_N("&amp;$AA$18&amp;",1)")</f>
        <v>46226</v>
      </c>
      <c r="G132" s="282" t="str" cm="1">
        <f t="array" ref="G132">_xll.FDSB($C132,"CS_EVENT_TIME_N("&amp;$AA$18&amp;",1)")</f>
        <v>Unspecified</v>
      </c>
      <c r="H132" s="282" t="str" cm="1">
        <f t="array" ref="H132">_xll.FDSB($C132,"CS_EVENT_DESC_N("&amp;$AA$18&amp;",1)")</f>
        <v>Q2 2026 Earnings Release (Projected)</v>
      </c>
      <c r="I132" s="282"/>
      <c r="J132" s="274" t="str" cm="1">
        <f t="array" ref="J132">_xll.FDSB($C132,"CS_EVENT_DATEJ_N("&amp;$AB$18&amp;",1)")</f>
        <v/>
      </c>
      <c r="K132" s="282" t="str" cm="1">
        <f t="array" ref="K132">_xll.FDSB($C132,"CS_EVENT_TIME_N("&amp;$AB$18&amp;",1)")</f>
        <v/>
      </c>
      <c r="L132" s="282" t="str" cm="1">
        <f t="array" ref="L132">_xll.FDSB($C132,"CS_EVENT_DESC_N("&amp;$AB$18&amp;",1)")</f>
        <v/>
      </c>
      <c r="M132" s="300"/>
      <c r="N132" s="274" cm="1">
        <f t="array" ref="N132">_xll.FDSB($C132,"CS_EVENT_DATEJ_N("&amp;$AA$18&amp;",2)")</f>
        <v>46317</v>
      </c>
      <c r="O132" s="282" t="str" cm="1">
        <f t="array" ref="O132">_xll.FDSB($C132,"CS_EVENT_TIME_N("&amp;$AA$18&amp;",2)")</f>
        <v>Unspecified</v>
      </c>
      <c r="P132" s="282" t="str" cm="1">
        <f t="array" ref="P132">_xll.FDSB($C132,"CS_EVENT_DESC_N("&amp;$AA$18&amp;",2)")</f>
        <v>Q3 2026 Earnings Release (Projected)</v>
      </c>
      <c r="Q132" s="282"/>
      <c r="R132" s="274" cm="1">
        <f t="array" ref="R132">_xll.FDSB($C132,"CS_EVENT_DATEJ_N("&amp;$AA$18&amp;",3)")</f>
        <v>46422</v>
      </c>
      <c r="S132" s="282" t="str" cm="1">
        <f t="array" ref="S132">_xll.FDSB($C132,"CS_EVENT_TIME_N("&amp;$AA$18&amp;",3)")</f>
        <v>Unspecified</v>
      </c>
      <c r="T132" s="282" t="str" cm="1">
        <f t="array" ref="T132">_xll.FDSB($C132,"CS_EVENT_DESC_N("&amp;$AA$18&amp;",3)")</f>
        <v>Q4 2026 Earnings Release (Projected)</v>
      </c>
      <c r="U132" s="282"/>
      <c r="V132" s="274" cm="1">
        <f t="array" ref="V132">_xll.FDSB($C132,"CS_EVENT_DATEJ_N("&amp;$AA$18&amp;",4)")</f>
        <v>46506</v>
      </c>
      <c r="W132" s="282" t="str" cm="1">
        <f t="array" ref="W132">_xll.FDSB($C132,"CS_EVENT_TIME_N("&amp;$AA$18&amp;",4)")</f>
        <v>Unspecified</v>
      </c>
      <c r="X132" s="282" t="str" cm="1">
        <f t="array" ref="X132">_xll.FDSB($C132,"CS_EVENT_DESC_N("&amp;$AA$18&amp;",4)")</f>
        <v>Q1 2027 Earnings Release (Projected)</v>
      </c>
    </row>
    <row r="133" spans="2:24" x14ac:dyDescent="0.15">
      <c r="B133" s="298">
        <f t="shared" si="3"/>
        <v>118</v>
      </c>
      <c r="C133" s="299" t="str">
        <v>VRSN</v>
      </c>
      <c r="D133" s="300" t="str" cm="1">
        <f t="array" ref="D133">_xll.FDSB($C133,"FG_COMPANY_NAME")</f>
        <v>VeriSign, Inc.</v>
      </c>
      <c r="E133" s="300"/>
      <c r="F133" s="274" cm="1">
        <f t="array" ref="F133">_xll.FDSB($C133,"CS_EVENT_DATEJ_N("&amp;$AA$18&amp;",1)")</f>
        <v>46226</v>
      </c>
      <c r="G133" s="282" t="str" cm="1">
        <f t="array" ref="G133">_xll.FDSB($C133,"CS_EVENT_TIME_N("&amp;$AA$18&amp;",1)")</f>
        <v>Unspecified</v>
      </c>
      <c r="H133" s="282" t="str" cm="1">
        <f t="array" ref="H133">_xll.FDSB($C133,"CS_EVENT_DESC_N("&amp;$AA$18&amp;",1)")</f>
        <v>Q2 2026 Earnings Release (Projected)</v>
      </c>
      <c r="I133" s="282"/>
      <c r="J133" s="274" t="str" cm="1">
        <f t="array" ref="J133">_xll.FDSB($C133,"CS_EVENT_DATEJ_N("&amp;$AB$18&amp;",1)")</f>
        <v/>
      </c>
      <c r="K133" s="282" t="str" cm="1">
        <f t="array" ref="K133">_xll.FDSB($C133,"CS_EVENT_TIME_N("&amp;$AB$18&amp;",1)")</f>
        <v/>
      </c>
      <c r="L133" s="282" t="str" cm="1">
        <f t="array" ref="L133">_xll.FDSB($C133,"CS_EVENT_DESC_N("&amp;$AB$18&amp;",1)")</f>
        <v/>
      </c>
      <c r="M133" s="300"/>
      <c r="N133" s="274" cm="1">
        <f t="array" ref="N133">_xll.FDSB($C133,"CS_EVENT_DATEJ_N("&amp;$AA$18&amp;",2)")</f>
        <v>46317</v>
      </c>
      <c r="O133" s="282" t="str" cm="1">
        <f t="array" ref="O133">_xll.FDSB($C133,"CS_EVENT_TIME_N("&amp;$AA$18&amp;",2)")</f>
        <v>Unspecified</v>
      </c>
      <c r="P133" s="282" t="str" cm="1">
        <f t="array" ref="P133">_xll.FDSB($C133,"CS_EVENT_DESC_N("&amp;$AA$18&amp;",2)")</f>
        <v>Q3 2026 Earnings Release (Projected)</v>
      </c>
      <c r="Q133" s="282"/>
      <c r="R133" s="274" cm="1">
        <f t="array" ref="R133">_xll.FDSB($C133,"CS_EVENT_DATEJ_N("&amp;$AA$18&amp;",3)")</f>
        <v>46429</v>
      </c>
      <c r="S133" s="282" t="str" cm="1">
        <f t="array" ref="S133">_xll.FDSB($C133,"CS_EVENT_TIME_N("&amp;$AA$18&amp;",3)")</f>
        <v>Unspecified</v>
      </c>
      <c r="T133" s="282" t="str" cm="1">
        <f t="array" ref="T133">_xll.FDSB($C133,"CS_EVENT_DESC_N("&amp;$AA$18&amp;",3)")</f>
        <v>Q4 2026 Earnings Release (Projected)</v>
      </c>
      <c r="U133" s="282"/>
      <c r="V133" s="274" cm="1">
        <f t="array" ref="V133">_xll.FDSB($C133,"CS_EVENT_DATEJ_N("&amp;$AA$18&amp;",4)")</f>
        <v>46506</v>
      </c>
      <c r="W133" s="282" t="str" cm="1">
        <f t="array" ref="W133">_xll.FDSB($C133,"CS_EVENT_TIME_N("&amp;$AA$18&amp;",4)")</f>
        <v>Unspecified</v>
      </c>
      <c r="X133" s="282" t="str" cm="1">
        <f t="array" ref="X133">_xll.FDSB($C133,"CS_EVENT_DESC_N("&amp;$AA$18&amp;",4)")</f>
        <v>Q1 2027 Earnings Release (Projected)</v>
      </c>
    </row>
    <row r="134" spans="2:24" x14ac:dyDescent="0.15">
      <c r="B134" s="298">
        <f t="shared" si="3"/>
        <v>119</v>
      </c>
      <c r="C134" s="299" t="str">
        <v>TSCO</v>
      </c>
      <c r="D134" s="300" t="str" cm="1">
        <f t="array" ref="D134">_xll.FDSB($C134,"FG_COMPANY_NAME")</f>
        <v>Tractor Supply Company</v>
      </c>
      <c r="E134" s="300"/>
      <c r="F134" s="274" cm="1">
        <f t="array" ref="F134">_xll.FDSB($C134,"CS_EVENT_DATEJ_N("&amp;$AA$18&amp;",1)")</f>
        <v>46226</v>
      </c>
      <c r="G134" s="282" t="str" cm="1">
        <f t="array" ref="G134">_xll.FDSB($C134,"CS_EVENT_TIME_N("&amp;$AA$18&amp;",1)")</f>
        <v>Unspecified</v>
      </c>
      <c r="H134" s="282" t="str" cm="1">
        <f t="array" ref="H134">_xll.FDSB($C134,"CS_EVENT_DESC_N("&amp;$AA$18&amp;",1)")</f>
        <v>Q2 2026 Earnings Release (Projected)</v>
      </c>
      <c r="I134" s="282"/>
      <c r="J134" s="274" t="str" cm="1">
        <f t="array" ref="J134">_xll.FDSB($C134,"CS_EVENT_DATEJ_N("&amp;$AB$18&amp;",1)")</f>
        <v/>
      </c>
      <c r="K134" s="282" t="str" cm="1">
        <f t="array" ref="K134">_xll.FDSB($C134,"CS_EVENT_TIME_N("&amp;$AB$18&amp;",1)")</f>
        <v/>
      </c>
      <c r="L134" s="282" t="str" cm="1">
        <f t="array" ref="L134">_xll.FDSB($C134,"CS_EVENT_DESC_N("&amp;$AB$18&amp;",1)")</f>
        <v/>
      </c>
      <c r="M134" s="300"/>
      <c r="N134" s="274" cm="1">
        <f t="array" ref="N134">_xll.FDSB($C134,"CS_EVENT_DATEJ_N("&amp;$AA$18&amp;",2)")</f>
        <v>46317</v>
      </c>
      <c r="O134" s="282" t="str" cm="1">
        <f t="array" ref="O134">_xll.FDSB($C134,"CS_EVENT_TIME_N("&amp;$AA$18&amp;",2)")</f>
        <v>Unspecified</v>
      </c>
      <c r="P134" s="282" t="str" cm="1">
        <f t="array" ref="P134">_xll.FDSB($C134,"CS_EVENT_DESC_N("&amp;$AA$18&amp;",2)")</f>
        <v>Q3 2026 Earnings Release (Projected)</v>
      </c>
      <c r="Q134" s="282"/>
      <c r="R134" s="274" cm="1">
        <f t="array" ref="R134">_xll.FDSB($C134,"CS_EVENT_DATEJ_N("&amp;$AA$18&amp;",3)")</f>
        <v>46422</v>
      </c>
      <c r="S134" s="282" t="str" cm="1">
        <f t="array" ref="S134">_xll.FDSB($C134,"CS_EVENT_TIME_N("&amp;$AA$18&amp;",3)")</f>
        <v>Unspecified</v>
      </c>
      <c r="T134" s="282" t="str" cm="1">
        <f t="array" ref="T134">_xll.FDSB($C134,"CS_EVENT_DESC_N("&amp;$AA$18&amp;",3)")</f>
        <v>Q4 2026 Earnings Release (Projected)</v>
      </c>
      <c r="U134" s="282"/>
      <c r="V134" s="274" cm="1">
        <f t="array" ref="V134">_xll.FDSB($C134,"CS_EVENT_DATEJ_N("&amp;$AA$18&amp;",4)")</f>
        <v>46506</v>
      </c>
      <c r="W134" s="282" t="str" cm="1">
        <f t="array" ref="W134">_xll.FDSB($C134,"CS_EVENT_TIME_N("&amp;$AA$18&amp;",4)")</f>
        <v>Unspecified</v>
      </c>
      <c r="X134" s="282" t="str" cm="1">
        <f t="array" ref="X134">_xll.FDSB($C134,"CS_EVENT_DESC_N("&amp;$AA$18&amp;",4)")</f>
        <v>Q1 2027 Earnings Release (Projected)</v>
      </c>
    </row>
    <row r="135" spans="2:24" x14ac:dyDescent="0.15">
      <c r="B135" s="298">
        <f t="shared" si="3"/>
        <v>120</v>
      </c>
      <c r="C135" s="299" t="str">
        <v>TXT</v>
      </c>
      <c r="D135" s="300" t="str" cm="1">
        <f t="array" ref="D135">_xll.FDSB($C135,"FG_COMPANY_NAME")</f>
        <v>Textron Inc.</v>
      </c>
      <c r="E135" s="300"/>
      <c r="F135" s="274" cm="1">
        <f t="array" ref="F135">_xll.FDSB($C135,"CS_EVENT_DATEJ_N("&amp;$AA$18&amp;",1)")</f>
        <v>46226</v>
      </c>
      <c r="G135" s="282" t="str" cm="1">
        <f t="array" ref="G135">_xll.FDSB($C135,"CS_EVENT_TIME_N("&amp;$AA$18&amp;",1)")</f>
        <v>Unspecified</v>
      </c>
      <c r="H135" s="282" t="str" cm="1">
        <f t="array" ref="H135">_xll.FDSB($C135,"CS_EVENT_DESC_N("&amp;$AA$18&amp;",1)")</f>
        <v>Q2 2026 Earnings Release (Projected)</v>
      </c>
      <c r="I135" s="282"/>
      <c r="J135" s="274" t="str" cm="1">
        <f t="array" ref="J135">_xll.FDSB($C135,"CS_EVENT_DATEJ_N("&amp;$AB$18&amp;",1)")</f>
        <v/>
      </c>
      <c r="K135" s="282" t="str" cm="1">
        <f t="array" ref="K135">_xll.FDSB($C135,"CS_EVENT_TIME_N("&amp;$AB$18&amp;",1)")</f>
        <v/>
      </c>
      <c r="L135" s="282" t="str" cm="1">
        <f t="array" ref="L135">_xll.FDSB($C135,"CS_EVENT_DESC_N("&amp;$AB$18&amp;",1)")</f>
        <v/>
      </c>
      <c r="M135" s="300"/>
      <c r="N135" s="274" cm="1">
        <f t="array" ref="N135">_xll.FDSB($C135,"CS_EVENT_DATEJ_N("&amp;$AA$18&amp;",2)")</f>
        <v>46317</v>
      </c>
      <c r="O135" s="282" t="str" cm="1">
        <f t="array" ref="O135">_xll.FDSB($C135,"CS_EVENT_TIME_N("&amp;$AA$18&amp;",2)")</f>
        <v>Unspecified</v>
      </c>
      <c r="P135" s="282" t="str" cm="1">
        <f t="array" ref="P135">_xll.FDSB($C135,"CS_EVENT_DESC_N("&amp;$AA$18&amp;",2)")</f>
        <v>Q3 2026 Earnings Release (Projected)</v>
      </c>
      <c r="Q135" s="282"/>
      <c r="R135" s="274" cm="1">
        <f t="array" ref="R135">_xll.FDSB($C135,"CS_EVENT_DATEJ_N("&amp;$AA$18&amp;",3)")</f>
        <v>46414</v>
      </c>
      <c r="S135" s="282" t="str" cm="1">
        <f t="array" ref="S135">_xll.FDSB($C135,"CS_EVENT_TIME_N("&amp;$AA$18&amp;",3)")</f>
        <v>Unspecified</v>
      </c>
      <c r="T135" s="282" t="str" cm="1">
        <f t="array" ref="T135">_xll.FDSB($C135,"CS_EVENT_DESC_N("&amp;$AA$18&amp;",3)")</f>
        <v>Q4 2026 Earnings Release (Projected)</v>
      </c>
      <c r="U135" s="282"/>
      <c r="V135" s="274" cm="1">
        <f t="array" ref="V135">_xll.FDSB($C135,"CS_EVENT_DATEJ_N("&amp;$AA$18&amp;",4)")</f>
        <v>46506</v>
      </c>
      <c r="W135" s="282" t="str" cm="1">
        <f t="array" ref="W135">_xll.FDSB($C135,"CS_EVENT_TIME_N("&amp;$AA$18&amp;",4)")</f>
        <v>Unspecified</v>
      </c>
      <c r="X135" s="282" t="str" cm="1">
        <f t="array" ref="X135">_xll.FDSB($C135,"CS_EVENT_DESC_N("&amp;$AA$18&amp;",4)")</f>
        <v>Q1 2027 Earnings Release (Projected)</v>
      </c>
    </row>
    <row r="136" spans="2:24" x14ac:dyDescent="0.15">
      <c r="B136" s="298">
        <f t="shared" si="3"/>
        <v>121</v>
      </c>
      <c r="C136" s="299" t="str">
        <v>AJG</v>
      </c>
      <c r="D136" s="300" t="str" cm="1">
        <f t="array" ref="D136">_xll.FDSB($C136,"FG_COMPANY_NAME")</f>
        <v>Arthur J. Gallagher &amp; Co.</v>
      </c>
      <c r="E136" s="300"/>
      <c r="F136" s="274" cm="1">
        <f t="array" ref="F136">_xll.FDSB($C136,"CS_EVENT_DATEJ_N("&amp;$AA$18&amp;",1)")</f>
        <v>46226</v>
      </c>
      <c r="G136" s="282" t="str" cm="1">
        <f t="array" ref="G136">_xll.FDSB($C136,"CS_EVENT_TIME_N("&amp;$AA$18&amp;",1)")</f>
        <v>Unspecified</v>
      </c>
      <c r="H136" s="282" t="str" cm="1">
        <f t="array" ref="H136">_xll.FDSB($C136,"CS_EVENT_DESC_N("&amp;$AA$18&amp;",1)")</f>
        <v>Q2 2026 Earnings Release (Projected)</v>
      </c>
      <c r="I136" s="282"/>
      <c r="J136" s="274" t="str" cm="1">
        <f t="array" ref="J136">_xll.FDSB($C136,"CS_EVENT_DATEJ_N("&amp;$AB$18&amp;",1)")</f>
        <v/>
      </c>
      <c r="K136" s="282" t="str" cm="1">
        <f t="array" ref="K136">_xll.FDSB($C136,"CS_EVENT_TIME_N("&amp;$AB$18&amp;",1)")</f>
        <v/>
      </c>
      <c r="L136" s="282" t="str" cm="1">
        <f t="array" ref="L136">_xll.FDSB($C136,"CS_EVENT_DESC_N("&amp;$AB$18&amp;",1)")</f>
        <v/>
      </c>
      <c r="M136" s="300"/>
      <c r="N136" s="274" cm="1">
        <f t="array" ref="N136">_xll.FDSB($C136,"CS_EVENT_DATEJ_N("&amp;$AA$18&amp;",2)")</f>
        <v>46317</v>
      </c>
      <c r="O136" s="282" t="str" cm="1">
        <f t="array" ref="O136">_xll.FDSB($C136,"CS_EVENT_TIME_N("&amp;$AA$18&amp;",2)")</f>
        <v>Unspecified</v>
      </c>
      <c r="P136" s="282" t="str" cm="1">
        <f t="array" ref="P136">_xll.FDSB($C136,"CS_EVENT_DESC_N("&amp;$AA$18&amp;",2)")</f>
        <v>Q3 2026 Earnings Release (Projected)</v>
      </c>
      <c r="Q136" s="282"/>
      <c r="R136" s="274" cm="1">
        <f t="array" ref="R136">_xll.FDSB($C136,"CS_EVENT_DATEJ_N("&amp;$AA$18&amp;",3)")</f>
        <v>46415</v>
      </c>
      <c r="S136" s="282" t="str" cm="1">
        <f t="array" ref="S136">_xll.FDSB($C136,"CS_EVENT_TIME_N("&amp;$AA$18&amp;",3)")</f>
        <v>Unspecified</v>
      </c>
      <c r="T136" s="282" t="str" cm="1">
        <f t="array" ref="T136">_xll.FDSB($C136,"CS_EVENT_DESC_N("&amp;$AA$18&amp;",3)")</f>
        <v>Q4 2026 Earnings Release (Projected)</v>
      </c>
      <c r="U136" s="282"/>
      <c r="V136" s="274" cm="1">
        <f t="array" ref="V136">_xll.FDSB($C136,"CS_EVENT_DATEJ_N("&amp;$AA$18&amp;",4)")</f>
        <v>46506</v>
      </c>
      <c r="W136" s="282" t="str" cm="1">
        <f t="array" ref="W136">_xll.FDSB($C136,"CS_EVENT_TIME_N("&amp;$AA$18&amp;",4)")</f>
        <v>Unspecified</v>
      </c>
      <c r="X136" s="282" t="str" cm="1">
        <f t="array" ref="X136">_xll.FDSB($C136,"CS_EVENT_DESC_N("&amp;$AA$18&amp;",4)")</f>
        <v>Q1 2027 Earnings Release (Projected)</v>
      </c>
    </row>
    <row r="137" spans="2:24" x14ac:dyDescent="0.15">
      <c r="B137" s="298">
        <f t="shared" si="3"/>
        <v>122</v>
      </c>
      <c r="C137" s="299" t="str">
        <v>WTW</v>
      </c>
      <c r="D137" s="300" t="str" cm="1">
        <f t="array" ref="D137">_xll.FDSB($C137,"FG_COMPANY_NAME")</f>
        <v>Willis Towers Watson Public Limited Company</v>
      </c>
      <c r="E137" s="300"/>
      <c r="F137" s="274" cm="1">
        <f t="array" ref="F137">_xll.FDSB($C137,"CS_EVENT_DATEJ_N("&amp;$AA$18&amp;",1)")</f>
        <v>46226</v>
      </c>
      <c r="G137" s="282" t="str" cm="1">
        <f t="array" ref="G137">_xll.FDSB($C137,"CS_EVENT_TIME_N("&amp;$AA$18&amp;",1)")</f>
        <v>Unspecified</v>
      </c>
      <c r="H137" s="282" t="str" cm="1">
        <f t="array" ref="H137">_xll.FDSB($C137,"CS_EVENT_DESC_N("&amp;$AA$18&amp;",1)")</f>
        <v>Q2 2026 Earnings Release (Projected)</v>
      </c>
      <c r="I137" s="282"/>
      <c r="J137" s="274" t="str" cm="1">
        <f t="array" ref="J137">_xll.FDSB($C137,"CS_EVENT_DATEJ_N("&amp;$AB$18&amp;",1)")</f>
        <v/>
      </c>
      <c r="K137" s="282" t="str" cm="1">
        <f t="array" ref="K137">_xll.FDSB($C137,"CS_EVENT_TIME_N("&amp;$AB$18&amp;",1)")</f>
        <v/>
      </c>
      <c r="L137" s="282" t="str" cm="1">
        <f t="array" ref="L137">_xll.FDSB($C137,"CS_EVENT_DESC_N("&amp;$AB$18&amp;",1)")</f>
        <v/>
      </c>
      <c r="M137" s="300"/>
      <c r="N137" s="274" cm="1">
        <f t="array" ref="N137">_xll.FDSB($C137,"CS_EVENT_DATEJ_N("&amp;$AA$18&amp;",2)")</f>
        <v>46317</v>
      </c>
      <c r="O137" s="282" t="str" cm="1">
        <f t="array" ref="O137">_xll.FDSB($C137,"CS_EVENT_TIME_N("&amp;$AA$18&amp;",2)")</f>
        <v>Unspecified</v>
      </c>
      <c r="P137" s="282" t="str" cm="1">
        <f t="array" ref="P137">_xll.FDSB($C137,"CS_EVENT_DESC_N("&amp;$AA$18&amp;",2)")</f>
        <v>Q3 2026 Earnings Release (Projected)</v>
      </c>
      <c r="Q137" s="282"/>
      <c r="R137" s="274" cm="1">
        <f t="array" ref="R137">_xll.FDSB($C137,"CS_EVENT_DATEJ_N("&amp;$AA$18&amp;",3)")</f>
        <v>46427</v>
      </c>
      <c r="S137" s="282" t="str" cm="1">
        <f t="array" ref="S137">_xll.FDSB($C137,"CS_EVENT_TIME_N("&amp;$AA$18&amp;",3)")</f>
        <v>Unspecified</v>
      </c>
      <c r="T137" s="282" t="str" cm="1">
        <f t="array" ref="T137">_xll.FDSB($C137,"CS_EVENT_DESC_N("&amp;$AA$18&amp;",3)")</f>
        <v>Q4 2026 Earnings Release (Projected)</v>
      </c>
      <c r="U137" s="282"/>
      <c r="V137" s="274" cm="1">
        <f t="array" ref="V137">_xll.FDSB($C137,"CS_EVENT_DATEJ_N("&amp;$AA$18&amp;",4)")</f>
        <v>46506</v>
      </c>
      <c r="W137" s="282" t="str" cm="1">
        <f t="array" ref="W137">_xll.FDSB($C137,"CS_EVENT_TIME_N("&amp;$AA$18&amp;",4)")</f>
        <v>Unspecified</v>
      </c>
      <c r="X137" s="282" t="str" cm="1">
        <f t="array" ref="X137">_xll.FDSB($C137,"CS_EVENT_DESC_N("&amp;$AA$18&amp;",4)")</f>
        <v>Q1 2027 Earnings Release (Projected)</v>
      </c>
    </row>
    <row r="138" spans="2:24" x14ac:dyDescent="0.15">
      <c r="B138" s="298">
        <f t="shared" si="3"/>
        <v>123</v>
      </c>
      <c r="C138" s="299" t="str">
        <v>ERIE</v>
      </c>
      <c r="D138" s="300" t="str" cm="1">
        <f t="array" ref="D138">_xll.FDSB($C138,"FG_COMPANY_NAME")</f>
        <v>Erie Indemnity Company Class A</v>
      </c>
      <c r="E138" s="300"/>
      <c r="F138" s="274" cm="1">
        <f t="array" ref="F138">_xll.FDSB($C138,"CS_EVENT_DATEJ_N("&amp;$AA$18&amp;",1)")</f>
        <v>46226</v>
      </c>
      <c r="G138" s="282" t="str" cm="1">
        <f t="array" ref="G138">_xll.FDSB($C138,"CS_EVENT_TIME_N("&amp;$AA$18&amp;",1)")</f>
        <v>Unspecified</v>
      </c>
      <c r="H138" s="282" t="str" cm="1">
        <f t="array" ref="H138">_xll.FDSB($C138,"CS_EVENT_DESC_N("&amp;$AA$18&amp;",1)")</f>
        <v>Q2 2026 Earnings Release (Projected)</v>
      </c>
      <c r="I138" s="282"/>
      <c r="J138" s="274" t="str" cm="1">
        <f t="array" ref="J138">_xll.FDSB($C138,"CS_EVENT_DATEJ_N("&amp;$AB$18&amp;",1)")</f>
        <v/>
      </c>
      <c r="K138" s="282" t="str" cm="1">
        <f t="array" ref="K138">_xll.FDSB($C138,"CS_EVENT_TIME_N("&amp;$AB$18&amp;",1)")</f>
        <v/>
      </c>
      <c r="L138" s="282" t="str" cm="1">
        <f t="array" ref="L138">_xll.FDSB($C138,"CS_EVENT_DESC_N("&amp;$AB$18&amp;",1)")</f>
        <v/>
      </c>
      <c r="M138" s="300"/>
      <c r="N138" s="274" cm="1">
        <f t="array" ref="N138">_xll.FDSB($C138,"CS_EVENT_DATEJ_N("&amp;$AA$18&amp;",2)")</f>
        <v>46317</v>
      </c>
      <c r="O138" s="282" t="str" cm="1">
        <f t="array" ref="O138">_xll.FDSB($C138,"CS_EVENT_TIME_N("&amp;$AA$18&amp;",2)")</f>
        <v>Unspecified</v>
      </c>
      <c r="P138" s="282" t="str" cm="1">
        <f t="array" ref="P138">_xll.FDSB($C138,"CS_EVENT_DESC_N("&amp;$AA$18&amp;",2)")</f>
        <v>Q3 2026 Earnings Release (Projected)</v>
      </c>
      <c r="Q138" s="282"/>
      <c r="R138" s="274" cm="1">
        <f t="array" ref="R138">_xll.FDSB($C138,"CS_EVENT_DATEJ_N("&amp;$AA$18&amp;",3)")</f>
        <v>46447</v>
      </c>
      <c r="S138" s="282" t="str" cm="1">
        <f t="array" ref="S138">_xll.FDSB($C138,"CS_EVENT_TIME_N("&amp;$AA$18&amp;",3)")</f>
        <v>Unspecified</v>
      </c>
      <c r="T138" s="282" t="str" cm="1">
        <f t="array" ref="T138">_xll.FDSB($C138,"CS_EVENT_DESC_N("&amp;$AA$18&amp;",3)")</f>
        <v>Q4 2026 Earnings Release (Projected)</v>
      </c>
      <c r="U138" s="282"/>
      <c r="V138" s="274" cm="1">
        <f t="array" ref="V138">_xll.FDSB($C138,"CS_EVENT_DATEJ_N("&amp;$AA$18&amp;",4)")</f>
        <v>46506</v>
      </c>
      <c r="W138" s="282" t="str" cm="1">
        <f t="array" ref="W138">_xll.FDSB($C138,"CS_EVENT_TIME_N("&amp;$AA$18&amp;",4)")</f>
        <v>Unspecified</v>
      </c>
      <c r="X138" s="282" t="str" cm="1">
        <f t="array" ref="X138">_xll.FDSB($C138,"CS_EVENT_DESC_N("&amp;$AA$18&amp;",4)")</f>
        <v>Q1 2027 Earnings Release (Projected)</v>
      </c>
    </row>
    <row r="139" spans="2:24" x14ac:dyDescent="0.15">
      <c r="B139" s="298">
        <f t="shared" si="3"/>
        <v>124</v>
      </c>
      <c r="C139" s="299" t="str">
        <v>DOV</v>
      </c>
      <c r="D139" s="300" t="str" cm="1">
        <f t="array" ref="D139">_xll.FDSB($C139,"FG_COMPANY_NAME")</f>
        <v>Dover Corporation</v>
      </c>
      <c r="E139" s="300"/>
      <c r="F139" s="274" cm="1">
        <f t="array" ref="F139">_xll.FDSB($C139,"CS_EVENT_DATEJ_N("&amp;$AA$18&amp;",1)")</f>
        <v>46226</v>
      </c>
      <c r="G139" s="282" t="str" cm="1">
        <f t="array" ref="G139">_xll.FDSB($C139,"CS_EVENT_TIME_N("&amp;$AA$18&amp;",1)")</f>
        <v>Unspecified</v>
      </c>
      <c r="H139" s="282" t="str" cm="1">
        <f t="array" ref="H139">_xll.FDSB($C139,"CS_EVENT_DESC_N("&amp;$AA$18&amp;",1)")</f>
        <v>Q2 2026 Earnings Release (Projected)</v>
      </c>
      <c r="I139" s="282"/>
      <c r="J139" s="274" t="str" cm="1">
        <f t="array" ref="J139">_xll.FDSB($C139,"CS_EVENT_DATEJ_N("&amp;$AB$18&amp;",1)")</f>
        <v/>
      </c>
      <c r="K139" s="282" t="str" cm="1">
        <f t="array" ref="K139">_xll.FDSB($C139,"CS_EVENT_TIME_N("&amp;$AB$18&amp;",1)")</f>
        <v/>
      </c>
      <c r="L139" s="282" t="str" cm="1">
        <f t="array" ref="L139">_xll.FDSB($C139,"CS_EVENT_DESC_N("&amp;$AB$18&amp;",1)")</f>
        <v/>
      </c>
      <c r="M139" s="300"/>
      <c r="N139" s="274" cm="1">
        <f t="array" ref="N139">_xll.FDSB($C139,"CS_EVENT_DATEJ_N("&amp;$AA$18&amp;",2)")</f>
        <v>46317</v>
      </c>
      <c r="O139" s="282" t="str" cm="1">
        <f t="array" ref="O139">_xll.FDSB($C139,"CS_EVENT_TIME_N("&amp;$AA$18&amp;",2)")</f>
        <v>Unspecified</v>
      </c>
      <c r="P139" s="282" t="str" cm="1">
        <f t="array" ref="P139">_xll.FDSB($C139,"CS_EVENT_DESC_N("&amp;$AA$18&amp;",2)")</f>
        <v>Q3 2026 Earnings Release (Projected)</v>
      </c>
      <c r="Q139" s="282"/>
      <c r="R139" s="274" cm="1">
        <f t="array" ref="R139">_xll.FDSB($C139,"CS_EVENT_DATEJ_N("&amp;$AA$18&amp;",3)")</f>
        <v>46422</v>
      </c>
      <c r="S139" s="282" t="str" cm="1">
        <f t="array" ref="S139">_xll.FDSB($C139,"CS_EVENT_TIME_N("&amp;$AA$18&amp;",3)")</f>
        <v>Unspecified</v>
      </c>
      <c r="T139" s="282" t="str" cm="1">
        <f t="array" ref="T139">_xll.FDSB($C139,"CS_EVENT_DESC_N("&amp;$AA$18&amp;",3)")</f>
        <v>Q4 2026 Earnings Release (Projected)</v>
      </c>
      <c r="U139" s="282"/>
      <c r="V139" s="274" cm="1">
        <f t="array" ref="V139">_xll.FDSB($C139,"CS_EVENT_DATEJ_N("&amp;$AA$18&amp;",4)")</f>
        <v>46506</v>
      </c>
      <c r="W139" s="282" t="str" cm="1">
        <f t="array" ref="W139">_xll.FDSB($C139,"CS_EVENT_TIME_N("&amp;$AA$18&amp;",4)")</f>
        <v>Unspecified</v>
      </c>
      <c r="X139" s="282" t="str" cm="1">
        <f t="array" ref="X139">_xll.FDSB($C139,"CS_EVENT_DESC_N("&amp;$AA$18&amp;",4)")</f>
        <v>Q1 2027 Earnings Release (Projected)</v>
      </c>
    </row>
    <row r="140" spans="2:24" x14ac:dyDescent="0.15">
      <c r="B140" s="298">
        <f t="shared" si="3"/>
        <v>125</v>
      </c>
      <c r="C140" s="299" t="str">
        <v>DTE</v>
      </c>
      <c r="D140" s="300" t="str" cm="1">
        <f t="array" ref="D140">_xll.FDSB($C140,"FG_COMPANY_NAME")</f>
        <v>DTE Energy Company</v>
      </c>
      <c r="E140" s="300"/>
      <c r="F140" s="274" cm="1">
        <f t="array" ref="F140">_xll.FDSB($C140,"CS_EVENT_DATEJ_N("&amp;$AA$18&amp;",1)")</f>
        <v>46226</v>
      </c>
      <c r="G140" s="282" t="str" cm="1">
        <f t="array" ref="G140">_xll.FDSB($C140,"CS_EVENT_TIME_N("&amp;$AA$18&amp;",1)")</f>
        <v>Unspecified</v>
      </c>
      <c r="H140" s="282" t="str" cm="1">
        <f t="array" ref="H140">_xll.FDSB($C140,"CS_EVENT_DESC_N("&amp;$AA$18&amp;",1)")</f>
        <v>Q2 2026 Earnings Release (Projected)</v>
      </c>
      <c r="I140" s="282"/>
      <c r="J140" s="274" t="str" cm="1">
        <f t="array" ref="J140">_xll.FDSB($C140,"CS_EVENT_DATEJ_N("&amp;$AB$18&amp;",1)")</f>
        <v/>
      </c>
      <c r="K140" s="282" t="str" cm="1">
        <f t="array" ref="K140">_xll.FDSB($C140,"CS_EVENT_TIME_N("&amp;$AB$18&amp;",1)")</f>
        <v/>
      </c>
      <c r="L140" s="282" t="str" cm="1">
        <f t="array" ref="L140">_xll.FDSB($C140,"CS_EVENT_DESC_N("&amp;$AB$18&amp;",1)")</f>
        <v/>
      </c>
      <c r="M140" s="300"/>
      <c r="N140" s="274" cm="1">
        <f t="array" ref="N140">_xll.FDSB($C140,"CS_EVENT_DATEJ_N("&amp;$AA$18&amp;",2)")</f>
        <v>46317</v>
      </c>
      <c r="O140" s="282" t="str" cm="1">
        <f t="array" ref="O140">_xll.FDSB($C140,"CS_EVENT_TIME_N("&amp;$AA$18&amp;",2)")</f>
        <v>Unspecified</v>
      </c>
      <c r="P140" s="282" t="str" cm="1">
        <f t="array" ref="P140">_xll.FDSB($C140,"CS_EVENT_DESC_N("&amp;$AA$18&amp;",2)")</f>
        <v>Q3 2026 Earnings Release (Projected)</v>
      </c>
      <c r="Q140" s="282"/>
      <c r="R140" s="274" cm="1">
        <f t="array" ref="R140">_xll.FDSB($C140,"CS_EVENT_DATEJ_N("&amp;$AA$18&amp;",3)")</f>
        <v>46430</v>
      </c>
      <c r="S140" s="282" t="str" cm="1">
        <f t="array" ref="S140">_xll.FDSB($C140,"CS_EVENT_TIME_N("&amp;$AA$18&amp;",3)")</f>
        <v>Unspecified</v>
      </c>
      <c r="T140" s="282" t="str" cm="1">
        <f t="array" ref="T140">_xll.FDSB($C140,"CS_EVENT_DESC_N("&amp;$AA$18&amp;",3)")</f>
        <v>Q4 2026 Earnings Release (Projected)</v>
      </c>
      <c r="U140" s="282"/>
      <c r="V140" s="274" cm="1">
        <f t="array" ref="V140">_xll.FDSB($C140,"CS_EVENT_DATEJ_N("&amp;$AA$18&amp;",4)")</f>
        <v>46506</v>
      </c>
      <c r="W140" s="282" t="str" cm="1">
        <f t="array" ref="W140">_xll.FDSB($C140,"CS_EVENT_TIME_N("&amp;$AA$18&amp;",4)")</f>
        <v>Unspecified</v>
      </c>
      <c r="X140" s="282" t="str" cm="1">
        <f t="array" ref="X140">_xll.FDSB($C140,"CS_EVENT_DESC_N("&amp;$AA$18&amp;",4)")</f>
        <v>Q1 2027 Earnings Release (Projected)</v>
      </c>
    </row>
    <row r="141" spans="2:24" x14ac:dyDescent="0.15">
      <c r="B141" s="298">
        <f t="shared" si="3"/>
        <v>126</v>
      </c>
      <c r="C141" s="299" t="str">
        <v>HIG</v>
      </c>
      <c r="D141" s="300" t="str" cm="1">
        <f t="array" ref="D141">_xll.FDSB($C141,"FG_COMPANY_NAME")</f>
        <v>Hartford Insurance Group, Inc.</v>
      </c>
      <c r="E141" s="300"/>
      <c r="F141" s="274" cm="1">
        <f t="array" ref="F141">_xll.FDSB($C141,"CS_EVENT_DATEJ_N("&amp;$AA$18&amp;",1)")</f>
        <v>46226</v>
      </c>
      <c r="G141" s="282" t="str" cm="1">
        <f t="array" ref="G141">_xll.FDSB($C141,"CS_EVENT_TIME_N("&amp;$AA$18&amp;",1)")</f>
        <v>Unspecified</v>
      </c>
      <c r="H141" s="282" t="str" cm="1">
        <f t="array" ref="H141">_xll.FDSB($C141,"CS_EVENT_DESC_N("&amp;$AA$18&amp;",1)")</f>
        <v>Q2 2026 Earnings Release (Projected)</v>
      </c>
      <c r="I141" s="282"/>
      <c r="J141" s="274" t="str" cm="1">
        <f t="array" ref="J141">_xll.FDSB($C141,"CS_EVENT_DATEJ_N("&amp;$AB$18&amp;",1)")</f>
        <v/>
      </c>
      <c r="K141" s="282" t="str" cm="1">
        <f t="array" ref="K141">_xll.FDSB($C141,"CS_EVENT_TIME_N("&amp;$AB$18&amp;",1)")</f>
        <v/>
      </c>
      <c r="L141" s="282" t="str" cm="1">
        <f t="array" ref="L141">_xll.FDSB($C141,"CS_EVENT_DESC_N("&amp;$AB$18&amp;",1)")</f>
        <v/>
      </c>
      <c r="M141" s="300"/>
      <c r="N141" s="274" cm="1">
        <f t="array" ref="N141">_xll.FDSB($C141,"CS_EVENT_DATEJ_N("&amp;$AA$18&amp;",2)")</f>
        <v>46317</v>
      </c>
      <c r="O141" s="282" t="str" cm="1">
        <f t="array" ref="O141">_xll.FDSB($C141,"CS_EVENT_TIME_N("&amp;$AA$18&amp;",2)")</f>
        <v>Unspecified</v>
      </c>
      <c r="P141" s="282" t="str" cm="1">
        <f t="array" ref="P141">_xll.FDSB($C141,"CS_EVENT_DESC_N("&amp;$AA$18&amp;",2)")</f>
        <v>Q3 2026 Earnings Release (Projected)</v>
      </c>
      <c r="Q141" s="282"/>
      <c r="R141" s="274" cm="1">
        <f t="array" ref="R141">_xll.FDSB($C141,"CS_EVENT_DATEJ_N("&amp;$AA$18&amp;",3)")</f>
        <v>46422</v>
      </c>
      <c r="S141" s="282" t="str" cm="1">
        <f t="array" ref="S141">_xll.FDSB($C141,"CS_EVENT_TIME_N("&amp;$AA$18&amp;",3)")</f>
        <v>Unspecified</v>
      </c>
      <c r="T141" s="282" t="str" cm="1">
        <f t="array" ref="T141">_xll.FDSB($C141,"CS_EVENT_DESC_N("&amp;$AA$18&amp;",3)")</f>
        <v>Q4 2026 Earnings Release (Projected)</v>
      </c>
      <c r="U141" s="282"/>
      <c r="V141" s="274" cm="1">
        <f t="array" ref="V141">_xll.FDSB($C141,"CS_EVENT_DATEJ_N("&amp;$AA$18&amp;",4)")</f>
        <v>46506</v>
      </c>
      <c r="W141" s="282" t="str" cm="1">
        <f t="array" ref="W141">_xll.FDSB($C141,"CS_EVENT_TIME_N("&amp;$AA$18&amp;",4)")</f>
        <v>Unspecified</v>
      </c>
      <c r="X141" s="282" t="str" cm="1">
        <f t="array" ref="X141">_xll.FDSB($C141,"CS_EVENT_DESC_N("&amp;$AA$18&amp;",4)")</f>
        <v>Q1 2027 Earnings Release (Projected)</v>
      </c>
    </row>
    <row r="142" spans="2:24" x14ac:dyDescent="0.15">
      <c r="B142" s="298">
        <f t="shared" si="3"/>
        <v>127</v>
      </c>
      <c r="C142" s="299" t="str">
        <v>DECK</v>
      </c>
      <c r="D142" s="300" t="str" cm="1">
        <f t="array" ref="D142">_xll.FDSB($C142,"FG_COMPANY_NAME")</f>
        <v>Deckers Outdoor Corporation</v>
      </c>
      <c r="E142" s="300"/>
      <c r="F142" s="274" cm="1">
        <f t="array" ref="F142">_xll.FDSB($C142,"CS_EVENT_DATEJ_N("&amp;$AA$18&amp;",1)")</f>
        <v>46226</v>
      </c>
      <c r="G142" s="282" t="str" cm="1">
        <f t="array" ref="G142">_xll.FDSB($C142,"CS_EVENT_TIME_N("&amp;$AA$18&amp;",1)")</f>
        <v>Unspecified</v>
      </c>
      <c r="H142" s="282" t="str" cm="1">
        <f t="array" ref="H142">_xll.FDSB($C142,"CS_EVENT_DESC_N("&amp;$AA$18&amp;",1)")</f>
        <v>Q1 2027 Earnings Release (Projected)</v>
      </c>
      <c r="I142" s="282"/>
      <c r="J142" s="274" t="str" cm="1">
        <f t="array" ref="J142">_xll.FDSB($C142,"CS_EVENT_DATEJ_N("&amp;$AB$18&amp;",1)")</f>
        <v/>
      </c>
      <c r="K142" s="282" t="str" cm="1">
        <f t="array" ref="K142">_xll.FDSB($C142,"CS_EVENT_TIME_N("&amp;$AB$18&amp;",1)")</f>
        <v/>
      </c>
      <c r="L142" s="282" t="str" cm="1">
        <f t="array" ref="L142">_xll.FDSB($C142,"CS_EVENT_DESC_N("&amp;$AB$18&amp;",1)")</f>
        <v/>
      </c>
      <c r="M142" s="300"/>
      <c r="N142" s="274" cm="1">
        <f t="array" ref="N142">_xll.FDSB($C142,"CS_EVENT_DATEJ_N("&amp;$AA$18&amp;",2)")</f>
        <v>46317</v>
      </c>
      <c r="O142" s="282" t="str" cm="1">
        <f t="array" ref="O142">_xll.FDSB($C142,"CS_EVENT_TIME_N("&amp;$AA$18&amp;",2)")</f>
        <v>Unspecified</v>
      </c>
      <c r="P142" s="282" t="str" cm="1">
        <f t="array" ref="P142">_xll.FDSB($C142,"CS_EVENT_DESC_N("&amp;$AA$18&amp;",2)")</f>
        <v>Q2 2027 Earnings Release (Projected)</v>
      </c>
      <c r="Q142" s="282"/>
      <c r="R142" s="274" cm="1">
        <f t="array" ref="R142">_xll.FDSB($C142,"CS_EVENT_DATEJ_N("&amp;$AA$18&amp;",3)")</f>
        <v>46422</v>
      </c>
      <c r="S142" s="282" t="str" cm="1">
        <f t="array" ref="S142">_xll.FDSB($C142,"CS_EVENT_TIME_N("&amp;$AA$18&amp;",3)")</f>
        <v>Unspecified</v>
      </c>
      <c r="T142" s="282" t="str" cm="1">
        <f t="array" ref="T142">_xll.FDSB($C142,"CS_EVENT_DESC_N("&amp;$AA$18&amp;",3)")</f>
        <v>Q3 2027 Earnings Release (Projected)</v>
      </c>
      <c r="U142" s="282"/>
      <c r="V142" s="274" cm="1">
        <f t="array" ref="V142">_xll.FDSB($C142,"CS_EVENT_DATEJ_N("&amp;$AA$18&amp;",4)")</f>
        <v>46534</v>
      </c>
      <c r="W142" s="282" t="str" cm="1">
        <f t="array" ref="W142">_xll.FDSB($C142,"CS_EVENT_TIME_N("&amp;$AA$18&amp;",4)")</f>
        <v>Unspecified</v>
      </c>
      <c r="X142" s="282" t="str" cm="1">
        <f t="array" ref="X142">_xll.FDSB($C142,"CS_EVENT_DESC_N("&amp;$AA$18&amp;",4)")</f>
        <v>Q4 2027 Earnings Release (Projected)</v>
      </c>
    </row>
    <row r="143" spans="2:24" x14ac:dyDescent="0.15">
      <c r="B143" s="298">
        <f t="shared" si="3"/>
        <v>128</v>
      </c>
      <c r="C143" s="299" t="str">
        <v>ESS</v>
      </c>
      <c r="D143" s="300" t="str" cm="1">
        <f t="array" ref="D143">_xll.FDSB($C143,"FG_COMPANY_NAME")</f>
        <v>Essex Property Trust, Inc.</v>
      </c>
      <c r="E143" s="300"/>
      <c r="F143" s="274" cm="1">
        <f t="array" ref="F143">_xll.FDSB($C143,"CS_EVENT_DATEJ_N("&amp;$AA$18&amp;",1)")</f>
        <v>46226</v>
      </c>
      <c r="G143" s="282" t="str" cm="1">
        <f t="array" ref="G143">_xll.FDSB($C143,"CS_EVENT_TIME_N("&amp;$AA$18&amp;",1)")</f>
        <v>Unspecified</v>
      </c>
      <c r="H143" s="282" t="str" cm="1">
        <f t="array" ref="H143">_xll.FDSB($C143,"CS_EVENT_DESC_N("&amp;$AA$18&amp;",1)")</f>
        <v>Q2 2026 Earnings Release (Projected)</v>
      </c>
      <c r="I143" s="282"/>
      <c r="J143" s="274" t="str" cm="1">
        <f t="array" ref="J143">_xll.FDSB($C143,"CS_EVENT_DATEJ_N("&amp;$AB$18&amp;",1)")</f>
        <v/>
      </c>
      <c r="K143" s="282" t="str" cm="1">
        <f t="array" ref="K143">_xll.FDSB($C143,"CS_EVENT_TIME_N("&amp;$AB$18&amp;",1)")</f>
        <v/>
      </c>
      <c r="L143" s="282" t="str" cm="1">
        <f t="array" ref="L143">_xll.FDSB($C143,"CS_EVENT_DESC_N("&amp;$AB$18&amp;",1)")</f>
        <v/>
      </c>
      <c r="M143" s="300"/>
      <c r="N143" s="274" cm="1">
        <f t="array" ref="N143">_xll.FDSB($C143,"CS_EVENT_DATEJ_N("&amp;$AA$18&amp;",2)")</f>
        <v>46323</v>
      </c>
      <c r="O143" s="282" t="str" cm="1">
        <f t="array" ref="O143">_xll.FDSB($C143,"CS_EVENT_TIME_N("&amp;$AA$18&amp;",2)")</f>
        <v>Unspecified</v>
      </c>
      <c r="P143" s="282" t="str" cm="1">
        <f t="array" ref="P143">_xll.FDSB($C143,"CS_EVENT_DESC_N("&amp;$AA$18&amp;",2)")</f>
        <v>Q3 2026 Earnings Release (Projected)</v>
      </c>
      <c r="Q143" s="282"/>
      <c r="R143" s="274" cm="1">
        <f t="array" ref="R143">_xll.FDSB($C143,"CS_EVENT_DATEJ_N("&amp;$AA$18&amp;",3)")</f>
        <v>46427</v>
      </c>
      <c r="S143" s="282" t="str" cm="1">
        <f t="array" ref="S143">_xll.FDSB($C143,"CS_EVENT_TIME_N("&amp;$AA$18&amp;",3)")</f>
        <v>Unspecified</v>
      </c>
      <c r="T143" s="282" t="str" cm="1">
        <f t="array" ref="T143">_xll.FDSB($C143,"CS_EVENT_DESC_N("&amp;$AA$18&amp;",3)")</f>
        <v>Q4 2026 Earnings Release (Projected)</v>
      </c>
      <c r="U143" s="282"/>
      <c r="V143" s="274" cm="1">
        <f t="array" ref="V143">_xll.FDSB($C143,"CS_EVENT_DATEJ_N("&amp;$AA$18&amp;",4)")</f>
        <v>46504</v>
      </c>
      <c r="W143" s="282" t="str" cm="1">
        <f t="array" ref="W143">_xll.FDSB($C143,"CS_EVENT_TIME_N("&amp;$AA$18&amp;",4)")</f>
        <v>Unspecified</v>
      </c>
      <c r="X143" s="282" t="str" cm="1">
        <f t="array" ref="X143">_xll.FDSB($C143,"CS_EVENT_DESC_N("&amp;$AA$18&amp;",4)")</f>
        <v>Q1 2027 Earnings Release (Projected)</v>
      </c>
    </row>
    <row r="144" spans="2:24" x14ac:dyDescent="0.15">
      <c r="B144" s="298">
        <f t="shared" si="3"/>
        <v>129</v>
      </c>
      <c r="C144" s="299" t="str">
        <v>MTD</v>
      </c>
      <c r="D144" s="300" t="str" cm="1">
        <f t="array" ref="D144">_xll.FDSB($C144,"FG_COMPANY_NAME")</f>
        <v>Mettler-Toledo International Inc.</v>
      </c>
      <c r="E144" s="300"/>
      <c r="F144" s="274" cm="1">
        <f t="array" ref="F144">_xll.FDSB($C144,"CS_EVENT_DATEJ_N("&amp;$AA$18&amp;",1)")</f>
        <v>46226</v>
      </c>
      <c r="G144" s="282" t="str" cm="1">
        <f t="array" ref="G144">_xll.FDSB($C144,"CS_EVENT_TIME_N("&amp;$AA$18&amp;",1)")</f>
        <v>Unspecified</v>
      </c>
      <c r="H144" s="282" t="str" cm="1">
        <f t="array" ref="H144">_xll.FDSB($C144,"CS_EVENT_DESC_N("&amp;$AA$18&amp;",1)")</f>
        <v>Q2 2026 Earnings Release (Projected)</v>
      </c>
      <c r="I144" s="282"/>
      <c r="J144" s="274" t="str" cm="1">
        <f t="array" ref="J144">_xll.FDSB($C144,"CS_EVENT_DATEJ_N("&amp;$AB$18&amp;",1)")</f>
        <v/>
      </c>
      <c r="K144" s="282" t="str" cm="1">
        <f t="array" ref="K144">_xll.FDSB($C144,"CS_EVENT_TIME_N("&amp;$AB$18&amp;",1)")</f>
        <v/>
      </c>
      <c r="L144" s="282" t="str" cm="1">
        <f t="array" ref="L144">_xll.FDSB($C144,"CS_EVENT_DESC_N("&amp;$AB$18&amp;",1)")</f>
        <v/>
      </c>
      <c r="M144" s="300"/>
      <c r="N144" s="274" cm="1">
        <f t="array" ref="N144">_xll.FDSB($C144,"CS_EVENT_DATEJ_N("&amp;$AA$18&amp;",2)")</f>
        <v>46331</v>
      </c>
      <c r="O144" s="282" t="str" cm="1">
        <f t="array" ref="O144">_xll.FDSB($C144,"CS_EVENT_TIME_N("&amp;$AA$18&amp;",2)")</f>
        <v>Unspecified</v>
      </c>
      <c r="P144" s="282" t="str" cm="1">
        <f t="array" ref="P144">_xll.FDSB($C144,"CS_EVENT_DESC_N("&amp;$AA$18&amp;",2)")</f>
        <v>Q3 2026 Earnings Release (Projected)</v>
      </c>
      <c r="Q144" s="282"/>
      <c r="R144" s="274" cm="1">
        <f t="array" ref="R144">_xll.FDSB($C144,"CS_EVENT_DATEJ_N("&amp;$AA$18&amp;",3)")</f>
        <v>46429</v>
      </c>
      <c r="S144" s="282" t="str" cm="1">
        <f t="array" ref="S144">_xll.FDSB($C144,"CS_EVENT_TIME_N("&amp;$AA$18&amp;",3)")</f>
        <v>Unspecified</v>
      </c>
      <c r="T144" s="282" t="str" cm="1">
        <f t="array" ref="T144">_xll.FDSB($C144,"CS_EVENT_DESC_N("&amp;$AA$18&amp;",3)")</f>
        <v>Q4 2026 Earnings Release (Projected)</v>
      </c>
      <c r="U144" s="282"/>
      <c r="V144" s="274" cm="1">
        <f t="array" ref="V144">_xll.FDSB($C144,"CS_EVENT_DATEJ_N("&amp;$AA$18&amp;",4)")</f>
        <v>46513</v>
      </c>
      <c r="W144" s="282" t="str" cm="1">
        <f t="array" ref="W144">_xll.FDSB($C144,"CS_EVENT_TIME_N("&amp;$AA$18&amp;",4)")</f>
        <v>Unspecified</v>
      </c>
      <c r="X144" s="282" t="str" cm="1">
        <f t="array" ref="X144">_xll.FDSB($C144,"CS_EVENT_DESC_N("&amp;$AA$18&amp;",4)")</f>
        <v>Q1 2027 Earnings Release (Projected)</v>
      </c>
    </row>
    <row r="145" spans="2:24" x14ac:dyDescent="0.15">
      <c r="B145" s="298">
        <f t="shared" si="3"/>
        <v>130</v>
      </c>
      <c r="C145" s="299" t="str">
        <v>HBAN</v>
      </c>
      <c r="D145" s="300" t="str" cm="1">
        <f t="array" ref="D145">_xll.FDSB($C145,"FG_COMPANY_NAME")</f>
        <v>Huntington Bancshares Incorporated</v>
      </c>
      <c r="E145" s="300"/>
      <c r="F145" s="274" cm="1">
        <f t="array" ref="F145">_xll.FDSB($C145,"CS_EVENT_DATEJ_N("&amp;$AA$18&amp;",1)")</f>
        <v>46226</v>
      </c>
      <c r="G145" s="282" t="str" cm="1">
        <f t="array" ref="G145">_xll.FDSB($C145,"CS_EVENT_TIME_N("&amp;$AA$18&amp;",1)")</f>
        <v>Before Market</v>
      </c>
      <c r="H145" s="282" t="str" cm="1">
        <f t="array" ref="H145">_xll.FDSB($C145,"CS_EVENT_DESC_N("&amp;$AA$18&amp;",1)")</f>
        <v>Q2 2026 Earnings Release</v>
      </c>
      <c r="I145" s="282"/>
      <c r="J145" s="274" cm="1">
        <f t="array" ref="J145">_xll.FDSB($C145,"CS_EVENT_DATEJ_N("&amp;$AB$18&amp;",1)")</f>
        <v>46226</v>
      </c>
      <c r="K145" s="282" t="str" cm="1">
        <f t="array" ref="K145">_xll.FDSB($C145,"CS_EVENT_TIME_N("&amp;$AB$18&amp;",1)")</f>
        <v>9:00 AM</v>
      </c>
      <c r="L145" s="282" t="str" cm="1">
        <f t="array" ref="L145">_xll.FDSB($C145,"CS_EVENT_DESC_N("&amp;$AB$18&amp;",1)")</f>
        <v>Q2 2026 Earnings Call</v>
      </c>
      <c r="M145" s="300"/>
      <c r="N145" s="274" cm="1">
        <f t="array" ref="N145">_xll.FDSB($C145,"CS_EVENT_DATEJ_N("&amp;$AA$18&amp;",2)")</f>
        <v>46317</v>
      </c>
      <c r="O145" s="282" t="str" cm="1">
        <f t="array" ref="O145">_xll.FDSB($C145,"CS_EVENT_TIME_N("&amp;$AA$18&amp;",2)")</f>
        <v>Before Market</v>
      </c>
      <c r="P145" s="282" t="str" cm="1">
        <f t="array" ref="P145">_xll.FDSB($C145,"CS_EVENT_DESC_N("&amp;$AA$18&amp;",2)")</f>
        <v>Q3 2026 Earnings Release</v>
      </c>
      <c r="Q145" s="282"/>
      <c r="R145" s="274" cm="1">
        <f t="array" ref="R145">_xll.FDSB($C145,"CS_EVENT_DATEJ_N("&amp;$AA$18&amp;",3)")</f>
        <v>46415</v>
      </c>
      <c r="S145" s="282" t="str" cm="1">
        <f t="array" ref="S145">_xll.FDSB($C145,"CS_EVENT_TIME_N("&amp;$AA$18&amp;",3)")</f>
        <v>Unspecified</v>
      </c>
      <c r="T145" s="282" t="str" cm="1">
        <f t="array" ref="T145">_xll.FDSB($C145,"CS_EVENT_DESC_N("&amp;$AA$18&amp;",3)")</f>
        <v>Q4 2026 Earnings Release (Projected)</v>
      </c>
      <c r="U145" s="282"/>
      <c r="V145" s="274" cm="1">
        <f t="array" ref="V145">_xll.FDSB($C145,"CS_EVENT_DATEJ_N("&amp;$AA$18&amp;",4)")</f>
        <v>46506</v>
      </c>
      <c r="W145" s="282" t="str" cm="1">
        <f t="array" ref="W145">_xll.FDSB($C145,"CS_EVENT_TIME_N("&amp;$AA$18&amp;",4)")</f>
        <v>Unspecified</v>
      </c>
      <c r="X145" s="282" t="str" cm="1">
        <f t="array" ref="X145">_xll.FDSB($C145,"CS_EVENT_DESC_N("&amp;$AA$18&amp;",4)")</f>
        <v>Q1 2027 Earnings Release (Projected)</v>
      </c>
    </row>
    <row r="146" spans="2:24" x14ac:dyDescent="0.15">
      <c r="B146" s="298">
        <f t="shared" ref="B146:B209" si="4">B145+1</f>
        <v>131</v>
      </c>
      <c r="C146" s="299" t="str">
        <v>EME</v>
      </c>
      <c r="D146" s="300" t="str" cm="1">
        <f t="array" ref="D146">_xll.FDSB($C146,"FG_COMPANY_NAME")</f>
        <v>EMCOR Group, Inc.</v>
      </c>
      <c r="E146" s="300"/>
      <c r="F146" s="274" cm="1">
        <f t="array" ref="F146">_xll.FDSB($C146,"CS_EVENT_DATEJ_N("&amp;$AA$18&amp;",1)")</f>
        <v>46226</v>
      </c>
      <c r="G146" s="282" t="str" cm="1">
        <f t="array" ref="G146">_xll.FDSB($C146,"CS_EVENT_TIME_N("&amp;$AA$18&amp;",1)")</f>
        <v>Unspecified</v>
      </c>
      <c r="H146" s="282" t="str" cm="1">
        <f t="array" ref="H146">_xll.FDSB($C146,"CS_EVENT_DESC_N("&amp;$AA$18&amp;",1)")</f>
        <v>Q2 2026 Earnings Release (Projected)</v>
      </c>
      <c r="I146" s="282"/>
      <c r="J146" s="274" t="str" cm="1">
        <f t="array" ref="J146">_xll.FDSB($C146,"CS_EVENT_DATEJ_N("&amp;$AB$18&amp;",1)")</f>
        <v/>
      </c>
      <c r="K146" s="282" t="str" cm="1">
        <f t="array" ref="K146">_xll.FDSB($C146,"CS_EVENT_TIME_N("&amp;$AB$18&amp;",1)")</f>
        <v/>
      </c>
      <c r="L146" s="282" t="str" cm="1">
        <f t="array" ref="L146">_xll.FDSB($C146,"CS_EVENT_DESC_N("&amp;$AB$18&amp;",1)")</f>
        <v/>
      </c>
      <c r="M146" s="300"/>
      <c r="N146" s="274" cm="1">
        <f t="array" ref="N146">_xll.FDSB($C146,"CS_EVENT_DATEJ_N("&amp;$AA$18&amp;",2)")</f>
        <v>46317</v>
      </c>
      <c r="O146" s="282" t="str" cm="1">
        <f t="array" ref="O146">_xll.FDSB($C146,"CS_EVENT_TIME_N("&amp;$AA$18&amp;",2)")</f>
        <v>Unspecified</v>
      </c>
      <c r="P146" s="282" t="str" cm="1">
        <f t="array" ref="P146">_xll.FDSB($C146,"CS_EVENT_DESC_N("&amp;$AA$18&amp;",2)")</f>
        <v>Q3 2026 Earnings Release (Projected)</v>
      </c>
      <c r="Q146" s="282"/>
      <c r="R146" s="274" cm="1">
        <f t="array" ref="R146">_xll.FDSB($C146,"CS_EVENT_DATEJ_N("&amp;$AA$18&amp;",3)")</f>
        <v>46443</v>
      </c>
      <c r="S146" s="282" t="str" cm="1">
        <f t="array" ref="S146">_xll.FDSB($C146,"CS_EVENT_TIME_N("&amp;$AA$18&amp;",3)")</f>
        <v>Unspecified</v>
      </c>
      <c r="T146" s="282" t="str" cm="1">
        <f t="array" ref="T146">_xll.FDSB($C146,"CS_EVENT_DESC_N("&amp;$AA$18&amp;",3)")</f>
        <v>Q4 2026 Earnings Release (Projected)</v>
      </c>
      <c r="U146" s="282"/>
      <c r="V146" s="274" cm="1">
        <f t="array" ref="V146">_xll.FDSB($C146,"CS_EVENT_DATEJ_N("&amp;$AA$18&amp;",4)")</f>
        <v>46506</v>
      </c>
      <c r="W146" s="282" t="str" cm="1">
        <f t="array" ref="W146">_xll.FDSB($C146,"CS_EVENT_TIME_N("&amp;$AA$18&amp;",4)")</f>
        <v>Unspecified</v>
      </c>
      <c r="X146" s="282" t="str" cm="1">
        <f t="array" ref="X146">_xll.FDSB($C146,"CS_EVENT_DESC_N("&amp;$AA$18&amp;",4)")</f>
        <v>Q1 2027 Earnings Release (Projected)</v>
      </c>
    </row>
    <row r="147" spans="2:24" x14ac:dyDescent="0.15">
      <c r="B147" s="298">
        <f t="shared" si="4"/>
        <v>132</v>
      </c>
      <c r="C147" s="299" t="str">
        <v>MAS</v>
      </c>
      <c r="D147" s="300" t="str" cm="1">
        <f t="array" ref="D147">_xll.FDSB($C147,"FG_COMPANY_NAME")</f>
        <v>Masco Corporation</v>
      </c>
      <c r="E147" s="300"/>
      <c r="F147" s="274" cm="1">
        <f t="array" ref="F147">_xll.FDSB($C147,"CS_EVENT_DATEJ_N("&amp;$AA$18&amp;",1)")</f>
        <v>46226</v>
      </c>
      <c r="G147" s="282" t="str" cm="1">
        <f t="array" ref="G147">_xll.FDSB($C147,"CS_EVENT_TIME_N("&amp;$AA$18&amp;",1)")</f>
        <v>Unspecified</v>
      </c>
      <c r="H147" s="282" t="str" cm="1">
        <f t="array" ref="H147">_xll.FDSB($C147,"CS_EVENT_DESC_N("&amp;$AA$18&amp;",1)")</f>
        <v>Q2 2026 Earnings Release (Projected)</v>
      </c>
      <c r="I147" s="282"/>
      <c r="J147" s="274" t="str" cm="1">
        <f t="array" ref="J147">_xll.FDSB($C147,"CS_EVENT_DATEJ_N("&amp;$AB$18&amp;",1)")</f>
        <v/>
      </c>
      <c r="K147" s="282" t="str" cm="1">
        <f t="array" ref="K147">_xll.FDSB($C147,"CS_EVENT_TIME_N("&amp;$AB$18&amp;",1)")</f>
        <v/>
      </c>
      <c r="L147" s="282" t="str" cm="1">
        <f t="array" ref="L147">_xll.FDSB($C147,"CS_EVENT_DESC_N("&amp;$AB$18&amp;",1)")</f>
        <v/>
      </c>
      <c r="M147" s="300"/>
      <c r="N147" s="274" cm="1">
        <f t="array" ref="N147">_xll.FDSB($C147,"CS_EVENT_DATEJ_N("&amp;$AA$18&amp;",2)")</f>
        <v>46323</v>
      </c>
      <c r="O147" s="282" t="str" cm="1">
        <f t="array" ref="O147">_xll.FDSB($C147,"CS_EVENT_TIME_N("&amp;$AA$18&amp;",2)")</f>
        <v>Unspecified</v>
      </c>
      <c r="P147" s="282" t="str" cm="1">
        <f t="array" ref="P147">_xll.FDSB($C147,"CS_EVENT_DESC_N("&amp;$AA$18&amp;",2)")</f>
        <v>Q3 2026 Earnings Release (Projected)</v>
      </c>
      <c r="Q147" s="282"/>
      <c r="R147" s="274" cm="1">
        <f t="array" ref="R147">_xll.FDSB($C147,"CS_EVENT_DATEJ_N("&amp;$AA$18&amp;",3)")</f>
        <v>46427</v>
      </c>
      <c r="S147" s="282" t="str" cm="1">
        <f t="array" ref="S147">_xll.FDSB($C147,"CS_EVENT_TIME_N("&amp;$AA$18&amp;",3)")</f>
        <v>Unspecified</v>
      </c>
      <c r="T147" s="282" t="str" cm="1">
        <f t="array" ref="T147">_xll.FDSB($C147,"CS_EVENT_DESC_N("&amp;$AA$18&amp;",3)")</f>
        <v>Q4 2026 Earnings Release (Projected)</v>
      </c>
      <c r="U147" s="282"/>
      <c r="V147" s="274" cm="1">
        <f t="array" ref="V147">_xll.FDSB($C147,"CS_EVENT_DATEJ_N("&amp;$AA$18&amp;",4)")</f>
        <v>46505</v>
      </c>
      <c r="W147" s="282" t="str" cm="1">
        <f t="array" ref="W147">_xll.FDSB($C147,"CS_EVENT_TIME_N("&amp;$AA$18&amp;",4)")</f>
        <v>Unspecified</v>
      </c>
      <c r="X147" s="282" t="str" cm="1">
        <f t="array" ref="X147">_xll.FDSB($C147,"CS_EVENT_DESC_N("&amp;$AA$18&amp;",4)")</f>
        <v>Q1 2027 Earnings Release (Projected)</v>
      </c>
    </row>
    <row r="148" spans="2:24" x14ac:dyDescent="0.15">
      <c r="B148" s="298">
        <f t="shared" si="4"/>
        <v>133</v>
      </c>
      <c r="C148" s="299" t="str">
        <v>KLAC</v>
      </c>
      <c r="D148" s="300" t="str" cm="1">
        <f t="array" ref="D148">_xll.FDSB($C148,"FG_COMPANY_NAME")</f>
        <v>KLA Corporation</v>
      </c>
      <c r="E148" s="300"/>
      <c r="F148" s="274" cm="1">
        <f t="array" ref="F148">_xll.FDSB($C148,"CS_EVENT_DATEJ_N("&amp;$AA$18&amp;",1)")</f>
        <v>46226</v>
      </c>
      <c r="G148" s="282" t="str" cm="1">
        <f t="array" ref="G148">_xll.FDSB($C148,"CS_EVENT_TIME_N("&amp;$AA$18&amp;",1)")</f>
        <v>Unspecified</v>
      </c>
      <c r="H148" s="282" t="str" cm="1">
        <f t="array" ref="H148">_xll.FDSB($C148,"CS_EVENT_DESC_N("&amp;$AA$18&amp;",1)")</f>
        <v>Q4 2026 Earnings Release (Projected)</v>
      </c>
      <c r="I148" s="282"/>
      <c r="J148" s="274" t="str" cm="1">
        <f t="array" ref="J148">_xll.FDSB($C148,"CS_EVENT_DATEJ_N("&amp;$AB$18&amp;",1)")</f>
        <v/>
      </c>
      <c r="K148" s="282" t="str" cm="1">
        <f t="array" ref="K148">_xll.FDSB($C148,"CS_EVENT_TIME_N("&amp;$AB$18&amp;",1)")</f>
        <v/>
      </c>
      <c r="L148" s="282" t="str" cm="1">
        <f t="array" ref="L148">_xll.FDSB($C148,"CS_EVENT_DESC_N("&amp;$AB$18&amp;",1)")</f>
        <v/>
      </c>
      <c r="M148" s="300"/>
      <c r="N148" s="274" cm="1">
        <f t="array" ref="N148">_xll.FDSB($C148,"CS_EVENT_DATEJ_N("&amp;$AA$18&amp;",2)")</f>
        <v>46323</v>
      </c>
      <c r="O148" s="282" t="str" cm="1">
        <f t="array" ref="O148">_xll.FDSB($C148,"CS_EVENT_TIME_N("&amp;$AA$18&amp;",2)")</f>
        <v>Unspecified</v>
      </c>
      <c r="P148" s="282" t="str" cm="1">
        <f t="array" ref="P148">_xll.FDSB($C148,"CS_EVENT_DESC_N("&amp;$AA$18&amp;",2)")</f>
        <v>Q1 2027 Earnings Release (Projected)</v>
      </c>
      <c r="Q148" s="282"/>
      <c r="R148" s="274" cm="1">
        <f t="array" ref="R148">_xll.FDSB($C148,"CS_EVENT_DATEJ_N("&amp;$AA$18&amp;",3)")</f>
        <v>46422</v>
      </c>
      <c r="S148" s="282" t="str" cm="1">
        <f t="array" ref="S148">_xll.FDSB($C148,"CS_EVENT_TIME_N("&amp;$AA$18&amp;",3)")</f>
        <v>Unspecified</v>
      </c>
      <c r="T148" s="282" t="str" cm="1">
        <f t="array" ref="T148">_xll.FDSB($C148,"CS_EVENT_DESC_N("&amp;$AA$18&amp;",3)")</f>
        <v>Q2 2027 Earnings Release (Projected)</v>
      </c>
      <c r="U148" s="282"/>
      <c r="V148" s="274" cm="1">
        <f t="array" ref="V148">_xll.FDSB($C148,"CS_EVENT_DATEJ_N("&amp;$AA$18&amp;",4)")</f>
        <v>46506</v>
      </c>
      <c r="W148" s="282" t="str" cm="1">
        <f t="array" ref="W148">_xll.FDSB($C148,"CS_EVENT_TIME_N("&amp;$AA$18&amp;",4)")</f>
        <v>Unspecified</v>
      </c>
      <c r="X148" s="282" t="str" cm="1">
        <f t="array" ref="X148">_xll.FDSB($C148,"CS_EVENT_DESC_N("&amp;$AA$18&amp;",4)")</f>
        <v>Q3 2027 Earnings Release (Projected)</v>
      </c>
    </row>
    <row r="149" spans="2:24" x14ac:dyDescent="0.15">
      <c r="B149" s="298">
        <f t="shared" si="4"/>
        <v>134</v>
      </c>
      <c r="C149" s="299" t="str">
        <v>AEP</v>
      </c>
      <c r="D149" s="300" t="str" cm="1">
        <f t="array" ref="D149">_xll.FDSB($C149,"FG_COMPANY_NAME")</f>
        <v>American Electric Power Company, Inc.</v>
      </c>
      <c r="E149" s="300"/>
      <c r="F149" s="274" cm="1">
        <f t="array" ref="F149">_xll.FDSB($C149,"CS_EVENT_DATEJ_N("&amp;$AA$18&amp;",1)")</f>
        <v>46226</v>
      </c>
      <c r="G149" s="282" t="str" cm="1">
        <f t="array" ref="G149">_xll.FDSB($C149,"CS_EVENT_TIME_N("&amp;$AA$18&amp;",1)")</f>
        <v>Unspecified</v>
      </c>
      <c r="H149" s="282" t="str" cm="1">
        <f t="array" ref="H149">_xll.FDSB($C149,"CS_EVENT_DESC_N("&amp;$AA$18&amp;",1)")</f>
        <v>Q2 2026 Earnings Release (Projected)</v>
      </c>
      <c r="I149" s="282"/>
      <c r="J149" s="274" t="str" cm="1">
        <f t="array" ref="J149">_xll.FDSB($C149,"CS_EVENT_DATEJ_N("&amp;$AB$18&amp;",1)")</f>
        <v/>
      </c>
      <c r="K149" s="282" t="str" cm="1">
        <f t="array" ref="K149">_xll.FDSB($C149,"CS_EVENT_TIME_N("&amp;$AB$18&amp;",1)")</f>
        <v/>
      </c>
      <c r="L149" s="282" t="str" cm="1">
        <f t="array" ref="L149">_xll.FDSB($C149,"CS_EVENT_DESC_N("&amp;$AB$18&amp;",1)")</f>
        <v/>
      </c>
      <c r="M149" s="300"/>
      <c r="N149" s="274" cm="1">
        <f t="array" ref="N149">_xll.FDSB($C149,"CS_EVENT_DATEJ_N("&amp;$AA$18&amp;",2)")</f>
        <v>46317</v>
      </c>
      <c r="O149" s="282" t="str" cm="1">
        <f t="array" ref="O149">_xll.FDSB($C149,"CS_EVENT_TIME_N("&amp;$AA$18&amp;",2)")</f>
        <v>Unspecified</v>
      </c>
      <c r="P149" s="282" t="str" cm="1">
        <f t="array" ref="P149">_xll.FDSB($C149,"CS_EVENT_DESC_N("&amp;$AA$18&amp;",2)")</f>
        <v>Q3 2026 Earnings Release (Projected)</v>
      </c>
      <c r="Q149" s="282"/>
      <c r="R149" s="274" cm="1">
        <f t="array" ref="R149">_xll.FDSB($C149,"CS_EVENT_DATEJ_N("&amp;$AA$18&amp;",3)")</f>
        <v>46443</v>
      </c>
      <c r="S149" s="282" t="str" cm="1">
        <f t="array" ref="S149">_xll.FDSB($C149,"CS_EVENT_TIME_N("&amp;$AA$18&amp;",3)")</f>
        <v>Unspecified</v>
      </c>
      <c r="T149" s="282" t="str" cm="1">
        <f t="array" ref="T149">_xll.FDSB($C149,"CS_EVENT_DESC_N("&amp;$AA$18&amp;",3)")</f>
        <v>Q4 2026 Earnings Release (Projected)</v>
      </c>
      <c r="U149" s="282"/>
      <c r="V149" s="274" cm="1">
        <f t="array" ref="V149">_xll.FDSB($C149,"CS_EVENT_DATEJ_N("&amp;$AA$18&amp;",4)")</f>
        <v>46512</v>
      </c>
      <c r="W149" s="282" t="str" cm="1">
        <f t="array" ref="W149">_xll.FDSB($C149,"CS_EVENT_TIME_N("&amp;$AA$18&amp;",4)")</f>
        <v>Unspecified</v>
      </c>
      <c r="X149" s="282" t="str" cm="1">
        <f t="array" ref="X149">_xll.FDSB($C149,"CS_EVENT_DESC_N("&amp;$AA$18&amp;",4)")</f>
        <v>Q1 2027 Earnings Release (Projected)</v>
      </c>
    </row>
    <row r="150" spans="2:24" x14ac:dyDescent="0.15">
      <c r="B150" s="298">
        <f t="shared" si="4"/>
        <v>135</v>
      </c>
      <c r="C150" s="299" t="str">
        <v>VLO</v>
      </c>
      <c r="D150" s="300" t="str" cm="1">
        <f t="array" ref="D150">_xll.FDSB($C150,"FG_COMPANY_NAME")</f>
        <v>Valero Energy Corporation</v>
      </c>
      <c r="E150" s="300"/>
      <c r="F150" s="274" cm="1">
        <f t="array" ref="F150">_xll.FDSB($C150,"CS_EVENT_DATEJ_N("&amp;$AA$18&amp;",1)")</f>
        <v>46226</v>
      </c>
      <c r="G150" s="282" t="str" cm="1">
        <f t="array" ref="G150">_xll.FDSB($C150,"CS_EVENT_TIME_N("&amp;$AA$18&amp;",1)")</f>
        <v>Unspecified</v>
      </c>
      <c r="H150" s="282" t="str" cm="1">
        <f t="array" ref="H150">_xll.FDSB($C150,"CS_EVENT_DESC_N("&amp;$AA$18&amp;",1)")</f>
        <v>Q2 2026 Earnings Release (Projected)</v>
      </c>
      <c r="I150" s="282"/>
      <c r="J150" s="274" t="str" cm="1">
        <f t="array" ref="J150">_xll.FDSB($C150,"CS_EVENT_DATEJ_N("&amp;$AB$18&amp;",1)")</f>
        <v/>
      </c>
      <c r="K150" s="282" t="str" cm="1">
        <f t="array" ref="K150">_xll.FDSB($C150,"CS_EVENT_TIME_N("&amp;$AB$18&amp;",1)")</f>
        <v/>
      </c>
      <c r="L150" s="282" t="str" cm="1">
        <f t="array" ref="L150">_xll.FDSB($C150,"CS_EVENT_DESC_N("&amp;$AB$18&amp;",1)")</f>
        <v/>
      </c>
      <c r="M150" s="300"/>
      <c r="N150" s="274" cm="1">
        <f t="array" ref="N150">_xll.FDSB($C150,"CS_EVENT_DATEJ_N("&amp;$AA$18&amp;",2)")</f>
        <v>46317</v>
      </c>
      <c r="O150" s="282" t="str" cm="1">
        <f t="array" ref="O150">_xll.FDSB($C150,"CS_EVENT_TIME_N("&amp;$AA$18&amp;",2)")</f>
        <v>Unspecified</v>
      </c>
      <c r="P150" s="282" t="str" cm="1">
        <f t="array" ref="P150">_xll.FDSB($C150,"CS_EVENT_DESC_N("&amp;$AA$18&amp;",2)")</f>
        <v>Q3 2026 Earnings Release (Projected)</v>
      </c>
      <c r="Q150" s="282"/>
      <c r="R150" s="274" cm="1">
        <f t="array" ref="R150">_xll.FDSB($C150,"CS_EVENT_DATEJ_N("&amp;$AA$18&amp;",3)")</f>
        <v>46415</v>
      </c>
      <c r="S150" s="282" t="str" cm="1">
        <f t="array" ref="S150">_xll.FDSB($C150,"CS_EVENT_TIME_N("&amp;$AA$18&amp;",3)")</f>
        <v>Unspecified</v>
      </c>
      <c r="T150" s="282" t="str" cm="1">
        <f t="array" ref="T150">_xll.FDSB($C150,"CS_EVENT_DESC_N("&amp;$AA$18&amp;",3)")</f>
        <v>Q4 2026 Earnings Release (Projected)</v>
      </c>
      <c r="U150" s="282"/>
      <c r="V150" s="274" cm="1">
        <f t="array" ref="V150">_xll.FDSB($C150,"CS_EVENT_DATEJ_N("&amp;$AA$18&amp;",4)")</f>
        <v>46506</v>
      </c>
      <c r="W150" s="282" t="str" cm="1">
        <f t="array" ref="W150">_xll.FDSB($C150,"CS_EVENT_TIME_N("&amp;$AA$18&amp;",4)")</f>
        <v>Unspecified</v>
      </c>
      <c r="X150" s="282" t="str" cm="1">
        <f t="array" ref="X150">_xll.FDSB($C150,"CS_EVENT_DESC_N("&amp;$AA$18&amp;",4)")</f>
        <v>Q1 2027 Earnings Release (Projected)</v>
      </c>
    </row>
    <row r="151" spans="2:24" x14ac:dyDescent="0.15">
      <c r="B151" s="298">
        <f t="shared" si="4"/>
        <v>136</v>
      </c>
      <c r="C151" s="299" t="str">
        <v>NOC</v>
      </c>
      <c r="D151" s="300" t="str" cm="1">
        <f t="array" ref="D151">_xll.FDSB($C151,"FG_COMPANY_NAME")</f>
        <v>Northrop Grumman Corp.</v>
      </c>
      <c r="E151" s="300"/>
      <c r="F151" s="274" cm="1">
        <f t="array" ref="F151">_xll.FDSB($C151,"CS_EVENT_DATEJ_N("&amp;$AA$18&amp;",1)")</f>
        <v>46226</v>
      </c>
      <c r="G151" s="282" t="str" cm="1">
        <f t="array" ref="G151">_xll.FDSB($C151,"CS_EVENT_TIME_N("&amp;$AA$18&amp;",1)")</f>
        <v>Unspecified</v>
      </c>
      <c r="H151" s="282" t="str" cm="1">
        <f t="array" ref="H151">_xll.FDSB($C151,"CS_EVENT_DESC_N("&amp;$AA$18&amp;",1)")</f>
        <v>Q2 2026 Earnings Release (Projected)</v>
      </c>
      <c r="I151" s="282"/>
      <c r="J151" s="274" t="str" cm="1">
        <f t="array" ref="J151">_xll.FDSB($C151,"CS_EVENT_DATEJ_N("&amp;$AB$18&amp;",1)")</f>
        <v/>
      </c>
      <c r="K151" s="282" t="str" cm="1">
        <f t="array" ref="K151">_xll.FDSB($C151,"CS_EVENT_TIME_N("&amp;$AB$18&amp;",1)")</f>
        <v/>
      </c>
      <c r="L151" s="282" t="str" cm="1">
        <f t="array" ref="L151">_xll.FDSB($C151,"CS_EVENT_DESC_N("&amp;$AB$18&amp;",1)")</f>
        <v/>
      </c>
      <c r="M151" s="300"/>
      <c r="N151" s="274" cm="1">
        <f t="array" ref="N151">_xll.FDSB($C151,"CS_EVENT_DATEJ_N("&amp;$AA$18&amp;",2)")</f>
        <v>46317</v>
      </c>
      <c r="O151" s="282" t="str" cm="1">
        <f t="array" ref="O151">_xll.FDSB($C151,"CS_EVENT_TIME_N("&amp;$AA$18&amp;",2)")</f>
        <v>Unspecified</v>
      </c>
      <c r="P151" s="282" t="str" cm="1">
        <f t="array" ref="P151">_xll.FDSB($C151,"CS_EVENT_DESC_N("&amp;$AA$18&amp;",2)")</f>
        <v>Q3 2026 Earnings Release (Projected)</v>
      </c>
      <c r="Q151" s="282"/>
      <c r="R151" s="274" cm="1">
        <f t="array" ref="R151">_xll.FDSB($C151,"CS_EVENT_DATEJ_N("&amp;$AA$18&amp;",3)")</f>
        <v>46415</v>
      </c>
      <c r="S151" s="282" t="str" cm="1">
        <f t="array" ref="S151">_xll.FDSB($C151,"CS_EVENT_TIME_N("&amp;$AA$18&amp;",3)")</f>
        <v>Unspecified</v>
      </c>
      <c r="T151" s="282" t="str" cm="1">
        <f t="array" ref="T151">_xll.FDSB($C151,"CS_EVENT_DESC_N("&amp;$AA$18&amp;",3)")</f>
        <v>Q4 2026 Earnings Release (Projected)</v>
      </c>
      <c r="U151" s="282"/>
      <c r="V151" s="274" cm="1">
        <f t="array" ref="V151">_xll.FDSB($C151,"CS_EVENT_DATEJ_N("&amp;$AA$18&amp;",4)")</f>
        <v>46506</v>
      </c>
      <c r="W151" s="282" t="str" cm="1">
        <f t="array" ref="W151">_xll.FDSB($C151,"CS_EVENT_TIME_N("&amp;$AA$18&amp;",4)")</f>
        <v>Unspecified</v>
      </c>
      <c r="X151" s="282" t="str" cm="1">
        <f t="array" ref="X151">_xll.FDSB($C151,"CS_EVENT_DESC_N("&amp;$AA$18&amp;",4)")</f>
        <v>Q1 2027 Earnings Release (Projected)</v>
      </c>
    </row>
    <row r="152" spans="2:24" x14ac:dyDescent="0.15">
      <c r="B152" s="298">
        <f t="shared" si="4"/>
        <v>137</v>
      </c>
      <c r="C152" s="299" t="str">
        <v>TROW</v>
      </c>
      <c r="D152" s="300" t="str" cm="1">
        <f t="array" ref="D152">_xll.FDSB($C152,"FG_COMPANY_NAME")</f>
        <v>T. Rowe Price Group, Inc.</v>
      </c>
      <c r="E152" s="300"/>
      <c r="F152" s="274" cm="1">
        <f t="array" ref="F152">_xll.FDSB($C152,"CS_EVENT_DATEJ_N("&amp;$AA$18&amp;",1)")</f>
        <v>46226</v>
      </c>
      <c r="G152" s="282" t="str" cm="1">
        <f t="array" ref="G152">_xll.FDSB($C152,"CS_EVENT_TIME_N("&amp;$AA$18&amp;",1)")</f>
        <v>Unspecified</v>
      </c>
      <c r="H152" s="282" t="str" cm="1">
        <f t="array" ref="H152">_xll.FDSB($C152,"CS_EVENT_DESC_N("&amp;$AA$18&amp;",1)")</f>
        <v>Q2 2026 Earnings Release (Projected)</v>
      </c>
      <c r="I152" s="282"/>
      <c r="J152" s="274" t="str" cm="1">
        <f t="array" ref="J152">_xll.FDSB($C152,"CS_EVENT_DATEJ_N("&amp;$AB$18&amp;",1)")</f>
        <v/>
      </c>
      <c r="K152" s="282" t="str" cm="1">
        <f t="array" ref="K152">_xll.FDSB($C152,"CS_EVENT_TIME_N("&amp;$AB$18&amp;",1)")</f>
        <v/>
      </c>
      <c r="L152" s="282" t="str" cm="1">
        <f t="array" ref="L152">_xll.FDSB($C152,"CS_EVENT_DESC_N("&amp;$AB$18&amp;",1)")</f>
        <v/>
      </c>
      <c r="M152" s="300"/>
      <c r="N152" s="274" cm="1">
        <f t="array" ref="N152">_xll.FDSB($C152,"CS_EVENT_DATEJ_N("&amp;$AA$18&amp;",2)")</f>
        <v>46317</v>
      </c>
      <c r="O152" s="282" t="str" cm="1">
        <f t="array" ref="O152">_xll.FDSB($C152,"CS_EVENT_TIME_N("&amp;$AA$18&amp;",2)")</f>
        <v>Unspecified</v>
      </c>
      <c r="P152" s="282" t="str" cm="1">
        <f t="array" ref="P152">_xll.FDSB($C152,"CS_EVENT_DESC_N("&amp;$AA$18&amp;",2)")</f>
        <v>Q3 2026 Earnings Release (Projected)</v>
      </c>
      <c r="Q152" s="282"/>
      <c r="R152" s="274" cm="1">
        <f t="array" ref="R152">_xll.FDSB($C152,"CS_EVENT_DATEJ_N("&amp;$AA$18&amp;",3)")</f>
        <v>46415</v>
      </c>
      <c r="S152" s="282" t="str" cm="1">
        <f t="array" ref="S152">_xll.FDSB($C152,"CS_EVENT_TIME_N("&amp;$AA$18&amp;",3)")</f>
        <v>Unspecified</v>
      </c>
      <c r="T152" s="282" t="str" cm="1">
        <f t="array" ref="T152">_xll.FDSB($C152,"CS_EVENT_DESC_N("&amp;$AA$18&amp;",3)")</f>
        <v>Q4 2026 Earnings Release (Projected)</v>
      </c>
      <c r="U152" s="282"/>
      <c r="V152" s="274" cm="1">
        <f t="array" ref="V152">_xll.FDSB($C152,"CS_EVENT_DATEJ_N("&amp;$AA$18&amp;",4)")</f>
        <v>46506</v>
      </c>
      <c r="W152" s="282" t="str" cm="1">
        <f t="array" ref="W152">_xll.FDSB($C152,"CS_EVENT_TIME_N("&amp;$AA$18&amp;",4)")</f>
        <v>Unspecified</v>
      </c>
      <c r="X152" s="282" t="str" cm="1">
        <f t="array" ref="X152">_xll.FDSB($C152,"CS_EVENT_DESC_N("&amp;$AA$18&amp;",4)")</f>
        <v>Q1 2027 Earnings Release (Projected)</v>
      </c>
    </row>
    <row r="153" spans="2:24" x14ac:dyDescent="0.15">
      <c r="B153" s="298">
        <f t="shared" si="4"/>
        <v>138</v>
      </c>
      <c r="C153" s="299" t="str">
        <v>WAB</v>
      </c>
      <c r="D153" s="300" t="str" cm="1">
        <f t="array" ref="D153">_xll.FDSB($C153,"FG_COMPANY_NAME")</f>
        <v>Westinghouse Air Brake Technologies Corporation</v>
      </c>
      <c r="E153" s="300"/>
      <c r="F153" s="274" cm="1">
        <f t="array" ref="F153">_xll.FDSB($C153,"CS_EVENT_DATEJ_N("&amp;$AA$18&amp;",1)")</f>
        <v>46226</v>
      </c>
      <c r="G153" s="282" t="str" cm="1">
        <f t="array" ref="G153">_xll.FDSB($C153,"CS_EVENT_TIME_N("&amp;$AA$18&amp;",1)")</f>
        <v>Unspecified</v>
      </c>
      <c r="H153" s="282" t="str" cm="1">
        <f t="array" ref="H153">_xll.FDSB($C153,"CS_EVENT_DESC_N("&amp;$AA$18&amp;",1)")</f>
        <v>Q2 2026 Earnings Release (Projected)</v>
      </c>
      <c r="I153" s="282"/>
      <c r="J153" s="274" t="str" cm="1">
        <f t="array" ref="J153">_xll.FDSB($C153,"CS_EVENT_DATEJ_N("&amp;$AB$18&amp;",1)")</f>
        <v/>
      </c>
      <c r="K153" s="282" t="str" cm="1">
        <f t="array" ref="K153">_xll.FDSB($C153,"CS_EVENT_TIME_N("&amp;$AB$18&amp;",1)")</f>
        <v/>
      </c>
      <c r="L153" s="282" t="str" cm="1">
        <f t="array" ref="L153">_xll.FDSB($C153,"CS_EVENT_DESC_N("&amp;$AB$18&amp;",1)")</f>
        <v/>
      </c>
      <c r="M153" s="300"/>
      <c r="N153" s="274" cm="1">
        <f t="array" ref="N153">_xll.FDSB($C153,"CS_EVENT_DATEJ_N("&amp;$AA$18&amp;",2)")</f>
        <v>46323</v>
      </c>
      <c r="O153" s="282" t="str" cm="1">
        <f t="array" ref="O153">_xll.FDSB($C153,"CS_EVENT_TIME_N("&amp;$AA$18&amp;",2)")</f>
        <v>Unspecified</v>
      </c>
      <c r="P153" s="282" t="str" cm="1">
        <f t="array" ref="P153">_xll.FDSB($C153,"CS_EVENT_DESC_N("&amp;$AA$18&amp;",2)")</f>
        <v>Q3 2026 Earnings Release (Projected)</v>
      </c>
      <c r="Q153" s="282"/>
      <c r="R153" s="274" cm="1">
        <f t="array" ref="R153">_xll.FDSB($C153,"CS_EVENT_DATEJ_N("&amp;$AA$18&amp;",3)")</f>
        <v>46435</v>
      </c>
      <c r="S153" s="282" t="str" cm="1">
        <f t="array" ref="S153">_xll.FDSB($C153,"CS_EVENT_TIME_N("&amp;$AA$18&amp;",3)")</f>
        <v>Unspecified</v>
      </c>
      <c r="T153" s="282" t="str" cm="1">
        <f t="array" ref="T153">_xll.FDSB($C153,"CS_EVENT_DESC_N("&amp;$AA$18&amp;",3)")</f>
        <v>Q4 2026 Earnings Release (Projected)</v>
      </c>
      <c r="U153" s="282"/>
      <c r="V153" s="274" cm="1">
        <f t="array" ref="V153">_xll.FDSB($C153,"CS_EVENT_DATEJ_N("&amp;$AA$18&amp;",4)")</f>
        <v>46505</v>
      </c>
      <c r="W153" s="282" t="str" cm="1">
        <f t="array" ref="W153">_xll.FDSB($C153,"CS_EVENT_TIME_N("&amp;$AA$18&amp;",4)")</f>
        <v>Unspecified</v>
      </c>
      <c r="X153" s="282" t="str" cm="1">
        <f t="array" ref="X153">_xll.FDSB($C153,"CS_EVENT_DESC_N("&amp;$AA$18&amp;",4)")</f>
        <v>Q1 2027 Earnings Release (Projected)</v>
      </c>
    </row>
    <row r="154" spans="2:24" x14ac:dyDescent="0.15">
      <c r="B154" s="298">
        <f t="shared" si="4"/>
        <v>139</v>
      </c>
      <c r="C154" s="299" t="str">
        <v>WY</v>
      </c>
      <c r="D154" s="300" t="str" cm="1">
        <f t="array" ref="D154">_xll.FDSB($C154,"FG_COMPANY_NAME")</f>
        <v>Weyerhaeuser Company</v>
      </c>
      <c r="E154" s="300"/>
      <c r="F154" s="274" cm="1">
        <f t="array" ref="F154">_xll.FDSB($C154,"CS_EVENT_DATEJ_N("&amp;$AA$18&amp;",1)")</f>
        <v>46226</v>
      </c>
      <c r="G154" s="282" t="str" cm="1">
        <f t="array" ref="G154">_xll.FDSB($C154,"CS_EVENT_TIME_N("&amp;$AA$18&amp;",1)")</f>
        <v>Unspecified</v>
      </c>
      <c r="H154" s="282" t="str" cm="1">
        <f t="array" ref="H154">_xll.FDSB($C154,"CS_EVENT_DESC_N("&amp;$AA$18&amp;",1)")</f>
        <v>Q2 2026 Earnings Release (Projected)</v>
      </c>
      <c r="I154" s="282"/>
      <c r="J154" s="274" t="str" cm="1">
        <f t="array" ref="J154">_xll.FDSB($C154,"CS_EVENT_DATEJ_N("&amp;$AB$18&amp;",1)")</f>
        <v/>
      </c>
      <c r="K154" s="282" t="str" cm="1">
        <f t="array" ref="K154">_xll.FDSB($C154,"CS_EVENT_TIME_N("&amp;$AB$18&amp;",1)")</f>
        <v/>
      </c>
      <c r="L154" s="282" t="str" cm="1">
        <f t="array" ref="L154">_xll.FDSB($C154,"CS_EVENT_DESC_N("&amp;$AB$18&amp;",1)")</f>
        <v/>
      </c>
      <c r="M154" s="300"/>
      <c r="N154" s="274" cm="1">
        <f t="array" ref="N154">_xll.FDSB($C154,"CS_EVENT_DATEJ_N("&amp;$AA$18&amp;",2)")</f>
        <v>46317</v>
      </c>
      <c r="O154" s="282" t="str" cm="1">
        <f t="array" ref="O154">_xll.FDSB($C154,"CS_EVENT_TIME_N("&amp;$AA$18&amp;",2)")</f>
        <v>Unspecified</v>
      </c>
      <c r="P154" s="282" t="str" cm="1">
        <f t="array" ref="P154">_xll.FDSB($C154,"CS_EVENT_DESC_N("&amp;$AA$18&amp;",2)")</f>
        <v>Q3 2026 Earnings Release (Projected)</v>
      </c>
      <c r="Q154" s="282"/>
      <c r="R154" s="274" cm="1">
        <f t="array" ref="R154">_xll.FDSB($C154,"CS_EVENT_DATEJ_N("&amp;$AA$18&amp;",3)")</f>
        <v>46506</v>
      </c>
      <c r="S154" s="282" t="str" cm="1">
        <f t="array" ref="S154">_xll.FDSB($C154,"CS_EVENT_TIME_N("&amp;$AA$18&amp;",3)")</f>
        <v>Unspecified</v>
      </c>
      <c r="T154" s="282" t="str" cm="1">
        <f t="array" ref="T154">_xll.FDSB($C154,"CS_EVENT_DESC_N("&amp;$AA$18&amp;",3)")</f>
        <v>Q1 2027 Earnings Release (Projected)</v>
      </c>
      <c r="U154" s="282"/>
      <c r="V154" s="274" t="str" cm="1">
        <f t="array" ref="V154">_xll.FDSB($C154,"CS_EVENT_DATEJ_N("&amp;$AA$18&amp;",4)")</f>
        <v/>
      </c>
      <c r="W154" s="282" t="str" cm="1">
        <f t="array" ref="W154">_xll.FDSB($C154,"CS_EVENT_TIME_N("&amp;$AA$18&amp;",4)")</f>
        <v/>
      </c>
      <c r="X154" s="282" t="str" cm="1">
        <f t="array" ref="X154">_xll.FDSB($C154,"CS_EVENT_DESC_N("&amp;$AA$18&amp;",4)")</f>
        <v/>
      </c>
    </row>
    <row r="155" spans="2:24" x14ac:dyDescent="0.15">
      <c r="B155" s="298">
        <f t="shared" si="4"/>
        <v>140</v>
      </c>
      <c r="C155" s="299" t="str">
        <v>EIX</v>
      </c>
      <c r="D155" s="300" t="str" cm="1">
        <f t="array" ref="D155">_xll.FDSB($C155,"FG_COMPANY_NAME")</f>
        <v>Edison International</v>
      </c>
      <c r="E155" s="300"/>
      <c r="F155" s="274" cm="1">
        <f t="array" ref="F155">_xll.FDSB($C155,"CS_EVENT_DATEJ_N("&amp;$AA$18&amp;",1)")</f>
        <v>46226</v>
      </c>
      <c r="G155" s="282" t="str" cm="1">
        <f t="array" ref="G155">_xll.FDSB($C155,"CS_EVENT_TIME_N("&amp;$AA$18&amp;",1)")</f>
        <v>Unspecified</v>
      </c>
      <c r="H155" s="282" t="str" cm="1">
        <f t="array" ref="H155">_xll.FDSB($C155,"CS_EVENT_DESC_N("&amp;$AA$18&amp;",1)")</f>
        <v>Q2 2026 Earnings Release (Projected)</v>
      </c>
      <c r="I155" s="282"/>
      <c r="J155" s="274" t="str" cm="1">
        <f t="array" ref="J155">_xll.FDSB($C155,"CS_EVENT_DATEJ_N("&amp;$AB$18&amp;",1)")</f>
        <v/>
      </c>
      <c r="K155" s="282" t="str" cm="1">
        <f t="array" ref="K155">_xll.FDSB($C155,"CS_EVENT_TIME_N("&amp;$AB$18&amp;",1)")</f>
        <v/>
      </c>
      <c r="L155" s="282" t="str" cm="1">
        <f t="array" ref="L155">_xll.FDSB($C155,"CS_EVENT_DESC_N("&amp;$AB$18&amp;",1)")</f>
        <v/>
      </c>
      <c r="M155" s="300"/>
      <c r="N155" s="274" cm="1">
        <f t="array" ref="N155">_xll.FDSB($C155,"CS_EVENT_DATEJ_N("&amp;$AA$18&amp;",2)")</f>
        <v>46329</v>
      </c>
      <c r="O155" s="282" t="str" cm="1">
        <f t="array" ref="O155">_xll.FDSB($C155,"CS_EVENT_TIME_N("&amp;$AA$18&amp;",2)")</f>
        <v>Unspecified</v>
      </c>
      <c r="P155" s="282" t="str" cm="1">
        <f t="array" ref="P155">_xll.FDSB($C155,"CS_EVENT_DESC_N("&amp;$AA$18&amp;",2)")</f>
        <v>Q3 2026 Earnings Release (Projected)</v>
      </c>
      <c r="Q155" s="282"/>
      <c r="R155" s="274" cm="1">
        <f t="array" ref="R155">_xll.FDSB($C155,"CS_EVENT_DATEJ_N("&amp;$AA$18&amp;",3)")</f>
        <v>46443</v>
      </c>
      <c r="S155" s="282" t="str" cm="1">
        <f t="array" ref="S155">_xll.FDSB($C155,"CS_EVENT_TIME_N("&amp;$AA$18&amp;",3)")</f>
        <v>Unspecified</v>
      </c>
      <c r="T155" s="282" t="str" cm="1">
        <f t="array" ref="T155">_xll.FDSB($C155,"CS_EVENT_DESC_N("&amp;$AA$18&amp;",3)")</f>
        <v>Q4 2026 Earnings Release (Projected)</v>
      </c>
      <c r="U155" s="282"/>
      <c r="V155" s="274" t="str" cm="1">
        <f t="array" ref="V155">_xll.FDSB($C155,"CS_EVENT_DATEJ_N("&amp;$AA$18&amp;",4)")</f>
        <v/>
      </c>
      <c r="W155" s="282" t="str" cm="1">
        <f t="array" ref="W155">_xll.FDSB($C155,"CS_EVENT_TIME_N("&amp;$AA$18&amp;",4)")</f>
        <v/>
      </c>
      <c r="X155" s="282" t="str" cm="1">
        <f t="array" ref="X155">_xll.FDSB($C155,"CS_EVENT_DESC_N("&amp;$AA$18&amp;",4)")</f>
        <v/>
      </c>
    </row>
    <row r="156" spans="2:24" x14ac:dyDescent="0.15">
      <c r="B156" s="298">
        <f t="shared" si="4"/>
        <v>141</v>
      </c>
      <c r="C156" s="299" t="str">
        <v>RCL</v>
      </c>
      <c r="D156" s="300" t="str" cm="1">
        <f t="array" ref="D156">_xll.FDSB($C156,"FG_COMPANY_NAME")</f>
        <v>Royal Caribbean Group</v>
      </c>
      <c r="E156" s="300"/>
      <c r="F156" s="274" cm="1">
        <f t="array" ref="F156">_xll.FDSB($C156,"CS_EVENT_DATEJ_N("&amp;$AA$18&amp;",1)")</f>
        <v>46226</v>
      </c>
      <c r="G156" s="282" t="str" cm="1">
        <f t="array" ref="G156">_xll.FDSB($C156,"CS_EVENT_TIME_N("&amp;$AA$18&amp;",1)")</f>
        <v>Unspecified</v>
      </c>
      <c r="H156" s="282" t="str" cm="1">
        <f t="array" ref="H156">_xll.FDSB($C156,"CS_EVENT_DESC_N("&amp;$AA$18&amp;",1)")</f>
        <v>Q2 2026 Earnings Release (Projected)</v>
      </c>
      <c r="I156" s="282"/>
      <c r="J156" s="274" t="str" cm="1">
        <f t="array" ref="J156">_xll.FDSB($C156,"CS_EVENT_DATEJ_N("&amp;$AB$18&amp;",1)")</f>
        <v/>
      </c>
      <c r="K156" s="282" t="str" cm="1">
        <f t="array" ref="K156">_xll.FDSB($C156,"CS_EVENT_TIME_N("&amp;$AB$18&amp;",1)")</f>
        <v/>
      </c>
      <c r="L156" s="282" t="str" cm="1">
        <f t="array" ref="L156">_xll.FDSB($C156,"CS_EVENT_DESC_N("&amp;$AB$18&amp;",1)")</f>
        <v/>
      </c>
      <c r="M156" s="300"/>
      <c r="N156" s="274" cm="1">
        <f t="array" ref="N156">_xll.FDSB($C156,"CS_EVENT_DATEJ_N("&amp;$AA$18&amp;",2)")</f>
        <v>46329</v>
      </c>
      <c r="O156" s="282" t="str" cm="1">
        <f t="array" ref="O156">_xll.FDSB($C156,"CS_EVENT_TIME_N("&amp;$AA$18&amp;",2)")</f>
        <v>Unspecified</v>
      </c>
      <c r="P156" s="282" t="str" cm="1">
        <f t="array" ref="P156">_xll.FDSB($C156,"CS_EVENT_DESC_N("&amp;$AA$18&amp;",2)")</f>
        <v>Q3 2026 Earnings Release (Projected)</v>
      </c>
      <c r="Q156" s="282"/>
      <c r="R156" s="274" cm="1">
        <f t="array" ref="R156">_xll.FDSB($C156,"CS_EVENT_DATEJ_N("&amp;$AA$18&amp;",3)")</f>
        <v>46422</v>
      </c>
      <c r="S156" s="282" t="str" cm="1">
        <f t="array" ref="S156">_xll.FDSB($C156,"CS_EVENT_TIME_N("&amp;$AA$18&amp;",3)")</f>
        <v>Unspecified</v>
      </c>
      <c r="T156" s="282" t="str" cm="1">
        <f t="array" ref="T156">_xll.FDSB($C156,"CS_EVENT_DESC_N("&amp;$AA$18&amp;",3)")</f>
        <v>Q4 2026 Earnings Release (Projected)</v>
      </c>
      <c r="U156" s="282"/>
      <c r="V156" s="274" cm="1">
        <f t="array" ref="V156">_xll.FDSB($C156,"CS_EVENT_DATEJ_N("&amp;$AA$18&amp;",4)")</f>
        <v>46513</v>
      </c>
      <c r="W156" s="282" t="str" cm="1">
        <f t="array" ref="W156">_xll.FDSB($C156,"CS_EVENT_TIME_N("&amp;$AA$18&amp;",4)")</f>
        <v>Unspecified</v>
      </c>
      <c r="X156" s="282" t="str" cm="1">
        <f t="array" ref="X156">_xll.FDSB($C156,"CS_EVENT_DESC_N("&amp;$AA$18&amp;",4)")</f>
        <v>Q1 2027 Earnings Release (Projected)</v>
      </c>
    </row>
    <row r="157" spans="2:24" x14ac:dyDescent="0.15">
      <c r="B157" s="298">
        <f t="shared" si="4"/>
        <v>142</v>
      </c>
      <c r="C157" s="299" t="str">
        <v>PFG</v>
      </c>
      <c r="D157" s="300" t="str" cm="1">
        <f t="array" ref="D157">_xll.FDSB($C157,"FG_COMPANY_NAME")</f>
        <v>Principal Financial Group, Inc.</v>
      </c>
      <c r="E157" s="300"/>
      <c r="F157" s="274" cm="1">
        <f t="array" ref="F157">_xll.FDSB($C157,"CS_EVENT_DATEJ_N("&amp;$AA$18&amp;",1)")</f>
        <v>46226</v>
      </c>
      <c r="G157" s="282" t="str" cm="1">
        <f t="array" ref="G157">_xll.FDSB($C157,"CS_EVENT_TIME_N("&amp;$AA$18&amp;",1)")</f>
        <v>Unspecified</v>
      </c>
      <c r="H157" s="282" t="str" cm="1">
        <f t="array" ref="H157">_xll.FDSB($C157,"CS_EVENT_DESC_N("&amp;$AA$18&amp;",1)")</f>
        <v>Q2 2026 Earnings Release (Projected)</v>
      </c>
      <c r="I157" s="282"/>
      <c r="J157" s="274" t="str" cm="1">
        <f t="array" ref="J157">_xll.FDSB($C157,"CS_EVENT_DATEJ_N("&amp;$AB$18&amp;",1)")</f>
        <v/>
      </c>
      <c r="K157" s="282" t="str" cm="1">
        <f t="array" ref="K157">_xll.FDSB($C157,"CS_EVENT_TIME_N("&amp;$AB$18&amp;",1)")</f>
        <v/>
      </c>
      <c r="L157" s="282" t="str" cm="1">
        <f t="array" ref="L157">_xll.FDSB($C157,"CS_EVENT_DESC_N("&amp;$AB$18&amp;",1)")</f>
        <v/>
      </c>
      <c r="M157" s="300"/>
      <c r="N157" s="274" cm="1">
        <f t="array" ref="N157">_xll.FDSB($C157,"CS_EVENT_DATEJ_N("&amp;$AA$18&amp;",2)")</f>
        <v>46317</v>
      </c>
      <c r="O157" s="282" t="str" cm="1">
        <f t="array" ref="O157">_xll.FDSB($C157,"CS_EVENT_TIME_N("&amp;$AA$18&amp;",2)")</f>
        <v>Unspecified</v>
      </c>
      <c r="P157" s="282" t="str" cm="1">
        <f t="array" ref="P157">_xll.FDSB($C157,"CS_EVENT_DESC_N("&amp;$AA$18&amp;",2)")</f>
        <v>Q3 2026 Earnings Release (Projected)</v>
      </c>
      <c r="Q157" s="282"/>
      <c r="R157" s="274" cm="1">
        <f t="array" ref="R157">_xll.FDSB($C157,"CS_EVENT_DATEJ_N("&amp;$AA$18&amp;",3)")</f>
        <v>46428</v>
      </c>
      <c r="S157" s="282" t="str" cm="1">
        <f t="array" ref="S157">_xll.FDSB($C157,"CS_EVENT_TIME_N("&amp;$AA$18&amp;",3)")</f>
        <v>Unspecified</v>
      </c>
      <c r="T157" s="282" t="str" cm="1">
        <f t="array" ref="T157">_xll.FDSB($C157,"CS_EVENT_DESC_N("&amp;$AA$18&amp;",3)")</f>
        <v>Q4 2026 Earnings Release (Projected)</v>
      </c>
      <c r="U157" s="282"/>
      <c r="V157" s="274" cm="1">
        <f t="array" ref="V157">_xll.FDSB($C157,"CS_EVENT_DATEJ_N("&amp;$AA$18&amp;",4)")</f>
        <v>46506</v>
      </c>
      <c r="W157" s="282" t="str" cm="1">
        <f t="array" ref="W157">_xll.FDSB($C157,"CS_EVENT_TIME_N("&amp;$AA$18&amp;",4)")</f>
        <v>Unspecified</v>
      </c>
      <c r="X157" s="282" t="str" cm="1">
        <f t="array" ref="X157">_xll.FDSB($C157,"CS_EVENT_DESC_N("&amp;$AA$18&amp;",4)")</f>
        <v>Q1 2027 Earnings Release (Projected)</v>
      </c>
    </row>
    <row r="158" spans="2:24" x14ac:dyDescent="0.15">
      <c r="B158" s="298">
        <f t="shared" si="4"/>
        <v>143</v>
      </c>
      <c r="C158" s="299" t="str">
        <v>INTC</v>
      </c>
      <c r="D158" s="300" t="str" cm="1">
        <f t="array" ref="D158">_xll.FDSB($C158,"FG_COMPANY_NAME")</f>
        <v>Intel Corporation</v>
      </c>
      <c r="E158" s="300"/>
      <c r="F158" s="274" cm="1">
        <f t="array" ref="F158">_xll.FDSB($C158,"CS_EVENT_DATEJ_N("&amp;$AA$18&amp;",1)")</f>
        <v>46226</v>
      </c>
      <c r="G158" s="282" t="str" cm="1">
        <f t="array" ref="G158">_xll.FDSB($C158,"CS_EVENT_TIME_N("&amp;$AA$18&amp;",1)")</f>
        <v>Unspecified</v>
      </c>
      <c r="H158" s="282" t="str" cm="1">
        <f t="array" ref="H158">_xll.FDSB($C158,"CS_EVENT_DESC_N("&amp;$AA$18&amp;",1)")</f>
        <v>Q2 2026 Earnings Release (Projected)</v>
      </c>
      <c r="I158" s="282"/>
      <c r="J158" s="274" t="str" cm="1">
        <f t="array" ref="J158">_xll.FDSB($C158,"CS_EVENT_DATEJ_N("&amp;$AB$18&amp;",1)")</f>
        <v/>
      </c>
      <c r="K158" s="282" t="str" cm="1">
        <f t="array" ref="K158">_xll.FDSB($C158,"CS_EVENT_TIME_N("&amp;$AB$18&amp;",1)")</f>
        <v/>
      </c>
      <c r="L158" s="282" t="str" cm="1">
        <f t="array" ref="L158">_xll.FDSB($C158,"CS_EVENT_DESC_N("&amp;$AB$18&amp;",1)")</f>
        <v/>
      </c>
      <c r="M158" s="300"/>
      <c r="N158" s="274" cm="1">
        <f t="array" ref="N158">_xll.FDSB($C158,"CS_EVENT_DATEJ_N("&amp;$AA$18&amp;",2)")</f>
        <v>46317</v>
      </c>
      <c r="O158" s="282" t="str" cm="1">
        <f t="array" ref="O158">_xll.FDSB($C158,"CS_EVENT_TIME_N("&amp;$AA$18&amp;",2)")</f>
        <v>Unspecified</v>
      </c>
      <c r="P158" s="282" t="str" cm="1">
        <f t="array" ref="P158">_xll.FDSB($C158,"CS_EVENT_DESC_N("&amp;$AA$18&amp;",2)")</f>
        <v>Q3 2026 Earnings Release (Projected)</v>
      </c>
      <c r="Q158" s="282"/>
      <c r="R158" s="274" cm="1">
        <f t="array" ref="R158">_xll.FDSB($C158,"CS_EVENT_DATEJ_N("&amp;$AA$18&amp;",3)")</f>
        <v>46415</v>
      </c>
      <c r="S158" s="282" t="str" cm="1">
        <f t="array" ref="S158">_xll.FDSB($C158,"CS_EVENT_TIME_N("&amp;$AA$18&amp;",3)")</f>
        <v>Unspecified</v>
      </c>
      <c r="T158" s="282" t="str" cm="1">
        <f t="array" ref="T158">_xll.FDSB($C158,"CS_EVENT_DESC_N("&amp;$AA$18&amp;",3)")</f>
        <v>Q4 2026 Earnings Release (Projected)</v>
      </c>
      <c r="U158" s="282"/>
      <c r="V158" s="274" cm="1">
        <f t="array" ref="V158">_xll.FDSB($C158,"CS_EVENT_DATEJ_N("&amp;$AA$18&amp;",4)")</f>
        <v>46506</v>
      </c>
      <c r="W158" s="282" t="str" cm="1">
        <f t="array" ref="W158">_xll.FDSB($C158,"CS_EVENT_TIME_N("&amp;$AA$18&amp;",4)")</f>
        <v>Unspecified</v>
      </c>
      <c r="X158" s="282" t="str" cm="1">
        <f t="array" ref="X158">_xll.FDSB($C158,"CS_EVENT_DESC_N("&amp;$AA$18&amp;",4)")</f>
        <v>Q1 2027 Earnings Release (Projected)</v>
      </c>
    </row>
    <row r="159" spans="2:24" x14ac:dyDescent="0.15">
      <c r="B159" s="298">
        <f t="shared" si="4"/>
        <v>144</v>
      </c>
      <c r="C159" s="299" t="str">
        <v>UNP</v>
      </c>
      <c r="D159" s="300" t="str" cm="1">
        <f t="array" ref="D159">_xll.FDSB($C159,"FG_COMPANY_NAME")</f>
        <v>Union Pacific Corporation</v>
      </c>
      <c r="E159" s="300"/>
      <c r="F159" s="274" cm="1">
        <f t="array" ref="F159">_xll.FDSB($C159,"CS_EVENT_DATEJ_N("&amp;$AA$18&amp;",1)")</f>
        <v>46226</v>
      </c>
      <c r="G159" s="282" t="str" cm="1">
        <f t="array" ref="G159">_xll.FDSB($C159,"CS_EVENT_TIME_N("&amp;$AA$18&amp;",1)")</f>
        <v>Unspecified</v>
      </c>
      <c r="H159" s="282" t="str" cm="1">
        <f t="array" ref="H159">_xll.FDSB($C159,"CS_EVENT_DESC_N("&amp;$AA$18&amp;",1)")</f>
        <v>Q2 2026 Earnings Release (Projected)</v>
      </c>
      <c r="I159" s="282"/>
      <c r="J159" s="274" t="str" cm="1">
        <f t="array" ref="J159">_xll.FDSB($C159,"CS_EVENT_DATEJ_N("&amp;$AB$18&amp;",1)")</f>
        <v/>
      </c>
      <c r="K159" s="282" t="str" cm="1">
        <f t="array" ref="K159">_xll.FDSB($C159,"CS_EVENT_TIME_N("&amp;$AB$18&amp;",1)")</f>
        <v/>
      </c>
      <c r="L159" s="282" t="str" cm="1">
        <f t="array" ref="L159">_xll.FDSB($C159,"CS_EVENT_DESC_N("&amp;$AB$18&amp;",1)")</f>
        <v/>
      </c>
      <c r="M159" s="300"/>
      <c r="N159" s="274" cm="1">
        <f t="array" ref="N159">_xll.FDSB($C159,"CS_EVENT_DATEJ_N("&amp;$AA$18&amp;",2)")</f>
        <v>46317</v>
      </c>
      <c r="O159" s="282" t="str" cm="1">
        <f t="array" ref="O159">_xll.FDSB($C159,"CS_EVENT_TIME_N("&amp;$AA$18&amp;",2)")</f>
        <v>Unspecified</v>
      </c>
      <c r="P159" s="282" t="str" cm="1">
        <f t="array" ref="P159">_xll.FDSB($C159,"CS_EVENT_DESC_N("&amp;$AA$18&amp;",2)")</f>
        <v>Q3 2026 Earnings Release (Projected)</v>
      </c>
      <c r="Q159" s="282"/>
      <c r="R159" s="274" cm="1">
        <f t="array" ref="R159">_xll.FDSB($C159,"CS_EVENT_DATEJ_N("&amp;$AA$18&amp;",3)")</f>
        <v>46499</v>
      </c>
      <c r="S159" s="282" t="str" cm="1">
        <f t="array" ref="S159">_xll.FDSB($C159,"CS_EVENT_TIME_N("&amp;$AA$18&amp;",3)")</f>
        <v>Unspecified</v>
      </c>
      <c r="T159" s="282" t="str" cm="1">
        <f t="array" ref="T159">_xll.FDSB($C159,"CS_EVENT_DESC_N("&amp;$AA$18&amp;",3)")</f>
        <v>Q1 2027 Earnings Release (Projected)</v>
      </c>
      <c r="U159" s="282"/>
      <c r="V159" s="274" t="str" cm="1">
        <f t="array" ref="V159">_xll.FDSB($C159,"CS_EVENT_DATEJ_N("&amp;$AA$18&amp;",4)")</f>
        <v/>
      </c>
      <c r="W159" s="282" t="str" cm="1">
        <f t="array" ref="W159">_xll.FDSB($C159,"CS_EVENT_TIME_N("&amp;$AA$18&amp;",4)")</f>
        <v/>
      </c>
      <c r="X159" s="282" t="str" cm="1">
        <f t="array" ref="X159">_xll.FDSB($C159,"CS_EVENT_DESC_N("&amp;$AA$18&amp;",4)")</f>
        <v/>
      </c>
    </row>
    <row r="160" spans="2:24" x14ac:dyDescent="0.15">
      <c r="B160" s="298">
        <f t="shared" si="4"/>
        <v>145</v>
      </c>
      <c r="C160" s="299" t="str">
        <v>XEL</v>
      </c>
      <c r="D160" s="300" t="str" cm="1">
        <f t="array" ref="D160">_xll.FDSB($C160,"FG_COMPANY_NAME")</f>
        <v>Xcel Energy Inc.</v>
      </c>
      <c r="E160" s="300"/>
      <c r="F160" s="274" cm="1">
        <f t="array" ref="F160">_xll.FDSB($C160,"CS_EVENT_DATEJ_N("&amp;$AA$18&amp;",1)")</f>
        <v>46226</v>
      </c>
      <c r="G160" s="282" t="str" cm="1">
        <f t="array" ref="G160">_xll.FDSB($C160,"CS_EVENT_TIME_N("&amp;$AA$18&amp;",1)")</f>
        <v>Unspecified</v>
      </c>
      <c r="H160" s="282" t="str" cm="1">
        <f t="array" ref="H160">_xll.FDSB($C160,"CS_EVENT_DESC_N("&amp;$AA$18&amp;",1)")</f>
        <v>Q2 2026 Earnings Release (Projected)</v>
      </c>
      <c r="I160" s="282"/>
      <c r="J160" s="274" t="str" cm="1">
        <f t="array" ref="J160">_xll.FDSB($C160,"CS_EVENT_DATEJ_N("&amp;$AB$18&amp;",1)")</f>
        <v/>
      </c>
      <c r="K160" s="282" t="str" cm="1">
        <f t="array" ref="K160">_xll.FDSB($C160,"CS_EVENT_TIME_N("&amp;$AB$18&amp;",1)")</f>
        <v/>
      </c>
      <c r="L160" s="282" t="str" cm="1">
        <f t="array" ref="L160">_xll.FDSB($C160,"CS_EVENT_DESC_N("&amp;$AB$18&amp;",1)")</f>
        <v/>
      </c>
      <c r="M160" s="300"/>
      <c r="N160" s="274" cm="1">
        <f t="array" ref="N160">_xll.FDSB($C160,"CS_EVENT_DATEJ_N("&amp;$AA$18&amp;",2)")</f>
        <v>46317</v>
      </c>
      <c r="O160" s="282" t="str" cm="1">
        <f t="array" ref="O160">_xll.FDSB($C160,"CS_EVENT_TIME_N("&amp;$AA$18&amp;",2)")</f>
        <v>Unspecified</v>
      </c>
      <c r="P160" s="282" t="str" cm="1">
        <f t="array" ref="P160">_xll.FDSB($C160,"CS_EVENT_DESC_N("&amp;$AA$18&amp;",2)")</f>
        <v>Q3 2026 Earnings Release (Projected)</v>
      </c>
      <c r="Q160" s="282"/>
      <c r="R160" s="274" cm="1">
        <f t="array" ref="R160">_xll.FDSB($C160,"CS_EVENT_DATEJ_N("&amp;$AA$18&amp;",3)")</f>
        <v>46506</v>
      </c>
      <c r="S160" s="282" t="str" cm="1">
        <f t="array" ref="S160">_xll.FDSB($C160,"CS_EVENT_TIME_N("&amp;$AA$18&amp;",3)")</f>
        <v>Unspecified</v>
      </c>
      <c r="T160" s="282" t="str" cm="1">
        <f t="array" ref="T160">_xll.FDSB($C160,"CS_EVENT_DESC_N("&amp;$AA$18&amp;",3)")</f>
        <v>Q1 2027 Earnings Release (Projected)</v>
      </c>
      <c r="U160" s="282"/>
      <c r="V160" s="274" t="str" cm="1">
        <f t="array" ref="V160">_xll.FDSB($C160,"CS_EVENT_DATEJ_N("&amp;$AA$18&amp;",4)")</f>
        <v/>
      </c>
      <c r="W160" s="282" t="str" cm="1">
        <f t="array" ref="W160">_xll.FDSB($C160,"CS_EVENT_TIME_N("&amp;$AA$18&amp;",4)")</f>
        <v/>
      </c>
      <c r="X160" s="282" t="str" cm="1">
        <f t="array" ref="X160">_xll.FDSB($C160,"CS_EVENT_DESC_N("&amp;$AA$18&amp;",4)")</f>
        <v/>
      </c>
    </row>
    <row r="161" spans="2:24" x14ac:dyDescent="0.15">
      <c r="B161" s="298">
        <f t="shared" si="4"/>
        <v>146</v>
      </c>
      <c r="C161" s="299" t="str">
        <v>LII</v>
      </c>
      <c r="D161" s="300" t="str" cm="1">
        <f t="array" ref="D161">_xll.FDSB($C161,"FG_COMPANY_NAME")</f>
        <v>Lennox International Inc.</v>
      </c>
      <c r="E161" s="300"/>
      <c r="F161" s="274" cm="1">
        <f t="array" ref="F161">_xll.FDSB($C161,"CS_EVENT_DATEJ_N("&amp;$AA$18&amp;",1)")</f>
        <v>46226</v>
      </c>
      <c r="G161" s="282" t="str" cm="1">
        <f t="array" ref="G161">_xll.FDSB($C161,"CS_EVENT_TIME_N("&amp;$AA$18&amp;",1)")</f>
        <v>Unspecified</v>
      </c>
      <c r="H161" s="282" t="str" cm="1">
        <f t="array" ref="H161">_xll.FDSB($C161,"CS_EVENT_DESC_N("&amp;$AA$18&amp;",1)")</f>
        <v>Q2 2026 Earnings Release (Projected)</v>
      </c>
      <c r="I161" s="282"/>
      <c r="J161" s="274" t="str" cm="1">
        <f t="array" ref="J161">_xll.FDSB($C161,"CS_EVENT_DATEJ_N("&amp;$AB$18&amp;",1)")</f>
        <v/>
      </c>
      <c r="K161" s="282" t="str" cm="1">
        <f t="array" ref="K161">_xll.FDSB($C161,"CS_EVENT_TIME_N("&amp;$AB$18&amp;",1)")</f>
        <v/>
      </c>
      <c r="L161" s="282" t="str" cm="1">
        <f t="array" ref="L161">_xll.FDSB($C161,"CS_EVENT_DESC_N("&amp;$AB$18&amp;",1)")</f>
        <v/>
      </c>
      <c r="M161" s="300"/>
      <c r="N161" s="274" cm="1">
        <f t="array" ref="N161">_xll.FDSB($C161,"CS_EVENT_DATEJ_N("&amp;$AA$18&amp;",2)")</f>
        <v>46317</v>
      </c>
      <c r="O161" s="282" t="str" cm="1">
        <f t="array" ref="O161">_xll.FDSB($C161,"CS_EVENT_TIME_N("&amp;$AA$18&amp;",2)")</f>
        <v>Unspecified</v>
      </c>
      <c r="P161" s="282" t="str" cm="1">
        <f t="array" ref="P161">_xll.FDSB($C161,"CS_EVENT_DESC_N("&amp;$AA$18&amp;",2)")</f>
        <v>Q3 2026 Earnings Release (Projected)</v>
      </c>
      <c r="Q161" s="282"/>
      <c r="R161" s="274" cm="1">
        <f t="array" ref="R161">_xll.FDSB($C161,"CS_EVENT_DATEJ_N("&amp;$AA$18&amp;",3)")</f>
        <v>46420</v>
      </c>
      <c r="S161" s="282" t="str" cm="1">
        <f t="array" ref="S161">_xll.FDSB($C161,"CS_EVENT_TIME_N("&amp;$AA$18&amp;",3)")</f>
        <v>Unspecified</v>
      </c>
      <c r="T161" s="282" t="str" cm="1">
        <f t="array" ref="T161">_xll.FDSB($C161,"CS_EVENT_DESC_N("&amp;$AA$18&amp;",3)")</f>
        <v>Q4 2026 Earnings Release (Projected)</v>
      </c>
      <c r="U161" s="282"/>
      <c r="V161" s="274" cm="1">
        <f t="array" ref="V161">_xll.FDSB($C161,"CS_EVENT_DATEJ_N("&amp;$AA$18&amp;",4)")</f>
        <v>46503</v>
      </c>
      <c r="W161" s="282" t="str" cm="1">
        <f t="array" ref="W161">_xll.FDSB($C161,"CS_EVENT_TIME_N("&amp;$AA$18&amp;",4)")</f>
        <v>Unspecified</v>
      </c>
      <c r="X161" s="282" t="str" cm="1">
        <f t="array" ref="X161">_xll.FDSB($C161,"CS_EVENT_DESC_N("&amp;$AA$18&amp;",4)")</f>
        <v>Q1 2027 Earnings Release (Projected)</v>
      </c>
    </row>
    <row r="162" spans="2:24" x14ac:dyDescent="0.15">
      <c r="B162" s="298">
        <f t="shared" si="4"/>
        <v>147</v>
      </c>
      <c r="C162" s="299" t="str">
        <v>CMS</v>
      </c>
      <c r="D162" s="300" t="str" cm="1">
        <f t="array" ref="D162">_xll.FDSB($C162,"FG_COMPANY_NAME")</f>
        <v>CMS Energy Corporation</v>
      </c>
      <c r="E162" s="300"/>
      <c r="F162" s="274" cm="1">
        <f t="array" ref="F162">_xll.FDSB($C162,"CS_EVENT_DATEJ_N("&amp;$AA$18&amp;",1)")</f>
        <v>46226</v>
      </c>
      <c r="G162" s="282" t="str" cm="1">
        <f t="array" ref="G162">_xll.FDSB($C162,"CS_EVENT_TIME_N("&amp;$AA$18&amp;",1)")</f>
        <v>Unspecified</v>
      </c>
      <c r="H162" s="282" t="str" cm="1">
        <f t="array" ref="H162">_xll.FDSB($C162,"CS_EVENT_DESC_N("&amp;$AA$18&amp;",1)")</f>
        <v>Q2 2026 Earnings Release (Projected)</v>
      </c>
      <c r="I162" s="282"/>
      <c r="J162" s="274" t="str" cm="1">
        <f t="array" ref="J162">_xll.FDSB($C162,"CS_EVENT_DATEJ_N("&amp;$AB$18&amp;",1)")</f>
        <v/>
      </c>
      <c r="K162" s="282" t="str" cm="1">
        <f t="array" ref="K162">_xll.FDSB($C162,"CS_EVENT_TIME_N("&amp;$AB$18&amp;",1)")</f>
        <v/>
      </c>
      <c r="L162" s="282" t="str" cm="1">
        <f t="array" ref="L162">_xll.FDSB($C162,"CS_EVENT_DESC_N("&amp;$AB$18&amp;",1)")</f>
        <v/>
      </c>
      <c r="M162" s="300"/>
      <c r="N162" s="274" cm="1">
        <f t="array" ref="N162">_xll.FDSB($C162,"CS_EVENT_DATEJ_N("&amp;$AA$18&amp;",2)")</f>
        <v>46317</v>
      </c>
      <c r="O162" s="282" t="str" cm="1">
        <f t="array" ref="O162">_xll.FDSB($C162,"CS_EVENT_TIME_N("&amp;$AA$18&amp;",2)")</f>
        <v>Unspecified</v>
      </c>
      <c r="P162" s="282" t="str" cm="1">
        <f t="array" ref="P162">_xll.FDSB($C162,"CS_EVENT_DESC_N("&amp;$AA$18&amp;",2)")</f>
        <v>Q3 2026 Earnings Release (Projected)</v>
      </c>
      <c r="Q162" s="282"/>
      <c r="R162" s="274" cm="1">
        <f t="array" ref="R162">_xll.FDSB($C162,"CS_EVENT_DATEJ_N("&amp;$AA$18&amp;",3)")</f>
        <v>46422</v>
      </c>
      <c r="S162" s="282" t="str" cm="1">
        <f t="array" ref="S162">_xll.FDSB($C162,"CS_EVENT_TIME_N("&amp;$AA$18&amp;",3)")</f>
        <v>Unspecified</v>
      </c>
      <c r="T162" s="282" t="str" cm="1">
        <f t="array" ref="T162">_xll.FDSB($C162,"CS_EVENT_DESC_N("&amp;$AA$18&amp;",3)")</f>
        <v>Q4 2026 Earnings Release (Projected)</v>
      </c>
      <c r="U162" s="282"/>
      <c r="V162" s="274" cm="1">
        <f t="array" ref="V162">_xll.FDSB($C162,"CS_EVENT_DATEJ_N("&amp;$AA$18&amp;",4)")</f>
        <v>46506</v>
      </c>
      <c r="W162" s="282" t="str" cm="1">
        <f t="array" ref="W162">_xll.FDSB($C162,"CS_EVENT_TIME_N("&amp;$AA$18&amp;",4)")</f>
        <v>Unspecified</v>
      </c>
      <c r="X162" s="282" t="str" cm="1">
        <f t="array" ref="X162">_xll.FDSB($C162,"CS_EVENT_DESC_N("&amp;$AA$18&amp;",4)")</f>
        <v>Q1 2027 Earnings Release (Projected)</v>
      </c>
    </row>
    <row r="163" spans="2:24" x14ac:dyDescent="0.15">
      <c r="B163" s="298">
        <f t="shared" si="4"/>
        <v>148</v>
      </c>
      <c r="C163" s="299" t="str">
        <v>MA</v>
      </c>
      <c r="D163" s="300" t="str" cm="1">
        <f t="array" ref="D163">_xll.FDSB($C163,"FG_COMPANY_NAME")</f>
        <v>Mastercard Incorporated Class A</v>
      </c>
      <c r="E163" s="300"/>
      <c r="F163" s="274" cm="1">
        <f t="array" ref="F163">_xll.FDSB($C163,"CS_EVENT_DATEJ_N("&amp;$AA$18&amp;",1)")</f>
        <v>46226</v>
      </c>
      <c r="G163" s="282" t="str" cm="1">
        <f t="array" ref="G163">_xll.FDSB($C163,"CS_EVENT_TIME_N("&amp;$AA$18&amp;",1)")</f>
        <v>Unspecified</v>
      </c>
      <c r="H163" s="282" t="str" cm="1">
        <f t="array" ref="H163">_xll.FDSB($C163,"CS_EVENT_DESC_N("&amp;$AA$18&amp;",1)")</f>
        <v>Q2 2026 Earnings Release (Projected)</v>
      </c>
      <c r="I163" s="282"/>
      <c r="J163" s="274" t="str" cm="1">
        <f t="array" ref="J163">_xll.FDSB($C163,"CS_EVENT_DATEJ_N("&amp;$AB$18&amp;",1)")</f>
        <v/>
      </c>
      <c r="K163" s="282" t="str" cm="1">
        <f t="array" ref="K163">_xll.FDSB($C163,"CS_EVENT_TIME_N("&amp;$AB$18&amp;",1)")</f>
        <v/>
      </c>
      <c r="L163" s="282" t="str" cm="1">
        <f t="array" ref="L163">_xll.FDSB($C163,"CS_EVENT_DESC_N("&amp;$AB$18&amp;",1)")</f>
        <v/>
      </c>
      <c r="M163" s="300"/>
      <c r="N163" s="274" cm="1">
        <f t="array" ref="N163">_xll.FDSB($C163,"CS_EVENT_DATEJ_N("&amp;$AA$18&amp;",2)")</f>
        <v>46317</v>
      </c>
      <c r="O163" s="282" t="str" cm="1">
        <f t="array" ref="O163">_xll.FDSB($C163,"CS_EVENT_TIME_N("&amp;$AA$18&amp;",2)")</f>
        <v>Unspecified</v>
      </c>
      <c r="P163" s="282" t="str" cm="1">
        <f t="array" ref="P163">_xll.FDSB($C163,"CS_EVENT_DESC_N("&amp;$AA$18&amp;",2)")</f>
        <v>Q3 2026 Earnings Release (Projected)</v>
      </c>
      <c r="Q163" s="282"/>
      <c r="R163" s="274" cm="1">
        <f t="array" ref="R163">_xll.FDSB($C163,"CS_EVENT_DATEJ_N("&amp;$AA$18&amp;",3)")</f>
        <v>46415</v>
      </c>
      <c r="S163" s="282" t="str" cm="1">
        <f t="array" ref="S163">_xll.FDSB($C163,"CS_EVENT_TIME_N("&amp;$AA$18&amp;",3)")</f>
        <v>Unspecified</v>
      </c>
      <c r="T163" s="282" t="str" cm="1">
        <f t="array" ref="T163">_xll.FDSB($C163,"CS_EVENT_DESC_N("&amp;$AA$18&amp;",3)")</f>
        <v>Q4 2026 Earnings Release (Projected)</v>
      </c>
      <c r="U163" s="282"/>
      <c r="V163" s="274" cm="1">
        <f t="array" ref="V163">_xll.FDSB($C163,"CS_EVENT_DATEJ_N("&amp;$AA$18&amp;",4)")</f>
        <v>46506</v>
      </c>
      <c r="W163" s="282" t="str" cm="1">
        <f t="array" ref="W163">_xll.FDSB($C163,"CS_EVENT_TIME_N("&amp;$AA$18&amp;",4)")</f>
        <v>Unspecified</v>
      </c>
      <c r="X163" s="282" t="str" cm="1">
        <f t="array" ref="X163">_xll.FDSB($C163,"CS_EVENT_DESC_N("&amp;$AA$18&amp;",4)")</f>
        <v>Q1 2027 Earnings Release (Projected)</v>
      </c>
    </row>
    <row r="164" spans="2:24" x14ac:dyDescent="0.15">
      <c r="B164" s="298">
        <f t="shared" si="4"/>
        <v>149</v>
      </c>
      <c r="C164" s="299" t="str">
        <v>DXCM</v>
      </c>
      <c r="D164" s="300" t="str" cm="1">
        <f t="array" ref="D164">_xll.FDSB($C164,"FG_COMPANY_NAME")</f>
        <v>DexCom, Inc.</v>
      </c>
      <c r="E164" s="300"/>
      <c r="F164" s="274" cm="1">
        <f t="array" ref="F164">_xll.FDSB($C164,"CS_EVENT_DATEJ_N("&amp;$AA$18&amp;",1)")</f>
        <v>46226</v>
      </c>
      <c r="G164" s="282" t="str" cm="1">
        <f t="array" ref="G164">_xll.FDSB($C164,"CS_EVENT_TIME_N("&amp;$AA$18&amp;",1)")</f>
        <v>Unspecified</v>
      </c>
      <c r="H164" s="282" t="str" cm="1">
        <f t="array" ref="H164">_xll.FDSB($C164,"CS_EVENT_DESC_N("&amp;$AA$18&amp;",1)")</f>
        <v>Q2 2026 Earnings Release (Projected)</v>
      </c>
      <c r="I164" s="282"/>
      <c r="J164" s="274" t="str" cm="1">
        <f t="array" ref="J164">_xll.FDSB($C164,"CS_EVENT_DATEJ_N("&amp;$AB$18&amp;",1)")</f>
        <v/>
      </c>
      <c r="K164" s="282" t="str" cm="1">
        <f t="array" ref="K164">_xll.FDSB($C164,"CS_EVENT_TIME_N("&amp;$AB$18&amp;",1)")</f>
        <v/>
      </c>
      <c r="L164" s="282" t="str" cm="1">
        <f t="array" ref="L164">_xll.FDSB($C164,"CS_EVENT_DESC_N("&amp;$AB$18&amp;",1)")</f>
        <v/>
      </c>
      <c r="M164" s="300"/>
      <c r="N164" s="274" cm="1">
        <f t="array" ref="N164">_xll.FDSB($C164,"CS_EVENT_DATEJ_N("&amp;$AA$18&amp;",2)")</f>
        <v>46317</v>
      </c>
      <c r="O164" s="282" t="str" cm="1">
        <f t="array" ref="O164">_xll.FDSB($C164,"CS_EVENT_TIME_N("&amp;$AA$18&amp;",2)")</f>
        <v>Unspecified</v>
      </c>
      <c r="P164" s="282" t="str" cm="1">
        <f t="array" ref="P164">_xll.FDSB($C164,"CS_EVENT_DESC_N("&amp;$AA$18&amp;",2)")</f>
        <v>Q3 2026 Earnings Release (Projected)</v>
      </c>
      <c r="Q164" s="282"/>
      <c r="R164" s="274" cm="1">
        <f t="array" ref="R164">_xll.FDSB($C164,"CS_EVENT_DATEJ_N("&amp;$AA$18&amp;",3)")</f>
        <v>46429</v>
      </c>
      <c r="S164" s="282" t="str" cm="1">
        <f t="array" ref="S164">_xll.FDSB($C164,"CS_EVENT_TIME_N("&amp;$AA$18&amp;",3)")</f>
        <v>Unspecified</v>
      </c>
      <c r="T164" s="282" t="str" cm="1">
        <f t="array" ref="T164">_xll.FDSB($C164,"CS_EVENT_DESC_N("&amp;$AA$18&amp;",3)")</f>
        <v>Q4 2026 Earnings Release (Projected)</v>
      </c>
      <c r="U164" s="282"/>
      <c r="V164" s="274" cm="1">
        <f t="array" ref="V164">_xll.FDSB($C164,"CS_EVENT_DATEJ_N("&amp;$AA$18&amp;",4)")</f>
        <v>46506</v>
      </c>
      <c r="W164" s="282" t="str" cm="1">
        <f t="array" ref="W164">_xll.FDSB($C164,"CS_EVENT_TIME_N("&amp;$AA$18&amp;",4)")</f>
        <v>Unspecified</v>
      </c>
      <c r="X164" s="282" t="str" cm="1">
        <f t="array" ref="X164">_xll.FDSB($C164,"CS_EVENT_DESC_N("&amp;$AA$18&amp;",4)")</f>
        <v>Q1 2027 Earnings Release (Projected)</v>
      </c>
    </row>
    <row r="165" spans="2:24" x14ac:dyDescent="0.15">
      <c r="B165" s="298">
        <f t="shared" si="4"/>
        <v>150</v>
      </c>
      <c r="C165" s="299" t="str">
        <v>ALLE</v>
      </c>
      <c r="D165" s="300" t="str" cm="1">
        <f t="array" ref="D165">_xll.FDSB($C165,"FG_COMPANY_NAME")</f>
        <v>Allegion Public Limited Company</v>
      </c>
      <c r="E165" s="300"/>
      <c r="F165" s="274" cm="1">
        <f t="array" ref="F165">_xll.FDSB($C165,"CS_EVENT_DATEJ_N("&amp;$AA$18&amp;",1)")</f>
        <v>46226</v>
      </c>
      <c r="G165" s="282" t="str" cm="1">
        <f t="array" ref="G165">_xll.FDSB($C165,"CS_EVENT_TIME_N("&amp;$AA$18&amp;",1)")</f>
        <v>Unspecified</v>
      </c>
      <c r="H165" s="282" t="str" cm="1">
        <f t="array" ref="H165">_xll.FDSB($C165,"CS_EVENT_DESC_N("&amp;$AA$18&amp;",1)")</f>
        <v>Q2 2026 Earnings Release (Projected)</v>
      </c>
      <c r="I165" s="282"/>
      <c r="J165" s="274" t="str" cm="1">
        <f t="array" ref="J165">_xll.FDSB($C165,"CS_EVENT_DATEJ_N("&amp;$AB$18&amp;",1)")</f>
        <v/>
      </c>
      <c r="K165" s="282" t="str" cm="1">
        <f t="array" ref="K165">_xll.FDSB($C165,"CS_EVENT_TIME_N("&amp;$AB$18&amp;",1)")</f>
        <v/>
      </c>
      <c r="L165" s="282" t="str" cm="1">
        <f t="array" ref="L165">_xll.FDSB($C165,"CS_EVENT_DESC_N("&amp;$AB$18&amp;",1)")</f>
        <v/>
      </c>
      <c r="M165" s="300"/>
      <c r="N165" s="274" cm="1">
        <f t="array" ref="N165">_xll.FDSB($C165,"CS_EVENT_DATEJ_N("&amp;$AA$18&amp;",2)")</f>
        <v>46317</v>
      </c>
      <c r="O165" s="282" t="str" cm="1">
        <f t="array" ref="O165">_xll.FDSB($C165,"CS_EVENT_TIME_N("&amp;$AA$18&amp;",2)")</f>
        <v>Unspecified</v>
      </c>
      <c r="P165" s="282" t="str" cm="1">
        <f t="array" ref="P165">_xll.FDSB($C165,"CS_EVENT_DESC_N("&amp;$AA$18&amp;",2)")</f>
        <v>Q3 2026 Earnings Release (Projected)</v>
      </c>
      <c r="Q165" s="282"/>
      <c r="R165" s="274" cm="1">
        <f t="array" ref="R165">_xll.FDSB($C165,"CS_EVENT_DATEJ_N("&amp;$AA$18&amp;",3)")</f>
        <v>46441</v>
      </c>
      <c r="S165" s="282" t="str" cm="1">
        <f t="array" ref="S165">_xll.FDSB($C165,"CS_EVENT_TIME_N("&amp;$AA$18&amp;",3)")</f>
        <v>Unspecified</v>
      </c>
      <c r="T165" s="282" t="str" cm="1">
        <f t="array" ref="T165">_xll.FDSB($C165,"CS_EVENT_DESC_N("&amp;$AA$18&amp;",3)")</f>
        <v>Q4 2026 Earnings Release (Projected)</v>
      </c>
      <c r="U165" s="282"/>
      <c r="V165" s="274" cm="1">
        <f t="array" ref="V165">_xll.FDSB($C165,"CS_EVENT_DATEJ_N("&amp;$AA$18&amp;",4)")</f>
        <v>46506</v>
      </c>
      <c r="W165" s="282" t="str" cm="1">
        <f t="array" ref="W165">_xll.FDSB($C165,"CS_EVENT_TIME_N("&amp;$AA$18&amp;",4)")</f>
        <v>Unspecified</v>
      </c>
      <c r="X165" s="282" t="str" cm="1">
        <f t="array" ref="X165">_xll.FDSB($C165,"CS_EVENT_DESC_N("&amp;$AA$18&amp;",4)")</f>
        <v>Q1 2027 Earnings Release (Projected)</v>
      </c>
    </row>
    <row r="166" spans="2:24" x14ac:dyDescent="0.15">
      <c r="B166" s="298">
        <f t="shared" si="4"/>
        <v>151</v>
      </c>
      <c r="C166" s="299" t="str">
        <v>DLR</v>
      </c>
      <c r="D166" s="300" t="str" cm="1">
        <f t="array" ref="D166">_xll.FDSB($C166,"FG_COMPANY_NAME")</f>
        <v>Digital Realty Trust, Inc.</v>
      </c>
      <c r="E166" s="300"/>
      <c r="F166" s="274" cm="1">
        <f t="array" ref="F166">_xll.FDSB($C166,"CS_EVENT_DATEJ_N("&amp;$AA$18&amp;",1)")</f>
        <v>46226</v>
      </c>
      <c r="G166" s="282" t="str" cm="1">
        <f t="array" ref="G166">_xll.FDSB($C166,"CS_EVENT_TIME_N("&amp;$AA$18&amp;",1)")</f>
        <v>Unspecified</v>
      </c>
      <c r="H166" s="282" t="str" cm="1">
        <f t="array" ref="H166">_xll.FDSB($C166,"CS_EVENT_DESC_N("&amp;$AA$18&amp;",1)")</f>
        <v>Q2 2026 Earnings Release (Projected)</v>
      </c>
      <c r="I166" s="282"/>
      <c r="J166" s="274" t="str" cm="1">
        <f t="array" ref="J166">_xll.FDSB($C166,"CS_EVENT_DATEJ_N("&amp;$AB$18&amp;",1)")</f>
        <v/>
      </c>
      <c r="K166" s="282" t="str" cm="1">
        <f t="array" ref="K166">_xll.FDSB($C166,"CS_EVENT_TIME_N("&amp;$AB$18&amp;",1)")</f>
        <v/>
      </c>
      <c r="L166" s="282" t="str" cm="1">
        <f t="array" ref="L166">_xll.FDSB($C166,"CS_EVENT_DESC_N("&amp;$AB$18&amp;",1)")</f>
        <v/>
      </c>
      <c r="M166" s="300"/>
      <c r="N166" s="274" cm="1">
        <f t="array" ref="N166">_xll.FDSB($C166,"CS_EVENT_DATEJ_N("&amp;$AA$18&amp;",2)")</f>
        <v>46317</v>
      </c>
      <c r="O166" s="282" t="str" cm="1">
        <f t="array" ref="O166">_xll.FDSB($C166,"CS_EVENT_TIME_N("&amp;$AA$18&amp;",2)")</f>
        <v>Unspecified</v>
      </c>
      <c r="P166" s="282" t="str" cm="1">
        <f t="array" ref="P166">_xll.FDSB($C166,"CS_EVENT_DESC_N("&amp;$AA$18&amp;",2)")</f>
        <v>Q3 2026 Earnings Release (Projected)</v>
      </c>
      <c r="Q166" s="282"/>
      <c r="R166" s="274" cm="1">
        <f t="array" ref="R166">_xll.FDSB($C166,"CS_EVENT_DATEJ_N("&amp;$AA$18&amp;",3)")</f>
        <v>46506</v>
      </c>
      <c r="S166" s="282" t="str" cm="1">
        <f t="array" ref="S166">_xll.FDSB($C166,"CS_EVENT_TIME_N("&amp;$AA$18&amp;",3)")</f>
        <v>Unspecified</v>
      </c>
      <c r="T166" s="282" t="str" cm="1">
        <f t="array" ref="T166">_xll.FDSB($C166,"CS_EVENT_DESC_N("&amp;$AA$18&amp;",3)")</f>
        <v>Q1 2027 Earnings Release (Projected)</v>
      </c>
      <c r="U166" s="282"/>
      <c r="V166" s="274" t="str" cm="1">
        <f t="array" ref="V166">_xll.FDSB($C166,"CS_EVENT_DATEJ_N("&amp;$AA$18&amp;",4)")</f>
        <v/>
      </c>
      <c r="W166" s="282" t="str" cm="1">
        <f t="array" ref="W166">_xll.FDSB($C166,"CS_EVENT_TIME_N("&amp;$AA$18&amp;",4)")</f>
        <v/>
      </c>
      <c r="X166" s="282" t="str" cm="1">
        <f t="array" ref="X166">_xll.FDSB($C166,"CS_EVENT_DESC_N("&amp;$AA$18&amp;",4)")</f>
        <v/>
      </c>
    </row>
    <row r="167" spans="2:24" x14ac:dyDescent="0.15">
      <c r="B167" s="298">
        <f t="shared" si="4"/>
        <v>152</v>
      </c>
      <c r="C167" s="299" t="str">
        <v>KDP</v>
      </c>
      <c r="D167" s="300" t="str" cm="1">
        <f t="array" ref="D167">_xll.FDSB($C167,"FG_COMPANY_NAME")</f>
        <v>Keurig Dr Pepper Inc.</v>
      </c>
      <c r="E167" s="300"/>
      <c r="F167" s="274" cm="1">
        <f t="array" ref="F167">_xll.FDSB($C167,"CS_EVENT_DATEJ_N("&amp;$AA$18&amp;",1)")</f>
        <v>46226</v>
      </c>
      <c r="G167" s="282" t="str" cm="1">
        <f t="array" ref="G167">_xll.FDSB($C167,"CS_EVENT_TIME_N("&amp;$AA$18&amp;",1)")</f>
        <v>Unspecified</v>
      </c>
      <c r="H167" s="282" t="str" cm="1">
        <f t="array" ref="H167">_xll.FDSB($C167,"CS_EVENT_DESC_N("&amp;$AA$18&amp;",1)")</f>
        <v>Q2 2026 Earnings Release (Projected)</v>
      </c>
      <c r="I167" s="282"/>
      <c r="J167" s="274" t="str" cm="1">
        <f t="array" ref="J167">_xll.FDSB($C167,"CS_EVENT_DATEJ_N("&amp;$AB$18&amp;",1)")</f>
        <v/>
      </c>
      <c r="K167" s="282" t="str" cm="1">
        <f t="array" ref="K167">_xll.FDSB($C167,"CS_EVENT_TIME_N("&amp;$AB$18&amp;",1)")</f>
        <v/>
      </c>
      <c r="L167" s="282" t="str" cm="1">
        <f t="array" ref="L167">_xll.FDSB($C167,"CS_EVENT_DESC_N("&amp;$AB$18&amp;",1)")</f>
        <v/>
      </c>
      <c r="M167" s="300"/>
      <c r="N167" s="274" cm="1">
        <f t="array" ref="N167">_xll.FDSB($C167,"CS_EVENT_DATEJ_N("&amp;$AA$18&amp;",2)")</f>
        <v>46317</v>
      </c>
      <c r="O167" s="282" t="str" cm="1">
        <f t="array" ref="O167">_xll.FDSB($C167,"CS_EVENT_TIME_N("&amp;$AA$18&amp;",2)")</f>
        <v>Unspecified</v>
      </c>
      <c r="P167" s="282" t="str" cm="1">
        <f t="array" ref="P167">_xll.FDSB($C167,"CS_EVENT_DESC_N("&amp;$AA$18&amp;",2)")</f>
        <v>Q3 2026 Earnings Release (Projected)</v>
      </c>
      <c r="Q167" s="282"/>
      <c r="R167" s="274" cm="1">
        <f t="array" ref="R167">_xll.FDSB($C167,"CS_EVENT_DATEJ_N("&amp;$AA$18&amp;",3)")</f>
        <v>46443</v>
      </c>
      <c r="S167" s="282" t="str" cm="1">
        <f t="array" ref="S167">_xll.FDSB($C167,"CS_EVENT_TIME_N("&amp;$AA$18&amp;",3)")</f>
        <v>Unspecified</v>
      </c>
      <c r="T167" s="282" t="str" cm="1">
        <f t="array" ref="T167">_xll.FDSB($C167,"CS_EVENT_DESC_N("&amp;$AA$18&amp;",3)")</f>
        <v>Q4 2026 Earnings Release (Projected)</v>
      </c>
      <c r="U167" s="282"/>
      <c r="V167" s="274" cm="1">
        <f t="array" ref="V167">_xll.FDSB($C167,"CS_EVENT_DATEJ_N("&amp;$AA$18&amp;",4)")</f>
        <v>46506</v>
      </c>
      <c r="W167" s="282" t="str" cm="1">
        <f t="array" ref="W167">_xll.FDSB($C167,"CS_EVENT_TIME_N("&amp;$AA$18&amp;",4)")</f>
        <v>Unspecified</v>
      </c>
      <c r="X167" s="282" t="str" cm="1">
        <f t="array" ref="X167">_xll.FDSB($C167,"CS_EVENT_DESC_N("&amp;$AA$18&amp;",4)")</f>
        <v>Q1 2027 Earnings Release (Projected)</v>
      </c>
    </row>
    <row r="168" spans="2:24" x14ac:dyDescent="0.15">
      <c r="B168" s="298">
        <f t="shared" si="4"/>
        <v>153</v>
      </c>
      <c r="C168" s="299" t="str">
        <v>HCA</v>
      </c>
      <c r="D168" s="300" t="str" cm="1">
        <f t="array" ref="D168">_xll.FDSB($C168,"FG_COMPANY_NAME")</f>
        <v>HCA Healthcare Inc</v>
      </c>
      <c r="E168" s="300"/>
      <c r="F168" s="274" cm="1">
        <f t="array" ref="F168">_xll.FDSB($C168,"CS_EVENT_DATEJ_N("&amp;$AA$18&amp;",1)")</f>
        <v>46226</v>
      </c>
      <c r="G168" s="282" t="str" cm="1">
        <f t="array" ref="G168">_xll.FDSB($C168,"CS_EVENT_TIME_N("&amp;$AA$18&amp;",1)")</f>
        <v>Unspecified</v>
      </c>
      <c r="H168" s="282" t="str" cm="1">
        <f t="array" ref="H168">_xll.FDSB($C168,"CS_EVENT_DESC_N("&amp;$AA$18&amp;",1)")</f>
        <v>Q2 2026 Earnings Release (Projected)</v>
      </c>
      <c r="I168" s="282"/>
      <c r="J168" s="274" t="str" cm="1">
        <f t="array" ref="J168">_xll.FDSB($C168,"CS_EVENT_DATEJ_N("&amp;$AB$18&amp;",1)")</f>
        <v/>
      </c>
      <c r="K168" s="282" t="str" cm="1">
        <f t="array" ref="K168">_xll.FDSB($C168,"CS_EVENT_TIME_N("&amp;$AB$18&amp;",1)")</f>
        <v/>
      </c>
      <c r="L168" s="282" t="str" cm="1">
        <f t="array" ref="L168">_xll.FDSB($C168,"CS_EVENT_DESC_N("&amp;$AB$18&amp;",1)")</f>
        <v/>
      </c>
      <c r="M168" s="300"/>
      <c r="N168" s="274" cm="1">
        <f t="array" ref="N168">_xll.FDSB($C168,"CS_EVENT_DATEJ_N("&amp;$AA$18&amp;",2)")</f>
        <v>46318</v>
      </c>
      <c r="O168" s="282" t="str" cm="1">
        <f t="array" ref="O168">_xll.FDSB($C168,"CS_EVENT_TIME_N("&amp;$AA$18&amp;",2)")</f>
        <v>Unspecified</v>
      </c>
      <c r="P168" s="282" t="str" cm="1">
        <f t="array" ref="P168">_xll.FDSB($C168,"CS_EVENT_DESC_N("&amp;$AA$18&amp;",2)")</f>
        <v>Q3 2026 Earnings Release (Projected)</v>
      </c>
      <c r="Q168" s="282"/>
      <c r="R168" s="274" cm="1">
        <f t="array" ref="R168">_xll.FDSB($C168,"CS_EVENT_DATEJ_N("&amp;$AA$18&amp;",3)")</f>
        <v>46420</v>
      </c>
      <c r="S168" s="282" t="str" cm="1">
        <f t="array" ref="S168">_xll.FDSB($C168,"CS_EVENT_TIME_N("&amp;$AA$18&amp;",3)")</f>
        <v>Unspecified</v>
      </c>
      <c r="T168" s="282" t="str" cm="1">
        <f t="array" ref="T168">_xll.FDSB($C168,"CS_EVENT_DESC_N("&amp;$AA$18&amp;",3)")</f>
        <v>Q4 2026 Earnings Release (Projected)</v>
      </c>
      <c r="U168" s="282"/>
      <c r="V168" s="274" cm="1">
        <f t="array" ref="V168">_xll.FDSB($C168,"CS_EVENT_DATEJ_N("&amp;$AA$18&amp;",4)")</f>
        <v>46493</v>
      </c>
      <c r="W168" s="282" t="str" cm="1">
        <f t="array" ref="W168">_xll.FDSB($C168,"CS_EVENT_TIME_N("&amp;$AA$18&amp;",4)")</f>
        <v>Unspecified</v>
      </c>
      <c r="X168" s="282" t="str" cm="1">
        <f t="array" ref="X168">_xll.FDSB($C168,"CS_EVENT_DESC_N("&amp;$AA$18&amp;",4)")</f>
        <v>Q1 2027 Earnings Release (Projected)</v>
      </c>
    </row>
    <row r="169" spans="2:24" x14ac:dyDescent="0.15">
      <c r="B169" s="298">
        <f t="shared" si="4"/>
        <v>154</v>
      </c>
      <c r="C169" s="299" t="str">
        <v>CMCSA</v>
      </c>
      <c r="D169" s="300" t="str" cm="1">
        <f t="array" ref="D169">_xll.FDSB($C169,"FG_COMPANY_NAME")</f>
        <v>Comcast Corporation Class A</v>
      </c>
      <c r="E169" s="300"/>
      <c r="F169" s="274" cm="1">
        <f t="array" ref="F169">_xll.FDSB($C169,"CS_EVENT_DATEJ_N("&amp;$AA$18&amp;",1)")</f>
        <v>46226</v>
      </c>
      <c r="G169" s="282" t="str" cm="1">
        <f t="array" ref="G169">_xll.FDSB($C169,"CS_EVENT_TIME_N("&amp;$AA$18&amp;",1)")</f>
        <v>Unspecified</v>
      </c>
      <c r="H169" s="282" t="str" cm="1">
        <f t="array" ref="H169">_xll.FDSB($C169,"CS_EVENT_DESC_N("&amp;$AA$18&amp;",1)")</f>
        <v>Q2 2026 Earnings Release (Projected)</v>
      </c>
      <c r="I169" s="282"/>
      <c r="J169" s="274" t="str" cm="1">
        <f t="array" ref="J169">_xll.FDSB($C169,"CS_EVENT_DATEJ_N("&amp;$AB$18&amp;",1)")</f>
        <v/>
      </c>
      <c r="K169" s="282" t="str" cm="1">
        <f t="array" ref="K169">_xll.FDSB($C169,"CS_EVENT_TIME_N("&amp;$AB$18&amp;",1)")</f>
        <v/>
      </c>
      <c r="L169" s="282" t="str" cm="1">
        <f t="array" ref="L169">_xll.FDSB($C169,"CS_EVENT_DESC_N("&amp;$AB$18&amp;",1)")</f>
        <v/>
      </c>
      <c r="M169" s="300"/>
      <c r="N169" s="274" cm="1">
        <f t="array" ref="N169">_xll.FDSB($C169,"CS_EVENT_DATEJ_N("&amp;$AA$18&amp;",2)")</f>
        <v>46324</v>
      </c>
      <c r="O169" s="282" t="str" cm="1">
        <f t="array" ref="O169">_xll.FDSB($C169,"CS_EVENT_TIME_N("&amp;$AA$18&amp;",2)")</f>
        <v>Unspecified</v>
      </c>
      <c r="P169" s="282" t="str" cm="1">
        <f t="array" ref="P169">_xll.FDSB($C169,"CS_EVENT_DESC_N("&amp;$AA$18&amp;",2)")</f>
        <v>Q3 2026 Earnings Release (Projected)</v>
      </c>
      <c r="Q169" s="282"/>
      <c r="R169" s="274" cm="1">
        <f t="array" ref="R169">_xll.FDSB($C169,"CS_EVENT_DATEJ_N("&amp;$AA$18&amp;",3)")</f>
        <v>46506</v>
      </c>
      <c r="S169" s="282" t="str" cm="1">
        <f t="array" ref="S169">_xll.FDSB($C169,"CS_EVENT_TIME_N("&amp;$AA$18&amp;",3)")</f>
        <v>Unspecified</v>
      </c>
      <c r="T169" s="282" t="str" cm="1">
        <f t="array" ref="T169">_xll.FDSB($C169,"CS_EVENT_DESC_N("&amp;$AA$18&amp;",3)")</f>
        <v>Q1 2027 Earnings Release (Projected)</v>
      </c>
      <c r="U169" s="282"/>
      <c r="V169" s="274" t="str" cm="1">
        <f t="array" ref="V169">_xll.FDSB($C169,"CS_EVENT_DATEJ_N("&amp;$AA$18&amp;",4)")</f>
        <v/>
      </c>
      <c r="W169" s="282" t="str" cm="1">
        <f t="array" ref="W169">_xll.FDSB($C169,"CS_EVENT_TIME_N("&amp;$AA$18&amp;",4)")</f>
        <v/>
      </c>
      <c r="X169" s="282" t="str" cm="1">
        <f t="array" ref="X169">_xll.FDSB($C169,"CS_EVENT_DESC_N("&amp;$AA$18&amp;",4)")</f>
        <v/>
      </c>
    </row>
    <row r="170" spans="2:24" x14ac:dyDescent="0.15">
      <c r="B170" s="298">
        <f t="shared" si="4"/>
        <v>155</v>
      </c>
      <c r="C170" s="299" t="str">
        <v>CBRE</v>
      </c>
      <c r="D170" s="300" t="str" cm="1">
        <f t="array" ref="D170">_xll.FDSB($C170,"FG_COMPANY_NAME")</f>
        <v>CBRE Group, Inc. Class A</v>
      </c>
      <c r="E170" s="300"/>
      <c r="F170" s="274" cm="1">
        <f t="array" ref="F170">_xll.FDSB($C170,"CS_EVENT_DATEJ_N("&amp;$AA$18&amp;",1)")</f>
        <v>46226</v>
      </c>
      <c r="G170" s="282" t="str" cm="1">
        <f t="array" ref="G170">_xll.FDSB($C170,"CS_EVENT_TIME_N("&amp;$AA$18&amp;",1)")</f>
        <v>Unspecified</v>
      </c>
      <c r="H170" s="282" t="str" cm="1">
        <f t="array" ref="H170">_xll.FDSB($C170,"CS_EVENT_DESC_N("&amp;$AA$18&amp;",1)")</f>
        <v>Q2 2026 Earnings Release (Projected)</v>
      </c>
      <c r="I170" s="282"/>
      <c r="J170" s="274" t="str" cm="1">
        <f t="array" ref="J170">_xll.FDSB($C170,"CS_EVENT_DATEJ_N("&amp;$AB$18&amp;",1)")</f>
        <v/>
      </c>
      <c r="K170" s="282" t="str" cm="1">
        <f t="array" ref="K170">_xll.FDSB($C170,"CS_EVENT_TIME_N("&amp;$AB$18&amp;",1)")</f>
        <v/>
      </c>
      <c r="L170" s="282" t="str" cm="1">
        <f t="array" ref="L170">_xll.FDSB($C170,"CS_EVENT_DESC_N("&amp;$AB$18&amp;",1)")</f>
        <v/>
      </c>
      <c r="M170" s="300"/>
      <c r="N170" s="274" cm="1">
        <f t="array" ref="N170">_xll.FDSB($C170,"CS_EVENT_DATEJ_N("&amp;$AA$18&amp;",2)")</f>
        <v>46317</v>
      </c>
      <c r="O170" s="282" t="str" cm="1">
        <f t="array" ref="O170">_xll.FDSB($C170,"CS_EVENT_TIME_N("&amp;$AA$18&amp;",2)")</f>
        <v>Unspecified</v>
      </c>
      <c r="P170" s="282" t="str" cm="1">
        <f t="array" ref="P170">_xll.FDSB($C170,"CS_EVENT_DESC_N("&amp;$AA$18&amp;",2)")</f>
        <v>Q3 2026 Earnings Release (Projected)</v>
      </c>
      <c r="Q170" s="282"/>
      <c r="R170" s="274" cm="1">
        <f t="array" ref="R170">_xll.FDSB($C170,"CS_EVENT_DATEJ_N("&amp;$AA$18&amp;",3)")</f>
        <v>46443</v>
      </c>
      <c r="S170" s="282" t="str" cm="1">
        <f t="array" ref="S170">_xll.FDSB($C170,"CS_EVENT_TIME_N("&amp;$AA$18&amp;",3)")</f>
        <v>Unspecified</v>
      </c>
      <c r="T170" s="282" t="str" cm="1">
        <f t="array" ref="T170">_xll.FDSB($C170,"CS_EVENT_DESC_N("&amp;$AA$18&amp;",3)")</f>
        <v>Q4 2026 Earnings Release (Projected)</v>
      </c>
      <c r="U170" s="282"/>
      <c r="V170" s="274" cm="1">
        <f t="array" ref="V170">_xll.FDSB($C170,"CS_EVENT_DATEJ_N("&amp;$AA$18&amp;",4)")</f>
        <v>46506</v>
      </c>
      <c r="W170" s="282" t="str" cm="1">
        <f t="array" ref="W170">_xll.FDSB($C170,"CS_EVENT_TIME_N("&amp;$AA$18&amp;",4)")</f>
        <v>Unspecified</v>
      </c>
      <c r="X170" s="282" t="str" cm="1">
        <f t="array" ref="X170">_xll.FDSB($C170,"CS_EVENT_DESC_N("&amp;$AA$18&amp;",4)")</f>
        <v>Q1 2027 Earnings Release (Projected)</v>
      </c>
    </row>
    <row r="171" spans="2:24" x14ac:dyDescent="0.15">
      <c r="B171" s="298">
        <f t="shared" si="4"/>
        <v>156</v>
      </c>
      <c r="C171" s="299" t="str">
        <v>DOC</v>
      </c>
      <c r="D171" s="300" t="str" cm="1">
        <f t="array" ref="D171">_xll.FDSB($C171,"FG_COMPANY_NAME")</f>
        <v>Healthpeak Properties, Inc.</v>
      </c>
      <c r="E171" s="300"/>
      <c r="F171" s="274" cm="1">
        <f t="array" ref="F171">_xll.FDSB($C171,"CS_EVENT_DATEJ_N("&amp;$AA$18&amp;",1)")</f>
        <v>46226</v>
      </c>
      <c r="G171" s="282" t="str" cm="1">
        <f t="array" ref="G171">_xll.FDSB($C171,"CS_EVENT_TIME_N("&amp;$AA$18&amp;",1)")</f>
        <v>Unspecified</v>
      </c>
      <c r="H171" s="282" t="str" cm="1">
        <f t="array" ref="H171">_xll.FDSB($C171,"CS_EVENT_DESC_N("&amp;$AA$18&amp;",1)")</f>
        <v>Q2 2026 Earnings Release (Projected)</v>
      </c>
      <c r="I171" s="282"/>
      <c r="J171" s="274" t="str" cm="1">
        <f t="array" ref="J171">_xll.FDSB($C171,"CS_EVENT_DATEJ_N("&amp;$AB$18&amp;",1)")</f>
        <v/>
      </c>
      <c r="K171" s="282" t="str" cm="1">
        <f t="array" ref="K171">_xll.FDSB($C171,"CS_EVENT_TIME_N("&amp;$AB$18&amp;",1)")</f>
        <v/>
      </c>
      <c r="L171" s="282" t="str" cm="1">
        <f t="array" ref="L171">_xll.FDSB($C171,"CS_EVENT_DESC_N("&amp;$AB$18&amp;",1)")</f>
        <v/>
      </c>
      <c r="M171" s="300"/>
      <c r="N171" s="274" cm="1">
        <f t="array" ref="N171">_xll.FDSB($C171,"CS_EVENT_DATEJ_N("&amp;$AA$18&amp;",2)")</f>
        <v>46317</v>
      </c>
      <c r="O171" s="282" t="str" cm="1">
        <f t="array" ref="O171">_xll.FDSB($C171,"CS_EVENT_TIME_N("&amp;$AA$18&amp;",2)")</f>
        <v>Unspecified</v>
      </c>
      <c r="P171" s="282" t="str" cm="1">
        <f t="array" ref="P171">_xll.FDSB($C171,"CS_EVENT_DESC_N("&amp;$AA$18&amp;",2)")</f>
        <v>Q3 2026 Earnings Release (Projected)</v>
      </c>
      <c r="Q171" s="282"/>
      <c r="R171" s="274" cm="1">
        <f t="array" ref="R171">_xll.FDSB($C171,"CS_EVENT_DATEJ_N("&amp;$AA$18&amp;",3)")</f>
        <v>46426</v>
      </c>
      <c r="S171" s="282" t="str" cm="1">
        <f t="array" ref="S171">_xll.FDSB($C171,"CS_EVENT_TIME_N("&amp;$AA$18&amp;",3)")</f>
        <v>Unspecified</v>
      </c>
      <c r="T171" s="282" t="str" cm="1">
        <f t="array" ref="T171">_xll.FDSB($C171,"CS_EVENT_DESC_N("&amp;$AA$18&amp;",3)")</f>
        <v>Q4 2026 Earnings Release (Projected)</v>
      </c>
      <c r="U171" s="282"/>
      <c r="V171" s="274" cm="1">
        <f t="array" ref="V171">_xll.FDSB($C171,"CS_EVENT_DATEJ_N("&amp;$AA$18&amp;",4)")</f>
        <v>46506</v>
      </c>
      <c r="W171" s="282" t="str" cm="1">
        <f t="array" ref="W171">_xll.FDSB($C171,"CS_EVENT_TIME_N("&amp;$AA$18&amp;",4)")</f>
        <v>Unspecified</v>
      </c>
      <c r="X171" s="282" t="str" cm="1">
        <f t="array" ref="X171">_xll.FDSB($C171,"CS_EVENT_DESC_N("&amp;$AA$18&amp;",4)")</f>
        <v>Q1 2027 Earnings Release (Projected)</v>
      </c>
    </row>
    <row r="172" spans="2:24" x14ac:dyDescent="0.15">
      <c r="B172" s="298">
        <f t="shared" si="4"/>
        <v>157</v>
      </c>
      <c r="C172" s="299" t="str">
        <v>TMUS</v>
      </c>
      <c r="D172" s="300" t="str" cm="1">
        <f t="array" ref="D172">_xll.FDSB($C172,"FG_COMPANY_NAME")</f>
        <v>T-Mobile US, Inc.</v>
      </c>
      <c r="E172" s="300"/>
      <c r="F172" s="274" cm="1">
        <f t="array" ref="F172">_xll.FDSB($C172,"CS_EVENT_DATEJ_N("&amp;$AA$18&amp;",1)")</f>
        <v>46226</v>
      </c>
      <c r="G172" s="282" t="str" cm="1">
        <f t="array" ref="G172">_xll.FDSB($C172,"CS_EVENT_TIME_N("&amp;$AA$18&amp;",1)")</f>
        <v>Unspecified</v>
      </c>
      <c r="H172" s="282" t="str" cm="1">
        <f t="array" ref="H172">_xll.FDSB($C172,"CS_EVENT_DESC_N("&amp;$AA$18&amp;",1)")</f>
        <v>Q2 2026 Earnings Release (Projected)</v>
      </c>
      <c r="I172" s="282"/>
      <c r="J172" s="274" t="str" cm="1">
        <f t="array" ref="J172">_xll.FDSB($C172,"CS_EVENT_DATEJ_N("&amp;$AB$18&amp;",1)")</f>
        <v/>
      </c>
      <c r="K172" s="282" t="str" cm="1">
        <f t="array" ref="K172">_xll.FDSB($C172,"CS_EVENT_TIME_N("&amp;$AB$18&amp;",1)")</f>
        <v/>
      </c>
      <c r="L172" s="282" t="str" cm="1">
        <f t="array" ref="L172">_xll.FDSB($C172,"CS_EVENT_DESC_N("&amp;$AB$18&amp;",1)")</f>
        <v/>
      </c>
      <c r="M172" s="300"/>
      <c r="N172" s="274" cm="1">
        <f t="array" ref="N172">_xll.FDSB($C172,"CS_EVENT_DATEJ_N("&amp;$AA$18&amp;",2)")</f>
        <v>46317</v>
      </c>
      <c r="O172" s="282" t="str" cm="1">
        <f t="array" ref="O172">_xll.FDSB($C172,"CS_EVENT_TIME_N("&amp;$AA$18&amp;",2)")</f>
        <v>Unspecified</v>
      </c>
      <c r="P172" s="282" t="str" cm="1">
        <f t="array" ref="P172">_xll.FDSB($C172,"CS_EVENT_DESC_N("&amp;$AA$18&amp;",2)")</f>
        <v>Q3 2026 Earnings Release (Projected)</v>
      </c>
      <c r="Q172" s="282"/>
      <c r="R172" s="274" cm="1">
        <f t="array" ref="R172">_xll.FDSB($C172,"CS_EVENT_DATEJ_N("&amp;$AA$18&amp;",3)")</f>
        <v>46421</v>
      </c>
      <c r="S172" s="282" t="str" cm="1">
        <f t="array" ref="S172">_xll.FDSB($C172,"CS_EVENT_TIME_N("&amp;$AA$18&amp;",3)")</f>
        <v>Unspecified</v>
      </c>
      <c r="T172" s="282" t="str" cm="1">
        <f t="array" ref="T172">_xll.FDSB($C172,"CS_EVENT_DESC_N("&amp;$AA$18&amp;",3)")</f>
        <v>Q4 2026 Earnings Release (Projected)</v>
      </c>
      <c r="U172" s="282"/>
      <c r="V172" s="274" cm="1">
        <f t="array" ref="V172">_xll.FDSB($C172,"CS_EVENT_DATEJ_N("&amp;$AA$18&amp;",4)")</f>
        <v>46506</v>
      </c>
      <c r="W172" s="282" t="str" cm="1">
        <f t="array" ref="W172">_xll.FDSB($C172,"CS_EVENT_TIME_N("&amp;$AA$18&amp;",4)")</f>
        <v>Unspecified</v>
      </c>
      <c r="X172" s="282" t="str" cm="1">
        <f t="array" ref="X172">_xll.FDSB($C172,"CS_EVENT_DESC_N("&amp;$AA$18&amp;",4)")</f>
        <v>Q1 2027 Earnings Release (Projected)</v>
      </c>
    </row>
    <row r="173" spans="2:24" x14ac:dyDescent="0.15">
      <c r="B173" s="298">
        <f t="shared" si="4"/>
        <v>158</v>
      </c>
      <c r="C173" s="299" t="str">
        <v>FSLR</v>
      </c>
      <c r="D173" s="300" t="str" cm="1">
        <f t="array" ref="D173">_xll.FDSB($C173,"FG_COMPANY_NAME")</f>
        <v>First Solar, Inc.</v>
      </c>
      <c r="E173" s="300"/>
      <c r="F173" s="274" cm="1">
        <f t="array" ref="F173">_xll.FDSB($C173,"CS_EVENT_DATEJ_N("&amp;$AA$18&amp;",1)")</f>
        <v>46226</v>
      </c>
      <c r="G173" s="282" t="str" cm="1">
        <f t="array" ref="G173">_xll.FDSB($C173,"CS_EVENT_TIME_N("&amp;$AA$18&amp;",1)")</f>
        <v>Unspecified</v>
      </c>
      <c r="H173" s="282" t="str" cm="1">
        <f t="array" ref="H173">_xll.FDSB($C173,"CS_EVENT_DESC_N("&amp;$AA$18&amp;",1)")</f>
        <v>Q2 2026 Earnings Release (Projected)</v>
      </c>
      <c r="I173" s="282"/>
      <c r="J173" s="274" t="str" cm="1">
        <f t="array" ref="J173">_xll.FDSB($C173,"CS_EVENT_DATEJ_N("&amp;$AB$18&amp;",1)")</f>
        <v/>
      </c>
      <c r="K173" s="282" t="str" cm="1">
        <f t="array" ref="K173">_xll.FDSB($C173,"CS_EVENT_TIME_N("&amp;$AB$18&amp;",1)")</f>
        <v/>
      </c>
      <c r="L173" s="282" t="str" cm="1">
        <f t="array" ref="L173">_xll.FDSB($C173,"CS_EVENT_DESC_N("&amp;$AB$18&amp;",1)")</f>
        <v/>
      </c>
      <c r="M173" s="300"/>
      <c r="N173" s="274" cm="1">
        <f t="array" ref="N173">_xll.FDSB($C173,"CS_EVENT_DATEJ_N("&amp;$AA$18&amp;",2)")</f>
        <v>46324</v>
      </c>
      <c r="O173" s="282" t="str" cm="1">
        <f t="array" ref="O173">_xll.FDSB($C173,"CS_EVENT_TIME_N("&amp;$AA$18&amp;",2)")</f>
        <v>Unspecified</v>
      </c>
      <c r="P173" s="282" t="str" cm="1">
        <f t="array" ref="P173">_xll.FDSB($C173,"CS_EVENT_DESC_N("&amp;$AA$18&amp;",2)")</f>
        <v>Q3 2026 Earnings Release (Projected)</v>
      </c>
      <c r="Q173" s="282"/>
      <c r="R173" s="274" cm="1">
        <f t="array" ref="R173">_xll.FDSB($C173,"CS_EVENT_DATEJ_N("&amp;$AA$18&amp;",3)")</f>
        <v>46448</v>
      </c>
      <c r="S173" s="282" t="str" cm="1">
        <f t="array" ref="S173">_xll.FDSB($C173,"CS_EVENT_TIME_N("&amp;$AA$18&amp;",3)")</f>
        <v>Unspecified</v>
      </c>
      <c r="T173" s="282" t="str" cm="1">
        <f t="array" ref="T173">_xll.FDSB($C173,"CS_EVENT_DESC_N("&amp;$AA$18&amp;",3)")</f>
        <v>Q4 2026 Earnings Release (Projected)</v>
      </c>
      <c r="U173" s="282"/>
      <c r="V173" s="274" t="str" cm="1">
        <f t="array" ref="V173">_xll.FDSB($C173,"CS_EVENT_DATEJ_N("&amp;$AA$18&amp;",4)")</f>
        <v/>
      </c>
      <c r="W173" s="282" t="str" cm="1">
        <f t="array" ref="W173">_xll.FDSB($C173,"CS_EVENT_TIME_N("&amp;$AA$18&amp;",4)")</f>
        <v/>
      </c>
      <c r="X173" s="282" t="str" cm="1">
        <f t="array" ref="X173">_xll.FDSB($C173,"CS_EVENT_DESC_N("&amp;$AA$18&amp;",4)")</f>
        <v/>
      </c>
    </row>
    <row r="174" spans="2:24" x14ac:dyDescent="0.15">
      <c r="B174" s="298">
        <f t="shared" si="4"/>
        <v>159</v>
      </c>
      <c r="C174" s="299" t="str">
        <v>VLTO</v>
      </c>
      <c r="D174" s="300" t="str" cm="1">
        <f t="array" ref="D174">_xll.FDSB($C174,"FG_COMPANY_NAME")</f>
        <v>Veralto Corporation</v>
      </c>
      <c r="E174" s="300"/>
      <c r="F174" s="274" cm="1">
        <f t="array" ref="F174">_xll.FDSB($C174,"CS_EVENT_DATEJ_N("&amp;$AA$18&amp;",1)")</f>
        <v>46226</v>
      </c>
      <c r="G174" s="282" t="str" cm="1">
        <f t="array" ref="G174">_xll.FDSB($C174,"CS_EVENT_TIME_N("&amp;$AA$18&amp;",1)")</f>
        <v>Unspecified</v>
      </c>
      <c r="H174" s="282" t="str" cm="1">
        <f t="array" ref="H174">_xll.FDSB($C174,"CS_EVENT_DESC_N("&amp;$AA$18&amp;",1)")</f>
        <v>Q2 2026 Earnings Release (Projected)</v>
      </c>
      <c r="I174" s="282"/>
      <c r="J174" s="274" t="str" cm="1">
        <f t="array" ref="J174">_xll.FDSB($C174,"CS_EVENT_DATEJ_N("&amp;$AB$18&amp;",1)")</f>
        <v/>
      </c>
      <c r="K174" s="282" t="str" cm="1">
        <f t="array" ref="K174">_xll.FDSB($C174,"CS_EVENT_TIME_N("&amp;$AB$18&amp;",1)")</f>
        <v/>
      </c>
      <c r="L174" s="282" t="str" cm="1">
        <f t="array" ref="L174">_xll.FDSB($C174,"CS_EVENT_DESC_N("&amp;$AB$18&amp;",1)")</f>
        <v/>
      </c>
      <c r="M174" s="300"/>
      <c r="N174" s="274" cm="1">
        <f t="array" ref="N174">_xll.FDSB($C174,"CS_EVENT_DATEJ_N("&amp;$AA$18&amp;",2)")</f>
        <v>46323</v>
      </c>
      <c r="O174" s="282" t="str" cm="1">
        <f t="array" ref="O174">_xll.FDSB($C174,"CS_EVENT_TIME_N("&amp;$AA$18&amp;",2)")</f>
        <v>Unspecified</v>
      </c>
      <c r="P174" s="282" t="str" cm="1">
        <f t="array" ref="P174">_xll.FDSB($C174,"CS_EVENT_DESC_N("&amp;$AA$18&amp;",2)")</f>
        <v>Q3 2026 Earnings Release (Projected)</v>
      </c>
      <c r="Q174" s="282"/>
      <c r="R174" s="274" cm="1">
        <f t="array" ref="R174">_xll.FDSB($C174,"CS_EVENT_DATEJ_N("&amp;$AA$18&amp;",3)")</f>
        <v>46427</v>
      </c>
      <c r="S174" s="282" t="str" cm="1">
        <f t="array" ref="S174">_xll.FDSB($C174,"CS_EVENT_TIME_N("&amp;$AA$18&amp;",3)")</f>
        <v>Unspecified</v>
      </c>
      <c r="T174" s="282" t="str" cm="1">
        <f t="array" ref="T174">_xll.FDSB($C174,"CS_EVENT_DESC_N("&amp;$AA$18&amp;",3)")</f>
        <v>Q4 2026 Earnings Release (Projected)</v>
      </c>
      <c r="U174" s="282"/>
      <c r="V174" s="274" cm="1">
        <f t="array" ref="V174">_xll.FDSB($C174,"CS_EVENT_DATEJ_N("&amp;$AA$18&amp;",4)")</f>
        <v>46511</v>
      </c>
      <c r="W174" s="282" t="str" cm="1">
        <f t="array" ref="W174">_xll.FDSB($C174,"CS_EVENT_TIME_N("&amp;$AA$18&amp;",4)")</f>
        <v>Unspecified</v>
      </c>
      <c r="X174" s="282" t="str" cm="1">
        <f t="array" ref="X174">_xll.FDSB($C174,"CS_EVENT_DESC_N("&amp;$AA$18&amp;",4)")</f>
        <v>Q1 2027 Earnings Release (Projected)</v>
      </c>
    </row>
    <row r="175" spans="2:24" x14ac:dyDescent="0.15">
      <c r="B175" s="298">
        <f t="shared" si="4"/>
        <v>160</v>
      </c>
      <c r="C175" s="299" t="str">
        <v>FTV</v>
      </c>
      <c r="D175" s="300" t="str" cm="1">
        <f t="array" ref="D175">_xll.FDSB($C175,"FG_COMPANY_NAME")</f>
        <v>Fortive Corp.</v>
      </c>
      <c r="E175" s="300"/>
      <c r="F175" s="274" cm="1">
        <f t="array" ref="F175">_xll.FDSB($C175,"CS_EVENT_DATEJ_N("&amp;$AA$18&amp;",1)")</f>
        <v>46226</v>
      </c>
      <c r="G175" s="282" t="str" cm="1">
        <f t="array" ref="G175">_xll.FDSB($C175,"CS_EVENT_TIME_N("&amp;$AA$18&amp;",1)")</f>
        <v>Unspecified</v>
      </c>
      <c r="H175" s="282" t="str" cm="1">
        <f t="array" ref="H175">_xll.FDSB($C175,"CS_EVENT_DESC_N("&amp;$AA$18&amp;",1)")</f>
        <v>Q2 2026 Earnings Release (Projected)</v>
      </c>
      <c r="I175" s="282"/>
      <c r="J175" s="274" t="str" cm="1">
        <f t="array" ref="J175">_xll.FDSB($C175,"CS_EVENT_DATEJ_N("&amp;$AB$18&amp;",1)")</f>
        <v/>
      </c>
      <c r="K175" s="282" t="str" cm="1">
        <f t="array" ref="K175">_xll.FDSB($C175,"CS_EVENT_TIME_N("&amp;$AB$18&amp;",1)")</f>
        <v/>
      </c>
      <c r="L175" s="282" t="str" cm="1">
        <f t="array" ref="L175">_xll.FDSB($C175,"CS_EVENT_DESC_N("&amp;$AB$18&amp;",1)")</f>
        <v/>
      </c>
      <c r="M175" s="300"/>
      <c r="N175" s="274" cm="1">
        <f t="array" ref="N175">_xll.FDSB($C175,"CS_EVENT_DATEJ_N("&amp;$AA$18&amp;",2)")</f>
        <v>46323</v>
      </c>
      <c r="O175" s="282" t="str" cm="1">
        <f t="array" ref="O175">_xll.FDSB($C175,"CS_EVENT_TIME_N("&amp;$AA$18&amp;",2)")</f>
        <v>Unspecified</v>
      </c>
      <c r="P175" s="282" t="str" cm="1">
        <f t="array" ref="P175">_xll.FDSB($C175,"CS_EVENT_DESC_N("&amp;$AA$18&amp;",2)")</f>
        <v>Q3 2026 Earnings Release (Projected)</v>
      </c>
      <c r="Q175" s="282"/>
      <c r="R175" s="274" cm="1">
        <f t="array" ref="R175">_xll.FDSB($C175,"CS_EVENT_DATEJ_N("&amp;$AA$18&amp;",3)")</f>
        <v>46422</v>
      </c>
      <c r="S175" s="282" t="str" cm="1">
        <f t="array" ref="S175">_xll.FDSB($C175,"CS_EVENT_TIME_N("&amp;$AA$18&amp;",3)")</f>
        <v>Unspecified</v>
      </c>
      <c r="T175" s="282" t="str" cm="1">
        <f t="array" ref="T175">_xll.FDSB($C175,"CS_EVENT_DESC_N("&amp;$AA$18&amp;",3)")</f>
        <v>Q4 2026 Earnings Release (Projected)</v>
      </c>
      <c r="U175" s="282"/>
      <c r="V175" s="274" cm="1">
        <f t="array" ref="V175">_xll.FDSB($C175,"CS_EVENT_DATEJ_N("&amp;$AA$18&amp;",4)")</f>
        <v>46506</v>
      </c>
      <c r="W175" s="282" t="str" cm="1">
        <f t="array" ref="W175">_xll.FDSB($C175,"CS_EVENT_TIME_N("&amp;$AA$18&amp;",4)")</f>
        <v>Unspecified</v>
      </c>
      <c r="X175" s="282" t="str" cm="1">
        <f t="array" ref="X175">_xll.FDSB($C175,"CS_EVENT_DESC_N("&amp;$AA$18&amp;",4)")</f>
        <v>Q1 2027 Earnings Release (Projected)</v>
      </c>
    </row>
    <row r="176" spans="2:24" x14ac:dyDescent="0.15">
      <c r="B176" s="298">
        <f t="shared" si="4"/>
        <v>161</v>
      </c>
      <c r="C176" s="299" t="str">
        <v>DOW</v>
      </c>
      <c r="D176" s="300" t="str" cm="1">
        <f t="array" ref="D176">_xll.FDSB($C176,"FG_COMPANY_NAME")</f>
        <v>Dow, Inc.</v>
      </c>
      <c r="E176" s="300"/>
      <c r="F176" s="274" cm="1">
        <f t="array" ref="F176">_xll.FDSB($C176,"CS_EVENT_DATEJ_N("&amp;$AA$18&amp;",1)")</f>
        <v>46226</v>
      </c>
      <c r="G176" s="282" t="str" cm="1">
        <f t="array" ref="G176">_xll.FDSB($C176,"CS_EVENT_TIME_N("&amp;$AA$18&amp;",1)")</f>
        <v>6:00 AM</v>
      </c>
      <c r="H176" s="282" t="str" cm="1">
        <f t="array" ref="H176">_xll.FDSB($C176,"CS_EVENT_DESC_N("&amp;$AA$18&amp;",1)")</f>
        <v>Q2 2026 Earnings Release</v>
      </c>
      <c r="I176" s="282"/>
      <c r="J176" s="274" cm="1">
        <f t="array" ref="J176">_xll.FDSB($C176,"CS_EVENT_DATEJ_N("&amp;$AB$18&amp;",1)")</f>
        <v>46226</v>
      </c>
      <c r="K176" s="282" t="str" cm="1">
        <f t="array" ref="K176">_xll.FDSB($C176,"CS_EVENT_TIME_N("&amp;$AB$18&amp;",1)")</f>
        <v>8:00 AM</v>
      </c>
      <c r="L176" s="282" t="str" cm="1">
        <f t="array" ref="L176">_xll.FDSB($C176,"CS_EVENT_DESC_N("&amp;$AB$18&amp;",1)")</f>
        <v>Q2 2026 Earnings Call</v>
      </c>
      <c r="M176" s="300"/>
      <c r="N176" s="274" cm="1">
        <f t="array" ref="N176">_xll.FDSB($C176,"CS_EVENT_DATEJ_N("&amp;$AA$18&amp;",2)")</f>
        <v>46317</v>
      </c>
      <c r="O176" s="282" t="str" cm="1">
        <f t="array" ref="O176">_xll.FDSB($C176,"CS_EVENT_TIME_N("&amp;$AA$18&amp;",2)")</f>
        <v>6:00 AM</v>
      </c>
      <c r="P176" s="282" t="str" cm="1">
        <f t="array" ref="P176">_xll.FDSB($C176,"CS_EVENT_DESC_N("&amp;$AA$18&amp;",2)")</f>
        <v>Q3 2026 Earnings Release</v>
      </c>
      <c r="Q176" s="282"/>
      <c r="R176" s="274" cm="1">
        <f t="array" ref="R176">_xll.FDSB($C176,"CS_EVENT_DATEJ_N("&amp;$AA$18&amp;",3)")</f>
        <v>46415</v>
      </c>
      <c r="S176" s="282" t="str" cm="1">
        <f t="array" ref="S176">_xll.FDSB($C176,"CS_EVENT_TIME_N("&amp;$AA$18&amp;",3)")</f>
        <v>6:00 AM</v>
      </c>
      <c r="T176" s="282" t="str" cm="1">
        <f t="array" ref="T176">_xll.FDSB($C176,"CS_EVENT_DESC_N("&amp;$AA$18&amp;",3)")</f>
        <v>Q4 2026 Earnings Release</v>
      </c>
      <c r="U176" s="282"/>
      <c r="V176" s="274" cm="1">
        <f t="array" ref="V176">_xll.FDSB($C176,"CS_EVENT_DATEJ_N("&amp;$AA$18&amp;",4)")</f>
        <v>46506</v>
      </c>
      <c r="W176" s="282" t="str" cm="1">
        <f t="array" ref="W176">_xll.FDSB($C176,"CS_EVENT_TIME_N("&amp;$AA$18&amp;",4)")</f>
        <v>Unspecified</v>
      </c>
      <c r="X176" s="282" t="str" cm="1">
        <f t="array" ref="X176">_xll.FDSB($C176,"CS_EVENT_DESC_N("&amp;$AA$18&amp;",4)")</f>
        <v>Q1 2027 Earnings Release (Projected)</v>
      </c>
    </row>
    <row r="177" spans="2:24" x14ac:dyDescent="0.15">
      <c r="B177" s="298">
        <f t="shared" si="4"/>
        <v>162</v>
      </c>
      <c r="C177" s="299" t="str">
        <v>LIN</v>
      </c>
      <c r="D177" s="300" t="str" cm="1">
        <f t="array" ref="D177">_xll.FDSB($C177,"FG_COMPANY_NAME")</f>
        <v>Linde plc</v>
      </c>
      <c r="E177" s="300"/>
      <c r="F177" s="274" cm="1">
        <f t="array" ref="F177">_xll.FDSB($C177,"CS_EVENT_DATEJ_N("&amp;$AA$18&amp;",1)")</f>
        <v>46226</v>
      </c>
      <c r="G177" s="282" t="str" cm="1">
        <f t="array" ref="G177">_xll.FDSB($C177,"CS_EVENT_TIME_N("&amp;$AA$18&amp;",1)")</f>
        <v>Unspecified</v>
      </c>
      <c r="H177" s="282" t="str" cm="1">
        <f t="array" ref="H177">_xll.FDSB($C177,"CS_EVENT_DESC_N("&amp;$AA$18&amp;",1)")</f>
        <v>Q2 2026 Earnings Release (Projected)</v>
      </c>
      <c r="I177" s="282"/>
      <c r="J177" s="274" t="str" cm="1">
        <f t="array" ref="J177">_xll.FDSB($C177,"CS_EVENT_DATEJ_N("&amp;$AB$18&amp;",1)")</f>
        <v/>
      </c>
      <c r="K177" s="282" t="str" cm="1">
        <f t="array" ref="K177">_xll.FDSB($C177,"CS_EVENT_TIME_N("&amp;$AB$18&amp;",1)")</f>
        <v/>
      </c>
      <c r="L177" s="282" t="str" cm="1">
        <f t="array" ref="L177">_xll.FDSB($C177,"CS_EVENT_DESC_N("&amp;$AB$18&amp;",1)")</f>
        <v/>
      </c>
      <c r="M177" s="300"/>
      <c r="N177" s="274" cm="1">
        <f t="array" ref="N177">_xll.FDSB($C177,"CS_EVENT_DATEJ_N("&amp;$AA$18&amp;",2)")</f>
        <v>46317</v>
      </c>
      <c r="O177" s="282" t="str" cm="1">
        <f t="array" ref="O177">_xll.FDSB($C177,"CS_EVENT_TIME_N("&amp;$AA$18&amp;",2)")</f>
        <v>Unspecified</v>
      </c>
      <c r="P177" s="282" t="str" cm="1">
        <f t="array" ref="P177">_xll.FDSB($C177,"CS_EVENT_DESC_N("&amp;$AA$18&amp;",2)")</f>
        <v>Q3 2026 Earnings Release (Projected)</v>
      </c>
      <c r="Q177" s="282"/>
      <c r="R177" s="274" cm="1">
        <f t="array" ref="R177">_xll.FDSB($C177,"CS_EVENT_DATEJ_N("&amp;$AA$18&amp;",3)")</f>
        <v>46429</v>
      </c>
      <c r="S177" s="282" t="str" cm="1">
        <f t="array" ref="S177">_xll.FDSB($C177,"CS_EVENT_TIME_N("&amp;$AA$18&amp;",3)")</f>
        <v>Unspecified</v>
      </c>
      <c r="T177" s="282" t="str" cm="1">
        <f t="array" ref="T177">_xll.FDSB($C177,"CS_EVENT_DESC_N("&amp;$AA$18&amp;",3)")</f>
        <v>Q4 2026 Earnings Release (Projected)</v>
      </c>
      <c r="U177" s="282"/>
      <c r="V177" s="274" cm="1">
        <f t="array" ref="V177">_xll.FDSB($C177,"CS_EVENT_DATEJ_N("&amp;$AA$18&amp;",4)")</f>
        <v>46513</v>
      </c>
      <c r="W177" s="282" t="str" cm="1">
        <f t="array" ref="W177">_xll.FDSB($C177,"CS_EVENT_TIME_N("&amp;$AA$18&amp;",4)")</f>
        <v>Unspecified</v>
      </c>
      <c r="X177" s="282" t="str" cm="1">
        <f t="array" ref="X177">_xll.FDSB($C177,"CS_EVENT_DESC_N("&amp;$AA$18&amp;",4)")</f>
        <v>Q1 2027 Earnings Release (Projected)</v>
      </c>
    </row>
    <row r="178" spans="2:24" x14ac:dyDescent="0.15">
      <c r="B178" s="298">
        <f t="shared" si="4"/>
        <v>163</v>
      </c>
      <c r="C178" s="299" t="str">
        <v>CARR</v>
      </c>
      <c r="D178" s="300" t="str" cm="1">
        <f t="array" ref="D178">_xll.FDSB($C178,"FG_COMPANY_NAME")</f>
        <v>Carrier Global Corp.</v>
      </c>
      <c r="E178" s="300"/>
      <c r="F178" s="274" cm="1">
        <f t="array" ref="F178">_xll.FDSB($C178,"CS_EVENT_DATEJ_N("&amp;$AA$18&amp;",1)")</f>
        <v>46226</v>
      </c>
      <c r="G178" s="282" t="str" cm="1">
        <f t="array" ref="G178">_xll.FDSB($C178,"CS_EVENT_TIME_N("&amp;$AA$18&amp;",1)")</f>
        <v>Unspecified</v>
      </c>
      <c r="H178" s="282" t="str" cm="1">
        <f t="array" ref="H178">_xll.FDSB($C178,"CS_EVENT_DESC_N("&amp;$AA$18&amp;",1)")</f>
        <v>Q2 2026 Earnings Release (Projected)</v>
      </c>
      <c r="I178" s="282"/>
      <c r="J178" s="274" t="str" cm="1">
        <f t="array" ref="J178">_xll.FDSB($C178,"CS_EVENT_DATEJ_N("&amp;$AB$18&amp;",1)")</f>
        <v/>
      </c>
      <c r="K178" s="282" t="str" cm="1">
        <f t="array" ref="K178">_xll.FDSB($C178,"CS_EVENT_TIME_N("&amp;$AB$18&amp;",1)")</f>
        <v/>
      </c>
      <c r="L178" s="282" t="str" cm="1">
        <f t="array" ref="L178">_xll.FDSB($C178,"CS_EVENT_DESC_N("&amp;$AB$18&amp;",1)")</f>
        <v/>
      </c>
      <c r="M178" s="300"/>
      <c r="N178" s="274" cm="1">
        <f t="array" ref="N178">_xll.FDSB($C178,"CS_EVENT_DATEJ_N("&amp;$AA$18&amp;",2)")</f>
        <v>46317</v>
      </c>
      <c r="O178" s="282" t="str" cm="1">
        <f t="array" ref="O178">_xll.FDSB($C178,"CS_EVENT_TIME_N("&amp;$AA$18&amp;",2)")</f>
        <v>Unspecified</v>
      </c>
      <c r="P178" s="282" t="str" cm="1">
        <f t="array" ref="P178">_xll.FDSB($C178,"CS_EVENT_DESC_N("&amp;$AA$18&amp;",2)")</f>
        <v>Q3 2026 Earnings Release (Projected)</v>
      </c>
      <c r="Q178" s="282"/>
      <c r="R178" s="274" cm="1">
        <f t="array" ref="R178">_xll.FDSB($C178,"CS_EVENT_DATEJ_N("&amp;$AA$18&amp;",3)")</f>
        <v>46427</v>
      </c>
      <c r="S178" s="282" t="str" cm="1">
        <f t="array" ref="S178">_xll.FDSB($C178,"CS_EVENT_TIME_N("&amp;$AA$18&amp;",3)")</f>
        <v>Unspecified</v>
      </c>
      <c r="T178" s="282" t="str" cm="1">
        <f t="array" ref="T178">_xll.FDSB($C178,"CS_EVENT_DESC_N("&amp;$AA$18&amp;",3)")</f>
        <v>Q4 2026 Earnings Release (Projected)</v>
      </c>
      <c r="U178" s="282"/>
      <c r="V178" s="274" t="str" cm="1">
        <f t="array" ref="V178">_xll.FDSB($C178,"CS_EVENT_DATEJ_N("&amp;$AA$18&amp;",4)")</f>
        <v/>
      </c>
      <c r="W178" s="282" t="str" cm="1">
        <f t="array" ref="W178">_xll.FDSB($C178,"CS_EVENT_TIME_N("&amp;$AA$18&amp;",4)")</f>
        <v/>
      </c>
      <c r="X178" s="282" t="str" cm="1">
        <f t="array" ref="X178">_xll.FDSB($C178,"CS_EVENT_DESC_N("&amp;$AA$18&amp;",4)")</f>
        <v/>
      </c>
    </row>
    <row r="179" spans="2:24" x14ac:dyDescent="0.15">
      <c r="B179" s="298">
        <f t="shared" si="4"/>
        <v>164</v>
      </c>
      <c r="C179" s="299" t="str">
        <v>BEN</v>
      </c>
      <c r="D179" s="300" t="str" cm="1">
        <f t="array" ref="D179">_xll.FDSB($C179,"FG_COMPANY_NAME")</f>
        <v>Franklin Resources, Inc.</v>
      </c>
      <c r="E179" s="300"/>
      <c r="F179" s="274" cm="1">
        <f t="array" ref="F179">_xll.FDSB($C179,"CS_EVENT_DATEJ_N("&amp;$AA$18&amp;",1)")</f>
        <v>46227</v>
      </c>
      <c r="G179" s="282" t="str" cm="1">
        <f t="array" ref="G179">_xll.FDSB($C179,"CS_EVENT_TIME_N("&amp;$AA$18&amp;",1)")</f>
        <v>Unspecified</v>
      </c>
      <c r="H179" s="282" t="str" cm="1">
        <f t="array" ref="H179">_xll.FDSB($C179,"CS_EVENT_DESC_N("&amp;$AA$18&amp;",1)")</f>
        <v>Q3 2026 Earnings Release (Projected)</v>
      </c>
      <c r="I179" s="282"/>
      <c r="J179" s="274" t="str" cm="1">
        <f t="array" ref="J179">_xll.FDSB($C179,"CS_EVENT_DATEJ_N("&amp;$AB$18&amp;",1)")</f>
        <v/>
      </c>
      <c r="K179" s="282" t="str" cm="1">
        <f t="array" ref="K179">_xll.FDSB($C179,"CS_EVENT_TIME_N("&amp;$AB$18&amp;",1)")</f>
        <v/>
      </c>
      <c r="L179" s="282" t="str" cm="1">
        <f t="array" ref="L179">_xll.FDSB($C179,"CS_EVENT_DESC_N("&amp;$AB$18&amp;",1)")</f>
        <v/>
      </c>
      <c r="M179" s="300"/>
      <c r="N179" s="274" cm="1">
        <f t="array" ref="N179">_xll.FDSB($C179,"CS_EVENT_DATEJ_N("&amp;$AA$18&amp;",2)")</f>
        <v>46329</v>
      </c>
      <c r="O179" s="282" t="str" cm="1">
        <f t="array" ref="O179">_xll.FDSB($C179,"CS_EVENT_TIME_N("&amp;$AA$18&amp;",2)")</f>
        <v>Unspecified</v>
      </c>
      <c r="P179" s="282" t="str" cm="1">
        <f t="array" ref="P179">_xll.FDSB($C179,"CS_EVENT_DESC_N("&amp;$AA$18&amp;",2)")</f>
        <v>Q4 2026 Earnings Release (Projected)</v>
      </c>
      <c r="Q179" s="282"/>
      <c r="R179" s="274" cm="1">
        <f t="array" ref="R179">_xll.FDSB($C179,"CS_EVENT_DATEJ_N("&amp;$AA$18&amp;",3)")</f>
        <v>46419</v>
      </c>
      <c r="S179" s="282" t="str" cm="1">
        <f t="array" ref="S179">_xll.FDSB($C179,"CS_EVENT_TIME_N("&amp;$AA$18&amp;",3)")</f>
        <v>Unspecified</v>
      </c>
      <c r="T179" s="282" t="str" cm="1">
        <f t="array" ref="T179">_xll.FDSB($C179,"CS_EVENT_DESC_N("&amp;$AA$18&amp;",3)")</f>
        <v>Q1 2027 Earnings Release (Projected)</v>
      </c>
      <c r="U179" s="282"/>
      <c r="V179" s="274" cm="1">
        <f t="array" ref="V179">_xll.FDSB($C179,"CS_EVENT_DATEJ_N("&amp;$AA$18&amp;",4)")</f>
        <v>46511</v>
      </c>
      <c r="W179" s="282" t="str" cm="1">
        <f t="array" ref="W179">_xll.FDSB($C179,"CS_EVENT_TIME_N("&amp;$AA$18&amp;",4)")</f>
        <v>Unspecified</v>
      </c>
      <c r="X179" s="282" t="str" cm="1">
        <f t="array" ref="X179">_xll.FDSB($C179,"CS_EVENT_DESC_N("&amp;$AA$18&amp;",4)")</f>
        <v>Q2 2027 Earnings Release (Projected)</v>
      </c>
    </row>
    <row r="180" spans="2:24" x14ac:dyDescent="0.15">
      <c r="B180" s="298">
        <f t="shared" si="4"/>
        <v>165</v>
      </c>
      <c r="C180" s="299" t="str">
        <v>CVX</v>
      </c>
      <c r="D180" s="300" t="str" cm="1">
        <f t="array" ref="D180">_xll.FDSB($C180,"FG_COMPANY_NAME")</f>
        <v>Chevron Corporation</v>
      </c>
      <c r="E180" s="300"/>
      <c r="F180" s="274" cm="1">
        <f t="array" ref="F180">_xll.FDSB($C180,"CS_EVENT_DATEJ_N("&amp;$AA$18&amp;",1)")</f>
        <v>46227</v>
      </c>
      <c r="G180" s="282" t="str" cm="1">
        <f t="array" ref="G180">_xll.FDSB($C180,"CS_EVENT_TIME_N("&amp;$AA$18&amp;",1)")</f>
        <v>Unspecified</v>
      </c>
      <c r="H180" s="282" t="str" cm="1">
        <f t="array" ref="H180">_xll.FDSB($C180,"CS_EVENT_DESC_N("&amp;$AA$18&amp;",1)")</f>
        <v>Q2 2026 Earnings Release (Projected)</v>
      </c>
      <c r="I180" s="282"/>
      <c r="J180" s="274" t="str" cm="1">
        <f t="array" ref="J180">_xll.FDSB($C180,"CS_EVENT_DATEJ_N("&amp;$AB$18&amp;",1)")</f>
        <v/>
      </c>
      <c r="K180" s="282" t="str" cm="1">
        <f t="array" ref="K180">_xll.FDSB($C180,"CS_EVENT_TIME_N("&amp;$AB$18&amp;",1)")</f>
        <v/>
      </c>
      <c r="L180" s="282" t="str" cm="1">
        <f t="array" ref="L180">_xll.FDSB($C180,"CS_EVENT_DESC_N("&amp;$AB$18&amp;",1)")</f>
        <v/>
      </c>
      <c r="M180" s="300"/>
      <c r="N180" s="274" cm="1">
        <f t="array" ref="N180">_xll.FDSB($C180,"CS_EVENT_DATEJ_N("&amp;$AA$18&amp;",2)")</f>
        <v>46318</v>
      </c>
      <c r="O180" s="282" t="str" cm="1">
        <f t="array" ref="O180">_xll.FDSB($C180,"CS_EVENT_TIME_N("&amp;$AA$18&amp;",2)")</f>
        <v>Unspecified</v>
      </c>
      <c r="P180" s="282" t="str" cm="1">
        <f t="array" ref="P180">_xll.FDSB($C180,"CS_EVENT_DESC_N("&amp;$AA$18&amp;",2)")</f>
        <v>Q3 2026 Earnings Release (Projected)</v>
      </c>
      <c r="Q180" s="282"/>
      <c r="R180" s="274" cm="1">
        <f t="array" ref="R180">_xll.FDSB($C180,"CS_EVENT_DATEJ_N("&amp;$AA$18&amp;",3)")</f>
        <v>46409</v>
      </c>
      <c r="S180" s="282" t="str" cm="1">
        <f t="array" ref="S180">_xll.FDSB($C180,"CS_EVENT_TIME_N("&amp;$AA$18&amp;",3)")</f>
        <v>Unspecified</v>
      </c>
      <c r="T180" s="282" t="str" cm="1">
        <f t="array" ref="T180">_xll.FDSB($C180,"CS_EVENT_DESC_N("&amp;$AA$18&amp;",3)")</f>
        <v>Q4 2026 Earnings Release (Projected)</v>
      </c>
      <c r="U180" s="282"/>
      <c r="V180" s="274" cm="1">
        <f t="array" ref="V180">_xll.FDSB($C180,"CS_EVENT_DATEJ_N("&amp;$AA$18&amp;",4)")</f>
        <v>46500</v>
      </c>
      <c r="W180" s="282" t="str" cm="1">
        <f t="array" ref="W180">_xll.FDSB($C180,"CS_EVENT_TIME_N("&amp;$AA$18&amp;",4)")</f>
        <v>Unspecified</v>
      </c>
      <c r="X180" s="282" t="str" cm="1">
        <f t="array" ref="X180">_xll.FDSB($C180,"CS_EVENT_DESC_N("&amp;$AA$18&amp;",4)")</f>
        <v>Q1 2027 Earnings Release (Projected)</v>
      </c>
    </row>
    <row r="181" spans="2:24" x14ac:dyDescent="0.15">
      <c r="B181" s="298">
        <f t="shared" si="4"/>
        <v>166</v>
      </c>
      <c r="C181" s="299" t="str">
        <v>XOM</v>
      </c>
      <c r="D181" s="300" t="str" cm="1">
        <f t="array" ref="D181">_xll.FDSB($C181,"FG_COMPANY_NAME")</f>
        <v>Exxon Mobil Corporation</v>
      </c>
      <c r="E181" s="300"/>
      <c r="F181" s="274" cm="1">
        <f t="array" ref="F181">_xll.FDSB($C181,"CS_EVENT_DATEJ_N("&amp;$AA$18&amp;",1)")</f>
        <v>46227</v>
      </c>
      <c r="G181" s="282" t="str" cm="1">
        <f t="array" ref="G181">_xll.FDSB($C181,"CS_EVENT_TIME_N("&amp;$AA$18&amp;",1)")</f>
        <v>Unspecified</v>
      </c>
      <c r="H181" s="282" t="str" cm="1">
        <f t="array" ref="H181">_xll.FDSB($C181,"CS_EVENT_DESC_N("&amp;$AA$18&amp;",1)")</f>
        <v>Q2 2026 Earnings Release (Projected)</v>
      </c>
      <c r="I181" s="282"/>
      <c r="J181" s="274" t="str" cm="1">
        <f t="array" ref="J181">_xll.FDSB($C181,"CS_EVENT_DATEJ_N("&amp;$AB$18&amp;",1)")</f>
        <v/>
      </c>
      <c r="K181" s="282" t="str" cm="1">
        <f t="array" ref="K181">_xll.FDSB($C181,"CS_EVENT_TIME_N("&amp;$AB$18&amp;",1)")</f>
        <v/>
      </c>
      <c r="L181" s="282" t="str" cm="1">
        <f t="array" ref="L181">_xll.FDSB($C181,"CS_EVENT_DESC_N("&amp;$AB$18&amp;",1)")</f>
        <v/>
      </c>
      <c r="M181" s="300"/>
      <c r="N181" s="274" cm="1">
        <f t="array" ref="N181">_xll.FDSB($C181,"CS_EVENT_DATEJ_N("&amp;$AA$18&amp;",2)")</f>
        <v>46318</v>
      </c>
      <c r="O181" s="282" t="str" cm="1">
        <f t="array" ref="O181">_xll.FDSB($C181,"CS_EVENT_TIME_N("&amp;$AA$18&amp;",2)")</f>
        <v>Unspecified</v>
      </c>
      <c r="P181" s="282" t="str" cm="1">
        <f t="array" ref="P181">_xll.FDSB($C181,"CS_EVENT_DESC_N("&amp;$AA$18&amp;",2)")</f>
        <v>Q3 2026 Earnings Release (Projected)</v>
      </c>
      <c r="Q181" s="282"/>
      <c r="R181" s="274" cm="1">
        <f t="array" ref="R181">_xll.FDSB($C181,"CS_EVENT_DATEJ_N("&amp;$AA$18&amp;",3)")</f>
        <v>46420</v>
      </c>
      <c r="S181" s="282" t="str" cm="1">
        <f t="array" ref="S181">_xll.FDSB($C181,"CS_EVENT_TIME_N("&amp;$AA$18&amp;",3)")</f>
        <v>Unspecified</v>
      </c>
      <c r="T181" s="282" t="str" cm="1">
        <f t="array" ref="T181">_xll.FDSB($C181,"CS_EVENT_DESC_N("&amp;$AA$18&amp;",3)")</f>
        <v>Q4 2026 Earnings Release (Projected)</v>
      </c>
      <c r="U181" s="282"/>
      <c r="V181" s="274" cm="1">
        <f t="array" ref="V181">_xll.FDSB($C181,"CS_EVENT_DATEJ_N("&amp;$AA$18&amp;",4)")</f>
        <v>46500</v>
      </c>
      <c r="W181" s="282" t="str" cm="1">
        <f t="array" ref="W181">_xll.FDSB($C181,"CS_EVENT_TIME_N("&amp;$AA$18&amp;",4)")</f>
        <v>Unspecified</v>
      </c>
      <c r="X181" s="282" t="str" cm="1">
        <f t="array" ref="X181">_xll.FDSB($C181,"CS_EVENT_DESC_N("&amp;$AA$18&amp;",4)")</f>
        <v>Q1 2027 Earnings Release (Projected)</v>
      </c>
    </row>
    <row r="182" spans="2:24" x14ac:dyDescent="0.15">
      <c r="B182" s="298">
        <f t="shared" si="4"/>
        <v>167</v>
      </c>
      <c r="C182" s="299" t="str">
        <v>SLB</v>
      </c>
      <c r="D182" s="300" t="str" cm="1">
        <f t="array" ref="D182">_xll.FDSB($C182,"FG_COMPANY_NAME")</f>
        <v>SLB Limited</v>
      </c>
      <c r="E182" s="300"/>
      <c r="F182" s="274" cm="1">
        <f t="array" ref="F182">_xll.FDSB($C182,"CS_EVENT_DATEJ_N("&amp;$AA$18&amp;",1)")</f>
        <v>46227</v>
      </c>
      <c r="G182" s="282" t="str" cm="1">
        <f t="array" ref="G182">_xll.FDSB($C182,"CS_EVENT_TIME_N("&amp;$AA$18&amp;",1)")</f>
        <v>7:00 AM</v>
      </c>
      <c r="H182" s="282" t="str" cm="1">
        <f t="array" ref="H182">_xll.FDSB($C182,"CS_EVENT_DESC_N("&amp;$AA$18&amp;",1)")</f>
        <v>Q2 2026 Earnings Release</v>
      </c>
      <c r="I182" s="282"/>
      <c r="J182" s="274" cm="1">
        <f t="array" ref="J182">_xll.FDSB($C182,"CS_EVENT_DATEJ_N("&amp;$AB$18&amp;",1)")</f>
        <v>46227</v>
      </c>
      <c r="K182" s="282" t="str" cm="1">
        <f t="array" ref="K182">_xll.FDSB($C182,"CS_EVENT_TIME_N("&amp;$AB$18&amp;",1)")</f>
        <v>9:30 AM</v>
      </c>
      <c r="L182" s="282" t="str" cm="1">
        <f t="array" ref="L182">_xll.FDSB($C182,"CS_EVENT_DESC_N("&amp;$AB$18&amp;",1)")</f>
        <v>Q2 2026 Earnings Call</v>
      </c>
      <c r="M182" s="300"/>
      <c r="N182" s="274" cm="1">
        <f t="array" ref="N182">_xll.FDSB($C182,"CS_EVENT_DATEJ_N("&amp;$AA$18&amp;",2)")</f>
        <v>46311</v>
      </c>
      <c r="O182" s="282" t="str" cm="1">
        <f t="array" ref="O182">_xll.FDSB($C182,"CS_EVENT_TIME_N("&amp;$AA$18&amp;",2)")</f>
        <v>Unspecified</v>
      </c>
      <c r="P182" s="282" t="str" cm="1">
        <f t="array" ref="P182">_xll.FDSB($C182,"CS_EVENT_DESC_N("&amp;$AA$18&amp;",2)")</f>
        <v>Q3 2026 Earnings Release (Projected)</v>
      </c>
      <c r="Q182" s="282"/>
      <c r="R182" s="274" cm="1">
        <f t="array" ref="R182">_xll.FDSB($C182,"CS_EVENT_DATEJ_N("&amp;$AA$18&amp;",3)")</f>
        <v>46402</v>
      </c>
      <c r="S182" s="282" t="str" cm="1">
        <f t="array" ref="S182">_xll.FDSB($C182,"CS_EVENT_TIME_N("&amp;$AA$18&amp;",3)")</f>
        <v>Unspecified</v>
      </c>
      <c r="T182" s="282" t="str" cm="1">
        <f t="array" ref="T182">_xll.FDSB($C182,"CS_EVENT_DESC_N("&amp;$AA$18&amp;",3)")</f>
        <v>Q4 2026 Earnings Release (Projected)</v>
      </c>
      <c r="U182" s="282"/>
      <c r="V182" s="274" cm="1">
        <f t="array" ref="V182">_xll.FDSB($C182,"CS_EVENT_DATEJ_N("&amp;$AA$18&amp;",4)")</f>
        <v>46493</v>
      </c>
      <c r="W182" s="282" t="str" cm="1">
        <f t="array" ref="W182">_xll.FDSB($C182,"CS_EVENT_TIME_N("&amp;$AA$18&amp;",4)")</f>
        <v>Unspecified</v>
      </c>
      <c r="X182" s="282" t="str" cm="1">
        <f t="array" ref="X182">_xll.FDSB($C182,"CS_EVENT_DESC_N("&amp;$AA$18&amp;",4)")</f>
        <v>Q1 2027 Earnings Release (Projected)</v>
      </c>
    </row>
    <row r="183" spans="2:24" x14ac:dyDescent="0.15">
      <c r="B183" s="298">
        <f t="shared" si="4"/>
        <v>168</v>
      </c>
      <c r="C183" s="299" t="str">
        <v>AON</v>
      </c>
      <c r="D183" s="300" t="str" cm="1">
        <f t="array" ref="D183">_xll.FDSB($C183,"FG_COMPANY_NAME")</f>
        <v>Aon Plc Class A</v>
      </c>
      <c r="E183" s="300"/>
      <c r="F183" s="274" cm="1">
        <f t="array" ref="F183">_xll.FDSB($C183,"CS_EVENT_DATEJ_N("&amp;$AA$18&amp;",1)")</f>
        <v>46227</v>
      </c>
      <c r="G183" s="282" t="str" cm="1">
        <f t="array" ref="G183">_xll.FDSB($C183,"CS_EVENT_TIME_N("&amp;$AA$18&amp;",1)")</f>
        <v>Unspecified</v>
      </c>
      <c r="H183" s="282" t="str" cm="1">
        <f t="array" ref="H183">_xll.FDSB($C183,"CS_EVENT_DESC_N("&amp;$AA$18&amp;",1)")</f>
        <v>Q2 2026 Earnings Release (Projected)</v>
      </c>
      <c r="I183" s="282"/>
      <c r="J183" s="274" t="str" cm="1">
        <f t="array" ref="J183">_xll.FDSB($C183,"CS_EVENT_DATEJ_N("&amp;$AB$18&amp;",1)")</f>
        <v/>
      </c>
      <c r="K183" s="282" t="str" cm="1">
        <f t="array" ref="K183">_xll.FDSB($C183,"CS_EVENT_TIME_N("&amp;$AB$18&amp;",1)")</f>
        <v/>
      </c>
      <c r="L183" s="282" t="str" cm="1">
        <f t="array" ref="L183">_xll.FDSB($C183,"CS_EVENT_DESC_N("&amp;$AB$18&amp;",1)")</f>
        <v/>
      </c>
      <c r="M183" s="300"/>
      <c r="N183" s="274" cm="1">
        <f t="array" ref="N183">_xll.FDSB($C183,"CS_EVENT_DATEJ_N("&amp;$AA$18&amp;",2)")</f>
        <v>46318</v>
      </c>
      <c r="O183" s="282" t="str" cm="1">
        <f t="array" ref="O183">_xll.FDSB($C183,"CS_EVENT_TIME_N("&amp;$AA$18&amp;",2)")</f>
        <v>Unspecified</v>
      </c>
      <c r="P183" s="282" t="str" cm="1">
        <f t="array" ref="P183">_xll.FDSB($C183,"CS_EVENT_DESC_N("&amp;$AA$18&amp;",2)")</f>
        <v>Q3 2026 Earnings Release (Projected)</v>
      </c>
      <c r="Q183" s="282"/>
      <c r="R183" s="274" cm="1">
        <f t="array" ref="R183">_xll.FDSB($C183,"CS_EVENT_DATEJ_N("&amp;$AA$18&amp;",3)")</f>
        <v>46416</v>
      </c>
      <c r="S183" s="282" t="str" cm="1">
        <f t="array" ref="S183">_xll.FDSB($C183,"CS_EVENT_TIME_N("&amp;$AA$18&amp;",3)")</f>
        <v>Unspecified</v>
      </c>
      <c r="T183" s="282" t="str" cm="1">
        <f t="array" ref="T183">_xll.FDSB($C183,"CS_EVENT_DESC_N("&amp;$AA$18&amp;",3)")</f>
        <v>Q4 2026 Earnings Release (Projected)</v>
      </c>
      <c r="U183" s="282"/>
      <c r="V183" s="274" cm="1">
        <f t="array" ref="V183">_xll.FDSB($C183,"CS_EVENT_DATEJ_N("&amp;$AA$18&amp;",4)")</f>
        <v>46500</v>
      </c>
      <c r="W183" s="282" t="str" cm="1">
        <f t="array" ref="W183">_xll.FDSB($C183,"CS_EVENT_TIME_N("&amp;$AA$18&amp;",4)")</f>
        <v>Unspecified</v>
      </c>
      <c r="X183" s="282" t="str" cm="1">
        <f t="array" ref="X183">_xll.FDSB($C183,"CS_EVENT_DESC_N("&amp;$AA$18&amp;",4)")</f>
        <v>Q1 2027 Earnings Release (Projected)</v>
      </c>
    </row>
    <row r="184" spans="2:24" x14ac:dyDescent="0.15">
      <c r="B184" s="298">
        <f t="shared" si="4"/>
        <v>169</v>
      </c>
      <c r="C184" s="299" t="str">
        <v>AXP</v>
      </c>
      <c r="D184" s="300" t="str" cm="1">
        <f t="array" ref="D184">_xll.FDSB($C184,"FG_COMPANY_NAME")</f>
        <v>American Express Company</v>
      </c>
      <c r="E184" s="300"/>
      <c r="F184" s="274" cm="1">
        <f t="array" ref="F184">_xll.FDSB($C184,"CS_EVENT_DATEJ_N("&amp;$AA$18&amp;",1)")</f>
        <v>46227</v>
      </c>
      <c r="G184" s="282" t="str" cm="1">
        <f t="array" ref="G184">_xll.FDSB($C184,"CS_EVENT_TIME_N("&amp;$AA$18&amp;",1)")</f>
        <v>7:00 AM</v>
      </c>
      <c r="H184" s="282" t="str" cm="1">
        <f t="array" ref="H184">_xll.FDSB($C184,"CS_EVENT_DESC_N("&amp;$AA$18&amp;",1)")</f>
        <v>Q2 2026 Earnings Release</v>
      </c>
      <c r="I184" s="282"/>
      <c r="J184" s="274" cm="1">
        <f t="array" ref="J184">_xll.FDSB($C184,"CS_EVENT_DATEJ_N("&amp;$AB$18&amp;",1)")</f>
        <v>46227</v>
      </c>
      <c r="K184" s="282" t="str" cm="1">
        <f t="array" ref="K184">_xll.FDSB($C184,"CS_EVENT_TIME_N("&amp;$AB$18&amp;",1)")</f>
        <v>8:30 AM</v>
      </c>
      <c r="L184" s="282" t="str" cm="1">
        <f t="array" ref="L184">_xll.FDSB($C184,"CS_EVENT_DESC_N("&amp;$AB$18&amp;",1)")</f>
        <v>Q2 2026 Earnings Call</v>
      </c>
      <c r="M184" s="300"/>
      <c r="N184" s="274" cm="1">
        <f t="array" ref="N184">_xll.FDSB($C184,"CS_EVENT_DATEJ_N("&amp;$AA$18&amp;",2)")</f>
        <v>46318</v>
      </c>
      <c r="O184" s="282" t="str" cm="1">
        <f t="array" ref="O184">_xll.FDSB($C184,"CS_EVENT_TIME_N("&amp;$AA$18&amp;",2)")</f>
        <v>7:00 AM</v>
      </c>
      <c r="P184" s="282" t="str" cm="1">
        <f t="array" ref="P184">_xll.FDSB($C184,"CS_EVENT_DESC_N("&amp;$AA$18&amp;",2)")</f>
        <v>Q3 2026 Earnings Release</v>
      </c>
      <c r="Q184" s="282"/>
      <c r="R184" s="274" cm="1">
        <f t="array" ref="R184">_xll.FDSB($C184,"CS_EVENT_DATEJ_N("&amp;$AA$18&amp;",3)")</f>
        <v>46409</v>
      </c>
      <c r="S184" s="282" t="str" cm="1">
        <f t="array" ref="S184">_xll.FDSB($C184,"CS_EVENT_TIME_N("&amp;$AA$18&amp;",3)")</f>
        <v>Unspecified</v>
      </c>
      <c r="T184" s="282" t="str" cm="1">
        <f t="array" ref="T184">_xll.FDSB($C184,"CS_EVENT_DESC_N("&amp;$AA$18&amp;",3)")</f>
        <v>Q4 2026 Earnings Release (Projected)</v>
      </c>
      <c r="U184" s="282"/>
      <c r="V184" s="274" cm="1">
        <f t="array" ref="V184">_xll.FDSB($C184,"CS_EVENT_DATEJ_N("&amp;$AA$18&amp;",4)")</f>
        <v>46584</v>
      </c>
      <c r="W184" s="282" t="str" cm="1">
        <f t="array" ref="W184">_xll.FDSB($C184,"CS_EVENT_TIME_N("&amp;$AA$18&amp;",4)")</f>
        <v>Unspecified</v>
      </c>
      <c r="X184" s="282" t="str" cm="1">
        <f t="array" ref="X184">_xll.FDSB($C184,"CS_EVENT_DESC_N("&amp;$AA$18&amp;",4)")</f>
        <v>Q2 2027 Earnings Release (Projected)</v>
      </c>
    </row>
    <row r="185" spans="2:24" x14ac:dyDescent="0.15">
      <c r="B185" s="298">
        <f t="shared" si="4"/>
        <v>170</v>
      </c>
      <c r="C185" s="299" t="str">
        <v>CHD</v>
      </c>
      <c r="D185" s="300" t="str" cm="1">
        <f t="array" ref="D185">_xll.FDSB($C185,"FG_COMPANY_NAME")</f>
        <v>Church &amp; Dwight Co., Inc.</v>
      </c>
      <c r="E185" s="300"/>
      <c r="F185" s="274" cm="1">
        <f t="array" ref="F185">_xll.FDSB($C185,"CS_EVENT_DATEJ_N("&amp;$AA$18&amp;",1)")</f>
        <v>46227</v>
      </c>
      <c r="G185" s="282" t="str" cm="1">
        <f t="array" ref="G185">_xll.FDSB($C185,"CS_EVENT_TIME_N("&amp;$AA$18&amp;",1)")</f>
        <v>Unspecified</v>
      </c>
      <c r="H185" s="282" t="str" cm="1">
        <f t="array" ref="H185">_xll.FDSB($C185,"CS_EVENT_DESC_N("&amp;$AA$18&amp;",1)")</f>
        <v>Q2 2026 Earnings Release (Projected)</v>
      </c>
      <c r="I185" s="282"/>
      <c r="J185" s="274" t="str" cm="1">
        <f t="array" ref="J185">_xll.FDSB($C185,"CS_EVENT_DATEJ_N("&amp;$AB$18&amp;",1)")</f>
        <v/>
      </c>
      <c r="K185" s="282" t="str" cm="1">
        <f t="array" ref="K185">_xll.FDSB($C185,"CS_EVENT_TIME_N("&amp;$AB$18&amp;",1)")</f>
        <v/>
      </c>
      <c r="L185" s="282" t="str" cm="1">
        <f t="array" ref="L185">_xll.FDSB($C185,"CS_EVENT_DESC_N("&amp;$AB$18&amp;",1)")</f>
        <v/>
      </c>
      <c r="M185" s="300"/>
      <c r="N185" s="274" cm="1">
        <f t="array" ref="N185">_xll.FDSB($C185,"CS_EVENT_DATEJ_N("&amp;$AA$18&amp;",2)")</f>
        <v>46325</v>
      </c>
      <c r="O185" s="282" t="str" cm="1">
        <f t="array" ref="O185">_xll.FDSB($C185,"CS_EVENT_TIME_N("&amp;$AA$18&amp;",2)")</f>
        <v>Unspecified</v>
      </c>
      <c r="P185" s="282" t="str" cm="1">
        <f t="array" ref="P185">_xll.FDSB($C185,"CS_EVENT_DESC_N("&amp;$AA$18&amp;",2)")</f>
        <v>Q3 2026 Earnings Release (Projected)</v>
      </c>
      <c r="Q185" s="282"/>
      <c r="R185" s="274" cm="1">
        <f t="array" ref="R185">_xll.FDSB($C185,"CS_EVENT_DATEJ_N("&amp;$AA$18&amp;",3)")</f>
        <v>46416</v>
      </c>
      <c r="S185" s="282" t="str" cm="1">
        <f t="array" ref="S185">_xll.FDSB($C185,"CS_EVENT_TIME_N("&amp;$AA$18&amp;",3)")</f>
        <v>Unspecified</v>
      </c>
      <c r="T185" s="282" t="str" cm="1">
        <f t="array" ref="T185">_xll.FDSB($C185,"CS_EVENT_DESC_N("&amp;$AA$18&amp;",3)")</f>
        <v>Q4 2026 Earnings Release (Projected)</v>
      </c>
      <c r="U185" s="282"/>
      <c r="V185" s="274" cm="1">
        <f t="array" ref="V185">_xll.FDSB($C185,"CS_EVENT_DATEJ_N("&amp;$AA$18&amp;",4)")</f>
        <v>46513</v>
      </c>
      <c r="W185" s="282" t="str" cm="1">
        <f t="array" ref="W185">_xll.FDSB($C185,"CS_EVENT_TIME_N("&amp;$AA$18&amp;",4)")</f>
        <v>Unspecified</v>
      </c>
      <c r="X185" s="282" t="str" cm="1">
        <f t="array" ref="X185">_xll.FDSB($C185,"CS_EVENT_DESC_N("&amp;$AA$18&amp;",4)")</f>
        <v>Q1 2027 Earnings Release (Projected)</v>
      </c>
    </row>
    <row r="186" spans="2:24" x14ac:dyDescent="0.15">
      <c r="B186" s="298">
        <f t="shared" si="4"/>
        <v>171</v>
      </c>
      <c r="C186" s="299" t="str">
        <v>ABBV</v>
      </c>
      <c r="D186" s="300" t="str" cm="1">
        <f t="array" ref="D186">_xll.FDSB($C186,"FG_COMPANY_NAME")</f>
        <v>AbbVie, Inc.</v>
      </c>
      <c r="E186" s="300"/>
      <c r="F186" s="274" cm="1">
        <f t="array" ref="F186">_xll.FDSB($C186,"CS_EVENT_DATEJ_N("&amp;$AA$18&amp;",1)")</f>
        <v>46227</v>
      </c>
      <c r="G186" s="282" t="str" cm="1">
        <f t="array" ref="G186">_xll.FDSB($C186,"CS_EVENT_TIME_N("&amp;$AA$18&amp;",1)")</f>
        <v>Unspecified</v>
      </c>
      <c r="H186" s="282" t="str" cm="1">
        <f t="array" ref="H186">_xll.FDSB($C186,"CS_EVENT_DESC_N("&amp;$AA$18&amp;",1)")</f>
        <v>Q2 2026 Earnings Release (Projected)</v>
      </c>
      <c r="I186" s="282"/>
      <c r="J186" s="274" t="str" cm="1">
        <f t="array" ref="J186">_xll.FDSB($C186,"CS_EVENT_DATEJ_N("&amp;$AB$18&amp;",1)")</f>
        <v/>
      </c>
      <c r="K186" s="282" t="str" cm="1">
        <f t="array" ref="K186">_xll.FDSB($C186,"CS_EVENT_TIME_N("&amp;$AB$18&amp;",1)")</f>
        <v/>
      </c>
      <c r="L186" s="282" t="str" cm="1">
        <f t="array" ref="L186">_xll.FDSB($C186,"CS_EVENT_DESC_N("&amp;$AB$18&amp;",1)")</f>
        <v/>
      </c>
      <c r="M186" s="300"/>
      <c r="N186" s="274" cm="1">
        <f t="array" ref="N186">_xll.FDSB($C186,"CS_EVENT_DATEJ_N("&amp;$AA$18&amp;",2)")</f>
        <v>46318</v>
      </c>
      <c r="O186" s="282" t="str" cm="1">
        <f t="array" ref="O186">_xll.FDSB($C186,"CS_EVENT_TIME_N("&amp;$AA$18&amp;",2)")</f>
        <v>Unspecified</v>
      </c>
      <c r="P186" s="282" t="str" cm="1">
        <f t="array" ref="P186">_xll.FDSB($C186,"CS_EVENT_DESC_N("&amp;$AA$18&amp;",2)")</f>
        <v>Q3 2026 Earnings Release (Projected)</v>
      </c>
      <c r="Q186" s="282"/>
      <c r="R186" s="274" cm="1">
        <f t="array" ref="R186">_xll.FDSB($C186,"CS_EVENT_DATEJ_N("&amp;$AA$18&amp;",3)")</f>
        <v>46421</v>
      </c>
      <c r="S186" s="282" t="str" cm="1">
        <f t="array" ref="S186">_xll.FDSB($C186,"CS_EVENT_TIME_N("&amp;$AA$18&amp;",3)")</f>
        <v>Unspecified</v>
      </c>
      <c r="T186" s="282" t="str" cm="1">
        <f t="array" ref="T186">_xll.FDSB($C186,"CS_EVENT_DESC_N("&amp;$AA$18&amp;",3)")</f>
        <v>Q4 2026 Earnings Release (Projected)</v>
      </c>
      <c r="U186" s="282"/>
      <c r="V186" s="274" cm="1">
        <f t="array" ref="V186">_xll.FDSB($C186,"CS_EVENT_DATEJ_N("&amp;$AA$18&amp;",4)")</f>
        <v>46500</v>
      </c>
      <c r="W186" s="282" t="str" cm="1">
        <f t="array" ref="W186">_xll.FDSB($C186,"CS_EVENT_TIME_N("&amp;$AA$18&amp;",4)")</f>
        <v>Unspecified</v>
      </c>
      <c r="X186" s="282" t="str" cm="1">
        <f t="array" ref="X186">_xll.FDSB($C186,"CS_EVENT_DESC_N("&amp;$AA$18&amp;",4)")</f>
        <v>Q1 2027 Earnings Release (Projected)</v>
      </c>
    </row>
    <row r="187" spans="2:24" x14ac:dyDescent="0.15">
      <c r="B187" s="298">
        <f t="shared" si="4"/>
        <v>172</v>
      </c>
      <c r="C187" s="299" t="str">
        <v>CHTR</v>
      </c>
      <c r="D187" s="300" t="str" cm="1">
        <f t="array" ref="D187">_xll.FDSB($C187,"FG_COMPANY_NAME")</f>
        <v>Charter Communications, Inc. Class A</v>
      </c>
      <c r="E187" s="300"/>
      <c r="F187" s="274" cm="1">
        <f t="array" ref="F187">_xll.FDSB($C187,"CS_EVENT_DATEJ_N("&amp;$AA$18&amp;",1)")</f>
        <v>46227</v>
      </c>
      <c r="G187" s="282" t="str" cm="1">
        <f t="array" ref="G187">_xll.FDSB($C187,"CS_EVENT_TIME_N("&amp;$AA$18&amp;",1)")</f>
        <v>Unspecified</v>
      </c>
      <c r="H187" s="282" t="str" cm="1">
        <f t="array" ref="H187">_xll.FDSB($C187,"CS_EVENT_DESC_N("&amp;$AA$18&amp;",1)")</f>
        <v>Q2 2026 Earnings Release (Projected)</v>
      </c>
      <c r="I187" s="282"/>
      <c r="J187" s="274" t="str" cm="1">
        <f t="array" ref="J187">_xll.FDSB($C187,"CS_EVENT_DATEJ_N("&amp;$AB$18&amp;",1)")</f>
        <v/>
      </c>
      <c r="K187" s="282" t="str" cm="1">
        <f t="array" ref="K187">_xll.FDSB($C187,"CS_EVENT_TIME_N("&amp;$AB$18&amp;",1)")</f>
        <v/>
      </c>
      <c r="L187" s="282" t="str" cm="1">
        <f t="array" ref="L187">_xll.FDSB($C187,"CS_EVENT_DESC_N("&amp;$AB$18&amp;",1)")</f>
        <v/>
      </c>
      <c r="M187" s="300"/>
      <c r="N187" s="274" cm="1">
        <f t="array" ref="N187">_xll.FDSB($C187,"CS_EVENT_DATEJ_N("&amp;$AA$18&amp;",2)")</f>
        <v>46325</v>
      </c>
      <c r="O187" s="282" t="str" cm="1">
        <f t="array" ref="O187">_xll.FDSB($C187,"CS_EVENT_TIME_N("&amp;$AA$18&amp;",2)")</f>
        <v>Unspecified</v>
      </c>
      <c r="P187" s="282" t="str" cm="1">
        <f t="array" ref="P187">_xll.FDSB($C187,"CS_EVENT_DESC_N("&amp;$AA$18&amp;",2)")</f>
        <v>Q3 2026 Earnings Release (Projected)</v>
      </c>
      <c r="Q187" s="282"/>
      <c r="R187" s="274" cm="1">
        <f t="array" ref="R187">_xll.FDSB($C187,"CS_EVENT_DATEJ_N("&amp;$AA$18&amp;",3)")</f>
        <v>46416</v>
      </c>
      <c r="S187" s="282" t="str" cm="1">
        <f t="array" ref="S187">_xll.FDSB($C187,"CS_EVENT_TIME_N("&amp;$AA$18&amp;",3)")</f>
        <v>Unspecified</v>
      </c>
      <c r="T187" s="282" t="str" cm="1">
        <f t="array" ref="T187">_xll.FDSB($C187,"CS_EVENT_DESC_N("&amp;$AA$18&amp;",3)")</f>
        <v>Q4 2026 Earnings Release (Projected)</v>
      </c>
      <c r="U187" s="282"/>
      <c r="V187" s="274" cm="1">
        <f t="array" ref="V187">_xll.FDSB($C187,"CS_EVENT_DATEJ_N("&amp;$AA$18&amp;",4)")</f>
        <v>46500</v>
      </c>
      <c r="W187" s="282" t="str" cm="1">
        <f t="array" ref="W187">_xll.FDSB($C187,"CS_EVENT_TIME_N("&amp;$AA$18&amp;",4)")</f>
        <v>Unspecified</v>
      </c>
      <c r="X187" s="282" t="str" cm="1">
        <f t="array" ref="X187">_xll.FDSB($C187,"CS_EVENT_DESC_N("&amp;$AA$18&amp;",4)")</f>
        <v>Q1 2027 Earnings Release (Projected)</v>
      </c>
    </row>
    <row r="188" spans="2:24" x14ac:dyDescent="0.15">
      <c r="B188" s="298">
        <f t="shared" si="4"/>
        <v>173</v>
      </c>
      <c r="C188" s="299" t="str">
        <v>PSX</v>
      </c>
      <c r="D188" s="300" t="str" cm="1">
        <f t="array" ref="D188">_xll.FDSB($C188,"FG_COMPANY_NAME")</f>
        <v>Phillips 66</v>
      </c>
      <c r="E188" s="300"/>
      <c r="F188" s="274" cm="1">
        <f t="array" ref="F188">_xll.FDSB($C188,"CS_EVENT_DATEJ_N("&amp;$AA$18&amp;",1)")</f>
        <v>46227</v>
      </c>
      <c r="G188" s="282" t="str" cm="1">
        <f t="array" ref="G188">_xll.FDSB($C188,"CS_EVENT_TIME_N("&amp;$AA$18&amp;",1)")</f>
        <v>Unspecified</v>
      </c>
      <c r="H188" s="282" t="str" cm="1">
        <f t="array" ref="H188">_xll.FDSB($C188,"CS_EVENT_DESC_N("&amp;$AA$18&amp;",1)")</f>
        <v>Q2 2026 Earnings Release (Projected)</v>
      </c>
      <c r="I188" s="282"/>
      <c r="J188" s="274" t="str" cm="1">
        <f t="array" ref="J188">_xll.FDSB($C188,"CS_EVENT_DATEJ_N("&amp;$AB$18&amp;",1)")</f>
        <v/>
      </c>
      <c r="K188" s="282" t="str" cm="1">
        <f t="array" ref="K188">_xll.FDSB($C188,"CS_EVENT_TIME_N("&amp;$AB$18&amp;",1)")</f>
        <v/>
      </c>
      <c r="L188" s="282" t="str" cm="1">
        <f t="array" ref="L188">_xll.FDSB($C188,"CS_EVENT_DESC_N("&amp;$AB$18&amp;",1)")</f>
        <v/>
      </c>
      <c r="M188" s="300"/>
      <c r="N188" s="274" cm="1">
        <f t="array" ref="N188">_xll.FDSB($C188,"CS_EVENT_DATEJ_N("&amp;$AA$18&amp;",2)")</f>
        <v>46329</v>
      </c>
      <c r="O188" s="282" t="str" cm="1">
        <f t="array" ref="O188">_xll.FDSB($C188,"CS_EVENT_TIME_N("&amp;$AA$18&amp;",2)")</f>
        <v>Unspecified</v>
      </c>
      <c r="P188" s="282" t="str" cm="1">
        <f t="array" ref="P188">_xll.FDSB($C188,"CS_EVENT_DESC_N("&amp;$AA$18&amp;",2)")</f>
        <v>Q3 2026 Earnings Release (Projected)</v>
      </c>
      <c r="Q188" s="282"/>
      <c r="R188" s="274" cm="1">
        <f t="array" ref="R188">_xll.FDSB($C188,"CS_EVENT_DATEJ_N("&amp;$AA$18&amp;",3)")</f>
        <v>46422</v>
      </c>
      <c r="S188" s="282" t="str" cm="1">
        <f t="array" ref="S188">_xll.FDSB($C188,"CS_EVENT_TIME_N("&amp;$AA$18&amp;",3)")</f>
        <v>Unspecified</v>
      </c>
      <c r="T188" s="282" t="str" cm="1">
        <f t="array" ref="T188">_xll.FDSB($C188,"CS_EVENT_DESC_N("&amp;$AA$18&amp;",3)")</f>
        <v>Q4 2026 Earnings Release (Projected)</v>
      </c>
      <c r="U188" s="282"/>
      <c r="V188" s="274" cm="1">
        <f t="array" ref="V188">_xll.FDSB($C188,"CS_EVENT_DATEJ_N("&amp;$AA$18&amp;",4)")</f>
        <v>46500</v>
      </c>
      <c r="W188" s="282" t="str" cm="1">
        <f t="array" ref="W188">_xll.FDSB($C188,"CS_EVENT_TIME_N("&amp;$AA$18&amp;",4)")</f>
        <v>Unspecified</v>
      </c>
      <c r="X188" s="282" t="str" cm="1">
        <f t="array" ref="X188">_xll.FDSB($C188,"CS_EVENT_DESC_N("&amp;$AA$18&amp;",4)")</f>
        <v>Q1 2027 Earnings Release (Projected)</v>
      </c>
    </row>
    <row r="189" spans="2:24" x14ac:dyDescent="0.15">
      <c r="B189" s="298">
        <f t="shared" si="4"/>
        <v>174</v>
      </c>
      <c r="C189" s="299" t="str">
        <v>UHS</v>
      </c>
      <c r="D189" s="300" t="str" cm="1">
        <f t="array" ref="D189">_xll.FDSB($C189,"FG_COMPANY_NAME")</f>
        <v>Universal Health Services, Inc. Class B</v>
      </c>
      <c r="E189" s="300"/>
      <c r="F189" s="274" cm="1">
        <f t="array" ref="F189">_xll.FDSB($C189,"CS_EVENT_DATEJ_N("&amp;$AA$18&amp;",1)")</f>
        <v>46230</v>
      </c>
      <c r="G189" s="282" t="str" cm="1">
        <f t="array" ref="G189">_xll.FDSB($C189,"CS_EVENT_TIME_N("&amp;$AA$18&amp;",1)")</f>
        <v>Unspecified</v>
      </c>
      <c r="H189" s="282" t="str" cm="1">
        <f t="array" ref="H189">_xll.FDSB($C189,"CS_EVENT_DESC_N("&amp;$AA$18&amp;",1)")</f>
        <v>Q2 2026 Earnings Release (Projected)</v>
      </c>
      <c r="I189" s="282"/>
      <c r="J189" s="274" t="str" cm="1">
        <f t="array" ref="J189">_xll.FDSB($C189,"CS_EVENT_DATEJ_N("&amp;$AB$18&amp;",1)")</f>
        <v/>
      </c>
      <c r="K189" s="282" t="str" cm="1">
        <f t="array" ref="K189">_xll.FDSB($C189,"CS_EVENT_TIME_N("&amp;$AB$18&amp;",1)")</f>
        <v/>
      </c>
      <c r="L189" s="282" t="str" cm="1">
        <f t="array" ref="L189">_xll.FDSB($C189,"CS_EVENT_DESC_N("&amp;$AB$18&amp;",1)")</f>
        <v/>
      </c>
      <c r="M189" s="300"/>
      <c r="N189" s="274" cm="1">
        <f t="array" ref="N189">_xll.FDSB($C189,"CS_EVENT_DATEJ_N("&amp;$AA$18&amp;",2)")</f>
        <v>46323</v>
      </c>
      <c r="O189" s="282" t="str" cm="1">
        <f t="array" ref="O189">_xll.FDSB($C189,"CS_EVENT_TIME_N("&amp;$AA$18&amp;",2)")</f>
        <v>Unspecified</v>
      </c>
      <c r="P189" s="282" t="str" cm="1">
        <f t="array" ref="P189">_xll.FDSB($C189,"CS_EVENT_DESC_N("&amp;$AA$18&amp;",2)")</f>
        <v>Q3 2026 Earnings Release (Projected)</v>
      </c>
      <c r="Q189" s="282"/>
      <c r="R189" s="274" cm="1">
        <f t="array" ref="R189">_xll.FDSB($C189,"CS_EVENT_DATEJ_N("&amp;$AA$18&amp;",3)")</f>
        <v>46449</v>
      </c>
      <c r="S189" s="282" t="str" cm="1">
        <f t="array" ref="S189">_xll.FDSB($C189,"CS_EVENT_TIME_N("&amp;$AA$18&amp;",3)")</f>
        <v>Unspecified</v>
      </c>
      <c r="T189" s="282" t="str" cm="1">
        <f t="array" ref="T189">_xll.FDSB($C189,"CS_EVENT_DESC_N("&amp;$AA$18&amp;",3)")</f>
        <v>Q4 2026 Earnings Release (Projected)</v>
      </c>
      <c r="U189" s="282"/>
      <c r="V189" s="274" t="str" cm="1">
        <f t="array" ref="V189">_xll.FDSB($C189,"CS_EVENT_DATEJ_N("&amp;$AA$18&amp;",4)")</f>
        <v/>
      </c>
      <c r="W189" s="282" t="str" cm="1">
        <f t="array" ref="W189">_xll.FDSB($C189,"CS_EVENT_TIME_N("&amp;$AA$18&amp;",4)")</f>
        <v/>
      </c>
      <c r="X189" s="282" t="str" cm="1">
        <f t="array" ref="X189">_xll.FDSB($C189,"CS_EVENT_DESC_N("&amp;$AA$18&amp;",4)")</f>
        <v/>
      </c>
    </row>
    <row r="190" spans="2:24" x14ac:dyDescent="0.15">
      <c r="B190" s="298">
        <f t="shared" si="4"/>
        <v>175</v>
      </c>
      <c r="C190" s="299" t="str">
        <v>ARE</v>
      </c>
      <c r="D190" s="300" t="str" cm="1">
        <f t="array" ref="D190">_xll.FDSB($C190,"FG_COMPANY_NAME")</f>
        <v>Alexandria Real Estate Equities, Inc.</v>
      </c>
      <c r="E190" s="300"/>
      <c r="F190" s="274" cm="1">
        <f t="array" ref="F190">_xll.FDSB($C190,"CS_EVENT_DATEJ_N("&amp;$AA$18&amp;",1)")</f>
        <v>46230</v>
      </c>
      <c r="G190" s="282" t="str" cm="1">
        <f t="array" ref="G190">_xll.FDSB($C190,"CS_EVENT_TIME_N("&amp;$AA$18&amp;",1)")</f>
        <v>Unspecified</v>
      </c>
      <c r="H190" s="282" t="str" cm="1">
        <f t="array" ref="H190">_xll.FDSB($C190,"CS_EVENT_DESC_N("&amp;$AA$18&amp;",1)")</f>
        <v>Q2 2026 Earnings Release (Projected)</v>
      </c>
      <c r="I190" s="282"/>
      <c r="J190" s="274" t="str" cm="1">
        <f t="array" ref="J190">_xll.FDSB($C190,"CS_EVENT_DATEJ_N("&amp;$AB$18&amp;",1)")</f>
        <v/>
      </c>
      <c r="K190" s="282" t="str" cm="1">
        <f t="array" ref="K190">_xll.FDSB($C190,"CS_EVENT_TIME_N("&amp;$AB$18&amp;",1)")</f>
        <v/>
      </c>
      <c r="L190" s="282" t="str" cm="1">
        <f t="array" ref="L190">_xll.FDSB($C190,"CS_EVENT_DESC_N("&amp;$AB$18&amp;",1)")</f>
        <v/>
      </c>
      <c r="M190" s="300"/>
      <c r="N190" s="274" cm="1">
        <f t="array" ref="N190">_xll.FDSB($C190,"CS_EVENT_DATEJ_N("&amp;$AA$18&amp;",2)")</f>
        <v>46321</v>
      </c>
      <c r="O190" s="282" t="str" cm="1">
        <f t="array" ref="O190">_xll.FDSB($C190,"CS_EVENT_TIME_N("&amp;$AA$18&amp;",2)")</f>
        <v>Unspecified</v>
      </c>
      <c r="P190" s="282" t="str" cm="1">
        <f t="array" ref="P190">_xll.FDSB($C190,"CS_EVENT_DESC_N("&amp;$AA$18&amp;",2)")</f>
        <v>Q3 2026 Earnings Release (Projected)</v>
      </c>
      <c r="Q190" s="282"/>
      <c r="R190" s="274" cm="1">
        <f t="array" ref="R190">_xll.FDSB($C190,"CS_EVENT_DATEJ_N("&amp;$AA$18&amp;",3)")</f>
        <v>46419</v>
      </c>
      <c r="S190" s="282" t="str" cm="1">
        <f t="array" ref="S190">_xll.FDSB($C190,"CS_EVENT_TIME_N("&amp;$AA$18&amp;",3)")</f>
        <v>Unspecified</v>
      </c>
      <c r="T190" s="282" t="str" cm="1">
        <f t="array" ref="T190">_xll.FDSB($C190,"CS_EVENT_DESC_N("&amp;$AA$18&amp;",3)")</f>
        <v>Q4 2026 Earnings Release (Projected)</v>
      </c>
      <c r="U190" s="282"/>
      <c r="V190" s="274" cm="1">
        <f t="array" ref="V190">_xll.FDSB($C190,"CS_EVENT_DATEJ_N("&amp;$AA$18&amp;",4)")</f>
        <v>46503</v>
      </c>
      <c r="W190" s="282" t="str" cm="1">
        <f t="array" ref="W190">_xll.FDSB($C190,"CS_EVENT_TIME_N("&amp;$AA$18&amp;",4)")</f>
        <v>Unspecified</v>
      </c>
      <c r="X190" s="282" t="str" cm="1">
        <f t="array" ref="X190">_xll.FDSB($C190,"CS_EVENT_DESC_N("&amp;$AA$18&amp;",4)")</f>
        <v>Q1 2027 Earnings Release (Projected)</v>
      </c>
    </row>
    <row r="191" spans="2:24" x14ac:dyDescent="0.15">
      <c r="B191" s="298">
        <f t="shared" si="4"/>
        <v>176</v>
      </c>
      <c r="C191" s="299" t="str">
        <v>BRO</v>
      </c>
      <c r="D191" s="300" t="str" cm="1">
        <f t="array" ref="D191">_xll.FDSB($C191,"FG_COMPANY_NAME")</f>
        <v>Brown &amp; Brown, Inc.</v>
      </c>
      <c r="E191" s="300"/>
      <c r="F191" s="274" cm="1">
        <f t="array" ref="F191">_xll.FDSB($C191,"CS_EVENT_DATEJ_N("&amp;$AA$18&amp;",1)")</f>
        <v>46230</v>
      </c>
      <c r="G191" s="282" t="str" cm="1">
        <f t="array" ref="G191">_xll.FDSB($C191,"CS_EVENT_TIME_N("&amp;$AA$18&amp;",1)")</f>
        <v>Unspecified</v>
      </c>
      <c r="H191" s="282" t="str" cm="1">
        <f t="array" ref="H191">_xll.FDSB($C191,"CS_EVENT_DESC_N("&amp;$AA$18&amp;",1)")</f>
        <v>Q2 2026 Earnings Release (Projected)</v>
      </c>
      <c r="I191" s="282"/>
      <c r="J191" s="274" t="str" cm="1">
        <f t="array" ref="J191">_xll.FDSB($C191,"CS_EVENT_DATEJ_N("&amp;$AB$18&amp;",1)")</f>
        <v/>
      </c>
      <c r="K191" s="282" t="str" cm="1">
        <f t="array" ref="K191">_xll.FDSB($C191,"CS_EVENT_TIME_N("&amp;$AB$18&amp;",1)")</f>
        <v/>
      </c>
      <c r="L191" s="282" t="str" cm="1">
        <f t="array" ref="L191">_xll.FDSB($C191,"CS_EVENT_DESC_N("&amp;$AB$18&amp;",1)")</f>
        <v/>
      </c>
      <c r="M191" s="300"/>
      <c r="N191" s="274" cm="1">
        <f t="array" ref="N191">_xll.FDSB($C191,"CS_EVENT_DATEJ_N("&amp;$AA$18&amp;",2)")</f>
        <v>46328</v>
      </c>
      <c r="O191" s="282" t="str" cm="1">
        <f t="array" ref="O191">_xll.FDSB($C191,"CS_EVENT_TIME_N("&amp;$AA$18&amp;",2)")</f>
        <v>Unspecified</v>
      </c>
      <c r="P191" s="282" t="str" cm="1">
        <f t="array" ref="P191">_xll.FDSB($C191,"CS_EVENT_DESC_N("&amp;$AA$18&amp;",2)")</f>
        <v>Q3 2026 Earnings Release (Projected)</v>
      </c>
      <c r="Q191" s="282"/>
      <c r="R191" s="274" cm="1">
        <f t="array" ref="R191">_xll.FDSB($C191,"CS_EVENT_DATEJ_N("&amp;$AA$18&amp;",3)")</f>
        <v>46412</v>
      </c>
      <c r="S191" s="282" t="str" cm="1">
        <f t="array" ref="S191">_xll.FDSB($C191,"CS_EVENT_TIME_N("&amp;$AA$18&amp;",3)")</f>
        <v>Unspecified</v>
      </c>
      <c r="T191" s="282" t="str" cm="1">
        <f t="array" ref="T191">_xll.FDSB($C191,"CS_EVENT_DESC_N("&amp;$AA$18&amp;",3)")</f>
        <v>Q4 2026 Earnings Release (Projected)</v>
      </c>
      <c r="U191" s="282"/>
      <c r="V191" s="274" cm="1">
        <f t="array" ref="V191">_xll.FDSB($C191,"CS_EVENT_DATEJ_N("&amp;$AA$18&amp;",4)")</f>
        <v>46503</v>
      </c>
      <c r="W191" s="282" t="str" cm="1">
        <f t="array" ref="W191">_xll.FDSB($C191,"CS_EVENT_TIME_N("&amp;$AA$18&amp;",4)")</f>
        <v>Unspecified</v>
      </c>
      <c r="X191" s="282" t="str" cm="1">
        <f t="array" ref="X191">_xll.FDSB($C191,"CS_EVENT_DESC_N("&amp;$AA$18&amp;",4)")</f>
        <v>Q1 2027 Earnings Release (Projected)</v>
      </c>
    </row>
    <row r="192" spans="2:24" x14ac:dyDescent="0.15">
      <c r="B192" s="298">
        <f t="shared" si="4"/>
        <v>177</v>
      </c>
      <c r="C192" s="299" t="str">
        <v>CDNS</v>
      </c>
      <c r="D192" s="300" t="str" cm="1">
        <f t="array" ref="D192">_xll.FDSB($C192,"FG_COMPANY_NAME")</f>
        <v>Cadence Design Systems, Inc.</v>
      </c>
      <c r="E192" s="300"/>
      <c r="F192" s="274" cm="1">
        <f t="array" ref="F192">_xll.FDSB($C192,"CS_EVENT_DATEJ_N("&amp;$AA$18&amp;",1)")</f>
        <v>46230</v>
      </c>
      <c r="G192" s="282" t="str" cm="1">
        <f t="array" ref="G192">_xll.FDSB($C192,"CS_EVENT_TIME_N("&amp;$AA$18&amp;",1)")</f>
        <v>Unspecified</v>
      </c>
      <c r="H192" s="282" t="str" cm="1">
        <f t="array" ref="H192">_xll.FDSB($C192,"CS_EVENT_DESC_N("&amp;$AA$18&amp;",1)")</f>
        <v>Q2 2026 Earnings Release (Projected)</v>
      </c>
      <c r="I192" s="282"/>
      <c r="J192" s="274" t="str" cm="1">
        <f t="array" ref="J192">_xll.FDSB($C192,"CS_EVENT_DATEJ_N("&amp;$AB$18&amp;",1)")</f>
        <v/>
      </c>
      <c r="K192" s="282" t="str" cm="1">
        <f t="array" ref="K192">_xll.FDSB($C192,"CS_EVENT_TIME_N("&amp;$AB$18&amp;",1)")</f>
        <v/>
      </c>
      <c r="L192" s="282" t="str" cm="1">
        <f t="array" ref="L192">_xll.FDSB($C192,"CS_EVENT_DESC_N("&amp;$AB$18&amp;",1)")</f>
        <v/>
      </c>
      <c r="M192" s="300"/>
      <c r="N192" s="274" cm="1">
        <f t="array" ref="N192">_xll.FDSB($C192,"CS_EVENT_DATEJ_N("&amp;$AA$18&amp;",2)")</f>
        <v>46321</v>
      </c>
      <c r="O192" s="282" t="str" cm="1">
        <f t="array" ref="O192">_xll.FDSB($C192,"CS_EVENT_TIME_N("&amp;$AA$18&amp;",2)")</f>
        <v>Unspecified</v>
      </c>
      <c r="P192" s="282" t="str" cm="1">
        <f t="array" ref="P192">_xll.FDSB($C192,"CS_EVENT_DESC_N("&amp;$AA$18&amp;",2)")</f>
        <v>Q3 2026 Earnings Release (Projected)</v>
      </c>
      <c r="Q192" s="282"/>
      <c r="R192" s="274" cm="1">
        <f t="array" ref="R192">_xll.FDSB($C192,"CS_EVENT_DATEJ_N("&amp;$AA$18&amp;",3)")</f>
        <v>46441</v>
      </c>
      <c r="S192" s="282" t="str" cm="1">
        <f t="array" ref="S192">_xll.FDSB($C192,"CS_EVENT_TIME_N("&amp;$AA$18&amp;",3)")</f>
        <v>Unspecified</v>
      </c>
      <c r="T192" s="282" t="str" cm="1">
        <f t="array" ref="T192">_xll.FDSB($C192,"CS_EVENT_DESC_N("&amp;$AA$18&amp;",3)")</f>
        <v>Q4 2026 Earnings Release (Projected)</v>
      </c>
      <c r="U192" s="282"/>
      <c r="V192" s="274" cm="1">
        <f t="array" ref="V192">_xll.FDSB($C192,"CS_EVENT_DATEJ_N("&amp;$AA$18&amp;",4)")</f>
        <v>46503</v>
      </c>
      <c r="W192" s="282" t="str" cm="1">
        <f t="array" ref="W192">_xll.FDSB($C192,"CS_EVENT_TIME_N("&amp;$AA$18&amp;",4)")</f>
        <v>Unspecified</v>
      </c>
      <c r="X192" s="282" t="str" cm="1">
        <f t="array" ref="X192">_xll.FDSB($C192,"CS_EVENT_DESC_N("&amp;$AA$18&amp;",4)")</f>
        <v>Q1 2027 Earnings Release (Projected)</v>
      </c>
    </row>
    <row r="193" spans="2:24" x14ac:dyDescent="0.15">
      <c r="B193" s="298">
        <f t="shared" si="4"/>
        <v>178</v>
      </c>
      <c r="C193" s="299" t="str">
        <v>NUE</v>
      </c>
      <c r="D193" s="300" t="str" cm="1">
        <f t="array" ref="D193">_xll.FDSB($C193,"FG_COMPANY_NAME")</f>
        <v>Nucor Corporation</v>
      </c>
      <c r="E193" s="300"/>
      <c r="F193" s="274" cm="1">
        <f t="array" ref="F193">_xll.FDSB($C193,"CS_EVENT_DATEJ_N("&amp;$AA$18&amp;",1)")</f>
        <v>46230</v>
      </c>
      <c r="G193" s="282" t="str" cm="1">
        <f t="array" ref="G193">_xll.FDSB($C193,"CS_EVENT_TIME_N("&amp;$AA$18&amp;",1)")</f>
        <v>Unspecified</v>
      </c>
      <c r="H193" s="282" t="str" cm="1">
        <f t="array" ref="H193">_xll.FDSB($C193,"CS_EVENT_DESC_N("&amp;$AA$18&amp;",1)")</f>
        <v>Q2 2026 Earnings Release (Projected)</v>
      </c>
      <c r="I193" s="282"/>
      <c r="J193" s="274" t="str" cm="1">
        <f t="array" ref="J193">_xll.FDSB($C193,"CS_EVENT_DATEJ_N("&amp;$AB$18&amp;",1)")</f>
        <v/>
      </c>
      <c r="K193" s="282" t="str" cm="1">
        <f t="array" ref="K193">_xll.FDSB($C193,"CS_EVENT_TIME_N("&amp;$AB$18&amp;",1)")</f>
        <v/>
      </c>
      <c r="L193" s="282" t="str" cm="1">
        <f t="array" ref="L193">_xll.FDSB($C193,"CS_EVENT_DESC_N("&amp;$AB$18&amp;",1)")</f>
        <v/>
      </c>
      <c r="M193" s="300"/>
      <c r="N193" s="274" cm="1">
        <f t="array" ref="N193">_xll.FDSB($C193,"CS_EVENT_DATEJ_N("&amp;$AA$18&amp;",2)")</f>
        <v>46321</v>
      </c>
      <c r="O193" s="282" t="str" cm="1">
        <f t="array" ref="O193">_xll.FDSB($C193,"CS_EVENT_TIME_N("&amp;$AA$18&amp;",2)")</f>
        <v>Unspecified</v>
      </c>
      <c r="P193" s="282" t="str" cm="1">
        <f t="array" ref="P193">_xll.FDSB($C193,"CS_EVENT_DESC_N("&amp;$AA$18&amp;",2)")</f>
        <v>Q3 2026 Earnings Release (Projected)</v>
      </c>
      <c r="Q193" s="282"/>
      <c r="R193" s="274" cm="1">
        <f t="array" ref="R193">_xll.FDSB($C193,"CS_EVENT_DATEJ_N("&amp;$AA$18&amp;",3)")</f>
        <v>46419</v>
      </c>
      <c r="S193" s="282" t="str" cm="1">
        <f t="array" ref="S193">_xll.FDSB($C193,"CS_EVENT_TIME_N("&amp;$AA$18&amp;",3)")</f>
        <v>Unspecified</v>
      </c>
      <c r="T193" s="282" t="str" cm="1">
        <f t="array" ref="T193">_xll.FDSB($C193,"CS_EVENT_DESC_N("&amp;$AA$18&amp;",3)")</f>
        <v>Q4 2026 Earnings Release (Projected)</v>
      </c>
      <c r="U193" s="282"/>
      <c r="V193" s="274" t="str" cm="1">
        <f t="array" ref="V193">_xll.FDSB($C193,"CS_EVENT_DATEJ_N("&amp;$AA$18&amp;",4)")</f>
        <v/>
      </c>
      <c r="W193" s="282" t="str" cm="1">
        <f t="array" ref="W193">_xll.FDSB($C193,"CS_EVENT_TIME_N("&amp;$AA$18&amp;",4)")</f>
        <v/>
      </c>
      <c r="X193" s="282" t="str" cm="1">
        <f t="array" ref="X193">_xll.FDSB($C193,"CS_EVENT_DESC_N("&amp;$AA$18&amp;",4)")</f>
        <v/>
      </c>
    </row>
    <row r="194" spans="2:24" x14ac:dyDescent="0.15">
      <c r="B194" s="298">
        <f t="shared" si="4"/>
        <v>179</v>
      </c>
      <c r="C194" s="299" t="str">
        <v>PKG</v>
      </c>
      <c r="D194" s="300" t="str" cm="1">
        <f t="array" ref="D194">_xll.FDSB($C194,"FG_COMPANY_NAME")</f>
        <v>Packaging Corporation of America</v>
      </c>
      <c r="E194" s="300"/>
      <c r="F194" s="274" cm="1">
        <f t="array" ref="F194">_xll.FDSB($C194,"CS_EVENT_DATEJ_N("&amp;$AA$18&amp;",1)")</f>
        <v>46230</v>
      </c>
      <c r="G194" s="282" t="str" cm="1">
        <f t="array" ref="G194">_xll.FDSB($C194,"CS_EVENT_TIME_N("&amp;$AA$18&amp;",1)")</f>
        <v>Unspecified</v>
      </c>
      <c r="H194" s="282" t="str" cm="1">
        <f t="array" ref="H194">_xll.FDSB($C194,"CS_EVENT_DESC_N("&amp;$AA$18&amp;",1)")</f>
        <v>Q2 2026 Earnings Release (Projected)</v>
      </c>
      <c r="I194" s="282"/>
      <c r="J194" s="274" t="str" cm="1">
        <f t="array" ref="J194">_xll.FDSB($C194,"CS_EVENT_DATEJ_N("&amp;$AB$18&amp;",1)")</f>
        <v/>
      </c>
      <c r="K194" s="282" t="str" cm="1">
        <f t="array" ref="K194">_xll.FDSB($C194,"CS_EVENT_TIME_N("&amp;$AB$18&amp;",1)")</f>
        <v/>
      </c>
      <c r="L194" s="282" t="str" cm="1">
        <f t="array" ref="L194">_xll.FDSB($C194,"CS_EVENT_DESC_N("&amp;$AB$18&amp;",1)")</f>
        <v/>
      </c>
      <c r="M194" s="300"/>
      <c r="N194" s="274" cm="1">
        <f t="array" ref="N194">_xll.FDSB($C194,"CS_EVENT_DATEJ_N("&amp;$AA$18&amp;",2)")</f>
        <v>46321</v>
      </c>
      <c r="O194" s="282" t="str" cm="1">
        <f t="array" ref="O194">_xll.FDSB($C194,"CS_EVENT_TIME_N("&amp;$AA$18&amp;",2)")</f>
        <v>Unspecified</v>
      </c>
      <c r="P194" s="282" t="str" cm="1">
        <f t="array" ref="P194">_xll.FDSB($C194,"CS_EVENT_DESC_N("&amp;$AA$18&amp;",2)")</f>
        <v>Q3 2026 Earnings Release (Projected)</v>
      </c>
      <c r="Q194" s="282"/>
      <c r="R194" s="274" cm="1">
        <f t="array" ref="R194">_xll.FDSB($C194,"CS_EVENT_DATEJ_N("&amp;$AA$18&amp;",3)")</f>
        <v>46414</v>
      </c>
      <c r="S194" s="282" t="str" cm="1">
        <f t="array" ref="S194">_xll.FDSB($C194,"CS_EVENT_TIME_N("&amp;$AA$18&amp;",3)")</f>
        <v>Unspecified</v>
      </c>
      <c r="T194" s="282" t="str" cm="1">
        <f t="array" ref="T194">_xll.FDSB($C194,"CS_EVENT_DESC_N("&amp;$AA$18&amp;",3)")</f>
        <v>Q4 2026 Earnings Release (Projected)</v>
      </c>
      <c r="U194" s="282"/>
      <c r="V194" s="274" t="str" cm="1">
        <f t="array" ref="V194">_xll.FDSB($C194,"CS_EVENT_DATEJ_N("&amp;$AA$18&amp;",4)")</f>
        <v/>
      </c>
      <c r="W194" s="282" t="str" cm="1">
        <f t="array" ref="W194">_xll.FDSB($C194,"CS_EVENT_TIME_N("&amp;$AA$18&amp;",4)")</f>
        <v/>
      </c>
      <c r="X194" s="282" t="str" cm="1">
        <f t="array" ref="X194">_xll.FDSB($C194,"CS_EVENT_DESC_N("&amp;$AA$18&amp;",4)")</f>
        <v/>
      </c>
    </row>
    <row r="195" spans="2:24" x14ac:dyDescent="0.15">
      <c r="B195" s="298">
        <f t="shared" si="4"/>
        <v>180</v>
      </c>
      <c r="C195" s="299" t="str">
        <v>RTX</v>
      </c>
      <c r="D195" s="300" t="str" cm="1">
        <f t="array" ref="D195">_xll.FDSB($C195,"FG_COMPANY_NAME")</f>
        <v>RTX Corporation</v>
      </c>
      <c r="E195" s="300"/>
      <c r="F195" s="274" cm="1">
        <f t="array" ref="F195">_xll.FDSB($C195,"CS_EVENT_DATEJ_N("&amp;$AA$18&amp;",1)")</f>
        <v>46231</v>
      </c>
      <c r="G195" s="282" t="str" cm="1">
        <f t="array" ref="G195">_xll.FDSB($C195,"CS_EVENT_TIME_N("&amp;$AA$18&amp;",1)")</f>
        <v>Unspecified</v>
      </c>
      <c r="H195" s="282" t="str" cm="1">
        <f t="array" ref="H195">_xll.FDSB($C195,"CS_EVENT_DESC_N("&amp;$AA$18&amp;",1)")</f>
        <v>Q2 2026 Earnings Release (Projected)</v>
      </c>
      <c r="I195" s="282"/>
      <c r="J195" s="274" t="str" cm="1">
        <f t="array" ref="J195">_xll.FDSB($C195,"CS_EVENT_DATEJ_N("&amp;$AB$18&amp;",1)")</f>
        <v/>
      </c>
      <c r="K195" s="282" t="str" cm="1">
        <f t="array" ref="K195">_xll.FDSB($C195,"CS_EVENT_TIME_N("&amp;$AB$18&amp;",1)")</f>
        <v/>
      </c>
      <c r="L195" s="282" t="str" cm="1">
        <f t="array" ref="L195">_xll.FDSB($C195,"CS_EVENT_DESC_N("&amp;$AB$18&amp;",1)")</f>
        <v/>
      </c>
      <c r="M195" s="300"/>
      <c r="N195" s="274" cm="1">
        <f t="array" ref="N195">_xll.FDSB($C195,"CS_EVENT_DATEJ_N("&amp;$AA$18&amp;",2)")</f>
        <v>46322</v>
      </c>
      <c r="O195" s="282" t="str" cm="1">
        <f t="array" ref="O195">_xll.FDSB($C195,"CS_EVENT_TIME_N("&amp;$AA$18&amp;",2)")</f>
        <v>Unspecified</v>
      </c>
      <c r="P195" s="282" t="str" cm="1">
        <f t="array" ref="P195">_xll.FDSB($C195,"CS_EVENT_DESC_N("&amp;$AA$18&amp;",2)")</f>
        <v>Q3 2026 Earnings Release (Projected)</v>
      </c>
      <c r="Q195" s="282"/>
      <c r="R195" s="274" cm="1">
        <f t="array" ref="R195">_xll.FDSB($C195,"CS_EVENT_DATEJ_N("&amp;$AA$18&amp;",3)")</f>
        <v>46413</v>
      </c>
      <c r="S195" s="282" t="str" cm="1">
        <f t="array" ref="S195">_xll.FDSB($C195,"CS_EVENT_TIME_N("&amp;$AA$18&amp;",3)")</f>
        <v>Unspecified</v>
      </c>
      <c r="T195" s="282" t="str" cm="1">
        <f t="array" ref="T195">_xll.FDSB($C195,"CS_EVENT_DESC_N("&amp;$AA$18&amp;",3)")</f>
        <v>Q4 2026 Earnings Release (Projected)</v>
      </c>
      <c r="U195" s="282"/>
      <c r="V195" s="274" cm="1">
        <f t="array" ref="V195">_xll.FDSB($C195,"CS_EVENT_DATEJ_N("&amp;$AA$18&amp;",4)")</f>
        <v>46504</v>
      </c>
      <c r="W195" s="282" t="str" cm="1">
        <f t="array" ref="W195">_xll.FDSB($C195,"CS_EVENT_TIME_N("&amp;$AA$18&amp;",4)")</f>
        <v>Unspecified</v>
      </c>
      <c r="X195" s="282" t="str" cm="1">
        <f t="array" ref="X195">_xll.FDSB($C195,"CS_EVENT_DESC_N("&amp;$AA$18&amp;",4)")</f>
        <v>Q1 2027 Earnings Release (Projected)</v>
      </c>
    </row>
    <row r="196" spans="2:24" x14ac:dyDescent="0.15">
      <c r="B196" s="298">
        <f t="shared" si="4"/>
        <v>181</v>
      </c>
      <c r="C196" s="299" t="str">
        <v>LMT</v>
      </c>
      <c r="D196" s="300" t="str" cm="1">
        <f t="array" ref="D196">_xll.FDSB($C196,"FG_COMPANY_NAME")</f>
        <v>Lockheed Martin Corporation</v>
      </c>
      <c r="E196" s="300"/>
      <c r="F196" s="274" cm="1">
        <f t="array" ref="F196">_xll.FDSB($C196,"CS_EVENT_DATEJ_N("&amp;$AA$18&amp;",1)")</f>
        <v>46231</v>
      </c>
      <c r="G196" s="282" t="str" cm="1">
        <f t="array" ref="G196">_xll.FDSB($C196,"CS_EVENT_TIME_N("&amp;$AA$18&amp;",1)")</f>
        <v>Unspecified</v>
      </c>
      <c r="H196" s="282" t="str" cm="1">
        <f t="array" ref="H196">_xll.FDSB($C196,"CS_EVENT_DESC_N("&amp;$AA$18&amp;",1)")</f>
        <v>Q2 2026 Earnings Release (Projected)</v>
      </c>
      <c r="I196" s="282"/>
      <c r="J196" s="274" t="str" cm="1">
        <f t="array" ref="J196">_xll.FDSB($C196,"CS_EVENT_DATEJ_N("&amp;$AB$18&amp;",1)")</f>
        <v/>
      </c>
      <c r="K196" s="282" t="str" cm="1">
        <f t="array" ref="K196">_xll.FDSB($C196,"CS_EVENT_TIME_N("&amp;$AB$18&amp;",1)")</f>
        <v/>
      </c>
      <c r="L196" s="282" t="str" cm="1">
        <f t="array" ref="L196">_xll.FDSB($C196,"CS_EVENT_DESC_N("&amp;$AB$18&amp;",1)")</f>
        <v/>
      </c>
      <c r="M196" s="300"/>
      <c r="N196" s="274" cm="1">
        <f t="array" ref="N196">_xll.FDSB($C196,"CS_EVENT_DATEJ_N("&amp;$AA$18&amp;",2)")</f>
        <v>46322</v>
      </c>
      <c r="O196" s="282" t="str" cm="1">
        <f t="array" ref="O196">_xll.FDSB($C196,"CS_EVENT_TIME_N("&amp;$AA$18&amp;",2)")</f>
        <v>Unspecified</v>
      </c>
      <c r="P196" s="282" t="str" cm="1">
        <f t="array" ref="P196">_xll.FDSB($C196,"CS_EVENT_DESC_N("&amp;$AA$18&amp;",2)")</f>
        <v>Q3 2026 Earnings Release (Projected)</v>
      </c>
      <c r="Q196" s="282"/>
      <c r="R196" s="274" cm="1">
        <f t="array" ref="R196">_xll.FDSB($C196,"CS_EVENT_DATEJ_N("&amp;$AA$18&amp;",3)")</f>
        <v>46413</v>
      </c>
      <c r="S196" s="282" t="str" cm="1">
        <f t="array" ref="S196">_xll.FDSB($C196,"CS_EVENT_TIME_N("&amp;$AA$18&amp;",3)")</f>
        <v>Unspecified</v>
      </c>
      <c r="T196" s="282" t="str" cm="1">
        <f t="array" ref="T196">_xll.FDSB($C196,"CS_EVENT_DESC_N("&amp;$AA$18&amp;",3)")</f>
        <v>Q4 2026 Earnings Release (Projected)</v>
      </c>
      <c r="U196" s="282"/>
      <c r="V196" s="274" cm="1">
        <f t="array" ref="V196">_xll.FDSB($C196,"CS_EVENT_DATEJ_N("&amp;$AA$18&amp;",4)")</f>
        <v>46497</v>
      </c>
      <c r="W196" s="282" t="str" cm="1">
        <f t="array" ref="W196">_xll.FDSB($C196,"CS_EVENT_TIME_N("&amp;$AA$18&amp;",4)")</f>
        <v>Unspecified</v>
      </c>
      <c r="X196" s="282" t="str" cm="1">
        <f t="array" ref="X196">_xll.FDSB($C196,"CS_EVENT_DESC_N("&amp;$AA$18&amp;",4)")</f>
        <v>Q1 2027 Earnings Release (Projected)</v>
      </c>
    </row>
    <row r="197" spans="2:24" x14ac:dyDescent="0.15">
      <c r="B197" s="298">
        <f t="shared" si="4"/>
        <v>182</v>
      </c>
      <c r="C197" s="299" t="str">
        <v>DHR</v>
      </c>
      <c r="D197" s="300" t="str" cm="1">
        <f t="array" ref="D197">_xll.FDSB($C197,"FG_COMPANY_NAME")</f>
        <v>Danaher Corporation</v>
      </c>
      <c r="E197" s="300"/>
      <c r="F197" s="274" cm="1">
        <f t="array" ref="F197">_xll.FDSB($C197,"CS_EVENT_DATEJ_N("&amp;$AA$18&amp;",1)")</f>
        <v>46231</v>
      </c>
      <c r="G197" s="282" t="str" cm="1">
        <f t="array" ref="G197">_xll.FDSB($C197,"CS_EVENT_TIME_N("&amp;$AA$18&amp;",1)")</f>
        <v>Unspecified</v>
      </c>
      <c r="H197" s="282" t="str" cm="1">
        <f t="array" ref="H197">_xll.FDSB($C197,"CS_EVENT_DESC_N("&amp;$AA$18&amp;",1)")</f>
        <v>Q2 2026 Earnings Release (Projected)</v>
      </c>
      <c r="I197" s="282"/>
      <c r="J197" s="274" t="str" cm="1">
        <f t="array" ref="J197">_xll.FDSB($C197,"CS_EVENT_DATEJ_N("&amp;$AB$18&amp;",1)")</f>
        <v/>
      </c>
      <c r="K197" s="282" t="str" cm="1">
        <f t="array" ref="K197">_xll.FDSB($C197,"CS_EVENT_TIME_N("&amp;$AB$18&amp;",1)")</f>
        <v/>
      </c>
      <c r="L197" s="282" t="str" cm="1">
        <f t="array" ref="L197">_xll.FDSB($C197,"CS_EVENT_DESC_N("&amp;$AB$18&amp;",1)")</f>
        <v/>
      </c>
      <c r="M197" s="300"/>
      <c r="N197" s="274" cm="1">
        <f t="array" ref="N197">_xll.FDSB($C197,"CS_EVENT_DATEJ_N("&amp;$AA$18&amp;",2)")</f>
        <v>46322</v>
      </c>
      <c r="O197" s="282" t="str" cm="1">
        <f t="array" ref="O197">_xll.FDSB($C197,"CS_EVENT_TIME_N("&amp;$AA$18&amp;",2)")</f>
        <v>Unspecified</v>
      </c>
      <c r="P197" s="282" t="str" cm="1">
        <f t="array" ref="P197">_xll.FDSB($C197,"CS_EVENT_DESC_N("&amp;$AA$18&amp;",2)")</f>
        <v>Q3 2026 Earnings Release (Projected)</v>
      </c>
      <c r="Q197" s="282"/>
      <c r="R197" s="274" cm="1">
        <f t="array" ref="R197">_xll.FDSB($C197,"CS_EVENT_DATEJ_N("&amp;$AA$18&amp;",3)")</f>
        <v>46504</v>
      </c>
      <c r="S197" s="282" t="str" cm="1">
        <f t="array" ref="S197">_xll.FDSB($C197,"CS_EVENT_TIME_N("&amp;$AA$18&amp;",3)")</f>
        <v>Unspecified</v>
      </c>
      <c r="T197" s="282" t="str" cm="1">
        <f t="array" ref="T197">_xll.FDSB($C197,"CS_EVENT_DESC_N("&amp;$AA$18&amp;",3)")</f>
        <v>Q1 2027 Earnings Release (Projected)</v>
      </c>
      <c r="U197" s="282"/>
      <c r="V197" s="274" t="str" cm="1">
        <f t="array" ref="V197">_xll.FDSB($C197,"CS_EVENT_DATEJ_N("&amp;$AA$18&amp;",4)")</f>
        <v/>
      </c>
      <c r="W197" s="282" t="str" cm="1">
        <f t="array" ref="W197">_xll.FDSB($C197,"CS_EVENT_TIME_N("&amp;$AA$18&amp;",4)")</f>
        <v/>
      </c>
      <c r="X197" s="282" t="str" cm="1">
        <f t="array" ref="X197">_xll.FDSB($C197,"CS_EVENT_DESC_N("&amp;$AA$18&amp;",4)")</f>
        <v/>
      </c>
    </row>
    <row r="198" spans="2:24" x14ac:dyDescent="0.15">
      <c r="B198" s="298">
        <f t="shared" si="4"/>
        <v>183</v>
      </c>
      <c r="C198" s="299" t="str">
        <v>MSFT</v>
      </c>
      <c r="D198" s="300" t="str" cm="1">
        <f t="array" ref="D198">_xll.FDSB($C198,"FG_COMPANY_NAME")</f>
        <v>Microsoft Corporation</v>
      </c>
      <c r="E198" s="300"/>
      <c r="F198" s="274" cm="1">
        <f t="array" ref="F198">_xll.FDSB($C198,"CS_EVENT_DATEJ_N("&amp;$AA$18&amp;",1)")</f>
        <v>46231</v>
      </c>
      <c r="G198" s="282" t="str" cm="1">
        <f t="array" ref="G198">_xll.FDSB($C198,"CS_EVENT_TIME_N("&amp;$AA$18&amp;",1)")</f>
        <v>Unspecified</v>
      </c>
      <c r="H198" s="282" t="str" cm="1">
        <f t="array" ref="H198">_xll.FDSB($C198,"CS_EVENT_DESC_N("&amp;$AA$18&amp;",1)")</f>
        <v>Q4 2026 Earnings Release (Projected)</v>
      </c>
      <c r="I198" s="282"/>
      <c r="J198" s="274" t="str" cm="1">
        <f t="array" ref="J198">_xll.FDSB($C198,"CS_EVENT_DATEJ_N("&amp;$AB$18&amp;",1)")</f>
        <v/>
      </c>
      <c r="K198" s="282" t="str" cm="1">
        <f t="array" ref="K198">_xll.FDSB($C198,"CS_EVENT_TIME_N("&amp;$AB$18&amp;",1)")</f>
        <v/>
      </c>
      <c r="L198" s="282" t="str" cm="1">
        <f t="array" ref="L198">_xll.FDSB($C198,"CS_EVENT_DESC_N("&amp;$AB$18&amp;",1)")</f>
        <v/>
      </c>
      <c r="M198" s="300"/>
      <c r="N198" s="274" cm="1">
        <f t="array" ref="N198">_xll.FDSB($C198,"CS_EVENT_DATEJ_N("&amp;$AA$18&amp;",2)")</f>
        <v>46322</v>
      </c>
      <c r="O198" s="282" t="str" cm="1">
        <f t="array" ref="O198">_xll.FDSB($C198,"CS_EVENT_TIME_N("&amp;$AA$18&amp;",2)")</f>
        <v>Unspecified</v>
      </c>
      <c r="P198" s="282" t="str" cm="1">
        <f t="array" ref="P198">_xll.FDSB($C198,"CS_EVENT_DESC_N("&amp;$AA$18&amp;",2)")</f>
        <v>Q1 2027 Earnings Release (Projected)</v>
      </c>
      <c r="Q198" s="282"/>
      <c r="R198" s="274" cm="1">
        <f t="array" ref="R198">_xll.FDSB($C198,"CS_EVENT_DATEJ_N("&amp;$AA$18&amp;",3)")</f>
        <v>46413</v>
      </c>
      <c r="S198" s="282" t="str" cm="1">
        <f t="array" ref="S198">_xll.FDSB($C198,"CS_EVENT_TIME_N("&amp;$AA$18&amp;",3)")</f>
        <v>Unspecified</v>
      </c>
      <c r="T198" s="282" t="str" cm="1">
        <f t="array" ref="T198">_xll.FDSB($C198,"CS_EVENT_DESC_N("&amp;$AA$18&amp;",3)")</f>
        <v>Q2 2027 Earnings Release (Projected)</v>
      </c>
      <c r="U198" s="282"/>
      <c r="V198" s="274" cm="1">
        <f t="array" ref="V198">_xll.FDSB($C198,"CS_EVENT_DATEJ_N("&amp;$AA$18&amp;",4)")</f>
        <v>46504</v>
      </c>
      <c r="W198" s="282" t="str" cm="1">
        <f t="array" ref="W198">_xll.FDSB($C198,"CS_EVENT_TIME_N("&amp;$AA$18&amp;",4)")</f>
        <v>Unspecified</v>
      </c>
      <c r="X198" s="282" t="str" cm="1">
        <f t="array" ref="X198">_xll.FDSB($C198,"CS_EVENT_DESC_N("&amp;$AA$18&amp;",4)")</f>
        <v>Q3 2027 Earnings Release (Projected)</v>
      </c>
    </row>
    <row r="199" spans="2:24" x14ac:dyDescent="0.15">
      <c r="B199" s="298">
        <f t="shared" si="4"/>
        <v>184</v>
      </c>
      <c r="C199" s="299" t="str">
        <v>MCO</v>
      </c>
      <c r="D199" s="300" t="str" cm="1">
        <f t="array" ref="D199">_xll.FDSB($C199,"FG_COMPANY_NAME")</f>
        <v>Moody's Corporation</v>
      </c>
      <c r="E199" s="300"/>
      <c r="F199" s="274" cm="1">
        <f t="array" ref="F199">_xll.FDSB($C199,"CS_EVENT_DATEJ_N("&amp;$AA$18&amp;",1)")</f>
        <v>46231</v>
      </c>
      <c r="G199" s="282" t="str" cm="1">
        <f t="array" ref="G199">_xll.FDSB($C199,"CS_EVENT_TIME_N("&amp;$AA$18&amp;",1)")</f>
        <v>Unspecified</v>
      </c>
      <c r="H199" s="282" t="str" cm="1">
        <f t="array" ref="H199">_xll.FDSB($C199,"CS_EVENT_DESC_N("&amp;$AA$18&amp;",1)")</f>
        <v>Q2 2026 Earnings Release (Projected)</v>
      </c>
      <c r="I199" s="282"/>
      <c r="J199" s="274" t="str" cm="1">
        <f t="array" ref="J199">_xll.FDSB($C199,"CS_EVENT_DATEJ_N("&amp;$AB$18&amp;",1)")</f>
        <v/>
      </c>
      <c r="K199" s="282" t="str" cm="1">
        <f t="array" ref="K199">_xll.FDSB($C199,"CS_EVENT_TIME_N("&amp;$AB$18&amp;",1)")</f>
        <v/>
      </c>
      <c r="L199" s="282" t="str" cm="1">
        <f t="array" ref="L199">_xll.FDSB($C199,"CS_EVENT_DESC_N("&amp;$AB$18&amp;",1)")</f>
        <v/>
      </c>
      <c r="M199" s="300"/>
      <c r="N199" s="274" cm="1">
        <f t="array" ref="N199">_xll.FDSB($C199,"CS_EVENT_DATEJ_N("&amp;$AA$18&amp;",2)")</f>
        <v>46322</v>
      </c>
      <c r="O199" s="282" t="str" cm="1">
        <f t="array" ref="O199">_xll.FDSB($C199,"CS_EVENT_TIME_N("&amp;$AA$18&amp;",2)")</f>
        <v>Unspecified</v>
      </c>
      <c r="P199" s="282" t="str" cm="1">
        <f t="array" ref="P199">_xll.FDSB($C199,"CS_EVENT_DESC_N("&amp;$AA$18&amp;",2)")</f>
        <v>Q3 2026 Earnings Release (Projected)</v>
      </c>
      <c r="Q199" s="282"/>
      <c r="R199" s="274" cm="1">
        <f t="array" ref="R199">_xll.FDSB($C199,"CS_EVENT_DATEJ_N("&amp;$AA$18&amp;",3)")</f>
        <v>46423</v>
      </c>
      <c r="S199" s="282" t="str" cm="1">
        <f t="array" ref="S199">_xll.FDSB($C199,"CS_EVENT_TIME_N("&amp;$AA$18&amp;",3)")</f>
        <v>Unspecified</v>
      </c>
      <c r="T199" s="282" t="str" cm="1">
        <f t="array" ref="T199">_xll.FDSB($C199,"CS_EVENT_DESC_N("&amp;$AA$18&amp;",3)")</f>
        <v>Q4 2026 Earnings Release (Projected)</v>
      </c>
      <c r="U199" s="282"/>
      <c r="V199" s="274" cm="1">
        <f t="array" ref="V199">_xll.FDSB($C199,"CS_EVENT_DATEJ_N("&amp;$AA$18&amp;",4)")</f>
        <v>46505</v>
      </c>
      <c r="W199" s="282" t="str" cm="1">
        <f t="array" ref="W199">_xll.FDSB($C199,"CS_EVENT_TIME_N("&amp;$AA$18&amp;",4)")</f>
        <v>Unspecified</v>
      </c>
      <c r="X199" s="282" t="str" cm="1">
        <f t="array" ref="X199">_xll.FDSB($C199,"CS_EVENT_DESC_N("&amp;$AA$18&amp;",4)")</f>
        <v>Q1 2027 Earnings Release (Projected)</v>
      </c>
    </row>
    <row r="200" spans="2:24" x14ac:dyDescent="0.15">
      <c r="B200" s="298">
        <f t="shared" si="4"/>
        <v>185</v>
      </c>
      <c r="C200" s="299" t="str">
        <v>KO</v>
      </c>
      <c r="D200" s="300" t="str" cm="1">
        <f t="array" ref="D200">_xll.FDSB($C200,"FG_COMPANY_NAME")</f>
        <v>Coca-Cola Company</v>
      </c>
      <c r="E200" s="300"/>
      <c r="F200" s="274" cm="1">
        <f t="array" ref="F200">_xll.FDSB($C200,"CS_EVENT_DATEJ_N("&amp;$AA$18&amp;",1)")</f>
        <v>46231</v>
      </c>
      <c r="G200" s="282" t="str" cm="1">
        <f t="array" ref="G200">_xll.FDSB($C200,"CS_EVENT_TIME_N("&amp;$AA$18&amp;",1)")</f>
        <v>Unspecified</v>
      </c>
      <c r="H200" s="282" t="str" cm="1">
        <f t="array" ref="H200">_xll.FDSB($C200,"CS_EVENT_DESC_N("&amp;$AA$18&amp;",1)")</f>
        <v>Q2 2026 Earnings Release (Projected)</v>
      </c>
      <c r="I200" s="282"/>
      <c r="J200" s="274" t="str" cm="1">
        <f t="array" ref="J200">_xll.FDSB($C200,"CS_EVENT_DATEJ_N("&amp;$AB$18&amp;",1)")</f>
        <v/>
      </c>
      <c r="K200" s="282" t="str" cm="1">
        <f t="array" ref="K200">_xll.FDSB($C200,"CS_EVENT_TIME_N("&amp;$AB$18&amp;",1)")</f>
        <v/>
      </c>
      <c r="L200" s="282" t="str" cm="1">
        <f t="array" ref="L200">_xll.FDSB($C200,"CS_EVENT_DESC_N("&amp;$AB$18&amp;",1)")</f>
        <v/>
      </c>
      <c r="M200" s="300"/>
      <c r="N200" s="274" cm="1">
        <f t="array" ref="N200">_xll.FDSB($C200,"CS_EVENT_DATEJ_N("&amp;$AA$18&amp;",2)")</f>
        <v>46322</v>
      </c>
      <c r="O200" s="282" t="str" cm="1">
        <f t="array" ref="O200">_xll.FDSB($C200,"CS_EVENT_TIME_N("&amp;$AA$18&amp;",2)")</f>
        <v>Unspecified</v>
      </c>
      <c r="P200" s="282" t="str" cm="1">
        <f t="array" ref="P200">_xll.FDSB($C200,"CS_EVENT_DESC_N("&amp;$AA$18&amp;",2)")</f>
        <v>Q3 2026 Earnings Release (Projected)</v>
      </c>
      <c r="Q200" s="282"/>
      <c r="R200" s="274" cm="1">
        <f t="array" ref="R200">_xll.FDSB($C200,"CS_EVENT_DATEJ_N("&amp;$AA$18&amp;",3)")</f>
        <v>46434</v>
      </c>
      <c r="S200" s="282" t="str" cm="1">
        <f t="array" ref="S200">_xll.FDSB($C200,"CS_EVENT_TIME_N("&amp;$AA$18&amp;",3)")</f>
        <v>Unspecified</v>
      </c>
      <c r="T200" s="282" t="str" cm="1">
        <f t="array" ref="T200">_xll.FDSB($C200,"CS_EVENT_DESC_N("&amp;$AA$18&amp;",3)")</f>
        <v>Q4 2026 Earnings Release (Projected)</v>
      </c>
      <c r="U200" s="282"/>
      <c r="V200" s="274" cm="1">
        <f t="array" ref="V200">_xll.FDSB($C200,"CS_EVENT_DATEJ_N("&amp;$AA$18&amp;",4)")</f>
        <v>46511</v>
      </c>
      <c r="W200" s="282" t="str" cm="1">
        <f t="array" ref="W200">_xll.FDSB($C200,"CS_EVENT_TIME_N("&amp;$AA$18&amp;",4)")</f>
        <v>Unspecified</v>
      </c>
      <c r="X200" s="282" t="str" cm="1">
        <f t="array" ref="X200">_xll.FDSB($C200,"CS_EVENT_DESC_N("&amp;$AA$18&amp;",4)")</f>
        <v>Q1 2027 Earnings Release (Projected)</v>
      </c>
    </row>
    <row r="201" spans="2:24" x14ac:dyDescent="0.15">
      <c r="B201" s="298">
        <f t="shared" si="4"/>
        <v>186</v>
      </c>
      <c r="C201" s="299" t="str">
        <v>COF</v>
      </c>
      <c r="D201" s="300" t="str" cm="1">
        <f t="array" ref="D201">_xll.FDSB($C201,"FG_COMPANY_NAME")</f>
        <v>Capital One Financial Corp</v>
      </c>
      <c r="E201" s="300"/>
      <c r="F201" s="274" cm="1">
        <f t="array" ref="F201">_xll.FDSB($C201,"CS_EVENT_DATEJ_N("&amp;$AA$18&amp;",1)")</f>
        <v>46231</v>
      </c>
      <c r="G201" s="282" t="str" cm="1">
        <f t="array" ref="G201">_xll.FDSB($C201,"CS_EVENT_TIME_N("&amp;$AA$18&amp;",1)")</f>
        <v>Unspecified</v>
      </c>
      <c r="H201" s="282" t="str" cm="1">
        <f t="array" ref="H201">_xll.FDSB($C201,"CS_EVENT_DESC_N("&amp;$AA$18&amp;",1)")</f>
        <v>Q2 2026 Earnings Release (Projected)</v>
      </c>
      <c r="I201" s="282"/>
      <c r="J201" s="274" t="str" cm="1">
        <f t="array" ref="J201">_xll.FDSB($C201,"CS_EVENT_DATEJ_N("&amp;$AB$18&amp;",1)")</f>
        <v/>
      </c>
      <c r="K201" s="282" t="str" cm="1">
        <f t="array" ref="K201">_xll.FDSB($C201,"CS_EVENT_TIME_N("&amp;$AB$18&amp;",1)")</f>
        <v/>
      </c>
      <c r="L201" s="282" t="str" cm="1">
        <f t="array" ref="L201">_xll.FDSB($C201,"CS_EVENT_DESC_N("&amp;$AB$18&amp;",1)")</f>
        <v/>
      </c>
      <c r="M201" s="300"/>
      <c r="N201" s="274" cm="1">
        <f t="array" ref="N201">_xll.FDSB($C201,"CS_EVENT_DATEJ_N("&amp;$AA$18&amp;",2)")</f>
        <v>46317</v>
      </c>
      <c r="O201" s="282" t="str" cm="1">
        <f t="array" ref="O201">_xll.FDSB($C201,"CS_EVENT_TIME_N("&amp;$AA$18&amp;",2)")</f>
        <v>Unspecified</v>
      </c>
      <c r="P201" s="282" t="str" cm="1">
        <f t="array" ref="P201">_xll.FDSB($C201,"CS_EVENT_DESC_N("&amp;$AA$18&amp;",2)")</f>
        <v>Q3 2026 Earnings Release (Projected)</v>
      </c>
      <c r="Q201" s="282"/>
      <c r="R201" s="274" cm="1">
        <f t="array" ref="R201">_xll.FDSB($C201,"CS_EVENT_DATEJ_N("&amp;$AA$18&amp;",3)")</f>
        <v>46413</v>
      </c>
      <c r="S201" s="282" t="str" cm="1">
        <f t="array" ref="S201">_xll.FDSB($C201,"CS_EVENT_TIME_N("&amp;$AA$18&amp;",3)")</f>
        <v>Unspecified</v>
      </c>
      <c r="T201" s="282" t="str" cm="1">
        <f t="array" ref="T201">_xll.FDSB($C201,"CS_EVENT_DESC_N("&amp;$AA$18&amp;",3)")</f>
        <v>Q4 2026 Earnings Release (Projected)</v>
      </c>
      <c r="U201" s="282"/>
      <c r="V201" s="274" cm="1">
        <f t="array" ref="V201">_xll.FDSB($C201,"CS_EVENT_DATEJ_N("&amp;$AA$18&amp;",4)")</f>
        <v>46504</v>
      </c>
      <c r="W201" s="282" t="str" cm="1">
        <f t="array" ref="W201">_xll.FDSB($C201,"CS_EVENT_TIME_N("&amp;$AA$18&amp;",4)")</f>
        <v>Unspecified</v>
      </c>
      <c r="X201" s="282" t="str" cm="1">
        <f t="array" ref="X201">_xll.FDSB($C201,"CS_EVENT_DESC_N("&amp;$AA$18&amp;",4)")</f>
        <v>Q1 2027 Earnings Release (Projected)</v>
      </c>
    </row>
    <row r="202" spans="2:24" x14ac:dyDescent="0.15">
      <c r="B202" s="298">
        <f t="shared" si="4"/>
        <v>187</v>
      </c>
      <c r="C202" s="299" t="str">
        <v>NVR</v>
      </c>
      <c r="D202" s="300" t="str" cm="1">
        <f t="array" ref="D202">_xll.FDSB($C202,"FG_COMPANY_NAME")</f>
        <v>NVR, Inc.</v>
      </c>
      <c r="E202" s="300"/>
      <c r="F202" s="274" cm="1">
        <f t="array" ref="F202">_xll.FDSB($C202,"CS_EVENT_DATEJ_N("&amp;$AA$18&amp;",1)")</f>
        <v>46231</v>
      </c>
      <c r="G202" s="282" t="str" cm="1">
        <f t="array" ref="G202">_xll.FDSB($C202,"CS_EVENT_TIME_N("&amp;$AA$18&amp;",1)")</f>
        <v>Unspecified</v>
      </c>
      <c r="H202" s="282" t="str" cm="1">
        <f t="array" ref="H202">_xll.FDSB($C202,"CS_EVENT_DESC_N("&amp;$AA$18&amp;",1)")</f>
        <v>Q2 2026 Earnings Release (Projected)</v>
      </c>
      <c r="I202" s="282"/>
      <c r="J202" s="274" t="str" cm="1">
        <f t="array" ref="J202">_xll.FDSB($C202,"CS_EVENT_DATEJ_N("&amp;$AB$18&amp;",1)")</f>
        <v/>
      </c>
      <c r="K202" s="282" t="str" cm="1">
        <f t="array" ref="K202">_xll.FDSB($C202,"CS_EVENT_TIME_N("&amp;$AB$18&amp;",1)")</f>
        <v/>
      </c>
      <c r="L202" s="282" t="str" cm="1">
        <f t="array" ref="L202">_xll.FDSB($C202,"CS_EVENT_DESC_N("&amp;$AB$18&amp;",1)")</f>
        <v/>
      </c>
      <c r="M202" s="300"/>
      <c r="N202" s="274" cm="1">
        <f t="array" ref="N202">_xll.FDSB($C202,"CS_EVENT_DATEJ_N("&amp;$AA$18&amp;",2)")</f>
        <v>46322</v>
      </c>
      <c r="O202" s="282" t="str" cm="1">
        <f t="array" ref="O202">_xll.FDSB($C202,"CS_EVENT_TIME_N("&amp;$AA$18&amp;",2)")</f>
        <v>Unspecified</v>
      </c>
      <c r="P202" s="282" t="str" cm="1">
        <f t="array" ref="P202">_xll.FDSB($C202,"CS_EVENT_DESC_N("&amp;$AA$18&amp;",2)")</f>
        <v>Q3 2026 Earnings Release (Projected)</v>
      </c>
      <c r="Q202" s="282"/>
      <c r="R202" s="274" cm="1">
        <f t="array" ref="R202">_xll.FDSB($C202,"CS_EVENT_DATEJ_N("&amp;$AA$18&amp;",3)")</f>
        <v>46420</v>
      </c>
      <c r="S202" s="282" t="str" cm="1">
        <f t="array" ref="S202">_xll.FDSB($C202,"CS_EVENT_TIME_N("&amp;$AA$18&amp;",3)")</f>
        <v>Unspecified</v>
      </c>
      <c r="T202" s="282" t="str" cm="1">
        <f t="array" ref="T202">_xll.FDSB($C202,"CS_EVENT_DESC_N("&amp;$AA$18&amp;",3)")</f>
        <v>Q4 2026 Earnings Release (Projected)</v>
      </c>
      <c r="U202" s="282"/>
      <c r="V202" s="274" cm="1">
        <f t="array" ref="V202">_xll.FDSB($C202,"CS_EVENT_DATEJ_N("&amp;$AA$18&amp;",4)")</f>
        <v>46504</v>
      </c>
      <c r="W202" s="282" t="str" cm="1">
        <f t="array" ref="W202">_xll.FDSB($C202,"CS_EVENT_TIME_N("&amp;$AA$18&amp;",4)")</f>
        <v>Unspecified</v>
      </c>
      <c r="X202" s="282" t="str" cm="1">
        <f t="array" ref="X202">_xll.FDSB($C202,"CS_EVENT_DESC_N("&amp;$AA$18&amp;",4)")</f>
        <v>Q1 2027 Earnings Release (Projected)</v>
      </c>
    </row>
    <row r="203" spans="2:24" x14ac:dyDescent="0.15">
      <c r="B203" s="298">
        <f t="shared" si="4"/>
        <v>188</v>
      </c>
      <c r="C203" s="299" t="str">
        <v>TER</v>
      </c>
      <c r="D203" s="300" t="str" cm="1">
        <f t="array" ref="D203">_xll.FDSB($C203,"FG_COMPANY_NAME")</f>
        <v>Teradyne, Inc.</v>
      </c>
      <c r="E203" s="300"/>
      <c r="F203" s="274" cm="1">
        <f t="array" ref="F203">_xll.FDSB($C203,"CS_EVENT_DATEJ_N("&amp;$AA$18&amp;",1)")</f>
        <v>46231</v>
      </c>
      <c r="G203" s="282" t="str" cm="1">
        <f t="array" ref="G203">_xll.FDSB($C203,"CS_EVENT_TIME_N("&amp;$AA$18&amp;",1)")</f>
        <v>Unspecified</v>
      </c>
      <c r="H203" s="282" t="str" cm="1">
        <f t="array" ref="H203">_xll.FDSB($C203,"CS_EVENT_DESC_N("&amp;$AA$18&amp;",1)")</f>
        <v>Q2 2026 Earnings Release (Projected)</v>
      </c>
      <c r="I203" s="282"/>
      <c r="J203" s="274" t="str" cm="1">
        <f t="array" ref="J203">_xll.FDSB($C203,"CS_EVENT_DATEJ_N("&amp;$AB$18&amp;",1)")</f>
        <v/>
      </c>
      <c r="K203" s="282" t="str" cm="1">
        <f t="array" ref="K203">_xll.FDSB($C203,"CS_EVENT_TIME_N("&amp;$AB$18&amp;",1)")</f>
        <v/>
      </c>
      <c r="L203" s="282" t="str" cm="1">
        <f t="array" ref="L203">_xll.FDSB($C203,"CS_EVENT_DESC_N("&amp;$AB$18&amp;",1)")</f>
        <v/>
      </c>
      <c r="M203" s="300"/>
      <c r="N203" s="274" cm="1">
        <f t="array" ref="N203">_xll.FDSB($C203,"CS_EVENT_DATEJ_N("&amp;$AA$18&amp;",2)")</f>
        <v>46322</v>
      </c>
      <c r="O203" s="282" t="str" cm="1">
        <f t="array" ref="O203">_xll.FDSB($C203,"CS_EVENT_TIME_N("&amp;$AA$18&amp;",2)")</f>
        <v>Unspecified</v>
      </c>
      <c r="P203" s="282" t="str" cm="1">
        <f t="array" ref="P203">_xll.FDSB($C203,"CS_EVENT_DESC_N("&amp;$AA$18&amp;",2)")</f>
        <v>Q3 2026 Earnings Release (Projected)</v>
      </c>
      <c r="Q203" s="282"/>
      <c r="R203" s="274" cm="1">
        <f t="array" ref="R203">_xll.FDSB($C203,"CS_EVENT_DATEJ_N("&amp;$AA$18&amp;",3)")</f>
        <v>46414</v>
      </c>
      <c r="S203" s="282" t="str" cm="1">
        <f t="array" ref="S203">_xll.FDSB($C203,"CS_EVENT_TIME_N("&amp;$AA$18&amp;",3)")</f>
        <v>Unspecified</v>
      </c>
      <c r="T203" s="282" t="str" cm="1">
        <f t="array" ref="T203">_xll.FDSB($C203,"CS_EVENT_DESC_N("&amp;$AA$18&amp;",3)")</f>
        <v>Q4 2026 Earnings Release (Projected)</v>
      </c>
      <c r="U203" s="282"/>
      <c r="V203" s="274" cm="1">
        <f t="array" ref="V203">_xll.FDSB($C203,"CS_EVENT_DATEJ_N("&amp;$AA$18&amp;",4)")</f>
        <v>46504</v>
      </c>
      <c r="W203" s="282" t="str" cm="1">
        <f t="array" ref="W203">_xll.FDSB($C203,"CS_EVENT_TIME_N("&amp;$AA$18&amp;",4)")</f>
        <v>Unspecified</v>
      </c>
      <c r="X203" s="282" t="str" cm="1">
        <f t="array" ref="X203">_xll.FDSB($C203,"CS_EVENT_DESC_N("&amp;$AA$18&amp;",4)")</f>
        <v>Q1 2027 Earnings Release (Projected)</v>
      </c>
    </row>
    <row r="204" spans="2:24" x14ac:dyDescent="0.15">
      <c r="B204" s="298">
        <f t="shared" si="4"/>
        <v>189</v>
      </c>
      <c r="C204" s="299" t="str">
        <v>MMM</v>
      </c>
      <c r="D204" s="300" t="str" cm="1">
        <f t="array" ref="D204">_xll.FDSB($C204,"FG_COMPANY_NAME")</f>
        <v>3M Company</v>
      </c>
      <c r="E204" s="300"/>
      <c r="F204" s="274" cm="1">
        <f t="array" ref="F204">_xll.FDSB($C204,"CS_EVENT_DATEJ_N("&amp;$AA$18&amp;",1)")</f>
        <v>46231</v>
      </c>
      <c r="G204" s="282" t="str" cm="1">
        <f t="array" ref="G204">_xll.FDSB($C204,"CS_EVENT_TIME_N("&amp;$AA$18&amp;",1)")</f>
        <v>Unspecified</v>
      </c>
      <c r="H204" s="282" t="str" cm="1">
        <f t="array" ref="H204">_xll.FDSB($C204,"CS_EVENT_DESC_N("&amp;$AA$18&amp;",1)")</f>
        <v>Q2 2026 Earnings Release (Projected)</v>
      </c>
      <c r="I204" s="282"/>
      <c r="J204" s="274" t="str" cm="1">
        <f t="array" ref="J204">_xll.FDSB($C204,"CS_EVENT_DATEJ_N("&amp;$AB$18&amp;",1)")</f>
        <v/>
      </c>
      <c r="K204" s="282" t="str" cm="1">
        <f t="array" ref="K204">_xll.FDSB($C204,"CS_EVENT_TIME_N("&amp;$AB$18&amp;",1)")</f>
        <v/>
      </c>
      <c r="L204" s="282" t="str" cm="1">
        <f t="array" ref="L204">_xll.FDSB($C204,"CS_EVENT_DESC_N("&amp;$AB$18&amp;",1)")</f>
        <v/>
      </c>
      <c r="M204" s="300"/>
      <c r="N204" s="274" cm="1">
        <f t="array" ref="N204">_xll.FDSB($C204,"CS_EVENT_DATEJ_N("&amp;$AA$18&amp;",2)")</f>
        <v>46322</v>
      </c>
      <c r="O204" s="282" t="str" cm="1">
        <f t="array" ref="O204">_xll.FDSB($C204,"CS_EVENT_TIME_N("&amp;$AA$18&amp;",2)")</f>
        <v>Unspecified</v>
      </c>
      <c r="P204" s="282" t="str" cm="1">
        <f t="array" ref="P204">_xll.FDSB($C204,"CS_EVENT_DESC_N("&amp;$AA$18&amp;",2)")</f>
        <v>Q3 2026 Earnings Release (Projected)</v>
      </c>
      <c r="Q204" s="282"/>
      <c r="R204" s="274" cm="1">
        <f t="array" ref="R204">_xll.FDSB($C204,"CS_EVENT_DATEJ_N("&amp;$AA$18&amp;",3)")</f>
        <v>46413</v>
      </c>
      <c r="S204" s="282" t="str" cm="1">
        <f t="array" ref="S204">_xll.FDSB($C204,"CS_EVENT_TIME_N("&amp;$AA$18&amp;",3)")</f>
        <v>Unspecified</v>
      </c>
      <c r="T204" s="282" t="str" cm="1">
        <f t="array" ref="T204">_xll.FDSB($C204,"CS_EVENT_DESC_N("&amp;$AA$18&amp;",3)")</f>
        <v>Q4 2026 Earnings Release (Projected)</v>
      </c>
      <c r="U204" s="282"/>
      <c r="V204" s="274" cm="1">
        <f t="array" ref="V204">_xll.FDSB($C204,"CS_EVENT_DATEJ_N("&amp;$AA$18&amp;",4)")</f>
        <v>46504</v>
      </c>
      <c r="W204" s="282" t="str" cm="1">
        <f t="array" ref="W204">_xll.FDSB($C204,"CS_EVENT_TIME_N("&amp;$AA$18&amp;",4)")</f>
        <v>Unspecified</v>
      </c>
      <c r="X204" s="282" t="str" cm="1">
        <f t="array" ref="X204">_xll.FDSB($C204,"CS_EVENT_DESC_N("&amp;$AA$18&amp;",4)")</f>
        <v>Q1 2027 Earnings Release (Projected)</v>
      </c>
    </row>
    <row r="205" spans="2:24" x14ac:dyDescent="0.15">
      <c r="B205" s="298">
        <f t="shared" si="4"/>
        <v>190</v>
      </c>
      <c r="C205" s="299" t="str">
        <v>IEX</v>
      </c>
      <c r="D205" s="300" t="str" cm="1">
        <f t="array" ref="D205">_xll.FDSB($C205,"FG_COMPANY_NAME")</f>
        <v>IDEX Corporation</v>
      </c>
      <c r="E205" s="300"/>
      <c r="F205" s="274" cm="1">
        <f t="array" ref="F205">_xll.FDSB($C205,"CS_EVENT_DATEJ_N("&amp;$AA$18&amp;",1)")</f>
        <v>46231</v>
      </c>
      <c r="G205" s="282" t="str" cm="1">
        <f t="array" ref="G205">_xll.FDSB($C205,"CS_EVENT_TIME_N("&amp;$AA$18&amp;",1)")</f>
        <v>Unspecified</v>
      </c>
      <c r="H205" s="282" t="str" cm="1">
        <f t="array" ref="H205">_xll.FDSB($C205,"CS_EVENT_DESC_N("&amp;$AA$18&amp;",1)")</f>
        <v>Q2 2026 Earnings Release (Projected)</v>
      </c>
      <c r="I205" s="282"/>
      <c r="J205" s="274" t="str" cm="1">
        <f t="array" ref="J205">_xll.FDSB($C205,"CS_EVENT_DATEJ_N("&amp;$AB$18&amp;",1)")</f>
        <v/>
      </c>
      <c r="K205" s="282" t="str" cm="1">
        <f t="array" ref="K205">_xll.FDSB($C205,"CS_EVENT_TIME_N("&amp;$AB$18&amp;",1)")</f>
        <v/>
      </c>
      <c r="L205" s="282" t="str" cm="1">
        <f t="array" ref="L205">_xll.FDSB($C205,"CS_EVENT_DESC_N("&amp;$AB$18&amp;",1)")</f>
        <v/>
      </c>
      <c r="M205" s="300"/>
      <c r="N205" s="274" cm="1">
        <f t="array" ref="N205">_xll.FDSB($C205,"CS_EVENT_DATEJ_N("&amp;$AA$18&amp;",2)")</f>
        <v>46322</v>
      </c>
      <c r="O205" s="282" t="str" cm="1">
        <f t="array" ref="O205">_xll.FDSB($C205,"CS_EVENT_TIME_N("&amp;$AA$18&amp;",2)")</f>
        <v>Unspecified</v>
      </c>
      <c r="P205" s="282" t="str" cm="1">
        <f t="array" ref="P205">_xll.FDSB($C205,"CS_EVENT_DESC_N("&amp;$AA$18&amp;",2)")</f>
        <v>Q3 2026 Earnings Release (Projected)</v>
      </c>
      <c r="Q205" s="282"/>
      <c r="R205" s="274" cm="1">
        <f t="array" ref="R205">_xll.FDSB($C205,"CS_EVENT_DATEJ_N("&amp;$AA$18&amp;",3)")</f>
        <v>46420</v>
      </c>
      <c r="S205" s="282" t="str" cm="1">
        <f t="array" ref="S205">_xll.FDSB($C205,"CS_EVENT_TIME_N("&amp;$AA$18&amp;",3)")</f>
        <v>Unspecified</v>
      </c>
      <c r="T205" s="282" t="str" cm="1">
        <f t="array" ref="T205">_xll.FDSB($C205,"CS_EVENT_DESC_N("&amp;$AA$18&amp;",3)")</f>
        <v>Q4 2026 Earnings Release (Projected)</v>
      </c>
      <c r="U205" s="282"/>
      <c r="V205" s="274" cm="1">
        <f t="array" ref="V205">_xll.FDSB($C205,"CS_EVENT_DATEJ_N("&amp;$AA$18&amp;",4)")</f>
        <v>46504</v>
      </c>
      <c r="W205" s="282" t="str" cm="1">
        <f t="array" ref="W205">_xll.FDSB($C205,"CS_EVENT_TIME_N("&amp;$AA$18&amp;",4)")</f>
        <v>Unspecified</v>
      </c>
      <c r="X205" s="282" t="str" cm="1">
        <f t="array" ref="X205">_xll.FDSB($C205,"CS_EVENT_DESC_N("&amp;$AA$18&amp;",4)")</f>
        <v>Q1 2027 Earnings Release (Projected)</v>
      </c>
    </row>
    <row r="206" spans="2:24" x14ac:dyDescent="0.15">
      <c r="B206" s="298">
        <f t="shared" si="4"/>
        <v>191</v>
      </c>
      <c r="C206" s="299" t="str">
        <v>CSGP</v>
      </c>
      <c r="D206" s="300" t="str" cm="1">
        <f t="array" ref="D206">_xll.FDSB($C206,"FG_COMPANY_NAME")</f>
        <v>CoStar Group, Inc.</v>
      </c>
      <c r="E206" s="300"/>
      <c r="F206" s="274" cm="1">
        <f t="array" ref="F206">_xll.FDSB($C206,"CS_EVENT_DATEJ_N("&amp;$AA$18&amp;",1)")</f>
        <v>46231</v>
      </c>
      <c r="G206" s="282" t="str" cm="1">
        <f t="array" ref="G206">_xll.FDSB($C206,"CS_EVENT_TIME_N("&amp;$AA$18&amp;",1)")</f>
        <v>Unspecified</v>
      </c>
      <c r="H206" s="282" t="str" cm="1">
        <f t="array" ref="H206">_xll.FDSB($C206,"CS_EVENT_DESC_N("&amp;$AA$18&amp;",1)")</f>
        <v>Q2 2026 Earnings Release (Projected)</v>
      </c>
      <c r="I206" s="282"/>
      <c r="J206" s="274" t="str" cm="1">
        <f t="array" ref="J206">_xll.FDSB($C206,"CS_EVENT_DATEJ_N("&amp;$AB$18&amp;",1)")</f>
        <v/>
      </c>
      <c r="K206" s="282" t="str" cm="1">
        <f t="array" ref="K206">_xll.FDSB($C206,"CS_EVENT_TIME_N("&amp;$AB$18&amp;",1)")</f>
        <v/>
      </c>
      <c r="L206" s="282" t="str" cm="1">
        <f t="array" ref="L206">_xll.FDSB($C206,"CS_EVENT_DESC_N("&amp;$AB$18&amp;",1)")</f>
        <v/>
      </c>
      <c r="M206" s="300"/>
      <c r="N206" s="274" cm="1">
        <f t="array" ref="N206">_xll.FDSB($C206,"CS_EVENT_DATEJ_N("&amp;$AA$18&amp;",2)")</f>
        <v>46322</v>
      </c>
      <c r="O206" s="282" t="str" cm="1">
        <f t="array" ref="O206">_xll.FDSB($C206,"CS_EVENT_TIME_N("&amp;$AA$18&amp;",2)")</f>
        <v>Unspecified</v>
      </c>
      <c r="P206" s="282" t="str" cm="1">
        <f t="array" ref="P206">_xll.FDSB($C206,"CS_EVENT_DESC_N("&amp;$AA$18&amp;",2)")</f>
        <v>Q3 2026 Earnings Release (Projected)</v>
      </c>
      <c r="Q206" s="282"/>
      <c r="R206" s="274" cm="1">
        <f t="array" ref="R206">_xll.FDSB($C206,"CS_EVENT_DATEJ_N("&amp;$AA$18&amp;",3)")</f>
        <v>46441</v>
      </c>
      <c r="S206" s="282" t="str" cm="1">
        <f t="array" ref="S206">_xll.FDSB($C206,"CS_EVENT_TIME_N("&amp;$AA$18&amp;",3)")</f>
        <v>Unspecified</v>
      </c>
      <c r="T206" s="282" t="str" cm="1">
        <f t="array" ref="T206">_xll.FDSB($C206,"CS_EVENT_DESC_N("&amp;$AA$18&amp;",3)")</f>
        <v>Q4 2026 Earnings Release (Projected)</v>
      </c>
      <c r="U206" s="282"/>
      <c r="V206" s="274" cm="1">
        <f t="array" ref="V206">_xll.FDSB($C206,"CS_EVENT_DATEJ_N("&amp;$AA$18&amp;",4)")</f>
        <v>46504</v>
      </c>
      <c r="W206" s="282" t="str" cm="1">
        <f t="array" ref="W206">_xll.FDSB($C206,"CS_EVENT_TIME_N("&amp;$AA$18&amp;",4)")</f>
        <v>Unspecified</v>
      </c>
      <c r="X206" s="282" t="str" cm="1">
        <f t="array" ref="X206">_xll.FDSB($C206,"CS_EVENT_DESC_N("&amp;$AA$18&amp;",4)")</f>
        <v>Q1 2027 Earnings Release (Projected)</v>
      </c>
    </row>
    <row r="207" spans="2:24" x14ac:dyDescent="0.15">
      <c r="B207" s="298">
        <f t="shared" si="4"/>
        <v>192</v>
      </c>
      <c r="C207" s="299" t="str">
        <v>TXN</v>
      </c>
      <c r="D207" s="300" t="str" cm="1">
        <f t="array" ref="D207">_xll.FDSB($C207,"FG_COMPANY_NAME")</f>
        <v>Texas Instruments Incorporated</v>
      </c>
      <c r="E207" s="300"/>
      <c r="F207" s="274" cm="1">
        <f t="array" ref="F207">_xll.FDSB($C207,"CS_EVENT_DATEJ_N("&amp;$AA$18&amp;",1)")</f>
        <v>46231</v>
      </c>
      <c r="G207" s="282" t="str" cm="1">
        <f t="array" ref="G207">_xll.FDSB($C207,"CS_EVENT_TIME_N("&amp;$AA$18&amp;",1)")</f>
        <v>Unspecified</v>
      </c>
      <c r="H207" s="282" t="str" cm="1">
        <f t="array" ref="H207">_xll.FDSB($C207,"CS_EVENT_DESC_N("&amp;$AA$18&amp;",1)")</f>
        <v>Q2 2026 Earnings Release (Projected)</v>
      </c>
      <c r="I207" s="282"/>
      <c r="J207" s="274" t="str" cm="1">
        <f t="array" ref="J207">_xll.FDSB($C207,"CS_EVENT_DATEJ_N("&amp;$AB$18&amp;",1)")</f>
        <v/>
      </c>
      <c r="K207" s="282" t="str" cm="1">
        <f t="array" ref="K207">_xll.FDSB($C207,"CS_EVENT_TIME_N("&amp;$AB$18&amp;",1)")</f>
        <v/>
      </c>
      <c r="L207" s="282" t="str" cm="1">
        <f t="array" ref="L207">_xll.FDSB($C207,"CS_EVENT_DESC_N("&amp;$AB$18&amp;",1)")</f>
        <v/>
      </c>
      <c r="M207" s="300"/>
      <c r="N207" s="274" cm="1">
        <f t="array" ref="N207">_xll.FDSB($C207,"CS_EVENT_DATEJ_N("&amp;$AA$18&amp;",2)")</f>
        <v>46322</v>
      </c>
      <c r="O207" s="282" t="str" cm="1">
        <f t="array" ref="O207">_xll.FDSB($C207,"CS_EVENT_TIME_N("&amp;$AA$18&amp;",2)")</f>
        <v>Unspecified</v>
      </c>
      <c r="P207" s="282" t="str" cm="1">
        <f t="array" ref="P207">_xll.FDSB($C207,"CS_EVENT_DESC_N("&amp;$AA$18&amp;",2)")</f>
        <v>Q3 2026 Earnings Release (Projected)</v>
      </c>
      <c r="Q207" s="282"/>
      <c r="R207" s="274" cm="1">
        <f t="array" ref="R207">_xll.FDSB($C207,"CS_EVENT_DATEJ_N("&amp;$AA$18&amp;",3)")</f>
        <v>46413</v>
      </c>
      <c r="S207" s="282" t="str" cm="1">
        <f t="array" ref="S207">_xll.FDSB($C207,"CS_EVENT_TIME_N("&amp;$AA$18&amp;",3)")</f>
        <v>Unspecified</v>
      </c>
      <c r="T207" s="282" t="str" cm="1">
        <f t="array" ref="T207">_xll.FDSB($C207,"CS_EVENT_DESC_N("&amp;$AA$18&amp;",3)")</f>
        <v>Q4 2026 Earnings Release (Projected)</v>
      </c>
      <c r="U207" s="282"/>
      <c r="V207" s="274" cm="1">
        <f t="array" ref="V207">_xll.FDSB($C207,"CS_EVENT_DATEJ_N("&amp;$AA$18&amp;",4)")</f>
        <v>46504</v>
      </c>
      <c r="W207" s="282" t="str" cm="1">
        <f t="array" ref="W207">_xll.FDSB($C207,"CS_EVENT_TIME_N("&amp;$AA$18&amp;",4)")</f>
        <v>Unspecified</v>
      </c>
      <c r="X207" s="282" t="str" cm="1">
        <f t="array" ref="X207">_xll.FDSB($C207,"CS_EVENT_DESC_N("&amp;$AA$18&amp;",4)")</f>
        <v>Q1 2027 Earnings Release (Projected)</v>
      </c>
    </row>
    <row r="208" spans="2:24" x14ac:dyDescent="0.15">
      <c r="B208" s="298">
        <f t="shared" si="4"/>
        <v>193</v>
      </c>
      <c r="C208" s="299" t="str">
        <v>GPC</v>
      </c>
      <c r="D208" s="300" t="str" cm="1">
        <f t="array" ref="D208">_xll.FDSB($C208,"FG_COMPANY_NAME")</f>
        <v>Genuine Parts Company</v>
      </c>
      <c r="E208" s="300"/>
      <c r="F208" s="274" cm="1">
        <f t="array" ref="F208">_xll.FDSB($C208,"CS_EVENT_DATEJ_N("&amp;$AA$18&amp;",1)")</f>
        <v>46231</v>
      </c>
      <c r="G208" s="282" t="str" cm="1">
        <f t="array" ref="G208">_xll.FDSB($C208,"CS_EVENT_TIME_N("&amp;$AA$18&amp;",1)")</f>
        <v>Unspecified</v>
      </c>
      <c r="H208" s="282" t="str" cm="1">
        <f t="array" ref="H208">_xll.FDSB($C208,"CS_EVENT_DESC_N("&amp;$AA$18&amp;",1)")</f>
        <v>Q2 2026 Earnings Release (Projected)</v>
      </c>
      <c r="I208" s="282"/>
      <c r="J208" s="274" t="str" cm="1">
        <f t="array" ref="J208">_xll.FDSB($C208,"CS_EVENT_DATEJ_N("&amp;$AB$18&amp;",1)")</f>
        <v/>
      </c>
      <c r="K208" s="282" t="str" cm="1">
        <f t="array" ref="K208">_xll.FDSB($C208,"CS_EVENT_TIME_N("&amp;$AB$18&amp;",1)")</f>
        <v/>
      </c>
      <c r="L208" s="282" t="str" cm="1">
        <f t="array" ref="L208">_xll.FDSB($C208,"CS_EVENT_DESC_N("&amp;$AB$18&amp;",1)")</f>
        <v/>
      </c>
      <c r="M208" s="300"/>
      <c r="N208" s="274" cm="1">
        <f t="array" ref="N208">_xll.FDSB($C208,"CS_EVENT_DATEJ_N("&amp;$AA$18&amp;",2)")</f>
        <v>46310</v>
      </c>
      <c r="O208" s="282" t="str" cm="1">
        <f t="array" ref="O208">_xll.FDSB($C208,"CS_EVENT_TIME_N("&amp;$AA$18&amp;",2)")</f>
        <v>Unspecified</v>
      </c>
      <c r="P208" s="282" t="str" cm="1">
        <f t="array" ref="P208">_xll.FDSB($C208,"CS_EVENT_DESC_N("&amp;$AA$18&amp;",2)")</f>
        <v>Q3 2026 Earnings Release (Projected)</v>
      </c>
      <c r="Q208" s="282"/>
      <c r="R208" s="274" cm="1">
        <f t="array" ref="R208">_xll.FDSB($C208,"CS_EVENT_DATEJ_N("&amp;$AA$18&amp;",3)")</f>
        <v>46436</v>
      </c>
      <c r="S208" s="282" t="str" cm="1">
        <f t="array" ref="S208">_xll.FDSB($C208,"CS_EVENT_TIME_N("&amp;$AA$18&amp;",3)")</f>
        <v>Unspecified</v>
      </c>
      <c r="T208" s="282" t="str" cm="1">
        <f t="array" ref="T208">_xll.FDSB($C208,"CS_EVENT_DESC_N("&amp;$AA$18&amp;",3)")</f>
        <v>Q4 2026 Earnings Release (Projected)</v>
      </c>
      <c r="U208" s="282"/>
      <c r="V208" s="274" cm="1">
        <f t="array" ref="V208">_xll.FDSB($C208,"CS_EVENT_DATEJ_N("&amp;$AA$18&amp;",4)")</f>
        <v>46499</v>
      </c>
      <c r="W208" s="282" t="str" cm="1">
        <f t="array" ref="W208">_xll.FDSB($C208,"CS_EVENT_TIME_N("&amp;$AA$18&amp;",4)")</f>
        <v>Unspecified</v>
      </c>
      <c r="X208" s="282" t="str" cm="1">
        <f t="array" ref="X208">_xll.FDSB($C208,"CS_EVENT_DESC_N("&amp;$AA$18&amp;",4)")</f>
        <v>Q1 2027 Earnings Release (Projected)</v>
      </c>
    </row>
    <row r="209" spans="2:24" x14ac:dyDescent="0.15">
      <c r="B209" s="298">
        <f t="shared" si="4"/>
        <v>194</v>
      </c>
      <c r="C209" s="299" t="str">
        <v>AVY</v>
      </c>
      <c r="D209" s="300" t="str" cm="1">
        <f t="array" ref="D209">_xll.FDSB($C209,"FG_COMPANY_NAME")</f>
        <v>Avery Dennison Corporation</v>
      </c>
      <c r="E209" s="300"/>
      <c r="F209" s="274" cm="1">
        <f t="array" ref="F209">_xll.FDSB($C209,"CS_EVENT_DATEJ_N("&amp;$AA$18&amp;",1)")</f>
        <v>46231</v>
      </c>
      <c r="G209" s="282" t="str" cm="1">
        <f t="array" ref="G209">_xll.FDSB($C209,"CS_EVENT_TIME_N("&amp;$AA$18&amp;",1)")</f>
        <v>Unspecified</v>
      </c>
      <c r="H209" s="282" t="str" cm="1">
        <f t="array" ref="H209">_xll.FDSB($C209,"CS_EVENT_DESC_N("&amp;$AA$18&amp;",1)")</f>
        <v>Q2 2026 Earnings Release (Projected)</v>
      </c>
      <c r="I209" s="282"/>
      <c r="J209" s="274" t="str" cm="1">
        <f t="array" ref="J209">_xll.FDSB($C209,"CS_EVENT_DATEJ_N("&amp;$AB$18&amp;",1)")</f>
        <v/>
      </c>
      <c r="K209" s="282" t="str" cm="1">
        <f t="array" ref="K209">_xll.FDSB($C209,"CS_EVENT_TIME_N("&amp;$AB$18&amp;",1)")</f>
        <v/>
      </c>
      <c r="L209" s="282" t="str" cm="1">
        <f t="array" ref="L209">_xll.FDSB($C209,"CS_EVENT_DESC_N("&amp;$AB$18&amp;",1)")</f>
        <v/>
      </c>
      <c r="M209" s="300"/>
      <c r="N209" s="274" cm="1">
        <f t="array" ref="N209">_xll.FDSB($C209,"CS_EVENT_DATEJ_N("&amp;$AA$18&amp;",2)")</f>
        <v>46323</v>
      </c>
      <c r="O209" s="282" t="str" cm="1">
        <f t="array" ref="O209">_xll.FDSB($C209,"CS_EVENT_TIME_N("&amp;$AA$18&amp;",2)")</f>
        <v>Unspecified</v>
      </c>
      <c r="P209" s="282" t="str" cm="1">
        <f t="array" ref="P209">_xll.FDSB($C209,"CS_EVENT_DESC_N("&amp;$AA$18&amp;",2)")</f>
        <v>Q3 2026 Earnings Release (Projected)</v>
      </c>
      <c r="Q209" s="282"/>
      <c r="R209" s="274" cm="1">
        <f t="array" ref="R209">_xll.FDSB($C209,"CS_EVENT_DATEJ_N("&amp;$AA$18&amp;",3)")</f>
        <v>46421</v>
      </c>
      <c r="S209" s="282" t="str" cm="1">
        <f t="array" ref="S209">_xll.FDSB($C209,"CS_EVENT_TIME_N("&amp;$AA$18&amp;",3)")</f>
        <v>Unspecified</v>
      </c>
      <c r="T209" s="282" t="str" cm="1">
        <f t="array" ref="T209">_xll.FDSB($C209,"CS_EVENT_DESC_N("&amp;$AA$18&amp;",3)")</f>
        <v>Q4 2026 Earnings Release (Projected)</v>
      </c>
      <c r="U209" s="282"/>
      <c r="V209" s="274" cm="1">
        <f t="array" ref="V209">_xll.FDSB($C209,"CS_EVENT_DATEJ_N("&amp;$AA$18&amp;",4)")</f>
        <v>46505</v>
      </c>
      <c r="W209" s="282" t="str" cm="1">
        <f t="array" ref="W209">_xll.FDSB($C209,"CS_EVENT_TIME_N("&amp;$AA$18&amp;",4)")</f>
        <v>Unspecified</v>
      </c>
      <c r="X209" s="282" t="str" cm="1">
        <f t="array" ref="X209">_xll.FDSB($C209,"CS_EVENT_DESC_N("&amp;$AA$18&amp;",4)")</f>
        <v>Q1 2027 Earnings Release (Projected)</v>
      </c>
    </row>
    <row r="210" spans="2:24" x14ac:dyDescent="0.15">
      <c r="B210" s="298">
        <f t="shared" ref="B210:B273" si="5">B209+1</f>
        <v>195</v>
      </c>
      <c r="C210" s="299" t="str">
        <v>CNC</v>
      </c>
      <c r="D210" s="300" t="str" cm="1">
        <f t="array" ref="D210">_xll.FDSB($C210,"FG_COMPANY_NAME")</f>
        <v>Centene Corporation</v>
      </c>
      <c r="E210" s="300"/>
      <c r="F210" s="274" cm="1">
        <f t="array" ref="F210">_xll.FDSB($C210,"CS_EVENT_DATEJ_N("&amp;$AA$18&amp;",1)")</f>
        <v>46231</v>
      </c>
      <c r="G210" s="282" t="str" cm="1">
        <f t="array" ref="G210">_xll.FDSB($C210,"CS_EVENT_TIME_N("&amp;$AA$18&amp;",1)")</f>
        <v>6:00 AM</v>
      </c>
      <c r="H210" s="282" t="str" cm="1">
        <f t="array" ref="H210">_xll.FDSB($C210,"CS_EVENT_DESC_N("&amp;$AA$18&amp;",1)")</f>
        <v>Q2 2026 Earnings Release</v>
      </c>
      <c r="I210" s="282"/>
      <c r="J210" s="274" cm="1">
        <f t="array" ref="J210">_xll.FDSB($C210,"CS_EVENT_DATEJ_N("&amp;$AB$18&amp;",1)")</f>
        <v>46231</v>
      </c>
      <c r="K210" s="282" t="str" cm="1">
        <f t="array" ref="K210">_xll.FDSB($C210,"CS_EVENT_TIME_N("&amp;$AB$18&amp;",1)")</f>
        <v>8:30 AM</v>
      </c>
      <c r="L210" s="282" t="str" cm="1">
        <f t="array" ref="L210">_xll.FDSB($C210,"CS_EVENT_DESC_N("&amp;$AB$18&amp;",1)")</f>
        <v>Q2 2026 Earnings Call</v>
      </c>
      <c r="M210" s="300"/>
      <c r="N210" s="274" cm="1">
        <f t="array" ref="N210">_xll.FDSB($C210,"CS_EVENT_DATEJ_N("&amp;$AA$18&amp;",2)")</f>
        <v>46322</v>
      </c>
      <c r="O210" s="282" t="str" cm="1">
        <f t="array" ref="O210">_xll.FDSB($C210,"CS_EVENT_TIME_N("&amp;$AA$18&amp;",2)")</f>
        <v>6:00 AM</v>
      </c>
      <c r="P210" s="282" t="str" cm="1">
        <f t="array" ref="P210">_xll.FDSB($C210,"CS_EVENT_DESC_N("&amp;$AA$18&amp;",2)")</f>
        <v>Q3 2026 Earnings Release</v>
      </c>
      <c r="Q210" s="282"/>
      <c r="R210" s="274" cm="1">
        <f t="array" ref="R210">_xll.FDSB($C210,"CS_EVENT_DATEJ_N("&amp;$AA$18&amp;",3)")</f>
        <v>46427</v>
      </c>
      <c r="S210" s="282" t="str" cm="1">
        <f t="array" ref="S210">_xll.FDSB($C210,"CS_EVENT_TIME_N("&amp;$AA$18&amp;",3)")</f>
        <v>Unspecified</v>
      </c>
      <c r="T210" s="282" t="str" cm="1">
        <f t="array" ref="T210">_xll.FDSB($C210,"CS_EVENT_DESC_N("&amp;$AA$18&amp;",3)")</f>
        <v>Q4 2026 Earnings Release (Projected)</v>
      </c>
      <c r="U210" s="282"/>
      <c r="V210" s="274" cm="1">
        <f t="array" ref="V210">_xll.FDSB($C210,"CS_EVENT_DATEJ_N("&amp;$AA$18&amp;",4)")</f>
        <v>46504</v>
      </c>
      <c r="W210" s="282" t="str" cm="1">
        <f t="array" ref="W210">_xll.FDSB($C210,"CS_EVENT_TIME_N("&amp;$AA$18&amp;",4)")</f>
        <v>Unspecified</v>
      </c>
      <c r="X210" s="282" t="str" cm="1">
        <f t="array" ref="X210">_xll.FDSB($C210,"CS_EVENT_DESC_N("&amp;$AA$18&amp;",4)")</f>
        <v>Q1 2027 Earnings Release (Projected)</v>
      </c>
    </row>
    <row r="211" spans="2:24" x14ac:dyDescent="0.15">
      <c r="B211" s="298">
        <f t="shared" si="5"/>
        <v>196</v>
      </c>
      <c r="C211" s="299" t="str">
        <v>EQT</v>
      </c>
      <c r="D211" s="300" t="str" cm="1">
        <f t="array" ref="D211">_xll.FDSB($C211,"FG_COMPANY_NAME")</f>
        <v>EQT Corporation</v>
      </c>
      <c r="E211" s="300"/>
      <c r="F211" s="274" cm="1">
        <f t="array" ref="F211">_xll.FDSB($C211,"CS_EVENT_DATEJ_N("&amp;$AA$18&amp;",1)")</f>
        <v>46231</v>
      </c>
      <c r="G211" s="282" t="str" cm="1">
        <f t="array" ref="G211">_xll.FDSB($C211,"CS_EVENT_TIME_N("&amp;$AA$18&amp;",1)")</f>
        <v>Unspecified</v>
      </c>
      <c r="H211" s="282" t="str" cm="1">
        <f t="array" ref="H211">_xll.FDSB($C211,"CS_EVENT_DESC_N("&amp;$AA$18&amp;",1)")</f>
        <v>Q2 2026 Earnings Release (Projected)</v>
      </c>
      <c r="I211" s="282"/>
      <c r="J211" s="274" t="str" cm="1">
        <f t="array" ref="J211">_xll.FDSB($C211,"CS_EVENT_DATEJ_N("&amp;$AB$18&amp;",1)")</f>
        <v/>
      </c>
      <c r="K211" s="282" t="str" cm="1">
        <f t="array" ref="K211">_xll.FDSB($C211,"CS_EVENT_TIME_N("&amp;$AB$18&amp;",1)")</f>
        <v/>
      </c>
      <c r="L211" s="282" t="str" cm="1">
        <f t="array" ref="L211">_xll.FDSB($C211,"CS_EVENT_DESC_N("&amp;$AB$18&amp;",1)")</f>
        <v/>
      </c>
      <c r="M211" s="300"/>
      <c r="N211" s="274" cm="1">
        <f t="array" ref="N211">_xll.FDSB($C211,"CS_EVENT_DATEJ_N("&amp;$AA$18&amp;",2)")</f>
        <v>46323</v>
      </c>
      <c r="O211" s="282" t="str" cm="1">
        <f t="array" ref="O211">_xll.FDSB($C211,"CS_EVENT_TIME_N("&amp;$AA$18&amp;",2)")</f>
        <v>Unspecified</v>
      </c>
      <c r="P211" s="282" t="str" cm="1">
        <f t="array" ref="P211">_xll.FDSB($C211,"CS_EVENT_DESC_N("&amp;$AA$18&amp;",2)")</f>
        <v>Q3 2026 Earnings Release (Projected)</v>
      </c>
      <c r="Q211" s="282"/>
      <c r="R211" s="274" cm="1">
        <f t="array" ref="R211">_xll.FDSB($C211,"CS_EVENT_DATEJ_N("&amp;$AA$18&amp;",3)")</f>
        <v>46504</v>
      </c>
      <c r="S211" s="282" t="str" cm="1">
        <f t="array" ref="S211">_xll.FDSB($C211,"CS_EVENT_TIME_N("&amp;$AA$18&amp;",3)")</f>
        <v>Unspecified</v>
      </c>
      <c r="T211" s="282" t="str" cm="1">
        <f t="array" ref="T211">_xll.FDSB($C211,"CS_EVENT_DESC_N("&amp;$AA$18&amp;",3)")</f>
        <v>Q1 2027 Earnings Release (Projected)</v>
      </c>
      <c r="U211" s="282"/>
      <c r="V211" s="274" t="str" cm="1">
        <f t="array" ref="V211">_xll.FDSB($C211,"CS_EVENT_DATEJ_N("&amp;$AA$18&amp;",4)")</f>
        <v/>
      </c>
      <c r="W211" s="282" t="str" cm="1">
        <f t="array" ref="W211">_xll.FDSB($C211,"CS_EVENT_TIME_N("&amp;$AA$18&amp;",4)")</f>
        <v/>
      </c>
      <c r="X211" s="282" t="str" cm="1">
        <f t="array" ref="X211">_xll.FDSB($C211,"CS_EVENT_DESC_N("&amp;$AA$18&amp;",4)")</f>
        <v/>
      </c>
    </row>
    <row r="212" spans="2:24" x14ac:dyDescent="0.15">
      <c r="B212" s="298">
        <f t="shared" si="5"/>
        <v>197</v>
      </c>
      <c r="C212" s="299" t="str">
        <v>WM</v>
      </c>
      <c r="D212" s="300" t="str" cm="1">
        <f t="array" ref="D212">_xll.FDSB($C212,"FG_COMPANY_NAME")</f>
        <v>Waste Management, Inc.</v>
      </c>
      <c r="E212" s="300"/>
      <c r="F212" s="274" cm="1">
        <f t="array" ref="F212">_xll.FDSB($C212,"CS_EVENT_DATEJ_N("&amp;$AA$18&amp;",1)")</f>
        <v>46231</v>
      </c>
      <c r="G212" s="282" t="str" cm="1">
        <f t="array" ref="G212">_xll.FDSB($C212,"CS_EVENT_TIME_N("&amp;$AA$18&amp;",1)")</f>
        <v>Unspecified</v>
      </c>
      <c r="H212" s="282" t="str" cm="1">
        <f t="array" ref="H212">_xll.FDSB($C212,"CS_EVENT_DESC_N("&amp;$AA$18&amp;",1)")</f>
        <v>Q2 2026 Earnings Release (Projected)</v>
      </c>
      <c r="I212" s="282"/>
      <c r="J212" s="274" t="str" cm="1">
        <f t="array" ref="J212">_xll.FDSB($C212,"CS_EVENT_DATEJ_N("&amp;$AB$18&amp;",1)")</f>
        <v/>
      </c>
      <c r="K212" s="282" t="str" cm="1">
        <f t="array" ref="K212">_xll.FDSB($C212,"CS_EVENT_TIME_N("&amp;$AB$18&amp;",1)")</f>
        <v/>
      </c>
      <c r="L212" s="282" t="str" cm="1">
        <f t="array" ref="L212">_xll.FDSB($C212,"CS_EVENT_DESC_N("&amp;$AB$18&amp;",1)")</f>
        <v/>
      </c>
      <c r="M212" s="300"/>
      <c r="N212" s="274" cm="1">
        <f t="array" ref="N212">_xll.FDSB($C212,"CS_EVENT_DATEJ_N("&amp;$AA$18&amp;",2)")</f>
        <v>46322</v>
      </c>
      <c r="O212" s="282" t="str" cm="1">
        <f t="array" ref="O212">_xll.FDSB($C212,"CS_EVENT_TIME_N("&amp;$AA$18&amp;",2)")</f>
        <v>Unspecified</v>
      </c>
      <c r="P212" s="282" t="str" cm="1">
        <f t="array" ref="P212">_xll.FDSB($C212,"CS_EVENT_DESC_N("&amp;$AA$18&amp;",2)")</f>
        <v>Q3 2026 Earnings Release (Projected)</v>
      </c>
      <c r="Q212" s="282"/>
      <c r="R212" s="274" cm="1">
        <f t="array" ref="R212">_xll.FDSB($C212,"CS_EVENT_DATEJ_N("&amp;$AA$18&amp;",3)")</f>
        <v>46421</v>
      </c>
      <c r="S212" s="282" t="str" cm="1">
        <f t="array" ref="S212">_xll.FDSB($C212,"CS_EVENT_TIME_N("&amp;$AA$18&amp;",3)")</f>
        <v>Unspecified</v>
      </c>
      <c r="T212" s="282" t="str" cm="1">
        <f t="array" ref="T212">_xll.FDSB($C212,"CS_EVENT_DESC_N("&amp;$AA$18&amp;",3)")</f>
        <v>Q4 2026 Earnings Release (Projected)</v>
      </c>
      <c r="U212" s="282"/>
      <c r="V212" s="274" cm="1">
        <f t="array" ref="V212">_xll.FDSB($C212,"CS_EVENT_DATEJ_N("&amp;$AA$18&amp;",4)")</f>
        <v>46504</v>
      </c>
      <c r="W212" s="282" t="str" cm="1">
        <f t="array" ref="W212">_xll.FDSB($C212,"CS_EVENT_TIME_N("&amp;$AA$18&amp;",4)")</f>
        <v>Unspecified</v>
      </c>
      <c r="X212" s="282" t="str" cm="1">
        <f t="array" ref="X212">_xll.FDSB($C212,"CS_EVENT_DESC_N("&amp;$AA$18&amp;",4)")</f>
        <v>Q1 2027 Earnings Release (Projected)</v>
      </c>
    </row>
    <row r="213" spans="2:24" x14ac:dyDescent="0.15">
      <c r="B213" s="298">
        <f t="shared" si="5"/>
        <v>198</v>
      </c>
      <c r="C213" s="299" t="str">
        <v>EQR</v>
      </c>
      <c r="D213" s="300" t="str" cm="1">
        <f t="array" ref="D213">_xll.FDSB($C213,"FG_COMPANY_NAME")</f>
        <v>Equity Residential</v>
      </c>
      <c r="E213" s="300"/>
      <c r="F213" s="274" cm="1">
        <f t="array" ref="F213">_xll.FDSB($C213,"CS_EVENT_DATEJ_N("&amp;$AA$18&amp;",1)")</f>
        <v>46231</v>
      </c>
      <c r="G213" s="282" t="str" cm="1">
        <f t="array" ref="G213">_xll.FDSB($C213,"CS_EVENT_TIME_N("&amp;$AA$18&amp;",1)")</f>
        <v>Unspecified</v>
      </c>
      <c r="H213" s="282" t="str" cm="1">
        <f t="array" ref="H213">_xll.FDSB($C213,"CS_EVENT_DESC_N("&amp;$AA$18&amp;",1)")</f>
        <v>Q2 2026 Earnings Release (Projected)</v>
      </c>
      <c r="I213" s="282"/>
      <c r="J213" s="274" t="str" cm="1">
        <f t="array" ref="J213">_xll.FDSB($C213,"CS_EVENT_DATEJ_N("&amp;$AB$18&amp;",1)")</f>
        <v/>
      </c>
      <c r="K213" s="282" t="str" cm="1">
        <f t="array" ref="K213">_xll.FDSB($C213,"CS_EVENT_TIME_N("&amp;$AB$18&amp;",1)")</f>
        <v/>
      </c>
      <c r="L213" s="282" t="str" cm="1">
        <f t="array" ref="L213">_xll.FDSB($C213,"CS_EVENT_DESC_N("&amp;$AB$18&amp;",1)")</f>
        <v/>
      </c>
      <c r="M213" s="300"/>
      <c r="N213" s="274" cm="1">
        <f t="array" ref="N213">_xll.FDSB($C213,"CS_EVENT_DATEJ_N("&amp;$AA$18&amp;",2)")</f>
        <v>46329</v>
      </c>
      <c r="O213" s="282" t="str" cm="1">
        <f t="array" ref="O213">_xll.FDSB($C213,"CS_EVENT_TIME_N("&amp;$AA$18&amp;",2)")</f>
        <v>Unspecified</v>
      </c>
      <c r="P213" s="282" t="str" cm="1">
        <f t="array" ref="P213">_xll.FDSB($C213,"CS_EVENT_DESC_N("&amp;$AA$18&amp;",2)")</f>
        <v>Q3 2026 Earnings Release (Projected)</v>
      </c>
      <c r="Q213" s="282"/>
      <c r="R213" s="274" cm="1">
        <f t="array" ref="R213">_xll.FDSB($C213,"CS_EVENT_DATEJ_N("&amp;$AA$18&amp;",3)")</f>
        <v>46429</v>
      </c>
      <c r="S213" s="282" t="str" cm="1">
        <f t="array" ref="S213">_xll.FDSB($C213,"CS_EVENT_TIME_N("&amp;$AA$18&amp;",3)")</f>
        <v>Unspecified</v>
      </c>
      <c r="T213" s="282" t="str" cm="1">
        <f t="array" ref="T213">_xll.FDSB($C213,"CS_EVENT_DESC_N("&amp;$AA$18&amp;",3)")</f>
        <v>Q4 2026 Earnings Release (Projected)</v>
      </c>
      <c r="U213" s="282"/>
      <c r="V213" s="274" cm="1">
        <f t="array" ref="V213">_xll.FDSB($C213,"CS_EVENT_DATEJ_N("&amp;$AA$18&amp;",4)")</f>
        <v>46504</v>
      </c>
      <c r="W213" s="282" t="str" cm="1">
        <f t="array" ref="W213">_xll.FDSB($C213,"CS_EVENT_TIME_N("&amp;$AA$18&amp;",4)")</f>
        <v>Unspecified</v>
      </c>
      <c r="X213" s="282" t="str" cm="1">
        <f t="array" ref="X213">_xll.FDSB($C213,"CS_EVENT_DESC_N("&amp;$AA$18&amp;",4)")</f>
        <v>Q1 2027 Earnings Release (Projected)</v>
      </c>
    </row>
    <row r="214" spans="2:24" x14ac:dyDescent="0.15">
      <c r="B214" s="298">
        <f t="shared" si="5"/>
        <v>199</v>
      </c>
      <c r="C214" s="299" t="str">
        <v>PCAR</v>
      </c>
      <c r="D214" s="300" t="str" cm="1">
        <f t="array" ref="D214">_xll.FDSB($C214,"FG_COMPANY_NAME")</f>
        <v>PACCAR Inc</v>
      </c>
      <c r="E214" s="300"/>
      <c r="F214" s="274" cm="1">
        <f t="array" ref="F214">_xll.FDSB($C214,"CS_EVENT_DATEJ_N("&amp;$AA$18&amp;",1)")</f>
        <v>46231</v>
      </c>
      <c r="G214" s="282" t="str" cm="1">
        <f t="array" ref="G214">_xll.FDSB($C214,"CS_EVENT_TIME_N("&amp;$AA$18&amp;",1)")</f>
        <v>Unspecified</v>
      </c>
      <c r="H214" s="282" t="str" cm="1">
        <f t="array" ref="H214">_xll.FDSB($C214,"CS_EVENT_DESC_N("&amp;$AA$18&amp;",1)")</f>
        <v>Q2 2026 Earnings Release (Projected)</v>
      </c>
      <c r="I214" s="282"/>
      <c r="J214" s="274" t="str" cm="1">
        <f t="array" ref="J214">_xll.FDSB($C214,"CS_EVENT_DATEJ_N("&amp;$AB$18&amp;",1)")</f>
        <v/>
      </c>
      <c r="K214" s="282" t="str" cm="1">
        <f t="array" ref="K214">_xll.FDSB($C214,"CS_EVENT_TIME_N("&amp;$AB$18&amp;",1)")</f>
        <v/>
      </c>
      <c r="L214" s="282" t="str" cm="1">
        <f t="array" ref="L214">_xll.FDSB($C214,"CS_EVENT_DESC_N("&amp;$AB$18&amp;",1)")</f>
        <v/>
      </c>
      <c r="M214" s="300"/>
      <c r="N214" s="274" cm="1">
        <f t="array" ref="N214">_xll.FDSB($C214,"CS_EVENT_DATEJ_N("&amp;$AA$18&amp;",2)")</f>
        <v>46322</v>
      </c>
      <c r="O214" s="282" t="str" cm="1">
        <f t="array" ref="O214">_xll.FDSB($C214,"CS_EVENT_TIME_N("&amp;$AA$18&amp;",2)")</f>
        <v>Unspecified</v>
      </c>
      <c r="P214" s="282" t="str" cm="1">
        <f t="array" ref="P214">_xll.FDSB($C214,"CS_EVENT_DESC_N("&amp;$AA$18&amp;",2)")</f>
        <v>Q3 2026 Earnings Release (Projected)</v>
      </c>
      <c r="Q214" s="282"/>
      <c r="R214" s="274" cm="1">
        <f t="array" ref="R214">_xll.FDSB($C214,"CS_EVENT_DATEJ_N("&amp;$AA$18&amp;",3)")</f>
        <v>46504</v>
      </c>
      <c r="S214" s="282" t="str" cm="1">
        <f t="array" ref="S214">_xll.FDSB($C214,"CS_EVENT_TIME_N("&amp;$AA$18&amp;",3)")</f>
        <v>Unspecified</v>
      </c>
      <c r="T214" s="282" t="str" cm="1">
        <f t="array" ref="T214">_xll.FDSB($C214,"CS_EVENT_DESC_N("&amp;$AA$18&amp;",3)")</f>
        <v>Q1 2027 Earnings Release (Projected)</v>
      </c>
      <c r="U214" s="282"/>
      <c r="V214" s="274" t="str" cm="1">
        <f t="array" ref="V214">_xll.FDSB($C214,"CS_EVENT_DATEJ_N("&amp;$AA$18&amp;",4)")</f>
        <v/>
      </c>
      <c r="W214" s="282" t="str" cm="1">
        <f t="array" ref="W214">_xll.FDSB($C214,"CS_EVENT_TIME_N("&amp;$AA$18&amp;",4)")</f>
        <v/>
      </c>
      <c r="X214" s="282" t="str" cm="1">
        <f t="array" ref="X214">_xll.FDSB($C214,"CS_EVENT_DESC_N("&amp;$AA$18&amp;",4)")</f>
        <v/>
      </c>
    </row>
    <row r="215" spans="2:24" x14ac:dyDescent="0.15">
      <c r="B215" s="298">
        <f t="shared" si="5"/>
        <v>200</v>
      </c>
      <c r="C215" s="299" t="str">
        <v>DGX</v>
      </c>
      <c r="D215" s="300" t="str" cm="1">
        <f t="array" ref="D215">_xll.FDSB($C215,"FG_COMPANY_NAME")</f>
        <v>Quest Diagnostics Incorporated</v>
      </c>
      <c r="E215" s="300"/>
      <c r="F215" s="274" cm="1">
        <f t="array" ref="F215">_xll.FDSB($C215,"CS_EVENT_DATEJ_N("&amp;$AA$18&amp;",1)")</f>
        <v>46231</v>
      </c>
      <c r="G215" s="282" t="str" cm="1">
        <f t="array" ref="G215">_xll.FDSB($C215,"CS_EVENT_TIME_N("&amp;$AA$18&amp;",1)")</f>
        <v>Unspecified</v>
      </c>
      <c r="H215" s="282" t="str" cm="1">
        <f t="array" ref="H215">_xll.FDSB($C215,"CS_EVENT_DESC_N("&amp;$AA$18&amp;",1)")</f>
        <v>Q2 2026 Earnings Release (Projected)</v>
      </c>
      <c r="I215" s="282"/>
      <c r="J215" s="274" t="str" cm="1">
        <f t="array" ref="J215">_xll.FDSB($C215,"CS_EVENT_DATEJ_N("&amp;$AB$18&amp;",1)")</f>
        <v/>
      </c>
      <c r="K215" s="282" t="str" cm="1">
        <f t="array" ref="K215">_xll.FDSB($C215,"CS_EVENT_TIME_N("&amp;$AB$18&amp;",1)")</f>
        <v/>
      </c>
      <c r="L215" s="282" t="str" cm="1">
        <f t="array" ref="L215">_xll.FDSB($C215,"CS_EVENT_DESC_N("&amp;$AB$18&amp;",1)")</f>
        <v/>
      </c>
      <c r="M215" s="300"/>
      <c r="N215" s="274" cm="1">
        <f t="array" ref="N215">_xll.FDSB($C215,"CS_EVENT_DATEJ_N("&amp;$AA$18&amp;",2)")</f>
        <v>46322</v>
      </c>
      <c r="O215" s="282" t="str" cm="1">
        <f t="array" ref="O215">_xll.FDSB($C215,"CS_EVENT_TIME_N("&amp;$AA$18&amp;",2)")</f>
        <v>Unspecified</v>
      </c>
      <c r="P215" s="282" t="str" cm="1">
        <f t="array" ref="P215">_xll.FDSB($C215,"CS_EVENT_DESC_N("&amp;$AA$18&amp;",2)")</f>
        <v>Q3 2026 Earnings Release (Projected)</v>
      </c>
      <c r="Q215" s="282"/>
      <c r="R215" s="274" cm="1">
        <f t="array" ref="R215">_xll.FDSB($C215,"CS_EVENT_DATEJ_N("&amp;$AA$18&amp;",3)")</f>
        <v>46422</v>
      </c>
      <c r="S215" s="282" t="str" cm="1">
        <f t="array" ref="S215">_xll.FDSB($C215,"CS_EVENT_TIME_N("&amp;$AA$18&amp;",3)")</f>
        <v>Unspecified</v>
      </c>
      <c r="T215" s="282" t="str" cm="1">
        <f t="array" ref="T215">_xll.FDSB($C215,"CS_EVENT_DESC_N("&amp;$AA$18&amp;",3)")</f>
        <v>Q4 2026 Earnings Release (Projected)</v>
      </c>
      <c r="U215" s="282"/>
      <c r="V215" s="274" cm="1">
        <f t="array" ref="V215">_xll.FDSB($C215,"CS_EVENT_DATEJ_N("&amp;$AA$18&amp;",4)")</f>
        <v>46504</v>
      </c>
      <c r="W215" s="282" t="str" cm="1">
        <f t="array" ref="W215">_xll.FDSB($C215,"CS_EVENT_TIME_N("&amp;$AA$18&amp;",4)")</f>
        <v>Unspecified</v>
      </c>
      <c r="X215" s="282" t="str" cm="1">
        <f t="array" ref="X215">_xll.FDSB($C215,"CS_EVENT_DESC_N("&amp;$AA$18&amp;",4)")</f>
        <v>Q1 2027 Earnings Release (Projected)</v>
      </c>
    </row>
    <row r="216" spans="2:24" x14ac:dyDescent="0.15">
      <c r="B216" s="298">
        <f t="shared" si="5"/>
        <v>201</v>
      </c>
      <c r="C216" s="299" t="str">
        <v>SHW</v>
      </c>
      <c r="D216" s="300" t="str" cm="1">
        <f t="array" ref="D216">_xll.FDSB($C216,"FG_COMPANY_NAME")</f>
        <v>Sherwin-Williams Company</v>
      </c>
      <c r="E216" s="300"/>
      <c r="F216" s="274" cm="1">
        <f t="array" ref="F216">_xll.FDSB($C216,"CS_EVENT_DATEJ_N("&amp;$AA$18&amp;",1)")</f>
        <v>46231</v>
      </c>
      <c r="G216" s="282" t="str" cm="1">
        <f t="array" ref="G216">_xll.FDSB($C216,"CS_EVENT_TIME_N("&amp;$AA$18&amp;",1)")</f>
        <v>Unspecified</v>
      </c>
      <c r="H216" s="282" t="str" cm="1">
        <f t="array" ref="H216">_xll.FDSB($C216,"CS_EVENT_DESC_N("&amp;$AA$18&amp;",1)")</f>
        <v>Q2 2026 Earnings Release (Projected)</v>
      </c>
      <c r="I216" s="282"/>
      <c r="J216" s="274" t="str" cm="1">
        <f t="array" ref="J216">_xll.FDSB($C216,"CS_EVENT_DATEJ_N("&amp;$AB$18&amp;",1)")</f>
        <v/>
      </c>
      <c r="K216" s="282" t="str" cm="1">
        <f t="array" ref="K216">_xll.FDSB($C216,"CS_EVENT_TIME_N("&amp;$AB$18&amp;",1)")</f>
        <v/>
      </c>
      <c r="L216" s="282" t="str" cm="1">
        <f t="array" ref="L216">_xll.FDSB($C216,"CS_EVENT_DESC_N("&amp;$AB$18&amp;",1)")</f>
        <v/>
      </c>
      <c r="M216" s="300"/>
      <c r="N216" s="274" cm="1">
        <f t="array" ref="N216">_xll.FDSB($C216,"CS_EVENT_DATEJ_N("&amp;$AA$18&amp;",2)")</f>
        <v>46322</v>
      </c>
      <c r="O216" s="282" t="str" cm="1">
        <f t="array" ref="O216">_xll.FDSB($C216,"CS_EVENT_TIME_N("&amp;$AA$18&amp;",2)")</f>
        <v>Unspecified</v>
      </c>
      <c r="P216" s="282" t="str" cm="1">
        <f t="array" ref="P216">_xll.FDSB($C216,"CS_EVENT_DESC_N("&amp;$AA$18&amp;",2)")</f>
        <v>Q3 2026 Earnings Release (Projected)</v>
      </c>
      <c r="Q216" s="282"/>
      <c r="R216" s="274" cm="1">
        <f t="array" ref="R216">_xll.FDSB($C216,"CS_EVENT_DATEJ_N("&amp;$AA$18&amp;",3)")</f>
        <v>46415</v>
      </c>
      <c r="S216" s="282" t="str" cm="1">
        <f t="array" ref="S216">_xll.FDSB($C216,"CS_EVENT_TIME_N("&amp;$AA$18&amp;",3)")</f>
        <v>Unspecified</v>
      </c>
      <c r="T216" s="282" t="str" cm="1">
        <f t="array" ref="T216">_xll.FDSB($C216,"CS_EVENT_DESC_N("&amp;$AA$18&amp;",3)")</f>
        <v>Q4 2026 Earnings Release (Projected)</v>
      </c>
      <c r="U216" s="282"/>
      <c r="V216" s="274" t="str" cm="1">
        <f t="array" ref="V216">_xll.FDSB($C216,"CS_EVENT_DATEJ_N("&amp;$AA$18&amp;",4)")</f>
        <v/>
      </c>
      <c r="W216" s="282" t="str" cm="1">
        <f t="array" ref="W216">_xll.FDSB($C216,"CS_EVENT_TIME_N("&amp;$AA$18&amp;",4)")</f>
        <v/>
      </c>
      <c r="X216" s="282" t="str" cm="1">
        <f t="array" ref="X216">_xll.FDSB($C216,"CS_EVENT_DESC_N("&amp;$AA$18&amp;",4)")</f>
        <v/>
      </c>
    </row>
    <row r="217" spans="2:24" x14ac:dyDescent="0.15">
      <c r="B217" s="298">
        <f t="shared" si="5"/>
        <v>202</v>
      </c>
      <c r="C217" s="299" t="str">
        <v>UPS</v>
      </c>
      <c r="D217" s="300" t="str" cm="1">
        <f t="array" ref="D217">_xll.FDSB($C217,"FG_COMPANY_NAME")</f>
        <v>United Parcel Service, Inc. Class B</v>
      </c>
      <c r="E217" s="300"/>
      <c r="F217" s="274" cm="1">
        <f t="array" ref="F217">_xll.FDSB($C217,"CS_EVENT_DATEJ_N("&amp;$AA$18&amp;",1)")</f>
        <v>46231</v>
      </c>
      <c r="G217" s="282" t="str" cm="1">
        <f t="array" ref="G217">_xll.FDSB($C217,"CS_EVENT_TIME_N("&amp;$AA$18&amp;",1)")</f>
        <v>Unspecified</v>
      </c>
      <c r="H217" s="282" t="str" cm="1">
        <f t="array" ref="H217">_xll.FDSB($C217,"CS_EVENT_DESC_N("&amp;$AA$18&amp;",1)")</f>
        <v>Q2 2026 Earnings Release (Projected)</v>
      </c>
      <c r="I217" s="282"/>
      <c r="J217" s="274" t="str" cm="1">
        <f t="array" ref="J217">_xll.FDSB($C217,"CS_EVENT_DATEJ_N("&amp;$AB$18&amp;",1)")</f>
        <v/>
      </c>
      <c r="K217" s="282" t="str" cm="1">
        <f t="array" ref="K217">_xll.FDSB($C217,"CS_EVENT_TIME_N("&amp;$AB$18&amp;",1)")</f>
        <v/>
      </c>
      <c r="L217" s="282" t="str" cm="1">
        <f t="array" ref="L217">_xll.FDSB($C217,"CS_EVENT_DESC_N("&amp;$AB$18&amp;",1)")</f>
        <v/>
      </c>
      <c r="M217" s="300"/>
      <c r="N217" s="274" cm="1">
        <f t="array" ref="N217">_xll.FDSB($C217,"CS_EVENT_DATEJ_N("&amp;$AA$18&amp;",2)")</f>
        <v>46420</v>
      </c>
      <c r="O217" s="282" t="str" cm="1">
        <f t="array" ref="O217">_xll.FDSB($C217,"CS_EVENT_TIME_N("&amp;$AA$18&amp;",2)")</f>
        <v>Unspecified</v>
      </c>
      <c r="P217" s="282" t="str" cm="1">
        <f t="array" ref="P217">_xll.FDSB($C217,"CS_EVENT_DESC_N("&amp;$AA$18&amp;",2)")</f>
        <v>Q4 2026 Earnings Release (Projected)</v>
      </c>
      <c r="Q217" s="282"/>
      <c r="R217" s="274" cm="1">
        <f t="array" ref="R217">_xll.FDSB($C217,"CS_EVENT_DATEJ_N("&amp;$AA$18&amp;",3)")</f>
        <v>46504</v>
      </c>
      <c r="S217" s="282" t="str" cm="1">
        <f t="array" ref="S217">_xll.FDSB($C217,"CS_EVENT_TIME_N("&amp;$AA$18&amp;",3)")</f>
        <v>Unspecified</v>
      </c>
      <c r="T217" s="282" t="str" cm="1">
        <f t="array" ref="T217">_xll.FDSB($C217,"CS_EVENT_DESC_N("&amp;$AA$18&amp;",3)")</f>
        <v>Q1 2027 Earnings Release (Projected)</v>
      </c>
      <c r="U217" s="282"/>
      <c r="V217" s="274" t="str" cm="1">
        <f t="array" ref="V217">_xll.FDSB($C217,"CS_EVENT_DATEJ_N("&amp;$AA$18&amp;",4)")</f>
        <v/>
      </c>
      <c r="W217" s="282" t="str" cm="1">
        <f t="array" ref="W217">_xll.FDSB($C217,"CS_EVENT_TIME_N("&amp;$AA$18&amp;",4)")</f>
        <v/>
      </c>
      <c r="X217" s="282" t="str" cm="1">
        <f t="array" ref="X217">_xll.FDSB($C217,"CS_EVENT_DESC_N("&amp;$AA$18&amp;",4)")</f>
        <v/>
      </c>
    </row>
    <row r="218" spans="2:24" x14ac:dyDescent="0.15">
      <c r="B218" s="298">
        <f t="shared" si="5"/>
        <v>203</v>
      </c>
      <c r="C218" s="299" t="str">
        <v>KMB</v>
      </c>
      <c r="D218" s="300" t="str" cm="1">
        <f t="array" ref="D218">_xll.FDSB($C218,"FG_COMPANY_NAME")</f>
        <v>Kimberly-Clark Corporation</v>
      </c>
      <c r="E218" s="300"/>
      <c r="F218" s="274" cm="1">
        <f t="array" ref="F218">_xll.FDSB($C218,"CS_EVENT_DATEJ_N("&amp;$AA$18&amp;",1)")</f>
        <v>46231</v>
      </c>
      <c r="G218" s="282" t="str" cm="1">
        <f t="array" ref="G218">_xll.FDSB($C218,"CS_EVENT_TIME_N("&amp;$AA$18&amp;",1)")</f>
        <v>Unspecified</v>
      </c>
      <c r="H218" s="282" t="str" cm="1">
        <f t="array" ref="H218">_xll.FDSB($C218,"CS_EVENT_DESC_N("&amp;$AA$18&amp;",1)")</f>
        <v>Q2 2026 Earnings Release (Projected)</v>
      </c>
      <c r="I218" s="282"/>
      <c r="J218" s="274" t="str" cm="1">
        <f t="array" ref="J218">_xll.FDSB($C218,"CS_EVENT_DATEJ_N("&amp;$AB$18&amp;",1)")</f>
        <v/>
      </c>
      <c r="K218" s="282" t="str" cm="1">
        <f t="array" ref="K218">_xll.FDSB($C218,"CS_EVENT_TIME_N("&amp;$AB$18&amp;",1)")</f>
        <v/>
      </c>
      <c r="L218" s="282" t="str" cm="1">
        <f t="array" ref="L218">_xll.FDSB($C218,"CS_EVENT_DESC_N("&amp;$AB$18&amp;",1)")</f>
        <v/>
      </c>
      <c r="M218" s="300"/>
      <c r="N218" s="274" cm="1">
        <f t="array" ref="N218">_xll.FDSB($C218,"CS_EVENT_DATEJ_N("&amp;$AA$18&amp;",2)")</f>
        <v>46322</v>
      </c>
      <c r="O218" s="282" t="str" cm="1">
        <f t="array" ref="O218">_xll.FDSB($C218,"CS_EVENT_TIME_N("&amp;$AA$18&amp;",2)")</f>
        <v>Unspecified</v>
      </c>
      <c r="P218" s="282" t="str" cm="1">
        <f t="array" ref="P218">_xll.FDSB($C218,"CS_EVENT_DESC_N("&amp;$AA$18&amp;",2)")</f>
        <v>Q3 2026 Earnings Release (Projected)</v>
      </c>
      <c r="Q218" s="282"/>
      <c r="R218" s="274" cm="1">
        <f t="array" ref="R218">_xll.FDSB($C218,"CS_EVENT_DATEJ_N("&amp;$AA$18&amp;",3)")</f>
        <v>46414</v>
      </c>
      <c r="S218" s="282" t="str" cm="1">
        <f t="array" ref="S218">_xll.FDSB($C218,"CS_EVENT_TIME_N("&amp;$AA$18&amp;",3)")</f>
        <v>Unspecified</v>
      </c>
      <c r="T218" s="282" t="str" cm="1">
        <f t="array" ref="T218">_xll.FDSB($C218,"CS_EVENT_DESC_N("&amp;$AA$18&amp;",3)")</f>
        <v>Q4 2026 Earnings Release (Projected)</v>
      </c>
      <c r="U218" s="282"/>
      <c r="V218" s="274" cm="1">
        <f t="array" ref="V218">_xll.FDSB($C218,"CS_EVENT_DATEJ_N("&amp;$AA$18&amp;",4)")</f>
        <v>46504</v>
      </c>
      <c r="W218" s="282" t="str" cm="1">
        <f t="array" ref="W218">_xll.FDSB($C218,"CS_EVENT_TIME_N("&amp;$AA$18&amp;",4)")</f>
        <v>Unspecified</v>
      </c>
      <c r="X218" s="282" t="str" cm="1">
        <f t="array" ref="X218">_xll.FDSB($C218,"CS_EVENT_DESC_N("&amp;$AA$18&amp;",4)")</f>
        <v>Q1 2027 Earnings Release (Projected)</v>
      </c>
    </row>
    <row r="219" spans="2:24" x14ac:dyDescent="0.15">
      <c r="B219" s="298">
        <f t="shared" si="5"/>
        <v>204</v>
      </c>
      <c r="C219" s="299" t="str">
        <v>HUBB</v>
      </c>
      <c r="D219" s="300" t="str" cm="1">
        <f t="array" ref="D219">_xll.FDSB($C219,"FG_COMPANY_NAME")</f>
        <v>Hubbell Incorporated</v>
      </c>
      <c r="E219" s="300"/>
      <c r="F219" s="274" cm="1">
        <f t="array" ref="F219">_xll.FDSB($C219,"CS_EVENT_DATEJ_N("&amp;$AA$18&amp;",1)")</f>
        <v>46231</v>
      </c>
      <c r="G219" s="282" t="str" cm="1">
        <f t="array" ref="G219">_xll.FDSB($C219,"CS_EVENT_TIME_N("&amp;$AA$18&amp;",1)")</f>
        <v>Unspecified</v>
      </c>
      <c r="H219" s="282" t="str" cm="1">
        <f t="array" ref="H219">_xll.FDSB($C219,"CS_EVENT_DESC_N("&amp;$AA$18&amp;",1)")</f>
        <v>Q2 2026 Earnings Release (Projected)</v>
      </c>
      <c r="I219" s="282"/>
      <c r="J219" s="274" t="str" cm="1">
        <f t="array" ref="J219">_xll.FDSB($C219,"CS_EVENT_DATEJ_N("&amp;$AB$18&amp;",1)")</f>
        <v/>
      </c>
      <c r="K219" s="282" t="str" cm="1">
        <f t="array" ref="K219">_xll.FDSB($C219,"CS_EVENT_TIME_N("&amp;$AB$18&amp;",1)")</f>
        <v/>
      </c>
      <c r="L219" s="282" t="str" cm="1">
        <f t="array" ref="L219">_xll.FDSB($C219,"CS_EVENT_DESC_N("&amp;$AB$18&amp;",1)")</f>
        <v/>
      </c>
      <c r="M219" s="300"/>
      <c r="N219" s="274" cm="1">
        <f t="array" ref="N219">_xll.FDSB($C219,"CS_EVENT_DATEJ_N("&amp;$AA$18&amp;",2)")</f>
        <v>46329</v>
      </c>
      <c r="O219" s="282" t="str" cm="1">
        <f t="array" ref="O219">_xll.FDSB($C219,"CS_EVENT_TIME_N("&amp;$AA$18&amp;",2)")</f>
        <v>Unspecified</v>
      </c>
      <c r="P219" s="282" t="str" cm="1">
        <f t="array" ref="P219">_xll.FDSB($C219,"CS_EVENT_DESC_N("&amp;$AA$18&amp;",2)")</f>
        <v>Q3 2026 Earnings Release (Projected)</v>
      </c>
      <c r="Q219" s="282"/>
      <c r="R219" s="274" cm="1">
        <f t="array" ref="R219">_xll.FDSB($C219,"CS_EVENT_DATEJ_N("&amp;$AA$18&amp;",3)")</f>
        <v>46420</v>
      </c>
      <c r="S219" s="282" t="str" cm="1">
        <f t="array" ref="S219">_xll.FDSB($C219,"CS_EVENT_TIME_N("&amp;$AA$18&amp;",3)")</f>
        <v>Unspecified</v>
      </c>
      <c r="T219" s="282" t="str" cm="1">
        <f t="array" ref="T219">_xll.FDSB($C219,"CS_EVENT_DESC_N("&amp;$AA$18&amp;",3)")</f>
        <v>Q4 2026 Earnings Release (Projected)</v>
      </c>
      <c r="U219" s="282"/>
      <c r="V219" s="274" cm="1">
        <f t="array" ref="V219">_xll.FDSB($C219,"CS_EVENT_DATEJ_N("&amp;$AA$18&amp;",4)")</f>
        <v>46504</v>
      </c>
      <c r="W219" s="282" t="str" cm="1">
        <f t="array" ref="W219">_xll.FDSB($C219,"CS_EVENT_TIME_N("&amp;$AA$18&amp;",4)")</f>
        <v>Unspecified</v>
      </c>
      <c r="X219" s="282" t="str" cm="1">
        <f t="array" ref="X219">_xll.FDSB($C219,"CS_EVENT_DESC_N("&amp;$AA$18&amp;",4)")</f>
        <v>Q1 2027 Earnings Release (Projected)</v>
      </c>
    </row>
    <row r="220" spans="2:24" x14ac:dyDescent="0.15">
      <c r="B220" s="298">
        <f t="shared" si="5"/>
        <v>205</v>
      </c>
      <c r="C220" s="299" t="str">
        <v>ADM</v>
      </c>
      <c r="D220" s="300" t="str" cm="1">
        <f t="array" ref="D220">_xll.FDSB($C220,"FG_COMPANY_NAME")</f>
        <v>Archer-Daniels-Midland Company</v>
      </c>
      <c r="E220" s="300"/>
      <c r="F220" s="274" cm="1">
        <f t="array" ref="F220">_xll.FDSB($C220,"CS_EVENT_DATEJ_N("&amp;$AA$18&amp;",1)")</f>
        <v>46231</v>
      </c>
      <c r="G220" s="282" t="str" cm="1">
        <f t="array" ref="G220">_xll.FDSB($C220,"CS_EVENT_TIME_N("&amp;$AA$18&amp;",1)")</f>
        <v>Unspecified</v>
      </c>
      <c r="H220" s="282" t="str" cm="1">
        <f t="array" ref="H220">_xll.FDSB($C220,"CS_EVENT_DESC_N("&amp;$AA$18&amp;",1)")</f>
        <v>Q2 2026 Earnings Release (Projected)</v>
      </c>
      <c r="I220" s="282"/>
      <c r="J220" s="274" t="str" cm="1">
        <f t="array" ref="J220">_xll.FDSB($C220,"CS_EVENT_DATEJ_N("&amp;$AB$18&amp;",1)")</f>
        <v/>
      </c>
      <c r="K220" s="282" t="str" cm="1">
        <f t="array" ref="K220">_xll.FDSB($C220,"CS_EVENT_TIME_N("&amp;$AB$18&amp;",1)")</f>
        <v/>
      </c>
      <c r="L220" s="282" t="str" cm="1">
        <f t="array" ref="L220">_xll.FDSB($C220,"CS_EVENT_DESC_N("&amp;$AB$18&amp;",1)")</f>
        <v/>
      </c>
      <c r="M220" s="300"/>
      <c r="N220" s="274" cm="1">
        <f t="array" ref="N220">_xll.FDSB($C220,"CS_EVENT_DATEJ_N("&amp;$AA$18&amp;",2)")</f>
        <v>46322</v>
      </c>
      <c r="O220" s="282" t="str" cm="1">
        <f t="array" ref="O220">_xll.FDSB($C220,"CS_EVENT_TIME_N("&amp;$AA$18&amp;",2)")</f>
        <v>Unspecified</v>
      </c>
      <c r="P220" s="282" t="str" cm="1">
        <f t="array" ref="P220">_xll.FDSB($C220,"CS_EVENT_DESC_N("&amp;$AA$18&amp;",2)")</f>
        <v>Q3 2026 Earnings Release (Projected)</v>
      </c>
      <c r="Q220" s="282"/>
      <c r="R220" s="274" cm="1">
        <f t="array" ref="R220">_xll.FDSB($C220,"CS_EVENT_DATEJ_N("&amp;$AA$18&amp;",3)")</f>
        <v>46413</v>
      </c>
      <c r="S220" s="282" t="str" cm="1">
        <f t="array" ref="S220">_xll.FDSB($C220,"CS_EVENT_TIME_N("&amp;$AA$18&amp;",3)")</f>
        <v>Unspecified</v>
      </c>
      <c r="T220" s="282" t="str" cm="1">
        <f t="array" ref="T220">_xll.FDSB($C220,"CS_EVENT_DESC_N("&amp;$AA$18&amp;",3)")</f>
        <v>Q4 2026 Earnings Release (Projected)</v>
      </c>
      <c r="U220" s="282"/>
      <c r="V220" s="274" cm="1">
        <f t="array" ref="V220">_xll.FDSB($C220,"CS_EVENT_DATEJ_N("&amp;$AA$18&amp;",4)")</f>
        <v>46504</v>
      </c>
      <c r="W220" s="282" t="str" cm="1">
        <f t="array" ref="W220">_xll.FDSB($C220,"CS_EVENT_TIME_N("&amp;$AA$18&amp;",4)")</f>
        <v>Unspecified</v>
      </c>
      <c r="X220" s="282" t="str" cm="1">
        <f t="array" ref="X220">_xll.FDSB($C220,"CS_EVENT_DESC_N("&amp;$AA$18&amp;",4)")</f>
        <v>Q1 2027 Earnings Release (Projected)</v>
      </c>
    </row>
    <row r="221" spans="2:24" x14ac:dyDescent="0.15">
      <c r="B221" s="298">
        <f t="shared" si="5"/>
        <v>206</v>
      </c>
      <c r="C221" s="299" t="str">
        <v>GOOGL</v>
      </c>
      <c r="D221" s="300" t="str" cm="1">
        <f t="array" ref="D221">_xll.FDSB($C221,"FG_COMPANY_NAME")</f>
        <v>Alphabet Inc. Class A</v>
      </c>
      <c r="E221" s="300"/>
      <c r="F221" s="274" cm="1">
        <f t="array" ref="F221">_xll.FDSB($C221,"CS_EVENT_DATEJ_N("&amp;$AA$18&amp;",1)")</f>
        <v>46231</v>
      </c>
      <c r="G221" s="282" t="str" cm="1">
        <f t="array" ref="G221">_xll.FDSB($C221,"CS_EVENT_TIME_N("&amp;$AA$18&amp;",1)")</f>
        <v>Unspecified</v>
      </c>
      <c r="H221" s="282" t="str" cm="1">
        <f t="array" ref="H221">_xll.FDSB($C221,"CS_EVENT_DESC_N("&amp;$AA$18&amp;",1)")</f>
        <v>Q2 2026 Earnings Release (Projected)</v>
      </c>
      <c r="I221" s="282"/>
      <c r="J221" s="274" t="str" cm="1">
        <f t="array" ref="J221">_xll.FDSB($C221,"CS_EVENT_DATEJ_N("&amp;$AB$18&amp;",1)")</f>
        <v/>
      </c>
      <c r="K221" s="282" t="str" cm="1">
        <f t="array" ref="K221">_xll.FDSB($C221,"CS_EVENT_TIME_N("&amp;$AB$18&amp;",1)")</f>
        <v/>
      </c>
      <c r="L221" s="282" t="str" cm="1">
        <f t="array" ref="L221">_xll.FDSB($C221,"CS_EVENT_DESC_N("&amp;$AB$18&amp;",1)")</f>
        <v/>
      </c>
      <c r="M221" s="300"/>
      <c r="N221" s="274" cm="1">
        <f t="array" ref="N221">_xll.FDSB($C221,"CS_EVENT_DATEJ_N("&amp;$AA$18&amp;",2)")</f>
        <v>46322</v>
      </c>
      <c r="O221" s="282" t="str" cm="1">
        <f t="array" ref="O221">_xll.FDSB($C221,"CS_EVENT_TIME_N("&amp;$AA$18&amp;",2)")</f>
        <v>Unspecified</v>
      </c>
      <c r="P221" s="282" t="str" cm="1">
        <f t="array" ref="P221">_xll.FDSB($C221,"CS_EVENT_DESC_N("&amp;$AA$18&amp;",2)")</f>
        <v>Q3 2026 Earnings Release (Projected)</v>
      </c>
      <c r="Q221" s="282"/>
      <c r="R221" s="274" cm="1">
        <f t="array" ref="R221">_xll.FDSB($C221,"CS_EVENT_DATEJ_N("&amp;$AA$18&amp;",3)")</f>
        <v>46420</v>
      </c>
      <c r="S221" s="282" t="str" cm="1">
        <f t="array" ref="S221">_xll.FDSB($C221,"CS_EVENT_TIME_N("&amp;$AA$18&amp;",3)")</f>
        <v>Unspecified</v>
      </c>
      <c r="T221" s="282" t="str" cm="1">
        <f t="array" ref="T221">_xll.FDSB($C221,"CS_EVENT_DESC_N("&amp;$AA$18&amp;",3)")</f>
        <v>Q4 2026 Earnings Release (Projected)</v>
      </c>
      <c r="U221" s="282"/>
      <c r="V221" s="274" cm="1">
        <f t="array" ref="V221">_xll.FDSB($C221,"CS_EVENT_DATEJ_N("&amp;$AA$18&amp;",4)")</f>
        <v>46504</v>
      </c>
      <c r="W221" s="282" t="str" cm="1">
        <f t="array" ref="W221">_xll.FDSB($C221,"CS_EVENT_TIME_N("&amp;$AA$18&amp;",4)")</f>
        <v>Unspecified</v>
      </c>
      <c r="X221" s="282" t="str" cm="1">
        <f t="array" ref="X221">_xll.FDSB($C221,"CS_EVENT_DESC_N("&amp;$AA$18&amp;",4)")</f>
        <v>Q1 2027 Earnings Release (Projected)</v>
      </c>
    </row>
    <row r="222" spans="2:24" x14ac:dyDescent="0.15">
      <c r="B222" s="298">
        <f t="shared" si="5"/>
        <v>207</v>
      </c>
      <c r="C222" s="299" t="str">
        <v>IQV</v>
      </c>
      <c r="D222" s="300" t="str" cm="1">
        <f t="array" ref="D222">_xll.FDSB($C222,"FG_COMPANY_NAME")</f>
        <v>IQVIA Holdings Inc</v>
      </c>
      <c r="E222" s="300"/>
      <c r="F222" s="274" cm="1">
        <f t="array" ref="F222">_xll.FDSB($C222,"CS_EVENT_DATEJ_N("&amp;$AA$18&amp;",1)")</f>
        <v>46231</v>
      </c>
      <c r="G222" s="282" t="str" cm="1">
        <f t="array" ref="G222">_xll.FDSB($C222,"CS_EVENT_TIME_N("&amp;$AA$18&amp;",1)")</f>
        <v>Unspecified</v>
      </c>
      <c r="H222" s="282" t="str" cm="1">
        <f t="array" ref="H222">_xll.FDSB($C222,"CS_EVENT_DESC_N("&amp;$AA$18&amp;",1)")</f>
        <v>Q2 2026 Earnings Release (Projected)</v>
      </c>
      <c r="I222" s="282"/>
      <c r="J222" s="274" t="str" cm="1">
        <f t="array" ref="J222">_xll.FDSB($C222,"CS_EVENT_DATEJ_N("&amp;$AB$18&amp;",1)")</f>
        <v/>
      </c>
      <c r="K222" s="282" t="str" cm="1">
        <f t="array" ref="K222">_xll.FDSB($C222,"CS_EVENT_TIME_N("&amp;$AB$18&amp;",1)")</f>
        <v/>
      </c>
      <c r="L222" s="282" t="str" cm="1">
        <f t="array" ref="L222">_xll.FDSB($C222,"CS_EVENT_DESC_N("&amp;$AB$18&amp;",1)")</f>
        <v/>
      </c>
      <c r="M222" s="300"/>
      <c r="N222" s="274" cm="1">
        <f t="array" ref="N222">_xll.FDSB($C222,"CS_EVENT_DATEJ_N("&amp;$AA$18&amp;",2)")</f>
        <v>46330</v>
      </c>
      <c r="O222" s="282" t="str" cm="1">
        <f t="array" ref="O222">_xll.FDSB($C222,"CS_EVENT_TIME_N("&amp;$AA$18&amp;",2)")</f>
        <v>Unspecified</v>
      </c>
      <c r="P222" s="282" t="str" cm="1">
        <f t="array" ref="P222">_xll.FDSB($C222,"CS_EVENT_DESC_N("&amp;$AA$18&amp;",2)")</f>
        <v>Q3 2026 Earnings Release (Projected)</v>
      </c>
      <c r="Q222" s="282"/>
      <c r="R222" s="274" cm="1">
        <f t="array" ref="R222">_xll.FDSB($C222,"CS_EVENT_DATEJ_N("&amp;$AA$18&amp;",3)")</f>
        <v>46429</v>
      </c>
      <c r="S222" s="282" t="str" cm="1">
        <f t="array" ref="S222">_xll.FDSB($C222,"CS_EVENT_TIME_N("&amp;$AA$18&amp;",3)")</f>
        <v>Unspecified</v>
      </c>
      <c r="T222" s="282" t="str" cm="1">
        <f t="array" ref="T222">_xll.FDSB($C222,"CS_EVENT_DESC_N("&amp;$AA$18&amp;",3)")</f>
        <v>Q4 2026 Earnings Release (Projected)</v>
      </c>
      <c r="U222" s="282"/>
      <c r="V222" s="274" cm="1">
        <f t="array" ref="V222">_xll.FDSB($C222,"CS_EVENT_DATEJ_N("&amp;$AA$18&amp;",4)")</f>
        <v>46506</v>
      </c>
      <c r="W222" s="282" t="str" cm="1">
        <f t="array" ref="W222">_xll.FDSB($C222,"CS_EVENT_TIME_N("&amp;$AA$18&amp;",4)")</f>
        <v>Unspecified</v>
      </c>
      <c r="X222" s="282" t="str" cm="1">
        <f t="array" ref="X222">_xll.FDSB($C222,"CS_EVENT_DESC_N("&amp;$AA$18&amp;",4)")</f>
        <v>Q1 2027 Earnings Release (Projected)</v>
      </c>
    </row>
    <row r="223" spans="2:24" x14ac:dyDescent="0.15">
      <c r="B223" s="298">
        <f t="shared" si="5"/>
        <v>208</v>
      </c>
      <c r="C223" s="299" t="str">
        <v>NXPI</v>
      </c>
      <c r="D223" s="300" t="str" cm="1">
        <f t="array" ref="D223">_xll.FDSB($C223,"FG_COMPANY_NAME")</f>
        <v>NXP Semiconductors NV</v>
      </c>
      <c r="E223" s="300"/>
      <c r="F223" s="274" cm="1">
        <f t="array" ref="F223">_xll.FDSB($C223,"CS_EVENT_DATEJ_N("&amp;$AA$18&amp;",1)")</f>
        <v>46231</v>
      </c>
      <c r="G223" s="282" t="str" cm="1">
        <f t="array" ref="G223">_xll.FDSB($C223,"CS_EVENT_TIME_N("&amp;$AA$18&amp;",1)")</f>
        <v>4:10 PM</v>
      </c>
      <c r="H223" s="282" t="str" cm="1">
        <f t="array" ref="H223">_xll.FDSB($C223,"CS_EVENT_DESC_N("&amp;$AA$18&amp;",1)")</f>
        <v>Q2 2026 Earnings Release</v>
      </c>
      <c r="I223" s="282"/>
      <c r="J223" s="274" cm="1">
        <f t="array" ref="J223">_xll.FDSB($C223,"CS_EVENT_DATEJ_N("&amp;$AB$18&amp;",1)")</f>
        <v>46231</v>
      </c>
      <c r="K223" s="282" t="str" cm="1">
        <f t="array" ref="K223">_xll.FDSB($C223,"CS_EVENT_TIME_N("&amp;$AB$18&amp;",1)")</f>
        <v>4:30 PM</v>
      </c>
      <c r="L223" s="282" t="str" cm="1">
        <f t="array" ref="L223">_xll.FDSB($C223,"CS_EVENT_DESC_N("&amp;$AB$18&amp;",1)")</f>
        <v>Q2 2026 Earnings Call</v>
      </c>
      <c r="M223" s="300"/>
      <c r="N223" s="274" cm="1">
        <f t="array" ref="N223">_xll.FDSB($C223,"CS_EVENT_DATEJ_N("&amp;$AA$18&amp;",2)")</f>
        <v>46322</v>
      </c>
      <c r="O223" s="282" t="str" cm="1">
        <f t="array" ref="O223">_xll.FDSB($C223,"CS_EVENT_TIME_N("&amp;$AA$18&amp;",2)")</f>
        <v>4:10 PM</v>
      </c>
      <c r="P223" s="282" t="str" cm="1">
        <f t="array" ref="P223">_xll.FDSB($C223,"CS_EVENT_DESC_N("&amp;$AA$18&amp;",2)")</f>
        <v>Q3 2026 Earnings Release</v>
      </c>
      <c r="Q223" s="282"/>
      <c r="R223" s="274" cm="1">
        <f t="array" ref="R223">_xll.FDSB($C223,"CS_EVENT_DATEJ_N("&amp;$AA$18&amp;",3)")</f>
        <v>46419</v>
      </c>
      <c r="S223" s="282" t="str" cm="1">
        <f t="array" ref="S223">_xll.FDSB($C223,"CS_EVENT_TIME_N("&amp;$AA$18&amp;",3)")</f>
        <v>Unspecified</v>
      </c>
      <c r="T223" s="282" t="str" cm="1">
        <f t="array" ref="T223">_xll.FDSB($C223,"CS_EVENT_DESC_N("&amp;$AA$18&amp;",3)")</f>
        <v>Q4 2026 Earnings Release (Projected)</v>
      </c>
      <c r="U223" s="282"/>
      <c r="V223" s="274" cm="1">
        <f t="array" ref="V223">_xll.FDSB($C223,"CS_EVENT_DATEJ_N("&amp;$AA$18&amp;",4)")</f>
        <v>46510</v>
      </c>
      <c r="W223" s="282" t="str" cm="1">
        <f t="array" ref="W223">_xll.FDSB($C223,"CS_EVENT_TIME_N("&amp;$AA$18&amp;",4)")</f>
        <v>Unspecified</v>
      </c>
      <c r="X223" s="282" t="str" cm="1">
        <f t="array" ref="X223">_xll.FDSB($C223,"CS_EVENT_DESC_N("&amp;$AA$18&amp;",4)")</f>
        <v>Q1 2027 Earnings Release (Projected)</v>
      </c>
    </row>
    <row r="224" spans="2:24" x14ac:dyDescent="0.15">
      <c r="B224" s="298">
        <f t="shared" si="5"/>
        <v>209</v>
      </c>
      <c r="C224" s="299" t="str">
        <v>MDLZ</v>
      </c>
      <c r="D224" s="300" t="str" cm="1">
        <f t="array" ref="D224">_xll.FDSB($C224,"FG_COMPANY_NAME")</f>
        <v>Mondelez International, Inc. Class A</v>
      </c>
      <c r="E224" s="300"/>
      <c r="F224" s="274" cm="1">
        <f t="array" ref="F224">_xll.FDSB($C224,"CS_EVENT_DATEJ_N("&amp;$AA$18&amp;",1)")</f>
        <v>46231</v>
      </c>
      <c r="G224" s="282" t="str" cm="1">
        <f t="array" ref="G224">_xll.FDSB($C224,"CS_EVENT_TIME_N("&amp;$AA$18&amp;",1)")</f>
        <v>Unspecified</v>
      </c>
      <c r="H224" s="282" t="str" cm="1">
        <f t="array" ref="H224">_xll.FDSB($C224,"CS_EVENT_DESC_N("&amp;$AA$18&amp;",1)")</f>
        <v>Q2 2026 Earnings Release (Projected)</v>
      </c>
      <c r="I224" s="282"/>
      <c r="J224" s="274" t="str" cm="1">
        <f t="array" ref="J224">_xll.FDSB($C224,"CS_EVENT_DATEJ_N("&amp;$AB$18&amp;",1)")</f>
        <v/>
      </c>
      <c r="K224" s="282" t="str" cm="1">
        <f t="array" ref="K224">_xll.FDSB($C224,"CS_EVENT_TIME_N("&amp;$AB$18&amp;",1)")</f>
        <v/>
      </c>
      <c r="L224" s="282" t="str" cm="1">
        <f t="array" ref="L224">_xll.FDSB($C224,"CS_EVENT_DESC_N("&amp;$AB$18&amp;",1)")</f>
        <v/>
      </c>
      <c r="M224" s="300"/>
      <c r="N224" s="274" cm="1">
        <f t="array" ref="N224">_xll.FDSB($C224,"CS_EVENT_DATEJ_N("&amp;$AA$18&amp;",2)")</f>
        <v>46329</v>
      </c>
      <c r="O224" s="282" t="str" cm="1">
        <f t="array" ref="O224">_xll.FDSB($C224,"CS_EVENT_TIME_N("&amp;$AA$18&amp;",2)")</f>
        <v>Unspecified</v>
      </c>
      <c r="P224" s="282" t="str" cm="1">
        <f t="array" ref="P224">_xll.FDSB($C224,"CS_EVENT_DESC_N("&amp;$AA$18&amp;",2)")</f>
        <v>Q3 2026 Earnings Release (Projected)</v>
      </c>
      <c r="Q224" s="282"/>
      <c r="R224" s="274" cm="1">
        <f t="array" ref="R224">_xll.FDSB($C224,"CS_EVENT_DATEJ_N("&amp;$AA$18&amp;",3)")</f>
        <v>46415</v>
      </c>
      <c r="S224" s="282" t="str" cm="1">
        <f t="array" ref="S224">_xll.FDSB($C224,"CS_EVENT_TIME_N("&amp;$AA$18&amp;",3)")</f>
        <v>Unspecified</v>
      </c>
      <c r="T224" s="282" t="str" cm="1">
        <f t="array" ref="T224">_xll.FDSB($C224,"CS_EVENT_DESC_N("&amp;$AA$18&amp;",3)")</f>
        <v>Q4 2026 Earnings Release (Projected)</v>
      </c>
      <c r="U224" s="282"/>
      <c r="V224" s="274" cm="1">
        <f t="array" ref="V224">_xll.FDSB($C224,"CS_EVENT_DATEJ_N("&amp;$AA$18&amp;",4)")</f>
        <v>46504</v>
      </c>
      <c r="W224" s="282" t="str" cm="1">
        <f t="array" ref="W224">_xll.FDSB($C224,"CS_EVENT_TIME_N("&amp;$AA$18&amp;",4)")</f>
        <v>Unspecified</v>
      </c>
      <c r="X224" s="282" t="str" cm="1">
        <f t="array" ref="X224">_xll.FDSB($C224,"CS_EVENT_DESC_N("&amp;$AA$18&amp;",4)")</f>
        <v>Q1 2027 Earnings Release (Projected)</v>
      </c>
    </row>
    <row r="225" spans="2:24" x14ac:dyDescent="0.15">
      <c r="B225" s="298">
        <f t="shared" si="5"/>
        <v>210</v>
      </c>
      <c r="C225" s="299" t="str">
        <v>GOOG</v>
      </c>
      <c r="D225" s="300" t="str" cm="1">
        <f t="array" ref="D225">_xll.FDSB($C225,"FG_COMPANY_NAME")</f>
        <v>Alphabet Inc. Class C</v>
      </c>
      <c r="E225" s="300"/>
      <c r="F225" s="274" cm="1">
        <f t="array" ref="F225">_xll.FDSB($C225,"CS_EVENT_DATEJ_N("&amp;$AA$18&amp;",1)")</f>
        <v>46231</v>
      </c>
      <c r="G225" s="282" t="str" cm="1">
        <f t="array" ref="G225">_xll.FDSB($C225,"CS_EVENT_TIME_N("&amp;$AA$18&amp;",1)")</f>
        <v>Unspecified</v>
      </c>
      <c r="H225" s="282" t="str" cm="1">
        <f t="array" ref="H225">_xll.FDSB($C225,"CS_EVENT_DESC_N("&amp;$AA$18&amp;",1)")</f>
        <v>Q2 2026 Earnings Release (Projected)</v>
      </c>
      <c r="I225" s="282"/>
      <c r="J225" s="274" t="str" cm="1">
        <f t="array" ref="J225">_xll.FDSB($C225,"CS_EVENT_DATEJ_N("&amp;$AB$18&amp;",1)")</f>
        <v/>
      </c>
      <c r="K225" s="282" t="str" cm="1">
        <f t="array" ref="K225">_xll.FDSB($C225,"CS_EVENT_TIME_N("&amp;$AB$18&amp;",1)")</f>
        <v/>
      </c>
      <c r="L225" s="282" t="str" cm="1">
        <f t="array" ref="L225">_xll.FDSB($C225,"CS_EVENT_DESC_N("&amp;$AB$18&amp;",1)")</f>
        <v/>
      </c>
      <c r="M225" s="300"/>
      <c r="N225" s="274" cm="1">
        <f t="array" ref="N225">_xll.FDSB($C225,"CS_EVENT_DATEJ_N("&amp;$AA$18&amp;",2)")</f>
        <v>46322</v>
      </c>
      <c r="O225" s="282" t="str" cm="1">
        <f t="array" ref="O225">_xll.FDSB($C225,"CS_EVENT_TIME_N("&amp;$AA$18&amp;",2)")</f>
        <v>Unspecified</v>
      </c>
      <c r="P225" s="282" t="str" cm="1">
        <f t="array" ref="P225">_xll.FDSB($C225,"CS_EVENT_DESC_N("&amp;$AA$18&amp;",2)")</f>
        <v>Q3 2026 Earnings Release (Projected)</v>
      </c>
      <c r="Q225" s="282"/>
      <c r="R225" s="274" cm="1">
        <f t="array" ref="R225">_xll.FDSB($C225,"CS_EVENT_DATEJ_N("&amp;$AA$18&amp;",3)")</f>
        <v>46420</v>
      </c>
      <c r="S225" s="282" t="str" cm="1">
        <f t="array" ref="S225">_xll.FDSB($C225,"CS_EVENT_TIME_N("&amp;$AA$18&amp;",3)")</f>
        <v>Unspecified</v>
      </c>
      <c r="T225" s="282" t="str" cm="1">
        <f t="array" ref="T225">_xll.FDSB($C225,"CS_EVENT_DESC_N("&amp;$AA$18&amp;",3)")</f>
        <v>Q4 2026 Earnings Release (Projected)</v>
      </c>
      <c r="U225" s="282"/>
      <c r="V225" s="274" cm="1">
        <f t="array" ref="V225">_xll.FDSB($C225,"CS_EVENT_DATEJ_N("&amp;$AA$18&amp;",4)")</f>
        <v>46504</v>
      </c>
      <c r="W225" s="282" t="str" cm="1">
        <f t="array" ref="W225">_xll.FDSB($C225,"CS_EVENT_TIME_N("&amp;$AA$18&amp;",4)")</f>
        <v>Unspecified</v>
      </c>
      <c r="X225" s="282" t="str" cm="1">
        <f t="array" ref="X225">_xll.FDSB($C225,"CS_EVENT_DESC_N("&amp;$AA$18&amp;",4)")</f>
        <v>Q1 2027 Earnings Release (Projected)</v>
      </c>
    </row>
    <row r="226" spans="2:24" x14ac:dyDescent="0.15">
      <c r="B226" s="298">
        <f t="shared" si="5"/>
        <v>211</v>
      </c>
      <c r="C226" s="299" t="str">
        <v>IVZ</v>
      </c>
      <c r="D226" s="300" t="str" cm="1">
        <f t="array" ref="D226">_xll.FDSB($C226,"FG_COMPANY_NAME")</f>
        <v>Invesco Ltd.</v>
      </c>
      <c r="E226" s="300"/>
      <c r="F226" s="274" cm="1">
        <f t="array" ref="F226">_xll.FDSB($C226,"CS_EVENT_DATEJ_N("&amp;$AA$18&amp;",1)")</f>
        <v>46231</v>
      </c>
      <c r="G226" s="282" t="str" cm="1">
        <f t="array" ref="G226">_xll.FDSB($C226,"CS_EVENT_TIME_N("&amp;$AA$18&amp;",1)")</f>
        <v>Unspecified</v>
      </c>
      <c r="H226" s="282" t="str" cm="1">
        <f t="array" ref="H226">_xll.FDSB($C226,"CS_EVENT_DESC_N("&amp;$AA$18&amp;",1)")</f>
        <v>Q2 2026 Earnings Release (Projected)</v>
      </c>
      <c r="I226" s="282"/>
      <c r="J226" s="274" t="str" cm="1">
        <f t="array" ref="J226">_xll.FDSB($C226,"CS_EVENT_DATEJ_N("&amp;$AB$18&amp;",1)")</f>
        <v/>
      </c>
      <c r="K226" s="282" t="str" cm="1">
        <f t="array" ref="K226">_xll.FDSB($C226,"CS_EVENT_TIME_N("&amp;$AB$18&amp;",1)")</f>
        <v/>
      </c>
      <c r="L226" s="282" t="str" cm="1">
        <f t="array" ref="L226">_xll.FDSB($C226,"CS_EVENT_DESC_N("&amp;$AB$18&amp;",1)")</f>
        <v/>
      </c>
      <c r="M226" s="300"/>
      <c r="N226" s="274" cm="1">
        <f t="array" ref="N226">_xll.FDSB($C226,"CS_EVENT_DATEJ_N("&amp;$AA$18&amp;",2)")</f>
        <v>46322</v>
      </c>
      <c r="O226" s="282" t="str" cm="1">
        <f t="array" ref="O226">_xll.FDSB($C226,"CS_EVENT_TIME_N("&amp;$AA$18&amp;",2)")</f>
        <v>Unspecified</v>
      </c>
      <c r="P226" s="282" t="str" cm="1">
        <f t="array" ref="P226">_xll.FDSB($C226,"CS_EVENT_DESC_N("&amp;$AA$18&amp;",2)")</f>
        <v>Q3 2026 Earnings Release (Projected)</v>
      </c>
      <c r="Q226" s="282"/>
      <c r="R226" s="274" cm="1">
        <f t="array" ref="R226">_xll.FDSB($C226,"CS_EVENT_DATEJ_N("&amp;$AA$18&amp;",3)")</f>
        <v>46413</v>
      </c>
      <c r="S226" s="282" t="str" cm="1">
        <f t="array" ref="S226">_xll.FDSB($C226,"CS_EVENT_TIME_N("&amp;$AA$18&amp;",3)")</f>
        <v>Unspecified</v>
      </c>
      <c r="T226" s="282" t="str" cm="1">
        <f t="array" ref="T226">_xll.FDSB($C226,"CS_EVENT_DESC_N("&amp;$AA$18&amp;",3)")</f>
        <v>Q4 2026 Earnings Release (Projected)</v>
      </c>
      <c r="U226" s="282"/>
      <c r="V226" s="274" cm="1">
        <f t="array" ref="V226">_xll.FDSB($C226,"CS_EVENT_DATEJ_N("&amp;$AA$18&amp;",4)")</f>
        <v>46504</v>
      </c>
      <c r="W226" s="282" t="str" cm="1">
        <f t="array" ref="W226">_xll.FDSB($C226,"CS_EVENT_TIME_N("&amp;$AA$18&amp;",4)")</f>
        <v>Unspecified</v>
      </c>
      <c r="X226" s="282" t="str" cm="1">
        <f t="array" ref="X226">_xll.FDSB($C226,"CS_EVENT_DESC_N("&amp;$AA$18&amp;",4)")</f>
        <v>Q1 2027 Earnings Release (Projected)</v>
      </c>
    </row>
    <row r="227" spans="2:24" x14ac:dyDescent="0.15">
      <c r="B227" s="298">
        <f t="shared" si="5"/>
        <v>212</v>
      </c>
      <c r="C227" s="299" t="str">
        <v>V</v>
      </c>
      <c r="D227" s="300" t="str" cm="1">
        <f t="array" ref="D227">_xll.FDSB($C227,"FG_COMPANY_NAME")</f>
        <v>Visa Inc. Class A</v>
      </c>
      <c r="E227" s="300"/>
      <c r="F227" s="274" cm="1">
        <f t="array" ref="F227">_xll.FDSB($C227,"CS_EVENT_DATEJ_N("&amp;$AA$18&amp;",1)")</f>
        <v>46231</v>
      </c>
      <c r="G227" s="282" t="str" cm="1">
        <f t="array" ref="G227">_xll.FDSB($C227,"CS_EVENT_TIME_N("&amp;$AA$18&amp;",1)")</f>
        <v>Unspecified</v>
      </c>
      <c r="H227" s="282" t="str" cm="1">
        <f t="array" ref="H227">_xll.FDSB($C227,"CS_EVENT_DESC_N("&amp;$AA$18&amp;",1)")</f>
        <v>Q3 2026 Earnings Release (Projected)</v>
      </c>
      <c r="I227" s="282"/>
      <c r="J227" s="274" t="str" cm="1">
        <f t="array" ref="J227">_xll.FDSB($C227,"CS_EVENT_DATEJ_N("&amp;$AB$18&amp;",1)")</f>
        <v/>
      </c>
      <c r="K227" s="282" t="str" cm="1">
        <f t="array" ref="K227">_xll.FDSB($C227,"CS_EVENT_TIME_N("&amp;$AB$18&amp;",1)")</f>
        <v/>
      </c>
      <c r="L227" s="282" t="str" cm="1">
        <f t="array" ref="L227">_xll.FDSB($C227,"CS_EVENT_DESC_N("&amp;$AB$18&amp;",1)")</f>
        <v/>
      </c>
      <c r="M227" s="300"/>
      <c r="N227" s="274" cm="1">
        <f t="array" ref="N227">_xll.FDSB($C227,"CS_EVENT_DATEJ_N("&amp;$AA$18&amp;",2)")</f>
        <v>46329</v>
      </c>
      <c r="O227" s="282" t="str" cm="1">
        <f t="array" ref="O227">_xll.FDSB($C227,"CS_EVENT_TIME_N("&amp;$AA$18&amp;",2)")</f>
        <v>Unspecified</v>
      </c>
      <c r="P227" s="282" t="str" cm="1">
        <f t="array" ref="P227">_xll.FDSB($C227,"CS_EVENT_DESC_N("&amp;$AA$18&amp;",2)")</f>
        <v>Q4 2026 Earnings Release (Projected)</v>
      </c>
      <c r="Q227" s="282"/>
      <c r="R227" s="274" cm="1">
        <f t="array" ref="R227">_xll.FDSB($C227,"CS_EVENT_DATEJ_N("&amp;$AA$18&amp;",3)")</f>
        <v>46415</v>
      </c>
      <c r="S227" s="282" t="str" cm="1">
        <f t="array" ref="S227">_xll.FDSB($C227,"CS_EVENT_TIME_N("&amp;$AA$18&amp;",3)")</f>
        <v>Unspecified</v>
      </c>
      <c r="T227" s="282" t="str" cm="1">
        <f t="array" ref="T227">_xll.FDSB($C227,"CS_EVENT_DESC_N("&amp;$AA$18&amp;",3)")</f>
        <v>Q1 2027 Earnings Release (Projected)</v>
      </c>
      <c r="U227" s="282"/>
      <c r="V227" s="274" t="str" cm="1">
        <f t="array" ref="V227">_xll.FDSB($C227,"CS_EVENT_DATEJ_N("&amp;$AA$18&amp;",4)")</f>
        <v/>
      </c>
      <c r="W227" s="282" t="str" cm="1">
        <f t="array" ref="W227">_xll.FDSB($C227,"CS_EVENT_TIME_N("&amp;$AA$18&amp;",4)")</f>
        <v/>
      </c>
      <c r="X227" s="282" t="str" cm="1">
        <f t="array" ref="X227">_xll.FDSB($C227,"CS_EVENT_DESC_N("&amp;$AA$18&amp;",4)")</f>
        <v/>
      </c>
    </row>
    <row r="228" spans="2:24" x14ac:dyDescent="0.15">
      <c r="B228" s="298">
        <f t="shared" si="5"/>
        <v>213</v>
      </c>
      <c r="C228" s="299" t="str">
        <v>PNR</v>
      </c>
      <c r="D228" s="300" t="str" cm="1">
        <f t="array" ref="D228">_xll.FDSB($C228,"FG_COMPANY_NAME")</f>
        <v>Pentair plc</v>
      </c>
      <c r="E228" s="300"/>
      <c r="F228" s="274" cm="1">
        <f t="array" ref="F228">_xll.FDSB($C228,"CS_EVENT_DATEJ_N("&amp;$AA$18&amp;",1)")</f>
        <v>46231</v>
      </c>
      <c r="G228" s="282" t="str" cm="1">
        <f t="array" ref="G228">_xll.FDSB($C228,"CS_EVENT_TIME_N("&amp;$AA$18&amp;",1)")</f>
        <v>Unspecified</v>
      </c>
      <c r="H228" s="282" t="str" cm="1">
        <f t="array" ref="H228">_xll.FDSB($C228,"CS_EVENT_DESC_N("&amp;$AA$18&amp;",1)")</f>
        <v>Q2 2026 Earnings Release (Projected)</v>
      </c>
      <c r="I228" s="282"/>
      <c r="J228" s="274" t="str" cm="1">
        <f t="array" ref="J228">_xll.FDSB($C228,"CS_EVENT_DATEJ_N("&amp;$AB$18&amp;",1)")</f>
        <v/>
      </c>
      <c r="K228" s="282" t="str" cm="1">
        <f t="array" ref="K228">_xll.FDSB($C228,"CS_EVENT_TIME_N("&amp;$AB$18&amp;",1)")</f>
        <v/>
      </c>
      <c r="L228" s="282" t="str" cm="1">
        <f t="array" ref="L228">_xll.FDSB($C228,"CS_EVENT_DESC_N("&amp;$AB$18&amp;",1)")</f>
        <v/>
      </c>
      <c r="M228" s="300"/>
      <c r="N228" s="274" cm="1">
        <f t="array" ref="N228">_xll.FDSB($C228,"CS_EVENT_DATEJ_N("&amp;$AA$18&amp;",2)")</f>
        <v>46322</v>
      </c>
      <c r="O228" s="282" t="str" cm="1">
        <f t="array" ref="O228">_xll.FDSB($C228,"CS_EVENT_TIME_N("&amp;$AA$18&amp;",2)")</f>
        <v>Unspecified</v>
      </c>
      <c r="P228" s="282" t="str" cm="1">
        <f t="array" ref="P228">_xll.FDSB($C228,"CS_EVENT_DESC_N("&amp;$AA$18&amp;",2)")</f>
        <v>Q3 2026 Earnings Release (Projected)</v>
      </c>
      <c r="Q228" s="282"/>
      <c r="R228" s="274" cm="1">
        <f t="array" ref="R228">_xll.FDSB($C228,"CS_EVENT_DATEJ_N("&amp;$AA$18&amp;",3)")</f>
        <v>46420</v>
      </c>
      <c r="S228" s="282" t="str" cm="1">
        <f t="array" ref="S228">_xll.FDSB($C228,"CS_EVENT_TIME_N("&amp;$AA$18&amp;",3)")</f>
        <v>Unspecified</v>
      </c>
      <c r="T228" s="282" t="str" cm="1">
        <f t="array" ref="T228">_xll.FDSB($C228,"CS_EVENT_DESC_N("&amp;$AA$18&amp;",3)")</f>
        <v>Q4 2026 Earnings Release (Projected)</v>
      </c>
      <c r="U228" s="282"/>
      <c r="V228" s="274" cm="1">
        <f t="array" ref="V228">_xll.FDSB($C228,"CS_EVENT_DATEJ_N("&amp;$AA$18&amp;",4)")</f>
        <v>46504</v>
      </c>
      <c r="W228" s="282" t="str" cm="1">
        <f t="array" ref="W228">_xll.FDSB($C228,"CS_EVENT_TIME_N("&amp;$AA$18&amp;",4)")</f>
        <v>Unspecified</v>
      </c>
      <c r="X228" s="282" t="str" cm="1">
        <f t="array" ref="X228">_xll.FDSB($C228,"CS_EVENT_DESC_N("&amp;$AA$18&amp;",4)")</f>
        <v>Q1 2027 Earnings Release (Projected)</v>
      </c>
    </row>
    <row r="229" spans="2:24" x14ac:dyDescent="0.15">
      <c r="B229" s="298">
        <f t="shared" si="5"/>
        <v>214</v>
      </c>
      <c r="C229" s="299" t="str">
        <v>CB</v>
      </c>
      <c r="D229" s="300" t="str" cm="1">
        <f t="array" ref="D229">_xll.FDSB($C229,"FG_COMPANY_NAME")</f>
        <v>Chubb Limited</v>
      </c>
      <c r="E229" s="300"/>
      <c r="F229" s="274" cm="1">
        <f t="array" ref="F229">_xll.FDSB($C229,"CS_EVENT_DATEJ_N("&amp;$AA$18&amp;",1)")</f>
        <v>46231</v>
      </c>
      <c r="G229" s="282" t="str" cm="1">
        <f t="array" ref="G229">_xll.FDSB($C229,"CS_EVENT_TIME_N("&amp;$AA$18&amp;",1)")</f>
        <v>Unspecified</v>
      </c>
      <c r="H229" s="282" t="str" cm="1">
        <f t="array" ref="H229">_xll.FDSB($C229,"CS_EVENT_DESC_N("&amp;$AA$18&amp;",1)")</f>
        <v>Q2 2026 Earnings Release (Projected)</v>
      </c>
      <c r="I229" s="282"/>
      <c r="J229" s="274" t="str" cm="1">
        <f t="array" ref="J229">_xll.FDSB($C229,"CS_EVENT_DATEJ_N("&amp;$AB$18&amp;",1)")</f>
        <v/>
      </c>
      <c r="K229" s="282" t="str" cm="1">
        <f t="array" ref="K229">_xll.FDSB($C229,"CS_EVENT_TIME_N("&amp;$AB$18&amp;",1)")</f>
        <v/>
      </c>
      <c r="L229" s="282" t="str" cm="1">
        <f t="array" ref="L229">_xll.FDSB($C229,"CS_EVENT_DESC_N("&amp;$AB$18&amp;",1)")</f>
        <v/>
      </c>
      <c r="M229" s="300"/>
      <c r="N229" s="274" cm="1">
        <f t="array" ref="N229">_xll.FDSB($C229,"CS_EVENT_DATEJ_N("&amp;$AA$18&amp;",2)")</f>
        <v>46322</v>
      </c>
      <c r="O229" s="282" t="str" cm="1">
        <f t="array" ref="O229">_xll.FDSB($C229,"CS_EVENT_TIME_N("&amp;$AA$18&amp;",2)")</f>
        <v>Unspecified</v>
      </c>
      <c r="P229" s="282" t="str" cm="1">
        <f t="array" ref="P229">_xll.FDSB($C229,"CS_EVENT_DESC_N("&amp;$AA$18&amp;",2)")</f>
        <v>Q3 2026 Earnings Release (Projected)</v>
      </c>
      <c r="Q229" s="282"/>
      <c r="R229" s="274" cm="1">
        <f t="array" ref="R229">_xll.FDSB($C229,"CS_EVENT_DATEJ_N("&amp;$AA$18&amp;",3)")</f>
        <v>46504</v>
      </c>
      <c r="S229" s="282" t="str" cm="1">
        <f t="array" ref="S229">_xll.FDSB($C229,"CS_EVENT_TIME_N("&amp;$AA$18&amp;",3)")</f>
        <v>Unspecified</v>
      </c>
      <c r="T229" s="282" t="str" cm="1">
        <f t="array" ref="T229">_xll.FDSB($C229,"CS_EVENT_DESC_N("&amp;$AA$18&amp;",3)")</f>
        <v>Q1 2027 Earnings Release (Projected)</v>
      </c>
      <c r="U229" s="282"/>
      <c r="V229" s="274" t="str" cm="1">
        <f t="array" ref="V229">_xll.FDSB($C229,"CS_EVENT_DATEJ_N("&amp;$AA$18&amp;",4)")</f>
        <v/>
      </c>
      <c r="W229" s="282" t="str" cm="1">
        <f t="array" ref="W229">_xll.FDSB($C229,"CS_EVENT_TIME_N("&amp;$AA$18&amp;",4)")</f>
        <v/>
      </c>
      <c r="X229" s="282" t="str" cm="1">
        <f t="array" ref="X229">_xll.FDSB($C229,"CS_EVENT_DESC_N("&amp;$AA$18&amp;",4)")</f>
        <v/>
      </c>
    </row>
    <row r="230" spans="2:24" x14ac:dyDescent="0.15">
      <c r="B230" s="298">
        <f t="shared" si="5"/>
        <v>215</v>
      </c>
      <c r="C230" s="299" t="str">
        <v>PYPL</v>
      </c>
      <c r="D230" s="300" t="str" cm="1">
        <f t="array" ref="D230">_xll.FDSB($C230,"FG_COMPANY_NAME")</f>
        <v>PayPal Holdings, Inc.</v>
      </c>
      <c r="E230" s="300"/>
      <c r="F230" s="274" cm="1">
        <f t="array" ref="F230">_xll.FDSB($C230,"CS_EVENT_DATEJ_N("&amp;$AA$18&amp;",1)")</f>
        <v>46231</v>
      </c>
      <c r="G230" s="282" t="str" cm="1">
        <f t="array" ref="G230">_xll.FDSB($C230,"CS_EVENT_TIME_N("&amp;$AA$18&amp;",1)")</f>
        <v>Before Market</v>
      </c>
      <c r="H230" s="282" t="str" cm="1">
        <f t="array" ref="H230">_xll.FDSB($C230,"CS_EVENT_DESC_N("&amp;$AA$18&amp;",1)")</f>
        <v>Q2 2026 Earnings Release</v>
      </c>
      <c r="I230" s="282"/>
      <c r="J230" s="274" cm="1">
        <f t="array" ref="J230">_xll.FDSB($C230,"CS_EVENT_DATEJ_N("&amp;$AB$18&amp;",1)")</f>
        <v>46231</v>
      </c>
      <c r="K230" s="282" t="str" cm="1">
        <f t="array" ref="K230">_xll.FDSB($C230,"CS_EVENT_TIME_N("&amp;$AB$18&amp;",1)")</f>
        <v>8:00 AM</v>
      </c>
      <c r="L230" s="282" t="str" cm="1">
        <f t="array" ref="L230">_xll.FDSB($C230,"CS_EVENT_DESC_N("&amp;$AB$18&amp;",1)")</f>
        <v>Q2 2026 Earnings Call</v>
      </c>
      <c r="M230" s="300"/>
      <c r="N230" s="274" cm="1">
        <f t="array" ref="N230">_xll.FDSB($C230,"CS_EVENT_DATEJ_N("&amp;$AA$18&amp;",2)")</f>
        <v>46322</v>
      </c>
      <c r="O230" s="282" t="str" cm="1">
        <f t="array" ref="O230">_xll.FDSB($C230,"CS_EVENT_TIME_N("&amp;$AA$18&amp;",2)")</f>
        <v>Before Market</v>
      </c>
      <c r="P230" s="282" t="str" cm="1">
        <f t="array" ref="P230">_xll.FDSB($C230,"CS_EVENT_DESC_N("&amp;$AA$18&amp;",2)")</f>
        <v>Q3 2026 Earnings Release</v>
      </c>
      <c r="Q230" s="282"/>
      <c r="R230" s="274" cm="1">
        <f t="array" ref="R230">_xll.FDSB($C230,"CS_EVENT_DATEJ_N("&amp;$AA$18&amp;",3)")</f>
        <v>46427</v>
      </c>
      <c r="S230" s="282" t="str" cm="1">
        <f t="array" ref="S230">_xll.FDSB($C230,"CS_EVENT_TIME_N("&amp;$AA$18&amp;",3)")</f>
        <v>Unspecified</v>
      </c>
      <c r="T230" s="282" t="str" cm="1">
        <f t="array" ref="T230">_xll.FDSB($C230,"CS_EVENT_DESC_N("&amp;$AA$18&amp;",3)")</f>
        <v>Q4 2026 Earnings Release (Projected)</v>
      </c>
      <c r="U230" s="282"/>
      <c r="V230" s="274" cm="1">
        <f t="array" ref="V230">_xll.FDSB($C230,"CS_EVENT_DATEJ_N("&amp;$AA$18&amp;",4)")</f>
        <v>46511</v>
      </c>
      <c r="W230" s="282" t="str" cm="1">
        <f t="array" ref="W230">_xll.FDSB($C230,"CS_EVENT_TIME_N("&amp;$AA$18&amp;",4)")</f>
        <v>Unspecified</v>
      </c>
      <c r="X230" s="282" t="str" cm="1">
        <f t="array" ref="X230">_xll.FDSB($C230,"CS_EVENT_DESC_N("&amp;$AA$18&amp;",4)")</f>
        <v>Q1 2027 Earnings Release (Projected)</v>
      </c>
    </row>
    <row r="231" spans="2:24" x14ac:dyDescent="0.15">
      <c r="B231" s="298">
        <f t="shared" si="5"/>
        <v>216</v>
      </c>
      <c r="C231" s="299" t="str">
        <v>WEC</v>
      </c>
      <c r="D231" s="300" t="str" cm="1">
        <f t="array" ref="D231">_xll.FDSB($C231,"FG_COMPANY_NAME")</f>
        <v>WEC Energy Group Inc</v>
      </c>
      <c r="E231" s="300"/>
      <c r="F231" s="274" cm="1">
        <f t="array" ref="F231">_xll.FDSB($C231,"CS_EVENT_DATEJ_N("&amp;$AA$18&amp;",1)")</f>
        <v>46232</v>
      </c>
      <c r="G231" s="282" t="str" cm="1">
        <f t="array" ref="G231">_xll.FDSB($C231,"CS_EVENT_TIME_N("&amp;$AA$18&amp;",1)")</f>
        <v>7:00 AM</v>
      </c>
      <c r="H231" s="282" t="str" cm="1">
        <f t="array" ref="H231">_xll.FDSB($C231,"CS_EVENT_DESC_N("&amp;$AA$18&amp;",1)")</f>
        <v>Q2 2026 Earnings Release</v>
      </c>
      <c r="I231" s="282"/>
      <c r="J231" s="274" t="str" cm="1">
        <f t="array" ref="J231">_xll.FDSB($C231,"CS_EVENT_DATEJ_N("&amp;$AB$18&amp;",1)")</f>
        <v/>
      </c>
      <c r="K231" s="282" t="str" cm="1">
        <f t="array" ref="K231">_xll.FDSB($C231,"CS_EVENT_TIME_N("&amp;$AB$18&amp;",1)")</f>
        <v/>
      </c>
      <c r="L231" s="282" t="str" cm="1">
        <f t="array" ref="L231">_xll.FDSB($C231,"CS_EVENT_DESC_N("&amp;$AB$18&amp;",1)")</f>
        <v/>
      </c>
      <c r="M231" s="300"/>
      <c r="N231" s="274" cm="1">
        <f t="array" ref="N231">_xll.FDSB($C231,"CS_EVENT_DATEJ_N("&amp;$AA$18&amp;",2)")</f>
        <v>46329</v>
      </c>
      <c r="O231" s="282" t="str" cm="1">
        <f t="array" ref="O231">_xll.FDSB($C231,"CS_EVENT_TIME_N("&amp;$AA$18&amp;",2)")</f>
        <v>Unspecified</v>
      </c>
      <c r="P231" s="282" t="str" cm="1">
        <f t="array" ref="P231">_xll.FDSB($C231,"CS_EVENT_DESC_N("&amp;$AA$18&amp;",2)")</f>
        <v>Q3 2026 Earnings Release (Projected)</v>
      </c>
      <c r="Q231" s="282"/>
      <c r="R231" s="274" cm="1">
        <f t="array" ref="R231">_xll.FDSB($C231,"CS_EVENT_DATEJ_N("&amp;$AA$18&amp;",3)")</f>
        <v>46422</v>
      </c>
      <c r="S231" s="282" t="str" cm="1">
        <f t="array" ref="S231">_xll.FDSB($C231,"CS_EVENT_TIME_N("&amp;$AA$18&amp;",3)")</f>
        <v>Unspecified</v>
      </c>
      <c r="T231" s="282" t="str" cm="1">
        <f t="array" ref="T231">_xll.FDSB($C231,"CS_EVENT_DESC_N("&amp;$AA$18&amp;",3)")</f>
        <v>Q4 2026 Earnings Release (Projected)</v>
      </c>
      <c r="U231" s="282"/>
      <c r="V231" s="274" cm="1">
        <f t="array" ref="V231">_xll.FDSB($C231,"CS_EVENT_DATEJ_N("&amp;$AA$18&amp;",4)")</f>
        <v>46510</v>
      </c>
      <c r="W231" s="282" t="str" cm="1">
        <f t="array" ref="W231">_xll.FDSB($C231,"CS_EVENT_TIME_N("&amp;$AA$18&amp;",4)")</f>
        <v>Unspecified</v>
      </c>
      <c r="X231" s="282" t="str" cm="1">
        <f t="array" ref="X231">_xll.FDSB($C231,"CS_EVENT_DESC_N("&amp;$AA$18&amp;",4)")</f>
        <v>Q1 2027 Earnings Release (Projected)</v>
      </c>
    </row>
    <row r="232" spans="2:24" x14ac:dyDescent="0.15">
      <c r="B232" s="298">
        <f t="shared" si="5"/>
        <v>217</v>
      </c>
      <c r="C232" s="299" t="str">
        <v>MAA</v>
      </c>
      <c r="D232" s="300" t="str" cm="1">
        <f t="array" ref="D232">_xll.FDSB($C232,"FG_COMPANY_NAME")</f>
        <v>Mid-America Apartment Communities, Inc.</v>
      </c>
      <c r="E232" s="300"/>
      <c r="F232" s="274" cm="1">
        <f t="array" ref="F232">_xll.FDSB($C232,"CS_EVENT_DATEJ_N("&amp;$AA$18&amp;",1)")</f>
        <v>46232</v>
      </c>
      <c r="G232" s="282" t="str" cm="1">
        <f t="array" ref="G232">_xll.FDSB($C232,"CS_EVENT_TIME_N("&amp;$AA$18&amp;",1)")</f>
        <v>Unspecified</v>
      </c>
      <c r="H232" s="282" t="str" cm="1">
        <f t="array" ref="H232">_xll.FDSB($C232,"CS_EVENT_DESC_N("&amp;$AA$18&amp;",1)")</f>
        <v>Q2 2026 Earnings Release (Projected)</v>
      </c>
      <c r="I232" s="282"/>
      <c r="J232" s="274" t="str" cm="1">
        <f t="array" ref="J232">_xll.FDSB($C232,"CS_EVENT_DATEJ_N("&amp;$AB$18&amp;",1)")</f>
        <v/>
      </c>
      <c r="K232" s="282" t="str" cm="1">
        <f t="array" ref="K232">_xll.FDSB($C232,"CS_EVENT_TIME_N("&amp;$AB$18&amp;",1)")</f>
        <v/>
      </c>
      <c r="L232" s="282" t="str" cm="1">
        <f t="array" ref="L232">_xll.FDSB($C232,"CS_EVENT_DESC_N("&amp;$AB$18&amp;",1)")</f>
        <v/>
      </c>
      <c r="M232" s="300"/>
      <c r="N232" s="274" cm="1">
        <f t="array" ref="N232">_xll.FDSB($C232,"CS_EVENT_DATEJ_N("&amp;$AA$18&amp;",2)")</f>
        <v>46323</v>
      </c>
      <c r="O232" s="282" t="str" cm="1">
        <f t="array" ref="O232">_xll.FDSB($C232,"CS_EVENT_TIME_N("&amp;$AA$18&amp;",2)")</f>
        <v>Unspecified</v>
      </c>
      <c r="P232" s="282" t="str" cm="1">
        <f t="array" ref="P232">_xll.FDSB($C232,"CS_EVENT_DESC_N("&amp;$AA$18&amp;",2)")</f>
        <v>Q3 2026 Earnings Release (Projected)</v>
      </c>
      <c r="Q232" s="282"/>
      <c r="R232" s="274" cm="1">
        <f t="array" ref="R232">_xll.FDSB($C232,"CS_EVENT_DATEJ_N("&amp;$AA$18&amp;",3)")</f>
        <v>46428</v>
      </c>
      <c r="S232" s="282" t="str" cm="1">
        <f t="array" ref="S232">_xll.FDSB($C232,"CS_EVENT_TIME_N("&amp;$AA$18&amp;",3)")</f>
        <v>Unspecified</v>
      </c>
      <c r="T232" s="282" t="str" cm="1">
        <f t="array" ref="T232">_xll.FDSB($C232,"CS_EVENT_DESC_N("&amp;$AA$18&amp;",3)")</f>
        <v>Q4 2026 Earnings Release (Projected)</v>
      </c>
      <c r="U232" s="282"/>
      <c r="V232" s="274" cm="1">
        <f t="array" ref="V232">_xll.FDSB($C232,"CS_EVENT_DATEJ_N("&amp;$AA$18&amp;",4)")</f>
        <v>46512</v>
      </c>
      <c r="W232" s="282" t="str" cm="1">
        <f t="array" ref="W232">_xll.FDSB($C232,"CS_EVENT_TIME_N("&amp;$AA$18&amp;",4)")</f>
        <v>Unspecified</v>
      </c>
      <c r="X232" s="282" t="str" cm="1">
        <f t="array" ref="X232">_xll.FDSB($C232,"CS_EVENT_DESC_N("&amp;$AA$18&amp;",4)")</f>
        <v>Q1 2027 Earnings Release (Projected)</v>
      </c>
    </row>
    <row r="233" spans="2:24" x14ac:dyDescent="0.15">
      <c r="B233" s="298">
        <f t="shared" si="5"/>
        <v>218</v>
      </c>
      <c r="C233" s="299" t="str">
        <v>EQIX</v>
      </c>
      <c r="D233" s="300" t="str" cm="1">
        <f t="array" ref="D233">_xll.FDSB($C233,"FG_COMPANY_NAME")</f>
        <v>Equinix, Inc.</v>
      </c>
      <c r="E233" s="300"/>
      <c r="F233" s="274" cm="1">
        <f t="array" ref="F233">_xll.FDSB($C233,"CS_EVENT_DATEJ_N("&amp;$AA$18&amp;",1)")</f>
        <v>46232</v>
      </c>
      <c r="G233" s="282" t="str" cm="1">
        <f t="array" ref="G233">_xll.FDSB($C233,"CS_EVENT_TIME_N("&amp;$AA$18&amp;",1)")</f>
        <v>Unspecified</v>
      </c>
      <c r="H233" s="282" t="str" cm="1">
        <f t="array" ref="H233">_xll.FDSB($C233,"CS_EVENT_DESC_N("&amp;$AA$18&amp;",1)")</f>
        <v>Q2 2026 Earnings Release (Projected)</v>
      </c>
      <c r="I233" s="282"/>
      <c r="J233" s="274" t="str" cm="1">
        <f t="array" ref="J233">_xll.FDSB($C233,"CS_EVENT_DATEJ_N("&amp;$AB$18&amp;",1)")</f>
        <v/>
      </c>
      <c r="K233" s="282" t="str" cm="1">
        <f t="array" ref="K233">_xll.FDSB($C233,"CS_EVENT_TIME_N("&amp;$AB$18&amp;",1)")</f>
        <v/>
      </c>
      <c r="L233" s="282" t="str" cm="1">
        <f t="array" ref="L233">_xll.FDSB($C233,"CS_EVENT_DESC_N("&amp;$AB$18&amp;",1)")</f>
        <v/>
      </c>
      <c r="M233" s="300"/>
      <c r="N233" s="274" cm="1">
        <f t="array" ref="N233">_xll.FDSB($C233,"CS_EVENT_DATEJ_N("&amp;$AA$18&amp;",2)")</f>
        <v>46330</v>
      </c>
      <c r="O233" s="282" t="str" cm="1">
        <f t="array" ref="O233">_xll.FDSB($C233,"CS_EVENT_TIME_N("&amp;$AA$18&amp;",2)")</f>
        <v>Unspecified</v>
      </c>
      <c r="P233" s="282" t="str" cm="1">
        <f t="array" ref="P233">_xll.FDSB($C233,"CS_EVENT_DESC_N("&amp;$AA$18&amp;",2)")</f>
        <v>Q3 2026 Earnings Release (Projected)</v>
      </c>
      <c r="Q233" s="282"/>
      <c r="R233" s="274" cm="1">
        <f t="array" ref="R233">_xll.FDSB($C233,"CS_EVENT_DATEJ_N("&amp;$AA$18&amp;",3)")</f>
        <v>46435</v>
      </c>
      <c r="S233" s="282" t="str" cm="1">
        <f t="array" ref="S233">_xll.FDSB($C233,"CS_EVENT_TIME_N("&amp;$AA$18&amp;",3)")</f>
        <v>Unspecified</v>
      </c>
      <c r="T233" s="282" t="str" cm="1">
        <f t="array" ref="T233">_xll.FDSB($C233,"CS_EVENT_DESC_N("&amp;$AA$18&amp;",3)")</f>
        <v>Q4 2026 Earnings Release (Projected)</v>
      </c>
      <c r="U233" s="282"/>
      <c r="V233" s="274" cm="1">
        <f t="array" ref="V233">_xll.FDSB($C233,"CS_EVENT_DATEJ_N("&amp;$AA$18&amp;",4)")</f>
        <v>46512</v>
      </c>
      <c r="W233" s="282" t="str" cm="1">
        <f t="array" ref="W233">_xll.FDSB($C233,"CS_EVENT_TIME_N("&amp;$AA$18&amp;",4)")</f>
        <v>Unspecified</v>
      </c>
      <c r="X233" s="282" t="str" cm="1">
        <f t="array" ref="X233">_xll.FDSB($C233,"CS_EVENT_DESC_N("&amp;$AA$18&amp;",4)")</f>
        <v>Q1 2027 Earnings Release (Projected)</v>
      </c>
    </row>
    <row r="234" spans="2:24" x14ac:dyDescent="0.15">
      <c r="B234" s="298">
        <f t="shared" si="5"/>
        <v>219</v>
      </c>
      <c r="C234" s="299" t="str">
        <v>BSX</v>
      </c>
      <c r="D234" s="300" t="str" cm="1">
        <f t="array" ref="D234">_xll.FDSB($C234,"FG_COMPANY_NAME")</f>
        <v>Boston Scientific Corporation</v>
      </c>
      <c r="E234" s="300"/>
      <c r="F234" s="274" cm="1">
        <f t="array" ref="F234">_xll.FDSB($C234,"CS_EVENT_DATEJ_N("&amp;$AA$18&amp;",1)")</f>
        <v>46232</v>
      </c>
      <c r="G234" s="282" t="str" cm="1">
        <f t="array" ref="G234">_xll.FDSB($C234,"CS_EVENT_TIME_N("&amp;$AA$18&amp;",1)")</f>
        <v>Unspecified</v>
      </c>
      <c r="H234" s="282" t="str" cm="1">
        <f t="array" ref="H234">_xll.FDSB($C234,"CS_EVENT_DESC_N("&amp;$AA$18&amp;",1)")</f>
        <v>Q2 2026 Earnings Release</v>
      </c>
      <c r="I234" s="282"/>
      <c r="J234" s="274" cm="1">
        <f t="array" ref="J234">_xll.FDSB($C234,"CS_EVENT_DATEJ_N("&amp;$AB$18&amp;",1)")</f>
        <v>46232</v>
      </c>
      <c r="K234" s="282" t="str" cm="1">
        <f t="array" ref="K234">_xll.FDSB($C234,"CS_EVENT_TIME_N("&amp;$AB$18&amp;",1)")</f>
        <v>8:00 AM</v>
      </c>
      <c r="L234" s="282" t="str" cm="1">
        <f t="array" ref="L234">_xll.FDSB($C234,"CS_EVENT_DESC_N("&amp;$AB$18&amp;",1)")</f>
        <v>Q2 2026 Earnings Call</v>
      </c>
      <c r="M234" s="300"/>
      <c r="N234" s="274" cm="1">
        <f t="array" ref="N234">_xll.FDSB($C234,"CS_EVENT_DATEJ_N("&amp;$AA$18&amp;",2)")</f>
        <v>46323</v>
      </c>
      <c r="O234" s="282" t="str" cm="1">
        <f t="array" ref="O234">_xll.FDSB($C234,"CS_EVENT_TIME_N("&amp;$AA$18&amp;",2)")</f>
        <v>Unspecified</v>
      </c>
      <c r="P234" s="282" t="str" cm="1">
        <f t="array" ref="P234">_xll.FDSB($C234,"CS_EVENT_DESC_N("&amp;$AA$18&amp;",2)")</f>
        <v>Q3 2026 Earnings Release (Projected)</v>
      </c>
      <c r="Q234" s="282"/>
      <c r="R234" s="274" cm="1">
        <f t="array" ref="R234">_xll.FDSB($C234,"CS_EVENT_DATEJ_N("&amp;$AA$18&amp;",3)")</f>
        <v>46421</v>
      </c>
      <c r="S234" s="282" t="str" cm="1">
        <f t="array" ref="S234">_xll.FDSB($C234,"CS_EVENT_TIME_N("&amp;$AA$18&amp;",3)")</f>
        <v>Unspecified</v>
      </c>
      <c r="T234" s="282" t="str" cm="1">
        <f t="array" ref="T234">_xll.FDSB($C234,"CS_EVENT_DESC_N("&amp;$AA$18&amp;",3)")</f>
        <v>Q4 2026 Earnings Release (Projected)</v>
      </c>
      <c r="U234" s="282"/>
      <c r="V234" s="274" cm="1">
        <f t="array" ref="V234">_xll.FDSB($C234,"CS_EVENT_DATEJ_N("&amp;$AA$18&amp;",4)")</f>
        <v>46505</v>
      </c>
      <c r="W234" s="282" t="str" cm="1">
        <f t="array" ref="W234">_xll.FDSB($C234,"CS_EVENT_TIME_N("&amp;$AA$18&amp;",4)")</f>
        <v>Unspecified</v>
      </c>
      <c r="X234" s="282" t="str" cm="1">
        <f t="array" ref="X234">_xll.FDSB($C234,"CS_EVENT_DESC_N("&amp;$AA$18&amp;",4)")</f>
        <v>Q1 2027 Earnings Release (Projected)</v>
      </c>
    </row>
    <row r="235" spans="2:24" x14ac:dyDescent="0.15">
      <c r="B235" s="298">
        <f t="shared" si="5"/>
        <v>220</v>
      </c>
      <c r="C235" s="299" t="str">
        <v>APH</v>
      </c>
      <c r="D235" s="300" t="str" cm="1">
        <f t="array" ref="D235">_xll.FDSB($C235,"FG_COMPANY_NAME")</f>
        <v>Amphenol Corporation Class A</v>
      </c>
      <c r="E235" s="300"/>
      <c r="F235" s="274" cm="1">
        <f t="array" ref="F235">_xll.FDSB($C235,"CS_EVENT_DATEJ_N("&amp;$AA$18&amp;",1)")</f>
        <v>46232</v>
      </c>
      <c r="G235" s="282" t="str" cm="1">
        <f t="array" ref="G235">_xll.FDSB($C235,"CS_EVENT_TIME_N("&amp;$AA$18&amp;",1)")</f>
        <v>Before Market</v>
      </c>
      <c r="H235" s="282" t="str" cm="1">
        <f t="array" ref="H235">_xll.FDSB($C235,"CS_EVENT_DESC_N("&amp;$AA$18&amp;",1)")</f>
        <v>Q2 2026 Earnings Release</v>
      </c>
      <c r="I235" s="282"/>
      <c r="J235" s="274" t="str" cm="1">
        <f t="array" ref="J235">_xll.FDSB($C235,"CS_EVENT_DATEJ_N("&amp;$AB$18&amp;",1)")</f>
        <v/>
      </c>
      <c r="K235" s="282" t="str" cm="1">
        <f t="array" ref="K235">_xll.FDSB($C235,"CS_EVENT_TIME_N("&amp;$AB$18&amp;",1)")</f>
        <v/>
      </c>
      <c r="L235" s="282" t="str" cm="1">
        <f t="array" ref="L235">_xll.FDSB($C235,"CS_EVENT_DESC_N("&amp;$AB$18&amp;",1)")</f>
        <v/>
      </c>
      <c r="M235" s="300"/>
      <c r="N235" s="274" cm="1">
        <f t="array" ref="N235">_xll.FDSB($C235,"CS_EVENT_DATEJ_N("&amp;$AA$18&amp;",2)")</f>
        <v>46323</v>
      </c>
      <c r="O235" s="282" t="str" cm="1">
        <f t="array" ref="O235">_xll.FDSB($C235,"CS_EVENT_TIME_N("&amp;$AA$18&amp;",2)")</f>
        <v>Before Market</v>
      </c>
      <c r="P235" s="282" t="str" cm="1">
        <f t="array" ref="P235">_xll.FDSB($C235,"CS_EVENT_DESC_N("&amp;$AA$18&amp;",2)")</f>
        <v>Q3 2026 Earnings Release</v>
      </c>
      <c r="Q235" s="282"/>
      <c r="R235" s="274" cm="1">
        <f t="array" ref="R235">_xll.FDSB($C235,"CS_EVENT_DATEJ_N("&amp;$AA$18&amp;",3)")</f>
        <v>46414</v>
      </c>
      <c r="S235" s="282" t="str" cm="1">
        <f t="array" ref="S235">_xll.FDSB($C235,"CS_EVENT_TIME_N("&amp;$AA$18&amp;",3)")</f>
        <v>Before Market</v>
      </c>
      <c r="T235" s="282" t="str" cm="1">
        <f t="array" ref="T235">_xll.FDSB($C235,"CS_EVENT_DESC_N("&amp;$AA$18&amp;",3)")</f>
        <v>Q4 2026 Earnings Release</v>
      </c>
      <c r="U235" s="282"/>
      <c r="V235" s="274" cm="1">
        <f t="array" ref="V235">_xll.FDSB($C235,"CS_EVENT_DATEJ_N("&amp;$AA$18&amp;",4)")</f>
        <v>46596</v>
      </c>
      <c r="W235" s="282" t="str" cm="1">
        <f t="array" ref="W235">_xll.FDSB($C235,"CS_EVENT_TIME_N("&amp;$AA$18&amp;",4)")</f>
        <v>Unspecified</v>
      </c>
      <c r="X235" s="282" t="str" cm="1">
        <f t="array" ref="X235">_xll.FDSB($C235,"CS_EVENT_DESC_N("&amp;$AA$18&amp;",4)")</f>
        <v>Q2 2027 Earnings Release (Projected)</v>
      </c>
    </row>
    <row r="236" spans="2:24" x14ac:dyDescent="0.15">
      <c r="B236" s="298">
        <f t="shared" si="5"/>
        <v>221</v>
      </c>
      <c r="C236" s="299" t="str">
        <v>NEM</v>
      </c>
      <c r="D236" s="300" t="str" cm="1">
        <f t="array" ref="D236">_xll.FDSB($C236,"FG_COMPANY_NAME")</f>
        <v>Newmont Corporation</v>
      </c>
      <c r="E236" s="300"/>
      <c r="F236" s="274" cm="1">
        <f t="array" ref="F236">_xll.FDSB($C236,"CS_EVENT_DATEJ_N("&amp;$AA$18&amp;",1)")</f>
        <v>46232</v>
      </c>
      <c r="G236" s="282" t="str" cm="1">
        <f t="array" ref="G236">_xll.FDSB($C236,"CS_EVENT_TIME_N("&amp;$AA$18&amp;",1)")</f>
        <v>Unspecified</v>
      </c>
      <c r="H236" s="282" t="str" cm="1">
        <f t="array" ref="H236">_xll.FDSB($C236,"CS_EVENT_DESC_N("&amp;$AA$18&amp;",1)")</f>
        <v>Q2 2026 Earnings Release (Projected)</v>
      </c>
      <c r="I236" s="282"/>
      <c r="J236" s="274" t="str" cm="1">
        <f t="array" ref="J236">_xll.FDSB($C236,"CS_EVENT_DATEJ_N("&amp;$AB$18&amp;",1)")</f>
        <v/>
      </c>
      <c r="K236" s="282" t="str" cm="1">
        <f t="array" ref="K236">_xll.FDSB($C236,"CS_EVENT_TIME_N("&amp;$AB$18&amp;",1)")</f>
        <v/>
      </c>
      <c r="L236" s="282" t="str" cm="1">
        <f t="array" ref="L236">_xll.FDSB($C236,"CS_EVENT_DESC_N("&amp;$AB$18&amp;",1)")</f>
        <v/>
      </c>
      <c r="M236" s="300"/>
      <c r="N236" s="274" cm="1">
        <f t="array" ref="N236">_xll.FDSB($C236,"CS_EVENT_DATEJ_N("&amp;$AA$18&amp;",2)")</f>
        <v>46317</v>
      </c>
      <c r="O236" s="282" t="str" cm="1">
        <f t="array" ref="O236">_xll.FDSB($C236,"CS_EVENT_TIME_N("&amp;$AA$18&amp;",2)")</f>
        <v>Unspecified</v>
      </c>
      <c r="P236" s="282" t="str" cm="1">
        <f t="array" ref="P236">_xll.FDSB($C236,"CS_EVENT_DESC_N("&amp;$AA$18&amp;",2)")</f>
        <v>Q3 2026 Earnings Release (Projected)</v>
      </c>
      <c r="Q236" s="282"/>
      <c r="R236" s="274" cm="1">
        <f t="array" ref="R236">_xll.FDSB($C236,"CS_EVENT_DATEJ_N("&amp;$AA$18&amp;",3)")</f>
        <v>46443</v>
      </c>
      <c r="S236" s="282" t="str" cm="1">
        <f t="array" ref="S236">_xll.FDSB($C236,"CS_EVENT_TIME_N("&amp;$AA$18&amp;",3)")</f>
        <v>Unspecified</v>
      </c>
      <c r="T236" s="282" t="str" cm="1">
        <f t="array" ref="T236">_xll.FDSB($C236,"CS_EVENT_DESC_N("&amp;$AA$18&amp;",3)")</f>
        <v>Q4 2026 Earnings Release (Projected)</v>
      </c>
      <c r="U236" s="282"/>
      <c r="V236" s="274" cm="1">
        <f t="array" ref="V236">_xll.FDSB($C236,"CS_EVENT_DATEJ_N("&amp;$AA$18&amp;",4)")</f>
        <v>46506</v>
      </c>
      <c r="W236" s="282" t="str" cm="1">
        <f t="array" ref="W236">_xll.FDSB($C236,"CS_EVENT_TIME_N("&amp;$AA$18&amp;",4)")</f>
        <v>Unspecified</v>
      </c>
      <c r="X236" s="282" t="str" cm="1">
        <f t="array" ref="X236">_xll.FDSB($C236,"CS_EVENT_DESC_N("&amp;$AA$18&amp;",4)")</f>
        <v>Q1 2027 Earnings Release (Projected)</v>
      </c>
    </row>
    <row r="237" spans="2:24" x14ac:dyDescent="0.15">
      <c r="B237" s="298">
        <f t="shared" si="5"/>
        <v>222</v>
      </c>
      <c r="C237" s="299" t="str">
        <v>FISV</v>
      </c>
      <c r="D237" s="300" t="str" cm="1">
        <f t="array" ref="D237">_xll.FDSB($C237,"FG_COMPANY_NAME")</f>
        <v>Fiserv, Inc.</v>
      </c>
      <c r="E237" s="300"/>
      <c r="F237" s="274" cm="1">
        <f t="array" ref="F237">_xll.FDSB($C237,"CS_EVENT_DATEJ_N("&amp;$AA$18&amp;",1)")</f>
        <v>46232</v>
      </c>
      <c r="G237" s="282" t="str" cm="1">
        <f t="array" ref="G237">_xll.FDSB($C237,"CS_EVENT_TIME_N("&amp;$AA$18&amp;",1)")</f>
        <v>Unspecified</v>
      </c>
      <c r="H237" s="282" t="str" cm="1">
        <f t="array" ref="H237">_xll.FDSB($C237,"CS_EVENT_DESC_N("&amp;$AA$18&amp;",1)")</f>
        <v>Q2 2026 Earnings Release (Projected)</v>
      </c>
      <c r="I237" s="282"/>
      <c r="J237" s="274" t="str" cm="1">
        <f t="array" ref="J237">_xll.FDSB($C237,"CS_EVENT_DATEJ_N("&amp;$AB$18&amp;",1)")</f>
        <v/>
      </c>
      <c r="K237" s="282" t="str" cm="1">
        <f t="array" ref="K237">_xll.FDSB($C237,"CS_EVENT_TIME_N("&amp;$AB$18&amp;",1)")</f>
        <v/>
      </c>
      <c r="L237" s="282" t="str" cm="1">
        <f t="array" ref="L237">_xll.FDSB($C237,"CS_EVENT_DESC_N("&amp;$AB$18&amp;",1)")</f>
        <v/>
      </c>
      <c r="M237" s="300"/>
      <c r="N237" s="274" cm="1">
        <f t="array" ref="N237">_xll.FDSB($C237,"CS_EVENT_DATEJ_N("&amp;$AA$18&amp;",2)")</f>
        <v>46322</v>
      </c>
      <c r="O237" s="282" t="str" cm="1">
        <f t="array" ref="O237">_xll.FDSB($C237,"CS_EVENT_TIME_N("&amp;$AA$18&amp;",2)")</f>
        <v>Unspecified</v>
      </c>
      <c r="P237" s="282" t="str" cm="1">
        <f t="array" ref="P237">_xll.FDSB($C237,"CS_EVENT_DESC_N("&amp;$AA$18&amp;",2)")</f>
        <v>Q3 2026 Earnings Release (Projected)</v>
      </c>
      <c r="Q237" s="282"/>
      <c r="R237" s="274" cm="1">
        <f t="array" ref="R237">_xll.FDSB($C237,"CS_EVENT_DATEJ_N("&amp;$AA$18&amp;",3)")</f>
        <v>46427</v>
      </c>
      <c r="S237" s="282" t="str" cm="1">
        <f t="array" ref="S237">_xll.FDSB($C237,"CS_EVENT_TIME_N("&amp;$AA$18&amp;",3)")</f>
        <v>Unspecified</v>
      </c>
      <c r="T237" s="282" t="str" cm="1">
        <f t="array" ref="T237">_xll.FDSB($C237,"CS_EVENT_DESC_N("&amp;$AA$18&amp;",3)")</f>
        <v>Q4 2026 Earnings Release (Projected)</v>
      </c>
      <c r="U237" s="282"/>
      <c r="V237" s="274" cm="1">
        <f t="array" ref="V237">_xll.FDSB($C237,"CS_EVENT_DATEJ_N("&amp;$AA$18&amp;",4)")</f>
        <v>46504</v>
      </c>
      <c r="W237" s="282" t="str" cm="1">
        <f t="array" ref="W237">_xll.FDSB($C237,"CS_EVENT_TIME_N("&amp;$AA$18&amp;",4)")</f>
        <v>Unspecified</v>
      </c>
      <c r="X237" s="282" t="str" cm="1">
        <f t="array" ref="X237">_xll.FDSB($C237,"CS_EVENT_DESC_N("&amp;$AA$18&amp;",4)")</f>
        <v>Q1 2027 Earnings Release (Projected)</v>
      </c>
    </row>
    <row r="238" spans="2:24" x14ac:dyDescent="0.15">
      <c r="B238" s="298">
        <f t="shared" si="5"/>
        <v>223</v>
      </c>
      <c r="C238" s="299" t="str">
        <v>ODFL</v>
      </c>
      <c r="D238" s="300" t="str" cm="1">
        <f t="array" ref="D238">_xll.FDSB($C238,"FG_COMPANY_NAME")</f>
        <v>Old Dominion Freight Line, Inc.</v>
      </c>
      <c r="E238" s="300"/>
      <c r="F238" s="274" cm="1">
        <f t="array" ref="F238">_xll.FDSB($C238,"CS_EVENT_DATEJ_N("&amp;$AA$18&amp;",1)")</f>
        <v>46232</v>
      </c>
      <c r="G238" s="282" t="str" cm="1">
        <f t="array" ref="G238">_xll.FDSB($C238,"CS_EVENT_TIME_N("&amp;$AA$18&amp;",1)")</f>
        <v>Unspecified</v>
      </c>
      <c r="H238" s="282" t="str" cm="1">
        <f t="array" ref="H238">_xll.FDSB($C238,"CS_EVENT_DESC_N("&amp;$AA$18&amp;",1)")</f>
        <v>Q2 2026 Earnings Release (Projected)</v>
      </c>
      <c r="I238" s="282"/>
      <c r="J238" s="274" t="str" cm="1">
        <f t="array" ref="J238">_xll.FDSB($C238,"CS_EVENT_DATEJ_N("&amp;$AB$18&amp;",1)")</f>
        <v/>
      </c>
      <c r="K238" s="282" t="str" cm="1">
        <f t="array" ref="K238">_xll.FDSB($C238,"CS_EVENT_TIME_N("&amp;$AB$18&amp;",1)")</f>
        <v/>
      </c>
      <c r="L238" s="282" t="str" cm="1">
        <f t="array" ref="L238">_xll.FDSB($C238,"CS_EVENT_DESC_N("&amp;$AB$18&amp;",1)")</f>
        <v/>
      </c>
      <c r="M238" s="300"/>
      <c r="N238" s="274" cm="1">
        <f t="array" ref="N238">_xll.FDSB($C238,"CS_EVENT_DATEJ_N("&amp;$AA$18&amp;",2)")</f>
        <v>46323</v>
      </c>
      <c r="O238" s="282" t="str" cm="1">
        <f t="array" ref="O238">_xll.FDSB($C238,"CS_EVENT_TIME_N("&amp;$AA$18&amp;",2)")</f>
        <v>Unspecified</v>
      </c>
      <c r="P238" s="282" t="str" cm="1">
        <f t="array" ref="P238">_xll.FDSB($C238,"CS_EVENT_DESC_N("&amp;$AA$18&amp;",2)")</f>
        <v>Q3 2026 Earnings Release (Projected)</v>
      </c>
      <c r="Q238" s="282"/>
      <c r="R238" s="274" cm="1">
        <f t="array" ref="R238">_xll.FDSB($C238,"CS_EVENT_DATEJ_N("&amp;$AA$18&amp;",3)")</f>
        <v>46421</v>
      </c>
      <c r="S238" s="282" t="str" cm="1">
        <f t="array" ref="S238">_xll.FDSB($C238,"CS_EVENT_TIME_N("&amp;$AA$18&amp;",3)")</f>
        <v>Unspecified</v>
      </c>
      <c r="T238" s="282" t="str" cm="1">
        <f t="array" ref="T238">_xll.FDSB($C238,"CS_EVENT_DESC_N("&amp;$AA$18&amp;",3)")</f>
        <v>Q4 2026 Earnings Release (Projected)</v>
      </c>
      <c r="U238" s="282"/>
      <c r="V238" s="274" cm="1">
        <f t="array" ref="V238">_xll.FDSB($C238,"CS_EVENT_DATEJ_N("&amp;$AA$18&amp;",4)")</f>
        <v>46505</v>
      </c>
      <c r="W238" s="282" t="str" cm="1">
        <f t="array" ref="W238">_xll.FDSB($C238,"CS_EVENT_TIME_N("&amp;$AA$18&amp;",4)")</f>
        <v>Unspecified</v>
      </c>
      <c r="X238" s="282" t="str" cm="1">
        <f t="array" ref="X238">_xll.FDSB($C238,"CS_EVENT_DESC_N("&amp;$AA$18&amp;",4)")</f>
        <v>Q1 2027 Earnings Release (Projected)</v>
      </c>
    </row>
    <row r="239" spans="2:24" x14ac:dyDescent="0.15">
      <c r="B239" s="298">
        <f t="shared" si="5"/>
        <v>224</v>
      </c>
      <c r="C239" s="299" t="str">
        <v>ALGN</v>
      </c>
      <c r="D239" s="300" t="str" cm="1">
        <f t="array" ref="D239">_xll.FDSB($C239,"FG_COMPANY_NAME")</f>
        <v>Align Technology, Inc.</v>
      </c>
      <c r="E239" s="300"/>
      <c r="F239" s="274" cm="1">
        <f t="array" ref="F239">_xll.FDSB($C239,"CS_EVENT_DATEJ_N("&amp;$AA$18&amp;",1)")</f>
        <v>46232</v>
      </c>
      <c r="G239" s="282" t="str" cm="1">
        <f t="array" ref="G239">_xll.FDSB($C239,"CS_EVENT_TIME_N("&amp;$AA$18&amp;",1)")</f>
        <v>Unspecified</v>
      </c>
      <c r="H239" s="282" t="str" cm="1">
        <f t="array" ref="H239">_xll.FDSB($C239,"CS_EVENT_DESC_N("&amp;$AA$18&amp;",1)")</f>
        <v>Q2 2026 Earnings Release</v>
      </c>
      <c r="I239" s="282"/>
      <c r="J239" s="274" t="str" cm="1">
        <f t="array" ref="J239">_xll.FDSB($C239,"CS_EVENT_DATEJ_N("&amp;$AB$18&amp;",1)")</f>
        <v/>
      </c>
      <c r="K239" s="282" t="str" cm="1">
        <f t="array" ref="K239">_xll.FDSB($C239,"CS_EVENT_TIME_N("&amp;$AB$18&amp;",1)")</f>
        <v/>
      </c>
      <c r="L239" s="282" t="str" cm="1">
        <f t="array" ref="L239">_xll.FDSB($C239,"CS_EVENT_DESC_N("&amp;$AB$18&amp;",1)")</f>
        <v/>
      </c>
      <c r="M239" s="300"/>
      <c r="N239" s="274" cm="1">
        <f t="array" ref="N239">_xll.FDSB($C239,"CS_EVENT_DATEJ_N("&amp;$AA$18&amp;",2)")</f>
        <v>46323</v>
      </c>
      <c r="O239" s="282" t="str" cm="1">
        <f t="array" ref="O239">_xll.FDSB($C239,"CS_EVENT_TIME_N("&amp;$AA$18&amp;",2)")</f>
        <v>Unspecified</v>
      </c>
      <c r="P239" s="282" t="str" cm="1">
        <f t="array" ref="P239">_xll.FDSB($C239,"CS_EVENT_DESC_N("&amp;$AA$18&amp;",2)")</f>
        <v>Q3 2026 Earnings Release</v>
      </c>
      <c r="Q239" s="282"/>
      <c r="R239" s="274" cm="1">
        <f t="array" ref="R239">_xll.FDSB($C239,"CS_EVENT_DATEJ_N("&amp;$AA$18&amp;",3)")</f>
        <v>46421</v>
      </c>
      <c r="S239" s="282" t="str" cm="1">
        <f t="array" ref="S239">_xll.FDSB($C239,"CS_EVENT_TIME_N("&amp;$AA$18&amp;",3)")</f>
        <v>Unspecified</v>
      </c>
      <c r="T239" s="282" t="str" cm="1">
        <f t="array" ref="T239">_xll.FDSB($C239,"CS_EVENT_DESC_N("&amp;$AA$18&amp;",3)")</f>
        <v>Q4 2026 Earnings Release</v>
      </c>
      <c r="U239" s="282"/>
      <c r="V239" s="274" cm="1">
        <f t="array" ref="V239">_xll.FDSB($C239,"CS_EVENT_DATEJ_N("&amp;$AA$18&amp;",4)")</f>
        <v>46505</v>
      </c>
      <c r="W239" s="282" t="str" cm="1">
        <f t="array" ref="W239">_xll.FDSB($C239,"CS_EVENT_TIME_N("&amp;$AA$18&amp;",4)")</f>
        <v>Unspecified</v>
      </c>
      <c r="X239" s="282" t="str" cm="1">
        <f t="array" ref="X239">_xll.FDSB($C239,"CS_EVENT_DESC_N("&amp;$AA$18&amp;",4)")</f>
        <v>Q1 2027 Earnings Release (Projected)</v>
      </c>
    </row>
    <row r="240" spans="2:24" x14ac:dyDescent="0.15">
      <c r="B240" s="298">
        <f t="shared" si="5"/>
        <v>225</v>
      </c>
      <c r="C240" s="299" t="str">
        <v>GD</v>
      </c>
      <c r="D240" s="300" t="str" cm="1">
        <f t="array" ref="D240">_xll.FDSB($C240,"FG_COMPANY_NAME")</f>
        <v>General Dynamics Corporation</v>
      </c>
      <c r="E240" s="300"/>
      <c r="F240" s="274" cm="1">
        <f t="array" ref="F240">_xll.FDSB($C240,"CS_EVENT_DATEJ_N("&amp;$AA$18&amp;",1)")</f>
        <v>46232</v>
      </c>
      <c r="G240" s="282" t="str" cm="1">
        <f t="array" ref="G240">_xll.FDSB($C240,"CS_EVENT_TIME_N("&amp;$AA$18&amp;",1)")</f>
        <v>Unspecified</v>
      </c>
      <c r="H240" s="282" t="str" cm="1">
        <f t="array" ref="H240">_xll.FDSB($C240,"CS_EVENT_DESC_N("&amp;$AA$18&amp;",1)")</f>
        <v>Q2 2026 Earnings Release (Projected)</v>
      </c>
      <c r="I240" s="282"/>
      <c r="J240" s="274" t="str" cm="1">
        <f t="array" ref="J240">_xll.FDSB($C240,"CS_EVENT_DATEJ_N("&amp;$AB$18&amp;",1)")</f>
        <v/>
      </c>
      <c r="K240" s="282" t="str" cm="1">
        <f t="array" ref="K240">_xll.FDSB($C240,"CS_EVENT_TIME_N("&amp;$AB$18&amp;",1)")</f>
        <v/>
      </c>
      <c r="L240" s="282" t="str" cm="1">
        <f t="array" ref="L240">_xll.FDSB($C240,"CS_EVENT_DESC_N("&amp;$AB$18&amp;",1)")</f>
        <v/>
      </c>
      <c r="M240" s="300"/>
      <c r="N240" s="274" cm="1">
        <f t="array" ref="N240">_xll.FDSB($C240,"CS_EVENT_DATEJ_N("&amp;$AA$18&amp;",2)")</f>
        <v>46323</v>
      </c>
      <c r="O240" s="282" t="str" cm="1">
        <f t="array" ref="O240">_xll.FDSB($C240,"CS_EVENT_TIME_N("&amp;$AA$18&amp;",2)")</f>
        <v>Unspecified</v>
      </c>
      <c r="P240" s="282" t="str" cm="1">
        <f t="array" ref="P240">_xll.FDSB($C240,"CS_EVENT_DESC_N("&amp;$AA$18&amp;",2)")</f>
        <v>Q3 2026 Earnings Release (Projected)</v>
      </c>
      <c r="Q240" s="282"/>
      <c r="R240" s="274" cm="1">
        <f t="array" ref="R240">_xll.FDSB($C240,"CS_EVENT_DATEJ_N("&amp;$AA$18&amp;",3)")</f>
        <v>46414</v>
      </c>
      <c r="S240" s="282" t="str" cm="1">
        <f t="array" ref="S240">_xll.FDSB($C240,"CS_EVENT_TIME_N("&amp;$AA$18&amp;",3)")</f>
        <v>Unspecified</v>
      </c>
      <c r="T240" s="282" t="str" cm="1">
        <f t="array" ref="T240">_xll.FDSB($C240,"CS_EVENT_DESC_N("&amp;$AA$18&amp;",3)")</f>
        <v>Q4 2026 Earnings Release (Projected)</v>
      </c>
      <c r="U240" s="282"/>
      <c r="V240" s="274" cm="1">
        <f t="array" ref="V240">_xll.FDSB($C240,"CS_EVENT_DATEJ_N("&amp;$AA$18&amp;",4)")</f>
        <v>46505</v>
      </c>
      <c r="W240" s="282" t="str" cm="1">
        <f t="array" ref="W240">_xll.FDSB($C240,"CS_EVENT_TIME_N("&amp;$AA$18&amp;",4)")</f>
        <v>Unspecified</v>
      </c>
      <c r="X240" s="282" t="str" cm="1">
        <f t="array" ref="X240">_xll.FDSB($C240,"CS_EVENT_DESC_N("&amp;$AA$18&amp;",4)")</f>
        <v>Q1 2027 Earnings Release (Projected)</v>
      </c>
    </row>
    <row r="241" spans="2:24" x14ac:dyDescent="0.15">
      <c r="B241" s="298">
        <f t="shared" si="5"/>
        <v>226</v>
      </c>
      <c r="C241" s="299" t="str">
        <v>EG</v>
      </c>
      <c r="D241" s="300" t="str" cm="1">
        <f t="array" ref="D241">_xll.FDSB($C241,"FG_COMPANY_NAME")</f>
        <v>Everest Group, Ltd.</v>
      </c>
      <c r="E241" s="300"/>
      <c r="F241" s="274" cm="1">
        <f t="array" ref="F241">_xll.FDSB($C241,"CS_EVENT_DATEJ_N("&amp;$AA$18&amp;",1)")</f>
        <v>46232</v>
      </c>
      <c r="G241" s="282" t="str" cm="1">
        <f t="array" ref="G241">_xll.FDSB($C241,"CS_EVENT_TIME_N("&amp;$AA$18&amp;",1)")</f>
        <v>Unspecified</v>
      </c>
      <c r="H241" s="282" t="str" cm="1">
        <f t="array" ref="H241">_xll.FDSB($C241,"CS_EVENT_DESC_N("&amp;$AA$18&amp;",1)")</f>
        <v>Q2 2026 Earnings Release (Projected)</v>
      </c>
      <c r="I241" s="282"/>
      <c r="J241" s="274" t="str" cm="1">
        <f t="array" ref="J241">_xll.FDSB($C241,"CS_EVENT_DATEJ_N("&amp;$AB$18&amp;",1)")</f>
        <v/>
      </c>
      <c r="K241" s="282" t="str" cm="1">
        <f t="array" ref="K241">_xll.FDSB($C241,"CS_EVENT_TIME_N("&amp;$AB$18&amp;",1)")</f>
        <v/>
      </c>
      <c r="L241" s="282" t="str" cm="1">
        <f t="array" ref="L241">_xll.FDSB($C241,"CS_EVENT_DESC_N("&amp;$AB$18&amp;",1)")</f>
        <v/>
      </c>
      <c r="M241" s="300"/>
      <c r="N241" s="274" cm="1">
        <f t="array" ref="N241">_xll.FDSB($C241,"CS_EVENT_DATEJ_N("&amp;$AA$18&amp;",2)")</f>
        <v>46323</v>
      </c>
      <c r="O241" s="282" t="str" cm="1">
        <f t="array" ref="O241">_xll.FDSB($C241,"CS_EVENT_TIME_N("&amp;$AA$18&amp;",2)")</f>
        <v>Unspecified</v>
      </c>
      <c r="P241" s="282" t="str" cm="1">
        <f t="array" ref="P241">_xll.FDSB($C241,"CS_EVENT_DESC_N("&amp;$AA$18&amp;",2)")</f>
        <v>Q3 2026 Earnings Release (Projected)</v>
      </c>
      <c r="Q241" s="282"/>
      <c r="R241" s="274" cm="1">
        <f t="array" ref="R241">_xll.FDSB($C241,"CS_EVENT_DATEJ_N("&amp;$AA$18&amp;",3)")</f>
        <v>46428</v>
      </c>
      <c r="S241" s="282" t="str" cm="1">
        <f t="array" ref="S241">_xll.FDSB($C241,"CS_EVENT_TIME_N("&amp;$AA$18&amp;",3)")</f>
        <v>Unspecified</v>
      </c>
      <c r="T241" s="282" t="str" cm="1">
        <f t="array" ref="T241">_xll.FDSB($C241,"CS_EVENT_DESC_N("&amp;$AA$18&amp;",3)")</f>
        <v>Q4 2026 Earnings Release (Projected)</v>
      </c>
      <c r="U241" s="282"/>
      <c r="V241" s="274" cm="1">
        <f t="array" ref="V241">_xll.FDSB($C241,"CS_EVENT_DATEJ_N("&amp;$AA$18&amp;",4)")</f>
        <v>46510</v>
      </c>
      <c r="W241" s="282" t="str" cm="1">
        <f t="array" ref="W241">_xll.FDSB($C241,"CS_EVENT_TIME_N("&amp;$AA$18&amp;",4)")</f>
        <v>Unspecified</v>
      </c>
      <c r="X241" s="282" t="str" cm="1">
        <f t="array" ref="X241">_xll.FDSB($C241,"CS_EVENT_DESC_N("&amp;$AA$18&amp;",4)")</f>
        <v>Q1 2027 Earnings Release (Projected)</v>
      </c>
    </row>
    <row r="242" spans="2:24" x14ac:dyDescent="0.15">
      <c r="B242" s="298">
        <f t="shared" si="5"/>
        <v>227</v>
      </c>
      <c r="C242" s="299" t="str">
        <v>FIX</v>
      </c>
      <c r="D242" s="300" t="str" cm="1">
        <f t="array" ref="D242">_xll.FDSB($C242,"FG_COMPANY_NAME")</f>
        <v>Comfort Systems USA, Inc.</v>
      </c>
      <c r="E242" s="300"/>
      <c r="F242" s="274" cm="1">
        <f t="array" ref="F242">_xll.FDSB($C242,"CS_EVENT_DATEJ_N("&amp;$AA$18&amp;",1)")</f>
        <v>46232</v>
      </c>
      <c r="G242" s="282" t="str" cm="1">
        <f t="array" ref="G242">_xll.FDSB($C242,"CS_EVENT_TIME_N("&amp;$AA$18&amp;",1)")</f>
        <v>Unspecified</v>
      </c>
      <c r="H242" s="282" t="str" cm="1">
        <f t="array" ref="H242">_xll.FDSB($C242,"CS_EVENT_DESC_N("&amp;$AA$18&amp;",1)")</f>
        <v>Q2 2026 Earnings Release (Projected)</v>
      </c>
      <c r="I242" s="282"/>
      <c r="J242" s="274" t="str" cm="1">
        <f t="array" ref="J242">_xll.FDSB($C242,"CS_EVENT_DATEJ_N("&amp;$AB$18&amp;",1)")</f>
        <v/>
      </c>
      <c r="K242" s="282" t="str" cm="1">
        <f t="array" ref="K242">_xll.FDSB($C242,"CS_EVENT_TIME_N("&amp;$AB$18&amp;",1)")</f>
        <v/>
      </c>
      <c r="L242" s="282" t="str" cm="1">
        <f t="array" ref="L242">_xll.FDSB($C242,"CS_EVENT_DESC_N("&amp;$AB$18&amp;",1)")</f>
        <v/>
      </c>
      <c r="M242" s="300"/>
      <c r="N242" s="274" cm="1">
        <f t="array" ref="N242">_xll.FDSB($C242,"CS_EVENT_DATEJ_N("&amp;$AA$18&amp;",2)")</f>
        <v>46317</v>
      </c>
      <c r="O242" s="282" t="str" cm="1">
        <f t="array" ref="O242">_xll.FDSB($C242,"CS_EVENT_TIME_N("&amp;$AA$18&amp;",2)")</f>
        <v>Unspecified</v>
      </c>
      <c r="P242" s="282" t="str" cm="1">
        <f t="array" ref="P242">_xll.FDSB($C242,"CS_EVENT_DESC_N("&amp;$AA$18&amp;",2)")</f>
        <v>Q3 2026 Earnings Release (Projected)</v>
      </c>
      <c r="Q242" s="282"/>
      <c r="R242" s="274" cm="1">
        <f t="array" ref="R242">_xll.FDSB($C242,"CS_EVENT_DATEJ_N("&amp;$AA$18&amp;",3)")</f>
        <v>46443</v>
      </c>
      <c r="S242" s="282" t="str" cm="1">
        <f t="array" ref="S242">_xll.FDSB($C242,"CS_EVENT_TIME_N("&amp;$AA$18&amp;",3)")</f>
        <v>Unspecified</v>
      </c>
      <c r="T242" s="282" t="str" cm="1">
        <f t="array" ref="T242">_xll.FDSB($C242,"CS_EVENT_DESC_N("&amp;$AA$18&amp;",3)")</f>
        <v>Q4 2026 Earnings Release (Projected)</v>
      </c>
      <c r="U242" s="282"/>
      <c r="V242" s="274" cm="1">
        <f t="array" ref="V242">_xll.FDSB($C242,"CS_EVENT_DATEJ_N("&amp;$AA$18&amp;",4)")</f>
        <v>46505</v>
      </c>
      <c r="W242" s="282" t="str" cm="1">
        <f t="array" ref="W242">_xll.FDSB($C242,"CS_EVENT_TIME_N("&amp;$AA$18&amp;",4)")</f>
        <v>Unspecified</v>
      </c>
      <c r="X242" s="282" t="str" cm="1">
        <f t="array" ref="X242">_xll.FDSB($C242,"CS_EVENT_DESC_N("&amp;$AA$18&amp;",4)")</f>
        <v>Q1 2027 Earnings Release (Projected)</v>
      </c>
    </row>
    <row r="243" spans="2:24" x14ac:dyDescent="0.15">
      <c r="B243" s="298">
        <f t="shared" si="5"/>
        <v>228</v>
      </c>
      <c r="C243" s="299" t="str">
        <v>CINF</v>
      </c>
      <c r="D243" s="300" t="str" cm="1">
        <f t="array" ref="D243">_xll.FDSB($C243,"FG_COMPANY_NAME")</f>
        <v>Cincinnati Financial Corporation</v>
      </c>
      <c r="E243" s="300"/>
      <c r="F243" s="274" cm="1">
        <f t="array" ref="F243">_xll.FDSB($C243,"CS_EVENT_DATEJ_N("&amp;$AA$18&amp;",1)")</f>
        <v>46232</v>
      </c>
      <c r="G243" s="282" t="str" cm="1">
        <f t="array" ref="G243">_xll.FDSB($C243,"CS_EVENT_TIME_N("&amp;$AA$18&amp;",1)")</f>
        <v>Unspecified</v>
      </c>
      <c r="H243" s="282" t="str" cm="1">
        <f t="array" ref="H243">_xll.FDSB($C243,"CS_EVENT_DESC_N("&amp;$AA$18&amp;",1)")</f>
        <v>Q2 2026 Earnings Release (Projected)</v>
      </c>
      <c r="I243" s="282"/>
      <c r="J243" s="274" t="str" cm="1">
        <f t="array" ref="J243">_xll.FDSB($C243,"CS_EVENT_DATEJ_N("&amp;$AB$18&amp;",1)")</f>
        <v/>
      </c>
      <c r="K243" s="282" t="str" cm="1">
        <f t="array" ref="K243">_xll.FDSB($C243,"CS_EVENT_TIME_N("&amp;$AB$18&amp;",1)")</f>
        <v/>
      </c>
      <c r="L243" s="282" t="str" cm="1">
        <f t="array" ref="L243">_xll.FDSB($C243,"CS_EVENT_DESC_N("&amp;$AB$18&amp;",1)")</f>
        <v/>
      </c>
      <c r="M243" s="300"/>
      <c r="N243" s="274" cm="1">
        <f t="array" ref="N243">_xll.FDSB($C243,"CS_EVENT_DATEJ_N("&amp;$AA$18&amp;",2)")</f>
        <v>46317</v>
      </c>
      <c r="O243" s="282" t="str" cm="1">
        <f t="array" ref="O243">_xll.FDSB($C243,"CS_EVENT_TIME_N("&amp;$AA$18&amp;",2)")</f>
        <v>Unspecified</v>
      </c>
      <c r="P243" s="282" t="str" cm="1">
        <f t="array" ref="P243">_xll.FDSB($C243,"CS_EVENT_DESC_N("&amp;$AA$18&amp;",2)")</f>
        <v>Q3 2026 Earnings Release (Projected)</v>
      </c>
      <c r="Q243" s="282"/>
      <c r="R243" s="274" cm="1">
        <f t="array" ref="R243">_xll.FDSB($C243,"CS_EVENT_DATEJ_N("&amp;$AA$18&amp;",3)")</f>
        <v>46433</v>
      </c>
      <c r="S243" s="282" t="str" cm="1">
        <f t="array" ref="S243">_xll.FDSB($C243,"CS_EVENT_TIME_N("&amp;$AA$18&amp;",3)")</f>
        <v>Unspecified</v>
      </c>
      <c r="T243" s="282" t="str" cm="1">
        <f t="array" ref="T243">_xll.FDSB($C243,"CS_EVENT_DESC_N("&amp;$AA$18&amp;",3)")</f>
        <v>Q4 2026 Earnings Release (Projected)</v>
      </c>
      <c r="U243" s="282"/>
      <c r="V243" s="274" cm="1">
        <f t="array" ref="V243">_xll.FDSB($C243,"CS_EVENT_DATEJ_N("&amp;$AA$18&amp;",4)")</f>
        <v>46506</v>
      </c>
      <c r="W243" s="282" t="str" cm="1">
        <f t="array" ref="W243">_xll.FDSB($C243,"CS_EVENT_TIME_N("&amp;$AA$18&amp;",4)")</f>
        <v>Unspecified</v>
      </c>
      <c r="X243" s="282" t="str" cm="1">
        <f t="array" ref="X243">_xll.FDSB($C243,"CS_EVENT_DESC_N("&amp;$AA$18&amp;",4)")</f>
        <v>Q1 2027 Earnings Release (Projected)</v>
      </c>
    </row>
    <row r="244" spans="2:24" x14ac:dyDescent="0.15">
      <c r="B244" s="298">
        <f t="shared" si="5"/>
        <v>229</v>
      </c>
      <c r="C244" s="299" t="str">
        <v>ROL</v>
      </c>
      <c r="D244" s="300" t="str" cm="1">
        <f t="array" ref="D244">_xll.FDSB($C244,"FG_COMPANY_NAME")</f>
        <v>Rollins, Inc.</v>
      </c>
      <c r="E244" s="300"/>
      <c r="F244" s="274" cm="1">
        <f t="array" ref="F244">_xll.FDSB($C244,"CS_EVENT_DATEJ_N("&amp;$AA$18&amp;",1)")</f>
        <v>46232</v>
      </c>
      <c r="G244" s="282" t="str" cm="1">
        <f t="array" ref="G244">_xll.FDSB($C244,"CS_EVENT_TIME_N("&amp;$AA$18&amp;",1)")</f>
        <v>Unspecified</v>
      </c>
      <c r="H244" s="282" t="str" cm="1">
        <f t="array" ref="H244">_xll.FDSB($C244,"CS_EVENT_DESC_N("&amp;$AA$18&amp;",1)")</f>
        <v>Q2 2026 Earnings Release (Projected)</v>
      </c>
      <c r="I244" s="282"/>
      <c r="J244" s="274" t="str" cm="1">
        <f t="array" ref="J244">_xll.FDSB($C244,"CS_EVENT_DATEJ_N("&amp;$AB$18&amp;",1)")</f>
        <v/>
      </c>
      <c r="K244" s="282" t="str" cm="1">
        <f t="array" ref="K244">_xll.FDSB($C244,"CS_EVENT_TIME_N("&amp;$AB$18&amp;",1)")</f>
        <v/>
      </c>
      <c r="L244" s="282" t="str" cm="1">
        <f t="array" ref="L244">_xll.FDSB($C244,"CS_EVENT_DESC_N("&amp;$AB$18&amp;",1)")</f>
        <v/>
      </c>
      <c r="M244" s="300"/>
      <c r="N244" s="274" cm="1">
        <f t="array" ref="N244">_xll.FDSB($C244,"CS_EVENT_DATEJ_N("&amp;$AA$18&amp;",2)")</f>
        <v>46323</v>
      </c>
      <c r="O244" s="282" t="str" cm="1">
        <f t="array" ref="O244">_xll.FDSB($C244,"CS_EVENT_TIME_N("&amp;$AA$18&amp;",2)")</f>
        <v>Unspecified</v>
      </c>
      <c r="P244" s="282" t="str" cm="1">
        <f t="array" ref="P244">_xll.FDSB($C244,"CS_EVENT_DESC_N("&amp;$AA$18&amp;",2)")</f>
        <v>Q3 2026 Earnings Release (Projected)</v>
      </c>
      <c r="Q244" s="282"/>
      <c r="R244" s="274" cm="1">
        <f t="array" ref="R244">_xll.FDSB($C244,"CS_EVENT_DATEJ_N("&amp;$AA$18&amp;",3)")</f>
        <v>46435</v>
      </c>
      <c r="S244" s="282" t="str" cm="1">
        <f t="array" ref="S244">_xll.FDSB($C244,"CS_EVENT_TIME_N("&amp;$AA$18&amp;",3)")</f>
        <v>Unspecified</v>
      </c>
      <c r="T244" s="282" t="str" cm="1">
        <f t="array" ref="T244">_xll.FDSB($C244,"CS_EVENT_DESC_N("&amp;$AA$18&amp;",3)")</f>
        <v>Q4 2026 Earnings Release (Projected)</v>
      </c>
      <c r="U244" s="282"/>
      <c r="V244" s="274" cm="1">
        <f t="array" ref="V244">_xll.FDSB($C244,"CS_EVENT_DATEJ_N("&amp;$AA$18&amp;",4)")</f>
        <v>46505</v>
      </c>
      <c r="W244" s="282" t="str" cm="1">
        <f t="array" ref="W244">_xll.FDSB($C244,"CS_EVENT_TIME_N("&amp;$AA$18&amp;",4)")</f>
        <v>Unspecified</v>
      </c>
      <c r="X244" s="282" t="str" cm="1">
        <f t="array" ref="X244">_xll.FDSB($C244,"CS_EVENT_DESC_N("&amp;$AA$18&amp;",4)")</f>
        <v>Q1 2027 Earnings Release (Projected)</v>
      </c>
    </row>
    <row r="245" spans="2:24" x14ac:dyDescent="0.15">
      <c r="B245" s="298">
        <f t="shared" si="5"/>
        <v>230</v>
      </c>
      <c r="C245" s="299" t="str">
        <v>TDY</v>
      </c>
      <c r="D245" s="300" t="str" cm="1">
        <f t="array" ref="D245">_xll.FDSB($C245,"FG_COMPANY_NAME")</f>
        <v>Teledyne Technologies Incorporated</v>
      </c>
      <c r="E245" s="300"/>
      <c r="F245" s="274" cm="1">
        <f t="array" ref="F245">_xll.FDSB($C245,"CS_EVENT_DATEJ_N("&amp;$AA$18&amp;",1)")</f>
        <v>46232</v>
      </c>
      <c r="G245" s="282" t="str" cm="1">
        <f t="array" ref="G245">_xll.FDSB($C245,"CS_EVENT_TIME_N("&amp;$AA$18&amp;",1)")</f>
        <v>Unspecified</v>
      </c>
      <c r="H245" s="282" t="str" cm="1">
        <f t="array" ref="H245">_xll.FDSB($C245,"CS_EVENT_DESC_N("&amp;$AA$18&amp;",1)")</f>
        <v>Q2 2026 Earnings Release (Projected)</v>
      </c>
      <c r="I245" s="282"/>
      <c r="J245" s="274" t="str" cm="1">
        <f t="array" ref="J245">_xll.FDSB($C245,"CS_EVENT_DATEJ_N("&amp;$AB$18&amp;",1)")</f>
        <v/>
      </c>
      <c r="K245" s="282" t="str" cm="1">
        <f t="array" ref="K245">_xll.FDSB($C245,"CS_EVENT_TIME_N("&amp;$AB$18&amp;",1)")</f>
        <v/>
      </c>
      <c r="L245" s="282" t="str" cm="1">
        <f t="array" ref="L245">_xll.FDSB($C245,"CS_EVENT_DESC_N("&amp;$AB$18&amp;",1)")</f>
        <v/>
      </c>
      <c r="M245" s="300"/>
      <c r="N245" s="274" cm="1">
        <f t="array" ref="N245">_xll.FDSB($C245,"CS_EVENT_DATEJ_N("&amp;$AA$18&amp;",2)")</f>
        <v>46323</v>
      </c>
      <c r="O245" s="282" t="str" cm="1">
        <f t="array" ref="O245">_xll.FDSB($C245,"CS_EVENT_TIME_N("&amp;$AA$18&amp;",2)")</f>
        <v>Unspecified</v>
      </c>
      <c r="P245" s="282" t="str" cm="1">
        <f t="array" ref="P245">_xll.FDSB($C245,"CS_EVENT_DESC_N("&amp;$AA$18&amp;",2)")</f>
        <v>Q3 2026 Earnings Release (Projected)</v>
      </c>
      <c r="Q245" s="282"/>
      <c r="R245" s="274" cm="1">
        <f t="array" ref="R245">_xll.FDSB($C245,"CS_EVENT_DATEJ_N("&amp;$AA$18&amp;",3)")</f>
        <v>46414</v>
      </c>
      <c r="S245" s="282" t="str" cm="1">
        <f t="array" ref="S245">_xll.FDSB($C245,"CS_EVENT_TIME_N("&amp;$AA$18&amp;",3)")</f>
        <v>Unspecified</v>
      </c>
      <c r="T245" s="282" t="str" cm="1">
        <f t="array" ref="T245">_xll.FDSB($C245,"CS_EVENT_DESC_N("&amp;$AA$18&amp;",3)")</f>
        <v>Q4 2026 Earnings Release (Projected)</v>
      </c>
      <c r="U245" s="282"/>
      <c r="V245" s="274" cm="1">
        <f t="array" ref="V245">_xll.FDSB($C245,"CS_EVENT_DATEJ_N("&amp;$AA$18&amp;",4)")</f>
        <v>46505</v>
      </c>
      <c r="W245" s="282" t="str" cm="1">
        <f t="array" ref="W245">_xll.FDSB($C245,"CS_EVENT_TIME_N("&amp;$AA$18&amp;",4)")</f>
        <v>Unspecified</v>
      </c>
      <c r="X245" s="282" t="str" cm="1">
        <f t="array" ref="X245">_xll.FDSB($C245,"CS_EVENT_DESC_N("&amp;$AA$18&amp;",4)")</f>
        <v>Q1 2027 Earnings Release (Projected)</v>
      </c>
    </row>
    <row r="246" spans="2:24" x14ac:dyDescent="0.15">
      <c r="B246" s="298">
        <f t="shared" si="5"/>
        <v>231</v>
      </c>
      <c r="C246" s="299" t="str">
        <v>URI</v>
      </c>
      <c r="D246" s="300" t="str" cm="1">
        <f t="array" ref="D246">_xll.FDSB($C246,"FG_COMPANY_NAME")</f>
        <v>United Rentals, Inc.</v>
      </c>
      <c r="E246" s="300"/>
      <c r="F246" s="274" cm="1">
        <f t="array" ref="F246">_xll.FDSB($C246,"CS_EVENT_DATEJ_N("&amp;$AA$18&amp;",1)")</f>
        <v>46232</v>
      </c>
      <c r="G246" s="282" t="str" cm="1">
        <f t="array" ref="G246">_xll.FDSB($C246,"CS_EVENT_TIME_N("&amp;$AA$18&amp;",1)")</f>
        <v>Unspecified</v>
      </c>
      <c r="H246" s="282" t="str" cm="1">
        <f t="array" ref="H246">_xll.FDSB($C246,"CS_EVENT_DESC_N("&amp;$AA$18&amp;",1)")</f>
        <v>Q2 2026 Earnings Release (Projected)</v>
      </c>
      <c r="I246" s="282"/>
      <c r="J246" s="274" t="str" cm="1">
        <f t="array" ref="J246">_xll.FDSB($C246,"CS_EVENT_DATEJ_N("&amp;$AB$18&amp;",1)")</f>
        <v/>
      </c>
      <c r="K246" s="282" t="str" cm="1">
        <f t="array" ref="K246">_xll.FDSB($C246,"CS_EVENT_TIME_N("&amp;$AB$18&amp;",1)")</f>
        <v/>
      </c>
      <c r="L246" s="282" t="str" cm="1">
        <f t="array" ref="L246">_xll.FDSB($C246,"CS_EVENT_DESC_N("&amp;$AB$18&amp;",1)")</f>
        <v/>
      </c>
      <c r="M246" s="300"/>
      <c r="N246" s="274" cm="1">
        <f t="array" ref="N246">_xll.FDSB($C246,"CS_EVENT_DATEJ_N("&amp;$AA$18&amp;",2)")</f>
        <v>46323</v>
      </c>
      <c r="O246" s="282" t="str" cm="1">
        <f t="array" ref="O246">_xll.FDSB($C246,"CS_EVENT_TIME_N("&amp;$AA$18&amp;",2)")</f>
        <v>Unspecified</v>
      </c>
      <c r="P246" s="282" t="str" cm="1">
        <f t="array" ref="P246">_xll.FDSB($C246,"CS_EVENT_DESC_N("&amp;$AA$18&amp;",2)")</f>
        <v>Q3 2026 Earnings Release (Projected)</v>
      </c>
      <c r="Q246" s="282"/>
      <c r="R246" s="274" cm="1">
        <f t="array" ref="R246">_xll.FDSB($C246,"CS_EVENT_DATEJ_N("&amp;$AA$18&amp;",3)")</f>
        <v>46414</v>
      </c>
      <c r="S246" s="282" t="str" cm="1">
        <f t="array" ref="S246">_xll.FDSB($C246,"CS_EVENT_TIME_N("&amp;$AA$18&amp;",3)")</f>
        <v>Unspecified</v>
      </c>
      <c r="T246" s="282" t="str" cm="1">
        <f t="array" ref="T246">_xll.FDSB($C246,"CS_EVENT_DESC_N("&amp;$AA$18&amp;",3)")</f>
        <v>Q4 2026 Earnings Release (Projected)</v>
      </c>
      <c r="U246" s="282"/>
      <c r="V246" s="274" cm="1">
        <f t="array" ref="V246">_xll.FDSB($C246,"CS_EVENT_DATEJ_N("&amp;$AA$18&amp;",4)")</f>
        <v>46505</v>
      </c>
      <c r="W246" s="282" t="str" cm="1">
        <f t="array" ref="W246">_xll.FDSB($C246,"CS_EVENT_TIME_N("&amp;$AA$18&amp;",4)")</f>
        <v>Unspecified</v>
      </c>
      <c r="X246" s="282" t="str" cm="1">
        <f t="array" ref="X246">_xll.FDSB($C246,"CS_EVENT_DESC_N("&amp;$AA$18&amp;",4)")</f>
        <v>Q1 2027 Earnings Release (Projected)</v>
      </c>
    </row>
    <row r="247" spans="2:24" x14ac:dyDescent="0.15">
      <c r="B247" s="298">
        <f t="shared" si="5"/>
        <v>232</v>
      </c>
      <c r="C247" s="299" t="str">
        <v>HAS</v>
      </c>
      <c r="D247" s="300" t="str" cm="1">
        <f t="array" ref="D247">_xll.FDSB($C247,"FG_COMPANY_NAME")</f>
        <v>Hasbro, Inc.</v>
      </c>
      <c r="E247" s="300"/>
      <c r="F247" s="274" cm="1">
        <f t="array" ref="F247">_xll.FDSB($C247,"CS_EVENT_DATEJ_N("&amp;$AA$18&amp;",1)")</f>
        <v>46232</v>
      </c>
      <c r="G247" s="282" t="str" cm="1">
        <f t="array" ref="G247">_xll.FDSB($C247,"CS_EVENT_TIME_N("&amp;$AA$18&amp;",1)")</f>
        <v>Unspecified</v>
      </c>
      <c r="H247" s="282" t="str" cm="1">
        <f t="array" ref="H247">_xll.FDSB($C247,"CS_EVENT_DESC_N("&amp;$AA$18&amp;",1)")</f>
        <v>Q2 2026 Earnings Release (Projected)</v>
      </c>
      <c r="I247" s="282"/>
      <c r="J247" s="274" t="str" cm="1">
        <f t="array" ref="J247">_xll.FDSB($C247,"CS_EVENT_DATEJ_N("&amp;$AB$18&amp;",1)")</f>
        <v/>
      </c>
      <c r="K247" s="282" t="str" cm="1">
        <f t="array" ref="K247">_xll.FDSB($C247,"CS_EVENT_TIME_N("&amp;$AB$18&amp;",1)")</f>
        <v/>
      </c>
      <c r="L247" s="282" t="str" cm="1">
        <f t="array" ref="L247">_xll.FDSB($C247,"CS_EVENT_DESC_N("&amp;$AB$18&amp;",1)")</f>
        <v/>
      </c>
      <c r="M247" s="300"/>
      <c r="N247" s="274" cm="1">
        <f t="array" ref="N247">_xll.FDSB($C247,"CS_EVENT_DATEJ_N("&amp;$AA$18&amp;",2)")</f>
        <v>46317</v>
      </c>
      <c r="O247" s="282" t="str" cm="1">
        <f t="array" ref="O247">_xll.FDSB($C247,"CS_EVENT_TIME_N("&amp;$AA$18&amp;",2)")</f>
        <v>Unspecified</v>
      </c>
      <c r="P247" s="282" t="str" cm="1">
        <f t="array" ref="P247">_xll.FDSB($C247,"CS_EVENT_DESC_N("&amp;$AA$18&amp;",2)")</f>
        <v>Q3 2026 Earnings Release (Projected)</v>
      </c>
      <c r="Q247" s="282"/>
      <c r="R247" s="274" cm="1">
        <f t="array" ref="R247">_xll.FDSB($C247,"CS_EVENT_DATEJ_N("&amp;$AA$18&amp;",3)")</f>
        <v>46434</v>
      </c>
      <c r="S247" s="282" t="str" cm="1">
        <f t="array" ref="S247">_xll.FDSB($C247,"CS_EVENT_TIME_N("&amp;$AA$18&amp;",3)")</f>
        <v>Unspecified</v>
      </c>
      <c r="T247" s="282" t="str" cm="1">
        <f t="array" ref="T247">_xll.FDSB($C247,"CS_EVENT_DESC_N("&amp;$AA$18&amp;",3)")</f>
        <v>Q4 2026 Earnings Release (Projected)</v>
      </c>
      <c r="U247" s="282"/>
      <c r="V247" s="274" t="str" cm="1">
        <f t="array" ref="V247">_xll.FDSB($C247,"CS_EVENT_DATEJ_N("&amp;$AA$18&amp;",4)")</f>
        <v/>
      </c>
      <c r="W247" s="282" t="str" cm="1">
        <f t="array" ref="W247">_xll.FDSB($C247,"CS_EVENT_TIME_N("&amp;$AA$18&amp;",4)")</f>
        <v/>
      </c>
      <c r="X247" s="282" t="str" cm="1">
        <f t="array" ref="X247">_xll.FDSB($C247,"CS_EVENT_DESC_N("&amp;$AA$18&amp;",4)")</f>
        <v/>
      </c>
    </row>
    <row r="248" spans="2:24" x14ac:dyDescent="0.15">
      <c r="B248" s="298">
        <f t="shared" si="5"/>
        <v>233</v>
      </c>
      <c r="C248" s="299" t="str">
        <v>NSC</v>
      </c>
      <c r="D248" s="300" t="str" cm="1">
        <f t="array" ref="D248">_xll.FDSB($C248,"FG_COMPANY_NAME")</f>
        <v>Norfolk Southern Corporation</v>
      </c>
      <c r="E248" s="300"/>
      <c r="F248" s="274" cm="1">
        <f t="array" ref="F248">_xll.FDSB($C248,"CS_EVENT_DATEJ_N("&amp;$AA$18&amp;",1)")</f>
        <v>46232</v>
      </c>
      <c r="G248" s="282" t="str" cm="1">
        <f t="array" ref="G248">_xll.FDSB($C248,"CS_EVENT_TIME_N("&amp;$AA$18&amp;",1)")</f>
        <v>Unspecified</v>
      </c>
      <c r="H248" s="282" t="str" cm="1">
        <f t="array" ref="H248">_xll.FDSB($C248,"CS_EVENT_DESC_N("&amp;$AA$18&amp;",1)")</f>
        <v>Q2 2026 Earnings Release (Projected)</v>
      </c>
      <c r="I248" s="282"/>
      <c r="J248" s="274" t="str" cm="1">
        <f t="array" ref="J248">_xll.FDSB($C248,"CS_EVENT_DATEJ_N("&amp;$AB$18&amp;",1)")</f>
        <v/>
      </c>
      <c r="K248" s="282" t="str" cm="1">
        <f t="array" ref="K248">_xll.FDSB($C248,"CS_EVENT_TIME_N("&amp;$AB$18&amp;",1)")</f>
        <v/>
      </c>
      <c r="L248" s="282" t="str" cm="1">
        <f t="array" ref="L248">_xll.FDSB($C248,"CS_EVENT_DESC_N("&amp;$AB$18&amp;",1)")</f>
        <v/>
      </c>
      <c r="M248" s="300"/>
      <c r="N248" s="274" cm="1">
        <f t="array" ref="N248">_xll.FDSB($C248,"CS_EVENT_DATEJ_N("&amp;$AA$18&amp;",2)")</f>
        <v>46323</v>
      </c>
      <c r="O248" s="282" t="str" cm="1">
        <f t="array" ref="O248">_xll.FDSB($C248,"CS_EVENT_TIME_N("&amp;$AA$18&amp;",2)")</f>
        <v>Unspecified</v>
      </c>
      <c r="P248" s="282" t="str" cm="1">
        <f t="array" ref="P248">_xll.FDSB($C248,"CS_EVENT_DESC_N("&amp;$AA$18&amp;",2)")</f>
        <v>Q3 2026 Earnings Release (Projected)</v>
      </c>
      <c r="Q248" s="282"/>
      <c r="R248" s="274" cm="1">
        <f t="array" ref="R248">_xll.FDSB($C248,"CS_EVENT_DATEJ_N("&amp;$AA$18&amp;",3)")</f>
        <v>46414</v>
      </c>
      <c r="S248" s="282" t="str" cm="1">
        <f t="array" ref="S248">_xll.FDSB($C248,"CS_EVENT_TIME_N("&amp;$AA$18&amp;",3)")</f>
        <v>Unspecified</v>
      </c>
      <c r="T248" s="282" t="str" cm="1">
        <f t="array" ref="T248">_xll.FDSB($C248,"CS_EVENT_DESC_N("&amp;$AA$18&amp;",3)")</f>
        <v>Q4 2026 Earnings Release (Projected)</v>
      </c>
      <c r="U248" s="282"/>
      <c r="V248" s="274" cm="1">
        <f t="array" ref="V248">_xll.FDSB($C248,"CS_EVENT_DATEJ_N("&amp;$AA$18&amp;",4)")</f>
        <v>46505</v>
      </c>
      <c r="W248" s="282" t="str" cm="1">
        <f t="array" ref="W248">_xll.FDSB($C248,"CS_EVENT_TIME_N("&amp;$AA$18&amp;",4)")</f>
        <v>Unspecified</v>
      </c>
      <c r="X248" s="282" t="str" cm="1">
        <f t="array" ref="X248">_xll.FDSB($C248,"CS_EVENT_DESC_N("&amp;$AA$18&amp;",4)")</f>
        <v>Q1 2027 Earnings Release (Projected)</v>
      </c>
    </row>
    <row r="249" spans="2:24" x14ac:dyDescent="0.15">
      <c r="B249" s="298">
        <f t="shared" si="5"/>
        <v>234</v>
      </c>
      <c r="C249" s="299" t="str">
        <v>BA</v>
      </c>
      <c r="D249" s="300" t="str" cm="1">
        <f t="array" ref="D249">_xll.FDSB($C249,"FG_COMPANY_NAME")</f>
        <v>Boeing Company</v>
      </c>
      <c r="E249" s="300"/>
      <c r="F249" s="274" cm="1">
        <f t="array" ref="F249">_xll.FDSB($C249,"CS_EVENT_DATEJ_N("&amp;$AA$18&amp;",1)")</f>
        <v>46232</v>
      </c>
      <c r="G249" s="282" t="str" cm="1">
        <f t="array" ref="G249">_xll.FDSB($C249,"CS_EVENT_TIME_N("&amp;$AA$18&amp;",1)")</f>
        <v>Unspecified</v>
      </c>
      <c r="H249" s="282" t="str" cm="1">
        <f t="array" ref="H249">_xll.FDSB($C249,"CS_EVENT_DESC_N("&amp;$AA$18&amp;",1)")</f>
        <v>Q2 2026 Earnings Release (Projected)</v>
      </c>
      <c r="I249" s="282"/>
      <c r="J249" s="274" t="str" cm="1">
        <f t="array" ref="J249">_xll.FDSB($C249,"CS_EVENT_DATEJ_N("&amp;$AB$18&amp;",1)")</f>
        <v/>
      </c>
      <c r="K249" s="282" t="str" cm="1">
        <f t="array" ref="K249">_xll.FDSB($C249,"CS_EVENT_TIME_N("&amp;$AB$18&amp;",1)")</f>
        <v/>
      </c>
      <c r="L249" s="282" t="str" cm="1">
        <f t="array" ref="L249">_xll.FDSB($C249,"CS_EVENT_DESC_N("&amp;$AB$18&amp;",1)")</f>
        <v/>
      </c>
      <c r="M249" s="300"/>
      <c r="N249" s="274" cm="1">
        <f t="array" ref="N249">_xll.FDSB($C249,"CS_EVENT_DATEJ_N("&amp;$AA$18&amp;",2)")</f>
        <v>46323</v>
      </c>
      <c r="O249" s="282" t="str" cm="1">
        <f t="array" ref="O249">_xll.FDSB($C249,"CS_EVENT_TIME_N("&amp;$AA$18&amp;",2)")</f>
        <v>Unspecified</v>
      </c>
      <c r="P249" s="282" t="str" cm="1">
        <f t="array" ref="P249">_xll.FDSB($C249,"CS_EVENT_DESC_N("&amp;$AA$18&amp;",2)")</f>
        <v>Q3 2026 Earnings Release (Projected)</v>
      </c>
      <c r="Q249" s="282"/>
      <c r="R249" s="274" cm="1">
        <f t="array" ref="R249">_xll.FDSB($C249,"CS_EVENT_DATEJ_N("&amp;$AA$18&amp;",3)")</f>
        <v>46414</v>
      </c>
      <c r="S249" s="282" t="str" cm="1">
        <f t="array" ref="S249">_xll.FDSB($C249,"CS_EVENT_TIME_N("&amp;$AA$18&amp;",3)")</f>
        <v>Unspecified</v>
      </c>
      <c r="T249" s="282" t="str" cm="1">
        <f t="array" ref="T249">_xll.FDSB($C249,"CS_EVENT_DESC_N("&amp;$AA$18&amp;",3)")</f>
        <v>Q4 2026 Earnings Release (Projected)</v>
      </c>
      <c r="U249" s="282"/>
      <c r="V249" s="274" cm="1">
        <f t="array" ref="V249">_xll.FDSB($C249,"CS_EVENT_DATEJ_N("&amp;$AA$18&amp;",4)")</f>
        <v>46505</v>
      </c>
      <c r="W249" s="282" t="str" cm="1">
        <f t="array" ref="W249">_xll.FDSB($C249,"CS_EVENT_TIME_N("&amp;$AA$18&amp;",4)")</f>
        <v>Unspecified</v>
      </c>
      <c r="X249" s="282" t="str" cm="1">
        <f t="array" ref="X249">_xll.FDSB($C249,"CS_EVENT_DESC_N("&amp;$AA$18&amp;",4)")</f>
        <v>Q1 2027 Earnings Release (Projected)</v>
      </c>
    </row>
    <row r="250" spans="2:24" x14ac:dyDescent="0.15">
      <c r="B250" s="298">
        <f t="shared" si="5"/>
        <v>235</v>
      </c>
      <c r="C250" s="299" t="str">
        <v>ORLY</v>
      </c>
      <c r="D250" s="300" t="str" cm="1">
        <f t="array" ref="D250">_xll.FDSB($C250,"FG_COMPANY_NAME")</f>
        <v>O'Reilly Automotive, Inc.</v>
      </c>
      <c r="E250" s="300"/>
      <c r="F250" s="274" cm="1">
        <f t="array" ref="F250">_xll.FDSB($C250,"CS_EVENT_DATEJ_N("&amp;$AA$18&amp;",1)")</f>
        <v>46232</v>
      </c>
      <c r="G250" s="282" t="str" cm="1">
        <f t="array" ref="G250">_xll.FDSB($C250,"CS_EVENT_TIME_N("&amp;$AA$18&amp;",1)")</f>
        <v>Unspecified</v>
      </c>
      <c r="H250" s="282" t="str" cm="1">
        <f t="array" ref="H250">_xll.FDSB($C250,"CS_EVENT_DESC_N("&amp;$AA$18&amp;",1)")</f>
        <v>Q2 2026 Earnings Release (Projected)</v>
      </c>
      <c r="I250" s="282"/>
      <c r="J250" s="274" t="str" cm="1">
        <f t="array" ref="J250">_xll.FDSB($C250,"CS_EVENT_DATEJ_N("&amp;$AB$18&amp;",1)")</f>
        <v/>
      </c>
      <c r="K250" s="282" t="str" cm="1">
        <f t="array" ref="K250">_xll.FDSB($C250,"CS_EVENT_TIME_N("&amp;$AB$18&amp;",1)")</f>
        <v/>
      </c>
      <c r="L250" s="282" t="str" cm="1">
        <f t="array" ref="L250">_xll.FDSB($C250,"CS_EVENT_DESC_N("&amp;$AB$18&amp;",1)")</f>
        <v/>
      </c>
      <c r="M250" s="300"/>
      <c r="N250" s="274" cm="1">
        <f t="array" ref="N250">_xll.FDSB($C250,"CS_EVENT_DATEJ_N("&amp;$AA$18&amp;",2)")</f>
        <v>46323</v>
      </c>
      <c r="O250" s="282" t="str" cm="1">
        <f t="array" ref="O250">_xll.FDSB($C250,"CS_EVENT_TIME_N("&amp;$AA$18&amp;",2)")</f>
        <v>Unspecified</v>
      </c>
      <c r="P250" s="282" t="str" cm="1">
        <f t="array" ref="P250">_xll.FDSB($C250,"CS_EVENT_DESC_N("&amp;$AA$18&amp;",2)")</f>
        <v>Q3 2026 Earnings Release (Projected)</v>
      </c>
      <c r="Q250" s="282"/>
      <c r="R250" s="274" cm="1">
        <f t="array" ref="R250">_xll.FDSB($C250,"CS_EVENT_DATEJ_N("&amp;$AA$18&amp;",3)")</f>
        <v>46505</v>
      </c>
      <c r="S250" s="282" t="str" cm="1">
        <f t="array" ref="S250">_xll.FDSB($C250,"CS_EVENT_TIME_N("&amp;$AA$18&amp;",3)")</f>
        <v>Unspecified</v>
      </c>
      <c r="T250" s="282" t="str" cm="1">
        <f t="array" ref="T250">_xll.FDSB($C250,"CS_EVENT_DESC_N("&amp;$AA$18&amp;",3)")</f>
        <v>Q1 2027 Earnings Release (Projected)</v>
      </c>
      <c r="U250" s="282"/>
      <c r="V250" s="274" t="str" cm="1">
        <f t="array" ref="V250">_xll.FDSB($C250,"CS_EVENT_DATEJ_N("&amp;$AA$18&amp;",4)")</f>
        <v/>
      </c>
      <c r="W250" s="282" t="str" cm="1">
        <f t="array" ref="W250">_xll.FDSB($C250,"CS_EVENT_TIME_N("&amp;$AA$18&amp;",4)")</f>
        <v/>
      </c>
      <c r="X250" s="282" t="str" cm="1">
        <f t="array" ref="X250">_xll.FDSB($C250,"CS_EVENT_DESC_N("&amp;$AA$18&amp;",4)")</f>
        <v/>
      </c>
    </row>
    <row r="251" spans="2:24" x14ac:dyDescent="0.15">
      <c r="B251" s="298">
        <f t="shared" si="5"/>
        <v>236</v>
      </c>
      <c r="C251" s="299" t="str">
        <v>TMO</v>
      </c>
      <c r="D251" s="300" t="str" cm="1">
        <f t="array" ref="D251">_xll.FDSB($C251,"FG_COMPANY_NAME")</f>
        <v>Thermo Fisher Scientific Inc.</v>
      </c>
      <c r="E251" s="300"/>
      <c r="F251" s="274" cm="1">
        <f t="array" ref="F251">_xll.FDSB($C251,"CS_EVENT_DATEJ_N("&amp;$AA$18&amp;",1)")</f>
        <v>46232</v>
      </c>
      <c r="G251" s="282" t="str" cm="1">
        <f t="array" ref="G251">_xll.FDSB($C251,"CS_EVENT_TIME_N("&amp;$AA$18&amp;",1)")</f>
        <v>Unspecified</v>
      </c>
      <c r="H251" s="282" t="str" cm="1">
        <f t="array" ref="H251">_xll.FDSB($C251,"CS_EVENT_DESC_N("&amp;$AA$18&amp;",1)")</f>
        <v>Q2 2026 Earnings Release (Projected)</v>
      </c>
      <c r="I251" s="282"/>
      <c r="J251" s="274" t="str" cm="1">
        <f t="array" ref="J251">_xll.FDSB($C251,"CS_EVENT_DATEJ_N("&amp;$AB$18&amp;",1)")</f>
        <v/>
      </c>
      <c r="K251" s="282" t="str" cm="1">
        <f t="array" ref="K251">_xll.FDSB($C251,"CS_EVENT_TIME_N("&amp;$AB$18&amp;",1)")</f>
        <v/>
      </c>
      <c r="L251" s="282" t="str" cm="1">
        <f t="array" ref="L251">_xll.FDSB($C251,"CS_EVENT_DESC_N("&amp;$AB$18&amp;",1)")</f>
        <v/>
      </c>
      <c r="M251" s="300"/>
      <c r="N251" s="274" cm="1">
        <f t="array" ref="N251">_xll.FDSB($C251,"CS_EVENT_DATEJ_N("&amp;$AA$18&amp;",2)")</f>
        <v>46323</v>
      </c>
      <c r="O251" s="282" t="str" cm="1">
        <f t="array" ref="O251">_xll.FDSB($C251,"CS_EVENT_TIME_N("&amp;$AA$18&amp;",2)")</f>
        <v>Unspecified</v>
      </c>
      <c r="P251" s="282" t="str" cm="1">
        <f t="array" ref="P251">_xll.FDSB($C251,"CS_EVENT_DESC_N("&amp;$AA$18&amp;",2)")</f>
        <v>Q3 2026 Earnings Release (Projected)</v>
      </c>
      <c r="Q251" s="282"/>
      <c r="R251" s="274" cm="1">
        <f t="array" ref="R251">_xll.FDSB($C251,"CS_EVENT_DATEJ_N("&amp;$AA$18&amp;",3)")</f>
        <v>46422</v>
      </c>
      <c r="S251" s="282" t="str" cm="1">
        <f t="array" ref="S251">_xll.FDSB($C251,"CS_EVENT_TIME_N("&amp;$AA$18&amp;",3)")</f>
        <v>Unspecified</v>
      </c>
      <c r="T251" s="282" t="str" cm="1">
        <f t="array" ref="T251">_xll.FDSB($C251,"CS_EVENT_DESC_N("&amp;$AA$18&amp;",3)")</f>
        <v>Q4 2026 Earnings Release (Projected)</v>
      </c>
      <c r="U251" s="282"/>
      <c r="V251" s="274" cm="1">
        <f t="array" ref="V251">_xll.FDSB($C251,"CS_EVENT_DATEJ_N("&amp;$AA$18&amp;",4)")</f>
        <v>46506</v>
      </c>
      <c r="W251" s="282" t="str" cm="1">
        <f t="array" ref="W251">_xll.FDSB($C251,"CS_EVENT_TIME_N("&amp;$AA$18&amp;",4)")</f>
        <v>Unspecified</v>
      </c>
      <c r="X251" s="282" t="str" cm="1">
        <f t="array" ref="X251">_xll.FDSB($C251,"CS_EVENT_DESC_N("&amp;$AA$18&amp;",4)")</f>
        <v>Q1 2027 Earnings Release (Projected)</v>
      </c>
    </row>
    <row r="252" spans="2:24" x14ac:dyDescent="0.15">
      <c r="B252" s="298">
        <f t="shared" si="5"/>
        <v>237</v>
      </c>
      <c r="C252" s="299" t="str">
        <v>GL</v>
      </c>
      <c r="D252" s="300" t="str" cm="1">
        <f t="array" ref="D252">_xll.FDSB($C252,"FG_COMPANY_NAME")</f>
        <v>Globe Life Inc.</v>
      </c>
      <c r="E252" s="300"/>
      <c r="F252" s="274" cm="1">
        <f t="array" ref="F252">_xll.FDSB($C252,"CS_EVENT_DATEJ_N("&amp;$AA$18&amp;",1)")</f>
        <v>46232</v>
      </c>
      <c r="G252" s="282" t="str" cm="1">
        <f t="array" ref="G252">_xll.FDSB($C252,"CS_EVENT_TIME_N("&amp;$AA$18&amp;",1)")</f>
        <v>Unspecified</v>
      </c>
      <c r="H252" s="282" t="str" cm="1">
        <f t="array" ref="H252">_xll.FDSB($C252,"CS_EVENT_DESC_N("&amp;$AA$18&amp;",1)")</f>
        <v>Q2 2026 Earnings Release (Projected)</v>
      </c>
      <c r="I252" s="282"/>
      <c r="J252" s="274" t="str" cm="1">
        <f t="array" ref="J252">_xll.FDSB($C252,"CS_EVENT_DATEJ_N("&amp;$AB$18&amp;",1)")</f>
        <v/>
      </c>
      <c r="K252" s="282" t="str" cm="1">
        <f t="array" ref="K252">_xll.FDSB($C252,"CS_EVENT_TIME_N("&amp;$AB$18&amp;",1)")</f>
        <v/>
      </c>
      <c r="L252" s="282" t="str" cm="1">
        <f t="array" ref="L252">_xll.FDSB($C252,"CS_EVENT_DESC_N("&amp;$AB$18&amp;",1)")</f>
        <v/>
      </c>
      <c r="M252" s="300"/>
      <c r="N252" s="274" cm="1">
        <f t="array" ref="N252">_xll.FDSB($C252,"CS_EVENT_DATEJ_N("&amp;$AA$18&amp;",2)")</f>
        <v>46323</v>
      </c>
      <c r="O252" s="282" t="str" cm="1">
        <f t="array" ref="O252">_xll.FDSB($C252,"CS_EVENT_TIME_N("&amp;$AA$18&amp;",2)")</f>
        <v>Unspecified</v>
      </c>
      <c r="P252" s="282" t="str" cm="1">
        <f t="array" ref="P252">_xll.FDSB($C252,"CS_EVENT_DESC_N("&amp;$AA$18&amp;",2)")</f>
        <v>Q3 2026 Earnings Release (Projected)</v>
      </c>
      <c r="Q252" s="282"/>
      <c r="R252" s="274" cm="1">
        <f t="array" ref="R252">_xll.FDSB($C252,"CS_EVENT_DATEJ_N("&amp;$AA$18&amp;",3)")</f>
        <v>46428</v>
      </c>
      <c r="S252" s="282" t="str" cm="1">
        <f t="array" ref="S252">_xll.FDSB($C252,"CS_EVENT_TIME_N("&amp;$AA$18&amp;",3)")</f>
        <v>Unspecified</v>
      </c>
      <c r="T252" s="282" t="str" cm="1">
        <f t="array" ref="T252">_xll.FDSB($C252,"CS_EVENT_DESC_N("&amp;$AA$18&amp;",3)")</f>
        <v>Q4 2026 Earnings Release (Projected)</v>
      </c>
      <c r="U252" s="282"/>
      <c r="V252" s="274" cm="1">
        <f t="array" ref="V252">_xll.FDSB($C252,"CS_EVENT_DATEJ_N("&amp;$AA$18&amp;",4)")</f>
        <v>46512</v>
      </c>
      <c r="W252" s="282" t="str" cm="1">
        <f t="array" ref="W252">_xll.FDSB($C252,"CS_EVENT_TIME_N("&amp;$AA$18&amp;",4)")</f>
        <v>Unspecified</v>
      </c>
      <c r="X252" s="282" t="str" cm="1">
        <f t="array" ref="X252">_xll.FDSB($C252,"CS_EVENT_DESC_N("&amp;$AA$18&amp;",4)")</f>
        <v>Q1 2027 Earnings Release (Projected)</v>
      </c>
    </row>
    <row r="253" spans="2:24" x14ac:dyDescent="0.15">
      <c r="B253" s="298">
        <f t="shared" si="5"/>
        <v>238</v>
      </c>
      <c r="C253" s="299" t="str">
        <v>TYL</v>
      </c>
      <c r="D253" s="300" t="str" cm="1">
        <f t="array" ref="D253">_xll.FDSB($C253,"FG_COMPANY_NAME")</f>
        <v>Tyler Technologies, Inc.</v>
      </c>
      <c r="E253" s="300"/>
      <c r="F253" s="274" cm="1">
        <f t="array" ref="F253">_xll.FDSB($C253,"CS_EVENT_DATEJ_N("&amp;$AA$18&amp;",1)")</f>
        <v>46232</v>
      </c>
      <c r="G253" s="282" t="str" cm="1">
        <f t="array" ref="G253">_xll.FDSB($C253,"CS_EVENT_TIME_N("&amp;$AA$18&amp;",1)")</f>
        <v>Unspecified</v>
      </c>
      <c r="H253" s="282" t="str" cm="1">
        <f t="array" ref="H253">_xll.FDSB($C253,"CS_EVENT_DESC_N("&amp;$AA$18&amp;",1)")</f>
        <v>Q2 2026 Earnings Release (Projected)</v>
      </c>
      <c r="I253" s="282"/>
      <c r="J253" s="274" t="str" cm="1">
        <f t="array" ref="J253">_xll.FDSB($C253,"CS_EVENT_DATEJ_N("&amp;$AB$18&amp;",1)")</f>
        <v/>
      </c>
      <c r="K253" s="282" t="str" cm="1">
        <f t="array" ref="K253">_xll.FDSB($C253,"CS_EVENT_TIME_N("&amp;$AB$18&amp;",1)")</f>
        <v/>
      </c>
      <c r="L253" s="282" t="str" cm="1">
        <f t="array" ref="L253">_xll.FDSB($C253,"CS_EVENT_DESC_N("&amp;$AB$18&amp;",1)")</f>
        <v/>
      </c>
      <c r="M253" s="300"/>
      <c r="N253" s="274" cm="1">
        <f t="array" ref="N253">_xll.FDSB($C253,"CS_EVENT_DATEJ_N("&amp;$AA$18&amp;",2)")</f>
        <v>46323</v>
      </c>
      <c r="O253" s="282" t="str" cm="1">
        <f t="array" ref="O253">_xll.FDSB($C253,"CS_EVENT_TIME_N("&amp;$AA$18&amp;",2)")</f>
        <v>Unspecified</v>
      </c>
      <c r="P253" s="282" t="str" cm="1">
        <f t="array" ref="P253">_xll.FDSB($C253,"CS_EVENT_DESC_N("&amp;$AA$18&amp;",2)")</f>
        <v>Q3 2026 Earnings Release (Projected)</v>
      </c>
      <c r="Q253" s="282"/>
      <c r="R253" s="274" cm="1">
        <f t="array" ref="R253">_xll.FDSB($C253,"CS_EVENT_DATEJ_N("&amp;$AA$18&amp;",3)")</f>
        <v>46435</v>
      </c>
      <c r="S253" s="282" t="str" cm="1">
        <f t="array" ref="S253">_xll.FDSB($C253,"CS_EVENT_TIME_N("&amp;$AA$18&amp;",3)")</f>
        <v>Unspecified</v>
      </c>
      <c r="T253" s="282" t="str" cm="1">
        <f t="array" ref="T253">_xll.FDSB($C253,"CS_EVENT_DESC_N("&amp;$AA$18&amp;",3)")</f>
        <v>Q4 2026 Earnings Release (Projected)</v>
      </c>
      <c r="U253" s="282"/>
      <c r="V253" s="274" cm="1">
        <f t="array" ref="V253">_xll.FDSB($C253,"CS_EVENT_DATEJ_N("&amp;$AA$18&amp;",4)")</f>
        <v>46505</v>
      </c>
      <c r="W253" s="282" t="str" cm="1">
        <f t="array" ref="W253">_xll.FDSB($C253,"CS_EVENT_TIME_N("&amp;$AA$18&amp;",4)")</f>
        <v>Unspecified</v>
      </c>
      <c r="X253" s="282" t="str" cm="1">
        <f t="array" ref="X253">_xll.FDSB($C253,"CS_EVENT_DESC_N("&amp;$AA$18&amp;",4)")</f>
        <v>Q1 2027 Earnings Release (Projected)</v>
      </c>
    </row>
    <row r="254" spans="2:24" x14ac:dyDescent="0.15">
      <c r="B254" s="298">
        <f t="shared" si="5"/>
        <v>239</v>
      </c>
      <c r="C254" s="299" t="str">
        <v>REG</v>
      </c>
      <c r="D254" s="300" t="str" cm="1">
        <f t="array" ref="D254">_xll.FDSB($C254,"FG_COMPANY_NAME")</f>
        <v>Regency Centers Corporation</v>
      </c>
      <c r="E254" s="300"/>
      <c r="F254" s="274" cm="1">
        <f t="array" ref="F254">_xll.FDSB($C254,"CS_EVENT_DATEJ_N("&amp;$AA$18&amp;",1)")</f>
        <v>46232</v>
      </c>
      <c r="G254" s="282" t="str" cm="1">
        <f t="array" ref="G254">_xll.FDSB($C254,"CS_EVENT_TIME_N("&amp;$AA$18&amp;",1)")</f>
        <v>Unspecified</v>
      </c>
      <c r="H254" s="282" t="str" cm="1">
        <f t="array" ref="H254">_xll.FDSB($C254,"CS_EVENT_DESC_N("&amp;$AA$18&amp;",1)")</f>
        <v>Q2 2026 Earnings Release</v>
      </c>
      <c r="I254" s="282"/>
      <c r="J254" s="274" cm="1">
        <f t="array" ref="J254">_xll.FDSB($C254,"CS_EVENT_DATEJ_N("&amp;$AB$18&amp;",1)")</f>
        <v>46233</v>
      </c>
      <c r="K254" s="282" t="str" cm="1">
        <f t="array" ref="K254">_xll.FDSB($C254,"CS_EVENT_TIME_N("&amp;$AB$18&amp;",1)")</f>
        <v>11:00 AM</v>
      </c>
      <c r="L254" s="282" t="str" cm="1">
        <f t="array" ref="L254">_xll.FDSB($C254,"CS_EVENT_DESC_N("&amp;$AB$18&amp;",1)")</f>
        <v>Q2 2026 Earnings Call</v>
      </c>
      <c r="M254" s="300"/>
      <c r="N254" s="274" cm="1">
        <f t="array" ref="N254">_xll.FDSB($C254,"CS_EVENT_DATEJ_N("&amp;$AA$18&amp;",2)")</f>
        <v>46324</v>
      </c>
      <c r="O254" s="282" t="str" cm="1">
        <f t="array" ref="O254">_xll.FDSB($C254,"CS_EVENT_TIME_N("&amp;$AA$18&amp;",2)")</f>
        <v>Unspecified</v>
      </c>
      <c r="P254" s="282" t="str" cm="1">
        <f t="array" ref="P254">_xll.FDSB($C254,"CS_EVENT_DESC_N("&amp;$AA$18&amp;",2)")</f>
        <v>Q3 2026 Earnings Release (Projected)</v>
      </c>
      <c r="Q254" s="282"/>
      <c r="R254" s="274" cm="1">
        <f t="array" ref="R254">_xll.FDSB($C254,"CS_EVENT_DATEJ_N("&amp;$AA$18&amp;",3)")</f>
        <v>46429</v>
      </c>
      <c r="S254" s="282" t="str" cm="1">
        <f t="array" ref="S254">_xll.FDSB($C254,"CS_EVENT_TIME_N("&amp;$AA$18&amp;",3)")</f>
        <v>Unspecified</v>
      </c>
      <c r="T254" s="282" t="str" cm="1">
        <f t="array" ref="T254">_xll.FDSB($C254,"CS_EVENT_DESC_N("&amp;$AA$18&amp;",3)")</f>
        <v>Q4 2026 Earnings Release (Projected)</v>
      </c>
      <c r="U254" s="282"/>
      <c r="V254" s="274" cm="1">
        <f t="array" ref="V254">_xll.FDSB($C254,"CS_EVENT_DATEJ_N("&amp;$AA$18&amp;",4)")</f>
        <v>46513</v>
      </c>
      <c r="W254" s="282" t="str" cm="1">
        <f t="array" ref="W254">_xll.FDSB($C254,"CS_EVENT_TIME_N("&amp;$AA$18&amp;",4)")</f>
        <v>Unspecified</v>
      </c>
      <c r="X254" s="282" t="str" cm="1">
        <f t="array" ref="X254">_xll.FDSB($C254,"CS_EVENT_DESC_N("&amp;$AA$18&amp;",4)")</f>
        <v>Q1 2027 Earnings Release (Projected)</v>
      </c>
    </row>
    <row r="255" spans="2:24" x14ac:dyDescent="0.15">
      <c r="B255" s="298">
        <f t="shared" si="5"/>
        <v>240</v>
      </c>
      <c r="C255" s="299" t="str">
        <v>F</v>
      </c>
      <c r="D255" s="300" t="str" cm="1">
        <f t="array" ref="D255">_xll.FDSB($C255,"FG_COMPANY_NAME")</f>
        <v>Ford Motor Company</v>
      </c>
      <c r="E255" s="300"/>
      <c r="F255" s="274" cm="1">
        <f t="array" ref="F255">_xll.FDSB($C255,"CS_EVENT_DATEJ_N("&amp;$AA$18&amp;",1)")</f>
        <v>46232</v>
      </c>
      <c r="G255" s="282" t="str" cm="1">
        <f t="array" ref="G255">_xll.FDSB($C255,"CS_EVENT_TIME_N("&amp;$AA$18&amp;",1)")</f>
        <v>Unspecified</v>
      </c>
      <c r="H255" s="282" t="str" cm="1">
        <f t="array" ref="H255">_xll.FDSB($C255,"CS_EVENT_DESC_N("&amp;$AA$18&amp;",1)")</f>
        <v>Q2 2026 Earnings Release (Projected)</v>
      </c>
      <c r="I255" s="282"/>
      <c r="J255" s="274" t="str" cm="1">
        <f t="array" ref="J255">_xll.FDSB($C255,"CS_EVENT_DATEJ_N("&amp;$AB$18&amp;",1)")</f>
        <v/>
      </c>
      <c r="K255" s="282" t="str" cm="1">
        <f t="array" ref="K255">_xll.FDSB($C255,"CS_EVENT_TIME_N("&amp;$AB$18&amp;",1)")</f>
        <v/>
      </c>
      <c r="L255" s="282" t="str" cm="1">
        <f t="array" ref="L255">_xll.FDSB($C255,"CS_EVENT_DESC_N("&amp;$AB$18&amp;",1)")</f>
        <v/>
      </c>
      <c r="M255" s="300"/>
      <c r="N255" s="274" cm="1">
        <f t="array" ref="N255">_xll.FDSB($C255,"CS_EVENT_DATEJ_N("&amp;$AA$18&amp;",2)")</f>
        <v>46323</v>
      </c>
      <c r="O255" s="282" t="str" cm="1">
        <f t="array" ref="O255">_xll.FDSB($C255,"CS_EVENT_TIME_N("&amp;$AA$18&amp;",2)")</f>
        <v>Unspecified</v>
      </c>
      <c r="P255" s="282" t="str" cm="1">
        <f t="array" ref="P255">_xll.FDSB($C255,"CS_EVENT_DESC_N("&amp;$AA$18&amp;",2)")</f>
        <v>Q3 2026 Earnings Release (Projected)</v>
      </c>
      <c r="Q255" s="282"/>
      <c r="R255" s="274" cm="1">
        <f t="array" ref="R255">_xll.FDSB($C255,"CS_EVENT_DATEJ_N("&amp;$AA$18&amp;",3)")</f>
        <v>46422</v>
      </c>
      <c r="S255" s="282" t="str" cm="1">
        <f t="array" ref="S255">_xll.FDSB($C255,"CS_EVENT_TIME_N("&amp;$AA$18&amp;",3)")</f>
        <v>Unspecified</v>
      </c>
      <c r="T255" s="282" t="str" cm="1">
        <f t="array" ref="T255">_xll.FDSB($C255,"CS_EVENT_DESC_N("&amp;$AA$18&amp;",3)")</f>
        <v>Q4 2026 Earnings Release (Projected)</v>
      </c>
      <c r="U255" s="282"/>
      <c r="V255" s="274" cm="1">
        <f t="array" ref="V255">_xll.FDSB($C255,"CS_EVENT_DATEJ_N("&amp;$AA$18&amp;",4)")</f>
        <v>46505</v>
      </c>
      <c r="W255" s="282" t="str" cm="1">
        <f t="array" ref="W255">_xll.FDSB($C255,"CS_EVENT_TIME_N("&amp;$AA$18&amp;",4)")</f>
        <v>Unspecified</v>
      </c>
      <c r="X255" s="282" t="str" cm="1">
        <f t="array" ref="X255">_xll.FDSB($C255,"CS_EVENT_DESC_N("&amp;$AA$18&amp;",4)")</f>
        <v>Q1 2027 Earnings Release (Projected)</v>
      </c>
    </row>
    <row r="256" spans="2:24" x14ac:dyDescent="0.15">
      <c r="B256" s="298">
        <f t="shared" si="5"/>
        <v>241</v>
      </c>
      <c r="C256" s="299" t="str">
        <v>ACGL</v>
      </c>
      <c r="D256" s="300" t="str" cm="1">
        <f t="array" ref="D256">_xll.FDSB($C256,"FG_COMPANY_NAME")</f>
        <v>Arch Capital Group Ltd.</v>
      </c>
      <c r="E256" s="300"/>
      <c r="F256" s="274" cm="1">
        <f t="array" ref="F256">_xll.FDSB($C256,"CS_EVENT_DATEJ_N("&amp;$AA$18&amp;",1)")</f>
        <v>46232</v>
      </c>
      <c r="G256" s="282" t="str" cm="1">
        <f t="array" ref="G256">_xll.FDSB($C256,"CS_EVENT_TIME_N("&amp;$AA$18&amp;",1)")</f>
        <v>Unspecified</v>
      </c>
      <c r="H256" s="282" t="str" cm="1">
        <f t="array" ref="H256">_xll.FDSB($C256,"CS_EVENT_DESC_N("&amp;$AA$18&amp;",1)")</f>
        <v>Q2 2026 Earnings Release (Projected)</v>
      </c>
      <c r="I256" s="282"/>
      <c r="J256" s="274" t="str" cm="1">
        <f t="array" ref="J256">_xll.FDSB($C256,"CS_EVENT_DATEJ_N("&amp;$AB$18&amp;",1)")</f>
        <v/>
      </c>
      <c r="K256" s="282" t="str" cm="1">
        <f t="array" ref="K256">_xll.FDSB($C256,"CS_EVENT_TIME_N("&amp;$AB$18&amp;",1)")</f>
        <v/>
      </c>
      <c r="L256" s="282" t="str" cm="1">
        <f t="array" ref="L256">_xll.FDSB($C256,"CS_EVENT_DESC_N("&amp;$AB$18&amp;",1)")</f>
        <v/>
      </c>
      <c r="M256" s="300"/>
      <c r="N256" s="274" cm="1">
        <f t="array" ref="N256">_xll.FDSB($C256,"CS_EVENT_DATEJ_N("&amp;$AA$18&amp;",2)")</f>
        <v>46328</v>
      </c>
      <c r="O256" s="282" t="str" cm="1">
        <f t="array" ref="O256">_xll.FDSB($C256,"CS_EVENT_TIME_N("&amp;$AA$18&amp;",2)")</f>
        <v>Unspecified</v>
      </c>
      <c r="P256" s="282" t="str" cm="1">
        <f t="array" ref="P256">_xll.FDSB($C256,"CS_EVENT_DESC_N("&amp;$AA$18&amp;",2)")</f>
        <v>Q3 2026 Earnings Release (Projected)</v>
      </c>
      <c r="Q256" s="282"/>
      <c r="R256" s="274" cm="1">
        <f t="array" ref="R256">_xll.FDSB($C256,"CS_EVENT_DATEJ_N("&amp;$AA$18&amp;",3)")</f>
        <v>46433</v>
      </c>
      <c r="S256" s="282" t="str" cm="1">
        <f t="array" ref="S256">_xll.FDSB($C256,"CS_EVENT_TIME_N("&amp;$AA$18&amp;",3)")</f>
        <v>Unspecified</v>
      </c>
      <c r="T256" s="282" t="str" cm="1">
        <f t="array" ref="T256">_xll.FDSB($C256,"CS_EVENT_DESC_N("&amp;$AA$18&amp;",3)")</f>
        <v>Q4 2026 Earnings Release (Projected)</v>
      </c>
      <c r="U256" s="282"/>
      <c r="V256" s="274" cm="1">
        <f t="array" ref="V256">_xll.FDSB($C256,"CS_EVENT_DATEJ_N("&amp;$AA$18&amp;",4)")</f>
        <v>46505</v>
      </c>
      <c r="W256" s="282" t="str" cm="1">
        <f t="array" ref="W256">_xll.FDSB($C256,"CS_EVENT_TIME_N("&amp;$AA$18&amp;",4)")</f>
        <v>Unspecified</v>
      </c>
      <c r="X256" s="282" t="str" cm="1">
        <f t="array" ref="X256">_xll.FDSB($C256,"CS_EVENT_DESC_N("&amp;$AA$18&amp;",4)")</f>
        <v>Q1 2027 Earnings Release (Projected)</v>
      </c>
    </row>
    <row r="257" spans="2:24" x14ac:dyDescent="0.15">
      <c r="B257" s="298">
        <f t="shared" si="5"/>
        <v>242</v>
      </c>
      <c r="C257" s="299" t="str">
        <v>MCD</v>
      </c>
      <c r="D257" s="300" t="str" cm="1">
        <f t="array" ref="D257">_xll.FDSB($C257,"FG_COMPANY_NAME")</f>
        <v>McDonald's Corporation</v>
      </c>
      <c r="E257" s="300"/>
      <c r="F257" s="274" cm="1">
        <f t="array" ref="F257">_xll.FDSB($C257,"CS_EVENT_DATEJ_N("&amp;$AA$18&amp;",1)")</f>
        <v>46232</v>
      </c>
      <c r="G257" s="282" t="str" cm="1">
        <f t="array" ref="G257">_xll.FDSB($C257,"CS_EVENT_TIME_N("&amp;$AA$18&amp;",1)")</f>
        <v>Unspecified</v>
      </c>
      <c r="H257" s="282" t="str" cm="1">
        <f t="array" ref="H257">_xll.FDSB($C257,"CS_EVENT_DESC_N("&amp;$AA$18&amp;",1)")</f>
        <v>Q2 2026 Earnings Release (Projected)</v>
      </c>
      <c r="I257" s="282"/>
      <c r="J257" s="274" t="str" cm="1">
        <f t="array" ref="J257">_xll.FDSB($C257,"CS_EVENT_DATEJ_N("&amp;$AB$18&amp;",1)")</f>
        <v/>
      </c>
      <c r="K257" s="282" t="str" cm="1">
        <f t="array" ref="K257">_xll.FDSB($C257,"CS_EVENT_TIME_N("&amp;$AB$18&amp;",1)")</f>
        <v/>
      </c>
      <c r="L257" s="282" t="str" cm="1">
        <f t="array" ref="L257">_xll.FDSB($C257,"CS_EVENT_DESC_N("&amp;$AB$18&amp;",1)")</f>
        <v/>
      </c>
      <c r="M257" s="300"/>
      <c r="N257" s="274" cm="1">
        <f t="array" ref="N257">_xll.FDSB($C257,"CS_EVENT_DATEJ_N("&amp;$AA$18&amp;",2)")</f>
        <v>46317</v>
      </c>
      <c r="O257" s="282" t="str" cm="1">
        <f t="array" ref="O257">_xll.FDSB($C257,"CS_EVENT_TIME_N("&amp;$AA$18&amp;",2)")</f>
        <v>Unspecified</v>
      </c>
      <c r="P257" s="282" t="str" cm="1">
        <f t="array" ref="P257">_xll.FDSB($C257,"CS_EVENT_DESC_N("&amp;$AA$18&amp;",2)")</f>
        <v>Q3 2026 Earnings Release (Projected)</v>
      </c>
      <c r="Q257" s="282"/>
      <c r="R257" s="274" cm="1">
        <f t="array" ref="R257">_xll.FDSB($C257,"CS_EVENT_DATEJ_N("&amp;$AA$18&amp;",3)")</f>
        <v>46415</v>
      </c>
      <c r="S257" s="282" t="str" cm="1">
        <f t="array" ref="S257">_xll.FDSB($C257,"CS_EVENT_TIME_N("&amp;$AA$18&amp;",3)")</f>
        <v>Unspecified</v>
      </c>
      <c r="T257" s="282" t="str" cm="1">
        <f t="array" ref="T257">_xll.FDSB($C257,"CS_EVENT_DESC_N("&amp;$AA$18&amp;",3)")</f>
        <v>Q4 2026 Earnings Release (Projected)</v>
      </c>
      <c r="U257" s="282"/>
      <c r="V257" s="274" cm="1">
        <f t="array" ref="V257">_xll.FDSB($C257,"CS_EVENT_DATEJ_N("&amp;$AA$18&amp;",4)")</f>
        <v>46506</v>
      </c>
      <c r="W257" s="282" t="str" cm="1">
        <f t="array" ref="W257">_xll.FDSB($C257,"CS_EVENT_TIME_N("&amp;$AA$18&amp;",4)")</f>
        <v>Unspecified</v>
      </c>
      <c r="X257" s="282" t="str" cm="1">
        <f t="array" ref="X257">_xll.FDSB($C257,"CS_EVENT_DESC_N("&amp;$AA$18&amp;",4)")</f>
        <v>Q1 2027 Earnings Release (Projected)</v>
      </c>
    </row>
    <row r="258" spans="2:24" x14ac:dyDescent="0.15">
      <c r="B258" s="298">
        <f t="shared" si="5"/>
        <v>243</v>
      </c>
      <c r="C258" s="299" t="str">
        <v>HUM</v>
      </c>
      <c r="D258" s="300" t="str" cm="1">
        <f t="array" ref="D258">_xll.FDSB($C258,"FG_COMPANY_NAME")</f>
        <v>Humana Inc.</v>
      </c>
      <c r="E258" s="300"/>
      <c r="F258" s="274" cm="1">
        <f t="array" ref="F258">_xll.FDSB($C258,"CS_EVENT_DATEJ_N("&amp;$AA$18&amp;",1)")</f>
        <v>46232</v>
      </c>
      <c r="G258" s="282" t="str" cm="1">
        <f t="array" ref="G258">_xll.FDSB($C258,"CS_EVENT_TIME_N("&amp;$AA$18&amp;",1)")</f>
        <v>6:00 AM</v>
      </c>
      <c r="H258" s="282" t="str" cm="1">
        <f t="array" ref="H258">_xll.FDSB($C258,"CS_EVENT_DESC_N("&amp;$AA$18&amp;",1)")</f>
        <v>Q2 2026 Earnings Release</v>
      </c>
      <c r="I258" s="282"/>
      <c r="J258" s="274" cm="1">
        <f t="array" ref="J258">_xll.FDSB($C258,"CS_EVENT_DATEJ_N("&amp;$AB$18&amp;",1)")</f>
        <v>46232</v>
      </c>
      <c r="K258" s="282" t="str" cm="1">
        <f t="array" ref="K258">_xll.FDSB($C258,"CS_EVENT_TIME_N("&amp;$AB$18&amp;",1)")</f>
        <v>8:00 AM</v>
      </c>
      <c r="L258" s="282" t="str" cm="1">
        <f t="array" ref="L258">_xll.FDSB($C258,"CS_EVENT_DESC_N("&amp;$AB$18&amp;",1)")</f>
        <v>Q2 2026 Earnings Call</v>
      </c>
      <c r="M258" s="300"/>
      <c r="N258" s="274" cm="1">
        <f t="array" ref="N258">_xll.FDSB($C258,"CS_EVENT_DATEJ_N("&amp;$AA$18&amp;",2)")</f>
        <v>46332</v>
      </c>
      <c r="O258" s="282" t="str" cm="1">
        <f t="array" ref="O258">_xll.FDSB($C258,"CS_EVENT_TIME_N("&amp;$AA$18&amp;",2)")</f>
        <v>6:00 AM</v>
      </c>
      <c r="P258" s="282" t="str" cm="1">
        <f t="array" ref="P258">_xll.FDSB($C258,"CS_EVENT_DESC_N("&amp;$AA$18&amp;",2)")</f>
        <v>Q3 2026 Earnings Release</v>
      </c>
      <c r="Q258" s="282"/>
      <c r="R258" s="274" cm="1">
        <f t="array" ref="R258">_xll.FDSB($C258,"CS_EVENT_DATEJ_N("&amp;$AA$18&amp;",3)")</f>
        <v>46421</v>
      </c>
      <c r="S258" s="282" t="str" cm="1">
        <f t="array" ref="S258">_xll.FDSB($C258,"CS_EVENT_TIME_N("&amp;$AA$18&amp;",3)")</f>
        <v>Unspecified</v>
      </c>
      <c r="T258" s="282" t="str" cm="1">
        <f t="array" ref="T258">_xll.FDSB($C258,"CS_EVENT_DESC_N("&amp;$AA$18&amp;",3)")</f>
        <v>Q4 2026 Earnings Release (Projected)</v>
      </c>
      <c r="U258" s="282"/>
      <c r="V258" s="274" cm="1">
        <f t="array" ref="V258">_xll.FDSB($C258,"CS_EVENT_DATEJ_N("&amp;$AA$18&amp;",4)")</f>
        <v>46505</v>
      </c>
      <c r="W258" s="282" t="str" cm="1">
        <f t="array" ref="W258">_xll.FDSB($C258,"CS_EVENT_TIME_N("&amp;$AA$18&amp;",4)")</f>
        <v>Unspecified</v>
      </c>
      <c r="X258" s="282" t="str" cm="1">
        <f t="array" ref="X258">_xll.FDSB($C258,"CS_EVENT_DESC_N("&amp;$AA$18&amp;",4)")</f>
        <v>Q1 2027 Earnings Release (Projected)</v>
      </c>
    </row>
    <row r="259" spans="2:24" x14ac:dyDescent="0.15">
      <c r="B259" s="298">
        <f t="shared" si="5"/>
        <v>244</v>
      </c>
      <c r="C259" s="299" t="str">
        <v>CMG</v>
      </c>
      <c r="D259" s="300" t="str" cm="1">
        <f t="array" ref="D259">_xll.FDSB($C259,"FG_COMPANY_NAME")</f>
        <v>Chipotle Mexican Grill, Inc.</v>
      </c>
      <c r="E259" s="300"/>
      <c r="F259" s="274" cm="1">
        <f t="array" ref="F259">_xll.FDSB($C259,"CS_EVENT_DATEJ_N("&amp;$AA$18&amp;",1)")</f>
        <v>46232</v>
      </c>
      <c r="G259" s="282" t="str" cm="1">
        <f t="array" ref="G259">_xll.FDSB($C259,"CS_EVENT_TIME_N("&amp;$AA$18&amp;",1)")</f>
        <v>Unspecified</v>
      </c>
      <c r="H259" s="282" t="str" cm="1">
        <f t="array" ref="H259">_xll.FDSB($C259,"CS_EVENT_DESC_N("&amp;$AA$18&amp;",1)")</f>
        <v>Q2 2026 Earnings Release (Projected)</v>
      </c>
      <c r="I259" s="282"/>
      <c r="J259" s="274" t="str" cm="1">
        <f t="array" ref="J259">_xll.FDSB($C259,"CS_EVENT_DATEJ_N("&amp;$AB$18&amp;",1)")</f>
        <v/>
      </c>
      <c r="K259" s="282" t="str" cm="1">
        <f t="array" ref="K259">_xll.FDSB($C259,"CS_EVENT_TIME_N("&amp;$AB$18&amp;",1)")</f>
        <v/>
      </c>
      <c r="L259" s="282" t="str" cm="1">
        <f t="array" ref="L259">_xll.FDSB($C259,"CS_EVENT_DESC_N("&amp;$AB$18&amp;",1)")</f>
        <v/>
      </c>
      <c r="M259" s="300"/>
      <c r="N259" s="274" cm="1">
        <f t="array" ref="N259">_xll.FDSB($C259,"CS_EVENT_DATEJ_N("&amp;$AA$18&amp;",2)")</f>
        <v>46323</v>
      </c>
      <c r="O259" s="282" t="str" cm="1">
        <f t="array" ref="O259">_xll.FDSB($C259,"CS_EVENT_TIME_N("&amp;$AA$18&amp;",2)")</f>
        <v>Unspecified</v>
      </c>
      <c r="P259" s="282" t="str" cm="1">
        <f t="array" ref="P259">_xll.FDSB($C259,"CS_EVENT_DESC_N("&amp;$AA$18&amp;",2)")</f>
        <v>Q3 2026 Earnings Release (Projected)</v>
      </c>
      <c r="Q259" s="282"/>
      <c r="R259" s="274" cm="1">
        <f t="array" ref="R259">_xll.FDSB($C259,"CS_EVENT_DATEJ_N("&amp;$AA$18&amp;",3)")</f>
        <v>46427</v>
      </c>
      <c r="S259" s="282" t="str" cm="1">
        <f t="array" ref="S259">_xll.FDSB($C259,"CS_EVENT_TIME_N("&amp;$AA$18&amp;",3)")</f>
        <v>Unspecified</v>
      </c>
      <c r="T259" s="282" t="str" cm="1">
        <f t="array" ref="T259">_xll.FDSB($C259,"CS_EVENT_DESC_N("&amp;$AA$18&amp;",3)")</f>
        <v>Q4 2026 Earnings Release (Projected)</v>
      </c>
      <c r="U259" s="282"/>
      <c r="V259" s="274" cm="1">
        <f t="array" ref="V259">_xll.FDSB($C259,"CS_EVENT_DATEJ_N("&amp;$AA$18&amp;",4)")</f>
        <v>46504</v>
      </c>
      <c r="W259" s="282" t="str" cm="1">
        <f t="array" ref="W259">_xll.FDSB($C259,"CS_EVENT_TIME_N("&amp;$AA$18&amp;",4)")</f>
        <v>Unspecified</v>
      </c>
      <c r="X259" s="282" t="str" cm="1">
        <f t="array" ref="X259">_xll.FDSB($C259,"CS_EVENT_DESC_N("&amp;$AA$18&amp;",4)")</f>
        <v>Q1 2027 Earnings Release (Projected)</v>
      </c>
    </row>
    <row r="260" spans="2:24" x14ac:dyDescent="0.15">
      <c r="B260" s="298">
        <f t="shared" si="5"/>
        <v>245</v>
      </c>
      <c r="C260" s="299" t="str">
        <v>NEE</v>
      </c>
      <c r="D260" s="300" t="str" cm="1">
        <f t="array" ref="D260">_xll.FDSB($C260,"FG_COMPANY_NAME")</f>
        <v>NextEra Energy, Inc.</v>
      </c>
      <c r="E260" s="300"/>
      <c r="F260" s="274" cm="1">
        <f t="array" ref="F260">_xll.FDSB($C260,"CS_EVENT_DATEJ_N("&amp;$AA$18&amp;",1)")</f>
        <v>46232</v>
      </c>
      <c r="G260" s="282" t="str" cm="1">
        <f t="array" ref="G260">_xll.FDSB($C260,"CS_EVENT_TIME_N("&amp;$AA$18&amp;",1)")</f>
        <v>Unspecified</v>
      </c>
      <c r="H260" s="282" t="str" cm="1">
        <f t="array" ref="H260">_xll.FDSB($C260,"CS_EVENT_DESC_N("&amp;$AA$18&amp;",1)")</f>
        <v>Q2 2026 Earnings Release (Projected)</v>
      </c>
      <c r="I260" s="282"/>
      <c r="J260" s="274" t="str" cm="1">
        <f t="array" ref="J260">_xll.FDSB($C260,"CS_EVENT_DATEJ_N("&amp;$AB$18&amp;",1)")</f>
        <v/>
      </c>
      <c r="K260" s="282" t="str" cm="1">
        <f t="array" ref="K260">_xll.FDSB($C260,"CS_EVENT_TIME_N("&amp;$AB$18&amp;",1)")</f>
        <v/>
      </c>
      <c r="L260" s="282" t="str" cm="1">
        <f t="array" ref="L260">_xll.FDSB($C260,"CS_EVENT_DESC_N("&amp;$AB$18&amp;",1)")</f>
        <v/>
      </c>
      <c r="M260" s="300"/>
      <c r="N260" s="274" cm="1">
        <f t="array" ref="N260">_xll.FDSB($C260,"CS_EVENT_DATEJ_N("&amp;$AA$18&amp;",2)")</f>
        <v>46317</v>
      </c>
      <c r="O260" s="282" t="str" cm="1">
        <f t="array" ref="O260">_xll.FDSB($C260,"CS_EVENT_TIME_N("&amp;$AA$18&amp;",2)")</f>
        <v>Unspecified</v>
      </c>
      <c r="P260" s="282" t="str" cm="1">
        <f t="array" ref="P260">_xll.FDSB($C260,"CS_EVENT_DESC_N("&amp;$AA$18&amp;",2)")</f>
        <v>Q3 2026 Earnings Release (Projected)</v>
      </c>
      <c r="Q260" s="282"/>
      <c r="R260" s="274" cm="1">
        <f t="array" ref="R260">_xll.FDSB($C260,"CS_EVENT_DATEJ_N("&amp;$AA$18&amp;",3)")</f>
        <v>46413</v>
      </c>
      <c r="S260" s="282" t="str" cm="1">
        <f t="array" ref="S260">_xll.FDSB($C260,"CS_EVENT_TIME_N("&amp;$AA$18&amp;",3)")</f>
        <v>Unspecified</v>
      </c>
      <c r="T260" s="282" t="str" cm="1">
        <f t="array" ref="T260">_xll.FDSB($C260,"CS_EVENT_DESC_N("&amp;$AA$18&amp;",3)")</f>
        <v>Q4 2026 Earnings Release (Projected)</v>
      </c>
      <c r="U260" s="282"/>
      <c r="V260" s="274" t="str" cm="1">
        <f t="array" ref="V260">_xll.FDSB($C260,"CS_EVENT_DATEJ_N("&amp;$AA$18&amp;",4)")</f>
        <v/>
      </c>
      <c r="W260" s="282" t="str" cm="1">
        <f t="array" ref="W260">_xll.FDSB($C260,"CS_EVENT_TIME_N("&amp;$AA$18&amp;",4)")</f>
        <v/>
      </c>
      <c r="X260" s="282" t="str" cm="1">
        <f t="array" ref="X260">_xll.FDSB($C260,"CS_EVENT_DESC_N("&amp;$AA$18&amp;",4)")</f>
        <v/>
      </c>
    </row>
    <row r="261" spans="2:24" x14ac:dyDescent="0.15">
      <c r="B261" s="298">
        <f t="shared" si="5"/>
        <v>246</v>
      </c>
      <c r="C261" s="299" t="str">
        <v>AWK</v>
      </c>
      <c r="D261" s="300" t="str" cm="1">
        <f t="array" ref="D261">_xll.FDSB($C261,"FG_COMPANY_NAME")</f>
        <v>American Water Works Company, Inc.</v>
      </c>
      <c r="E261" s="300"/>
      <c r="F261" s="274" cm="1">
        <f t="array" ref="F261">_xll.FDSB($C261,"CS_EVENT_DATEJ_N("&amp;$AA$18&amp;",1)")</f>
        <v>46232</v>
      </c>
      <c r="G261" s="282" t="str" cm="1">
        <f t="array" ref="G261">_xll.FDSB($C261,"CS_EVENT_TIME_N("&amp;$AA$18&amp;",1)")</f>
        <v>Unspecified</v>
      </c>
      <c r="H261" s="282" t="str" cm="1">
        <f t="array" ref="H261">_xll.FDSB($C261,"CS_EVENT_DESC_N("&amp;$AA$18&amp;",1)")</f>
        <v>Q2 2026 Earnings Release</v>
      </c>
      <c r="I261" s="282"/>
      <c r="J261" s="274" cm="1">
        <f t="array" ref="J261">_xll.FDSB($C261,"CS_EVENT_DATEJ_N("&amp;$AB$18&amp;",1)")</f>
        <v>46233</v>
      </c>
      <c r="K261" s="282" t="str" cm="1">
        <f t="array" ref="K261">_xll.FDSB($C261,"CS_EVENT_TIME_N("&amp;$AB$18&amp;",1)")</f>
        <v>9:00 AM</v>
      </c>
      <c r="L261" s="282" t="str" cm="1">
        <f t="array" ref="L261">_xll.FDSB($C261,"CS_EVENT_DESC_N("&amp;$AB$18&amp;",1)")</f>
        <v>Q2 2026 Earnings Call</v>
      </c>
      <c r="M261" s="300"/>
      <c r="N261" s="274" cm="1">
        <f t="array" ref="N261">_xll.FDSB($C261,"CS_EVENT_DATEJ_N("&amp;$AA$18&amp;",2)")</f>
        <v>46323</v>
      </c>
      <c r="O261" s="282" t="str" cm="1">
        <f t="array" ref="O261">_xll.FDSB($C261,"CS_EVENT_TIME_N("&amp;$AA$18&amp;",2)")</f>
        <v>Unspecified</v>
      </c>
      <c r="P261" s="282" t="str" cm="1">
        <f t="array" ref="P261">_xll.FDSB($C261,"CS_EVENT_DESC_N("&amp;$AA$18&amp;",2)")</f>
        <v>Q3 2026 Earnings Release</v>
      </c>
      <c r="Q261" s="282"/>
      <c r="R261" s="274" cm="1">
        <f t="array" ref="R261">_xll.FDSB($C261,"CS_EVENT_DATEJ_N("&amp;$AA$18&amp;",3)")</f>
        <v>46442</v>
      </c>
      <c r="S261" s="282" t="str" cm="1">
        <f t="array" ref="S261">_xll.FDSB($C261,"CS_EVENT_TIME_N("&amp;$AA$18&amp;",3)")</f>
        <v>Unspecified</v>
      </c>
      <c r="T261" s="282" t="str" cm="1">
        <f t="array" ref="T261">_xll.FDSB($C261,"CS_EVENT_DESC_N("&amp;$AA$18&amp;",3)")</f>
        <v>Q4 2026 Earnings Release (Projected)</v>
      </c>
      <c r="U261" s="282"/>
      <c r="V261" s="274" cm="1">
        <f t="array" ref="V261">_xll.FDSB($C261,"CS_EVENT_DATEJ_N("&amp;$AA$18&amp;",4)")</f>
        <v>46603</v>
      </c>
      <c r="W261" s="282" t="str" cm="1">
        <f t="array" ref="W261">_xll.FDSB($C261,"CS_EVENT_TIME_N("&amp;$AA$18&amp;",4)")</f>
        <v>Unspecified</v>
      </c>
      <c r="X261" s="282" t="str" cm="1">
        <f t="array" ref="X261">_xll.FDSB($C261,"CS_EVENT_DESC_N("&amp;$AA$18&amp;",4)")</f>
        <v>Q2 2027 Earnings Release (Projected)</v>
      </c>
    </row>
    <row r="262" spans="2:24" x14ac:dyDescent="0.15">
      <c r="B262" s="298">
        <f t="shared" si="5"/>
        <v>247</v>
      </c>
      <c r="C262" s="299" t="str">
        <v>PTC</v>
      </c>
      <c r="D262" s="300" t="str" cm="1">
        <f t="array" ref="D262">_xll.FDSB($C262,"FG_COMPANY_NAME")</f>
        <v>PTC Inc.</v>
      </c>
      <c r="E262" s="300"/>
      <c r="F262" s="274" cm="1">
        <f t="array" ref="F262">_xll.FDSB($C262,"CS_EVENT_DATEJ_N("&amp;$AA$18&amp;",1)")</f>
        <v>46232</v>
      </c>
      <c r="G262" s="282" t="str" cm="1">
        <f t="array" ref="G262">_xll.FDSB($C262,"CS_EVENT_TIME_N("&amp;$AA$18&amp;",1)")</f>
        <v>Unspecified</v>
      </c>
      <c r="H262" s="282" t="str" cm="1">
        <f t="array" ref="H262">_xll.FDSB($C262,"CS_EVENT_DESC_N("&amp;$AA$18&amp;",1)")</f>
        <v>Q3 2026 Earnings Release (Projected)</v>
      </c>
      <c r="I262" s="282"/>
      <c r="J262" s="274" t="str" cm="1">
        <f t="array" ref="J262">_xll.FDSB($C262,"CS_EVENT_DATEJ_N("&amp;$AB$18&amp;",1)")</f>
        <v/>
      </c>
      <c r="K262" s="282" t="str" cm="1">
        <f t="array" ref="K262">_xll.FDSB($C262,"CS_EVENT_TIME_N("&amp;$AB$18&amp;",1)")</f>
        <v/>
      </c>
      <c r="L262" s="282" t="str" cm="1">
        <f t="array" ref="L262">_xll.FDSB($C262,"CS_EVENT_DESC_N("&amp;$AB$18&amp;",1)")</f>
        <v/>
      </c>
      <c r="M262" s="300"/>
      <c r="N262" s="274" cm="1">
        <f t="array" ref="N262">_xll.FDSB($C262,"CS_EVENT_DATEJ_N("&amp;$AA$18&amp;",2)")</f>
        <v>46330</v>
      </c>
      <c r="O262" s="282" t="str" cm="1">
        <f t="array" ref="O262">_xll.FDSB($C262,"CS_EVENT_TIME_N("&amp;$AA$18&amp;",2)")</f>
        <v>Unspecified</v>
      </c>
      <c r="P262" s="282" t="str" cm="1">
        <f t="array" ref="P262">_xll.FDSB($C262,"CS_EVENT_DESC_N("&amp;$AA$18&amp;",2)")</f>
        <v>Q4 2026 Earnings Release (Projected)</v>
      </c>
      <c r="Q262" s="282"/>
      <c r="R262" s="274" cm="1">
        <f t="array" ref="R262">_xll.FDSB($C262,"CS_EVENT_DATEJ_N("&amp;$AA$18&amp;",3)")</f>
        <v>46421</v>
      </c>
      <c r="S262" s="282" t="str" cm="1">
        <f t="array" ref="S262">_xll.FDSB($C262,"CS_EVENT_TIME_N("&amp;$AA$18&amp;",3)")</f>
        <v>Unspecified</v>
      </c>
      <c r="T262" s="282" t="str" cm="1">
        <f t="array" ref="T262">_xll.FDSB($C262,"CS_EVENT_DESC_N("&amp;$AA$18&amp;",3)")</f>
        <v>Q1 2027 Earnings Release (Projected)</v>
      </c>
      <c r="U262" s="282"/>
      <c r="V262" s="274" cm="1">
        <f t="array" ref="V262">_xll.FDSB($C262,"CS_EVENT_DATEJ_N("&amp;$AA$18&amp;",4)")</f>
        <v>46505</v>
      </c>
      <c r="W262" s="282" t="str" cm="1">
        <f t="array" ref="W262">_xll.FDSB($C262,"CS_EVENT_TIME_N("&amp;$AA$18&amp;",4)")</f>
        <v>Unspecified</v>
      </c>
      <c r="X262" s="282" t="str" cm="1">
        <f t="array" ref="X262">_xll.FDSB($C262,"CS_EVENT_DESC_N("&amp;$AA$18&amp;",4)")</f>
        <v>Q2 2027 Earnings Release (Projected)</v>
      </c>
    </row>
    <row r="263" spans="2:24" x14ac:dyDescent="0.15">
      <c r="B263" s="298">
        <f t="shared" si="5"/>
        <v>248</v>
      </c>
      <c r="C263" s="299" t="str">
        <v>TSLA</v>
      </c>
      <c r="D263" s="300" t="str" cm="1">
        <f t="array" ref="D263">_xll.FDSB($C263,"FG_COMPANY_NAME")</f>
        <v>Tesla, Inc.</v>
      </c>
      <c r="E263" s="300"/>
      <c r="F263" s="274" cm="1">
        <f t="array" ref="F263">_xll.FDSB($C263,"CS_EVENT_DATEJ_N("&amp;$AA$18&amp;",1)")</f>
        <v>46232</v>
      </c>
      <c r="G263" s="282" t="str" cm="1">
        <f t="array" ref="G263">_xll.FDSB($C263,"CS_EVENT_TIME_N("&amp;$AA$18&amp;",1)")</f>
        <v>Unspecified</v>
      </c>
      <c r="H263" s="282" t="str" cm="1">
        <f t="array" ref="H263">_xll.FDSB($C263,"CS_EVENT_DESC_N("&amp;$AA$18&amp;",1)")</f>
        <v>Q2 2026 Earnings Release (Projected)</v>
      </c>
      <c r="I263" s="282"/>
      <c r="J263" s="274" t="str" cm="1">
        <f t="array" ref="J263">_xll.FDSB($C263,"CS_EVENT_DATEJ_N("&amp;$AB$18&amp;",1)")</f>
        <v/>
      </c>
      <c r="K263" s="282" t="str" cm="1">
        <f t="array" ref="K263">_xll.FDSB($C263,"CS_EVENT_TIME_N("&amp;$AB$18&amp;",1)")</f>
        <v/>
      </c>
      <c r="L263" s="282" t="str" cm="1">
        <f t="array" ref="L263">_xll.FDSB($C263,"CS_EVENT_DESC_N("&amp;$AB$18&amp;",1)")</f>
        <v/>
      </c>
      <c r="M263" s="300"/>
      <c r="N263" s="274" cm="1">
        <f t="array" ref="N263">_xll.FDSB($C263,"CS_EVENT_DATEJ_N("&amp;$AA$18&amp;",2)")</f>
        <v>46323</v>
      </c>
      <c r="O263" s="282" t="str" cm="1">
        <f t="array" ref="O263">_xll.FDSB($C263,"CS_EVENT_TIME_N("&amp;$AA$18&amp;",2)")</f>
        <v>Unspecified</v>
      </c>
      <c r="P263" s="282" t="str" cm="1">
        <f t="array" ref="P263">_xll.FDSB($C263,"CS_EVENT_DESC_N("&amp;$AA$18&amp;",2)")</f>
        <v>Q3 2026 Earnings Release (Projected)</v>
      </c>
      <c r="Q263" s="282"/>
      <c r="R263" s="274" cm="1">
        <f t="array" ref="R263">_xll.FDSB($C263,"CS_EVENT_DATEJ_N("&amp;$AA$18&amp;",3)")</f>
        <v>46421</v>
      </c>
      <c r="S263" s="282" t="str" cm="1">
        <f t="array" ref="S263">_xll.FDSB($C263,"CS_EVENT_TIME_N("&amp;$AA$18&amp;",3)")</f>
        <v>Unspecified</v>
      </c>
      <c r="T263" s="282" t="str" cm="1">
        <f t="array" ref="T263">_xll.FDSB($C263,"CS_EVENT_DESC_N("&amp;$AA$18&amp;",3)")</f>
        <v>Q4 2026 Earnings Release (Projected)</v>
      </c>
      <c r="U263" s="282"/>
      <c r="V263" s="274" cm="1">
        <f t="array" ref="V263">_xll.FDSB($C263,"CS_EVENT_DATEJ_N("&amp;$AA$18&amp;",4)")</f>
        <v>46504</v>
      </c>
      <c r="W263" s="282" t="str" cm="1">
        <f t="array" ref="W263">_xll.FDSB($C263,"CS_EVENT_TIME_N("&amp;$AA$18&amp;",4)")</f>
        <v>Unspecified</v>
      </c>
      <c r="X263" s="282" t="str" cm="1">
        <f t="array" ref="X263">_xll.FDSB($C263,"CS_EVENT_DESC_N("&amp;$AA$18&amp;",4)")</f>
        <v>Q1 2027 Earnings Release (Projected)</v>
      </c>
    </row>
    <row r="264" spans="2:24" x14ac:dyDescent="0.15">
      <c r="B264" s="298">
        <f t="shared" si="5"/>
        <v>249</v>
      </c>
      <c r="C264" s="299" t="str">
        <v>HLT</v>
      </c>
      <c r="D264" s="300" t="str" cm="1">
        <f t="array" ref="D264">_xll.FDSB($C264,"FG_COMPANY_NAME")</f>
        <v>Hilton Worldwide Holdings Inc.</v>
      </c>
      <c r="E264" s="300"/>
      <c r="F264" s="274" cm="1">
        <f t="array" ref="F264">_xll.FDSB($C264,"CS_EVENT_DATEJ_N("&amp;$AA$18&amp;",1)")</f>
        <v>46232</v>
      </c>
      <c r="G264" s="282" t="str" cm="1">
        <f t="array" ref="G264">_xll.FDSB($C264,"CS_EVENT_TIME_N("&amp;$AA$18&amp;",1)")</f>
        <v>Unspecified</v>
      </c>
      <c r="H264" s="282" t="str" cm="1">
        <f t="array" ref="H264">_xll.FDSB($C264,"CS_EVENT_DESC_N("&amp;$AA$18&amp;",1)")</f>
        <v>Q2 2026 Earnings Release (Projected)</v>
      </c>
      <c r="I264" s="282"/>
      <c r="J264" s="274" t="str" cm="1">
        <f t="array" ref="J264">_xll.FDSB($C264,"CS_EVENT_DATEJ_N("&amp;$AB$18&amp;",1)")</f>
        <v/>
      </c>
      <c r="K264" s="282" t="str" cm="1">
        <f t="array" ref="K264">_xll.FDSB($C264,"CS_EVENT_TIME_N("&amp;$AB$18&amp;",1)")</f>
        <v/>
      </c>
      <c r="L264" s="282" t="str" cm="1">
        <f t="array" ref="L264">_xll.FDSB($C264,"CS_EVENT_DESC_N("&amp;$AB$18&amp;",1)")</f>
        <v/>
      </c>
      <c r="M264" s="300"/>
      <c r="N264" s="274" cm="1">
        <f t="array" ref="N264">_xll.FDSB($C264,"CS_EVENT_DATEJ_N("&amp;$AA$18&amp;",2)")</f>
        <v>46323</v>
      </c>
      <c r="O264" s="282" t="str" cm="1">
        <f t="array" ref="O264">_xll.FDSB($C264,"CS_EVENT_TIME_N("&amp;$AA$18&amp;",2)")</f>
        <v>Unspecified</v>
      </c>
      <c r="P264" s="282" t="str" cm="1">
        <f t="array" ref="P264">_xll.FDSB($C264,"CS_EVENT_DESC_N("&amp;$AA$18&amp;",2)")</f>
        <v>Q3 2026 Earnings Release (Projected)</v>
      </c>
      <c r="Q264" s="282"/>
      <c r="R264" s="274" cm="1">
        <f t="array" ref="R264">_xll.FDSB($C264,"CS_EVENT_DATEJ_N("&amp;$AA$18&amp;",3)")</f>
        <v>46435</v>
      </c>
      <c r="S264" s="282" t="str" cm="1">
        <f t="array" ref="S264">_xll.FDSB($C264,"CS_EVENT_TIME_N("&amp;$AA$18&amp;",3)")</f>
        <v>Unspecified</v>
      </c>
      <c r="T264" s="282" t="str" cm="1">
        <f t="array" ref="T264">_xll.FDSB($C264,"CS_EVENT_DESC_N("&amp;$AA$18&amp;",3)")</f>
        <v>Q4 2026 Earnings Release (Projected)</v>
      </c>
      <c r="U264" s="282"/>
      <c r="V264" s="274" t="str" cm="1">
        <f t="array" ref="V264">_xll.FDSB($C264,"CS_EVENT_DATEJ_N("&amp;$AA$18&amp;",4)")</f>
        <v/>
      </c>
      <c r="W264" s="282" t="str" cm="1">
        <f t="array" ref="W264">_xll.FDSB($C264,"CS_EVENT_TIME_N("&amp;$AA$18&amp;",4)")</f>
        <v/>
      </c>
      <c r="X264" s="282" t="str" cm="1">
        <f t="array" ref="X264">_xll.FDSB($C264,"CS_EVENT_DESC_N("&amp;$AA$18&amp;",4)")</f>
        <v/>
      </c>
    </row>
    <row r="265" spans="2:24" x14ac:dyDescent="0.15">
      <c r="B265" s="298">
        <f t="shared" si="5"/>
        <v>250</v>
      </c>
      <c r="C265" s="299" t="str">
        <v>CME</v>
      </c>
      <c r="D265" s="300" t="str" cm="1">
        <f t="array" ref="D265">_xll.FDSB($C265,"FG_COMPANY_NAME")</f>
        <v>CME Group Inc. Class A</v>
      </c>
      <c r="E265" s="300"/>
      <c r="F265" s="274" cm="1">
        <f t="array" ref="F265">_xll.FDSB($C265,"CS_EVENT_DATEJ_N("&amp;$AA$18&amp;",1)")</f>
        <v>46232</v>
      </c>
      <c r="G265" s="282" t="str" cm="1">
        <f t="array" ref="G265">_xll.FDSB($C265,"CS_EVENT_TIME_N("&amp;$AA$18&amp;",1)")</f>
        <v>Unspecified</v>
      </c>
      <c r="H265" s="282" t="str" cm="1">
        <f t="array" ref="H265">_xll.FDSB($C265,"CS_EVENT_DESC_N("&amp;$AA$18&amp;",1)")</f>
        <v>Q2 2026 Earnings Release (Projected)</v>
      </c>
      <c r="I265" s="282"/>
      <c r="J265" s="274" t="str" cm="1">
        <f t="array" ref="J265">_xll.FDSB($C265,"CS_EVENT_DATEJ_N("&amp;$AB$18&amp;",1)")</f>
        <v/>
      </c>
      <c r="K265" s="282" t="str" cm="1">
        <f t="array" ref="K265">_xll.FDSB($C265,"CS_EVENT_TIME_N("&amp;$AB$18&amp;",1)")</f>
        <v/>
      </c>
      <c r="L265" s="282" t="str" cm="1">
        <f t="array" ref="L265">_xll.FDSB($C265,"CS_EVENT_DESC_N("&amp;$AB$18&amp;",1)")</f>
        <v/>
      </c>
      <c r="M265" s="300"/>
      <c r="N265" s="274" cm="1">
        <f t="array" ref="N265">_xll.FDSB($C265,"CS_EVENT_DATEJ_N("&amp;$AA$18&amp;",2)")</f>
        <v>46323</v>
      </c>
      <c r="O265" s="282" t="str" cm="1">
        <f t="array" ref="O265">_xll.FDSB($C265,"CS_EVENT_TIME_N("&amp;$AA$18&amp;",2)")</f>
        <v>Unspecified</v>
      </c>
      <c r="P265" s="282" t="str" cm="1">
        <f t="array" ref="P265">_xll.FDSB($C265,"CS_EVENT_DESC_N("&amp;$AA$18&amp;",2)")</f>
        <v>Q3 2026 Earnings Release (Projected)</v>
      </c>
      <c r="Q265" s="282"/>
      <c r="R265" s="274" cm="1">
        <f t="array" ref="R265">_xll.FDSB($C265,"CS_EVENT_DATEJ_N("&amp;$AA$18&amp;",3)")</f>
        <v>46428</v>
      </c>
      <c r="S265" s="282" t="str" cm="1">
        <f t="array" ref="S265">_xll.FDSB($C265,"CS_EVENT_TIME_N("&amp;$AA$18&amp;",3)")</f>
        <v>Unspecified</v>
      </c>
      <c r="T265" s="282" t="str" cm="1">
        <f t="array" ref="T265">_xll.FDSB($C265,"CS_EVENT_DESC_N("&amp;$AA$18&amp;",3)")</f>
        <v>Q4 2026 Earnings Release (Projected)</v>
      </c>
      <c r="U265" s="282"/>
      <c r="V265" s="274" cm="1">
        <f t="array" ref="V265">_xll.FDSB($C265,"CS_EVENT_DATEJ_N("&amp;$AA$18&amp;",4)")</f>
        <v>46505</v>
      </c>
      <c r="W265" s="282" t="str" cm="1">
        <f t="array" ref="W265">_xll.FDSB($C265,"CS_EVENT_TIME_N("&amp;$AA$18&amp;",4)")</f>
        <v>Unspecified</v>
      </c>
      <c r="X265" s="282" t="str" cm="1">
        <f t="array" ref="X265">_xll.FDSB($C265,"CS_EVENT_DESC_N("&amp;$AA$18&amp;",4)")</f>
        <v>Q1 2027 Earnings Release (Projected)</v>
      </c>
    </row>
    <row r="266" spans="2:24" x14ac:dyDescent="0.15">
      <c r="B266" s="298">
        <f t="shared" si="5"/>
        <v>251</v>
      </c>
      <c r="C266" s="299" t="str">
        <v>AMP</v>
      </c>
      <c r="D266" s="300" t="str" cm="1">
        <f t="array" ref="D266">_xll.FDSB($C266,"FG_COMPANY_NAME")</f>
        <v>Ameriprise Financial, Inc.</v>
      </c>
      <c r="E266" s="300"/>
      <c r="F266" s="274" cm="1">
        <f t="array" ref="F266">_xll.FDSB($C266,"CS_EVENT_DATEJ_N("&amp;$AA$18&amp;",1)")</f>
        <v>46232</v>
      </c>
      <c r="G266" s="282" t="str" cm="1">
        <f t="array" ref="G266">_xll.FDSB($C266,"CS_EVENT_TIME_N("&amp;$AA$18&amp;",1)")</f>
        <v>Unspecified</v>
      </c>
      <c r="H266" s="282" t="str" cm="1">
        <f t="array" ref="H266">_xll.FDSB($C266,"CS_EVENT_DESC_N("&amp;$AA$18&amp;",1)")</f>
        <v>Q2 2026 Earnings Release (Projected)</v>
      </c>
      <c r="I266" s="282"/>
      <c r="J266" s="274" t="str" cm="1">
        <f t="array" ref="J266">_xll.FDSB($C266,"CS_EVENT_DATEJ_N("&amp;$AB$18&amp;",1)")</f>
        <v/>
      </c>
      <c r="K266" s="282" t="str" cm="1">
        <f t="array" ref="K266">_xll.FDSB($C266,"CS_EVENT_TIME_N("&amp;$AB$18&amp;",1)")</f>
        <v/>
      </c>
      <c r="L266" s="282" t="str" cm="1">
        <f t="array" ref="L266">_xll.FDSB($C266,"CS_EVENT_DESC_N("&amp;$AB$18&amp;",1)")</f>
        <v/>
      </c>
      <c r="M266" s="300"/>
      <c r="N266" s="274" cm="1">
        <f t="array" ref="N266">_xll.FDSB($C266,"CS_EVENT_DATEJ_N("&amp;$AA$18&amp;",2)")</f>
        <v>46322</v>
      </c>
      <c r="O266" s="282" t="str" cm="1">
        <f t="array" ref="O266">_xll.FDSB($C266,"CS_EVENT_TIME_N("&amp;$AA$18&amp;",2)")</f>
        <v>Unspecified</v>
      </c>
      <c r="P266" s="282" t="str" cm="1">
        <f t="array" ref="P266">_xll.FDSB($C266,"CS_EVENT_DESC_N("&amp;$AA$18&amp;",2)")</f>
        <v>Q3 2026 Earnings Release (Projected)</v>
      </c>
      <c r="Q266" s="282"/>
      <c r="R266" s="274" cm="1">
        <f t="array" ref="R266">_xll.FDSB($C266,"CS_EVENT_DATEJ_N("&amp;$AA$18&amp;",3)")</f>
        <v>46414</v>
      </c>
      <c r="S266" s="282" t="str" cm="1">
        <f t="array" ref="S266">_xll.FDSB($C266,"CS_EVENT_TIME_N("&amp;$AA$18&amp;",3)")</f>
        <v>Unspecified</v>
      </c>
      <c r="T266" s="282" t="str" cm="1">
        <f t="array" ref="T266">_xll.FDSB($C266,"CS_EVENT_DESC_N("&amp;$AA$18&amp;",3)")</f>
        <v>Q4 2026 Earnings Release (Projected)</v>
      </c>
      <c r="U266" s="282"/>
      <c r="V266" s="274" cm="1">
        <f t="array" ref="V266">_xll.FDSB($C266,"CS_EVENT_DATEJ_N("&amp;$AA$18&amp;",4)")</f>
        <v>46503</v>
      </c>
      <c r="W266" s="282" t="str" cm="1">
        <f t="array" ref="W266">_xll.FDSB($C266,"CS_EVENT_TIME_N("&amp;$AA$18&amp;",4)")</f>
        <v>Unspecified</v>
      </c>
      <c r="X266" s="282" t="str" cm="1">
        <f t="array" ref="X266">_xll.FDSB($C266,"CS_EVENT_DESC_N("&amp;$AA$18&amp;",4)")</f>
        <v>Q1 2027 Earnings Release (Projected)</v>
      </c>
    </row>
    <row r="267" spans="2:24" x14ac:dyDescent="0.15">
      <c r="B267" s="298">
        <f t="shared" si="5"/>
        <v>252</v>
      </c>
      <c r="C267" s="299" t="str">
        <v>T</v>
      </c>
      <c r="D267" s="300" t="str" cm="1">
        <f t="array" ref="D267">_xll.FDSB($C267,"FG_COMPANY_NAME")</f>
        <v>AT&amp;T Inc</v>
      </c>
      <c r="E267" s="300"/>
      <c r="F267" s="274" cm="1">
        <f t="array" ref="F267">_xll.FDSB($C267,"CS_EVENT_DATEJ_N("&amp;$AA$18&amp;",1)")</f>
        <v>46232</v>
      </c>
      <c r="G267" s="282" t="str" cm="1">
        <f t="array" ref="G267">_xll.FDSB($C267,"CS_EVENT_TIME_N("&amp;$AA$18&amp;",1)")</f>
        <v>Unspecified</v>
      </c>
      <c r="H267" s="282" t="str" cm="1">
        <f t="array" ref="H267">_xll.FDSB($C267,"CS_EVENT_DESC_N("&amp;$AA$18&amp;",1)")</f>
        <v>Q2 2026 Earnings Release (Projected)</v>
      </c>
      <c r="I267" s="282"/>
      <c r="J267" s="274" t="str" cm="1">
        <f t="array" ref="J267">_xll.FDSB($C267,"CS_EVENT_DATEJ_N("&amp;$AB$18&amp;",1)")</f>
        <v/>
      </c>
      <c r="K267" s="282" t="str" cm="1">
        <f t="array" ref="K267">_xll.FDSB($C267,"CS_EVENT_TIME_N("&amp;$AB$18&amp;",1)")</f>
        <v/>
      </c>
      <c r="L267" s="282" t="str" cm="1">
        <f t="array" ref="L267">_xll.FDSB($C267,"CS_EVENT_DESC_N("&amp;$AB$18&amp;",1)")</f>
        <v/>
      </c>
      <c r="M267" s="300"/>
      <c r="N267" s="274" cm="1">
        <f t="array" ref="N267">_xll.FDSB($C267,"CS_EVENT_DATEJ_N("&amp;$AA$18&amp;",2)")</f>
        <v>46323</v>
      </c>
      <c r="O267" s="282" t="str" cm="1">
        <f t="array" ref="O267">_xll.FDSB($C267,"CS_EVENT_TIME_N("&amp;$AA$18&amp;",2)")</f>
        <v>Unspecified</v>
      </c>
      <c r="P267" s="282" t="str" cm="1">
        <f t="array" ref="P267">_xll.FDSB($C267,"CS_EVENT_DESC_N("&amp;$AA$18&amp;",2)")</f>
        <v>Q3 2026 Earnings Release (Projected)</v>
      </c>
      <c r="Q267" s="282"/>
      <c r="R267" s="274" cm="1">
        <f t="array" ref="R267">_xll.FDSB($C267,"CS_EVENT_DATEJ_N("&amp;$AA$18&amp;",3)")</f>
        <v>46414</v>
      </c>
      <c r="S267" s="282" t="str" cm="1">
        <f t="array" ref="S267">_xll.FDSB($C267,"CS_EVENT_TIME_N("&amp;$AA$18&amp;",3)")</f>
        <v>Unspecified</v>
      </c>
      <c r="T267" s="282" t="str" cm="1">
        <f t="array" ref="T267">_xll.FDSB($C267,"CS_EVENT_DESC_N("&amp;$AA$18&amp;",3)")</f>
        <v>Q4 2026 Earnings Release (Projected)</v>
      </c>
      <c r="U267" s="282"/>
      <c r="V267" s="274" cm="1">
        <f t="array" ref="V267">_xll.FDSB($C267,"CS_EVENT_DATEJ_N("&amp;$AA$18&amp;",4)")</f>
        <v>46499</v>
      </c>
      <c r="W267" s="282" t="str" cm="1">
        <f t="array" ref="W267">_xll.FDSB($C267,"CS_EVENT_TIME_N("&amp;$AA$18&amp;",4)")</f>
        <v>Unspecified</v>
      </c>
      <c r="X267" s="282" t="str" cm="1">
        <f t="array" ref="X267">_xll.FDSB($C267,"CS_EVENT_DESC_N("&amp;$AA$18&amp;",4)")</f>
        <v>Q1 2027 Earnings Release (Projected)</v>
      </c>
    </row>
    <row r="268" spans="2:24" x14ac:dyDescent="0.15">
      <c r="B268" s="298">
        <f t="shared" si="5"/>
        <v>253</v>
      </c>
      <c r="C268" s="299" t="str">
        <v>UDR</v>
      </c>
      <c r="D268" s="300" t="str" cm="1">
        <f t="array" ref="D268">_xll.FDSB($C268,"FG_COMPANY_NAME")</f>
        <v>UDR, Inc.</v>
      </c>
      <c r="E268" s="300"/>
      <c r="F268" s="274" cm="1">
        <f t="array" ref="F268">_xll.FDSB($C268,"CS_EVENT_DATEJ_N("&amp;$AA$18&amp;",1)")</f>
        <v>46232</v>
      </c>
      <c r="G268" s="282" t="str" cm="1">
        <f t="array" ref="G268">_xll.FDSB($C268,"CS_EVENT_TIME_N("&amp;$AA$18&amp;",1)")</f>
        <v>Unspecified</v>
      </c>
      <c r="H268" s="282" t="str" cm="1">
        <f t="array" ref="H268">_xll.FDSB($C268,"CS_EVENT_DESC_N("&amp;$AA$18&amp;",1)")</f>
        <v>Q2 2026 Earnings Release (Projected)</v>
      </c>
      <c r="I268" s="282"/>
      <c r="J268" s="274" t="str" cm="1">
        <f t="array" ref="J268">_xll.FDSB($C268,"CS_EVENT_DATEJ_N("&amp;$AB$18&amp;",1)")</f>
        <v/>
      </c>
      <c r="K268" s="282" t="str" cm="1">
        <f t="array" ref="K268">_xll.FDSB($C268,"CS_EVENT_TIME_N("&amp;$AB$18&amp;",1)")</f>
        <v/>
      </c>
      <c r="L268" s="282" t="str" cm="1">
        <f t="array" ref="L268">_xll.FDSB($C268,"CS_EVENT_DESC_N("&amp;$AB$18&amp;",1)")</f>
        <v/>
      </c>
      <c r="M268" s="300"/>
      <c r="N268" s="274" cm="1">
        <f t="array" ref="N268">_xll.FDSB($C268,"CS_EVENT_DATEJ_N("&amp;$AA$18&amp;",2)")</f>
        <v>46323</v>
      </c>
      <c r="O268" s="282" t="str" cm="1">
        <f t="array" ref="O268">_xll.FDSB($C268,"CS_EVENT_TIME_N("&amp;$AA$18&amp;",2)")</f>
        <v>Unspecified</v>
      </c>
      <c r="P268" s="282" t="str" cm="1">
        <f t="array" ref="P268">_xll.FDSB($C268,"CS_EVENT_DESC_N("&amp;$AA$18&amp;",2)")</f>
        <v>Q3 2026 Earnings Release (Projected)</v>
      </c>
      <c r="Q268" s="282"/>
      <c r="R268" s="274" cm="1">
        <f t="array" ref="R268">_xll.FDSB($C268,"CS_EVENT_DATEJ_N("&amp;$AA$18&amp;",3)")</f>
        <v>46427</v>
      </c>
      <c r="S268" s="282" t="str" cm="1">
        <f t="array" ref="S268">_xll.FDSB($C268,"CS_EVENT_TIME_N("&amp;$AA$18&amp;",3)")</f>
        <v>Unspecified</v>
      </c>
      <c r="T268" s="282" t="str" cm="1">
        <f t="array" ref="T268">_xll.FDSB($C268,"CS_EVENT_DESC_N("&amp;$AA$18&amp;",3)")</f>
        <v>Q4 2026 Earnings Release (Projected)</v>
      </c>
      <c r="U268" s="282"/>
      <c r="V268" s="274" cm="1">
        <f t="array" ref="V268">_xll.FDSB($C268,"CS_EVENT_DATEJ_N("&amp;$AA$18&amp;",4)")</f>
        <v>46504</v>
      </c>
      <c r="W268" s="282" t="str" cm="1">
        <f t="array" ref="W268">_xll.FDSB($C268,"CS_EVENT_TIME_N("&amp;$AA$18&amp;",4)")</f>
        <v>Unspecified</v>
      </c>
      <c r="X268" s="282" t="str" cm="1">
        <f t="array" ref="X268">_xll.FDSB($C268,"CS_EVENT_DESC_N("&amp;$AA$18&amp;",4)")</f>
        <v>Q1 2027 Earnings Release (Projected)</v>
      </c>
    </row>
    <row r="269" spans="2:24" x14ac:dyDescent="0.15">
      <c r="B269" s="298">
        <f t="shared" si="5"/>
        <v>254</v>
      </c>
      <c r="C269" s="299" t="str">
        <v>TEL</v>
      </c>
      <c r="D269" s="300" t="str" cm="1">
        <f t="array" ref="D269">_xll.FDSB($C269,"FG_COMPANY_NAME")</f>
        <v>TE Connectivity plc</v>
      </c>
      <c r="E269" s="300"/>
      <c r="F269" s="274" cm="1">
        <f t="array" ref="F269">_xll.FDSB($C269,"CS_EVENT_DATEJ_N("&amp;$AA$18&amp;",1)")</f>
        <v>46232</v>
      </c>
      <c r="G269" s="282" t="str" cm="1">
        <f t="array" ref="G269">_xll.FDSB($C269,"CS_EVENT_TIME_N("&amp;$AA$18&amp;",1)")</f>
        <v>Unspecified</v>
      </c>
      <c r="H269" s="282" t="str" cm="1">
        <f t="array" ref="H269">_xll.FDSB($C269,"CS_EVENT_DESC_N("&amp;$AA$18&amp;",1)")</f>
        <v>Q3 2026 Earnings Release (Projected)</v>
      </c>
      <c r="I269" s="282"/>
      <c r="J269" s="274" t="str" cm="1">
        <f t="array" ref="J269">_xll.FDSB($C269,"CS_EVENT_DATEJ_N("&amp;$AB$18&amp;",1)")</f>
        <v/>
      </c>
      <c r="K269" s="282" t="str" cm="1">
        <f t="array" ref="K269">_xll.FDSB($C269,"CS_EVENT_TIME_N("&amp;$AB$18&amp;",1)")</f>
        <v/>
      </c>
      <c r="L269" s="282" t="str" cm="1">
        <f t="array" ref="L269">_xll.FDSB($C269,"CS_EVENT_DESC_N("&amp;$AB$18&amp;",1)")</f>
        <v/>
      </c>
      <c r="M269" s="300"/>
      <c r="N269" s="274" cm="1">
        <f t="array" ref="N269">_xll.FDSB($C269,"CS_EVENT_DATEJ_N("&amp;$AA$18&amp;",2)")</f>
        <v>46330</v>
      </c>
      <c r="O269" s="282" t="str" cm="1">
        <f t="array" ref="O269">_xll.FDSB($C269,"CS_EVENT_TIME_N("&amp;$AA$18&amp;",2)")</f>
        <v>Unspecified</v>
      </c>
      <c r="P269" s="282" t="str" cm="1">
        <f t="array" ref="P269">_xll.FDSB($C269,"CS_EVENT_DESC_N("&amp;$AA$18&amp;",2)")</f>
        <v>Q4 2026 Earnings Release (Projected)</v>
      </c>
      <c r="Q269" s="282"/>
      <c r="R269" s="274" cm="1">
        <f t="array" ref="R269">_xll.FDSB($C269,"CS_EVENT_DATEJ_N("&amp;$AA$18&amp;",3)")</f>
        <v>46505</v>
      </c>
      <c r="S269" s="282" t="str" cm="1">
        <f t="array" ref="S269">_xll.FDSB($C269,"CS_EVENT_TIME_N("&amp;$AA$18&amp;",3)")</f>
        <v>Unspecified</v>
      </c>
      <c r="T269" s="282" t="str" cm="1">
        <f t="array" ref="T269">_xll.FDSB($C269,"CS_EVENT_DESC_N("&amp;$AA$18&amp;",3)")</f>
        <v>Q2 2027 Earnings Release (Projected)</v>
      </c>
      <c r="U269" s="282"/>
      <c r="V269" s="274" t="str" cm="1">
        <f t="array" ref="V269">_xll.FDSB($C269,"CS_EVENT_DATEJ_N("&amp;$AA$18&amp;",4)")</f>
        <v/>
      </c>
      <c r="W269" s="282" t="str" cm="1">
        <f t="array" ref="W269">_xll.FDSB($C269,"CS_EVENT_TIME_N("&amp;$AA$18&amp;",4)")</f>
        <v/>
      </c>
      <c r="X269" s="282" t="str" cm="1">
        <f t="array" ref="X269">_xll.FDSB($C269,"CS_EVENT_DESC_N("&amp;$AA$18&amp;",4)")</f>
        <v/>
      </c>
    </row>
    <row r="270" spans="2:24" x14ac:dyDescent="0.15">
      <c r="B270" s="298">
        <f t="shared" si="5"/>
        <v>255</v>
      </c>
      <c r="C270" s="299" t="str">
        <v>META</v>
      </c>
      <c r="D270" s="300" t="str" cm="1">
        <f t="array" ref="D270">_xll.FDSB($C270,"FG_COMPANY_NAME")</f>
        <v>Meta Platforms Inc Class A</v>
      </c>
      <c r="E270" s="300"/>
      <c r="F270" s="274" cm="1">
        <f t="array" ref="F270">_xll.FDSB($C270,"CS_EVENT_DATEJ_N("&amp;$AA$18&amp;",1)")</f>
        <v>46232</v>
      </c>
      <c r="G270" s="282" t="str" cm="1">
        <f t="array" ref="G270">_xll.FDSB($C270,"CS_EVENT_TIME_N("&amp;$AA$18&amp;",1)")</f>
        <v>Unspecified</v>
      </c>
      <c r="H270" s="282" t="str" cm="1">
        <f t="array" ref="H270">_xll.FDSB($C270,"CS_EVENT_DESC_N("&amp;$AA$18&amp;",1)")</f>
        <v>Q2 2026 Earnings Release (Projected)</v>
      </c>
      <c r="I270" s="282"/>
      <c r="J270" s="274" t="str" cm="1">
        <f t="array" ref="J270">_xll.FDSB($C270,"CS_EVENT_DATEJ_N("&amp;$AB$18&amp;",1)")</f>
        <v/>
      </c>
      <c r="K270" s="282" t="str" cm="1">
        <f t="array" ref="K270">_xll.FDSB($C270,"CS_EVENT_TIME_N("&amp;$AB$18&amp;",1)")</f>
        <v/>
      </c>
      <c r="L270" s="282" t="str" cm="1">
        <f t="array" ref="L270">_xll.FDSB($C270,"CS_EVENT_DESC_N("&amp;$AB$18&amp;",1)")</f>
        <v/>
      </c>
      <c r="M270" s="300"/>
      <c r="N270" s="274" cm="1">
        <f t="array" ref="N270">_xll.FDSB($C270,"CS_EVENT_DATEJ_N("&amp;$AA$18&amp;",2)")</f>
        <v>46323</v>
      </c>
      <c r="O270" s="282" t="str" cm="1">
        <f t="array" ref="O270">_xll.FDSB($C270,"CS_EVENT_TIME_N("&amp;$AA$18&amp;",2)")</f>
        <v>Unspecified</v>
      </c>
      <c r="P270" s="282" t="str" cm="1">
        <f t="array" ref="P270">_xll.FDSB($C270,"CS_EVENT_DESC_N("&amp;$AA$18&amp;",2)")</f>
        <v>Q3 2026 Earnings Release (Projected)</v>
      </c>
      <c r="Q270" s="282"/>
      <c r="R270" s="274" cm="1">
        <f t="array" ref="R270">_xll.FDSB($C270,"CS_EVENT_DATEJ_N("&amp;$AA$18&amp;",3)")</f>
        <v>46421</v>
      </c>
      <c r="S270" s="282" t="str" cm="1">
        <f t="array" ref="S270">_xll.FDSB($C270,"CS_EVENT_TIME_N("&amp;$AA$18&amp;",3)")</f>
        <v>Unspecified</v>
      </c>
      <c r="T270" s="282" t="str" cm="1">
        <f t="array" ref="T270">_xll.FDSB($C270,"CS_EVENT_DESC_N("&amp;$AA$18&amp;",3)")</f>
        <v>Q4 2026 Earnings Release (Projected)</v>
      </c>
      <c r="U270" s="282"/>
      <c r="V270" s="274" cm="1">
        <f t="array" ref="V270">_xll.FDSB($C270,"CS_EVENT_DATEJ_N("&amp;$AA$18&amp;",4)")</f>
        <v>46505</v>
      </c>
      <c r="W270" s="282" t="str" cm="1">
        <f t="array" ref="W270">_xll.FDSB($C270,"CS_EVENT_TIME_N("&amp;$AA$18&amp;",4)")</f>
        <v>Unspecified</v>
      </c>
      <c r="X270" s="282" t="str" cm="1">
        <f t="array" ref="X270">_xll.FDSB($C270,"CS_EVENT_DESC_N("&amp;$AA$18&amp;",4)")</f>
        <v>Q1 2027 Earnings Release (Projected)</v>
      </c>
    </row>
    <row r="271" spans="2:24" x14ac:dyDescent="0.15">
      <c r="B271" s="298">
        <f t="shared" si="5"/>
        <v>256</v>
      </c>
      <c r="C271" s="299" t="str">
        <v>NOW</v>
      </c>
      <c r="D271" s="300" t="str" cm="1">
        <f t="array" ref="D271">_xll.FDSB($C271,"FG_COMPANY_NAME")</f>
        <v>ServiceNow, Inc.</v>
      </c>
      <c r="E271" s="300"/>
      <c r="F271" s="274" cm="1">
        <f t="array" ref="F271">_xll.FDSB($C271,"CS_EVENT_DATEJ_N("&amp;$AA$18&amp;",1)")</f>
        <v>46232</v>
      </c>
      <c r="G271" s="282" t="str" cm="1">
        <f t="array" ref="G271">_xll.FDSB($C271,"CS_EVENT_TIME_N("&amp;$AA$18&amp;",1)")</f>
        <v>Unspecified</v>
      </c>
      <c r="H271" s="282" t="str" cm="1">
        <f t="array" ref="H271">_xll.FDSB($C271,"CS_EVENT_DESC_N("&amp;$AA$18&amp;",1)")</f>
        <v>Q2 2026 Earnings Release (Projected)</v>
      </c>
      <c r="I271" s="282"/>
      <c r="J271" s="274" t="str" cm="1">
        <f t="array" ref="J271">_xll.FDSB($C271,"CS_EVENT_DATEJ_N("&amp;$AB$18&amp;",1)")</f>
        <v/>
      </c>
      <c r="K271" s="282" t="str" cm="1">
        <f t="array" ref="K271">_xll.FDSB($C271,"CS_EVENT_TIME_N("&amp;$AB$18&amp;",1)")</f>
        <v/>
      </c>
      <c r="L271" s="282" t="str" cm="1">
        <f t="array" ref="L271">_xll.FDSB($C271,"CS_EVENT_DESC_N("&amp;$AB$18&amp;",1)")</f>
        <v/>
      </c>
      <c r="M271" s="300"/>
      <c r="N271" s="274" cm="1">
        <f t="array" ref="N271">_xll.FDSB($C271,"CS_EVENT_DATEJ_N("&amp;$AA$18&amp;",2)")</f>
        <v>46323</v>
      </c>
      <c r="O271" s="282" t="str" cm="1">
        <f t="array" ref="O271">_xll.FDSB($C271,"CS_EVENT_TIME_N("&amp;$AA$18&amp;",2)")</f>
        <v>Unspecified</v>
      </c>
      <c r="P271" s="282" t="str" cm="1">
        <f t="array" ref="P271">_xll.FDSB($C271,"CS_EVENT_DESC_N("&amp;$AA$18&amp;",2)")</f>
        <v>Q3 2026 Earnings Release (Projected)</v>
      </c>
      <c r="Q271" s="282"/>
      <c r="R271" s="274" cm="1">
        <f t="array" ref="R271">_xll.FDSB($C271,"CS_EVENT_DATEJ_N("&amp;$AA$18&amp;",3)")</f>
        <v>46414</v>
      </c>
      <c r="S271" s="282" t="str" cm="1">
        <f t="array" ref="S271">_xll.FDSB($C271,"CS_EVENT_TIME_N("&amp;$AA$18&amp;",3)")</f>
        <v>Unspecified</v>
      </c>
      <c r="T271" s="282" t="str" cm="1">
        <f t="array" ref="T271">_xll.FDSB($C271,"CS_EVENT_DESC_N("&amp;$AA$18&amp;",3)")</f>
        <v>Q4 2026 Earnings Release (Projected)</v>
      </c>
      <c r="U271" s="282"/>
      <c r="V271" s="274" cm="1">
        <f t="array" ref="V271">_xll.FDSB($C271,"CS_EVENT_DATEJ_N("&amp;$AA$18&amp;",4)")</f>
        <v>46505</v>
      </c>
      <c r="W271" s="282" t="str" cm="1">
        <f t="array" ref="W271">_xll.FDSB($C271,"CS_EVENT_TIME_N("&amp;$AA$18&amp;",4)")</f>
        <v>Unspecified</v>
      </c>
      <c r="X271" s="282" t="str" cm="1">
        <f t="array" ref="X271">_xll.FDSB($C271,"CS_EVENT_DESC_N("&amp;$AA$18&amp;",4)")</f>
        <v>Q1 2027 Earnings Release (Projected)</v>
      </c>
    </row>
    <row r="272" spans="2:24" x14ac:dyDescent="0.15">
      <c r="B272" s="298">
        <f t="shared" si="5"/>
        <v>257</v>
      </c>
      <c r="C272" s="299" t="str">
        <v>INVH</v>
      </c>
      <c r="D272" s="300" t="str" cm="1">
        <f t="array" ref="D272">_xll.FDSB($C272,"FG_COMPANY_NAME")</f>
        <v>Invitation Homes, Inc.</v>
      </c>
      <c r="E272" s="300"/>
      <c r="F272" s="274" cm="1">
        <f t="array" ref="F272">_xll.FDSB($C272,"CS_EVENT_DATEJ_N("&amp;$AA$18&amp;",1)")</f>
        <v>46232</v>
      </c>
      <c r="G272" s="282" t="str" cm="1">
        <f t="array" ref="G272">_xll.FDSB($C272,"CS_EVENT_TIME_N("&amp;$AA$18&amp;",1)")</f>
        <v>Unspecified</v>
      </c>
      <c r="H272" s="282" t="str" cm="1">
        <f t="array" ref="H272">_xll.FDSB($C272,"CS_EVENT_DESC_N("&amp;$AA$18&amp;",1)")</f>
        <v>Q2 2026 Earnings Release (Projected)</v>
      </c>
      <c r="I272" s="282"/>
      <c r="J272" s="274" t="str" cm="1">
        <f t="array" ref="J272">_xll.FDSB($C272,"CS_EVENT_DATEJ_N("&amp;$AB$18&amp;",1)")</f>
        <v/>
      </c>
      <c r="K272" s="282" t="str" cm="1">
        <f t="array" ref="K272">_xll.FDSB($C272,"CS_EVENT_TIME_N("&amp;$AB$18&amp;",1)")</f>
        <v/>
      </c>
      <c r="L272" s="282" t="str" cm="1">
        <f t="array" ref="L272">_xll.FDSB($C272,"CS_EVENT_DESC_N("&amp;$AB$18&amp;",1)")</f>
        <v/>
      </c>
      <c r="M272" s="300"/>
      <c r="N272" s="274" cm="1">
        <f t="array" ref="N272">_xll.FDSB($C272,"CS_EVENT_DATEJ_N("&amp;$AA$18&amp;",2)")</f>
        <v>46323</v>
      </c>
      <c r="O272" s="282" t="str" cm="1">
        <f t="array" ref="O272">_xll.FDSB($C272,"CS_EVENT_TIME_N("&amp;$AA$18&amp;",2)")</f>
        <v>Unspecified</v>
      </c>
      <c r="P272" s="282" t="str" cm="1">
        <f t="array" ref="P272">_xll.FDSB($C272,"CS_EVENT_DESC_N("&amp;$AA$18&amp;",2)")</f>
        <v>Q3 2026 Earnings Release (Projected)</v>
      </c>
      <c r="Q272" s="282"/>
      <c r="R272" s="274" cm="1">
        <f t="array" ref="R272">_xll.FDSB($C272,"CS_EVENT_DATEJ_N("&amp;$AA$18&amp;",3)")</f>
        <v>46434</v>
      </c>
      <c r="S272" s="282" t="str" cm="1">
        <f t="array" ref="S272">_xll.FDSB($C272,"CS_EVENT_TIME_N("&amp;$AA$18&amp;",3)")</f>
        <v>Unspecified</v>
      </c>
      <c r="T272" s="282" t="str" cm="1">
        <f t="array" ref="T272">_xll.FDSB($C272,"CS_EVENT_DESC_N("&amp;$AA$18&amp;",3)")</f>
        <v>Q4 2026 Earnings Release (Projected)</v>
      </c>
      <c r="U272" s="282"/>
      <c r="V272" s="274" cm="1">
        <f t="array" ref="V272">_xll.FDSB($C272,"CS_EVENT_DATEJ_N("&amp;$AA$18&amp;",4)")</f>
        <v>46512</v>
      </c>
      <c r="W272" s="282" t="str" cm="1">
        <f t="array" ref="W272">_xll.FDSB($C272,"CS_EVENT_TIME_N("&amp;$AA$18&amp;",4)")</f>
        <v>Unspecified</v>
      </c>
      <c r="X272" s="282" t="str" cm="1">
        <f t="array" ref="X272">_xll.FDSB($C272,"CS_EVENT_DESC_N("&amp;$AA$18&amp;",4)")</f>
        <v>Q1 2027 Earnings Release (Projected)</v>
      </c>
    </row>
    <row r="273" spans="2:24" x14ac:dyDescent="0.15">
      <c r="B273" s="298">
        <f t="shared" si="5"/>
        <v>258</v>
      </c>
      <c r="C273" s="299" t="str">
        <v>VICI</v>
      </c>
      <c r="D273" s="300" t="str" cm="1">
        <f t="array" ref="D273">_xll.FDSB($C273,"FG_COMPANY_NAME")</f>
        <v>VICI Properties Inc</v>
      </c>
      <c r="E273" s="300"/>
      <c r="F273" s="274" cm="1">
        <f t="array" ref="F273">_xll.FDSB($C273,"CS_EVENT_DATEJ_N("&amp;$AA$18&amp;",1)")</f>
        <v>46232</v>
      </c>
      <c r="G273" s="282" t="str" cm="1">
        <f t="array" ref="G273">_xll.FDSB($C273,"CS_EVENT_TIME_N("&amp;$AA$18&amp;",1)")</f>
        <v>Unspecified</v>
      </c>
      <c r="H273" s="282" t="str" cm="1">
        <f t="array" ref="H273">_xll.FDSB($C273,"CS_EVENT_DESC_N("&amp;$AA$18&amp;",1)")</f>
        <v>Q2 2026 Earnings Release (Projected)</v>
      </c>
      <c r="I273" s="282"/>
      <c r="J273" s="274" t="str" cm="1">
        <f t="array" ref="J273">_xll.FDSB($C273,"CS_EVENT_DATEJ_N("&amp;$AB$18&amp;",1)")</f>
        <v/>
      </c>
      <c r="K273" s="282" t="str" cm="1">
        <f t="array" ref="K273">_xll.FDSB($C273,"CS_EVENT_TIME_N("&amp;$AB$18&amp;",1)")</f>
        <v/>
      </c>
      <c r="L273" s="282" t="str" cm="1">
        <f t="array" ref="L273">_xll.FDSB($C273,"CS_EVENT_DESC_N("&amp;$AB$18&amp;",1)")</f>
        <v/>
      </c>
      <c r="M273" s="300"/>
      <c r="N273" s="274" cm="1">
        <f t="array" ref="N273">_xll.FDSB($C273,"CS_EVENT_DATEJ_N("&amp;$AA$18&amp;",2)")</f>
        <v>46323</v>
      </c>
      <c r="O273" s="282" t="str" cm="1">
        <f t="array" ref="O273">_xll.FDSB($C273,"CS_EVENT_TIME_N("&amp;$AA$18&amp;",2)")</f>
        <v>Unspecified</v>
      </c>
      <c r="P273" s="282" t="str" cm="1">
        <f t="array" ref="P273">_xll.FDSB($C273,"CS_EVENT_DESC_N("&amp;$AA$18&amp;",2)")</f>
        <v>Q3 2026 Earnings Release (Projected)</v>
      </c>
      <c r="Q273" s="282"/>
      <c r="R273" s="274" cm="1">
        <f t="array" ref="R273">_xll.FDSB($C273,"CS_EVENT_DATEJ_N("&amp;$AA$18&amp;",3)")</f>
        <v>46443</v>
      </c>
      <c r="S273" s="282" t="str" cm="1">
        <f t="array" ref="S273">_xll.FDSB($C273,"CS_EVENT_TIME_N("&amp;$AA$18&amp;",3)")</f>
        <v>Unspecified</v>
      </c>
      <c r="T273" s="282" t="str" cm="1">
        <f t="array" ref="T273">_xll.FDSB($C273,"CS_EVENT_DESC_N("&amp;$AA$18&amp;",3)")</f>
        <v>Q4 2026 Earnings Release (Projected)</v>
      </c>
      <c r="U273" s="282"/>
      <c r="V273" s="274" t="str" cm="1">
        <f t="array" ref="V273">_xll.FDSB($C273,"CS_EVENT_DATEJ_N("&amp;$AA$18&amp;",4)")</f>
        <v/>
      </c>
      <c r="W273" s="282" t="str" cm="1">
        <f t="array" ref="W273">_xll.FDSB($C273,"CS_EVENT_TIME_N("&amp;$AA$18&amp;",4)")</f>
        <v/>
      </c>
      <c r="X273" s="282" t="str" cm="1">
        <f t="array" ref="X273">_xll.FDSB($C273,"CS_EVENT_DESC_N("&amp;$AA$18&amp;",4)")</f>
        <v/>
      </c>
    </row>
    <row r="274" spans="2:24" x14ac:dyDescent="0.15">
      <c r="B274" s="298">
        <f t="shared" ref="B274:B337" si="6">B273+1</f>
        <v>259</v>
      </c>
      <c r="C274" s="299" t="str">
        <v>OTIS</v>
      </c>
      <c r="D274" s="300" t="str" cm="1">
        <f t="array" ref="D274">_xll.FDSB($C274,"FG_COMPANY_NAME")</f>
        <v>Otis Worldwide Corporation</v>
      </c>
      <c r="E274" s="300"/>
      <c r="F274" s="274" cm="1">
        <f t="array" ref="F274">_xll.FDSB($C274,"CS_EVENT_DATEJ_N("&amp;$AA$18&amp;",1)")</f>
        <v>46232</v>
      </c>
      <c r="G274" s="282" t="str" cm="1">
        <f t="array" ref="G274">_xll.FDSB($C274,"CS_EVENT_TIME_N("&amp;$AA$18&amp;",1)")</f>
        <v>Unspecified</v>
      </c>
      <c r="H274" s="282" t="str" cm="1">
        <f t="array" ref="H274">_xll.FDSB($C274,"CS_EVENT_DESC_N("&amp;$AA$18&amp;",1)")</f>
        <v>Q2 2026 Earnings Release (Projected)</v>
      </c>
      <c r="I274" s="282"/>
      <c r="J274" s="274" t="str" cm="1">
        <f t="array" ref="J274">_xll.FDSB($C274,"CS_EVENT_DATEJ_N("&amp;$AB$18&amp;",1)")</f>
        <v/>
      </c>
      <c r="K274" s="282" t="str" cm="1">
        <f t="array" ref="K274">_xll.FDSB($C274,"CS_EVENT_TIME_N("&amp;$AB$18&amp;",1)")</f>
        <v/>
      </c>
      <c r="L274" s="282" t="str" cm="1">
        <f t="array" ref="L274">_xll.FDSB($C274,"CS_EVENT_DESC_N("&amp;$AB$18&amp;",1)")</f>
        <v/>
      </c>
      <c r="M274" s="300"/>
      <c r="N274" s="274" cm="1">
        <f t="array" ref="N274">_xll.FDSB($C274,"CS_EVENT_DATEJ_N("&amp;$AA$18&amp;",2)")</f>
        <v>46323</v>
      </c>
      <c r="O274" s="282" t="str" cm="1">
        <f t="array" ref="O274">_xll.FDSB($C274,"CS_EVENT_TIME_N("&amp;$AA$18&amp;",2)")</f>
        <v>Unspecified</v>
      </c>
      <c r="P274" s="282" t="str" cm="1">
        <f t="array" ref="P274">_xll.FDSB($C274,"CS_EVENT_DESC_N("&amp;$AA$18&amp;",2)")</f>
        <v>Q3 2026 Earnings Release (Projected)</v>
      </c>
      <c r="Q274" s="282"/>
      <c r="R274" s="274" cm="1">
        <f t="array" ref="R274">_xll.FDSB($C274,"CS_EVENT_DATEJ_N("&amp;$AA$18&amp;",3)")</f>
        <v>46421</v>
      </c>
      <c r="S274" s="282" t="str" cm="1">
        <f t="array" ref="S274">_xll.FDSB($C274,"CS_EVENT_TIME_N("&amp;$AA$18&amp;",3)")</f>
        <v>Unspecified</v>
      </c>
      <c r="T274" s="282" t="str" cm="1">
        <f t="array" ref="T274">_xll.FDSB($C274,"CS_EVENT_DESC_N("&amp;$AA$18&amp;",3)")</f>
        <v>Q4 2026 Earnings Release (Projected)</v>
      </c>
      <c r="U274" s="282"/>
      <c r="V274" s="274" t="str" cm="1">
        <f t="array" ref="V274">_xll.FDSB($C274,"CS_EVENT_DATEJ_N("&amp;$AA$18&amp;",4)")</f>
        <v/>
      </c>
      <c r="W274" s="282" t="str" cm="1">
        <f t="array" ref="W274">_xll.FDSB($C274,"CS_EVENT_TIME_N("&amp;$AA$18&amp;",4)")</f>
        <v/>
      </c>
      <c r="X274" s="282" t="str" cm="1">
        <f t="array" ref="X274">_xll.FDSB($C274,"CS_EVENT_DESC_N("&amp;$AA$18&amp;",4)")</f>
        <v/>
      </c>
    </row>
    <row r="275" spans="2:24" x14ac:dyDescent="0.15">
      <c r="B275" s="298">
        <f t="shared" si="6"/>
        <v>260</v>
      </c>
      <c r="C275" s="299" t="str">
        <v>AES</v>
      </c>
      <c r="D275" s="300" t="str" cm="1">
        <f t="array" ref="D275">_xll.FDSB($C275,"FG_COMPANY_NAME")</f>
        <v>AES Corporation</v>
      </c>
      <c r="E275" s="300"/>
      <c r="F275" s="274" cm="1">
        <f t="array" ref="F275">_xll.FDSB($C275,"CS_EVENT_DATEJ_N("&amp;$AA$18&amp;",1)")</f>
        <v>46233</v>
      </c>
      <c r="G275" s="282" t="str" cm="1">
        <f t="array" ref="G275">_xll.FDSB($C275,"CS_EVENT_TIME_N("&amp;$AA$18&amp;",1)")</f>
        <v>Unspecified</v>
      </c>
      <c r="H275" s="282" t="str" cm="1">
        <f t="array" ref="H275">_xll.FDSB($C275,"CS_EVENT_DESC_N("&amp;$AA$18&amp;",1)")</f>
        <v>Q2 2026 Earnings Release (Projected)</v>
      </c>
      <c r="I275" s="282"/>
      <c r="J275" s="274" t="str" cm="1">
        <f t="array" ref="J275">_xll.FDSB($C275,"CS_EVENT_DATEJ_N("&amp;$AB$18&amp;",1)")</f>
        <v/>
      </c>
      <c r="K275" s="282" t="str" cm="1">
        <f t="array" ref="K275">_xll.FDSB($C275,"CS_EVENT_TIME_N("&amp;$AB$18&amp;",1)")</f>
        <v/>
      </c>
      <c r="L275" s="282" t="str" cm="1">
        <f t="array" ref="L275">_xll.FDSB($C275,"CS_EVENT_DESC_N("&amp;$AB$18&amp;",1)")</f>
        <v/>
      </c>
      <c r="M275" s="300"/>
      <c r="N275" s="274" cm="1">
        <f t="array" ref="N275">_xll.FDSB($C275,"CS_EVENT_DATEJ_N("&amp;$AA$18&amp;",2)")</f>
        <v>46324</v>
      </c>
      <c r="O275" s="282" t="str" cm="1">
        <f t="array" ref="O275">_xll.FDSB($C275,"CS_EVENT_TIME_N("&amp;$AA$18&amp;",2)")</f>
        <v>Unspecified</v>
      </c>
      <c r="P275" s="282" t="str" cm="1">
        <f t="array" ref="P275">_xll.FDSB($C275,"CS_EVENT_DESC_N("&amp;$AA$18&amp;",2)")</f>
        <v>Q3 2026 Earnings Release (Projected)</v>
      </c>
      <c r="Q275" s="282"/>
      <c r="R275" s="274" cm="1">
        <f t="array" ref="R275">_xll.FDSB($C275,"CS_EVENT_DATEJ_N("&amp;$AA$18&amp;",3)")</f>
        <v>46447</v>
      </c>
      <c r="S275" s="282" t="str" cm="1">
        <f t="array" ref="S275">_xll.FDSB($C275,"CS_EVENT_TIME_N("&amp;$AA$18&amp;",3)")</f>
        <v>Unspecified</v>
      </c>
      <c r="T275" s="282" t="str" cm="1">
        <f t="array" ref="T275">_xll.FDSB($C275,"CS_EVENT_DESC_N("&amp;$AA$18&amp;",3)")</f>
        <v>Q4 2026 Earnings Release (Projected)</v>
      </c>
      <c r="U275" s="282"/>
      <c r="V275" s="274" t="str" cm="1">
        <f t="array" ref="V275">_xll.FDSB($C275,"CS_EVENT_DATEJ_N("&amp;$AA$18&amp;",4)")</f>
        <v/>
      </c>
      <c r="W275" s="282" t="str" cm="1">
        <f t="array" ref="W275">_xll.FDSB($C275,"CS_EVENT_TIME_N("&amp;$AA$18&amp;",4)")</f>
        <v/>
      </c>
      <c r="X275" s="282" t="str" cm="1">
        <f t="array" ref="X275">_xll.FDSB($C275,"CS_EVENT_DESC_N("&amp;$AA$18&amp;",4)")</f>
        <v/>
      </c>
    </row>
    <row r="276" spans="2:24" x14ac:dyDescent="0.15">
      <c r="B276" s="298">
        <f t="shared" si="6"/>
        <v>261</v>
      </c>
      <c r="C276" s="299" t="str">
        <v>ED</v>
      </c>
      <c r="D276" s="300" t="str" cm="1">
        <f t="array" ref="D276">_xll.FDSB($C276,"FG_COMPANY_NAME")</f>
        <v>Consolidated Edison, Inc.</v>
      </c>
      <c r="E276" s="300"/>
      <c r="F276" s="274" cm="1">
        <f t="array" ref="F276">_xll.FDSB($C276,"CS_EVENT_DATEJ_N("&amp;$AA$18&amp;",1)")</f>
        <v>46233</v>
      </c>
      <c r="G276" s="282" t="str" cm="1">
        <f t="array" ref="G276">_xll.FDSB($C276,"CS_EVENT_TIME_N("&amp;$AA$18&amp;",1)")</f>
        <v>Unspecified</v>
      </c>
      <c r="H276" s="282" t="str" cm="1">
        <f t="array" ref="H276">_xll.FDSB($C276,"CS_EVENT_DESC_N("&amp;$AA$18&amp;",1)")</f>
        <v>Q2 2026 Earnings Release (Projected)</v>
      </c>
      <c r="I276" s="282"/>
      <c r="J276" s="274" t="str" cm="1">
        <f t="array" ref="J276">_xll.FDSB($C276,"CS_EVENT_DATEJ_N("&amp;$AB$18&amp;",1)")</f>
        <v/>
      </c>
      <c r="K276" s="282" t="str" cm="1">
        <f t="array" ref="K276">_xll.FDSB($C276,"CS_EVENT_TIME_N("&amp;$AB$18&amp;",1)")</f>
        <v/>
      </c>
      <c r="L276" s="282" t="str" cm="1">
        <f t="array" ref="L276">_xll.FDSB($C276,"CS_EVENT_DESC_N("&amp;$AB$18&amp;",1)")</f>
        <v/>
      </c>
      <c r="M276" s="300"/>
      <c r="N276" s="274" cm="1">
        <f t="array" ref="N276">_xll.FDSB($C276,"CS_EVENT_DATEJ_N("&amp;$AA$18&amp;",2)")</f>
        <v>46324</v>
      </c>
      <c r="O276" s="282" t="str" cm="1">
        <f t="array" ref="O276">_xll.FDSB($C276,"CS_EVENT_TIME_N("&amp;$AA$18&amp;",2)")</f>
        <v>Unspecified</v>
      </c>
      <c r="P276" s="282" t="str" cm="1">
        <f t="array" ref="P276">_xll.FDSB($C276,"CS_EVENT_DESC_N("&amp;$AA$18&amp;",2)")</f>
        <v>Q3 2026 Earnings Release (Projected)</v>
      </c>
      <c r="Q276" s="282"/>
      <c r="R276" s="274" cm="1">
        <f t="array" ref="R276">_xll.FDSB($C276,"CS_EVENT_DATEJ_N("&amp;$AA$18&amp;",3)")</f>
        <v>46436</v>
      </c>
      <c r="S276" s="282" t="str" cm="1">
        <f t="array" ref="S276">_xll.FDSB($C276,"CS_EVENT_TIME_N("&amp;$AA$18&amp;",3)")</f>
        <v>Unspecified</v>
      </c>
      <c r="T276" s="282" t="str" cm="1">
        <f t="array" ref="T276">_xll.FDSB($C276,"CS_EVENT_DESC_N("&amp;$AA$18&amp;",3)")</f>
        <v>Q4 2026 Earnings Release (Projected)</v>
      </c>
      <c r="U276" s="282"/>
      <c r="V276" s="274" cm="1">
        <f t="array" ref="V276">_xll.FDSB($C276,"CS_EVENT_DATEJ_N("&amp;$AA$18&amp;",4)")</f>
        <v>46513</v>
      </c>
      <c r="W276" s="282" t="str" cm="1">
        <f t="array" ref="W276">_xll.FDSB($C276,"CS_EVENT_TIME_N("&amp;$AA$18&amp;",4)")</f>
        <v>Unspecified</v>
      </c>
      <c r="X276" s="282" t="str" cm="1">
        <f t="array" ref="X276">_xll.FDSB($C276,"CS_EVENT_DESC_N("&amp;$AA$18&amp;",4)")</f>
        <v>Q1 2027 Earnings Release (Projected)</v>
      </c>
    </row>
    <row r="277" spans="2:24" x14ac:dyDescent="0.15">
      <c r="B277" s="298">
        <f t="shared" si="6"/>
        <v>262</v>
      </c>
      <c r="C277" s="299" t="str">
        <v>GEN</v>
      </c>
      <c r="D277" s="300" t="str" cm="1">
        <f t="array" ref="D277">_xll.FDSB($C277,"FG_COMPANY_NAME")</f>
        <v>Gen Digital Inc.</v>
      </c>
      <c r="E277" s="300"/>
      <c r="F277" s="274" cm="1">
        <f t="array" ref="F277">_xll.FDSB($C277,"CS_EVENT_DATEJ_N("&amp;$AA$18&amp;",1)")</f>
        <v>46233</v>
      </c>
      <c r="G277" s="282" t="str" cm="1">
        <f t="array" ref="G277">_xll.FDSB($C277,"CS_EVENT_TIME_N("&amp;$AA$18&amp;",1)")</f>
        <v>Unspecified</v>
      </c>
      <c r="H277" s="282" t="str" cm="1">
        <f t="array" ref="H277">_xll.FDSB($C277,"CS_EVENT_DESC_N("&amp;$AA$18&amp;",1)")</f>
        <v>Q1 2027 Earnings Release (Projected)</v>
      </c>
      <c r="I277" s="282"/>
      <c r="J277" s="274" t="str" cm="1">
        <f t="array" ref="J277">_xll.FDSB($C277,"CS_EVENT_DATEJ_N("&amp;$AB$18&amp;",1)")</f>
        <v/>
      </c>
      <c r="K277" s="282" t="str" cm="1">
        <f t="array" ref="K277">_xll.FDSB($C277,"CS_EVENT_TIME_N("&amp;$AB$18&amp;",1)")</f>
        <v/>
      </c>
      <c r="L277" s="282" t="str" cm="1">
        <f t="array" ref="L277">_xll.FDSB($C277,"CS_EVENT_DESC_N("&amp;$AB$18&amp;",1)")</f>
        <v/>
      </c>
      <c r="M277" s="300"/>
      <c r="N277" s="274" cm="1">
        <f t="array" ref="N277">_xll.FDSB($C277,"CS_EVENT_DATEJ_N("&amp;$AA$18&amp;",2)")</f>
        <v>46336</v>
      </c>
      <c r="O277" s="282" t="str" cm="1">
        <f t="array" ref="O277">_xll.FDSB($C277,"CS_EVENT_TIME_N("&amp;$AA$18&amp;",2)")</f>
        <v>Unspecified</v>
      </c>
      <c r="P277" s="282" t="str" cm="1">
        <f t="array" ref="P277">_xll.FDSB($C277,"CS_EVENT_DESC_N("&amp;$AA$18&amp;",2)")</f>
        <v>Q2 2027 Earnings Release (Projected)</v>
      </c>
      <c r="Q277" s="282"/>
      <c r="R277" s="274" cm="1">
        <f t="array" ref="R277">_xll.FDSB($C277,"CS_EVENT_DATEJ_N("&amp;$AA$18&amp;",3)")</f>
        <v>46422</v>
      </c>
      <c r="S277" s="282" t="str" cm="1">
        <f t="array" ref="S277">_xll.FDSB($C277,"CS_EVENT_TIME_N("&amp;$AA$18&amp;",3)")</f>
        <v>Unspecified</v>
      </c>
      <c r="T277" s="282" t="str" cm="1">
        <f t="array" ref="T277">_xll.FDSB($C277,"CS_EVENT_DESC_N("&amp;$AA$18&amp;",3)")</f>
        <v>Q3 2027 Earnings Release (Projected)</v>
      </c>
      <c r="U277" s="282"/>
      <c r="V277" s="274" cm="1">
        <f t="array" ref="V277">_xll.FDSB($C277,"CS_EVENT_DATEJ_N("&amp;$AA$18&amp;",4)")</f>
        <v>46520</v>
      </c>
      <c r="W277" s="282" t="str" cm="1">
        <f t="array" ref="W277">_xll.FDSB($C277,"CS_EVENT_TIME_N("&amp;$AA$18&amp;",4)")</f>
        <v>Unspecified</v>
      </c>
      <c r="X277" s="282" t="str" cm="1">
        <f t="array" ref="X277">_xll.FDSB($C277,"CS_EVENT_DESC_N("&amp;$AA$18&amp;",4)")</f>
        <v>Q4 2027 Earnings Release (Projected)</v>
      </c>
    </row>
    <row r="278" spans="2:24" x14ac:dyDescent="0.15">
      <c r="B278" s="298">
        <f t="shared" si="6"/>
        <v>263</v>
      </c>
      <c r="C278" s="299" t="str">
        <v>SO</v>
      </c>
      <c r="D278" s="300" t="str" cm="1">
        <f t="array" ref="D278">_xll.FDSB($C278,"FG_COMPANY_NAME")</f>
        <v>Southern Company</v>
      </c>
      <c r="E278" s="300"/>
      <c r="F278" s="274" cm="1">
        <f t="array" ref="F278">_xll.FDSB($C278,"CS_EVENT_DATEJ_N("&amp;$AA$18&amp;",1)")</f>
        <v>46233</v>
      </c>
      <c r="G278" s="282" t="str" cm="1">
        <f t="array" ref="G278">_xll.FDSB($C278,"CS_EVENT_TIME_N("&amp;$AA$18&amp;",1)")</f>
        <v>Unspecified</v>
      </c>
      <c r="H278" s="282" t="str" cm="1">
        <f t="array" ref="H278">_xll.FDSB($C278,"CS_EVENT_DESC_N("&amp;$AA$18&amp;",1)")</f>
        <v>Q2 2026 Earnings Release (Projected)</v>
      </c>
      <c r="I278" s="282"/>
      <c r="J278" s="274" t="str" cm="1">
        <f t="array" ref="J278">_xll.FDSB($C278,"CS_EVENT_DATEJ_N("&amp;$AB$18&amp;",1)")</f>
        <v/>
      </c>
      <c r="K278" s="282" t="str" cm="1">
        <f t="array" ref="K278">_xll.FDSB($C278,"CS_EVENT_TIME_N("&amp;$AB$18&amp;",1)")</f>
        <v/>
      </c>
      <c r="L278" s="282" t="str" cm="1">
        <f t="array" ref="L278">_xll.FDSB($C278,"CS_EVENT_DESC_N("&amp;$AB$18&amp;",1)")</f>
        <v/>
      </c>
      <c r="M278" s="300"/>
      <c r="N278" s="274" cm="1">
        <f t="array" ref="N278">_xll.FDSB($C278,"CS_EVENT_DATEJ_N("&amp;$AA$18&amp;",2)")</f>
        <v>46324</v>
      </c>
      <c r="O278" s="282" t="str" cm="1">
        <f t="array" ref="O278">_xll.FDSB($C278,"CS_EVENT_TIME_N("&amp;$AA$18&amp;",2)")</f>
        <v>Unspecified</v>
      </c>
      <c r="P278" s="282" t="str" cm="1">
        <f t="array" ref="P278">_xll.FDSB($C278,"CS_EVENT_DESC_N("&amp;$AA$18&amp;",2)")</f>
        <v>Q3 2026 Earnings Release (Projected)</v>
      </c>
      <c r="Q278" s="282"/>
      <c r="R278" s="274" cm="1">
        <f t="array" ref="R278">_xll.FDSB($C278,"CS_EVENT_DATEJ_N("&amp;$AA$18&amp;",3)")</f>
        <v>46436</v>
      </c>
      <c r="S278" s="282" t="str" cm="1">
        <f t="array" ref="S278">_xll.FDSB($C278,"CS_EVENT_TIME_N("&amp;$AA$18&amp;",3)")</f>
        <v>Unspecified</v>
      </c>
      <c r="T278" s="282" t="str" cm="1">
        <f t="array" ref="T278">_xll.FDSB($C278,"CS_EVENT_DESC_N("&amp;$AA$18&amp;",3)")</f>
        <v>Q4 2026 Earnings Release (Projected)</v>
      </c>
      <c r="U278" s="282"/>
      <c r="V278" s="274" cm="1">
        <f t="array" ref="V278">_xll.FDSB($C278,"CS_EVENT_DATEJ_N("&amp;$AA$18&amp;",4)")</f>
        <v>46506</v>
      </c>
      <c r="W278" s="282" t="str" cm="1">
        <f t="array" ref="W278">_xll.FDSB($C278,"CS_EVENT_TIME_N("&amp;$AA$18&amp;",4)")</f>
        <v>Unspecified</v>
      </c>
      <c r="X278" s="282" t="str" cm="1">
        <f t="array" ref="X278">_xll.FDSB($C278,"CS_EVENT_DESC_N("&amp;$AA$18&amp;",4)")</f>
        <v>Q1 2027 Earnings Release (Projected)</v>
      </c>
    </row>
    <row r="279" spans="2:24" x14ac:dyDescent="0.15">
      <c r="B279" s="298">
        <f t="shared" si="6"/>
        <v>264</v>
      </c>
      <c r="C279" s="299" t="str">
        <v>IP</v>
      </c>
      <c r="D279" s="300" t="str" cm="1">
        <f t="array" ref="D279">_xll.FDSB($C279,"FG_COMPANY_NAME")</f>
        <v>International Paper Company</v>
      </c>
      <c r="E279" s="300"/>
      <c r="F279" s="274" cm="1">
        <f t="array" ref="F279">_xll.FDSB($C279,"CS_EVENT_DATEJ_N("&amp;$AA$18&amp;",1)")</f>
        <v>46233</v>
      </c>
      <c r="G279" s="282" t="str" cm="1">
        <f t="array" ref="G279">_xll.FDSB($C279,"CS_EVENT_TIME_N("&amp;$AA$18&amp;",1)")</f>
        <v>7:00 AM</v>
      </c>
      <c r="H279" s="282" t="str" cm="1">
        <f t="array" ref="H279">_xll.FDSB($C279,"CS_EVENT_DESC_N("&amp;$AA$18&amp;",1)")</f>
        <v>Q2 2026 Earnings Release</v>
      </c>
      <c r="I279" s="282"/>
      <c r="J279" s="274" t="str" cm="1">
        <f t="array" ref="J279">_xll.FDSB($C279,"CS_EVENT_DATEJ_N("&amp;$AB$18&amp;",1)")</f>
        <v/>
      </c>
      <c r="K279" s="282" t="str" cm="1">
        <f t="array" ref="K279">_xll.FDSB($C279,"CS_EVENT_TIME_N("&amp;$AB$18&amp;",1)")</f>
        <v/>
      </c>
      <c r="L279" s="282" t="str" cm="1">
        <f t="array" ref="L279">_xll.FDSB($C279,"CS_EVENT_DESC_N("&amp;$AB$18&amp;",1)")</f>
        <v/>
      </c>
      <c r="M279" s="300"/>
      <c r="N279" s="274" cm="1">
        <f t="array" ref="N279">_xll.FDSB($C279,"CS_EVENT_DATEJ_N("&amp;$AA$18&amp;",2)")</f>
        <v>46323</v>
      </c>
      <c r="O279" s="282" t="str" cm="1">
        <f t="array" ref="O279">_xll.FDSB($C279,"CS_EVENT_TIME_N("&amp;$AA$18&amp;",2)")</f>
        <v>7:00 AM</v>
      </c>
      <c r="P279" s="282" t="str" cm="1">
        <f t="array" ref="P279">_xll.FDSB($C279,"CS_EVENT_DESC_N("&amp;$AA$18&amp;",2)")</f>
        <v>Q3 2026 Earnings Release</v>
      </c>
      <c r="Q279" s="282"/>
      <c r="R279" s="274" cm="1">
        <f t="array" ref="R279">_xll.FDSB($C279,"CS_EVENT_DATEJ_N("&amp;$AA$18&amp;",3)")</f>
        <v>46422</v>
      </c>
      <c r="S279" s="282" t="str" cm="1">
        <f t="array" ref="S279">_xll.FDSB($C279,"CS_EVENT_TIME_N("&amp;$AA$18&amp;",3)")</f>
        <v>Unspecified</v>
      </c>
      <c r="T279" s="282" t="str" cm="1">
        <f t="array" ref="T279">_xll.FDSB($C279,"CS_EVENT_DESC_N("&amp;$AA$18&amp;",3)")</f>
        <v>Q4 2026 Earnings Release (Projected)</v>
      </c>
      <c r="U279" s="282"/>
      <c r="V279" s="274" cm="1">
        <f t="array" ref="V279">_xll.FDSB($C279,"CS_EVENT_DATEJ_N("&amp;$AA$18&amp;",4)")</f>
        <v>46506</v>
      </c>
      <c r="W279" s="282" t="str" cm="1">
        <f t="array" ref="W279">_xll.FDSB($C279,"CS_EVENT_TIME_N("&amp;$AA$18&amp;",4)")</f>
        <v>Unspecified</v>
      </c>
      <c r="X279" s="282" t="str" cm="1">
        <f t="array" ref="X279">_xll.FDSB($C279,"CS_EVENT_DESC_N("&amp;$AA$18&amp;",4)")</f>
        <v>Q1 2027 Earnings Release (Projected)</v>
      </c>
    </row>
    <row r="280" spans="2:24" x14ac:dyDescent="0.15">
      <c r="B280" s="298">
        <f t="shared" si="6"/>
        <v>265</v>
      </c>
      <c r="C280" s="299" t="str">
        <v>CPT</v>
      </c>
      <c r="D280" s="300" t="str" cm="1">
        <f t="array" ref="D280">_xll.FDSB($C280,"FG_COMPANY_NAME")</f>
        <v>Camden Property Trust</v>
      </c>
      <c r="E280" s="300"/>
      <c r="F280" s="274" cm="1">
        <f t="array" ref="F280">_xll.FDSB($C280,"CS_EVENT_DATEJ_N("&amp;$AA$18&amp;",1)")</f>
        <v>46233</v>
      </c>
      <c r="G280" s="282" t="str" cm="1">
        <f t="array" ref="G280">_xll.FDSB($C280,"CS_EVENT_TIME_N("&amp;$AA$18&amp;",1)")</f>
        <v>Unspecified</v>
      </c>
      <c r="H280" s="282" t="str" cm="1">
        <f t="array" ref="H280">_xll.FDSB($C280,"CS_EVENT_DESC_N("&amp;$AA$18&amp;",1)")</f>
        <v>Q2 2026 Earnings Release (Projected)</v>
      </c>
      <c r="I280" s="282"/>
      <c r="J280" s="274" t="str" cm="1">
        <f t="array" ref="J280">_xll.FDSB($C280,"CS_EVENT_DATEJ_N("&amp;$AB$18&amp;",1)")</f>
        <v/>
      </c>
      <c r="K280" s="282" t="str" cm="1">
        <f t="array" ref="K280">_xll.FDSB($C280,"CS_EVENT_TIME_N("&amp;$AB$18&amp;",1)")</f>
        <v/>
      </c>
      <c r="L280" s="282" t="str" cm="1">
        <f t="array" ref="L280">_xll.FDSB($C280,"CS_EVENT_DESC_N("&amp;$AB$18&amp;",1)")</f>
        <v/>
      </c>
      <c r="M280" s="300"/>
      <c r="N280" s="274" cm="1">
        <f t="array" ref="N280">_xll.FDSB($C280,"CS_EVENT_DATEJ_N("&amp;$AA$18&amp;",2)")</f>
        <v>46317</v>
      </c>
      <c r="O280" s="282" t="str" cm="1">
        <f t="array" ref="O280">_xll.FDSB($C280,"CS_EVENT_TIME_N("&amp;$AA$18&amp;",2)")</f>
        <v>Unspecified</v>
      </c>
      <c r="P280" s="282" t="str" cm="1">
        <f t="array" ref="P280">_xll.FDSB($C280,"CS_EVENT_DESC_N("&amp;$AA$18&amp;",2)")</f>
        <v>Q3 2026 Earnings Release (Projected)</v>
      </c>
      <c r="Q280" s="282"/>
      <c r="R280" s="274" cm="1">
        <f t="array" ref="R280">_xll.FDSB($C280,"CS_EVENT_DATEJ_N("&amp;$AA$18&amp;",3)")</f>
        <v>46422</v>
      </c>
      <c r="S280" s="282" t="str" cm="1">
        <f t="array" ref="S280">_xll.FDSB($C280,"CS_EVENT_TIME_N("&amp;$AA$18&amp;",3)")</f>
        <v>Unspecified</v>
      </c>
      <c r="T280" s="282" t="str" cm="1">
        <f t="array" ref="T280">_xll.FDSB($C280,"CS_EVENT_DESC_N("&amp;$AA$18&amp;",3)")</f>
        <v>Q4 2026 Earnings Release (Projected)</v>
      </c>
      <c r="U280" s="282"/>
      <c r="V280" s="274" cm="1">
        <f t="array" ref="V280">_xll.FDSB($C280,"CS_EVENT_DATEJ_N("&amp;$AA$18&amp;",4)")</f>
        <v>46506</v>
      </c>
      <c r="W280" s="282" t="str" cm="1">
        <f t="array" ref="W280">_xll.FDSB($C280,"CS_EVENT_TIME_N("&amp;$AA$18&amp;",4)")</f>
        <v>Unspecified</v>
      </c>
      <c r="X280" s="282" t="str" cm="1">
        <f t="array" ref="X280">_xll.FDSB($C280,"CS_EVENT_DESC_N("&amp;$AA$18&amp;",4)")</f>
        <v>Q1 2027 Earnings Release (Projected)</v>
      </c>
    </row>
    <row r="281" spans="2:24" x14ac:dyDescent="0.15">
      <c r="B281" s="298">
        <f t="shared" si="6"/>
        <v>266</v>
      </c>
      <c r="C281" s="299" t="str">
        <v>VMC</v>
      </c>
      <c r="D281" s="300" t="str" cm="1">
        <f t="array" ref="D281">_xll.FDSB($C281,"FG_COMPANY_NAME")</f>
        <v>Vulcan Materials Company</v>
      </c>
      <c r="E281" s="300"/>
      <c r="F281" s="274" cm="1">
        <f t="array" ref="F281">_xll.FDSB($C281,"CS_EVENT_DATEJ_N("&amp;$AA$18&amp;",1)")</f>
        <v>46233</v>
      </c>
      <c r="G281" s="282" t="str" cm="1">
        <f t="array" ref="G281">_xll.FDSB($C281,"CS_EVENT_TIME_N("&amp;$AA$18&amp;",1)")</f>
        <v>Unspecified</v>
      </c>
      <c r="H281" s="282" t="str" cm="1">
        <f t="array" ref="H281">_xll.FDSB($C281,"CS_EVENT_DESC_N("&amp;$AA$18&amp;",1)")</f>
        <v>Q2 2026 Earnings Release (Projected)</v>
      </c>
      <c r="I281" s="282"/>
      <c r="J281" s="274" t="str" cm="1">
        <f t="array" ref="J281">_xll.FDSB($C281,"CS_EVENT_DATEJ_N("&amp;$AB$18&amp;",1)")</f>
        <v/>
      </c>
      <c r="K281" s="282" t="str" cm="1">
        <f t="array" ref="K281">_xll.FDSB($C281,"CS_EVENT_TIME_N("&amp;$AB$18&amp;",1)")</f>
        <v/>
      </c>
      <c r="L281" s="282" t="str" cm="1">
        <f t="array" ref="L281">_xll.FDSB($C281,"CS_EVENT_DESC_N("&amp;$AB$18&amp;",1)")</f>
        <v/>
      </c>
      <c r="M281" s="300"/>
      <c r="N281" s="274" cm="1">
        <f t="array" ref="N281">_xll.FDSB($C281,"CS_EVENT_DATEJ_N("&amp;$AA$18&amp;",2)")</f>
        <v>46324</v>
      </c>
      <c r="O281" s="282" t="str" cm="1">
        <f t="array" ref="O281">_xll.FDSB($C281,"CS_EVENT_TIME_N("&amp;$AA$18&amp;",2)")</f>
        <v>Unspecified</v>
      </c>
      <c r="P281" s="282" t="str" cm="1">
        <f t="array" ref="P281">_xll.FDSB($C281,"CS_EVENT_DESC_N("&amp;$AA$18&amp;",2)")</f>
        <v>Q3 2026 Earnings Release (Projected)</v>
      </c>
      <c r="Q281" s="282"/>
      <c r="R281" s="274" cm="1">
        <f t="array" ref="R281">_xll.FDSB($C281,"CS_EVENT_DATEJ_N("&amp;$AA$18&amp;",3)")</f>
        <v>46436</v>
      </c>
      <c r="S281" s="282" t="str" cm="1">
        <f t="array" ref="S281">_xll.FDSB($C281,"CS_EVENT_TIME_N("&amp;$AA$18&amp;",3)")</f>
        <v>Unspecified</v>
      </c>
      <c r="T281" s="282" t="str" cm="1">
        <f t="array" ref="T281">_xll.FDSB($C281,"CS_EVENT_DESC_N("&amp;$AA$18&amp;",3)")</f>
        <v>Q4 2026 Earnings Release (Projected)</v>
      </c>
      <c r="U281" s="282"/>
      <c r="V281" s="274" cm="1">
        <f t="array" ref="V281">_xll.FDSB($C281,"CS_EVENT_DATEJ_N("&amp;$AA$18&amp;",4)")</f>
        <v>46512</v>
      </c>
      <c r="W281" s="282" t="str" cm="1">
        <f t="array" ref="W281">_xll.FDSB($C281,"CS_EVENT_TIME_N("&amp;$AA$18&amp;",4)")</f>
        <v>Unspecified</v>
      </c>
      <c r="X281" s="282" t="str" cm="1">
        <f t="array" ref="X281">_xll.FDSB($C281,"CS_EVENT_DESC_N("&amp;$AA$18&amp;",4)")</f>
        <v>Q1 2027 Earnings Release (Projected)</v>
      </c>
    </row>
    <row r="282" spans="2:24" x14ac:dyDescent="0.15">
      <c r="B282" s="298">
        <f t="shared" si="6"/>
        <v>267</v>
      </c>
      <c r="C282" s="299" t="str">
        <v>RMD</v>
      </c>
      <c r="D282" s="300" t="str" cm="1">
        <f t="array" ref="D282">_xll.FDSB($C282,"FG_COMPANY_NAME")</f>
        <v>ResMed Inc.</v>
      </c>
      <c r="E282" s="300"/>
      <c r="F282" s="274" cm="1">
        <f t="array" ref="F282">_xll.FDSB($C282,"CS_EVENT_DATEJ_N("&amp;$AA$18&amp;",1)")</f>
        <v>46233</v>
      </c>
      <c r="G282" s="282" t="str" cm="1">
        <f t="array" ref="G282">_xll.FDSB($C282,"CS_EVENT_TIME_N("&amp;$AA$18&amp;",1)")</f>
        <v>Unspecified</v>
      </c>
      <c r="H282" s="282" t="str" cm="1">
        <f t="array" ref="H282">_xll.FDSB($C282,"CS_EVENT_DESC_N("&amp;$AA$18&amp;",1)")</f>
        <v>Q4 2026 Earnings Release (Projected)</v>
      </c>
      <c r="I282" s="282"/>
      <c r="J282" s="274" t="str" cm="1">
        <f t="array" ref="J282">_xll.FDSB($C282,"CS_EVENT_DATEJ_N("&amp;$AB$18&amp;",1)")</f>
        <v/>
      </c>
      <c r="K282" s="282" t="str" cm="1">
        <f t="array" ref="K282">_xll.FDSB($C282,"CS_EVENT_TIME_N("&amp;$AB$18&amp;",1)")</f>
        <v/>
      </c>
      <c r="L282" s="282" t="str" cm="1">
        <f t="array" ref="L282">_xll.FDSB($C282,"CS_EVENT_DESC_N("&amp;$AB$18&amp;",1)")</f>
        <v/>
      </c>
      <c r="M282" s="300"/>
      <c r="N282" s="274" cm="1">
        <f t="array" ref="N282">_xll.FDSB($C282,"CS_EVENT_DATEJ_N("&amp;$AA$18&amp;",2)")</f>
        <v>46317</v>
      </c>
      <c r="O282" s="282" t="str" cm="1">
        <f t="array" ref="O282">_xll.FDSB($C282,"CS_EVENT_TIME_N("&amp;$AA$18&amp;",2)")</f>
        <v>Unspecified</v>
      </c>
      <c r="P282" s="282" t="str" cm="1">
        <f t="array" ref="P282">_xll.FDSB($C282,"CS_EVENT_DESC_N("&amp;$AA$18&amp;",2)")</f>
        <v>Q1 2027 Earnings Release (Projected)</v>
      </c>
      <c r="Q282" s="282"/>
      <c r="R282" s="274" cm="1">
        <f t="array" ref="R282">_xll.FDSB($C282,"CS_EVENT_DATEJ_N("&amp;$AA$18&amp;",3)")</f>
        <v>46415</v>
      </c>
      <c r="S282" s="282" t="str" cm="1">
        <f t="array" ref="S282">_xll.FDSB($C282,"CS_EVENT_TIME_N("&amp;$AA$18&amp;",3)")</f>
        <v>Unspecified</v>
      </c>
      <c r="T282" s="282" t="str" cm="1">
        <f t="array" ref="T282">_xll.FDSB($C282,"CS_EVENT_DESC_N("&amp;$AA$18&amp;",3)")</f>
        <v>Q2 2027 Earnings Release (Projected)</v>
      </c>
      <c r="U282" s="282"/>
      <c r="V282" s="274" t="str" cm="1">
        <f t="array" ref="V282">_xll.FDSB($C282,"CS_EVENT_DATEJ_N("&amp;$AA$18&amp;",4)")</f>
        <v/>
      </c>
      <c r="W282" s="282" t="str" cm="1">
        <f t="array" ref="W282">_xll.FDSB($C282,"CS_EVENT_TIME_N("&amp;$AA$18&amp;",4)")</f>
        <v/>
      </c>
      <c r="X282" s="282" t="str" cm="1">
        <f t="array" ref="X282">_xll.FDSB($C282,"CS_EVENT_DESC_N("&amp;$AA$18&amp;",4)")</f>
        <v/>
      </c>
    </row>
    <row r="283" spans="2:24" x14ac:dyDescent="0.15">
      <c r="B283" s="298">
        <f t="shared" si="6"/>
        <v>268</v>
      </c>
      <c r="C283" s="299" t="str">
        <v>MNST</v>
      </c>
      <c r="D283" s="300" t="str" cm="1">
        <f t="array" ref="D283">_xll.FDSB($C283,"FG_COMPANY_NAME")</f>
        <v>Monster Beverage Corporation</v>
      </c>
      <c r="E283" s="300"/>
      <c r="F283" s="274" cm="1">
        <f t="array" ref="F283">_xll.FDSB($C283,"CS_EVENT_DATEJ_N("&amp;$AA$18&amp;",1)")</f>
        <v>46233</v>
      </c>
      <c r="G283" s="282" t="str" cm="1">
        <f t="array" ref="G283">_xll.FDSB($C283,"CS_EVENT_TIME_N("&amp;$AA$18&amp;",1)")</f>
        <v>Unspecified</v>
      </c>
      <c r="H283" s="282" t="str" cm="1">
        <f t="array" ref="H283">_xll.FDSB($C283,"CS_EVENT_DESC_N("&amp;$AA$18&amp;",1)")</f>
        <v>Q2 2026 Earnings Release (Projected)</v>
      </c>
      <c r="I283" s="282"/>
      <c r="J283" s="274" t="str" cm="1">
        <f t="array" ref="J283">_xll.FDSB($C283,"CS_EVENT_DATEJ_N("&amp;$AB$18&amp;",1)")</f>
        <v/>
      </c>
      <c r="K283" s="282" t="str" cm="1">
        <f t="array" ref="K283">_xll.FDSB($C283,"CS_EVENT_TIME_N("&amp;$AB$18&amp;",1)")</f>
        <v/>
      </c>
      <c r="L283" s="282" t="str" cm="1">
        <f t="array" ref="L283">_xll.FDSB($C283,"CS_EVENT_DESC_N("&amp;$AB$18&amp;",1)")</f>
        <v/>
      </c>
      <c r="M283" s="300"/>
      <c r="N283" s="274" cm="1">
        <f t="array" ref="N283">_xll.FDSB($C283,"CS_EVENT_DATEJ_N("&amp;$AA$18&amp;",2)")</f>
        <v>46324</v>
      </c>
      <c r="O283" s="282" t="str" cm="1">
        <f t="array" ref="O283">_xll.FDSB($C283,"CS_EVENT_TIME_N("&amp;$AA$18&amp;",2)")</f>
        <v>Unspecified</v>
      </c>
      <c r="P283" s="282" t="str" cm="1">
        <f t="array" ref="P283">_xll.FDSB($C283,"CS_EVENT_DESC_N("&amp;$AA$18&amp;",2)")</f>
        <v>Q3 2026 Earnings Release (Projected)</v>
      </c>
      <c r="Q283" s="282"/>
      <c r="R283" s="274" cm="1">
        <f t="array" ref="R283">_xll.FDSB($C283,"CS_EVENT_DATEJ_N("&amp;$AA$18&amp;",3)")</f>
        <v>46450</v>
      </c>
      <c r="S283" s="282" t="str" cm="1">
        <f t="array" ref="S283">_xll.FDSB($C283,"CS_EVENT_TIME_N("&amp;$AA$18&amp;",3)")</f>
        <v>Unspecified</v>
      </c>
      <c r="T283" s="282" t="str" cm="1">
        <f t="array" ref="T283">_xll.FDSB($C283,"CS_EVENT_DESC_N("&amp;$AA$18&amp;",3)")</f>
        <v>Q4 2026 Earnings Release (Projected)</v>
      </c>
      <c r="U283" s="282"/>
      <c r="V283" s="274" cm="1">
        <f t="array" ref="V283">_xll.FDSB($C283,"CS_EVENT_DATEJ_N("&amp;$AA$18&amp;",4)")</f>
        <v>46513</v>
      </c>
      <c r="W283" s="282" t="str" cm="1">
        <f t="array" ref="W283">_xll.FDSB($C283,"CS_EVENT_TIME_N("&amp;$AA$18&amp;",4)")</f>
        <v>Unspecified</v>
      </c>
      <c r="X283" s="282" t="str" cm="1">
        <f t="array" ref="X283">_xll.FDSB($C283,"CS_EVENT_DESC_N("&amp;$AA$18&amp;",4)")</f>
        <v>Q1 2027 Earnings Release (Projected)</v>
      </c>
    </row>
    <row r="284" spans="2:24" x14ac:dyDescent="0.15">
      <c r="B284" s="298">
        <f t="shared" si="6"/>
        <v>269</v>
      </c>
      <c r="C284" s="299" t="str">
        <v>EVRG</v>
      </c>
      <c r="D284" s="300" t="str" cm="1">
        <f t="array" ref="D284">_xll.FDSB($C284,"FG_COMPANY_NAME")</f>
        <v>Evergy, Inc.</v>
      </c>
      <c r="E284" s="300"/>
      <c r="F284" s="274" cm="1">
        <f t="array" ref="F284">_xll.FDSB($C284,"CS_EVENT_DATEJ_N("&amp;$AA$18&amp;",1)")</f>
        <v>46233</v>
      </c>
      <c r="G284" s="282" t="str" cm="1">
        <f t="array" ref="G284">_xll.FDSB($C284,"CS_EVENT_TIME_N("&amp;$AA$18&amp;",1)")</f>
        <v>Unspecified</v>
      </c>
      <c r="H284" s="282" t="str" cm="1">
        <f t="array" ref="H284">_xll.FDSB($C284,"CS_EVENT_DESC_N("&amp;$AA$18&amp;",1)")</f>
        <v>Q2 2026 Earnings Release (Projected)</v>
      </c>
      <c r="I284" s="282"/>
      <c r="J284" s="274" t="str" cm="1">
        <f t="array" ref="J284">_xll.FDSB($C284,"CS_EVENT_DATEJ_N("&amp;$AB$18&amp;",1)")</f>
        <v/>
      </c>
      <c r="K284" s="282" t="str" cm="1">
        <f t="array" ref="K284">_xll.FDSB($C284,"CS_EVENT_TIME_N("&amp;$AB$18&amp;",1)")</f>
        <v/>
      </c>
      <c r="L284" s="282" t="str" cm="1">
        <f t="array" ref="L284">_xll.FDSB($C284,"CS_EVENT_DESC_N("&amp;$AB$18&amp;",1)")</f>
        <v/>
      </c>
      <c r="M284" s="300"/>
      <c r="N284" s="274" cm="1">
        <f t="array" ref="N284">_xll.FDSB($C284,"CS_EVENT_DATEJ_N("&amp;$AA$18&amp;",2)")</f>
        <v>46331</v>
      </c>
      <c r="O284" s="282" t="str" cm="1">
        <f t="array" ref="O284">_xll.FDSB($C284,"CS_EVENT_TIME_N("&amp;$AA$18&amp;",2)")</f>
        <v>Unspecified</v>
      </c>
      <c r="P284" s="282" t="str" cm="1">
        <f t="array" ref="P284">_xll.FDSB($C284,"CS_EVENT_DESC_N("&amp;$AA$18&amp;",2)")</f>
        <v>Q3 2026 Earnings Release (Projected)</v>
      </c>
      <c r="Q284" s="282"/>
      <c r="R284" s="274" cm="1">
        <f t="array" ref="R284">_xll.FDSB($C284,"CS_EVENT_DATEJ_N("&amp;$AA$18&amp;",3)")</f>
        <v>46437</v>
      </c>
      <c r="S284" s="282" t="str" cm="1">
        <f t="array" ref="S284">_xll.FDSB($C284,"CS_EVENT_TIME_N("&amp;$AA$18&amp;",3)")</f>
        <v>Unspecified</v>
      </c>
      <c r="T284" s="282" t="str" cm="1">
        <f t="array" ref="T284">_xll.FDSB($C284,"CS_EVENT_DESC_N("&amp;$AA$18&amp;",3)")</f>
        <v>Q4 2026 Earnings Release (Projected)</v>
      </c>
      <c r="U284" s="282"/>
      <c r="V284" s="274" cm="1">
        <f t="array" ref="V284">_xll.FDSB($C284,"CS_EVENT_DATEJ_N("&amp;$AA$18&amp;",4)")</f>
        <v>46520</v>
      </c>
      <c r="W284" s="282" t="str" cm="1">
        <f t="array" ref="W284">_xll.FDSB($C284,"CS_EVENT_TIME_N("&amp;$AA$18&amp;",4)")</f>
        <v>Unspecified</v>
      </c>
      <c r="X284" s="282" t="str" cm="1">
        <f t="array" ref="X284">_xll.FDSB($C284,"CS_EVENT_DESC_N("&amp;$AA$18&amp;",4)")</f>
        <v>Q1 2027 Earnings Release (Projected)</v>
      </c>
    </row>
    <row r="285" spans="2:24" x14ac:dyDescent="0.15">
      <c r="B285" s="298">
        <f t="shared" si="6"/>
        <v>270</v>
      </c>
      <c r="C285" s="299" t="str">
        <v>LH</v>
      </c>
      <c r="D285" s="300" t="str" cm="1">
        <f t="array" ref="D285">_xll.FDSB($C285,"FG_COMPANY_NAME")</f>
        <v>Labcorp Holdings Inc.</v>
      </c>
      <c r="E285" s="300"/>
      <c r="F285" s="274" cm="1">
        <f t="array" ref="F285">_xll.FDSB($C285,"CS_EVENT_DATEJ_N("&amp;$AA$18&amp;",1)")</f>
        <v>46233</v>
      </c>
      <c r="G285" s="282" t="str" cm="1">
        <f t="array" ref="G285">_xll.FDSB($C285,"CS_EVENT_TIME_N("&amp;$AA$18&amp;",1)")</f>
        <v>Unspecified</v>
      </c>
      <c r="H285" s="282" t="str" cm="1">
        <f t="array" ref="H285">_xll.FDSB($C285,"CS_EVENT_DESC_N("&amp;$AA$18&amp;",1)")</f>
        <v>Q2 2026 Earnings Release (Projected)</v>
      </c>
      <c r="I285" s="282"/>
      <c r="J285" s="274" t="str" cm="1">
        <f t="array" ref="J285">_xll.FDSB($C285,"CS_EVENT_DATEJ_N("&amp;$AB$18&amp;",1)")</f>
        <v/>
      </c>
      <c r="K285" s="282" t="str" cm="1">
        <f t="array" ref="K285">_xll.FDSB($C285,"CS_EVENT_TIME_N("&amp;$AB$18&amp;",1)")</f>
        <v/>
      </c>
      <c r="L285" s="282" t="str" cm="1">
        <f t="array" ref="L285">_xll.FDSB($C285,"CS_EVENT_DESC_N("&amp;$AB$18&amp;",1)")</f>
        <v/>
      </c>
      <c r="M285" s="300"/>
      <c r="N285" s="274" cm="1">
        <f t="array" ref="N285">_xll.FDSB($C285,"CS_EVENT_DATEJ_N("&amp;$AA$18&amp;",2)")</f>
        <v>46317</v>
      </c>
      <c r="O285" s="282" t="str" cm="1">
        <f t="array" ref="O285">_xll.FDSB($C285,"CS_EVENT_TIME_N("&amp;$AA$18&amp;",2)")</f>
        <v>Unspecified</v>
      </c>
      <c r="P285" s="282" t="str" cm="1">
        <f t="array" ref="P285">_xll.FDSB($C285,"CS_EVENT_DESC_N("&amp;$AA$18&amp;",2)")</f>
        <v>Q3 2026 Earnings Release (Projected)</v>
      </c>
      <c r="Q285" s="282"/>
      <c r="R285" s="274" cm="1">
        <f t="array" ref="R285">_xll.FDSB($C285,"CS_EVENT_DATEJ_N("&amp;$AA$18&amp;",3)")</f>
        <v>46429</v>
      </c>
      <c r="S285" s="282" t="str" cm="1">
        <f t="array" ref="S285">_xll.FDSB($C285,"CS_EVENT_TIME_N("&amp;$AA$18&amp;",3)")</f>
        <v>Unspecified</v>
      </c>
      <c r="T285" s="282" t="str" cm="1">
        <f t="array" ref="T285">_xll.FDSB($C285,"CS_EVENT_DESC_N("&amp;$AA$18&amp;",3)")</f>
        <v>Q4 2026 Earnings Release (Projected)</v>
      </c>
      <c r="U285" s="282"/>
      <c r="V285" s="274" cm="1">
        <f t="array" ref="V285">_xll.FDSB($C285,"CS_EVENT_DATEJ_N("&amp;$AA$18&amp;",4)")</f>
        <v>46512</v>
      </c>
      <c r="W285" s="282" t="str" cm="1">
        <f t="array" ref="W285">_xll.FDSB($C285,"CS_EVENT_TIME_N("&amp;$AA$18&amp;",4)")</f>
        <v>Unspecified</v>
      </c>
      <c r="X285" s="282" t="str" cm="1">
        <f t="array" ref="X285">_xll.FDSB($C285,"CS_EVENT_DESC_N("&amp;$AA$18&amp;",4)")</f>
        <v>Q1 2027 Earnings Release (Projected)</v>
      </c>
    </row>
    <row r="286" spans="2:24" x14ac:dyDescent="0.15">
      <c r="B286" s="298">
        <f t="shared" si="6"/>
        <v>271</v>
      </c>
      <c r="C286" s="299" t="str">
        <v>BMY</v>
      </c>
      <c r="D286" s="300" t="str" cm="1">
        <f t="array" ref="D286">_xll.FDSB($C286,"FG_COMPANY_NAME")</f>
        <v>Bristol-Myers Squibb Company</v>
      </c>
      <c r="E286" s="300"/>
      <c r="F286" s="274" cm="1">
        <f t="array" ref="F286">_xll.FDSB($C286,"CS_EVENT_DATEJ_N("&amp;$AA$18&amp;",1)")</f>
        <v>46233</v>
      </c>
      <c r="G286" s="282" t="str" cm="1">
        <f t="array" ref="G286">_xll.FDSB($C286,"CS_EVENT_TIME_N("&amp;$AA$18&amp;",1)")</f>
        <v>6:59 AM</v>
      </c>
      <c r="H286" s="282" t="str" cm="1">
        <f t="array" ref="H286">_xll.FDSB($C286,"CS_EVENT_DESC_N("&amp;$AA$18&amp;",1)")</f>
        <v>Q2 2026 Earnings Release</v>
      </c>
      <c r="I286" s="282"/>
      <c r="J286" s="274" cm="1">
        <f t="array" ref="J286">_xll.FDSB($C286,"CS_EVENT_DATEJ_N("&amp;$AB$18&amp;",1)")</f>
        <v>46233</v>
      </c>
      <c r="K286" s="282" t="str" cm="1">
        <f t="array" ref="K286">_xll.FDSB($C286,"CS_EVENT_TIME_N("&amp;$AB$18&amp;",1)")</f>
        <v>8:00 AM</v>
      </c>
      <c r="L286" s="282" t="str" cm="1">
        <f t="array" ref="L286">_xll.FDSB($C286,"CS_EVENT_DESC_N("&amp;$AB$18&amp;",1)")</f>
        <v>Q2 2026 Earnings Call</v>
      </c>
      <c r="M286" s="300"/>
      <c r="N286" s="274" cm="1">
        <f t="array" ref="N286">_xll.FDSB($C286,"CS_EVENT_DATEJ_N("&amp;$AA$18&amp;",2)")</f>
        <v>46324</v>
      </c>
      <c r="O286" s="282" t="str" cm="1">
        <f t="array" ref="O286">_xll.FDSB($C286,"CS_EVENT_TIME_N("&amp;$AA$18&amp;",2)")</f>
        <v>6:59 AM</v>
      </c>
      <c r="P286" s="282" t="str" cm="1">
        <f t="array" ref="P286">_xll.FDSB($C286,"CS_EVENT_DESC_N("&amp;$AA$18&amp;",2)")</f>
        <v>Q3 2026 Earnings Release</v>
      </c>
      <c r="Q286" s="282"/>
      <c r="R286" s="274" cm="1">
        <f t="array" ref="R286">_xll.FDSB($C286,"CS_EVENT_DATEJ_N("&amp;$AA$18&amp;",3)")</f>
        <v>46422</v>
      </c>
      <c r="S286" s="282" t="str" cm="1">
        <f t="array" ref="S286">_xll.FDSB($C286,"CS_EVENT_TIME_N("&amp;$AA$18&amp;",3)")</f>
        <v>Unspecified</v>
      </c>
      <c r="T286" s="282" t="str" cm="1">
        <f t="array" ref="T286">_xll.FDSB($C286,"CS_EVENT_DESC_N("&amp;$AA$18&amp;",3)")</f>
        <v>Q4 2026 Earnings Release (Projected)</v>
      </c>
      <c r="U286" s="282"/>
      <c r="V286" s="274" cm="1">
        <f t="array" ref="V286">_xll.FDSB($C286,"CS_EVENT_DATEJ_N("&amp;$AA$18&amp;",4)")</f>
        <v>46506</v>
      </c>
      <c r="W286" s="282" t="str" cm="1">
        <f t="array" ref="W286">_xll.FDSB($C286,"CS_EVENT_TIME_N("&amp;$AA$18&amp;",4)")</f>
        <v>Unspecified</v>
      </c>
      <c r="X286" s="282" t="str" cm="1">
        <f t="array" ref="X286">_xll.FDSB($C286,"CS_EVENT_DESC_N("&amp;$AA$18&amp;",4)")</f>
        <v>Q1 2027 Earnings Release (Projected)</v>
      </c>
    </row>
    <row r="287" spans="2:24" x14ac:dyDescent="0.15">
      <c r="B287" s="298">
        <f t="shared" si="6"/>
        <v>272</v>
      </c>
      <c r="C287" s="299" t="str">
        <v>REGN</v>
      </c>
      <c r="D287" s="300" t="str" cm="1">
        <f t="array" ref="D287">_xll.FDSB($C287,"FG_COMPANY_NAME")</f>
        <v>Regeneron Pharmaceuticals, Inc.</v>
      </c>
      <c r="E287" s="300"/>
      <c r="F287" s="274" cm="1">
        <f t="array" ref="F287">_xll.FDSB($C287,"CS_EVENT_DATEJ_N("&amp;$AA$18&amp;",1)")</f>
        <v>46233</v>
      </c>
      <c r="G287" s="282" t="str" cm="1">
        <f t="array" ref="G287">_xll.FDSB($C287,"CS_EVENT_TIME_N("&amp;$AA$18&amp;",1)")</f>
        <v>Unspecified</v>
      </c>
      <c r="H287" s="282" t="str" cm="1">
        <f t="array" ref="H287">_xll.FDSB($C287,"CS_EVENT_DESC_N("&amp;$AA$18&amp;",1)")</f>
        <v>Q2 2026 Earnings Release (Projected)</v>
      </c>
      <c r="I287" s="282"/>
      <c r="J287" s="274" t="str" cm="1">
        <f t="array" ref="J287">_xll.FDSB($C287,"CS_EVENT_DATEJ_N("&amp;$AB$18&amp;",1)")</f>
        <v/>
      </c>
      <c r="K287" s="282" t="str" cm="1">
        <f t="array" ref="K287">_xll.FDSB($C287,"CS_EVENT_TIME_N("&amp;$AB$18&amp;",1)")</f>
        <v/>
      </c>
      <c r="L287" s="282" t="str" cm="1">
        <f t="array" ref="L287">_xll.FDSB($C287,"CS_EVENT_DESC_N("&amp;$AB$18&amp;",1)")</f>
        <v/>
      </c>
      <c r="M287" s="300"/>
      <c r="N287" s="274" cm="1">
        <f t="array" ref="N287">_xll.FDSB($C287,"CS_EVENT_DATEJ_N("&amp;$AA$18&amp;",2)")</f>
        <v>46324</v>
      </c>
      <c r="O287" s="282" t="str" cm="1">
        <f t="array" ref="O287">_xll.FDSB($C287,"CS_EVENT_TIME_N("&amp;$AA$18&amp;",2)")</f>
        <v>Unspecified</v>
      </c>
      <c r="P287" s="282" t="str" cm="1">
        <f t="array" ref="P287">_xll.FDSB($C287,"CS_EVENT_DESC_N("&amp;$AA$18&amp;",2)")</f>
        <v>Q3 2026 Earnings Release (Projected)</v>
      </c>
      <c r="Q287" s="282"/>
      <c r="R287" s="274" cm="1">
        <f t="array" ref="R287">_xll.FDSB($C287,"CS_EVENT_DATEJ_N("&amp;$AA$18&amp;",3)")</f>
        <v>46513</v>
      </c>
      <c r="S287" s="282" t="str" cm="1">
        <f t="array" ref="S287">_xll.FDSB($C287,"CS_EVENT_TIME_N("&amp;$AA$18&amp;",3)")</f>
        <v>Unspecified</v>
      </c>
      <c r="T287" s="282" t="str" cm="1">
        <f t="array" ref="T287">_xll.FDSB($C287,"CS_EVENT_DESC_N("&amp;$AA$18&amp;",3)")</f>
        <v>Q1 2027 Earnings Release (Projected)</v>
      </c>
      <c r="U287" s="282"/>
      <c r="V287" s="274" t="str" cm="1">
        <f t="array" ref="V287">_xll.FDSB($C287,"CS_EVENT_DATEJ_N("&amp;$AA$18&amp;",4)")</f>
        <v/>
      </c>
      <c r="W287" s="282" t="str" cm="1">
        <f t="array" ref="W287">_xll.FDSB($C287,"CS_EVENT_TIME_N("&amp;$AA$18&amp;",4)")</f>
        <v/>
      </c>
      <c r="X287" s="282" t="str" cm="1">
        <f t="array" ref="X287">_xll.FDSB($C287,"CS_EVENT_DESC_N("&amp;$AA$18&amp;",4)")</f>
        <v/>
      </c>
    </row>
    <row r="288" spans="2:24" x14ac:dyDescent="0.15">
      <c r="B288" s="298">
        <f t="shared" si="6"/>
        <v>273</v>
      </c>
      <c r="C288" s="299" t="str">
        <v>LNT</v>
      </c>
      <c r="D288" s="300" t="str" cm="1">
        <f t="array" ref="D288">_xll.FDSB($C288,"FG_COMPANY_NAME")</f>
        <v>Alliant Energy Corporation</v>
      </c>
      <c r="E288" s="300"/>
      <c r="F288" s="274" cm="1">
        <f t="array" ref="F288">_xll.FDSB($C288,"CS_EVENT_DATEJ_N("&amp;$AA$18&amp;",1)")</f>
        <v>46233</v>
      </c>
      <c r="G288" s="282" t="str" cm="1">
        <f t="array" ref="G288">_xll.FDSB($C288,"CS_EVENT_TIME_N("&amp;$AA$18&amp;",1)")</f>
        <v>Unspecified</v>
      </c>
      <c r="H288" s="282" t="str" cm="1">
        <f t="array" ref="H288">_xll.FDSB($C288,"CS_EVENT_DESC_N("&amp;$AA$18&amp;",1)")</f>
        <v>Q2 2026 Earnings Release (Projected)</v>
      </c>
      <c r="I288" s="282"/>
      <c r="J288" s="274" t="str" cm="1">
        <f t="array" ref="J288">_xll.FDSB($C288,"CS_EVENT_DATEJ_N("&amp;$AB$18&amp;",1)")</f>
        <v/>
      </c>
      <c r="K288" s="282" t="str" cm="1">
        <f t="array" ref="K288">_xll.FDSB($C288,"CS_EVENT_TIME_N("&amp;$AB$18&amp;",1)")</f>
        <v/>
      </c>
      <c r="L288" s="282" t="str" cm="1">
        <f t="array" ref="L288">_xll.FDSB($C288,"CS_EVENT_DESC_N("&amp;$AB$18&amp;",1)")</f>
        <v/>
      </c>
      <c r="M288" s="300"/>
      <c r="N288" s="274" cm="1">
        <f t="array" ref="N288">_xll.FDSB($C288,"CS_EVENT_DATEJ_N("&amp;$AA$18&amp;",2)")</f>
        <v>46324</v>
      </c>
      <c r="O288" s="282" t="str" cm="1">
        <f t="array" ref="O288">_xll.FDSB($C288,"CS_EVENT_TIME_N("&amp;$AA$18&amp;",2)")</f>
        <v>Unspecified</v>
      </c>
      <c r="P288" s="282" t="str" cm="1">
        <f t="array" ref="P288">_xll.FDSB($C288,"CS_EVENT_DESC_N("&amp;$AA$18&amp;",2)")</f>
        <v>Q3 2026 Earnings Release (Projected)</v>
      </c>
      <c r="Q288" s="282"/>
      <c r="R288" s="274" cm="1">
        <f t="array" ref="R288">_xll.FDSB($C288,"CS_EVENT_DATEJ_N("&amp;$AA$18&amp;",3)")</f>
        <v>46436</v>
      </c>
      <c r="S288" s="282" t="str" cm="1">
        <f t="array" ref="S288">_xll.FDSB($C288,"CS_EVENT_TIME_N("&amp;$AA$18&amp;",3)")</f>
        <v>Unspecified</v>
      </c>
      <c r="T288" s="282" t="str" cm="1">
        <f t="array" ref="T288">_xll.FDSB($C288,"CS_EVENT_DESC_N("&amp;$AA$18&amp;",3)")</f>
        <v>Q4 2026 Earnings Release (Projected)</v>
      </c>
      <c r="U288" s="282"/>
      <c r="V288" s="274" cm="1">
        <f t="array" ref="V288">_xll.FDSB($C288,"CS_EVENT_DATEJ_N("&amp;$AA$18&amp;",4)")</f>
        <v>46513</v>
      </c>
      <c r="W288" s="282" t="str" cm="1">
        <f t="array" ref="W288">_xll.FDSB($C288,"CS_EVENT_TIME_N("&amp;$AA$18&amp;",4)")</f>
        <v>Unspecified</v>
      </c>
      <c r="X288" s="282" t="str" cm="1">
        <f t="array" ref="X288">_xll.FDSB($C288,"CS_EVENT_DESC_N("&amp;$AA$18&amp;",4)")</f>
        <v>Q1 2027 Earnings Release (Projected)</v>
      </c>
    </row>
    <row r="289" spans="2:24" x14ac:dyDescent="0.15">
      <c r="B289" s="298">
        <f t="shared" si="6"/>
        <v>274</v>
      </c>
      <c r="C289" s="299" t="str">
        <v>APD</v>
      </c>
      <c r="D289" s="300" t="str" cm="1">
        <f t="array" ref="D289">_xll.FDSB($C289,"FG_COMPANY_NAME")</f>
        <v>Air Products and Chemicals, Inc.</v>
      </c>
      <c r="E289" s="300"/>
      <c r="F289" s="274" cm="1">
        <f t="array" ref="F289">_xll.FDSB($C289,"CS_EVENT_DATEJ_N("&amp;$AA$18&amp;",1)")</f>
        <v>46233</v>
      </c>
      <c r="G289" s="282" t="str" cm="1">
        <f t="array" ref="G289">_xll.FDSB($C289,"CS_EVENT_TIME_N("&amp;$AA$18&amp;",1)")</f>
        <v>Unspecified</v>
      </c>
      <c r="H289" s="282" t="str" cm="1">
        <f t="array" ref="H289">_xll.FDSB($C289,"CS_EVENT_DESC_N("&amp;$AA$18&amp;",1)")</f>
        <v>Q3 2026 Earnings Release (Projected)</v>
      </c>
      <c r="I289" s="282"/>
      <c r="J289" s="274" t="str" cm="1">
        <f t="array" ref="J289">_xll.FDSB($C289,"CS_EVENT_DATEJ_N("&amp;$AB$18&amp;",1)")</f>
        <v/>
      </c>
      <c r="K289" s="282" t="str" cm="1">
        <f t="array" ref="K289">_xll.FDSB($C289,"CS_EVENT_TIME_N("&amp;$AB$18&amp;",1)")</f>
        <v/>
      </c>
      <c r="L289" s="282" t="str" cm="1">
        <f t="array" ref="L289">_xll.FDSB($C289,"CS_EVENT_DESC_N("&amp;$AB$18&amp;",1)")</f>
        <v/>
      </c>
      <c r="M289" s="300"/>
      <c r="N289" s="274" cm="1">
        <f t="array" ref="N289">_xll.FDSB($C289,"CS_EVENT_DATEJ_N("&amp;$AA$18&amp;",2)")</f>
        <v>46331</v>
      </c>
      <c r="O289" s="282" t="str" cm="1">
        <f t="array" ref="O289">_xll.FDSB($C289,"CS_EVENT_TIME_N("&amp;$AA$18&amp;",2)")</f>
        <v>Unspecified</v>
      </c>
      <c r="P289" s="282" t="str" cm="1">
        <f t="array" ref="P289">_xll.FDSB($C289,"CS_EVENT_DESC_N("&amp;$AA$18&amp;",2)")</f>
        <v>Q4 2026 Earnings Release (Projected)</v>
      </c>
      <c r="Q289" s="282"/>
      <c r="R289" s="274" cm="1">
        <f t="array" ref="R289">_xll.FDSB($C289,"CS_EVENT_DATEJ_N("&amp;$AA$18&amp;",3)")</f>
        <v>46422</v>
      </c>
      <c r="S289" s="282" t="str" cm="1">
        <f t="array" ref="S289">_xll.FDSB($C289,"CS_EVENT_TIME_N("&amp;$AA$18&amp;",3)")</f>
        <v>Unspecified</v>
      </c>
      <c r="T289" s="282" t="str" cm="1">
        <f t="array" ref="T289">_xll.FDSB($C289,"CS_EVENT_DESC_N("&amp;$AA$18&amp;",3)")</f>
        <v>Q1 2027 Earnings Release (Projected)</v>
      </c>
      <c r="U289" s="282"/>
      <c r="V289" s="274" t="str" cm="1">
        <f t="array" ref="V289">_xll.FDSB($C289,"CS_EVENT_DATEJ_N("&amp;$AA$18&amp;",4)")</f>
        <v/>
      </c>
      <c r="W289" s="282" t="str" cm="1">
        <f t="array" ref="W289">_xll.FDSB($C289,"CS_EVENT_TIME_N("&amp;$AA$18&amp;",4)")</f>
        <v/>
      </c>
      <c r="X289" s="282" t="str" cm="1">
        <f t="array" ref="X289">_xll.FDSB($C289,"CS_EVENT_DESC_N("&amp;$AA$18&amp;",4)")</f>
        <v/>
      </c>
    </row>
    <row r="290" spans="2:24" x14ac:dyDescent="0.15">
      <c r="B290" s="298">
        <f t="shared" si="6"/>
        <v>275</v>
      </c>
      <c r="C290" s="299" t="str">
        <v>SRE</v>
      </c>
      <c r="D290" s="300" t="str" cm="1">
        <f t="array" ref="D290">_xll.FDSB($C290,"FG_COMPANY_NAME")</f>
        <v>Sempra</v>
      </c>
      <c r="E290" s="300"/>
      <c r="F290" s="274" cm="1">
        <f t="array" ref="F290">_xll.FDSB($C290,"CS_EVENT_DATEJ_N("&amp;$AA$18&amp;",1)")</f>
        <v>46233</v>
      </c>
      <c r="G290" s="282" t="str" cm="1">
        <f t="array" ref="G290">_xll.FDSB($C290,"CS_EVENT_TIME_N("&amp;$AA$18&amp;",1)")</f>
        <v>Unspecified</v>
      </c>
      <c r="H290" s="282" t="str" cm="1">
        <f t="array" ref="H290">_xll.FDSB($C290,"CS_EVENT_DESC_N("&amp;$AA$18&amp;",1)")</f>
        <v>Q2 2026 Earnings Release (Projected)</v>
      </c>
      <c r="I290" s="282"/>
      <c r="J290" s="274" t="str" cm="1">
        <f t="array" ref="J290">_xll.FDSB($C290,"CS_EVENT_DATEJ_N("&amp;$AB$18&amp;",1)")</f>
        <v/>
      </c>
      <c r="K290" s="282" t="str" cm="1">
        <f t="array" ref="K290">_xll.FDSB($C290,"CS_EVENT_TIME_N("&amp;$AB$18&amp;",1)")</f>
        <v/>
      </c>
      <c r="L290" s="282" t="str" cm="1">
        <f t="array" ref="L290">_xll.FDSB($C290,"CS_EVENT_DESC_N("&amp;$AB$18&amp;",1)")</f>
        <v/>
      </c>
      <c r="M290" s="300"/>
      <c r="N290" s="274" cm="1">
        <f t="array" ref="N290">_xll.FDSB($C290,"CS_EVENT_DATEJ_N("&amp;$AA$18&amp;",2)")</f>
        <v>46325</v>
      </c>
      <c r="O290" s="282" t="str" cm="1">
        <f t="array" ref="O290">_xll.FDSB($C290,"CS_EVENT_TIME_N("&amp;$AA$18&amp;",2)")</f>
        <v>Unspecified</v>
      </c>
      <c r="P290" s="282" t="str" cm="1">
        <f t="array" ref="P290">_xll.FDSB($C290,"CS_EVENT_DESC_N("&amp;$AA$18&amp;",2)")</f>
        <v>Q3 2026 Earnings Release (Projected)</v>
      </c>
      <c r="Q290" s="282"/>
      <c r="R290" s="274" cm="1">
        <f t="array" ref="R290">_xll.FDSB($C290,"CS_EVENT_DATEJ_N("&amp;$AA$18&amp;",3)")</f>
        <v>46448</v>
      </c>
      <c r="S290" s="282" t="str" cm="1">
        <f t="array" ref="S290">_xll.FDSB($C290,"CS_EVENT_TIME_N("&amp;$AA$18&amp;",3)")</f>
        <v>Unspecified</v>
      </c>
      <c r="T290" s="282" t="str" cm="1">
        <f t="array" ref="T290">_xll.FDSB($C290,"CS_EVENT_DESC_N("&amp;$AA$18&amp;",3)")</f>
        <v>Q4 2026 Earnings Release (Projected)</v>
      </c>
      <c r="U290" s="282"/>
      <c r="V290" s="274" cm="1">
        <f t="array" ref="V290">_xll.FDSB($C290,"CS_EVENT_DATEJ_N("&amp;$AA$18&amp;",4)")</f>
        <v>46513</v>
      </c>
      <c r="W290" s="282" t="str" cm="1">
        <f t="array" ref="W290">_xll.FDSB($C290,"CS_EVENT_TIME_N("&amp;$AA$18&amp;",4)")</f>
        <v>Unspecified</v>
      </c>
      <c r="X290" s="282" t="str" cm="1">
        <f t="array" ref="X290">_xll.FDSB($C290,"CS_EVENT_DESC_N("&amp;$AA$18&amp;",4)")</f>
        <v>Q1 2027 Earnings Release (Projected)</v>
      </c>
    </row>
    <row r="291" spans="2:24" x14ac:dyDescent="0.15">
      <c r="B291" s="298">
        <f t="shared" si="6"/>
        <v>276</v>
      </c>
      <c r="C291" s="299" t="str">
        <v>PPL</v>
      </c>
      <c r="D291" s="300" t="str" cm="1">
        <f t="array" ref="D291">_xll.FDSB($C291,"FG_COMPANY_NAME")</f>
        <v>PPL Corporation</v>
      </c>
      <c r="E291" s="300"/>
      <c r="F291" s="274" cm="1">
        <f t="array" ref="F291">_xll.FDSB($C291,"CS_EVENT_DATEJ_N("&amp;$AA$18&amp;",1)")</f>
        <v>46233</v>
      </c>
      <c r="G291" s="282" t="str" cm="1">
        <f t="array" ref="G291">_xll.FDSB($C291,"CS_EVENT_TIME_N("&amp;$AA$18&amp;",1)")</f>
        <v>Unspecified</v>
      </c>
      <c r="H291" s="282" t="str" cm="1">
        <f t="array" ref="H291">_xll.FDSB($C291,"CS_EVENT_DESC_N("&amp;$AA$18&amp;",1)")</f>
        <v>Q2 2026 Earnings Release (Projected)</v>
      </c>
      <c r="I291" s="282"/>
      <c r="J291" s="274" t="str" cm="1">
        <f t="array" ref="J291">_xll.FDSB($C291,"CS_EVENT_DATEJ_N("&amp;$AB$18&amp;",1)")</f>
        <v/>
      </c>
      <c r="K291" s="282" t="str" cm="1">
        <f t="array" ref="K291">_xll.FDSB($C291,"CS_EVENT_TIME_N("&amp;$AB$18&amp;",1)")</f>
        <v/>
      </c>
      <c r="L291" s="282" t="str" cm="1">
        <f t="array" ref="L291">_xll.FDSB($C291,"CS_EVENT_DESC_N("&amp;$AB$18&amp;",1)")</f>
        <v/>
      </c>
      <c r="M291" s="300"/>
      <c r="N291" s="274" cm="1">
        <f t="array" ref="N291">_xll.FDSB($C291,"CS_EVENT_DATEJ_N("&amp;$AA$18&amp;",2)")</f>
        <v>46324</v>
      </c>
      <c r="O291" s="282" t="str" cm="1">
        <f t="array" ref="O291">_xll.FDSB($C291,"CS_EVENT_TIME_N("&amp;$AA$18&amp;",2)")</f>
        <v>Unspecified</v>
      </c>
      <c r="P291" s="282" t="str" cm="1">
        <f t="array" ref="P291">_xll.FDSB($C291,"CS_EVENT_DESC_N("&amp;$AA$18&amp;",2)")</f>
        <v>Q3 2026 Earnings Release (Projected)</v>
      </c>
      <c r="Q291" s="282"/>
      <c r="R291" s="274" cm="1">
        <f t="array" ref="R291">_xll.FDSB($C291,"CS_EVENT_DATEJ_N("&amp;$AA$18&amp;",3)")</f>
        <v>46430</v>
      </c>
      <c r="S291" s="282" t="str" cm="1">
        <f t="array" ref="S291">_xll.FDSB($C291,"CS_EVENT_TIME_N("&amp;$AA$18&amp;",3)")</f>
        <v>Unspecified</v>
      </c>
      <c r="T291" s="282" t="str" cm="1">
        <f t="array" ref="T291">_xll.FDSB($C291,"CS_EVENT_DESC_N("&amp;$AA$18&amp;",3)")</f>
        <v>Q4 2026 Earnings Release (Projected)</v>
      </c>
      <c r="U291" s="282"/>
      <c r="V291" s="274" cm="1">
        <f t="array" ref="V291">_xll.FDSB($C291,"CS_EVENT_DATEJ_N("&amp;$AA$18&amp;",4)")</f>
        <v>46513</v>
      </c>
      <c r="W291" s="282" t="str" cm="1">
        <f t="array" ref="W291">_xll.FDSB($C291,"CS_EVENT_TIME_N("&amp;$AA$18&amp;",4)")</f>
        <v>Unspecified</v>
      </c>
      <c r="X291" s="282" t="str" cm="1">
        <f t="array" ref="X291">_xll.FDSB($C291,"CS_EVENT_DESC_N("&amp;$AA$18&amp;",4)")</f>
        <v>Q1 2027 Earnings Release (Projected)</v>
      </c>
    </row>
    <row r="292" spans="2:24" x14ac:dyDescent="0.15">
      <c r="B292" s="298">
        <f t="shared" si="6"/>
        <v>277</v>
      </c>
      <c r="C292" s="299" t="str">
        <v>AEE</v>
      </c>
      <c r="D292" s="300" t="str" cm="1">
        <f t="array" ref="D292">_xll.FDSB($C292,"FG_COMPANY_NAME")</f>
        <v>Ameren Corporation</v>
      </c>
      <c r="E292" s="300"/>
      <c r="F292" s="274" cm="1">
        <f t="array" ref="F292">_xll.FDSB($C292,"CS_EVENT_DATEJ_N("&amp;$AA$18&amp;",1)")</f>
        <v>46233</v>
      </c>
      <c r="G292" s="282" t="str" cm="1">
        <f t="array" ref="G292">_xll.FDSB($C292,"CS_EVENT_TIME_N("&amp;$AA$18&amp;",1)")</f>
        <v>Unspecified</v>
      </c>
      <c r="H292" s="282" t="str" cm="1">
        <f t="array" ref="H292">_xll.FDSB($C292,"CS_EVENT_DESC_N("&amp;$AA$18&amp;",1)")</f>
        <v>Q2 2026 Earnings Release (Projected)</v>
      </c>
      <c r="I292" s="282"/>
      <c r="J292" s="274" t="str" cm="1">
        <f t="array" ref="J292">_xll.FDSB($C292,"CS_EVENT_DATEJ_N("&amp;$AB$18&amp;",1)")</f>
        <v/>
      </c>
      <c r="K292" s="282" t="str" cm="1">
        <f t="array" ref="K292">_xll.FDSB($C292,"CS_EVENT_TIME_N("&amp;$AB$18&amp;",1)")</f>
        <v/>
      </c>
      <c r="L292" s="282" t="str" cm="1">
        <f t="array" ref="L292">_xll.FDSB($C292,"CS_EVENT_DESC_N("&amp;$AB$18&amp;",1)")</f>
        <v/>
      </c>
      <c r="M292" s="300"/>
      <c r="N292" s="274" cm="1">
        <f t="array" ref="N292">_xll.FDSB($C292,"CS_EVENT_DATEJ_N("&amp;$AA$18&amp;",2)")</f>
        <v>46337</v>
      </c>
      <c r="O292" s="282" t="str" cm="1">
        <f t="array" ref="O292">_xll.FDSB($C292,"CS_EVENT_TIME_N("&amp;$AA$18&amp;",2)")</f>
        <v>Unspecified</v>
      </c>
      <c r="P292" s="282" t="str" cm="1">
        <f t="array" ref="P292">_xll.FDSB($C292,"CS_EVENT_DESC_N("&amp;$AA$18&amp;",2)")</f>
        <v>Q3 2026 Earnings Release (Projected)</v>
      </c>
      <c r="Q292" s="282"/>
      <c r="R292" s="274" cm="1">
        <f t="array" ref="R292">_xll.FDSB($C292,"CS_EVENT_DATEJ_N("&amp;$AA$18&amp;",3)")</f>
        <v>46436</v>
      </c>
      <c r="S292" s="282" t="str" cm="1">
        <f t="array" ref="S292">_xll.FDSB($C292,"CS_EVENT_TIME_N("&amp;$AA$18&amp;",3)")</f>
        <v>Unspecified</v>
      </c>
      <c r="T292" s="282" t="str" cm="1">
        <f t="array" ref="T292">_xll.FDSB($C292,"CS_EVENT_DESC_N("&amp;$AA$18&amp;",3)")</f>
        <v>Q4 2026 Earnings Release (Projected)</v>
      </c>
      <c r="U292" s="282"/>
      <c r="V292" s="274" t="str" cm="1">
        <f t="array" ref="V292">_xll.FDSB($C292,"CS_EVENT_DATEJ_N("&amp;$AA$18&amp;",4)")</f>
        <v/>
      </c>
      <c r="W292" s="282" t="str" cm="1">
        <f t="array" ref="W292">_xll.FDSB($C292,"CS_EVENT_TIME_N("&amp;$AA$18&amp;",4)")</f>
        <v/>
      </c>
      <c r="X292" s="282" t="str" cm="1">
        <f t="array" ref="X292">_xll.FDSB($C292,"CS_EVENT_DESC_N("&amp;$AA$18&amp;",4)")</f>
        <v/>
      </c>
    </row>
    <row r="293" spans="2:24" x14ac:dyDescent="0.15">
      <c r="B293" s="298">
        <f t="shared" si="6"/>
        <v>278</v>
      </c>
      <c r="C293" s="299" t="str">
        <v>TRGP</v>
      </c>
      <c r="D293" s="300" t="str" cm="1">
        <f t="array" ref="D293">_xll.FDSB($C293,"FG_COMPANY_NAME")</f>
        <v>Targa Resources Corp.</v>
      </c>
      <c r="E293" s="300"/>
      <c r="F293" s="274" cm="1">
        <f t="array" ref="F293">_xll.FDSB($C293,"CS_EVENT_DATEJ_N("&amp;$AA$18&amp;",1)")</f>
        <v>46233</v>
      </c>
      <c r="G293" s="282" t="str" cm="1">
        <f t="array" ref="G293">_xll.FDSB($C293,"CS_EVENT_TIME_N("&amp;$AA$18&amp;",1)")</f>
        <v>Unspecified</v>
      </c>
      <c r="H293" s="282" t="str" cm="1">
        <f t="array" ref="H293">_xll.FDSB($C293,"CS_EVENT_DESC_N("&amp;$AA$18&amp;",1)")</f>
        <v>Q2 2026 Earnings Release (Projected)</v>
      </c>
      <c r="I293" s="282"/>
      <c r="J293" s="274" t="str" cm="1">
        <f t="array" ref="J293">_xll.FDSB($C293,"CS_EVENT_DATEJ_N("&amp;$AB$18&amp;",1)")</f>
        <v/>
      </c>
      <c r="K293" s="282" t="str" cm="1">
        <f t="array" ref="K293">_xll.FDSB($C293,"CS_EVENT_TIME_N("&amp;$AB$18&amp;",1)")</f>
        <v/>
      </c>
      <c r="L293" s="282" t="str" cm="1">
        <f t="array" ref="L293">_xll.FDSB($C293,"CS_EVENT_DESC_N("&amp;$AB$18&amp;",1)")</f>
        <v/>
      </c>
      <c r="M293" s="300"/>
      <c r="N293" s="274" cm="1">
        <f t="array" ref="N293">_xll.FDSB($C293,"CS_EVENT_DATEJ_N("&amp;$AA$18&amp;",2)")</f>
        <v>46443</v>
      </c>
      <c r="O293" s="282" t="str" cm="1">
        <f t="array" ref="O293">_xll.FDSB($C293,"CS_EVENT_TIME_N("&amp;$AA$18&amp;",2)")</f>
        <v>Unspecified</v>
      </c>
      <c r="P293" s="282" t="str" cm="1">
        <f t="array" ref="P293">_xll.FDSB($C293,"CS_EVENT_DESC_N("&amp;$AA$18&amp;",2)")</f>
        <v>Q4 2026 Earnings Release (Projected)</v>
      </c>
      <c r="Q293" s="282"/>
      <c r="R293" s="274" cm="1">
        <f t="array" ref="R293">_xll.FDSB($C293,"CS_EVENT_DATEJ_N("&amp;$AA$18&amp;",3)")</f>
        <v>46513</v>
      </c>
      <c r="S293" s="282" t="str" cm="1">
        <f t="array" ref="S293">_xll.FDSB($C293,"CS_EVENT_TIME_N("&amp;$AA$18&amp;",3)")</f>
        <v>Unspecified</v>
      </c>
      <c r="T293" s="282" t="str" cm="1">
        <f t="array" ref="T293">_xll.FDSB($C293,"CS_EVENT_DESC_N("&amp;$AA$18&amp;",3)")</f>
        <v>Q1 2027 Earnings Release (Projected)</v>
      </c>
      <c r="U293" s="282"/>
      <c r="V293" s="274" t="str" cm="1">
        <f t="array" ref="V293">_xll.FDSB($C293,"CS_EVENT_DATEJ_N("&amp;$AA$18&amp;",4)")</f>
        <v/>
      </c>
      <c r="W293" s="282" t="str" cm="1">
        <f t="array" ref="W293">_xll.FDSB($C293,"CS_EVENT_TIME_N("&amp;$AA$18&amp;",4)")</f>
        <v/>
      </c>
      <c r="X293" s="282" t="str" cm="1">
        <f t="array" ref="X293">_xll.FDSB($C293,"CS_EVENT_DESC_N("&amp;$AA$18&amp;",4)")</f>
        <v/>
      </c>
    </row>
    <row r="294" spans="2:24" x14ac:dyDescent="0.15">
      <c r="B294" s="298">
        <f t="shared" si="6"/>
        <v>279</v>
      </c>
      <c r="C294" s="299" t="str">
        <v>TRMB</v>
      </c>
      <c r="D294" s="300" t="str" cm="1">
        <f t="array" ref="D294">_xll.FDSB($C294,"FG_COMPANY_NAME")</f>
        <v>Trimble Inc.</v>
      </c>
      <c r="E294" s="300"/>
      <c r="F294" s="274" cm="1">
        <f t="array" ref="F294">_xll.FDSB($C294,"CS_EVENT_DATEJ_N("&amp;$AA$18&amp;",1)")</f>
        <v>46233</v>
      </c>
      <c r="G294" s="282" t="str" cm="1">
        <f t="array" ref="G294">_xll.FDSB($C294,"CS_EVENT_TIME_N("&amp;$AA$18&amp;",1)")</f>
        <v>Unspecified</v>
      </c>
      <c r="H294" s="282" t="str" cm="1">
        <f t="array" ref="H294">_xll.FDSB($C294,"CS_EVENT_DESC_N("&amp;$AA$18&amp;",1)")</f>
        <v>Q2 2026 Earnings Release (Projected)</v>
      </c>
      <c r="I294" s="282"/>
      <c r="J294" s="274" t="str" cm="1">
        <f t="array" ref="J294">_xll.FDSB($C294,"CS_EVENT_DATEJ_N("&amp;$AB$18&amp;",1)")</f>
        <v/>
      </c>
      <c r="K294" s="282" t="str" cm="1">
        <f t="array" ref="K294">_xll.FDSB($C294,"CS_EVENT_TIME_N("&amp;$AB$18&amp;",1)")</f>
        <v/>
      </c>
      <c r="L294" s="282" t="str" cm="1">
        <f t="array" ref="L294">_xll.FDSB($C294,"CS_EVENT_DESC_N("&amp;$AB$18&amp;",1)")</f>
        <v/>
      </c>
      <c r="M294" s="300"/>
      <c r="N294" s="274" cm="1">
        <f t="array" ref="N294">_xll.FDSB($C294,"CS_EVENT_DATEJ_N("&amp;$AA$18&amp;",2)")</f>
        <v>46330</v>
      </c>
      <c r="O294" s="282" t="str" cm="1">
        <f t="array" ref="O294">_xll.FDSB($C294,"CS_EVENT_TIME_N("&amp;$AA$18&amp;",2)")</f>
        <v>Unspecified</v>
      </c>
      <c r="P294" s="282" t="str" cm="1">
        <f t="array" ref="P294">_xll.FDSB($C294,"CS_EVENT_DESC_N("&amp;$AA$18&amp;",2)")</f>
        <v>Q3 2026 Earnings Release (Projected)</v>
      </c>
      <c r="Q294" s="282"/>
      <c r="R294" s="274" cm="1">
        <f t="array" ref="R294">_xll.FDSB($C294,"CS_EVENT_DATEJ_N("&amp;$AA$18&amp;",3)")</f>
        <v>46428</v>
      </c>
      <c r="S294" s="282" t="str" cm="1">
        <f t="array" ref="S294">_xll.FDSB($C294,"CS_EVENT_TIME_N("&amp;$AA$18&amp;",3)")</f>
        <v>Unspecified</v>
      </c>
      <c r="T294" s="282" t="str" cm="1">
        <f t="array" ref="T294">_xll.FDSB($C294,"CS_EVENT_DESC_N("&amp;$AA$18&amp;",3)")</f>
        <v>Q4 2026 Earnings Release (Projected)</v>
      </c>
      <c r="U294" s="282"/>
      <c r="V294" s="274" cm="1">
        <f t="array" ref="V294">_xll.FDSB($C294,"CS_EVENT_DATEJ_N("&amp;$AA$18&amp;",4)")</f>
        <v>46512</v>
      </c>
      <c r="W294" s="282" t="str" cm="1">
        <f t="array" ref="W294">_xll.FDSB($C294,"CS_EVENT_TIME_N("&amp;$AA$18&amp;",4)")</f>
        <v>Unspecified</v>
      </c>
      <c r="X294" s="282" t="str" cm="1">
        <f t="array" ref="X294">_xll.FDSB($C294,"CS_EVENT_DESC_N("&amp;$AA$18&amp;",4)")</f>
        <v>Q1 2027 Earnings Release (Projected)</v>
      </c>
    </row>
    <row r="295" spans="2:24" x14ac:dyDescent="0.15">
      <c r="B295" s="298">
        <f t="shared" si="6"/>
        <v>280</v>
      </c>
      <c r="C295" s="299" t="str">
        <v>AMGN</v>
      </c>
      <c r="D295" s="300" t="str" cm="1">
        <f t="array" ref="D295">_xll.FDSB($C295,"FG_COMPANY_NAME")</f>
        <v>Amgen Inc.</v>
      </c>
      <c r="E295" s="300"/>
      <c r="F295" s="274" cm="1">
        <f t="array" ref="F295">_xll.FDSB($C295,"CS_EVENT_DATEJ_N("&amp;$AA$18&amp;",1)")</f>
        <v>46233</v>
      </c>
      <c r="G295" s="282" t="str" cm="1">
        <f t="array" ref="G295">_xll.FDSB($C295,"CS_EVENT_TIME_N("&amp;$AA$18&amp;",1)")</f>
        <v>Unspecified</v>
      </c>
      <c r="H295" s="282" t="str" cm="1">
        <f t="array" ref="H295">_xll.FDSB($C295,"CS_EVENT_DESC_N("&amp;$AA$18&amp;",1)")</f>
        <v>Q2 2026 Earnings Release (Projected)</v>
      </c>
      <c r="I295" s="282"/>
      <c r="J295" s="274" t="str" cm="1">
        <f t="array" ref="J295">_xll.FDSB($C295,"CS_EVENT_DATEJ_N("&amp;$AB$18&amp;",1)")</f>
        <v/>
      </c>
      <c r="K295" s="282" t="str" cm="1">
        <f t="array" ref="K295">_xll.FDSB($C295,"CS_EVENT_TIME_N("&amp;$AB$18&amp;",1)")</f>
        <v/>
      </c>
      <c r="L295" s="282" t="str" cm="1">
        <f t="array" ref="L295">_xll.FDSB($C295,"CS_EVENT_DESC_N("&amp;$AB$18&amp;",1)")</f>
        <v/>
      </c>
      <c r="M295" s="300"/>
      <c r="N295" s="274" cm="1">
        <f t="array" ref="N295">_xll.FDSB($C295,"CS_EVENT_DATEJ_N("&amp;$AA$18&amp;",2)")</f>
        <v>46329</v>
      </c>
      <c r="O295" s="282" t="str" cm="1">
        <f t="array" ref="O295">_xll.FDSB($C295,"CS_EVENT_TIME_N("&amp;$AA$18&amp;",2)")</f>
        <v>Unspecified</v>
      </c>
      <c r="P295" s="282" t="str" cm="1">
        <f t="array" ref="P295">_xll.FDSB($C295,"CS_EVENT_DESC_N("&amp;$AA$18&amp;",2)")</f>
        <v>Q3 2026 Earnings Release (Projected)</v>
      </c>
      <c r="Q295" s="282"/>
      <c r="R295" s="274" cm="1">
        <f t="array" ref="R295">_xll.FDSB($C295,"CS_EVENT_DATEJ_N("&amp;$AA$18&amp;",3)")</f>
        <v>46427</v>
      </c>
      <c r="S295" s="282" t="str" cm="1">
        <f t="array" ref="S295">_xll.FDSB($C295,"CS_EVENT_TIME_N("&amp;$AA$18&amp;",3)")</f>
        <v>Unspecified</v>
      </c>
      <c r="T295" s="282" t="str" cm="1">
        <f t="array" ref="T295">_xll.FDSB($C295,"CS_EVENT_DESC_N("&amp;$AA$18&amp;",3)")</f>
        <v>Q4 2026 Earnings Release (Projected)</v>
      </c>
      <c r="U295" s="282"/>
      <c r="V295" s="274" t="str" cm="1">
        <f t="array" ref="V295">_xll.FDSB($C295,"CS_EVENT_DATEJ_N("&amp;$AA$18&amp;",4)")</f>
        <v/>
      </c>
      <c r="W295" s="282" t="str" cm="1">
        <f t="array" ref="W295">_xll.FDSB($C295,"CS_EVENT_TIME_N("&amp;$AA$18&amp;",4)")</f>
        <v/>
      </c>
      <c r="X295" s="282" t="str" cm="1">
        <f t="array" ref="X295">_xll.FDSB($C295,"CS_EVENT_DESC_N("&amp;$AA$18&amp;",4)")</f>
        <v/>
      </c>
    </row>
    <row r="296" spans="2:24" x14ac:dyDescent="0.15">
      <c r="B296" s="298">
        <f t="shared" si="6"/>
        <v>281</v>
      </c>
      <c r="C296" s="299" t="str">
        <v>AMZN</v>
      </c>
      <c r="D296" s="300" t="str" cm="1">
        <f t="array" ref="D296">_xll.FDSB($C296,"FG_COMPANY_NAME")</f>
        <v>Amazon.com, Inc.</v>
      </c>
      <c r="E296" s="300"/>
      <c r="F296" s="274" cm="1">
        <f t="array" ref="F296">_xll.FDSB($C296,"CS_EVENT_DATEJ_N("&amp;$AA$18&amp;",1)")</f>
        <v>46233</v>
      </c>
      <c r="G296" s="282" t="str" cm="1">
        <f t="array" ref="G296">_xll.FDSB($C296,"CS_EVENT_TIME_N("&amp;$AA$18&amp;",1)")</f>
        <v>Unspecified</v>
      </c>
      <c r="H296" s="282" t="str" cm="1">
        <f t="array" ref="H296">_xll.FDSB($C296,"CS_EVENT_DESC_N("&amp;$AA$18&amp;",1)")</f>
        <v>Q2 2026 Earnings Release (Projected)</v>
      </c>
      <c r="I296" s="282"/>
      <c r="J296" s="274" t="str" cm="1">
        <f t="array" ref="J296">_xll.FDSB($C296,"CS_EVENT_DATEJ_N("&amp;$AB$18&amp;",1)")</f>
        <v/>
      </c>
      <c r="K296" s="282" t="str" cm="1">
        <f t="array" ref="K296">_xll.FDSB($C296,"CS_EVENT_TIME_N("&amp;$AB$18&amp;",1)")</f>
        <v/>
      </c>
      <c r="L296" s="282" t="str" cm="1">
        <f t="array" ref="L296">_xll.FDSB($C296,"CS_EVENT_DESC_N("&amp;$AB$18&amp;",1)")</f>
        <v/>
      </c>
      <c r="M296" s="300"/>
      <c r="N296" s="274" cm="1">
        <f t="array" ref="N296">_xll.FDSB($C296,"CS_EVENT_DATEJ_N("&amp;$AA$18&amp;",2)")</f>
        <v>46317</v>
      </c>
      <c r="O296" s="282" t="str" cm="1">
        <f t="array" ref="O296">_xll.FDSB($C296,"CS_EVENT_TIME_N("&amp;$AA$18&amp;",2)")</f>
        <v>Unspecified</v>
      </c>
      <c r="P296" s="282" t="str" cm="1">
        <f t="array" ref="P296">_xll.FDSB($C296,"CS_EVENT_DESC_N("&amp;$AA$18&amp;",2)")</f>
        <v>Q3 2026 Earnings Release (Projected)</v>
      </c>
      <c r="Q296" s="282"/>
      <c r="R296" s="274" cm="1">
        <f t="array" ref="R296">_xll.FDSB($C296,"CS_EVENT_DATEJ_N("&amp;$AA$18&amp;",3)")</f>
        <v>46422</v>
      </c>
      <c r="S296" s="282" t="str" cm="1">
        <f t="array" ref="S296">_xll.FDSB($C296,"CS_EVENT_TIME_N("&amp;$AA$18&amp;",3)")</f>
        <v>Unspecified</v>
      </c>
      <c r="T296" s="282" t="str" cm="1">
        <f t="array" ref="T296">_xll.FDSB($C296,"CS_EVENT_DESC_N("&amp;$AA$18&amp;",3)")</f>
        <v>Q4 2026 Earnings Release (Projected)</v>
      </c>
      <c r="U296" s="282"/>
      <c r="V296" s="274" cm="1">
        <f t="array" ref="V296">_xll.FDSB($C296,"CS_EVENT_DATEJ_N("&amp;$AA$18&amp;",4)")</f>
        <v>46506</v>
      </c>
      <c r="W296" s="282" t="str" cm="1">
        <f t="array" ref="W296">_xll.FDSB($C296,"CS_EVENT_TIME_N("&amp;$AA$18&amp;",4)")</f>
        <v>Unspecified</v>
      </c>
      <c r="X296" s="282" t="str" cm="1">
        <f t="array" ref="X296">_xll.FDSB($C296,"CS_EVENT_DESC_N("&amp;$AA$18&amp;",4)")</f>
        <v>Q1 2027 Earnings Release (Projected)</v>
      </c>
    </row>
    <row r="297" spans="2:24" x14ac:dyDescent="0.15">
      <c r="B297" s="298">
        <f t="shared" si="6"/>
        <v>282</v>
      </c>
      <c r="C297" s="299" t="str">
        <v>APO</v>
      </c>
      <c r="D297" s="300" t="str" cm="1">
        <f t="array" ref="D297">_xll.FDSB($C297,"FG_COMPANY_NAME")</f>
        <v>Apollo Global Management Inc</v>
      </c>
      <c r="E297" s="300"/>
      <c r="F297" s="274" cm="1">
        <f t="array" ref="F297">_xll.FDSB($C297,"CS_EVENT_DATEJ_N("&amp;$AA$18&amp;",1)")</f>
        <v>46233</v>
      </c>
      <c r="G297" s="282" t="str" cm="1">
        <f t="array" ref="G297">_xll.FDSB($C297,"CS_EVENT_TIME_N("&amp;$AA$18&amp;",1)")</f>
        <v>Unspecified</v>
      </c>
      <c r="H297" s="282" t="str" cm="1">
        <f t="array" ref="H297">_xll.FDSB($C297,"CS_EVENT_DESC_N("&amp;$AA$18&amp;",1)")</f>
        <v>Q2 2026 Earnings Release (Projected)</v>
      </c>
      <c r="I297" s="282"/>
      <c r="J297" s="274" t="str" cm="1">
        <f t="array" ref="J297">_xll.FDSB($C297,"CS_EVENT_DATEJ_N("&amp;$AB$18&amp;",1)")</f>
        <v/>
      </c>
      <c r="K297" s="282" t="str" cm="1">
        <f t="array" ref="K297">_xll.FDSB($C297,"CS_EVENT_TIME_N("&amp;$AB$18&amp;",1)")</f>
        <v/>
      </c>
      <c r="L297" s="282" t="str" cm="1">
        <f t="array" ref="L297">_xll.FDSB($C297,"CS_EVENT_DESC_N("&amp;$AB$18&amp;",1)")</f>
        <v/>
      </c>
      <c r="M297" s="300"/>
      <c r="N297" s="274" cm="1">
        <f t="array" ref="N297">_xll.FDSB($C297,"CS_EVENT_DATEJ_N("&amp;$AA$18&amp;",2)")</f>
        <v>46330</v>
      </c>
      <c r="O297" s="282" t="str" cm="1">
        <f t="array" ref="O297">_xll.FDSB($C297,"CS_EVENT_TIME_N("&amp;$AA$18&amp;",2)")</f>
        <v>Unspecified</v>
      </c>
      <c r="P297" s="282" t="str" cm="1">
        <f t="array" ref="P297">_xll.FDSB($C297,"CS_EVENT_DESC_N("&amp;$AA$18&amp;",2)")</f>
        <v>Q3 2026 Earnings Release (Projected)</v>
      </c>
      <c r="Q297" s="282"/>
      <c r="R297" s="274" cm="1">
        <f t="array" ref="R297">_xll.FDSB($C297,"CS_EVENT_DATEJ_N("&amp;$AA$18&amp;",3)")</f>
        <v>46429</v>
      </c>
      <c r="S297" s="282" t="str" cm="1">
        <f t="array" ref="S297">_xll.FDSB($C297,"CS_EVENT_TIME_N("&amp;$AA$18&amp;",3)")</f>
        <v>Unspecified</v>
      </c>
      <c r="T297" s="282" t="str" cm="1">
        <f t="array" ref="T297">_xll.FDSB($C297,"CS_EVENT_DESC_N("&amp;$AA$18&amp;",3)")</f>
        <v>Q4 2026 Earnings Release (Projected)</v>
      </c>
      <c r="U297" s="282"/>
      <c r="V297" s="274" cm="1">
        <f t="array" ref="V297">_xll.FDSB($C297,"CS_EVENT_DATEJ_N("&amp;$AA$18&amp;",4)")</f>
        <v>46513</v>
      </c>
      <c r="W297" s="282" t="str" cm="1">
        <f t="array" ref="W297">_xll.FDSB($C297,"CS_EVENT_TIME_N("&amp;$AA$18&amp;",4)")</f>
        <v>Unspecified</v>
      </c>
      <c r="X297" s="282" t="str" cm="1">
        <f t="array" ref="X297">_xll.FDSB($C297,"CS_EVENT_DESC_N("&amp;$AA$18&amp;",4)")</f>
        <v>Q1 2027 Earnings Release (Projected)</v>
      </c>
    </row>
    <row r="298" spans="2:24" x14ac:dyDescent="0.15">
      <c r="B298" s="298">
        <f t="shared" si="6"/>
        <v>283</v>
      </c>
      <c r="C298" s="299" t="str">
        <v>SYK</v>
      </c>
      <c r="D298" s="300" t="str" cm="1">
        <f t="array" ref="D298">_xll.FDSB($C298,"FG_COMPANY_NAME")</f>
        <v>Stryker Corporation</v>
      </c>
      <c r="E298" s="300"/>
      <c r="F298" s="274" cm="1">
        <f t="array" ref="F298">_xll.FDSB($C298,"CS_EVENT_DATEJ_N("&amp;$AA$18&amp;",1)")</f>
        <v>46233</v>
      </c>
      <c r="G298" s="282" t="str" cm="1">
        <f t="array" ref="G298">_xll.FDSB($C298,"CS_EVENT_TIME_N("&amp;$AA$18&amp;",1)")</f>
        <v>Unspecified</v>
      </c>
      <c r="H298" s="282" t="str" cm="1">
        <f t="array" ref="H298">_xll.FDSB($C298,"CS_EVENT_DESC_N("&amp;$AA$18&amp;",1)")</f>
        <v>Q2 2026 Earnings Release (Projected)</v>
      </c>
      <c r="I298" s="282"/>
      <c r="J298" s="274" t="str" cm="1">
        <f t="array" ref="J298">_xll.FDSB($C298,"CS_EVENT_DATEJ_N("&amp;$AB$18&amp;",1)")</f>
        <v/>
      </c>
      <c r="K298" s="282" t="str" cm="1">
        <f t="array" ref="K298">_xll.FDSB($C298,"CS_EVENT_TIME_N("&amp;$AB$18&amp;",1)")</f>
        <v/>
      </c>
      <c r="L298" s="282" t="str" cm="1">
        <f t="array" ref="L298">_xll.FDSB($C298,"CS_EVENT_DESC_N("&amp;$AB$18&amp;",1)")</f>
        <v/>
      </c>
      <c r="M298" s="300"/>
      <c r="N298" s="274" cm="1">
        <f t="array" ref="N298">_xll.FDSB($C298,"CS_EVENT_DATEJ_N("&amp;$AA$18&amp;",2)")</f>
        <v>46324</v>
      </c>
      <c r="O298" s="282" t="str" cm="1">
        <f t="array" ref="O298">_xll.FDSB($C298,"CS_EVENT_TIME_N("&amp;$AA$18&amp;",2)")</f>
        <v>Unspecified</v>
      </c>
      <c r="P298" s="282" t="str" cm="1">
        <f t="array" ref="P298">_xll.FDSB($C298,"CS_EVENT_DESC_N("&amp;$AA$18&amp;",2)")</f>
        <v>Q3 2026 Earnings Release (Projected)</v>
      </c>
      <c r="Q298" s="282"/>
      <c r="R298" s="274" cm="1">
        <f t="array" ref="R298">_xll.FDSB($C298,"CS_EVENT_DATEJ_N("&amp;$AA$18&amp;",3)")</f>
        <v>46420</v>
      </c>
      <c r="S298" s="282" t="str" cm="1">
        <f t="array" ref="S298">_xll.FDSB($C298,"CS_EVENT_TIME_N("&amp;$AA$18&amp;",3)")</f>
        <v>Unspecified</v>
      </c>
      <c r="T298" s="282" t="str" cm="1">
        <f t="array" ref="T298">_xll.FDSB($C298,"CS_EVENT_DESC_N("&amp;$AA$18&amp;",3)")</f>
        <v>Q4 2026 Earnings Release (Projected)</v>
      </c>
      <c r="U298" s="282"/>
      <c r="V298" s="274" cm="1">
        <f t="array" ref="V298">_xll.FDSB($C298,"CS_EVENT_DATEJ_N("&amp;$AA$18&amp;",4)")</f>
        <v>46513</v>
      </c>
      <c r="W298" s="282" t="str" cm="1">
        <f t="array" ref="W298">_xll.FDSB($C298,"CS_EVENT_TIME_N("&amp;$AA$18&amp;",4)")</f>
        <v>Unspecified</v>
      </c>
      <c r="X298" s="282" t="str" cm="1">
        <f t="array" ref="X298">_xll.FDSB($C298,"CS_EVENT_DESC_N("&amp;$AA$18&amp;",4)")</f>
        <v>Q1 2027 Earnings Release (Projected)</v>
      </c>
    </row>
    <row r="299" spans="2:24" x14ac:dyDescent="0.15">
      <c r="B299" s="298">
        <f t="shared" si="6"/>
        <v>284</v>
      </c>
      <c r="C299" s="299" t="str">
        <v>AAPL</v>
      </c>
      <c r="D299" s="300" t="str" cm="1">
        <f t="array" ref="D299">_xll.FDSB($C299,"FG_COMPANY_NAME")</f>
        <v>Apple Inc.</v>
      </c>
      <c r="E299" s="300"/>
      <c r="F299" s="274" cm="1">
        <f t="array" ref="F299">_xll.FDSB($C299,"CS_EVENT_DATEJ_N("&amp;$AA$18&amp;",1)")</f>
        <v>46233</v>
      </c>
      <c r="G299" s="282" t="str" cm="1">
        <f t="array" ref="G299">_xll.FDSB($C299,"CS_EVENT_TIME_N("&amp;$AA$18&amp;",1)")</f>
        <v>Unspecified</v>
      </c>
      <c r="H299" s="282" t="str" cm="1">
        <f t="array" ref="H299">_xll.FDSB($C299,"CS_EVENT_DESC_N("&amp;$AA$18&amp;",1)")</f>
        <v>Q3 2026 Earnings Release (Projected)</v>
      </c>
      <c r="I299" s="282"/>
      <c r="J299" s="274" t="str" cm="1">
        <f t="array" ref="J299">_xll.FDSB($C299,"CS_EVENT_DATEJ_N("&amp;$AB$18&amp;",1)")</f>
        <v/>
      </c>
      <c r="K299" s="282" t="str" cm="1">
        <f t="array" ref="K299">_xll.FDSB($C299,"CS_EVENT_TIME_N("&amp;$AB$18&amp;",1)")</f>
        <v/>
      </c>
      <c r="L299" s="282" t="str" cm="1">
        <f t="array" ref="L299">_xll.FDSB($C299,"CS_EVENT_DESC_N("&amp;$AB$18&amp;",1)")</f>
        <v/>
      </c>
      <c r="M299" s="300"/>
      <c r="N299" s="274" cm="1">
        <f t="array" ref="N299">_xll.FDSB($C299,"CS_EVENT_DATEJ_N("&amp;$AA$18&amp;",2)")</f>
        <v>46324</v>
      </c>
      <c r="O299" s="282" t="str" cm="1">
        <f t="array" ref="O299">_xll.FDSB($C299,"CS_EVENT_TIME_N("&amp;$AA$18&amp;",2)")</f>
        <v>Unspecified</v>
      </c>
      <c r="P299" s="282" t="str" cm="1">
        <f t="array" ref="P299">_xll.FDSB($C299,"CS_EVENT_DESC_N("&amp;$AA$18&amp;",2)")</f>
        <v>Q4 2026 Earnings Release (Projected)</v>
      </c>
      <c r="Q299" s="282"/>
      <c r="R299" s="274" cm="1">
        <f t="array" ref="R299">_xll.FDSB($C299,"CS_EVENT_DATEJ_N("&amp;$AA$18&amp;",3)")</f>
        <v>46422</v>
      </c>
      <c r="S299" s="282" t="str" cm="1">
        <f t="array" ref="S299">_xll.FDSB($C299,"CS_EVENT_TIME_N("&amp;$AA$18&amp;",3)")</f>
        <v>Unspecified</v>
      </c>
      <c r="T299" s="282" t="str" cm="1">
        <f t="array" ref="T299">_xll.FDSB($C299,"CS_EVENT_DESC_N("&amp;$AA$18&amp;",3)")</f>
        <v>Q1 2027 Earnings Release (Projected)</v>
      </c>
      <c r="U299" s="282"/>
      <c r="V299" s="274" cm="1">
        <f t="array" ref="V299">_xll.FDSB($C299,"CS_EVENT_DATEJ_N("&amp;$AA$18&amp;",4)")</f>
        <v>46513</v>
      </c>
      <c r="W299" s="282" t="str" cm="1">
        <f t="array" ref="W299">_xll.FDSB($C299,"CS_EVENT_TIME_N("&amp;$AA$18&amp;",4)")</f>
        <v>Unspecified</v>
      </c>
      <c r="X299" s="282" t="str" cm="1">
        <f t="array" ref="X299">_xll.FDSB($C299,"CS_EVENT_DESC_N("&amp;$AA$18&amp;",4)")</f>
        <v>Q2 2027 Earnings Release (Projected)</v>
      </c>
    </row>
    <row r="300" spans="2:24" x14ac:dyDescent="0.15">
      <c r="B300" s="298">
        <f t="shared" si="6"/>
        <v>285</v>
      </c>
      <c r="C300" s="299" t="str">
        <v>PWR</v>
      </c>
      <c r="D300" s="300" t="str" cm="1">
        <f t="array" ref="D300">_xll.FDSB($C300,"FG_COMPANY_NAME")</f>
        <v>Quanta Services, Inc.</v>
      </c>
      <c r="E300" s="300"/>
      <c r="F300" s="274" cm="1">
        <f t="array" ref="F300">_xll.FDSB($C300,"CS_EVENT_DATEJ_N("&amp;$AA$18&amp;",1)")</f>
        <v>46233</v>
      </c>
      <c r="G300" s="282" t="str" cm="1">
        <f t="array" ref="G300">_xll.FDSB($C300,"CS_EVENT_TIME_N("&amp;$AA$18&amp;",1)")</f>
        <v>Unspecified</v>
      </c>
      <c r="H300" s="282" t="str" cm="1">
        <f t="array" ref="H300">_xll.FDSB($C300,"CS_EVENT_DESC_N("&amp;$AA$18&amp;",1)")</f>
        <v>Q2 2026 Earnings Release (Projected)</v>
      </c>
      <c r="I300" s="282"/>
      <c r="J300" s="274" t="str" cm="1">
        <f t="array" ref="J300">_xll.FDSB($C300,"CS_EVENT_DATEJ_N("&amp;$AB$18&amp;",1)")</f>
        <v/>
      </c>
      <c r="K300" s="282" t="str" cm="1">
        <f t="array" ref="K300">_xll.FDSB($C300,"CS_EVENT_TIME_N("&amp;$AB$18&amp;",1)")</f>
        <v/>
      </c>
      <c r="L300" s="282" t="str" cm="1">
        <f t="array" ref="L300">_xll.FDSB($C300,"CS_EVENT_DESC_N("&amp;$AB$18&amp;",1)")</f>
        <v/>
      </c>
      <c r="M300" s="300"/>
      <c r="N300" s="274" cm="1">
        <f t="array" ref="N300">_xll.FDSB($C300,"CS_EVENT_DATEJ_N("&amp;$AA$18&amp;",2)")</f>
        <v>46324</v>
      </c>
      <c r="O300" s="282" t="str" cm="1">
        <f t="array" ref="O300">_xll.FDSB($C300,"CS_EVENT_TIME_N("&amp;$AA$18&amp;",2)")</f>
        <v>Unspecified</v>
      </c>
      <c r="P300" s="282" t="str" cm="1">
        <f t="array" ref="P300">_xll.FDSB($C300,"CS_EVENT_DESC_N("&amp;$AA$18&amp;",2)")</f>
        <v>Q3 2026 Earnings Release (Projected)</v>
      </c>
      <c r="Q300" s="282"/>
      <c r="R300" s="274" cm="1">
        <f t="array" ref="R300">_xll.FDSB($C300,"CS_EVENT_DATEJ_N("&amp;$AA$18&amp;",3)")</f>
        <v>46513</v>
      </c>
      <c r="S300" s="282" t="str" cm="1">
        <f t="array" ref="S300">_xll.FDSB($C300,"CS_EVENT_TIME_N("&amp;$AA$18&amp;",3)")</f>
        <v>Unspecified</v>
      </c>
      <c r="T300" s="282" t="str" cm="1">
        <f t="array" ref="T300">_xll.FDSB($C300,"CS_EVENT_DESC_N("&amp;$AA$18&amp;",3)")</f>
        <v>Q1 2027 Earnings Release (Projected)</v>
      </c>
      <c r="U300" s="282"/>
      <c r="V300" s="274" t="str" cm="1">
        <f t="array" ref="V300">_xll.FDSB($C300,"CS_EVENT_DATEJ_N("&amp;$AA$18&amp;",4)")</f>
        <v/>
      </c>
      <c r="W300" s="282" t="str" cm="1">
        <f t="array" ref="W300">_xll.FDSB($C300,"CS_EVENT_TIME_N("&amp;$AA$18&amp;",4)")</f>
        <v/>
      </c>
      <c r="X300" s="282" t="str" cm="1">
        <f t="array" ref="X300">_xll.FDSB($C300,"CS_EVENT_DESC_N("&amp;$AA$18&amp;",4)")</f>
        <v/>
      </c>
    </row>
    <row r="301" spans="2:24" x14ac:dyDescent="0.15">
      <c r="B301" s="298">
        <f t="shared" si="6"/>
        <v>286</v>
      </c>
      <c r="C301" s="299" t="str">
        <v>VTR</v>
      </c>
      <c r="D301" s="300" t="str" cm="1">
        <f t="array" ref="D301">_xll.FDSB($C301,"FG_COMPANY_NAME")</f>
        <v>Ventas, Inc.</v>
      </c>
      <c r="E301" s="300"/>
      <c r="F301" s="274" cm="1">
        <f t="array" ref="F301">_xll.FDSB($C301,"CS_EVENT_DATEJ_N("&amp;$AA$18&amp;",1)")</f>
        <v>46233</v>
      </c>
      <c r="G301" s="282" t="str" cm="1">
        <f t="array" ref="G301">_xll.FDSB($C301,"CS_EVENT_TIME_N("&amp;$AA$18&amp;",1)")</f>
        <v>Unspecified</v>
      </c>
      <c r="H301" s="282" t="str" cm="1">
        <f t="array" ref="H301">_xll.FDSB($C301,"CS_EVENT_DESC_N("&amp;$AA$18&amp;",1)")</f>
        <v>Q2 2026 Earnings Release (Projected)</v>
      </c>
      <c r="I301" s="282"/>
      <c r="J301" s="274" t="str" cm="1">
        <f t="array" ref="J301">_xll.FDSB($C301,"CS_EVENT_DATEJ_N("&amp;$AB$18&amp;",1)")</f>
        <v/>
      </c>
      <c r="K301" s="282" t="str" cm="1">
        <f t="array" ref="K301">_xll.FDSB($C301,"CS_EVENT_TIME_N("&amp;$AB$18&amp;",1)")</f>
        <v/>
      </c>
      <c r="L301" s="282" t="str" cm="1">
        <f t="array" ref="L301">_xll.FDSB($C301,"CS_EVENT_DESC_N("&amp;$AB$18&amp;",1)")</f>
        <v/>
      </c>
      <c r="M301" s="300"/>
      <c r="N301" s="274" cm="1">
        <f t="array" ref="N301">_xll.FDSB($C301,"CS_EVENT_DATEJ_N("&amp;$AA$18&amp;",2)")</f>
        <v>46324</v>
      </c>
      <c r="O301" s="282" t="str" cm="1">
        <f t="array" ref="O301">_xll.FDSB($C301,"CS_EVENT_TIME_N("&amp;$AA$18&amp;",2)")</f>
        <v>Unspecified</v>
      </c>
      <c r="P301" s="282" t="str" cm="1">
        <f t="array" ref="P301">_xll.FDSB($C301,"CS_EVENT_DESC_N("&amp;$AA$18&amp;",2)")</f>
        <v>Q3 2026 Earnings Release (Projected)</v>
      </c>
      <c r="Q301" s="282"/>
      <c r="R301" s="274" cm="1">
        <f t="array" ref="R301">_xll.FDSB($C301,"CS_EVENT_DATEJ_N("&amp;$AA$18&amp;",3)")</f>
        <v>46435</v>
      </c>
      <c r="S301" s="282" t="str" cm="1">
        <f t="array" ref="S301">_xll.FDSB($C301,"CS_EVENT_TIME_N("&amp;$AA$18&amp;",3)")</f>
        <v>Unspecified</v>
      </c>
      <c r="T301" s="282" t="str" cm="1">
        <f t="array" ref="T301">_xll.FDSB($C301,"CS_EVENT_DESC_N("&amp;$AA$18&amp;",3)")</f>
        <v>Q4 2026 Earnings Release (Projected)</v>
      </c>
      <c r="U301" s="282"/>
      <c r="V301" s="274" cm="1">
        <f t="array" ref="V301">_xll.FDSB($C301,"CS_EVENT_DATEJ_N("&amp;$AA$18&amp;",4)")</f>
        <v>46512</v>
      </c>
      <c r="W301" s="282" t="str" cm="1">
        <f t="array" ref="W301">_xll.FDSB($C301,"CS_EVENT_TIME_N("&amp;$AA$18&amp;",4)")</f>
        <v>Unspecified</v>
      </c>
      <c r="X301" s="282" t="str" cm="1">
        <f t="array" ref="X301">_xll.FDSB($C301,"CS_EVENT_DESC_N("&amp;$AA$18&amp;",4)")</f>
        <v>Q1 2027 Earnings Release (Projected)</v>
      </c>
    </row>
    <row r="302" spans="2:24" x14ac:dyDescent="0.15">
      <c r="B302" s="298">
        <f t="shared" si="6"/>
        <v>287</v>
      </c>
      <c r="C302" s="299" t="str">
        <v>BDX</v>
      </c>
      <c r="D302" s="300" t="str" cm="1">
        <f t="array" ref="D302">_xll.FDSB($C302,"FG_COMPANY_NAME")</f>
        <v>Becton, Dickinson and Company</v>
      </c>
      <c r="E302" s="300"/>
      <c r="F302" s="274" cm="1">
        <f t="array" ref="F302">_xll.FDSB($C302,"CS_EVENT_DATEJ_N("&amp;$AA$18&amp;",1)")</f>
        <v>46233</v>
      </c>
      <c r="G302" s="282" t="str" cm="1">
        <f t="array" ref="G302">_xll.FDSB($C302,"CS_EVENT_TIME_N("&amp;$AA$18&amp;",1)")</f>
        <v>Unspecified</v>
      </c>
      <c r="H302" s="282" t="str" cm="1">
        <f t="array" ref="H302">_xll.FDSB($C302,"CS_EVENT_DESC_N("&amp;$AA$18&amp;",1)")</f>
        <v>Q3 2026 Earnings Release (Projected)</v>
      </c>
      <c r="I302" s="282"/>
      <c r="J302" s="274" t="str" cm="1">
        <f t="array" ref="J302">_xll.FDSB($C302,"CS_EVENT_DATEJ_N("&amp;$AB$18&amp;",1)")</f>
        <v/>
      </c>
      <c r="K302" s="282" t="str" cm="1">
        <f t="array" ref="K302">_xll.FDSB($C302,"CS_EVENT_TIME_N("&amp;$AB$18&amp;",1)")</f>
        <v/>
      </c>
      <c r="L302" s="282" t="str" cm="1">
        <f t="array" ref="L302">_xll.FDSB($C302,"CS_EVENT_DESC_N("&amp;$AB$18&amp;",1)")</f>
        <v/>
      </c>
      <c r="M302" s="300"/>
      <c r="N302" s="274" cm="1">
        <f t="array" ref="N302">_xll.FDSB($C302,"CS_EVENT_DATEJ_N("&amp;$AA$18&amp;",2)")</f>
        <v>46331</v>
      </c>
      <c r="O302" s="282" t="str" cm="1">
        <f t="array" ref="O302">_xll.FDSB($C302,"CS_EVENT_TIME_N("&amp;$AA$18&amp;",2)")</f>
        <v>Unspecified</v>
      </c>
      <c r="P302" s="282" t="str" cm="1">
        <f t="array" ref="P302">_xll.FDSB($C302,"CS_EVENT_DESC_N("&amp;$AA$18&amp;",2)")</f>
        <v>Q4 2026 Earnings Release (Projected)</v>
      </c>
      <c r="Q302" s="282"/>
      <c r="R302" s="274" cm="1">
        <f t="array" ref="R302">_xll.FDSB($C302,"CS_EVENT_DATEJ_N("&amp;$AA$18&amp;",3)")</f>
        <v>46422</v>
      </c>
      <c r="S302" s="282" t="str" cm="1">
        <f t="array" ref="S302">_xll.FDSB($C302,"CS_EVENT_TIME_N("&amp;$AA$18&amp;",3)")</f>
        <v>Unspecified</v>
      </c>
      <c r="T302" s="282" t="str" cm="1">
        <f t="array" ref="T302">_xll.FDSB($C302,"CS_EVENT_DESC_N("&amp;$AA$18&amp;",3)")</f>
        <v>Q1 2027 Earnings Release (Projected)</v>
      </c>
      <c r="U302" s="282"/>
      <c r="V302" s="274" cm="1">
        <f t="array" ref="V302">_xll.FDSB($C302,"CS_EVENT_DATEJ_N("&amp;$AA$18&amp;",4)")</f>
        <v>46513</v>
      </c>
      <c r="W302" s="282" t="str" cm="1">
        <f t="array" ref="W302">_xll.FDSB($C302,"CS_EVENT_TIME_N("&amp;$AA$18&amp;",4)")</f>
        <v>Unspecified</v>
      </c>
      <c r="X302" s="282" t="str" cm="1">
        <f t="array" ref="X302">_xll.FDSB($C302,"CS_EVENT_DESC_N("&amp;$AA$18&amp;",4)")</f>
        <v>Q2 2027 Earnings Release (Projected)</v>
      </c>
    </row>
    <row r="303" spans="2:24" x14ac:dyDescent="0.15">
      <c r="B303" s="298">
        <f t="shared" si="6"/>
        <v>288</v>
      </c>
      <c r="C303" s="299" t="str">
        <v>BALL</v>
      </c>
      <c r="D303" s="300" t="str" cm="1">
        <f t="array" ref="D303">_xll.FDSB($C303,"FG_COMPANY_NAME")</f>
        <v>Ball Corporation</v>
      </c>
      <c r="E303" s="300"/>
      <c r="F303" s="274" cm="1">
        <f t="array" ref="F303">_xll.FDSB($C303,"CS_EVENT_DATEJ_N("&amp;$AA$18&amp;",1)")</f>
        <v>46233</v>
      </c>
      <c r="G303" s="282" t="str" cm="1">
        <f t="array" ref="G303">_xll.FDSB($C303,"CS_EVENT_TIME_N("&amp;$AA$18&amp;",1)")</f>
        <v>Unspecified</v>
      </c>
      <c r="H303" s="282" t="str" cm="1">
        <f t="array" ref="H303">_xll.FDSB($C303,"CS_EVENT_DESC_N("&amp;$AA$18&amp;",1)")</f>
        <v>Q2 2026 Earnings Release (Projected)</v>
      </c>
      <c r="I303" s="282"/>
      <c r="J303" s="274" t="str" cm="1">
        <f t="array" ref="J303">_xll.FDSB($C303,"CS_EVENT_DATEJ_N("&amp;$AB$18&amp;",1)")</f>
        <v/>
      </c>
      <c r="K303" s="282" t="str" cm="1">
        <f t="array" ref="K303">_xll.FDSB($C303,"CS_EVENT_TIME_N("&amp;$AB$18&amp;",1)")</f>
        <v/>
      </c>
      <c r="L303" s="282" t="str" cm="1">
        <f t="array" ref="L303">_xll.FDSB($C303,"CS_EVENT_DESC_N("&amp;$AB$18&amp;",1)")</f>
        <v/>
      </c>
      <c r="M303" s="300"/>
      <c r="N303" s="274" cm="1">
        <f t="array" ref="N303">_xll.FDSB($C303,"CS_EVENT_DATEJ_N("&amp;$AA$18&amp;",2)")</f>
        <v>46324</v>
      </c>
      <c r="O303" s="282" t="str" cm="1">
        <f t="array" ref="O303">_xll.FDSB($C303,"CS_EVENT_TIME_N("&amp;$AA$18&amp;",2)")</f>
        <v>Unspecified</v>
      </c>
      <c r="P303" s="282" t="str" cm="1">
        <f t="array" ref="P303">_xll.FDSB($C303,"CS_EVENT_DESC_N("&amp;$AA$18&amp;",2)")</f>
        <v>Q3 2026 Earnings Release (Projected)</v>
      </c>
      <c r="Q303" s="282"/>
      <c r="R303" s="274" cm="1">
        <f t="array" ref="R303">_xll.FDSB($C303,"CS_EVENT_DATEJ_N("&amp;$AA$18&amp;",3)")</f>
        <v>46422</v>
      </c>
      <c r="S303" s="282" t="str" cm="1">
        <f t="array" ref="S303">_xll.FDSB($C303,"CS_EVENT_TIME_N("&amp;$AA$18&amp;",3)")</f>
        <v>Unspecified</v>
      </c>
      <c r="T303" s="282" t="str" cm="1">
        <f t="array" ref="T303">_xll.FDSB($C303,"CS_EVENT_DESC_N("&amp;$AA$18&amp;",3)")</f>
        <v>Q4 2026 Earnings Release (Projected)</v>
      </c>
      <c r="U303" s="282"/>
      <c r="V303" s="274" cm="1">
        <f t="array" ref="V303">_xll.FDSB($C303,"CS_EVENT_DATEJ_N("&amp;$AA$18&amp;",4)")</f>
        <v>46513</v>
      </c>
      <c r="W303" s="282" t="str" cm="1">
        <f t="array" ref="W303">_xll.FDSB($C303,"CS_EVENT_TIME_N("&amp;$AA$18&amp;",4)")</f>
        <v>Unspecified</v>
      </c>
      <c r="X303" s="282" t="str" cm="1">
        <f t="array" ref="X303">_xll.FDSB($C303,"CS_EVENT_DESC_N("&amp;$AA$18&amp;",4)")</f>
        <v>Q1 2027 Earnings Release (Projected)</v>
      </c>
    </row>
    <row r="304" spans="2:24" x14ac:dyDescent="0.15">
      <c r="B304" s="298">
        <f t="shared" si="6"/>
        <v>289</v>
      </c>
      <c r="C304" s="299" t="str">
        <v>CI</v>
      </c>
      <c r="D304" s="300" t="str" cm="1">
        <f t="array" ref="D304">_xll.FDSB($C304,"FG_COMPANY_NAME")</f>
        <v>Cigna Group</v>
      </c>
      <c r="E304" s="300"/>
      <c r="F304" s="274" cm="1">
        <f t="array" ref="F304">_xll.FDSB($C304,"CS_EVENT_DATEJ_N("&amp;$AA$18&amp;",1)")</f>
        <v>46233</v>
      </c>
      <c r="G304" s="282" t="str" cm="1">
        <f t="array" ref="G304">_xll.FDSB($C304,"CS_EVENT_TIME_N("&amp;$AA$18&amp;",1)")</f>
        <v>Before Market</v>
      </c>
      <c r="H304" s="282" t="str" cm="1">
        <f t="array" ref="H304">_xll.FDSB($C304,"CS_EVENT_DESC_N("&amp;$AA$18&amp;",1)")</f>
        <v>Q2 2026 Earnings Release</v>
      </c>
      <c r="I304" s="282"/>
      <c r="J304" s="274" cm="1">
        <f t="array" ref="J304">_xll.FDSB($C304,"CS_EVENT_DATEJ_N("&amp;$AB$18&amp;",1)")</f>
        <v>46233</v>
      </c>
      <c r="K304" s="282" t="str" cm="1">
        <f t="array" ref="K304">_xll.FDSB($C304,"CS_EVENT_TIME_N("&amp;$AB$18&amp;",1)")</f>
        <v>8:30 AM</v>
      </c>
      <c r="L304" s="282" t="str" cm="1">
        <f t="array" ref="L304">_xll.FDSB($C304,"CS_EVENT_DESC_N("&amp;$AB$18&amp;",1)")</f>
        <v>Q2 2026 Earnings Call</v>
      </c>
      <c r="M304" s="300"/>
      <c r="N304" s="274" cm="1">
        <f t="array" ref="N304">_xll.FDSB($C304,"CS_EVENT_DATEJ_N("&amp;$AA$18&amp;",2)")</f>
        <v>46324</v>
      </c>
      <c r="O304" s="282" t="str" cm="1">
        <f t="array" ref="O304">_xll.FDSB($C304,"CS_EVENT_TIME_N("&amp;$AA$18&amp;",2)")</f>
        <v>Unspecified</v>
      </c>
      <c r="P304" s="282" t="str" cm="1">
        <f t="array" ref="P304">_xll.FDSB($C304,"CS_EVENT_DESC_N("&amp;$AA$18&amp;",2)")</f>
        <v>Q3 2026 Earnings Release (Projected)</v>
      </c>
      <c r="Q304" s="282"/>
      <c r="R304" s="274" cm="1">
        <f t="array" ref="R304">_xll.FDSB($C304,"CS_EVENT_DATEJ_N("&amp;$AA$18&amp;",3)")</f>
        <v>46507</v>
      </c>
      <c r="S304" s="282" t="str" cm="1">
        <f t="array" ref="S304">_xll.FDSB($C304,"CS_EVENT_TIME_N("&amp;$AA$18&amp;",3)")</f>
        <v>Unspecified</v>
      </c>
      <c r="T304" s="282" t="str" cm="1">
        <f t="array" ref="T304">_xll.FDSB($C304,"CS_EVENT_DESC_N("&amp;$AA$18&amp;",3)")</f>
        <v>Q1 2027 Earnings Release (Projected)</v>
      </c>
      <c r="U304" s="282"/>
      <c r="V304" s="274" cm="1">
        <f t="array" ref="V304">_xll.FDSB($C304,"CS_EVENT_DATEJ_N("&amp;$AA$18&amp;",4)")</f>
        <v>46604</v>
      </c>
      <c r="W304" s="282" t="str" cm="1">
        <f t="array" ref="W304">_xll.FDSB($C304,"CS_EVENT_TIME_N("&amp;$AA$18&amp;",4)")</f>
        <v>Unspecified</v>
      </c>
      <c r="X304" s="282" t="str" cm="1">
        <f t="array" ref="X304">_xll.FDSB($C304,"CS_EVENT_DESC_N("&amp;$AA$18&amp;",4)")</f>
        <v>Q2 2027 Earnings Release (Projected)</v>
      </c>
    </row>
    <row r="305" spans="2:24" x14ac:dyDescent="0.15">
      <c r="B305" s="298">
        <f t="shared" si="6"/>
        <v>290</v>
      </c>
      <c r="C305" s="299" t="str">
        <v>IRM</v>
      </c>
      <c r="D305" s="300" t="str" cm="1">
        <f t="array" ref="D305">_xll.FDSB($C305,"FG_COMPANY_NAME")</f>
        <v>Iron Mountain, Inc.</v>
      </c>
      <c r="E305" s="300"/>
      <c r="F305" s="274" cm="1">
        <f t="array" ref="F305">_xll.FDSB($C305,"CS_EVENT_DATEJ_N("&amp;$AA$18&amp;",1)")</f>
        <v>46233</v>
      </c>
      <c r="G305" s="282" t="str" cm="1">
        <f t="array" ref="G305">_xll.FDSB($C305,"CS_EVENT_TIME_N("&amp;$AA$18&amp;",1)")</f>
        <v>Unspecified</v>
      </c>
      <c r="H305" s="282" t="str" cm="1">
        <f t="array" ref="H305">_xll.FDSB($C305,"CS_EVENT_DESC_N("&amp;$AA$18&amp;",1)")</f>
        <v>Q2 2026 Earnings Release (Projected)</v>
      </c>
      <c r="I305" s="282"/>
      <c r="J305" s="274" t="str" cm="1">
        <f t="array" ref="J305">_xll.FDSB($C305,"CS_EVENT_DATEJ_N("&amp;$AB$18&amp;",1)")</f>
        <v/>
      </c>
      <c r="K305" s="282" t="str" cm="1">
        <f t="array" ref="K305">_xll.FDSB($C305,"CS_EVENT_TIME_N("&amp;$AB$18&amp;",1)")</f>
        <v/>
      </c>
      <c r="L305" s="282" t="str" cm="1">
        <f t="array" ref="L305">_xll.FDSB($C305,"CS_EVENT_DESC_N("&amp;$AB$18&amp;",1)")</f>
        <v/>
      </c>
      <c r="M305" s="300"/>
      <c r="N305" s="274" cm="1">
        <f t="array" ref="N305">_xll.FDSB($C305,"CS_EVENT_DATEJ_N("&amp;$AA$18&amp;",2)")</f>
        <v>46324</v>
      </c>
      <c r="O305" s="282" t="str" cm="1">
        <f t="array" ref="O305">_xll.FDSB($C305,"CS_EVENT_TIME_N("&amp;$AA$18&amp;",2)")</f>
        <v>Unspecified</v>
      </c>
      <c r="P305" s="282" t="str" cm="1">
        <f t="array" ref="P305">_xll.FDSB($C305,"CS_EVENT_DESC_N("&amp;$AA$18&amp;",2)")</f>
        <v>Q3 2026 Earnings Release (Projected)</v>
      </c>
      <c r="Q305" s="282"/>
      <c r="R305" s="274" cm="1">
        <f t="array" ref="R305">_xll.FDSB($C305,"CS_EVENT_DATEJ_N("&amp;$AA$18&amp;",3)")</f>
        <v>46443</v>
      </c>
      <c r="S305" s="282" t="str" cm="1">
        <f t="array" ref="S305">_xll.FDSB($C305,"CS_EVENT_TIME_N("&amp;$AA$18&amp;",3)")</f>
        <v>Unspecified</v>
      </c>
      <c r="T305" s="282" t="str" cm="1">
        <f t="array" ref="T305">_xll.FDSB($C305,"CS_EVENT_DESC_N("&amp;$AA$18&amp;",3)")</f>
        <v>Q4 2026 Earnings Release (Projected)</v>
      </c>
      <c r="U305" s="282"/>
      <c r="V305" s="274" cm="1">
        <f t="array" ref="V305">_xll.FDSB($C305,"CS_EVENT_DATEJ_N("&amp;$AA$18&amp;",4)")</f>
        <v>46513</v>
      </c>
      <c r="W305" s="282" t="str" cm="1">
        <f t="array" ref="W305">_xll.FDSB($C305,"CS_EVENT_TIME_N("&amp;$AA$18&amp;",4)")</f>
        <v>Unspecified</v>
      </c>
      <c r="X305" s="282" t="str" cm="1">
        <f t="array" ref="X305">_xll.FDSB($C305,"CS_EVENT_DESC_N("&amp;$AA$18&amp;",4)")</f>
        <v>Q1 2027 Earnings Release (Projected)</v>
      </c>
    </row>
    <row r="306" spans="2:24" x14ac:dyDescent="0.15">
      <c r="B306" s="298">
        <f t="shared" si="6"/>
        <v>291</v>
      </c>
      <c r="C306" s="299" t="str">
        <v>EOG</v>
      </c>
      <c r="D306" s="300" t="str" cm="1">
        <f t="array" ref="D306">_xll.FDSB($C306,"FG_COMPANY_NAME")</f>
        <v>EOG Resources, Inc.</v>
      </c>
      <c r="E306" s="300"/>
      <c r="F306" s="274" cm="1">
        <f t="array" ref="F306">_xll.FDSB($C306,"CS_EVENT_DATEJ_N("&amp;$AA$18&amp;",1)")</f>
        <v>46233</v>
      </c>
      <c r="G306" s="282" t="str" cm="1">
        <f t="array" ref="G306">_xll.FDSB($C306,"CS_EVENT_TIME_N("&amp;$AA$18&amp;",1)")</f>
        <v>Unspecified</v>
      </c>
      <c r="H306" s="282" t="str" cm="1">
        <f t="array" ref="H306">_xll.FDSB($C306,"CS_EVENT_DESC_N("&amp;$AA$18&amp;",1)")</f>
        <v>Q2 2026 Earnings Release (Projected)</v>
      </c>
      <c r="I306" s="282"/>
      <c r="J306" s="274" t="str" cm="1">
        <f t="array" ref="J306">_xll.FDSB($C306,"CS_EVENT_DATEJ_N("&amp;$AB$18&amp;",1)")</f>
        <v/>
      </c>
      <c r="K306" s="282" t="str" cm="1">
        <f t="array" ref="K306">_xll.FDSB($C306,"CS_EVENT_TIME_N("&amp;$AB$18&amp;",1)")</f>
        <v/>
      </c>
      <c r="L306" s="282" t="str" cm="1">
        <f t="array" ref="L306">_xll.FDSB($C306,"CS_EVENT_DESC_N("&amp;$AB$18&amp;",1)")</f>
        <v/>
      </c>
      <c r="M306" s="300"/>
      <c r="N306" s="274" cm="1">
        <f t="array" ref="N306">_xll.FDSB($C306,"CS_EVENT_DATEJ_N("&amp;$AA$18&amp;",2)")</f>
        <v>46324</v>
      </c>
      <c r="O306" s="282" t="str" cm="1">
        <f t="array" ref="O306">_xll.FDSB($C306,"CS_EVENT_TIME_N("&amp;$AA$18&amp;",2)")</f>
        <v>Unspecified</v>
      </c>
      <c r="P306" s="282" t="str" cm="1">
        <f t="array" ref="P306">_xll.FDSB($C306,"CS_EVENT_DESC_N("&amp;$AA$18&amp;",2)")</f>
        <v>Q3 2026 Earnings Release (Projected)</v>
      </c>
      <c r="Q306" s="282"/>
      <c r="R306" s="274" cm="1">
        <f t="array" ref="R306">_xll.FDSB($C306,"CS_EVENT_DATEJ_N("&amp;$AA$18&amp;",3)")</f>
        <v>46443</v>
      </c>
      <c r="S306" s="282" t="str" cm="1">
        <f t="array" ref="S306">_xll.FDSB($C306,"CS_EVENT_TIME_N("&amp;$AA$18&amp;",3)")</f>
        <v>Unspecified</v>
      </c>
      <c r="T306" s="282" t="str" cm="1">
        <f t="array" ref="T306">_xll.FDSB($C306,"CS_EVENT_DESC_N("&amp;$AA$18&amp;",3)")</f>
        <v>Q4 2026 Earnings Release (Projected)</v>
      </c>
      <c r="U306" s="282"/>
      <c r="V306" s="274" cm="1">
        <f t="array" ref="V306">_xll.FDSB($C306,"CS_EVENT_DATEJ_N("&amp;$AA$18&amp;",4)")</f>
        <v>46513</v>
      </c>
      <c r="W306" s="282" t="str" cm="1">
        <f t="array" ref="W306">_xll.FDSB($C306,"CS_EVENT_TIME_N("&amp;$AA$18&amp;",4)")</f>
        <v>Unspecified</v>
      </c>
      <c r="X306" s="282" t="str" cm="1">
        <f t="array" ref="X306">_xll.FDSB($C306,"CS_EVENT_DESC_N("&amp;$AA$18&amp;",4)")</f>
        <v>Q1 2027 Earnings Release (Projected)</v>
      </c>
    </row>
    <row r="307" spans="2:24" x14ac:dyDescent="0.15">
      <c r="B307" s="298">
        <f t="shared" si="6"/>
        <v>292</v>
      </c>
      <c r="C307" s="299" t="str">
        <v>VRTX</v>
      </c>
      <c r="D307" s="300" t="str" cm="1">
        <f t="array" ref="D307">_xll.FDSB($C307,"FG_COMPANY_NAME")</f>
        <v>Vertex Pharmaceuticals Incorporated</v>
      </c>
      <c r="E307" s="300"/>
      <c r="F307" s="274" cm="1">
        <f t="array" ref="F307">_xll.FDSB($C307,"CS_EVENT_DATEJ_N("&amp;$AA$18&amp;",1)")</f>
        <v>46233</v>
      </c>
      <c r="G307" s="282" t="str" cm="1">
        <f t="array" ref="G307">_xll.FDSB($C307,"CS_EVENT_TIME_N("&amp;$AA$18&amp;",1)")</f>
        <v>Unspecified</v>
      </c>
      <c r="H307" s="282" t="str" cm="1">
        <f t="array" ref="H307">_xll.FDSB($C307,"CS_EVENT_DESC_N("&amp;$AA$18&amp;",1)")</f>
        <v>Q2 2026 Earnings Release (Projected)</v>
      </c>
      <c r="I307" s="282"/>
      <c r="J307" s="274" t="str" cm="1">
        <f t="array" ref="J307">_xll.FDSB($C307,"CS_EVENT_DATEJ_N("&amp;$AB$18&amp;",1)")</f>
        <v/>
      </c>
      <c r="K307" s="282" t="str" cm="1">
        <f t="array" ref="K307">_xll.FDSB($C307,"CS_EVENT_TIME_N("&amp;$AB$18&amp;",1)")</f>
        <v/>
      </c>
      <c r="L307" s="282" t="str" cm="1">
        <f t="array" ref="L307">_xll.FDSB($C307,"CS_EVENT_DESC_N("&amp;$AB$18&amp;",1)")</f>
        <v/>
      </c>
      <c r="M307" s="300"/>
      <c r="N307" s="274" cm="1">
        <f t="array" ref="N307">_xll.FDSB($C307,"CS_EVENT_DATEJ_N("&amp;$AA$18&amp;",2)")</f>
        <v>46335</v>
      </c>
      <c r="O307" s="282" t="str" cm="1">
        <f t="array" ref="O307">_xll.FDSB($C307,"CS_EVENT_TIME_N("&amp;$AA$18&amp;",2)")</f>
        <v>Unspecified</v>
      </c>
      <c r="P307" s="282" t="str" cm="1">
        <f t="array" ref="P307">_xll.FDSB($C307,"CS_EVENT_DESC_N("&amp;$AA$18&amp;",2)")</f>
        <v>Q3 2026 Earnings Release (Projected)</v>
      </c>
      <c r="Q307" s="282"/>
      <c r="R307" s="274" cm="1">
        <f t="array" ref="R307">_xll.FDSB($C307,"CS_EVENT_DATEJ_N("&amp;$AA$18&amp;",3)")</f>
        <v>46427</v>
      </c>
      <c r="S307" s="282" t="str" cm="1">
        <f t="array" ref="S307">_xll.FDSB($C307,"CS_EVENT_TIME_N("&amp;$AA$18&amp;",3)")</f>
        <v>Unspecified</v>
      </c>
      <c r="T307" s="282" t="str" cm="1">
        <f t="array" ref="T307">_xll.FDSB($C307,"CS_EVENT_DESC_N("&amp;$AA$18&amp;",3)")</f>
        <v>Q4 2026 Earnings Release (Projected)</v>
      </c>
      <c r="U307" s="282"/>
      <c r="V307" s="274" cm="1">
        <f t="array" ref="V307">_xll.FDSB($C307,"CS_EVENT_DATEJ_N("&amp;$AA$18&amp;",4)")</f>
        <v>46517</v>
      </c>
      <c r="W307" s="282" t="str" cm="1">
        <f t="array" ref="W307">_xll.FDSB($C307,"CS_EVENT_TIME_N("&amp;$AA$18&amp;",4)")</f>
        <v>Unspecified</v>
      </c>
      <c r="X307" s="282" t="str" cm="1">
        <f t="array" ref="X307">_xll.FDSB($C307,"CS_EVENT_DESC_N("&amp;$AA$18&amp;",4)")</f>
        <v>Q1 2027 Earnings Release (Projected)</v>
      </c>
    </row>
    <row r="308" spans="2:24" x14ac:dyDescent="0.15">
      <c r="B308" s="298">
        <f t="shared" si="6"/>
        <v>293</v>
      </c>
      <c r="C308" s="299" t="str">
        <v>COP</v>
      </c>
      <c r="D308" s="300" t="str" cm="1">
        <f t="array" ref="D308">_xll.FDSB($C308,"FG_COMPANY_NAME")</f>
        <v>ConocoPhillips</v>
      </c>
      <c r="E308" s="300"/>
      <c r="F308" s="274" cm="1">
        <f t="array" ref="F308">_xll.FDSB($C308,"CS_EVENT_DATEJ_N("&amp;$AA$18&amp;",1)")</f>
        <v>46233</v>
      </c>
      <c r="G308" s="282" t="str" cm="1">
        <f t="array" ref="G308">_xll.FDSB($C308,"CS_EVENT_TIME_N("&amp;$AA$18&amp;",1)")</f>
        <v>Unspecified</v>
      </c>
      <c r="H308" s="282" t="str" cm="1">
        <f t="array" ref="H308">_xll.FDSB($C308,"CS_EVENT_DESC_N("&amp;$AA$18&amp;",1)")</f>
        <v>Q2 2026 Earnings Release (Projected)</v>
      </c>
      <c r="I308" s="282"/>
      <c r="J308" s="274" t="str" cm="1">
        <f t="array" ref="J308">_xll.FDSB($C308,"CS_EVENT_DATEJ_N("&amp;$AB$18&amp;",1)")</f>
        <v/>
      </c>
      <c r="K308" s="282" t="str" cm="1">
        <f t="array" ref="K308">_xll.FDSB($C308,"CS_EVENT_TIME_N("&amp;$AB$18&amp;",1)")</f>
        <v/>
      </c>
      <c r="L308" s="282" t="str" cm="1">
        <f t="array" ref="L308">_xll.FDSB($C308,"CS_EVENT_DESC_N("&amp;$AB$18&amp;",1)")</f>
        <v/>
      </c>
      <c r="M308" s="300"/>
      <c r="N308" s="274" cm="1">
        <f t="array" ref="N308">_xll.FDSB($C308,"CS_EVENT_DATEJ_N("&amp;$AA$18&amp;",2)")</f>
        <v>46324</v>
      </c>
      <c r="O308" s="282" t="str" cm="1">
        <f t="array" ref="O308">_xll.FDSB($C308,"CS_EVENT_TIME_N("&amp;$AA$18&amp;",2)")</f>
        <v>Unspecified</v>
      </c>
      <c r="P308" s="282" t="str" cm="1">
        <f t="array" ref="P308">_xll.FDSB($C308,"CS_EVENT_DESC_N("&amp;$AA$18&amp;",2)")</f>
        <v>Q3 2026 Earnings Release (Projected)</v>
      </c>
      <c r="Q308" s="282"/>
      <c r="R308" s="274" cm="1">
        <f t="array" ref="R308">_xll.FDSB($C308,"CS_EVENT_DATEJ_N("&amp;$AA$18&amp;",3)")</f>
        <v>46429</v>
      </c>
      <c r="S308" s="282" t="str" cm="1">
        <f t="array" ref="S308">_xll.FDSB($C308,"CS_EVENT_TIME_N("&amp;$AA$18&amp;",3)")</f>
        <v>Unspecified</v>
      </c>
      <c r="T308" s="282" t="str" cm="1">
        <f t="array" ref="T308">_xll.FDSB($C308,"CS_EVENT_DESC_N("&amp;$AA$18&amp;",3)")</f>
        <v>Q4 2026 Earnings Release (Projected)</v>
      </c>
      <c r="U308" s="282"/>
      <c r="V308" s="274" cm="1">
        <f t="array" ref="V308">_xll.FDSB($C308,"CS_EVENT_DATEJ_N("&amp;$AA$18&amp;",4)")</f>
        <v>46513</v>
      </c>
      <c r="W308" s="282" t="str" cm="1">
        <f t="array" ref="W308">_xll.FDSB($C308,"CS_EVENT_TIME_N("&amp;$AA$18&amp;",4)")</f>
        <v>Unspecified</v>
      </c>
      <c r="X308" s="282" t="str" cm="1">
        <f t="array" ref="X308">_xll.FDSB($C308,"CS_EVENT_DESC_N("&amp;$AA$18&amp;",4)")</f>
        <v>Q1 2027 Earnings Release (Projected)</v>
      </c>
    </row>
    <row r="309" spans="2:24" x14ac:dyDescent="0.15">
      <c r="B309" s="298">
        <f t="shared" si="6"/>
        <v>294</v>
      </c>
      <c r="C309" s="299" t="str">
        <v>MO</v>
      </c>
      <c r="D309" s="300" t="str" cm="1">
        <f t="array" ref="D309">_xll.FDSB($C309,"FG_COMPANY_NAME")</f>
        <v>Altria Group, Inc.</v>
      </c>
      <c r="E309" s="300"/>
      <c r="F309" s="274" cm="1">
        <f t="array" ref="F309">_xll.FDSB($C309,"CS_EVENT_DATEJ_N("&amp;$AA$18&amp;",1)")</f>
        <v>46233</v>
      </c>
      <c r="G309" s="282" t="str" cm="1">
        <f t="array" ref="G309">_xll.FDSB($C309,"CS_EVENT_TIME_N("&amp;$AA$18&amp;",1)")</f>
        <v>7:00 AM</v>
      </c>
      <c r="H309" s="282" t="str" cm="1">
        <f t="array" ref="H309">_xll.FDSB($C309,"CS_EVENT_DESC_N("&amp;$AA$18&amp;",1)")</f>
        <v>Q2 2026 Earnings Release</v>
      </c>
      <c r="I309" s="282"/>
      <c r="J309" s="274" cm="1">
        <f t="array" ref="J309">_xll.FDSB($C309,"CS_EVENT_DATEJ_N("&amp;$AB$18&amp;",1)")</f>
        <v>46233</v>
      </c>
      <c r="K309" s="282" t="str" cm="1">
        <f t="array" ref="K309">_xll.FDSB($C309,"CS_EVENT_TIME_N("&amp;$AB$18&amp;",1)")</f>
        <v>9:00 AM</v>
      </c>
      <c r="L309" s="282" t="str" cm="1">
        <f t="array" ref="L309">_xll.FDSB($C309,"CS_EVENT_DESC_N("&amp;$AB$18&amp;",1)")</f>
        <v>Q2 2026 Earnings Call</v>
      </c>
      <c r="M309" s="300"/>
      <c r="N309" s="274" cm="1">
        <f t="array" ref="N309">_xll.FDSB($C309,"CS_EVENT_DATEJ_N("&amp;$AA$18&amp;",2)")</f>
        <v>46324</v>
      </c>
      <c r="O309" s="282" t="str" cm="1">
        <f t="array" ref="O309">_xll.FDSB($C309,"CS_EVENT_TIME_N("&amp;$AA$18&amp;",2)")</f>
        <v>7:00 AM</v>
      </c>
      <c r="P309" s="282" t="str" cm="1">
        <f t="array" ref="P309">_xll.FDSB($C309,"CS_EVENT_DESC_N("&amp;$AA$18&amp;",2)")</f>
        <v>Q3 2026 Earnings Release</v>
      </c>
      <c r="Q309" s="282"/>
      <c r="R309" s="274" cm="1">
        <f t="array" ref="R309">_xll.FDSB($C309,"CS_EVENT_DATEJ_N("&amp;$AA$18&amp;",3)")</f>
        <v>46422</v>
      </c>
      <c r="S309" s="282" t="str" cm="1">
        <f t="array" ref="S309">_xll.FDSB($C309,"CS_EVENT_TIME_N("&amp;$AA$18&amp;",3)")</f>
        <v>Unspecified</v>
      </c>
      <c r="T309" s="282" t="str" cm="1">
        <f t="array" ref="T309">_xll.FDSB($C309,"CS_EVENT_DESC_N("&amp;$AA$18&amp;",3)")</f>
        <v>Q4 2026 Earnings Release (Projected)</v>
      </c>
      <c r="U309" s="282"/>
      <c r="V309" s="274" cm="1">
        <f t="array" ref="V309">_xll.FDSB($C309,"CS_EVENT_DATEJ_N("&amp;$AA$18&amp;",4)")</f>
        <v>46506</v>
      </c>
      <c r="W309" s="282" t="str" cm="1">
        <f t="array" ref="W309">_xll.FDSB($C309,"CS_EVENT_TIME_N("&amp;$AA$18&amp;",4)")</f>
        <v>Unspecified</v>
      </c>
      <c r="X309" s="282" t="str" cm="1">
        <f t="array" ref="X309">_xll.FDSB($C309,"CS_EVENT_DESC_N("&amp;$AA$18&amp;",4)")</f>
        <v>Q1 2027 Earnings Release (Projected)</v>
      </c>
    </row>
    <row r="310" spans="2:24" x14ac:dyDescent="0.15">
      <c r="B310" s="298">
        <f t="shared" si="6"/>
        <v>295</v>
      </c>
      <c r="C310" s="299" t="str">
        <v>PNW</v>
      </c>
      <c r="D310" s="300" t="str" cm="1">
        <f t="array" ref="D310">_xll.FDSB($C310,"FG_COMPANY_NAME")</f>
        <v>Pinnacle West Capital Corp</v>
      </c>
      <c r="E310" s="300"/>
      <c r="F310" s="274" cm="1">
        <f t="array" ref="F310">_xll.FDSB($C310,"CS_EVENT_DATEJ_N("&amp;$AA$18&amp;",1)")</f>
        <v>46233</v>
      </c>
      <c r="G310" s="282" t="str" cm="1">
        <f t="array" ref="G310">_xll.FDSB($C310,"CS_EVENT_TIME_N("&amp;$AA$18&amp;",1)")</f>
        <v>Unspecified</v>
      </c>
      <c r="H310" s="282" t="str" cm="1">
        <f t="array" ref="H310">_xll.FDSB($C310,"CS_EVENT_DESC_N("&amp;$AA$18&amp;",1)")</f>
        <v>Q2 2026 Earnings Release (Projected)</v>
      </c>
      <c r="I310" s="282"/>
      <c r="J310" s="274" t="str" cm="1">
        <f t="array" ref="J310">_xll.FDSB($C310,"CS_EVENT_DATEJ_N("&amp;$AB$18&amp;",1)")</f>
        <v/>
      </c>
      <c r="K310" s="282" t="str" cm="1">
        <f t="array" ref="K310">_xll.FDSB($C310,"CS_EVENT_TIME_N("&amp;$AB$18&amp;",1)")</f>
        <v/>
      </c>
      <c r="L310" s="282" t="str" cm="1">
        <f t="array" ref="L310">_xll.FDSB($C310,"CS_EVENT_DESC_N("&amp;$AB$18&amp;",1)")</f>
        <v/>
      </c>
      <c r="M310" s="300"/>
      <c r="N310" s="274" cm="1">
        <f t="array" ref="N310">_xll.FDSB($C310,"CS_EVENT_DATEJ_N("&amp;$AA$18&amp;",2)")</f>
        <v>46325</v>
      </c>
      <c r="O310" s="282" t="str" cm="1">
        <f t="array" ref="O310">_xll.FDSB($C310,"CS_EVENT_TIME_N("&amp;$AA$18&amp;",2)")</f>
        <v>Unspecified</v>
      </c>
      <c r="P310" s="282" t="str" cm="1">
        <f t="array" ref="P310">_xll.FDSB($C310,"CS_EVENT_DESC_N("&amp;$AA$18&amp;",2)")</f>
        <v>Q3 2026 Earnings Release (Projected)</v>
      </c>
      <c r="Q310" s="282"/>
      <c r="R310" s="274" cm="1">
        <f t="array" ref="R310">_xll.FDSB($C310,"CS_EVENT_DATEJ_N("&amp;$AA$18&amp;",3)")</f>
        <v>46513</v>
      </c>
      <c r="S310" s="282" t="str" cm="1">
        <f t="array" ref="S310">_xll.FDSB($C310,"CS_EVENT_TIME_N("&amp;$AA$18&amp;",3)")</f>
        <v>Unspecified</v>
      </c>
      <c r="T310" s="282" t="str" cm="1">
        <f t="array" ref="T310">_xll.FDSB($C310,"CS_EVENT_DESC_N("&amp;$AA$18&amp;",3)")</f>
        <v>Q1 2027 Earnings Release (Projected)</v>
      </c>
      <c r="U310" s="282"/>
      <c r="V310" s="274" t="str" cm="1">
        <f t="array" ref="V310">_xll.FDSB($C310,"CS_EVENT_DATEJ_N("&amp;$AA$18&amp;",4)")</f>
        <v/>
      </c>
      <c r="W310" s="282" t="str" cm="1">
        <f t="array" ref="W310">_xll.FDSB($C310,"CS_EVENT_TIME_N("&amp;$AA$18&amp;",4)")</f>
        <v/>
      </c>
      <c r="X310" s="282" t="str" cm="1">
        <f t="array" ref="X310">_xll.FDSB($C310,"CS_EVENT_DESC_N("&amp;$AA$18&amp;",4)")</f>
        <v/>
      </c>
    </row>
    <row r="311" spans="2:24" x14ac:dyDescent="0.15">
      <c r="B311" s="298">
        <f t="shared" si="6"/>
        <v>296</v>
      </c>
      <c r="C311" s="299" t="str">
        <v>SATS</v>
      </c>
      <c r="D311" s="300" t="str" cm="1">
        <f t="array" ref="D311">_xll.FDSB($C311,"FG_COMPANY_NAME")</f>
        <v>EchoStar Corporation Class A</v>
      </c>
      <c r="E311" s="300"/>
      <c r="F311" s="274" cm="1">
        <f t="array" ref="F311">_xll.FDSB($C311,"CS_EVENT_DATEJ_N("&amp;$AA$18&amp;",1)")</f>
        <v>46233</v>
      </c>
      <c r="G311" s="282" t="str" cm="1">
        <f t="array" ref="G311">_xll.FDSB($C311,"CS_EVENT_TIME_N("&amp;$AA$18&amp;",1)")</f>
        <v>Unspecified</v>
      </c>
      <c r="H311" s="282" t="str" cm="1">
        <f t="array" ref="H311">_xll.FDSB($C311,"CS_EVENT_DESC_N("&amp;$AA$18&amp;",1)")</f>
        <v>Q2 2026 Earnings Release (Projected)</v>
      </c>
      <c r="I311" s="282"/>
      <c r="J311" s="274" t="str" cm="1">
        <f t="array" ref="J311">_xll.FDSB($C311,"CS_EVENT_DATEJ_N("&amp;$AB$18&amp;",1)")</f>
        <v/>
      </c>
      <c r="K311" s="282" t="str" cm="1">
        <f t="array" ref="K311">_xll.FDSB($C311,"CS_EVENT_TIME_N("&amp;$AB$18&amp;",1)")</f>
        <v/>
      </c>
      <c r="L311" s="282" t="str" cm="1">
        <f t="array" ref="L311">_xll.FDSB($C311,"CS_EVENT_DESC_N("&amp;$AB$18&amp;",1)")</f>
        <v/>
      </c>
      <c r="M311" s="300"/>
      <c r="N311" s="274" cm="1">
        <f t="array" ref="N311">_xll.FDSB($C311,"CS_EVENT_DATEJ_N("&amp;$AA$18&amp;",2)")</f>
        <v>46337</v>
      </c>
      <c r="O311" s="282" t="str" cm="1">
        <f t="array" ref="O311">_xll.FDSB($C311,"CS_EVENT_TIME_N("&amp;$AA$18&amp;",2)")</f>
        <v>Unspecified</v>
      </c>
      <c r="P311" s="282" t="str" cm="1">
        <f t="array" ref="P311">_xll.FDSB($C311,"CS_EVENT_DESC_N("&amp;$AA$18&amp;",2)")</f>
        <v>Q3 2026 Earnings Release (Projected)</v>
      </c>
      <c r="Q311" s="282"/>
      <c r="R311" s="274" cm="1">
        <f t="array" ref="R311">_xll.FDSB($C311,"CS_EVENT_DATEJ_N("&amp;$AA$18&amp;",3)")</f>
        <v>46443</v>
      </c>
      <c r="S311" s="282" t="str" cm="1">
        <f t="array" ref="S311">_xll.FDSB($C311,"CS_EVENT_TIME_N("&amp;$AA$18&amp;",3)")</f>
        <v>Unspecified</v>
      </c>
      <c r="T311" s="282" t="str" cm="1">
        <f t="array" ref="T311">_xll.FDSB($C311,"CS_EVENT_DESC_N("&amp;$AA$18&amp;",3)")</f>
        <v>Q4 2026 Earnings Release (Projected)</v>
      </c>
      <c r="U311" s="282"/>
      <c r="V311" s="274" cm="1">
        <f t="array" ref="V311">_xll.FDSB($C311,"CS_EVENT_DATEJ_N("&amp;$AA$18&amp;",4)")</f>
        <v>46520</v>
      </c>
      <c r="W311" s="282" t="str" cm="1">
        <f t="array" ref="W311">_xll.FDSB($C311,"CS_EVENT_TIME_N("&amp;$AA$18&amp;",4)")</f>
        <v>Unspecified</v>
      </c>
      <c r="X311" s="282" t="str" cm="1">
        <f t="array" ref="X311">_xll.FDSB($C311,"CS_EVENT_DESC_N("&amp;$AA$18&amp;",4)")</f>
        <v>Q1 2027 Earnings Release (Projected)</v>
      </c>
    </row>
    <row r="312" spans="2:24" x14ac:dyDescent="0.15">
      <c r="B312" s="298">
        <f t="shared" si="6"/>
        <v>297</v>
      </c>
      <c r="C312" s="299" t="str">
        <v>BLDR</v>
      </c>
      <c r="D312" s="300" t="str" cm="1">
        <f t="array" ref="D312">_xll.FDSB($C312,"FG_COMPANY_NAME")</f>
        <v>Builders FirstSource, Inc.</v>
      </c>
      <c r="E312" s="300"/>
      <c r="F312" s="274" cm="1">
        <f t="array" ref="F312">_xll.FDSB($C312,"CS_EVENT_DATEJ_N("&amp;$AA$18&amp;",1)")</f>
        <v>46233</v>
      </c>
      <c r="G312" s="282" t="str" cm="1">
        <f t="array" ref="G312">_xll.FDSB($C312,"CS_EVENT_TIME_N("&amp;$AA$18&amp;",1)")</f>
        <v>Unspecified</v>
      </c>
      <c r="H312" s="282" t="str" cm="1">
        <f t="array" ref="H312">_xll.FDSB($C312,"CS_EVENT_DESC_N("&amp;$AA$18&amp;",1)")</f>
        <v>Q2 2026 Earnings Release (Projected)</v>
      </c>
      <c r="I312" s="282"/>
      <c r="J312" s="274" t="str" cm="1">
        <f t="array" ref="J312">_xll.FDSB($C312,"CS_EVENT_DATEJ_N("&amp;$AB$18&amp;",1)")</f>
        <v/>
      </c>
      <c r="K312" s="282" t="str" cm="1">
        <f t="array" ref="K312">_xll.FDSB($C312,"CS_EVENT_TIME_N("&amp;$AB$18&amp;",1)")</f>
        <v/>
      </c>
      <c r="L312" s="282" t="str" cm="1">
        <f t="array" ref="L312">_xll.FDSB($C312,"CS_EVENT_DESC_N("&amp;$AB$18&amp;",1)")</f>
        <v/>
      </c>
      <c r="M312" s="300"/>
      <c r="N312" s="274" cm="1">
        <f t="array" ref="N312">_xll.FDSB($C312,"CS_EVENT_DATEJ_N("&amp;$AA$18&amp;",2)")</f>
        <v>46324</v>
      </c>
      <c r="O312" s="282" t="str" cm="1">
        <f t="array" ref="O312">_xll.FDSB($C312,"CS_EVENT_TIME_N("&amp;$AA$18&amp;",2)")</f>
        <v>Unspecified</v>
      </c>
      <c r="P312" s="282" t="str" cm="1">
        <f t="array" ref="P312">_xll.FDSB($C312,"CS_EVENT_DESC_N("&amp;$AA$18&amp;",2)")</f>
        <v>Q3 2026 Earnings Release (Projected)</v>
      </c>
      <c r="Q312" s="282"/>
      <c r="R312" s="274" cm="1">
        <f t="array" ref="R312">_xll.FDSB($C312,"CS_EVENT_DATEJ_N("&amp;$AA$18&amp;",3)")</f>
        <v>46443</v>
      </c>
      <c r="S312" s="282" t="str" cm="1">
        <f t="array" ref="S312">_xll.FDSB($C312,"CS_EVENT_TIME_N("&amp;$AA$18&amp;",3)")</f>
        <v>Unspecified</v>
      </c>
      <c r="T312" s="282" t="str" cm="1">
        <f t="array" ref="T312">_xll.FDSB($C312,"CS_EVENT_DESC_N("&amp;$AA$18&amp;",3)")</f>
        <v>Q4 2026 Earnings Release (Projected)</v>
      </c>
      <c r="U312" s="282"/>
      <c r="V312" s="274" cm="1">
        <f t="array" ref="V312">_xll.FDSB($C312,"CS_EVENT_DATEJ_N("&amp;$AA$18&amp;",4)")</f>
        <v>46513</v>
      </c>
      <c r="W312" s="282" t="str" cm="1">
        <f t="array" ref="W312">_xll.FDSB($C312,"CS_EVENT_TIME_N("&amp;$AA$18&amp;",4)")</f>
        <v>Unspecified</v>
      </c>
      <c r="X312" s="282" t="str" cm="1">
        <f t="array" ref="X312">_xll.FDSB($C312,"CS_EVENT_DESC_N("&amp;$AA$18&amp;",4)")</f>
        <v>Q1 2027 Earnings Release (Projected)</v>
      </c>
    </row>
    <row r="313" spans="2:24" x14ac:dyDescent="0.15">
      <c r="B313" s="298">
        <f t="shared" si="6"/>
        <v>298</v>
      </c>
      <c r="C313" s="299" t="str">
        <v>FTNT</v>
      </c>
      <c r="D313" s="300" t="str" cm="1">
        <f t="array" ref="D313">_xll.FDSB($C313,"FG_COMPANY_NAME")</f>
        <v>Fortinet, Inc.</v>
      </c>
      <c r="E313" s="300"/>
      <c r="F313" s="274" cm="1">
        <f t="array" ref="F313">_xll.FDSB($C313,"CS_EVENT_DATEJ_N("&amp;$AA$18&amp;",1)")</f>
        <v>46233</v>
      </c>
      <c r="G313" s="282" t="str" cm="1">
        <f t="array" ref="G313">_xll.FDSB($C313,"CS_EVENT_TIME_N("&amp;$AA$18&amp;",1)")</f>
        <v>Unspecified</v>
      </c>
      <c r="H313" s="282" t="str" cm="1">
        <f t="array" ref="H313">_xll.FDSB($C313,"CS_EVENT_DESC_N("&amp;$AA$18&amp;",1)")</f>
        <v>Q2 2026 Earnings Release (Projected)</v>
      </c>
      <c r="I313" s="282"/>
      <c r="J313" s="274" t="str" cm="1">
        <f t="array" ref="J313">_xll.FDSB($C313,"CS_EVENT_DATEJ_N("&amp;$AB$18&amp;",1)")</f>
        <v/>
      </c>
      <c r="K313" s="282" t="str" cm="1">
        <f t="array" ref="K313">_xll.FDSB($C313,"CS_EVENT_TIME_N("&amp;$AB$18&amp;",1)")</f>
        <v/>
      </c>
      <c r="L313" s="282" t="str" cm="1">
        <f t="array" ref="L313">_xll.FDSB($C313,"CS_EVENT_DESC_N("&amp;$AB$18&amp;",1)")</f>
        <v/>
      </c>
      <c r="M313" s="300"/>
      <c r="N313" s="274" cm="1">
        <f t="array" ref="N313">_xll.FDSB($C313,"CS_EVENT_DATEJ_N("&amp;$AA$18&amp;",2)")</f>
        <v>46324</v>
      </c>
      <c r="O313" s="282" t="str" cm="1">
        <f t="array" ref="O313">_xll.FDSB($C313,"CS_EVENT_TIME_N("&amp;$AA$18&amp;",2)")</f>
        <v>Unspecified</v>
      </c>
      <c r="P313" s="282" t="str" cm="1">
        <f t="array" ref="P313">_xll.FDSB($C313,"CS_EVENT_DESC_N("&amp;$AA$18&amp;",2)")</f>
        <v>Q3 2026 Earnings Release (Projected)</v>
      </c>
      <c r="Q313" s="282"/>
      <c r="R313" s="274" cm="1">
        <f t="array" ref="R313">_xll.FDSB($C313,"CS_EVENT_DATEJ_N("&amp;$AA$18&amp;",3)")</f>
        <v>46427</v>
      </c>
      <c r="S313" s="282" t="str" cm="1">
        <f t="array" ref="S313">_xll.FDSB($C313,"CS_EVENT_TIME_N("&amp;$AA$18&amp;",3)")</f>
        <v>Unspecified</v>
      </c>
      <c r="T313" s="282" t="str" cm="1">
        <f t="array" ref="T313">_xll.FDSB($C313,"CS_EVENT_DESC_N("&amp;$AA$18&amp;",3)")</f>
        <v>Q4 2026 Earnings Release (Projected)</v>
      </c>
      <c r="U313" s="282"/>
      <c r="V313" s="274" cm="1">
        <f t="array" ref="V313">_xll.FDSB($C313,"CS_EVENT_DATEJ_N("&amp;$AA$18&amp;",4)")</f>
        <v>46513</v>
      </c>
      <c r="W313" s="282" t="str" cm="1">
        <f t="array" ref="W313">_xll.FDSB($C313,"CS_EVENT_TIME_N("&amp;$AA$18&amp;",4)")</f>
        <v>Unspecified</v>
      </c>
      <c r="X313" s="282" t="str" cm="1">
        <f t="array" ref="X313">_xll.FDSB($C313,"CS_EVENT_DESC_N("&amp;$AA$18&amp;",4)")</f>
        <v>Q1 2027 Earnings Release (Projected)</v>
      </c>
    </row>
    <row r="314" spans="2:24" x14ac:dyDescent="0.15">
      <c r="B314" s="298">
        <f t="shared" si="6"/>
        <v>299</v>
      </c>
      <c r="C314" s="299" t="str">
        <v>EPAM</v>
      </c>
      <c r="D314" s="300" t="str" cm="1">
        <f t="array" ref="D314">_xll.FDSB($C314,"FG_COMPANY_NAME")</f>
        <v>EPAM Systems, Inc.</v>
      </c>
      <c r="E314" s="300"/>
      <c r="F314" s="274" cm="1">
        <f t="array" ref="F314">_xll.FDSB($C314,"CS_EVENT_DATEJ_N("&amp;$AA$18&amp;",1)")</f>
        <v>46233</v>
      </c>
      <c r="G314" s="282" t="str" cm="1">
        <f t="array" ref="G314">_xll.FDSB($C314,"CS_EVENT_TIME_N("&amp;$AA$18&amp;",1)")</f>
        <v>Unspecified</v>
      </c>
      <c r="H314" s="282" t="str" cm="1">
        <f t="array" ref="H314">_xll.FDSB($C314,"CS_EVENT_DESC_N("&amp;$AA$18&amp;",1)")</f>
        <v>Q2 2026 Earnings Release (Projected)</v>
      </c>
      <c r="I314" s="282"/>
      <c r="J314" s="274" t="str" cm="1">
        <f t="array" ref="J314">_xll.FDSB($C314,"CS_EVENT_DATEJ_N("&amp;$AB$18&amp;",1)")</f>
        <v/>
      </c>
      <c r="K314" s="282" t="str" cm="1">
        <f t="array" ref="K314">_xll.FDSB($C314,"CS_EVENT_TIME_N("&amp;$AB$18&amp;",1)")</f>
        <v/>
      </c>
      <c r="L314" s="282" t="str" cm="1">
        <f t="array" ref="L314">_xll.FDSB($C314,"CS_EVENT_DESC_N("&amp;$AB$18&amp;",1)")</f>
        <v/>
      </c>
      <c r="M314" s="300"/>
      <c r="N314" s="274" cm="1">
        <f t="array" ref="N314">_xll.FDSB($C314,"CS_EVENT_DATEJ_N("&amp;$AA$18&amp;",2)")</f>
        <v>46324</v>
      </c>
      <c r="O314" s="282" t="str" cm="1">
        <f t="array" ref="O314">_xll.FDSB($C314,"CS_EVENT_TIME_N("&amp;$AA$18&amp;",2)")</f>
        <v>Unspecified</v>
      </c>
      <c r="P314" s="282" t="str" cm="1">
        <f t="array" ref="P314">_xll.FDSB($C314,"CS_EVENT_DESC_N("&amp;$AA$18&amp;",2)")</f>
        <v>Q3 2026 Earnings Release (Projected)</v>
      </c>
      <c r="Q314" s="282"/>
      <c r="R314" s="274" cm="1">
        <f t="array" ref="R314">_xll.FDSB($C314,"CS_EVENT_DATEJ_N("&amp;$AA$18&amp;",3)")</f>
        <v>46436</v>
      </c>
      <c r="S314" s="282" t="str" cm="1">
        <f t="array" ref="S314">_xll.FDSB($C314,"CS_EVENT_TIME_N("&amp;$AA$18&amp;",3)")</f>
        <v>Unspecified</v>
      </c>
      <c r="T314" s="282" t="str" cm="1">
        <f t="array" ref="T314">_xll.FDSB($C314,"CS_EVENT_DESC_N("&amp;$AA$18&amp;",3)")</f>
        <v>Q4 2026 Earnings Release (Projected)</v>
      </c>
      <c r="U314" s="282"/>
      <c r="V314" s="274" cm="1">
        <f t="array" ref="V314">_xll.FDSB($C314,"CS_EVENT_DATEJ_N("&amp;$AA$18&amp;",4)")</f>
        <v>46513</v>
      </c>
      <c r="W314" s="282" t="str" cm="1">
        <f t="array" ref="W314">_xll.FDSB($C314,"CS_EVENT_TIME_N("&amp;$AA$18&amp;",4)")</f>
        <v>Unspecified</v>
      </c>
      <c r="X314" s="282" t="str" cm="1">
        <f t="array" ref="X314">_xll.FDSB($C314,"CS_EVENT_DESC_N("&amp;$AA$18&amp;",4)")</f>
        <v>Q1 2027 Earnings Release (Projected)</v>
      </c>
    </row>
    <row r="315" spans="2:24" x14ac:dyDescent="0.15">
      <c r="B315" s="298">
        <f t="shared" si="6"/>
        <v>300</v>
      </c>
      <c r="C315" s="299" t="str">
        <v>CEG</v>
      </c>
      <c r="D315" s="300" t="str" cm="1">
        <f t="array" ref="D315">_xll.FDSB($C315,"FG_COMPANY_NAME")</f>
        <v>Constellation Energy Corporation</v>
      </c>
      <c r="E315" s="300"/>
      <c r="F315" s="274" cm="1">
        <f t="array" ref="F315">_xll.FDSB($C315,"CS_EVENT_DATEJ_N("&amp;$AA$18&amp;",1)")</f>
        <v>46233</v>
      </c>
      <c r="G315" s="282" t="str" cm="1">
        <f t="array" ref="G315">_xll.FDSB($C315,"CS_EVENT_TIME_N("&amp;$AA$18&amp;",1)")</f>
        <v>Unspecified</v>
      </c>
      <c r="H315" s="282" t="str" cm="1">
        <f t="array" ref="H315">_xll.FDSB($C315,"CS_EVENT_DESC_N("&amp;$AA$18&amp;",1)")</f>
        <v>Q2 2026 Earnings Release (Projected)</v>
      </c>
      <c r="I315" s="282"/>
      <c r="J315" s="274" t="str" cm="1">
        <f t="array" ref="J315">_xll.FDSB($C315,"CS_EVENT_DATEJ_N("&amp;$AB$18&amp;",1)")</f>
        <v/>
      </c>
      <c r="K315" s="282" t="str" cm="1">
        <f t="array" ref="K315">_xll.FDSB($C315,"CS_EVENT_TIME_N("&amp;$AB$18&amp;",1)")</f>
        <v/>
      </c>
      <c r="L315" s="282" t="str" cm="1">
        <f t="array" ref="L315">_xll.FDSB($C315,"CS_EVENT_DESC_N("&amp;$AB$18&amp;",1)")</f>
        <v/>
      </c>
      <c r="M315" s="300"/>
      <c r="N315" s="274" cm="1">
        <f t="array" ref="N315">_xll.FDSB($C315,"CS_EVENT_DATEJ_N("&amp;$AA$18&amp;",2)")</f>
        <v>46443</v>
      </c>
      <c r="O315" s="282" t="str" cm="1">
        <f t="array" ref="O315">_xll.FDSB($C315,"CS_EVENT_TIME_N("&amp;$AA$18&amp;",2)")</f>
        <v>Unspecified</v>
      </c>
      <c r="P315" s="282" t="str" cm="1">
        <f t="array" ref="P315">_xll.FDSB($C315,"CS_EVENT_DESC_N("&amp;$AA$18&amp;",2)")</f>
        <v>Q4 2026 Earnings Release (Projected)</v>
      </c>
      <c r="Q315" s="282"/>
      <c r="R315" s="274" cm="1">
        <f t="array" ref="R315">_xll.FDSB($C315,"CS_EVENT_DATEJ_N("&amp;$AA$18&amp;",3)")</f>
        <v>46520</v>
      </c>
      <c r="S315" s="282" t="str" cm="1">
        <f t="array" ref="S315">_xll.FDSB($C315,"CS_EVENT_TIME_N("&amp;$AA$18&amp;",3)")</f>
        <v>Unspecified</v>
      </c>
      <c r="T315" s="282" t="str" cm="1">
        <f t="array" ref="T315">_xll.FDSB($C315,"CS_EVENT_DESC_N("&amp;$AA$18&amp;",3)")</f>
        <v>Q1 2027 Earnings Release (Projected)</v>
      </c>
      <c r="U315" s="282"/>
      <c r="V315" s="274" t="str" cm="1">
        <f t="array" ref="V315">_xll.FDSB($C315,"CS_EVENT_DATEJ_N("&amp;$AA$18&amp;",4)")</f>
        <v/>
      </c>
      <c r="W315" s="282" t="str" cm="1">
        <f t="array" ref="W315">_xll.FDSB($C315,"CS_EVENT_TIME_N("&amp;$AA$18&amp;",4)")</f>
        <v/>
      </c>
      <c r="X315" s="282" t="str" cm="1">
        <f t="array" ref="X315">_xll.FDSB($C315,"CS_EVENT_DESC_N("&amp;$AA$18&amp;",4)")</f>
        <v/>
      </c>
    </row>
    <row r="316" spans="2:24" x14ac:dyDescent="0.15">
      <c r="B316" s="298">
        <f t="shared" si="6"/>
        <v>301</v>
      </c>
      <c r="C316" s="299" t="str">
        <v>ICE</v>
      </c>
      <c r="D316" s="300" t="str" cm="1">
        <f t="array" ref="D316">_xll.FDSB($C316,"FG_COMPANY_NAME")</f>
        <v>Intercontinental Exchange, Inc.</v>
      </c>
      <c r="E316" s="300"/>
      <c r="F316" s="274" cm="1">
        <f t="array" ref="F316">_xll.FDSB($C316,"CS_EVENT_DATEJ_N("&amp;$AA$18&amp;",1)")</f>
        <v>46233</v>
      </c>
      <c r="G316" s="282" t="str" cm="1">
        <f t="array" ref="G316">_xll.FDSB($C316,"CS_EVENT_TIME_N("&amp;$AA$18&amp;",1)")</f>
        <v>Unspecified</v>
      </c>
      <c r="H316" s="282" t="str" cm="1">
        <f t="array" ref="H316">_xll.FDSB($C316,"CS_EVENT_DESC_N("&amp;$AA$18&amp;",1)")</f>
        <v>Q2 2026 Earnings Release (Projected)</v>
      </c>
      <c r="I316" s="282"/>
      <c r="J316" s="274" t="str" cm="1">
        <f t="array" ref="J316">_xll.FDSB($C316,"CS_EVENT_DATEJ_N("&amp;$AB$18&amp;",1)")</f>
        <v/>
      </c>
      <c r="K316" s="282" t="str" cm="1">
        <f t="array" ref="K316">_xll.FDSB($C316,"CS_EVENT_TIME_N("&amp;$AB$18&amp;",1)")</f>
        <v/>
      </c>
      <c r="L316" s="282" t="str" cm="1">
        <f t="array" ref="L316">_xll.FDSB($C316,"CS_EVENT_DESC_N("&amp;$AB$18&amp;",1)")</f>
        <v/>
      </c>
      <c r="M316" s="300"/>
      <c r="N316" s="274" cm="1">
        <f t="array" ref="N316">_xll.FDSB($C316,"CS_EVENT_DATEJ_N("&amp;$AA$18&amp;",2)")</f>
        <v>46324</v>
      </c>
      <c r="O316" s="282" t="str" cm="1">
        <f t="array" ref="O316">_xll.FDSB($C316,"CS_EVENT_TIME_N("&amp;$AA$18&amp;",2)")</f>
        <v>Unspecified</v>
      </c>
      <c r="P316" s="282" t="str" cm="1">
        <f t="array" ref="P316">_xll.FDSB($C316,"CS_EVENT_DESC_N("&amp;$AA$18&amp;",2)")</f>
        <v>Q3 2026 Earnings Release (Projected)</v>
      </c>
      <c r="Q316" s="282"/>
      <c r="R316" s="274" cm="1">
        <f t="array" ref="R316">_xll.FDSB($C316,"CS_EVENT_DATEJ_N("&amp;$AA$18&amp;",3)")</f>
        <v>46429</v>
      </c>
      <c r="S316" s="282" t="str" cm="1">
        <f t="array" ref="S316">_xll.FDSB($C316,"CS_EVENT_TIME_N("&amp;$AA$18&amp;",3)")</f>
        <v>Unspecified</v>
      </c>
      <c r="T316" s="282" t="str" cm="1">
        <f t="array" ref="T316">_xll.FDSB($C316,"CS_EVENT_DESC_N("&amp;$AA$18&amp;",3)")</f>
        <v>Q4 2026 Earnings Release (Projected)</v>
      </c>
      <c r="U316" s="282"/>
      <c r="V316" s="274" t="str" cm="1">
        <f t="array" ref="V316">_xll.FDSB($C316,"CS_EVENT_DATEJ_N("&amp;$AA$18&amp;",4)")</f>
        <v/>
      </c>
      <c r="W316" s="282" t="str" cm="1">
        <f t="array" ref="W316">_xll.FDSB($C316,"CS_EVENT_TIME_N("&amp;$AA$18&amp;",4)")</f>
        <v/>
      </c>
      <c r="X316" s="282" t="str" cm="1">
        <f t="array" ref="X316">_xll.FDSB($C316,"CS_EVENT_DESC_N("&amp;$AA$18&amp;",4)")</f>
        <v/>
      </c>
    </row>
    <row r="317" spans="2:24" x14ac:dyDescent="0.15">
      <c r="B317" s="298">
        <f t="shared" si="6"/>
        <v>302</v>
      </c>
      <c r="C317" s="299" t="str">
        <v>CVNA</v>
      </c>
      <c r="D317" s="300" t="str" cm="1">
        <f t="array" ref="D317">_xll.FDSB($C317,"FG_COMPANY_NAME")</f>
        <v>Carvana Co. Class A</v>
      </c>
      <c r="E317" s="300"/>
      <c r="F317" s="274" cm="1">
        <f t="array" ref="F317">_xll.FDSB($C317,"CS_EVENT_DATEJ_N("&amp;$AA$18&amp;",1)")</f>
        <v>46233</v>
      </c>
      <c r="G317" s="282" t="str" cm="1">
        <f t="array" ref="G317">_xll.FDSB($C317,"CS_EVENT_TIME_N("&amp;$AA$18&amp;",1)")</f>
        <v>Unspecified</v>
      </c>
      <c r="H317" s="282" t="str" cm="1">
        <f t="array" ref="H317">_xll.FDSB($C317,"CS_EVENT_DESC_N("&amp;$AA$18&amp;",1)")</f>
        <v>Q2 2026 Earnings Release (Projected)</v>
      </c>
      <c r="I317" s="282"/>
      <c r="J317" s="274" t="str" cm="1">
        <f t="array" ref="J317">_xll.FDSB($C317,"CS_EVENT_DATEJ_N("&amp;$AB$18&amp;",1)")</f>
        <v/>
      </c>
      <c r="K317" s="282" t="str" cm="1">
        <f t="array" ref="K317">_xll.FDSB($C317,"CS_EVENT_TIME_N("&amp;$AB$18&amp;",1)")</f>
        <v/>
      </c>
      <c r="L317" s="282" t="str" cm="1">
        <f t="array" ref="L317">_xll.FDSB($C317,"CS_EVENT_DESC_N("&amp;$AB$18&amp;",1)")</f>
        <v/>
      </c>
      <c r="M317" s="300"/>
      <c r="N317" s="274" cm="1">
        <f t="array" ref="N317">_xll.FDSB($C317,"CS_EVENT_DATEJ_N("&amp;$AA$18&amp;",2)")</f>
        <v>46324</v>
      </c>
      <c r="O317" s="282" t="str" cm="1">
        <f t="array" ref="O317">_xll.FDSB($C317,"CS_EVENT_TIME_N("&amp;$AA$18&amp;",2)")</f>
        <v>Unspecified</v>
      </c>
      <c r="P317" s="282" t="str" cm="1">
        <f t="array" ref="P317">_xll.FDSB($C317,"CS_EVENT_DESC_N("&amp;$AA$18&amp;",2)")</f>
        <v>Q3 2026 Earnings Release (Projected)</v>
      </c>
      <c r="Q317" s="282"/>
      <c r="R317" s="274" cm="1">
        <f t="array" ref="R317">_xll.FDSB($C317,"CS_EVENT_DATEJ_N("&amp;$AA$18&amp;",3)")</f>
        <v>46443</v>
      </c>
      <c r="S317" s="282" t="str" cm="1">
        <f t="array" ref="S317">_xll.FDSB($C317,"CS_EVENT_TIME_N("&amp;$AA$18&amp;",3)")</f>
        <v>Unspecified</v>
      </c>
      <c r="T317" s="282" t="str" cm="1">
        <f t="array" ref="T317">_xll.FDSB($C317,"CS_EVENT_DESC_N("&amp;$AA$18&amp;",3)")</f>
        <v>Q4 2026 Earnings Release (Projected)</v>
      </c>
      <c r="U317" s="282"/>
      <c r="V317" s="274" cm="1">
        <f t="array" ref="V317">_xll.FDSB($C317,"CS_EVENT_DATEJ_N("&amp;$AA$18&amp;",4)")</f>
        <v>46512</v>
      </c>
      <c r="W317" s="282" t="str" cm="1">
        <f t="array" ref="W317">_xll.FDSB($C317,"CS_EVENT_TIME_N("&amp;$AA$18&amp;",4)")</f>
        <v>Unspecified</v>
      </c>
      <c r="X317" s="282" t="str" cm="1">
        <f t="array" ref="X317">_xll.FDSB($C317,"CS_EVENT_DESC_N("&amp;$AA$18&amp;",4)")</f>
        <v>Q1 2027 Earnings Release (Projected)</v>
      </c>
    </row>
    <row r="318" spans="2:24" x14ac:dyDescent="0.15">
      <c r="B318" s="298">
        <f t="shared" si="6"/>
        <v>303</v>
      </c>
      <c r="C318" s="299" t="str">
        <v>MSI</v>
      </c>
      <c r="D318" s="300" t="str" cm="1">
        <f t="array" ref="D318">_xll.FDSB($C318,"FG_COMPANY_NAME")</f>
        <v>Motorola Solutions, Inc.</v>
      </c>
      <c r="E318" s="300"/>
      <c r="F318" s="274" cm="1">
        <f t="array" ref="F318">_xll.FDSB($C318,"CS_EVENT_DATEJ_N("&amp;$AA$18&amp;",1)")</f>
        <v>46233</v>
      </c>
      <c r="G318" s="282" t="str" cm="1">
        <f t="array" ref="G318">_xll.FDSB($C318,"CS_EVENT_TIME_N("&amp;$AA$18&amp;",1)")</f>
        <v>Unspecified</v>
      </c>
      <c r="H318" s="282" t="str" cm="1">
        <f t="array" ref="H318">_xll.FDSB($C318,"CS_EVENT_DESC_N("&amp;$AA$18&amp;",1)")</f>
        <v>Q2 2026 Earnings Release (Projected)</v>
      </c>
      <c r="I318" s="282"/>
      <c r="J318" s="274" t="str" cm="1">
        <f t="array" ref="J318">_xll.FDSB($C318,"CS_EVENT_DATEJ_N("&amp;$AB$18&amp;",1)")</f>
        <v/>
      </c>
      <c r="K318" s="282" t="str" cm="1">
        <f t="array" ref="K318">_xll.FDSB($C318,"CS_EVENT_TIME_N("&amp;$AB$18&amp;",1)")</f>
        <v/>
      </c>
      <c r="L318" s="282" t="str" cm="1">
        <f t="array" ref="L318">_xll.FDSB($C318,"CS_EVENT_DESC_N("&amp;$AB$18&amp;",1)")</f>
        <v/>
      </c>
      <c r="M318" s="300"/>
      <c r="N318" s="274" cm="1">
        <f t="array" ref="N318">_xll.FDSB($C318,"CS_EVENT_DATEJ_N("&amp;$AA$18&amp;",2)")</f>
        <v>46324</v>
      </c>
      <c r="O318" s="282" t="str" cm="1">
        <f t="array" ref="O318">_xll.FDSB($C318,"CS_EVENT_TIME_N("&amp;$AA$18&amp;",2)")</f>
        <v>Unspecified</v>
      </c>
      <c r="P318" s="282" t="str" cm="1">
        <f t="array" ref="P318">_xll.FDSB($C318,"CS_EVENT_DESC_N("&amp;$AA$18&amp;",2)")</f>
        <v>Q3 2026 Earnings Release (Projected)</v>
      </c>
      <c r="Q318" s="282"/>
      <c r="R318" s="274" cm="1">
        <f t="array" ref="R318">_xll.FDSB($C318,"CS_EVENT_DATEJ_N("&amp;$AA$18&amp;",3)")</f>
        <v>46429</v>
      </c>
      <c r="S318" s="282" t="str" cm="1">
        <f t="array" ref="S318">_xll.FDSB($C318,"CS_EVENT_TIME_N("&amp;$AA$18&amp;",3)")</f>
        <v>Unspecified</v>
      </c>
      <c r="T318" s="282" t="str" cm="1">
        <f t="array" ref="T318">_xll.FDSB($C318,"CS_EVENT_DESC_N("&amp;$AA$18&amp;",3)")</f>
        <v>Q4 2026 Earnings Release (Projected)</v>
      </c>
      <c r="U318" s="282"/>
      <c r="V318" s="274" cm="1">
        <f t="array" ref="V318">_xll.FDSB($C318,"CS_EVENT_DATEJ_N("&amp;$AA$18&amp;",4)")</f>
        <v>46513</v>
      </c>
      <c r="W318" s="282" t="str" cm="1">
        <f t="array" ref="W318">_xll.FDSB($C318,"CS_EVENT_TIME_N("&amp;$AA$18&amp;",4)")</f>
        <v>Unspecified</v>
      </c>
      <c r="X318" s="282" t="str" cm="1">
        <f t="array" ref="X318">_xll.FDSB($C318,"CS_EVENT_DESC_N("&amp;$AA$18&amp;",4)")</f>
        <v>Q1 2027 Earnings Release (Projected)</v>
      </c>
    </row>
    <row r="319" spans="2:24" x14ac:dyDescent="0.15">
      <c r="B319" s="298">
        <f t="shared" si="6"/>
        <v>304</v>
      </c>
      <c r="C319" s="299" t="str">
        <v>HII</v>
      </c>
      <c r="D319" s="300" t="str" cm="1">
        <f t="array" ref="D319">_xll.FDSB($C319,"FG_COMPANY_NAME")</f>
        <v>Huntington Ingalls Industries, Inc.</v>
      </c>
      <c r="E319" s="300"/>
      <c r="F319" s="274" cm="1">
        <f t="array" ref="F319">_xll.FDSB($C319,"CS_EVENT_DATEJ_N("&amp;$AA$18&amp;",1)")</f>
        <v>46233</v>
      </c>
      <c r="G319" s="282" t="str" cm="1">
        <f t="array" ref="G319">_xll.FDSB($C319,"CS_EVENT_TIME_N("&amp;$AA$18&amp;",1)")</f>
        <v>Unspecified</v>
      </c>
      <c r="H319" s="282" t="str" cm="1">
        <f t="array" ref="H319">_xll.FDSB($C319,"CS_EVENT_DESC_N("&amp;$AA$18&amp;",1)")</f>
        <v>Q2 2026 Earnings Release (Projected)</v>
      </c>
      <c r="I319" s="282"/>
      <c r="J319" s="274" t="str" cm="1">
        <f t="array" ref="J319">_xll.FDSB($C319,"CS_EVENT_DATEJ_N("&amp;$AB$18&amp;",1)")</f>
        <v/>
      </c>
      <c r="K319" s="282" t="str" cm="1">
        <f t="array" ref="K319">_xll.FDSB($C319,"CS_EVENT_TIME_N("&amp;$AB$18&amp;",1)")</f>
        <v/>
      </c>
      <c r="L319" s="282" t="str" cm="1">
        <f t="array" ref="L319">_xll.FDSB($C319,"CS_EVENT_DESC_N("&amp;$AB$18&amp;",1)")</f>
        <v/>
      </c>
      <c r="M319" s="300"/>
      <c r="N319" s="274" cm="1">
        <f t="array" ref="N319">_xll.FDSB($C319,"CS_EVENT_DATEJ_N("&amp;$AA$18&amp;",2)")</f>
        <v>46324</v>
      </c>
      <c r="O319" s="282" t="str" cm="1">
        <f t="array" ref="O319">_xll.FDSB($C319,"CS_EVENT_TIME_N("&amp;$AA$18&amp;",2)")</f>
        <v>Unspecified</v>
      </c>
      <c r="P319" s="282" t="str" cm="1">
        <f t="array" ref="P319">_xll.FDSB($C319,"CS_EVENT_DESC_N("&amp;$AA$18&amp;",2)")</f>
        <v>Q3 2026 Earnings Release (Projected)</v>
      </c>
      <c r="Q319" s="282"/>
      <c r="R319" s="274" cm="1">
        <f t="array" ref="R319">_xll.FDSB($C319,"CS_EVENT_DATEJ_N("&amp;$AA$18&amp;",3)")</f>
        <v>46429</v>
      </c>
      <c r="S319" s="282" t="str" cm="1">
        <f t="array" ref="S319">_xll.FDSB($C319,"CS_EVENT_TIME_N("&amp;$AA$18&amp;",3)")</f>
        <v>Unspecified</v>
      </c>
      <c r="T319" s="282" t="str" cm="1">
        <f t="array" ref="T319">_xll.FDSB($C319,"CS_EVENT_DESC_N("&amp;$AA$18&amp;",3)")</f>
        <v>Q4 2026 Earnings Release (Projected)</v>
      </c>
      <c r="U319" s="282"/>
      <c r="V319" s="274" cm="1">
        <f t="array" ref="V319">_xll.FDSB($C319,"CS_EVENT_DATEJ_N("&amp;$AA$18&amp;",4)")</f>
        <v>46513</v>
      </c>
      <c r="W319" s="282" t="str" cm="1">
        <f t="array" ref="W319">_xll.FDSB($C319,"CS_EVENT_TIME_N("&amp;$AA$18&amp;",4)")</f>
        <v>Unspecified</v>
      </c>
      <c r="X319" s="282" t="str" cm="1">
        <f t="array" ref="X319">_xll.FDSB($C319,"CS_EVENT_DESC_N("&amp;$AA$18&amp;",4)")</f>
        <v>Q1 2027 Earnings Release (Projected)</v>
      </c>
    </row>
    <row r="320" spans="2:24" x14ac:dyDescent="0.15">
      <c r="B320" s="298">
        <f t="shared" si="6"/>
        <v>305</v>
      </c>
      <c r="C320" s="299" t="str">
        <v>EXPE</v>
      </c>
      <c r="D320" s="300" t="str" cm="1">
        <f t="array" ref="D320">_xll.FDSB($C320,"FG_COMPANY_NAME")</f>
        <v>Expedia Group, Inc.</v>
      </c>
      <c r="E320" s="300"/>
      <c r="F320" s="274" cm="1">
        <f t="array" ref="F320">_xll.FDSB($C320,"CS_EVENT_DATEJ_N("&amp;$AA$18&amp;",1)")</f>
        <v>46233</v>
      </c>
      <c r="G320" s="282" t="str" cm="1">
        <f t="array" ref="G320">_xll.FDSB($C320,"CS_EVENT_TIME_N("&amp;$AA$18&amp;",1)")</f>
        <v>Unspecified</v>
      </c>
      <c r="H320" s="282" t="str" cm="1">
        <f t="array" ref="H320">_xll.FDSB($C320,"CS_EVENT_DESC_N("&amp;$AA$18&amp;",1)")</f>
        <v>Q2 2026 Earnings Release (Projected)</v>
      </c>
      <c r="I320" s="282"/>
      <c r="J320" s="274" t="str" cm="1">
        <f t="array" ref="J320">_xll.FDSB($C320,"CS_EVENT_DATEJ_N("&amp;$AB$18&amp;",1)")</f>
        <v/>
      </c>
      <c r="K320" s="282" t="str" cm="1">
        <f t="array" ref="K320">_xll.FDSB($C320,"CS_EVENT_TIME_N("&amp;$AB$18&amp;",1)")</f>
        <v/>
      </c>
      <c r="L320" s="282" t="str" cm="1">
        <f t="array" ref="L320">_xll.FDSB($C320,"CS_EVENT_DESC_N("&amp;$AB$18&amp;",1)")</f>
        <v/>
      </c>
      <c r="M320" s="300"/>
      <c r="N320" s="274" cm="1">
        <f t="array" ref="N320">_xll.FDSB($C320,"CS_EVENT_DATEJ_N("&amp;$AA$18&amp;",2)")</f>
        <v>46324</v>
      </c>
      <c r="O320" s="282" t="str" cm="1">
        <f t="array" ref="O320">_xll.FDSB($C320,"CS_EVENT_TIME_N("&amp;$AA$18&amp;",2)")</f>
        <v>Unspecified</v>
      </c>
      <c r="P320" s="282" t="str" cm="1">
        <f t="array" ref="P320">_xll.FDSB($C320,"CS_EVENT_DESC_N("&amp;$AA$18&amp;",2)")</f>
        <v>Q3 2026 Earnings Release (Projected)</v>
      </c>
      <c r="Q320" s="282"/>
      <c r="R320" s="274" cm="1">
        <f t="array" ref="R320">_xll.FDSB($C320,"CS_EVENT_DATEJ_N("&amp;$AA$18&amp;",3)")</f>
        <v>46429</v>
      </c>
      <c r="S320" s="282" t="str" cm="1">
        <f t="array" ref="S320">_xll.FDSB($C320,"CS_EVENT_TIME_N("&amp;$AA$18&amp;",3)")</f>
        <v>Unspecified</v>
      </c>
      <c r="T320" s="282" t="str" cm="1">
        <f t="array" ref="T320">_xll.FDSB($C320,"CS_EVENT_DESC_N("&amp;$AA$18&amp;",3)")</f>
        <v>Q4 2026 Earnings Release (Projected)</v>
      </c>
      <c r="U320" s="282"/>
      <c r="V320" s="274" cm="1">
        <f t="array" ref="V320">_xll.FDSB($C320,"CS_EVENT_DATEJ_N("&amp;$AA$18&amp;",4)")</f>
        <v>46513</v>
      </c>
      <c r="W320" s="282" t="str" cm="1">
        <f t="array" ref="W320">_xll.FDSB($C320,"CS_EVENT_TIME_N("&amp;$AA$18&amp;",4)")</f>
        <v>Unspecified</v>
      </c>
      <c r="X320" s="282" t="str" cm="1">
        <f t="array" ref="X320">_xll.FDSB($C320,"CS_EVENT_DESC_N("&amp;$AA$18&amp;",4)")</f>
        <v>Q1 2027 Earnings Release (Projected)</v>
      </c>
    </row>
    <row r="321" spans="2:24" x14ac:dyDescent="0.15">
      <c r="B321" s="298">
        <f t="shared" si="6"/>
        <v>306</v>
      </c>
      <c r="C321" s="299" t="str">
        <v>COIN</v>
      </c>
      <c r="D321" s="300" t="str" cm="1">
        <f t="array" ref="D321">_xll.FDSB($C321,"FG_COMPANY_NAME")</f>
        <v>Coinbase Global, Inc. Class A</v>
      </c>
      <c r="E321" s="300"/>
      <c r="F321" s="274" cm="1">
        <f t="array" ref="F321">_xll.FDSB($C321,"CS_EVENT_DATEJ_N("&amp;$AA$18&amp;",1)")</f>
        <v>46233</v>
      </c>
      <c r="G321" s="282" t="str" cm="1">
        <f t="array" ref="G321">_xll.FDSB($C321,"CS_EVENT_TIME_N("&amp;$AA$18&amp;",1)")</f>
        <v>Unspecified</v>
      </c>
      <c r="H321" s="282" t="str" cm="1">
        <f t="array" ref="H321">_xll.FDSB($C321,"CS_EVENT_DESC_N("&amp;$AA$18&amp;",1)")</f>
        <v>Q2 2026 Earnings Release (Projected)</v>
      </c>
      <c r="I321" s="282"/>
      <c r="J321" s="274" t="str" cm="1">
        <f t="array" ref="J321">_xll.FDSB($C321,"CS_EVENT_DATEJ_N("&amp;$AB$18&amp;",1)")</f>
        <v/>
      </c>
      <c r="K321" s="282" t="str" cm="1">
        <f t="array" ref="K321">_xll.FDSB($C321,"CS_EVENT_TIME_N("&amp;$AB$18&amp;",1)")</f>
        <v/>
      </c>
      <c r="L321" s="282" t="str" cm="1">
        <f t="array" ref="L321">_xll.FDSB($C321,"CS_EVENT_DESC_N("&amp;$AB$18&amp;",1)")</f>
        <v/>
      </c>
      <c r="M321" s="300"/>
      <c r="N321" s="274" cm="1">
        <f t="array" ref="N321">_xll.FDSB($C321,"CS_EVENT_DATEJ_N("&amp;$AA$18&amp;",2)")</f>
        <v>46324</v>
      </c>
      <c r="O321" s="282" t="str" cm="1">
        <f t="array" ref="O321">_xll.FDSB($C321,"CS_EVENT_TIME_N("&amp;$AA$18&amp;",2)")</f>
        <v>Unspecified</v>
      </c>
      <c r="P321" s="282" t="str" cm="1">
        <f t="array" ref="P321">_xll.FDSB($C321,"CS_EVENT_DESC_N("&amp;$AA$18&amp;",2)")</f>
        <v>Q3 2026 Earnings Release (Projected)</v>
      </c>
      <c r="Q321" s="282"/>
      <c r="R321" s="274" cm="1">
        <f t="array" ref="R321">_xll.FDSB($C321,"CS_EVENT_DATEJ_N("&amp;$AA$18&amp;",3)")</f>
        <v>46436</v>
      </c>
      <c r="S321" s="282" t="str" cm="1">
        <f t="array" ref="S321">_xll.FDSB($C321,"CS_EVENT_TIME_N("&amp;$AA$18&amp;",3)")</f>
        <v>Unspecified</v>
      </c>
      <c r="T321" s="282" t="str" cm="1">
        <f t="array" ref="T321">_xll.FDSB($C321,"CS_EVENT_DESC_N("&amp;$AA$18&amp;",3)")</f>
        <v>Q4 2026 Earnings Release (Projected)</v>
      </c>
      <c r="U321" s="282"/>
      <c r="V321" s="274" cm="1">
        <f t="array" ref="V321">_xll.FDSB($C321,"CS_EVENT_DATEJ_N("&amp;$AA$18&amp;",4)")</f>
        <v>46520</v>
      </c>
      <c r="W321" s="282" t="str" cm="1">
        <f t="array" ref="W321">_xll.FDSB($C321,"CS_EVENT_TIME_N("&amp;$AA$18&amp;",4)")</f>
        <v>Unspecified</v>
      </c>
      <c r="X321" s="282" t="str" cm="1">
        <f t="array" ref="X321">_xll.FDSB($C321,"CS_EVENT_DESC_N("&amp;$AA$18&amp;",4)")</f>
        <v>Q1 2027 Earnings Release (Projected)</v>
      </c>
    </row>
    <row r="322" spans="2:24" x14ac:dyDescent="0.15">
      <c r="B322" s="298">
        <f t="shared" si="6"/>
        <v>307</v>
      </c>
      <c r="C322" s="299" t="str">
        <v>XYZ</v>
      </c>
      <c r="D322" s="300" t="str" cm="1">
        <f t="array" ref="D322">_xll.FDSB($C322,"FG_COMPANY_NAME")</f>
        <v>Block, Inc. Class A</v>
      </c>
      <c r="E322" s="300"/>
      <c r="F322" s="274" cm="1">
        <f t="array" ref="F322">_xll.FDSB($C322,"CS_EVENT_DATEJ_N("&amp;$AA$18&amp;",1)")</f>
        <v>46233</v>
      </c>
      <c r="G322" s="282" t="str" cm="1">
        <f t="array" ref="G322">_xll.FDSB($C322,"CS_EVENT_TIME_N("&amp;$AA$18&amp;",1)")</f>
        <v>Unspecified</v>
      </c>
      <c r="H322" s="282" t="str" cm="1">
        <f t="array" ref="H322">_xll.FDSB($C322,"CS_EVENT_DESC_N("&amp;$AA$18&amp;",1)")</f>
        <v>Q2 2026 Earnings Release (Projected)</v>
      </c>
      <c r="I322" s="282"/>
      <c r="J322" s="274" t="str" cm="1">
        <f t="array" ref="J322">_xll.FDSB($C322,"CS_EVENT_DATEJ_N("&amp;$AB$18&amp;",1)")</f>
        <v/>
      </c>
      <c r="K322" s="282" t="str" cm="1">
        <f t="array" ref="K322">_xll.FDSB($C322,"CS_EVENT_TIME_N("&amp;$AB$18&amp;",1)")</f>
        <v/>
      </c>
      <c r="L322" s="282" t="str" cm="1">
        <f t="array" ref="L322">_xll.FDSB($C322,"CS_EVENT_DESC_N("&amp;$AB$18&amp;",1)")</f>
        <v/>
      </c>
      <c r="M322" s="300"/>
      <c r="N322" s="274" cm="1">
        <f t="array" ref="N322">_xll.FDSB($C322,"CS_EVENT_DATEJ_N("&amp;$AA$18&amp;",2)")</f>
        <v>46331</v>
      </c>
      <c r="O322" s="282" t="str" cm="1">
        <f t="array" ref="O322">_xll.FDSB($C322,"CS_EVENT_TIME_N("&amp;$AA$18&amp;",2)")</f>
        <v>Unspecified</v>
      </c>
      <c r="P322" s="282" t="str" cm="1">
        <f t="array" ref="P322">_xll.FDSB($C322,"CS_EVENT_DESC_N("&amp;$AA$18&amp;",2)")</f>
        <v>Q3 2026 Earnings Release (Projected)</v>
      </c>
      <c r="Q322" s="282"/>
      <c r="R322" s="274" cm="1">
        <f t="array" ref="R322">_xll.FDSB($C322,"CS_EVENT_DATEJ_N("&amp;$AA$18&amp;",3)")</f>
        <v>46443</v>
      </c>
      <c r="S322" s="282" t="str" cm="1">
        <f t="array" ref="S322">_xll.FDSB($C322,"CS_EVENT_TIME_N("&amp;$AA$18&amp;",3)")</f>
        <v>Unspecified</v>
      </c>
      <c r="T322" s="282" t="str" cm="1">
        <f t="array" ref="T322">_xll.FDSB($C322,"CS_EVENT_DESC_N("&amp;$AA$18&amp;",3)")</f>
        <v>Q4 2026 Earnings Release (Projected)</v>
      </c>
      <c r="U322" s="282"/>
      <c r="V322" s="274" cm="1">
        <f t="array" ref="V322">_xll.FDSB($C322,"CS_EVENT_DATEJ_N("&amp;$AA$18&amp;",4)")</f>
        <v>46513</v>
      </c>
      <c r="W322" s="282" t="str" cm="1">
        <f t="array" ref="W322">_xll.FDSB($C322,"CS_EVENT_TIME_N("&amp;$AA$18&amp;",4)")</f>
        <v>Unspecified</v>
      </c>
      <c r="X322" s="282" t="str" cm="1">
        <f t="array" ref="X322">_xll.FDSB($C322,"CS_EVENT_DESC_N("&amp;$AA$18&amp;",4)")</f>
        <v>Q1 2027 Earnings Release (Projected)</v>
      </c>
    </row>
    <row r="323" spans="2:24" x14ac:dyDescent="0.15">
      <c r="B323" s="298">
        <f t="shared" si="6"/>
        <v>308</v>
      </c>
      <c r="C323" s="299" t="str">
        <v>HWM</v>
      </c>
      <c r="D323" s="300" t="str" cm="1">
        <f t="array" ref="D323">_xll.FDSB($C323,"FG_COMPANY_NAME")</f>
        <v>Howmet Aerospace Inc.</v>
      </c>
      <c r="E323" s="300"/>
      <c r="F323" s="274" cm="1">
        <f t="array" ref="F323">_xll.FDSB($C323,"CS_EVENT_DATEJ_N("&amp;$AA$18&amp;",1)")</f>
        <v>46233</v>
      </c>
      <c r="G323" s="282" t="str" cm="1">
        <f t="array" ref="G323">_xll.FDSB($C323,"CS_EVENT_TIME_N("&amp;$AA$18&amp;",1)")</f>
        <v>Unspecified</v>
      </c>
      <c r="H323" s="282" t="str" cm="1">
        <f t="array" ref="H323">_xll.FDSB($C323,"CS_EVENT_DESC_N("&amp;$AA$18&amp;",1)")</f>
        <v>Q2 2026 Earnings Release (Projected)</v>
      </c>
      <c r="I323" s="282"/>
      <c r="J323" s="274" t="str" cm="1">
        <f t="array" ref="J323">_xll.FDSB($C323,"CS_EVENT_DATEJ_N("&amp;$AB$18&amp;",1)")</f>
        <v/>
      </c>
      <c r="K323" s="282" t="str" cm="1">
        <f t="array" ref="K323">_xll.FDSB($C323,"CS_EVENT_TIME_N("&amp;$AB$18&amp;",1)")</f>
        <v/>
      </c>
      <c r="L323" s="282" t="str" cm="1">
        <f t="array" ref="L323">_xll.FDSB($C323,"CS_EVENT_DESC_N("&amp;$AB$18&amp;",1)")</f>
        <v/>
      </c>
      <c r="M323" s="300"/>
      <c r="N323" s="274" cm="1">
        <f t="array" ref="N323">_xll.FDSB($C323,"CS_EVENT_DATEJ_N("&amp;$AA$18&amp;",2)")</f>
        <v>46324</v>
      </c>
      <c r="O323" s="282" t="str" cm="1">
        <f t="array" ref="O323">_xll.FDSB($C323,"CS_EVENT_TIME_N("&amp;$AA$18&amp;",2)")</f>
        <v>Unspecified</v>
      </c>
      <c r="P323" s="282" t="str" cm="1">
        <f t="array" ref="P323">_xll.FDSB($C323,"CS_EVENT_DESC_N("&amp;$AA$18&amp;",2)")</f>
        <v>Q3 2026 Earnings Release (Projected)</v>
      </c>
      <c r="Q323" s="282"/>
      <c r="R323" s="274" cm="1">
        <f t="array" ref="R323">_xll.FDSB($C323,"CS_EVENT_DATEJ_N("&amp;$AA$18&amp;",3)")</f>
        <v>46434</v>
      </c>
      <c r="S323" s="282" t="str" cm="1">
        <f t="array" ref="S323">_xll.FDSB($C323,"CS_EVENT_TIME_N("&amp;$AA$18&amp;",3)")</f>
        <v>Unspecified</v>
      </c>
      <c r="T323" s="282" t="str" cm="1">
        <f t="array" ref="T323">_xll.FDSB($C323,"CS_EVENT_DESC_N("&amp;$AA$18&amp;",3)")</f>
        <v>Q4 2026 Earnings Release (Projected)</v>
      </c>
      <c r="U323" s="282"/>
      <c r="V323" s="274" t="str" cm="1">
        <f t="array" ref="V323">_xll.FDSB($C323,"CS_EVENT_DATEJ_N("&amp;$AA$18&amp;",4)")</f>
        <v/>
      </c>
      <c r="W323" s="282" t="str" cm="1">
        <f t="array" ref="W323">_xll.FDSB($C323,"CS_EVENT_TIME_N("&amp;$AA$18&amp;",4)")</f>
        <v/>
      </c>
      <c r="X323" s="282" t="str" cm="1">
        <f t="array" ref="X323">_xll.FDSB($C323,"CS_EVENT_DESC_N("&amp;$AA$18&amp;",4)")</f>
        <v/>
      </c>
    </row>
    <row r="324" spans="2:24" x14ac:dyDescent="0.15">
      <c r="B324" s="298">
        <f t="shared" si="6"/>
        <v>309</v>
      </c>
      <c r="C324" s="299" t="str">
        <v>APTV</v>
      </c>
      <c r="D324" s="300" t="str" cm="1">
        <f t="array" ref="D324">_xll.FDSB($C324,"FG_COMPANY_NAME")</f>
        <v>Aptiv PLC</v>
      </c>
      <c r="E324" s="300"/>
      <c r="F324" s="274" cm="1">
        <f t="array" ref="F324">_xll.FDSB($C324,"CS_EVENT_DATEJ_N("&amp;$AA$18&amp;",1)")</f>
        <v>46233</v>
      </c>
      <c r="G324" s="282" t="str" cm="1">
        <f t="array" ref="G324">_xll.FDSB($C324,"CS_EVENT_TIME_N("&amp;$AA$18&amp;",1)")</f>
        <v>Unspecified</v>
      </c>
      <c r="H324" s="282" t="str" cm="1">
        <f t="array" ref="H324">_xll.FDSB($C324,"CS_EVENT_DESC_N("&amp;$AA$18&amp;",1)")</f>
        <v>Q2 2026 Earnings Release (Projected)</v>
      </c>
      <c r="I324" s="282"/>
      <c r="J324" s="274" t="str" cm="1">
        <f t="array" ref="J324">_xll.FDSB($C324,"CS_EVENT_DATEJ_N("&amp;$AB$18&amp;",1)")</f>
        <v/>
      </c>
      <c r="K324" s="282" t="str" cm="1">
        <f t="array" ref="K324">_xll.FDSB($C324,"CS_EVENT_TIME_N("&amp;$AB$18&amp;",1)")</f>
        <v/>
      </c>
      <c r="L324" s="282" t="str" cm="1">
        <f t="array" ref="L324">_xll.FDSB($C324,"CS_EVENT_DESC_N("&amp;$AB$18&amp;",1)")</f>
        <v/>
      </c>
      <c r="M324" s="300"/>
      <c r="N324" s="274" cm="1">
        <f t="array" ref="N324">_xll.FDSB($C324,"CS_EVENT_DATEJ_N("&amp;$AA$18&amp;",2)")</f>
        <v>46324</v>
      </c>
      <c r="O324" s="282" t="str" cm="1">
        <f t="array" ref="O324">_xll.FDSB($C324,"CS_EVENT_TIME_N("&amp;$AA$18&amp;",2)")</f>
        <v>Unspecified</v>
      </c>
      <c r="P324" s="282" t="str" cm="1">
        <f t="array" ref="P324">_xll.FDSB($C324,"CS_EVENT_DESC_N("&amp;$AA$18&amp;",2)")</f>
        <v>Q3 2026 Earnings Release (Projected)</v>
      </c>
      <c r="Q324" s="282"/>
      <c r="R324" s="274" cm="1">
        <f t="array" ref="R324">_xll.FDSB($C324,"CS_EVENT_DATEJ_N("&amp;$AA$18&amp;",3)")</f>
        <v>46428</v>
      </c>
      <c r="S324" s="282" t="str" cm="1">
        <f t="array" ref="S324">_xll.FDSB($C324,"CS_EVENT_TIME_N("&amp;$AA$18&amp;",3)")</f>
        <v>Unspecified</v>
      </c>
      <c r="T324" s="282" t="str" cm="1">
        <f t="array" ref="T324">_xll.FDSB($C324,"CS_EVENT_DESC_N("&amp;$AA$18&amp;",3)")</f>
        <v>Q4 2026 Earnings Release (Projected)</v>
      </c>
      <c r="U324" s="282"/>
      <c r="V324" s="274" cm="1">
        <f t="array" ref="V324">_xll.FDSB($C324,"CS_EVENT_DATEJ_N("&amp;$AA$18&amp;",4)")</f>
        <v>46513</v>
      </c>
      <c r="W324" s="282" t="str" cm="1">
        <f t="array" ref="W324">_xll.FDSB($C324,"CS_EVENT_TIME_N("&amp;$AA$18&amp;",4)")</f>
        <v>Unspecified</v>
      </c>
      <c r="X324" s="282" t="str" cm="1">
        <f t="array" ref="X324">_xll.FDSB($C324,"CS_EVENT_DESC_N("&amp;$AA$18&amp;",4)")</f>
        <v>Q1 2027 Earnings Release (Projected)</v>
      </c>
    </row>
    <row r="325" spans="2:24" x14ac:dyDescent="0.15">
      <c r="B325" s="298">
        <f t="shared" si="6"/>
        <v>310</v>
      </c>
      <c r="C325" s="299" t="str">
        <v>MRNA</v>
      </c>
      <c r="D325" s="300" t="str" cm="1">
        <f t="array" ref="D325">_xll.FDSB($C325,"FG_COMPANY_NAME")</f>
        <v>Moderna, Inc.</v>
      </c>
      <c r="E325" s="300"/>
      <c r="F325" s="274" cm="1">
        <f t="array" ref="F325">_xll.FDSB($C325,"CS_EVENT_DATEJ_N("&amp;$AA$18&amp;",1)")</f>
        <v>46233</v>
      </c>
      <c r="G325" s="282" t="str" cm="1">
        <f t="array" ref="G325">_xll.FDSB($C325,"CS_EVENT_TIME_N("&amp;$AA$18&amp;",1)")</f>
        <v>Unspecified</v>
      </c>
      <c r="H325" s="282" t="str" cm="1">
        <f t="array" ref="H325">_xll.FDSB($C325,"CS_EVENT_DESC_N("&amp;$AA$18&amp;",1)")</f>
        <v>Q2 2026 Earnings Release (Projected)</v>
      </c>
      <c r="I325" s="282"/>
      <c r="J325" s="274" t="str" cm="1">
        <f t="array" ref="J325">_xll.FDSB($C325,"CS_EVENT_DATEJ_N("&amp;$AB$18&amp;",1)")</f>
        <v/>
      </c>
      <c r="K325" s="282" t="str" cm="1">
        <f t="array" ref="K325">_xll.FDSB($C325,"CS_EVENT_TIME_N("&amp;$AB$18&amp;",1)")</f>
        <v/>
      </c>
      <c r="L325" s="282" t="str" cm="1">
        <f t="array" ref="L325">_xll.FDSB($C325,"CS_EVENT_DESC_N("&amp;$AB$18&amp;",1)")</f>
        <v/>
      </c>
      <c r="M325" s="300"/>
      <c r="N325" s="274" cm="1">
        <f t="array" ref="N325">_xll.FDSB($C325,"CS_EVENT_DATEJ_N("&amp;$AA$18&amp;",2)")</f>
        <v>46324</v>
      </c>
      <c r="O325" s="282" t="str" cm="1">
        <f t="array" ref="O325">_xll.FDSB($C325,"CS_EVENT_TIME_N("&amp;$AA$18&amp;",2)")</f>
        <v>Unspecified</v>
      </c>
      <c r="P325" s="282" t="str" cm="1">
        <f t="array" ref="P325">_xll.FDSB($C325,"CS_EVENT_DESC_N("&amp;$AA$18&amp;",2)")</f>
        <v>Q3 2026 Earnings Release (Projected)</v>
      </c>
      <c r="Q325" s="282"/>
      <c r="R325" s="274" cm="1">
        <f t="array" ref="R325">_xll.FDSB($C325,"CS_EVENT_DATEJ_N("&amp;$AA$18&amp;",3)")</f>
        <v>46443</v>
      </c>
      <c r="S325" s="282" t="str" cm="1">
        <f t="array" ref="S325">_xll.FDSB($C325,"CS_EVENT_TIME_N("&amp;$AA$18&amp;",3)")</f>
        <v>Unspecified</v>
      </c>
      <c r="T325" s="282" t="str" cm="1">
        <f t="array" ref="T325">_xll.FDSB($C325,"CS_EVENT_DESC_N("&amp;$AA$18&amp;",3)")</f>
        <v>Q4 2026 Earnings Release (Projected)</v>
      </c>
      <c r="U325" s="282"/>
      <c r="V325" s="274" t="str" cm="1">
        <f t="array" ref="V325">_xll.FDSB($C325,"CS_EVENT_DATEJ_N("&amp;$AA$18&amp;",4)")</f>
        <v/>
      </c>
      <c r="W325" s="282" t="str" cm="1">
        <f t="array" ref="W325">_xll.FDSB($C325,"CS_EVENT_TIME_N("&amp;$AA$18&amp;",4)")</f>
        <v/>
      </c>
      <c r="X325" s="282" t="str" cm="1">
        <f t="array" ref="X325">_xll.FDSB($C325,"CS_EVENT_DESC_N("&amp;$AA$18&amp;",4)")</f>
        <v/>
      </c>
    </row>
    <row r="326" spans="2:24" x14ac:dyDescent="0.15">
      <c r="B326" s="298">
        <f t="shared" si="6"/>
        <v>311</v>
      </c>
      <c r="C326" s="299" t="str">
        <v>CTVA</v>
      </c>
      <c r="D326" s="300" t="str" cm="1">
        <f t="array" ref="D326">_xll.FDSB($C326,"FG_COMPANY_NAME")</f>
        <v>Corteva Inc</v>
      </c>
      <c r="E326" s="300"/>
      <c r="F326" s="274" cm="1">
        <f t="array" ref="F326">_xll.FDSB($C326,"CS_EVENT_DATEJ_N("&amp;$AA$18&amp;",1)")</f>
        <v>46233</v>
      </c>
      <c r="G326" s="282" t="str" cm="1">
        <f t="array" ref="G326">_xll.FDSB($C326,"CS_EVENT_TIME_N("&amp;$AA$18&amp;",1)")</f>
        <v>After Market</v>
      </c>
      <c r="H326" s="282" t="str" cm="1">
        <f t="array" ref="H326">_xll.FDSB($C326,"CS_EVENT_DESC_N("&amp;$AA$18&amp;",1)")</f>
        <v>Q2 2026 Earnings Release</v>
      </c>
      <c r="I326" s="282"/>
      <c r="J326" s="274" cm="1">
        <f t="array" ref="J326">_xll.FDSB($C326,"CS_EVENT_DATEJ_N("&amp;$AB$18&amp;",1)")</f>
        <v>46234</v>
      </c>
      <c r="K326" s="282" t="str" cm="1">
        <f t="array" ref="K326">_xll.FDSB($C326,"CS_EVENT_TIME_N("&amp;$AB$18&amp;",1)")</f>
        <v>9:00 AM</v>
      </c>
      <c r="L326" s="282" t="str" cm="1">
        <f t="array" ref="L326">_xll.FDSB($C326,"CS_EVENT_DESC_N("&amp;$AB$18&amp;",1)")</f>
        <v>Q2 2026 Earnings Call</v>
      </c>
      <c r="M326" s="300"/>
      <c r="N326" s="274" cm="1">
        <f t="array" ref="N326">_xll.FDSB($C326,"CS_EVENT_DATEJ_N("&amp;$AA$18&amp;",2)")</f>
        <v>46337</v>
      </c>
      <c r="O326" s="282" t="str" cm="1">
        <f t="array" ref="O326">_xll.FDSB($C326,"CS_EVENT_TIME_N("&amp;$AA$18&amp;",2)")</f>
        <v>Unspecified</v>
      </c>
      <c r="P326" s="282" t="str" cm="1">
        <f t="array" ref="P326">_xll.FDSB($C326,"CS_EVENT_DESC_N("&amp;$AA$18&amp;",2)")</f>
        <v>Q3 2026 Earnings Release (Projected)</v>
      </c>
      <c r="Q326" s="282"/>
      <c r="R326" s="274" cm="1">
        <f t="array" ref="R326">_xll.FDSB($C326,"CS_EVENT_DATEJ_N("&amp;$AA$18&amp;",3)")</f>
        <v>46512</v>
      </c>
      <c r="S326" s="282" t="str" cm="1">
        <f t="array" ref="S326">_xll.FDSB($C326,"CS_EVENT_TIME_N("&amp;$AA$18&amp;",3)")</f>
        <v>Unspecified</v>
      </c>
      <c r="T326" s="282" t="str" cm="1">
        <f t="array" ref="T326">_xll.FDSB($C326,"CS_EVENT_DESC_N("&amp;$AA$18&amp;",3)")</f>
        <v>Q1 2027 Earnings Release (Projected)</v>
      </c>
      <c r="U326" s="282"/>
      <c r="V326" s="274" t="str" cm="1">
        <f t="array" ref="V326">_xll.FDSB($C326,"CS_EVENT_DATEJ_N("&amp;$AA$18&amp;",4)")</f>
        <v/>
      </c>
      <c r="W326" s="282" t="str" cm="1">
        <f t="array" ref="W326">_xll.FDSB($C326,"CS_EVENT_TIME_N("&amp;$AA$18&amp;",4)")</f>
        <v/>
      </c>
      <c r="X326" s="282" t="str" cm="1">
        <f t="array" ref="X326">_xll.FDSB($C326,"CS_EVENT_DESC_N("&amp;$AA$18&amp;",4)")</f>
        <v/>
      </c>
    </row>
    <row r="327" spans="2:24" x14ac:dyDescent="0.15">
      <c r="B327" s="298">
        <f t="shared" si="6"/>
        <v>312</v>
      </c>
      <c r="C327" s="299" t="str">
        <v>PSKY</v>
      </c>
      <c r="D327" s="300" t="str" cm="1">
        <f t="array" ref="D327">_xll.FDSB($C327,"FG_COMPANY_NAME")</f>
        <v>Paramount Skydance Corporation Class B</v>
      </c>
      <c r="E327" s="300"/>
      <c r="F327" s="274" cm="1">
        <f t="array" ref="F327">_xll.FDSB($C327,"CS_EVENT_DATEJ_N("&amp;$AA$18&amp;",1)")</f>
        <v>46233</v>
      </c>
      <c r="G327" s="282" t="str" cm="1">
        <f t="array" ref="G327">_xll.FDSB($C327,"CS_EVENT_TIME_N("&amp;$AA$18&amp;",1)")</f>
        <v>Unspecified</v>
      </c>
      <c r="H327" s="282" t="str" cm="1">
        <f t="array" ref="H327">_xll.FDSB($C327,"CS_EVENT_DESC_N("&amp;$AA$18&amp;",1)")</f>
        <v>Q2 2026 Earnings Release (Projected)</v>
      </c>
      <c r="I327" s="282"/>
      <c r="J327" s="274" t="str" cm="1">
        <f t="array" ref="J327">_xll.FDSB($C327,"CS_EVENT_DATEJ_N("&amp;$AB$18&amp;",1)")</f>
        <v/>
      </c>
      <c r="K327" s="282" t="str" cm="1">
        <f t="array" ref="K327">_xll.FDSB($C327,"CS_EVENT_TIME_N("&amp;$AB$18&amp;",1)")</f>
        <v/>
      </c>
      <c r="L327" s="282" t="str" cm="1">
        <f t="array" ref="L327">_xll.FDSB($C327,"CS_EVENT_DESC_N("&amp;$AB$18&amp;",1)")</f>
        <v/>
      </c>
      <c r="M327" s="300"/>
      <c r="N327" s="274" t="str" cm="1">
        <f t="array" ref="N327">_xll.FDSB($C327,"CS_EVENT_DATEJ_N("&amp;$AA$18&amp;",2)")</f>
        <v/>
      </c>
      <c r="O327" s="282" t="str" cm="1">
        <f t="array" ref="O327">_xll.FDSB($C327,"CS_EVENT_TIME_N("&amp;$AA$18&amp;",2)")</f>
        <v/>
      </c>
      <c r="P327" s="282" t="str" cm="1">
        <f t="array" ref="P327">_xll.FDSB($C327,"CS_EVENT_DESC_N("&amp;$AA$18&amp;",2)")</f>
        <v/>
      </c>
      <c r="Q327" s="282"/>
      <c r="R327" s="274" t="str" cm="1">
        <f t="array" ref="R327">_xll.FDSB($C327,"CS_EVENT_DATEJ_N("&amp;$AA$18&amp;",3)")</f>
        <v/>
      </c>
      <c r="S327" s="282" t="str" cm="1">
        <f t="array" ref="S327">_xll.FDSB($C327,"CS_EVENT_TIME_N("&amp;$AA$18&amp;",3)")</f>
        <v/>
      </c>
      <c r="T327" s="282" t="str" cm="1">
        <f t="array" ref="T327">_xll.FDSB($C327,"CS_EVENT_DESC_N("&amp;$AA$18&amp;",3)")</f>
        <v/>
      </c>
      <c r="U327" s="282"/>
      <c r="V327" s="274" t="str" cm="1">
        <f t="array" ref="V327">_xll.FDSB($C327,"CS_EVENT_DATEJ_N("&amp;$AA$18&amp;",4)")</f>
        <v/>
      </c>
      <c r="W327" s="282" t="str" cm="1">
        <f t="array" ref="W327">_xll.FDSB($C327,"CS_EVENT_TIME_N("&amp;$AA$18&amp;",4)")</f>
        <v/>
      </c>
      <c r="X327" s="282" t="str" cm="1">
        <f t="array" ref="X327">_xll.FDSB($C327,"CS_EVENT_DESC_N("&amp;$AA$18&amp;",4)")</f>
        <v/>
      </c>
    </row>
    <row r="328" spans="2:24" x14ac:dyDescent="0.15">
      <c r="B328" s="298">
        <f t="shared" si="6"/>
        <v>313</v>
      </c>
      <c r="C328" s="299" t="str">
        <v>DASH</v>
      </c>
      <c r="D328" s="300" t="str" cm="1">
        <f t="array" ref="D328">_xll.FDSB($C328,"FG_COMPANY_NAME")</f>
        <v>DoorDash, Inc. Class A</v>
      </c>
      <c r="E328" s="300"/>
      <c r="F328" s="274" cm="1">
        <f t="array" ref="F328">_xll.FDSB($C328,"CS_EVENT_DATEJ_N("&amp;$AA$18&amp;",1)")</f>
        <v>46233</v>
      </c>
      <c r="G328" s="282" t="str" cm="1">
        <f t="array" ref="G328">_xll.FDSB($C328,"CS_EVENT_TIME_N("&amp;$AA$18&amp;",1)")</f>
        <v>Unspecified</v>
      </c>
      <c r="H328" s="282" t="str" cm="1">
        <f t="array" ref="H328">_xll.FDSB($C328,"CS_EVENT_DESC_N("&amp;$AA$18&amp;",1)")</f>
        <v>Q2 2026 Earnings Release (Projected)</v>
      </c>
      <c r="I328" s="282"/>
      <c r="J328" s="274" t="str" cm="1">
        <f t="array" ref="J328">_xll.FDSB($C328,"CS_EVENT_DATEJ_N("&amp;$AB$18&amp;",1)")</f>
        <v/>
      </c>
      <c r="K328" s="282" t="str" cm="1">
        <f t="array" ref="K328">_xll.FDSB($C328,"CS_EVENT_TIME_N("&amp;$AB$18&amp;",1)")</f>
        <v/>
      </c>
      <c r="L328" s="282" t="str" cm="1">
        <f t="array" ref="L328">_xll.FDSB($C328,"CS_EVENT_DESC_N("&amp;$AB$18&amp;",1)")</f>
        <v/>
      </c>
      <c r="M328" s="300"/>
      <c r="N328" s="274" cm="1">
        <f t="array" ref="N328">_xll.FDSB($C328,"CS_EVENT_DATEJ_N("&amp;$AA$18&amp;",2)")</f>
        <v>46330</v>
      </c>
      <c r="O328" s="282" t="str" cm="1">
        <f t="array" ref="O328">_xll.FDSB($C328,"CS_EVENT_TIME_N("&amp;$AA$18&amp;",2)")</f>
        <v>Unspecified</v>
      </c>
      <c r="P328" s="282" t="str" cm="1">
        <f t="array" ref="P328">_xll.FDSB($C328,"CS_EVENT_DESC_N("&amp;$AA$18&amp;",2)")</f>
        <v>Q3 2026 Earnings Release (Projected)</v>
      </c>
      <c r="Q328" s="282"/>
      <c r="R328" s="274" cm="1">
        <f t="array" ref="R328">_xll.FDSB($C328,"CS_EVENT_DATEJ_N("&amp;$AA$18&amp;",3)")</f>
        <v>46436</v>
      </c>
      <c r="S328" s="282" t="str" cm="1">
        <f t="array" ref="S328">_xll.FDSB($C328,"CS_EVENT_TIME_N("&amp;$AA$18&amp;",3)")</f>
        <v>Unspecified</v>
      </c>
      <c r="T328" s="282" t="str" cm="1">
        <f t="array" ref="T328">_xll.FDSB($C328,"CS_EVENT_DESC_N("&amp;$AA$18&amp;",3)")</f>
        <v>Q4 2026 Earnings Release (Projected)</v>
      </c>
      <c r="U328" s="282"/>
      <c r="V328" s="274" cm="1">
        <f t="array" ref="V328">_xll.FDSB($C328,"CS_EVENT_DATEJ_N("&amp;$AA$18&amp;",4)")</f>
        <v>46519</v>
      </c>
      <c r="W328" s="282" t="str" cm="1">
        <f t="array" ref="W328">_xll.FDSB($C328,"CS_EVENT_TIME_N("&amp;$AA$18&amp;",4)")</f>
        <v>Unspecified</v>
      </c>
      <c r="X328" s="282" t="str" cm="1">
        <f t="array" ref="X328">_xll.FDSB($C328,"CS_EVENT_DESC_N("&amp;$AA$18&amp;",4)")</f>
        <v>Q1 2027 Earnings Release (Projected)</v>
      </c>
    </row>
    <row r="329" spans="2:24" x14ac:dyDescent="0.15">
      <c r="B329" s="298">
        <f t="shared" si="6"/>
        <v>314</v>
      </c>
      <c r="C329" s="299" t="str">
        <v>WBD</v>
      </c>
      <c r="D329" s="300" t="str" cm="1">
        <f t="array" ref="D329">_xll.FDSB($C329,"FG_COMPANY_NAME")</f>
        <v>Warner Bros. Discovery, Inc. Series A</v>
      </c>
      <c r="E329" s="300"/>
      <c r="F329" s="274" cm="1">
        <f t="array" ref="F329">_xll.FDSB($C329,"CS_EVENT_DATEJ_N("&amp;$AA$18&amp;",1)")</f>
        <v>46233</v>
      </c>
      <c r="G329" s="282" t="str" cm="1">
        <f t="array" ref="G329">_xll.FDSB($C329,"CS_EVENT_TIME_N("&amp;$AA$18&amp;",1)")</f>
        <v>Unspecified</v>
      </c>
      <c r="H329" s="282" t="str" cm="1">
        <f t="array" ref="H329">_xll.FDSB($C329,"CS_EVENT_DESC_N("&amp;$AA$18&amp;",1)")</f>
        <v>Q2 2026 Earnings Release (Projected)</v>
      </c>
      <c r="I329" s="282"/>
      <c r="J329" s="274" t="str" cm="1">
        <f t="array" ref="J329">_xll.FDSB($C329,"CS_EVENT_DATEJ_N("&amp;$AB$18&amp;",1)")</f>
        <v/>
      </c>
      <c r="K329" s="282" t="str" cm="1">
        <f t="array" ref="K329">_xll.FDSB($C329,"CS_EVENT_TIME_N("&amp;$AB$18&amp;",1)")</f>
        <v/>
      </c>
      <c r="L329" s="282" t="str" cm="1">
        <f t="array" ref="L329">_xll.FDSB($C329,"CS_EVENT_DESC_N("&amp;$AB$18&amp;",1)")</f>
        <v/>
      </c>
      <c r="M329" s="300"/>
      <c r="N329" s="274" cm="1">
        <f t="array" ref="N329">_xll.FDSB($C329,"CS_EVENT_DATEJ_N("&amp;$AA$18&amp;",2)")</f>
        <v>46437</v>
      </c>
      <c r="O329" s="282" t="str" cm="1">
        <f t="array" ref="O329">_xll.FDSB($C329,"CS_EVENT_TIME_N("&amp;$AA$18&amp;",2)")</f>
        <v>Unspecified</v>
      </c>
      <c r="P329" s="282" t="str" cm="1">
        <f t="array" ref="P329">_xll.FDSB($C329,"CS_EVENT_DESC_N("&amp;$AA$18&amp;",2)")</f>
        <v>Q4 2026 Earnings Release (Projected)</v>
      </c>
      <c r="Q329" s="282"/>
      <c r="R329" s="274" t="str" cm="1">
        <f t="array" ref="R329">_xll.FDSB($C329,"CS_EVENT_DATEJ_N("&amp;$AA$18&amp;",3)")</f>
        <v/>
      </c>
      <c r="S329" s="282" t="str" cm="1">
        <f t="array" ref="S329">_xll.FDSB($C329,"CS_EVENT_TIME_N("&amp;$AA$18&amp;",3)")</f>
        <v/>
      </c>
      <c r="T329" s="282" t="str" cm="1">
        <f t="array" ref="T329">_xll.FDSB($C329,"CS_EVENT_DESC_N("&amp;$AA$18&amp;",3)")</f>
        <v/>
      </c>
      <c r="U329" s="282"/>
      <c r="V329" s="274" t="str" cm="1">
        <f t="array" ref="V329">_xll.FDSB($C329,"CS_EVENT_DATEJ_N("&amp;$AA$18&amp;",4)")</f>
        <v/>
      </c>
      <c r="W329" s="282" t="str" cm="1">
        <f t="array" ref="W329">_xll.FDSB($C329,"CS_EVENT_TIME_N("&amp;$AA$18&amp;",4)")</f>
        <v/>
      </c>
      <c r="X329" s="282" t="str" cm="1">
        <f t="array" ref="X329">_xll.FDSB($C329,"CS_EVENT_DESC_N("&amp;$AA$18&amp;",4)")</f>
        <v/>
      </c>
    </row>
    <row r="330" spans="2:24" x14ac:dyDescent="0.15">
      <c r="B330" s="298">
        <f t="shared" si="6"/>
        <v>315</v>
      </c>
      <c r="C330" s="299" t="str">
        <v>CL</v>
      </c>
      <c r="D330" s="300" t="str" cm="1">
        <f t="array" ref="D330">_xll.FDSB($C330,"FG_COMPANY_NAME")</f>
        <v>Colgate-Palmolive Company</v>
      </c>
      <c r="E330" s="300"/>
      <c r="F330" s="274" cm="1">
        <f t="array" ref="F330">_xll.FDSB($C330,"CS_EVENT_DATEJ_N("&amp;$AA$18&amp;",1)")</f>
        <v>46234</v>
      </c>
      <c r="G330" s="282" t="str" cm="1">
        <f t="array" ref="G330">_xll.FDSB($C330,"CS_EVENT_TIME_N("&amp;$AA$18&amp;",1)")</f>
        <v>6:55 AM</v>
      </c>
      <c r="H330" s="282" t="str" cm="1">
        <f t="array" ref="H330">_xll.FDSB($C330,"CS_EVENT_DESC_N("&amp;$AA$18&amp;",1)")</f>
        <v>Q2 2026 Earnings Release</v>
      </c>
      <c r="I330" s="282"/>
      <c r="J330" s="274" t="str" cm="1">
        <f t="array" ref="J330">_xll.FDSB($C330,"CS_EVENT_DATEJ_N("&amp;$AB$18&amp;",1)")</f>
        <v/>
      </c>
      <c r="K330" s="282" t="str" cm="1">
        <f t="array" ref="K330">_xll.FDSB($C330,"CS_EVENT_TIME_N("&amp;$AB$18&amp;",1)")</f>
        <v/>
      </c>
      <c r="L330" s="282" t="str" cm="1">
        <f t="array" ref="L330">_xll.FDSB($C330,"CS_EVENT_DESC_N("&amp;$AB$18&amp;",1)")</f>
        <v/>
      </c>
      <c r="M330" s="300"/>
      <c r="N330" s="274" cm="1">
        <f t="array" ref="N330">_xll.FDSB($C330,"CS_EVENT_DATEJ_N("&amp;$AA$18&amp;",2)")</f>
        <v>46318</v>
      </c>
      <c r="O330" s="282" t="str" cm="1">
        <f t="array" ref="O330">_xll.FDSB($C330,"CS_EVENT_TIME_N("&amp;$AA$18&amp;",2)")</f>
        <v>Unspecified</v>
      </c>
      <c r="P330" s="282" t="str" cm="1">
        <f t="array" ref="P330">_xll.FDSB($C330,"CS_EVENT_DESC_N("&amp;$AA$18&amp;",2)")</f>
        <v>Q3 2026 Earnings Release (Projected)</v>
      </c>
      <c r="Q330" s="282"/>
      <c r="R330" s="274" cm="1">
        <f t="array" ref="R330">_xll.FDSB($C330,"CS_EVENT_DATEJ_N("&amp;$AA$18&amp;",3)")</f>
        <v>46409</v>
      </c>
      <c r="S330" s="282" t="str" cm="1">
        <f t="array" ref="S330">_xll.FDSB($C330,"CS_EVENT_TIME_N("&amp;$AA$18&amp;",3)")</f>
        <v>Unspecified</v>
      </c>
      <c r="T330" s="282" t="str" cm="1">
        <f t="array" ref="T330">_xll.FDSB($C330,"CS_EVENT_DESC_N("&amp;$AA$18&amp;",3)")</f>
        <v>Q4 2026 Earnings Release (Projected)</v>
      </c>
      <c r="U330" s="282"/>
      <c r="V330" s="274" cm="1">
        <f t="array" ref="V330">_xll.FDSB($C330,"CS_EVENT_DATEJ_N("&amp;$AA$18&amp;",4)")</f>
        <v>46500</v>
      </c>
      <c r="W330" s="282" t="str" cm="1">
        <f t="array" ref="W330">_xll.FDSB($C330,"CS_EVENT_TIME_N("&amp;$AA$18&amp;",4)")</f>
        <v>Unspecified</v>
      </c>
      <c r="X330" s="282" t="str" cm="1">
        <f t="array" ref="X330">_xll.FDSB($C330,"CS_EVENT_DESC_N("&amp;$AA$18&amp;",4)")</f>
        <v>Q1 2027 Earnings Release (Projected)</v>
      </c>
    </row>
    <row r="331" spans="2:24" x14ac:dyDescent="0.15">
      <c r="B331" s="298">
        <f t="shared" si="6"/>
        <v>316</v>
      </c>
      <c r="C331" s="299" t="str">
        <v>D</v>
      </c>
      <c r="D331" s="300" t="str" cm="1">
        <f t="array" ref="D331">_xll.FDSB($C331,"FG_COMPANY_NAME")</f>
        <v>Dominion Energy Inc</v>
      </c>
      <c r="E331" s="300"/>
      <c r="F331" s="274" cm="1">
        <f t="array" ref="F331">_xll.FDSB($C331,"CS_EVENT_DATEJ_N("&amp;$AA$18&amp;",1)")</f>
        <v>46234</v>
      </c>
      <c r="G331" s="282" t="str" cm="1">
        <f t="array" ref="G331">_xll.FDSB($C331,"CS_EVENT_TIME_N("&amp;$AA$18&amp;",1)")</f>
        <v>Unspecified</v>
      </c>
      <c r="H331" s="282" t="str" cm="1">
        <f t="array" ref="H331">_xll.FDSB($C331,"CS_EVENT_DESC_N("&amp;$AA$18&amp;",1)")</f>
        <v>Q2 2026 Earnings Release (Projected)</v>
      </c>
      <c r="I331" s="282"/>
      <c r="J331" s="274" t="str" cm="1">
        <f t="array" ref="J331">_xll.FDSB($C331,"CS_EVENT_DATEJ_N("&amp;$AB$18&amp;",1)")</f>
        <v/>
      </c>
      <c r="K331" s="282" t="str" cm="1">
        <f t="array" ref="K331">_xll.FDSB($C331,"CS_EVENT_TIME_N("&amp;$AB$18&amp;",1)")</f>
        <v/>
      </c>
      <c r="L331" s="282" t="str" cm="1">
        <f t="array" ref="L331">_xll.FDSB($C331,"CS_EVENT_DESC_N("&amp;$AB$18&amp;",1)")</f>
        <v/>
      </c>
      <c r="M331" s="300"/>
      <c r="N331" s="274" cm="1">
        <f t="array" ref="N331">_xll.FDSB($C331,"CS_EVENT_DATEJ_N("&amp;$AA$18&amp;",2)")</f>
        <v>46325</v>
      </c>
      <c r="O331" s="282" t="str" cm="1">
        <f t="array" ref="O331">_xll.FDSB($C331,"CS_EVENT_TIME_N("&amp;$AA$18&amp;",2)")</f>
        <v>Unspecified</v>
      </c>
      <c r="P331" s="282" t="str" cm="1">
        <f t="array" ref="P331">_xll.FDSB($C331,"CS_EVENT_DESC_N("&amp;$AA$18&amp;",2)")</f>
        <v>Q3 2026 Earnings Release (Projected)</v>
      </c>
      <c r="Q331" s="282"/>
      <c r="R331" s="274" cm="1">
        <f t="array" ref="R331">_xll.FDSB($C331,"CS_EVENT_DATEJ_N("&amp;$AA$18&amp;",3)")</f>
        <v>46423</v>
      </c>
      <c r="S331" s="282" t="str" cm="1">
        <f t="array" ref="S331">_xll.FDSB($C331,"CS_EVENT_TIME_N("&amp;$AA$18&amp;",3)")</f>
        <v>Unspecified</v>
      </c>
      <c r="T331" s="282" t="str" cm="1">
        <f t="array" ref="T331">_xll.FDSB($C331,"CS_EVENT_DESC_N("&amp;$AA$18&amp;",3)")</f>
        <v>Q4 2026 Earnings Release (Projected)</v>
      </c>
      <c r="U331" s="282"/>
      <c r="V331" s="274" cm="1">
        <f t="array" ref="V331">_xll.FDSB($C331,"CS_EVENT_DATEJ_N("&amp;$AA$18&amp;",4)")</f>
        <v>46513</v>
      </c>
      <c r="W331" s="282" t="str" cm="1">
        <f t="array" ref="W331">_xll.FDSB($C331,"CS_EVENT_TIME_N("&amp;$AA$18&amp;",4)")</f>
        <v>Unspecified</v>
      </c>
      <c r="X331" s="282" t="str" cm="1">
        <f t="array" ref="X331">_xll.FDSB($C331,"CS_EVENT_DESC_N("&amp;$AA$18&amp;",4)")</f>
        <v>Q1 2027 Earnings Release (Projected)</v>
      </c>
    </row>
    <row r="332" spans="2:24" x14ac:dyDescent="0.15">
      <c r="B332" s="298">
        <f t="shared" si="6"/>
        <v>317</v>
      </c>
      <c r="C332" s="299" t="str">
        <v>CBOE</v>
      </c>
      <c r="D332" s="300" t="str" cm="1">
        <f t="array" ref="D332">_xll.FDSB($C332,"FG_COMPANY_NAME")</f>
        <v>Cboe Global Markets Inc</v>
      </c>
      <c r="E332" s="300"/>
      <c r="F332" s="274" cm="1">
        <f t="array" ref="F332">_xll.FDSB($C332,"CS_EVENT_DATEJ_N("&amp;$AA$18&amp;",1)")</f>
        <v>46234</v>
      </c>
      <c r="G332" s="282" t="str" cm="1">
        <f t="array" ref="G332">_xll.FDSB($C332,"CS_EVENT_TIME_N("&amp;$AA$18&amp;",1)")</f>
        <v>Unspecified</v>
      </c>
      <c r="H332" s="282" t="str" cm="1">
        <f t="array" ref="H332">_xll.FDSB($C332,"CS_EVENT_DESC_N("&amp;$AA$18&amp;",1)")</f>
        <v>Q2 2026 Earnings Release (Projected)</v>
      </c>
      <c r="I332" s="282"/>
      <c r="J332" s="274" t="str" cm="1">
        <f t="array" ref="J332">_xll.FDSB($C332,"CS_EVENT_DATEJ_N("&amp;$AB$18&amp;",1)")</f>
        <v/>
      </c>
      <c r="K332" s="282" t="str" cm="1">
        <f t="array" ref="K332">_xll.FDSB($C332,"CS_EVENT_TIME_N("&amp;$AB$18&amp;",1)")</f>
        <v/>
      </c>
      <c r="L332" s="282" t="str" cm="1">
        <f t="array" ref="L332">_xll.FDSB($C332,"CS_EVENT_DESC_N("&amp;$AB$18&amp;",1)")</f>
        <v/>
      </c>
      <c r="M332" s="300"/>
      <c r="N332" s="274" cm="1">
        <f t="array" ref="N332">_xll.FDSB($C332,"CS_EVENT_DATEJ_N("&amp;$AA$18&amp;",2)")</f>
        <v>46325</v>
      </c>
      <c r="O332" s="282" t="str" cm="1">
        <f t="array" ref="O332">_xll.FDSB($C332,"CS_EVENT_TIME_N("&amp;$AA$18&amp;",2)")</f>
        <v>Unspecified</v>
      </c>
      <c r="P332" s="282" t="str" cm="1">
        <f t="array" ref="P332">_xll.FDSB($C332,"CS_EVENT_DESC_N("&amp;$AA$18&amp;",2)")</f>
        <v>Q3 2026 Earnings Release (Projected)</v>
      </c>
      <c r="Q332" s="282"/>
      <c r="R332" s="274" cm="1">
        <f t="array" ref="R332">_xll.FDSB($C332,"CS_EVENT_DATEJ_N("&amp;$AA$18&amp;",3)")</f>
        <v>46416</v>
      </c>
      <c r="S332" s="282" t="str" cm="1">
        <f t="array" ref="S332">_xll.FDSB($C332,"CS_EVENT_TIME_N("&amp;$AA$18&amp;",3)")</f>
        <v>Unspecified</v>
      </c>
      <c r="T332" s="282" t="str" cm="1">
        <f t="array" ref="T332">_xll.FDSB($C332,"CS_EVENT_DESC_N("&amp;$AA$18&amp;",3)")</f>
        <v>Q4 2026 Earnings Release (Projected)</v>
      </c>
      <c r="U332" s="282"/>
      <c r="V332" s="274" cm="1">
        <f t="array" ref="V332">_xll.FDSB($C332,"CS_EVENT_DATEJ_N("&amp;$AA$18&amp;",4)")</f>
        <v>46507</v>
      </c>
      <c r="W332" s="282" t="str" cm="1">
        <f t="array" ref="W332">_xll.FDSB($C332,"CS_EVENT_TIME_N("&amp;$AA$18&amp;",4)")</f>
        <v>Unspecified</v>
      </c>
      <c r="X332" s="282" t="str" cm="1">
        <f t="array" ref="X332">_xll.FDSB($C332,"CS_EVENT_DESC_N("&amp;$AA$18&amp;",4)")</f>
        <v>Q1 2027 Earnings Release (Projected)</v>
      </c>
    </row>
    <row r="333" spans="2:24" x14ac:dyDescent="0.15">
      <c r="B333" s="298">
        <f t="shared" si="6"/>
        <v>318</v>
      </c>
      <c r="C333" s="299" t="str">
        <v>LYB</v>
      </c>
      <c r="D333" s="300" t="str" cm="1">
        <f t="array" ref="D333">_xll.FDSB($C333,"FG_COMPANY_NAME")</f>
        <v>LyondellBasell Industries NV</v>
      </c>
      <c r="E333" s="300"/>
      <c r="F333" s="274" cm="1">
        <f t="array" ref="F333">_xll.FDSB($C333,"CS_EVENT_DATEJ_N("&amp;$AA$18&amp;",1)")</f>
        <v>46234</v>
      </c>
      <c r="G333" s="282" t="str" cm="1">
        <f t="array" ref="G333">_xll.FDSB($C333,"CS_EVENT_TIME_N("&amp;$AA$18&amp;",1)")</f>
        <v>Unspecified</v>
      </c>
      <c r="H333" s="282" t="str" cm="1">
        <f t="array" ref="H333">_xll.FDSB($C333,"CS_EVENT_DESC_N("&amp;$AA$18&amp;",1)")</f>
        <v>Q2 2026 Earnings Release (Projected)</v>
      </c>
      <c r="I333" s="282"/>
      <c r="J333" s="274" t="str" cm="1">
        <f t="array" ref="J333">_xll.FDSB($C333,"CS_EVENT_DATEJ_N("&amp;$AB$18&amp;",1)")</f>
        <v/>
      </c>
      <c r="K333" s="282" t="str" cm="1">
        <f t="array" ref="K333">_xll.FDSB($C333,"CS_EVENT_TIME_N("&amp;$AB$18&amp;",1)")</f>
        <v/>
      </c>
      <c r="L333" s="282" t="str" cm="1">
        <f t="array" ref="L333">_xll.FDSB($C333,"CS_EVENT_DESC_N("&amp;$AB$18&amp;",1)")</f>
        <v/>
      </c>
      <c r="M333" s="300"/>
      <c r="N333" s="274" cm="1">
        <f t="array" ref="N333">_xll.FDSB($C333,"CS_EVENT_DATEJ_N("&amp;$AA$18&amp;",2)")</f>
        <v>46318</v>
      </c>
      <c r="O333" s="282" t="str" cm="1">
        <f t="array" ref="O333">_xll.FDSB($C333,"CS_EVENT_TIME_N("&amp;$AA$18&amp;",2)")</f>
        <v>Unspecified</v>
      </c>
      <c r="P333" s="282" t="str" cm="1">
        <f t="array" ref="P333">_xll.FDSB($C333,"CS_EVENT_DESC_N("&amp;$AA$18&amp;",2)")</f>
        <v>Q3 2026 Earnings Release (Projected)</v>
      </c>
      <c r="Q333" s="282"/>
      <c r="R333" s="274" cm="1">
        <f t="array" ref="R333">_xll.FDSB($C333,"CS_EVENT_DATEJ_N("&amp;$AA$18&amp;",3)")</f>
        <v>46416</v>
      </c>
      <c r="S333" s="282" t="str" cm="1">
        <f t="array" ref="S333">_xll.FDSB($C333,"CS_EVENT_TIME_N("&amp;$AA$18&amp;",3)")</f>
        <v>Unspecified</v>
      </c>
      <c r="T333" s="282" t="str" cm="1">
        <f t="array" ref="T333">_xll.FDSB($C333,"CS_EVENT_DESC_N("&amp;$AA$18&amp;",3)")</f>
        <v>Q4 2026 Earnings Release (Projected)</v>
      </c>
      <c r="U333" s="282"/>
      <c r="V333" s="274" cm="1">
        <f t="array" ref="V333">_xll.FDSB($C333,"CS_EVENT_DATEJ_N("&amp;$AA$18&amp;",4)")</f>
        <v>46500</v>
      </c>
      <c r="W333" s="282" t="str" cm="1">
        <f t="array" ref="W333">_xll.FDSB($C333,"CS_EVENT_TIME_N("&amp;$AA$18&amp;",4)")</f>
        <v>Unspecified</v>
      </c>
      <c r="X333" s="282" t="str" cm="1">
        <f t="array" ref="X333">_xll.FDSB($C333,"CS_EVENT_DESC_N("&amp;$AA$18&amp;",4)")</f>
        <v>Q1 2027 Earnings Release (Projected)</v>
      </c>
    </row>
    <row r="334" spans="2:24" x14ac:dyDescent="0.15">
      <c r="B334" s="298">
        <f t="shared" si="6"/>
        <v>319</v>
      </c>
      <c r="C334" s="299" t="str">
        <v>ARES</v>
      </c>
      <c r="D334" s="300" t="str" cm="1">
        <f t="array" ref="D334">_xll.FDSB($C334,"FG_COMPANY_NAME")</f>
        <v>Ares Management Corporation</v>
      </c>
      <c r="E334" s="300"/>
      <c r="F334" s="274" cm="1">
        <f t="array" ref="F334">_xll.FDSB($C334,"CS_EVENT_DATEJ_N("&amp;$AA$18&amp;",1)")</f>
        <v>46234</v>
      </c>
      <c r="G334" s="282" t="str" cm="1">
        <f t="array" ref="G334">_xll.FDSB($C334,"CS_EVENT_TIME_N("&amp;$AA$18&amp;",1)")</f>
        <v>Unspecified</v>
      </c>
      <c r="H334" s="282" t="str" cm="1">
        <f t="array" ref="H334">_xll.FDSB($C334,"CS_EVENT_DESC_N("&amp;$AA$18&amp;",1)")</f>
        <v>Q2 2026 Earnings Release (Projected)</v>
      </c>
      <c r="I334" s="282"/>
      <c r="J334" s="274" t="str" cm="1">
        <f t="array" ref="J334">_xll.FDSB($C334,"CS_EVENT_DATEJ_N("&amp;$AB$18&amp;",1)")</f>
        <v/>
      </c>
      <c r="K334" s="282" t="str" cm="1">
        <f t="array" ref="K334">_xll.FDSB($C334,"CS_EVENT_TIME_N("&amp;$AB$18&amp;",1)")</f>
        <v/>
      </c>
      <c r="L334" s="282" t="str" cm="1">
        <f t="array" ref="L334">_xll.FDSB($C334,"CS_EVENT_DESC_N("&amp;$AB$18&amp;",1)")</f>
        <v/>
      </c>
      <c r="M334" s="300"/>
      <c r="N334" s="274" cm="1">
        <f t="array" ref="N334">_xll.FDSB($C334,"CS_EVENT_DATEJ_N("&amp;$AA$18&amp;",2)")</f>
        <v>46317</v>
      </c>
      <c r="O334" s="282" t="str" cm="1">
        <f t="array" ref="O334">_xll.FDSB($C334,"CS_EVENT_TIME_N("&amp;$AA$18&amp;",2)")</f>
        <v>Unspecified</v>
      </c>
      <c r="P334" s="282" t="str" cm="1">
        <f t="array" ref="P334">_xll.FDSB($C334,"CS_EVENT_DESC_N("&amp;$AA$18&amp;",2)")</f>
        <v>Q3 2026 Earnings Release (Projected)</v>
      </c>
      <c r="Q334" s="282"/>
      <c r="R334" s="274" cm="1">
        <f t="array" ref="R334">_xll.FDSB($C334,"CS_EVENT_DATEJ_N("&amp;$AA$18&amp;",3)")</f>
        <v>46500</v>
      </c>
      <c r="S334" s="282" t="str" cm="1">
        <f t="array" ref="S334">_xll.FDSB($C334,"CS_EVENT_TIME_N("&amp;$AA$18&amp;",3)")</f>
        <v>Unspecified</v>
      </c>
      <c r="T334" s="282" t="str" cm="1">
        <f t="array" ref="T334">_xll.FDSB($C334,"CS_EVENT_DESC_N("&amp;$AA$18&amp;",3)")</f>
        <v>Q1 2027 Earnings Release (Projected)</v>
      </c>
      <c r="U334" s="282"/>
      <c r="V334" s="274" t="str" cm="1">
        <f t="array" ref="V334">_xll.FDSB($C334,"CS_EVENT_DATEJ_N("&amp;$AA$18&amp;",4)")</f>
        <v/>
      </c>
      <c r="W334" s="282" t="str" cm="1">
        <f t="array" ref="W334">_xll.FDSB($C334,"CS_EVENT_TIME_N("&amp;$AA$18&amp;",4)")</f>
        <v/>
      </c>
      <c r="X334" s="282" t="str" cm="1">
        <f t="array" ref="X334">_xll.FDSB($C334,"CS_EVENT_DESC_N("&amp;$AA$18&amp;",4)")</f>
        <v/>
      </c>
    </row>
    <row r="335" spans="2:24" x14ac:dyDescent="0.15">
      <c r="B335" s="298">
        <f t="shared" si="6"/>
        <v>320</v>
      </c>
      <c r="C335" s="299" t="str">
        <v>SBAC</v>
      </c>
      <c r="D335" s="300" t="str" cm="1">
        <f t="array" ref="D335">_xll.FDSB($C335,"FG_COMPANY_NAME")</f>
        <v>SBA Communications Corp. Class A</v>
      </c>
      <c r="E335" s="300"/>
      <c r="F335" s="274" cm="1">
        <f t="array" ref="F335">_xll.FDSB($C335,"CS_EVENT_DATEJ_N("&amp;$AA$18&amp;",1)")</f>
        <v>46237</v>
      </c>
      <c r="G335" s="282" t="str" cm="1">
        <f t="array" ref="G335">_xll.FDSB($C335,"CS_EVENT_TIME_N("&amp;$AA$18&amp;",1)")</f>
        <v>Unspecified</v>
      </c>
      <c r="H335" s="282" t="str" cm="1">
        <f t="array" ref="H335">_xll.FDSB($C335,"CS_EVENT_DESC_N("&amp;$AA$18&amp;",1)")</f>
        <v>Q2 2026 Earnings Release (Projected)</v>
      </c>
      <c r="I335" s="282"/>
      <c r="J335" s="274" t="str" cm="1">
        <f t="array" ref="J335">_xll.FDSB($C335,"CS_EVENT_DATEJ_N("&amp;$AB$18&amp;",1)")</f>
        <v/>
      </c>
      <c r="K335" s="282" t="str" cm="1">
        <f t="array" ref="K335">_xll.FDSB($C335,"CS_EVENT_TIME_N("&amp;$AB$18&amp;",1)")</f>
        <v/>
      </c>
      <c r="L335" s="282" t="str" cm="1">
        <f t="array" ref="L335">_xll.FDSB($C335,"CS_EVENT_DESC_N("&amp;$AB$18&amp;",1)")</f>
        <v/>
      </c>
      <c r="M335" s="300"/>
      <c r="N335" s="274" cm="1">
        <f t="array" ref="N335">_xll.FDSB($C335,"CS_EVENT_DATEJ_N("&amp;$AA$18&amp;",2)")</f>
        <v>46328</v>
      </c>
      <c r="O335" s="282" t="str" cm="1">
        <f t="array" ref="O335">_xll.FDSB($C335,"CS_EVENT_TIME_N("&amp;$AA$18&amp;",2)")</f>
        <v>Unspecified</v>
      </c>
      <c r="P335" s="282" t="str" cm="1">
        <f t="array" ref="P335">_xll.FDSB($C335,"CS_EVENT_DESC_N("&amp;$AA$18&amp;",2)")</f>
        <v>Q3 2026 Earnings Release (Projected)</v>
      </c>
      <c r="Q335" s="282"/>
      <c r="R335" s="274" cm="1">
        <f t="array" ref="R335">_xll.FDSB($C335,"CS_EVENT_DATEJ_N("&amp;$AA$18&amp;",3)")</f>
        <v>46447</v>
      </c>
      <c r="S335" s="282" t="str" cm="1">
        <f t="array" ref="S335">_xll.FDSB($C335,"CS_EVENT_TIME_N("&amp;$AA$18&amp;",3)")</f>
        <v>Unspecified</v>
      </c>
      <c r="T335" s="282" t="str" cm="1">
        <f t="array" ref="T335">_xll.FDSB($C335,"CS_EVENT_DESC_N("&amp;$AA$18&amp;",3)")</f>
        <v>Q4 2026 Earnings Release (Projected)</v>
      </c>
      <c r="U335" s="282"/>
      <c r="V335" s="274" cm="1">
        <f t="array" ref="V335">_xll.FDSB($C335,"CS_EVENT_DATEJ_N("&amp;$AA$18&amp;",4)")</f>
        <v>46510</v>
      </c>
      <c r="W335" s="282" t="str" cm="1">
        <f t="array" ref="W335">_xll.FDSB($C335,"CS_EVENT_TIME_N("&amp;$AA$18&amp;",4)")</f>
        <v>Unspecified</v>
      </c>
      <c r="X335" s="282" t="str" cm="1">
        <f t="array" ref="X335">_xll.FDSB($C335,"CS_EVENT_DESC_N("&amp;$AA$18&amp;",4)")</f>
        <v>Q1 2027 Earnings Release (Projected)</v>
      </c>
    </row>
    <row r="336" spans="2:24" x14ac:dyDescent="0.15">
      <c r="B336" s="298">
        <f t="shared" si="6"/>
        <v>321</v>
      </c>
      <c r="C336" s="299" t="str">
        <v>WELL</v>
      </c>
      <c r="D336" s="300" t="str" cm="1">
        <f t="array" ref="D336">_xll.FDSB($C336,"FG_COMPANY_NAME")</f>
        <v>Welltower Inc.</v>
      </c>
      <c r="E336" s="300"/>
      <c r="F336" s="274" cm="1">
        <f t="array" ref="F336">_xll.FDSB($C336,"CS_EVENT_DATEJ_N("&amp;$AA$18&amp;",1)")</f>
        <v>46237</v>
      </c>
      <c r="G336" s="282" t="str" cm="1">
        <f t="array" ref="G336">_xll.FDSB($C336,"CS_EVENT_TIME_N("&amp;$AA$18&amp;",1)")</f>
        <v>Unspecified</v>
      </c>
      <c r="H336" s="282" t="str" cm="1">
        <f t="array" ref="H336">_xll.FDSB($C336,"CS_EVENT_DESC_N("&amp;$AA$18&amp;",1)")</f>
        <v>Q2 2026 Earnings Release (Projected)</v>
      </c>
      <c r="I336" s="282"/>
      <c r="J336" s="274" t="str" cm="1">
        <f t="array" ref="J336">_xll.FDSB($C336,"CS_EVENT_DATEJ_N("&amp;$AB$18&amp;",1)")</f>
        <v/>
      </c>
      <c r="K336" s="282" t="str" cm="1">
        <f t="array" ref="K336">_xll.FDSB($C336,"CS_EVENT_TIME_N("&amp;$AB$18&amp;",1)")</f>
        <v/>
      </c>
      <c r="L336" s="282" t="str" cm="1">
        <f t="array" ref="L336">_xll.FDSB($C336,"CS_EVENT_DESC_N("&amp;$AB$18&amp;",1)")</f>
        <v/>
      </c>
      <c r="M336" s="300"/>
      <c r="N336" s="274" cm="1">
        <f t="array" ref="N336">_xll.FDSB($C336,"CS_EVENT_DATEJ_N("&amp;$AA$18&amp;",2)")</f>
        <v>46328</v>
      </c>
      <c r="O336" s="282" t="str" cm="1">
        <f t="array" ref="O336">_xll.FDSB($C336,"CS_EVENT_TIME_N("&amp;$AA$18&amp;",2)")</f>
        <v>Unspecified</v>
      </c>
      <c r="P336" s="282" t="str" cm="1">
        <f t="array" ref="P336">_xll.FDSB($C336,"CS_EVENT_DESC_N("&amp;$AA$18&amp;",2)")</f>
        <v>Q3 2026 Earnings Release (Projected)</v>
      </c>
      <c r="Q336" s="282"/>
      <c r="R336" s="274" cm="1">
        <f t="array" ref="R336">_xll.FDSB($C336,"CS_EVENT_DATEJ_N("&amp;$AA$18&amp;",3)")</f>
        <v>46434</v>
      </c>
      <c r="S336" s="282" t="str" cm="1">
        <f t="array" ref="S336">_xll.FDSB($C336,"CS_EVENT_TIME_N("&amp;$AA$18&amp;",3)")</f>
        <v>Unspecified</v>
      </c>
      <c r="T336" s="282" t="str" cm="1">
        <f t="array" ref="T336">_xll.FDSB($C336,"CS_EVENT_DESC_N("&amp;$AA$18&amp;",3)")</f>
        <v>Q4 2026 Earnings Release (Projected)</v>
      </c>
      <c r="U336" s="282"/>
      <c r="V336" s="274" cm="1">
        <f t="array" ref="V336">_xll.FDSB($C336,"CS_EVENT_DATEJ_N("&amp;$AA$18&amp;",4)")</f>
        <v>46510</v>
      </c>
      <c r="W336" s="282" t="str" cm="1">
        <f t="array" ref="W336">_xll.FDSB($C336,"CS_EVENT_TIME_N("&amp;$AA$18&amp;",4)")</f>
        <v>Unspecified</v>
      </c>
      <c r="X336" s="282" t="str" cm="1">
        <f t="array" ref="X336">_xll.FDSB($C336,"CS_EVENT_DESC_N("&amp;$AA$18&amp;",4)")</f>
        <v>Q1 2027 Earnings Release (Projected)</v>
      </c>
    </row>
    <row r="337" spans="2:24" x14ac:dyDescent="0.15">
      <c r="B337" s="298">
        <f t="shared" si="6"/>
        <v>322</v>
      </c>
      <c r="C337" s="299" t="str">
        <v>L</v>
      </c>
      <c r="D337" s="300" t="str" cm="1">
        <f t="array" ref="D337">_xll.FDSB($C337,"FG_COMPANY_NAME")</f>
        <v>Loews Corporation</v>
      </c>
      <c r="E337" s="300"/>
      <c r="F337" s="274" cm="1">
        <f t="array" ref="F337">_xll.FDSB($C337,"CS_EVENT_DATEJ_N("&amp;$AA$18&amp;",1)")</f>
        <v>46237</v>
      </c>
      <c r="G337" s="282" t="str" cm="1">
        <f t="array" ref="G337">_xll.FDSB($C337,"CS_EVENT_TIME_N("&amp;$AA$18&amp;",1)")</f>
        <v>Unspecified</v>
      </c>
      <c r="H337" s="282" t="str" cm="1">
        <f t="array" ref="H337">_xll.FDSB($C337,"CS_EVENT_DESC_N("&amp;$AA$18&amp;",1)")</f>
        <v>Q2 2026 Earnings Release (Projected)</v>
      </c>
      <c r="I337" s="282"/>
      <c r="J337" s="274" t="str" cm="1">
        <f t="array" ref="J337">_xll.FDSB($C337,"CS_EVENT_DATEJ_N("&amp;$AB$18&amp;",1)")</f>
        <v/>
      </c>
      <c r="K337" s="282" t="str" cm="1">
        <f t="array" ref="K337">_xll.FDSB($C337,"CS_EVENT_TIME_N("&amp;$AB$18&amp;",1)")</f>
        <v/>
      </c>
      <c r="L337" s="282" t="str" cm="1">
        <f t="array" ref="L337">_xll.FDSB($C337,"CS_EVENT_DESC_N("&amp;$AB$18&amp;",1)")</f>
        <v/>
      </c>
      <c r="M337" s="300"/>
      <c r="N337" s="274" cm="1">
        <f t="array" ref="N337">_xll.FDSB($C337,"CS_EVENT_DATEJ_N("&amp;$AA$18&amp;",2)")</f>
        <v>46328</v>
      </c>
      <c r="O337" s="282" t="str" cm="1">
        <f t="array" ref="O337">_xll.FDSB($C337,"CS_EVENT_TIME_N("&amp;$AA$18&amp;",2)")</f>
        <v>Unspecified</v>
      </c>
      <c r="P337" s="282" t="str" cm="1">
        <f t="array" ref="P337">_xll.FDSB($C337,"CS_EVENT_DESC_N("&amp;$AA$18&amp;",2)")</f>
        <v>Q3 2026 Earnings Release (Projected)</v>
      </c>
      <c r="Q337" s="282"/>
      <c r="R337" s="274" cm="1">
        <f t="array" ref="R337">_xll.FDSB($C337,"CS_EVENT_DATEJ_N("&amp;$AA$18&amp;",3)")</f>
        <v>46426</v>
      </c>
      <c r="S337" s="282" t="str" cm="1">
        <f t="array" ref="S337">_xll.FDSB($C337,"CS_EVENT_TIME_N("&amp;$AA$18&amp;",3)")</f>
        <v>Unspecified</v>
      </c>
      <c r="T337" s="282" t="str" cm="1">
        <f t="array" ref="T337">_xll.FDSB($C337,"CS_EVENT_DESC_N("&amp;$AA$18&amp;",3)")</f>
        <v>Q4 2026 Earnings Release (Projected)</v>
      </c>
      <c r="U337" s="282"/>
      <c r="V337" s="274" t="str" cm="1">
        <f t="array" ref="V337">_xll.FDSB($C337,"CS_EVENT_DATEJ_N("&amp;$AA$18&amp;",4)")</f>
        <v/>
      </c>
      <c r="W337" s="282" t="str" cm="1">
        <f t="array" ref="W337">_xll.FDSB($C337,"CS_EVENT_TIME_N("&amp;$AA$18&amp;",4)")</f>
        <v/>
      </c>
      <c r="X337" s="282" t="str" cm="1">
        <f t="array" ref="X337">_xll.FDSB($C337,"CS_EVENT_DESC_N("&amp;$AA$18&amp;",4)")</f>
        <v/>
      </c>
    </row>
    <row r="338" spans="2:24" x14ac:dyDescent="0.15">
      <c r="B338" s="298">
        <f t="shared" ref="B338:B401" si="7">B337+1</f>
        <v>323</v>
      </c>
      <c r="C338" s="299" t="str">
        <v>ON</v>
      </c>
      <c r="D338" s="300" t="str" cm="1">
        <f t="array" ref="D338">_xll.FDSB($C338,"FG_COMPANY_NAME")</f>
        <v>ON Semiconductor Corporation</v>
      </c>
      <c r="E338" s="300"/>
      <c r="F338" s="274" cm="1">
        <f t="array" ref="F338">_xll.FDSB($C338,"CS_EVENT_DATEJ_N("&amp;$AA$18&amp;",1)")</f>
        <v>46237</v>
      </c>
      <c r="G338" s="282" t="str" cm="1">
        <f t="array" ref="G338">_xll.FDSB($C338,"CS_EVENT_TIME_N("&amp;$AA$18&amp;",1)")</f>
        <v>Unspecified</v>
      </c>
      <c r="H338" s="282" t="str" cm="1">
        <f t="array" ref="H338">_xll.FDSB($C338,"CS_EVENT_DESC_N("&amp;$AA$18&amp;",1)")</f>
        <v>Q2 2026 Earnings Release (Projected)</v>
      </c>
      <c r="I338" s="282"/>
      <c r="J338" s="274" t="str" cm="1">
        <f t="array" ref="J338">_xll.FDSB($C338,"CS_EVENT_DATEJ_N("&amp;$AB$18&amp;",1)")</f>
        <v/>
      </c>
      <c r="K338" s="282" t="str" cm="1">
        <f t="array" ref="K338">_xll.FDSB($C338,"CS_EVENT_TIME_N("&amp;$AB$18&amp;",1)")</f>
        <v/>
      </c>
      <c r="L338" s="282" t="str" cm="1">
        <f t="array" ref="L338">_xll.FDSB($C338,"CS_EVENT_DESC_N("&amp;$AB$18&amp;",1)")</f>
        <v/>
      </c>
      <c r="M338" s="300"/>
      <c r="N338" s="274" cm="1">
        <f t="array" ref="N338">_xll.FDSB($C338,"CS_EVENT_DATEJ_N("&amp;$AA$18&amp;",2)")</f>
        <v>46426</v>
      </c>
      <c r="O338" s="282" t="str" cm="1">
        <f t="array" ref="O338">_xll.FDSB($C338,"CS_EVENT_TIME_N("&amp;$AA$18&amp;",2)")</f>
        <v>Unspecified</v>
      </c>
      <c r="P338" s="282" t="str" cm="1">
        <f t="array" ref="P338">_xll.FDSB($C338,"CS_EVENT_DESC_N("&amp;$AA$18&amp;",2)")</f>
        <v>Q4 2026 Earnings Release (Projected)</v>
      </c>
      <c r="Q338" s="282"/>
      <c r="R338" s="274" cm="1">
        <f t="array" ref="R338">_xll.FDSB($C338,"CS_EVENT_DATEJ_N("&amp;$AA$18&amp;",3)")</f>
        <v>46510</v>
      </c>
      <c r="S338" s="282" t="str" cm="1">
        <f t="array" ref="S338">_xll.FDSB($C338,"CS_EVENT_TIME_N("&amp;$AA$18&amp;",3)")</f>
        <v>Unspecified</v>
      </c>
      <c r="T338" s="282" t="str" cm="1">
        <f t="array" ref="T338">_xll.FDSB($C338,"CS_EVENT_DESC_N("&amp;$AA$18&amp;",3)")</f>
        <v>Q1 2027 Earnings Release (Projected)</v>
      </c>
      <c r="U338" s="282"/>
      <c r="V338" s="274" t="str" cm="1">
        <f t="array" ref="V338">_xll.FDSB($C338,"CS_EVENT_DATEJ_N("&amp;$AA$18&amp;",4)")</f>
        <v/>
      </c>
      <c r="W338" s="282" t="str" cm="1">
        <f t="array" ref="W338">_xll.FDSB($C338,"CS_EVENT_TIME_N("&amp;$AA$18&amp;",4)")</f>
        <v/>
      </c>
      <c r="X338" s="282" t="str" cm="1">
        <f t="array" ref="X338">_xll.FDSB($C338,"CS_EVENT_DESC_N("&amp;$AA$18&amp;",4)")</f>
        <v/>
      </c>
    </row>
    <row r="339" spans="2:24" x14ac:dyDescent="0.15">
      <c r="B339" s="298">
        <f t="shared" si="7"/>
        <v>324</v>
      </c>
      <c r="C339" s="299" t="str">
        <v>GPN</v>
      </c>
      <c r="D339" s="300" t="str" cm="1">
        <f t="array" ref="D339">_xll.FDSB($C339,"FG_COMPANY_NAME")</f>
        <v>Global Payments Inc.</v>
      </c>
      <c r="E339" s="300"/>
      <c r="F339" s="274" cm="1">
        <f t="array" ref="F339">_xll.FDSB($C339,"CS_EVENT_DATEJ_N("&amp;$AA$18&amp;",1)")</f>
        <v>46237</v>
      </c>
      <c r="G339" s="282" t="str" cm="1">
        <f t="array" ref="G339">_xll.FDSB($C339,"CS_EVENT_TIME_N("&amp;$AA$18&amp;",1)")</f>
        <v>Unspecified</v>
      </c>
      <c r="H339" s="282" t="str" cm="1">
        <f t="array" ref="H339">_xll.FDSB($C339,"CS_EVENT_DESC_N("&amp;$AA$18&amp;",1)")</f>
        <v>Q2 2026 Earnings Release (Projected)</v>
      </c>
      <c r="I339" s="282"/>
      <c r="J339" s="274" t="str" cm="1">
        <f t="array" ref="J339">_xll.FDSB($C339,"CS_EVENT_DATEJ_N("&amp;$AB$18&amp;",1)")</f>
        <v/>
      </c>
      <c r="K339" s="282" t="str" cm="1">
        <f t="array" ref="K339">_xll.FDSB($C339,"CS_EVENT_TIME_N("&amp;$AB$18&amp;",1)")</f>
        <v/>
      </c>
      <c r="L339" s="282" t="str" cm="1">
        <f t="array" ref="L339">_xll.FDSB($C339,"CS_EVENT_DESC_N("&amp;$AB$18&amp;",1)")</f>
        <v/>
      </c>
      <c r="M339" s="300"/>
      <c r="N339" s="274" cm="1">
        <f t="array" ref="N339">_xll.FDSB($C339,"CS_EVENT_DATEJ_N("&amp;$AA$18&amp;",2)")</f>
        <v>46329</v>
      </c>
      <c r="O339" s="282" t="str" cm="1">
        <f t="array" ref="O339">_xll.FDSB($C339,"CS_EVENT_TIME_N("&amp;$AA$18&amp;",2)")</f>
        <v>Unspecified</v>
      </c>
      <c r="P339" s="282" t="str" cm="1">
        <f t="array" ref="P339">_xll.FDSB($C339,"CS_EVENT_DESC_N("&amp;$AA$18&amp;",2)")</f>
        <v>Q3 2026 Earnings Release (Projected)</v>
      </c>
      <c r="Q339" s="282"/>
      <c r="R339" s="274" cm="1">
        <f t="array" ref="R339">_xll.FDSB($C339,"CS_EVENT_DATEJ_N("&amp;$AA$18&amp;",3)")</f>
        <v>46429</v>
      </c>
      <c r="S339" s="282" t="str" cm="1">
        <f t="array" ref="S339">_xll.FDSB($C339,"CS_EVENT_TIME_N("&amp;$AA$18&amp;",3)")</f>
        <v>Unspecified</v>
      </c>
      <c r="T339" s="282" t="str" cm="1">
        <f t="array" ref="T339">_xll.FDSB($C339,"CS_EVENT_DESC_N("&amp;$AA$18&amp;",3)")</f>
        <v>Q4 2026 Earnings Release (Projected)</v>
      </c>
      <c r="U339" s="282"/>
      <c r="V339" s="274" cm="1">
        <f t="array" ref="V339">_xll.FDSB($C339,"CS_EVENT_DATEJ_N("&amp;$AA$18&amp;",4)")</f>
        <v>46510</v>
      </c>
      <c r="W339" s="282" t="str" cm="1">
        <f t="array" ref="W339">_xll.FDSB($C339,"CS_EVENT_TIME_N("&amp;$AA$18&amp;",4)")</f>
        <v>Unspecified</v>
      </c>
      <c r="X339" s="282" t="str" cm="1">
        <f t="array" ref="X339">_xll.FDSB($C339,"CS_EVENT_DESC_N("&amp;$AA$18&amp;",4)")</f>
        <v>Q1 2027 Earnings Release (Projected)</v>
      </c>
    </row>
    <row r="340" spans="2:24" x14ac:dyDescent="0.15">
      <c r="B340" s="298">
        <f t="shared" si="7"/>
        <v>325</v>
      </c>
      <c r="C340" s="299" t="str">
        <v>FFIV</v>
      </c>
      <c r="D340" s="300" t="str" cm="1">
        <f t="array" ref="D340">_xll.FDSB($C340,"FG_COMPANY_NAME")</f>
        <v>F5, Inc.</v>
      </c>
      <c r="E340" s="300"/>
      <c r="F340" s="274" cm="1">
        <f t="array" ref="F340">_xll.FDSB($C340,"CS_EVENT_DATEJ_N("&amp;$AA$18&amp;",1)")</f>
        <v>46237</v>
      </c>
      <c r="G340" s="282" t="str" cm="1">
        <f t="array" ref="G340">_xll.FDSB($C340,"CS_EVENT_TIME_N("&amp;$AA$18&amp;",1)")</f>
        <v>Unspecified</v>
      </c>
      <c r="H340" s="282" t="str" cm="1">
        <f t="array" ref="H340">_xll.FDSB($C340,"CS_EVENT_DESC_N("&amp;$AA$18&amp;",1)")</f>
        <v>Q3 2026 Earnings Release (Projected)</v>
      </c>
      <c r="I340" s="282"/>
      <c r="J340" s="274" t="str" cm="1">
        <f t="array" ref="J340">_xll.FDSB($C340,"CS_EVENT_DATEJ_N("&amp;$AB$18&amp;",1)")</f>
        <v/>
      </c>
      <c r="K340" s="282" t="str" cm="1">
        <f t="array" ref="K340">_xll.FDSB($C340,"CS_EVENT_TIME_N("&amp;$AB$18&amp;",1)")</f>
        <v/>
      </c>
      <c r="L340" s="282" t="str" cm="1">
        <f t="array" ref="L340">_xll.FDSB($C340,"CS_EVENT_DESC_N("&amp;$AB$18&amp;",1)")</f>
        <v/>
      </c>
      <c r="M340" s="300"/>
      <c r="N340" s="274" cm="1">
        <f t="array" ref="N340">_xll.FDSB($C340,"CS_EVENT_DATEJ_N("&amp;$AA$18&amp;",2)")</f>
        <v>46328</v>
      </c>
      <c r="O340" s="282" t="str" cm="1">
        <f t="array" ref="O340">_xll.FDSB($C340,"CS_EVENT_TIME_N("&amp;$AA$18&amp;",2)")</f>
        <v>Unspecified</v>
      </c>
      <c r="P340" s="282" t="str" cm="1">
        <f t="array" ref="P340">_xll.FDSB($C340,"CS_EVENT_DESC_N("&amp;$AA$18&amp;",2)")</f>
        <v>Q4 2026 Earnings Release (Projected)</v>
      </c>
      <c r="Q340" s="282"/>
      <c r="R340" s="274" cm="1">
        <f t="array" ref="R340">_xll.FDSB($C340,"CS_EVENT_DATEJ_N("&amp;$AA$18&amp;",3)")</f>
        <v>46413</v>
      </c>
      <c r="S340" s="282" t="str" cm="1">
        <f t="array" ref="S340">_xll.FDSB($C340,"CS_EVENT_TIME_N("&amp;$AA$18&amp;",3)")</f>
        <v>Unspecified</v>
      </c>
      <c r="T340" s="282" t="str" cm="1">
        <f t="array" ref="T340">_xll.FDSB($C340,"CS_EVENT_DESC_N("&amp;$AA$18&amp;",3)")</f>
        <v>Q1 2027 Earnings Release (Projected)</v>
      </c>
      <c r="U340" s="282"/>
      <c r="V340" s="274" cm="1">
        <f t="array" ref="V340">_xll.FDSB($C340,"CS_EVENT_DATEJ_N("&amp;$AA$18&amp;",4)")</f>
        <v>46510</v>
      </c>
      <c r="W340" s="282" t="str" cm="1">
        <f t="array" ref="W340">_xll.FDSB($C340,"CS_EVENT_TIME_N("&amp;$AA$18&amp;",4)")</f>
        <v>Unspecified</v>
      </c>
      <c r="X340" s="282" t="str" cm="1">
        <f t="array" ref="X340">_xll.FDSB($C340,"CS_EVENT_DESC_N("&amp;$AA$18&amp;",4)")</f>
        <v>Q2 2027 Earnings Release (Projected)</v>
      </c>
    </row>
    <row r="341" spans="2:24" x14ac:dyDescent="0.15">
      <c r="B341" s="298">
        <f t="shared" si="7"/>
        <v>326</v>
      </c>
      <c r="C341" s="299" t="str">
        <v>SPG</v>
      </c>
      <c r="D341" s="300" t="str" cm="1">
        <f t="array" ref="D341">_xll.FDSB($C341,"FG_COMPANY_NAME")</f>
        <v>Simon Property Group, Inc.</v>
      </c>
      <c r="E341" s="300"/>
      <c r="F341" s="274" cm="1">
        <f t="array" ref="F341">_xll.FDSB($C341,"CS_EVENT_DATEJ_N("&amp;$AA$18&amp;",1)")</f>
        <v>46237</v>
      </c>
      <c r="G341" s="282" t="str" cm="1">
        <f t="array" ref="G341">_xll.FDSB($C341,"CS_EVENT_TIME_N("&amp;$AA$18&amp;",1)")</f>
        <v>Unspecified</v>
      </c>
      <c r="H341" s="282" t="str" cm="1">
        <f t="array" ref="H341">_xll.FDSB($C341,"CS_EVENT_DESC_N("&amp;$AA$18&amp;",1)")</f>
        <v>Q2 2026 Earnings Release (Projected)</v>
      </c>
      <c r="I341" s="282"/>
      <c r="J341" s="274" t="str" cm="1">
        <f t="array" ref="J341">_xll.FDSB($C341,"CS_EVENT_DATEJ_N("&amp;$AB$18&amp;",1)")</f>
        <v/>
      </c>
      <c r="K341" s="282" t="str" cm="1">
        <f t="array" ref="K341">_xll.FDSB($C341,"CS_EVENT_TIME_N("&amp;$AB$18&amp;",1)")</f>
        <v/>
      </c>
      <c r="L341" s="282" t="str" cm="1">
        <f t="array" ref="L341">_xll.FDSB($C341,"CS_EVENT_DESC_N("&amp;$AB$18&amp;",1)")</f>
        <v/>
      </c>
      <c r="M341" s="300"/>
      <c r="N341" s="274" cm="1">
        <f t="array" ref="N341">_xll.FDSB($C341,"CS_EVENT_DATEJ_N("&amp;$AA$18&amp;",2)")</f>
        <v>46328</v>
      </c>
      <c r="O341" s="282" t="str" cm="1">
        <f t="array" ref="O341">_xll.FDSB($C341,"CS_EVENT_TIME_N("&amp;$AA$18&amp;",2)")</f>
        <v>Unspecified</v>
      </c>
      <c r="P341" s="282" t="str" cm="1">
        <f t="array" ref="P341">_xll.FDSB($C341,"CS_EVENT_DESC_N("&amp;$AA$18&amp;",2)")</f>
        <v>Q3 2026 Earnings Release (Projected)</v>
      </c>
      <c r="Q341" s="282"/>
      <c r="R341" s="274" cm="1">
        <f t="array" ref="R341">_xll.FDSB($C341,"CS_EVENT_DATEJ_N("&amp;$AA$18&amp;",3)")</f>
        <v>46426</v>
      </c>
      <c r="S341" s="282" t="str" cm="1">
        <f t="array" ref="S341">_xll.FDSB($C341,"CS_EVENT_TIME_N("&amp;$AA$18&amp;",3)")</f>
        <v>Unspecified</v>
      </c>
      <c r="T341" s="282" t="str" cm="1">
        <f t="array" ref="T341">_xll.FDSB($C341,"CS_EVENT_DESC_N("&amp;$AA$18&amp;",3)")</f>
        <v>Q4 2026 Earnings Release (Projected)</v>
      </c>
      <c r="U341" s="282"/>
      <c r="V341" s="274" cm="1">
        <f t="array" ref="V341">_xll.FDSB($C341,"CS_EVENT_DATEJ_N("&amp;$AA$18&amp;",4)")</f>
        <v>46517</v>
      </c>
      <c r="W341" s="282" t="str" cm="1">
        <f t="array" ref="W341">_xll.FDSB($C341,"CS_EVENT_TIME_N("&amp;$AA$18&amp;",4)")</f>
        <v>Unspecified</v>
      </c>
      <c r="X341" s="282" t="str" cm="1">
        <f t="array" ref="X341">_xll.FDSB($C341,"CS_EVENT_DESC_N("&amp;$AA$18&amp;",4)")</f>
        <v>Q1 2027 Earnings Release (Projected)</v>
      </c>
    </row>
    <row r="342" spans="2:24" x14ac:dyDescent="0.15">
      <c r="B342" s="298">
        <f t="shared" si="7"/>
        <v>327</v>
      </c>
      <c r="C342" s="299" t="str">
        <v>RVTY</v>
      </c>
      <c r="D342" s="300" t="str" cm="1">
        <f t="array" ref="D342">_xll.FDSB($C342,"FG_COMPANY_NAME")</f>
        <v>Revvity, Inc.</v>
      </c>
      <c r="E342" s="300"/>
      <c r="F342" s="274" cm="1">
        <f t="array" ref="F342">_xll.FDSB($C342,"CS_EVENT_DATEJ_N("&amp;$AA$18&amp;",1)")</f>
        <v>46237</v>
      </c>
      <c r="G342" s="282" t="str" cm="1">
        <f t="array" ref="G342">_xll.FDSB($C342,"CS_EVENT_TIME_N("&amp;$AA$18&amp;",1)")</f>
        <v>Unspecified</v>
      </c>
      <c r="H342" s="282" t="str" cm="1">
        <f t="array" ref="H342">_xll.FDSB($C342,"CS_EVENT_DESC_N("&amp;$AA$18&amp;",1)")</f>
        <v>Q2 2026 Earnings Release (Projected)</v>
      </c>
      <c r="I342" s="282"/>
      <c r="J342" s="274" t="str" cm="1">
        <f t="array" ref="J342">_xll.FDSB($C342,"CS_EVENT_DATEJ_N("&amp;$AB$18&amp;",1)")</f>
        <v/>
      </c>
      <c r="K342" s="282" t="str" cm="1">
        <f t="array" ref="K342">_xll.FDSB($C342,"CS_EVENT_TIME_N("&amp;$AB$18&amp;",1)")</f>
        <v/>
      </c>
      <c r="L342" s="282" t="str" cm="1">
        <f t="array" ref="L342">_xll.FDSB($C342,"CS_EVENT_DESC_N("&amp;$AB$18&amp;",1)")</f>
        <v/>
      </c>
      <c r="M342" s="300"/>
      <c r="N342" s="274" cm="1">
        <f t="array" ref="N342">_xll.FDSB($C342,"CS_EVENT_DATEJ_N("&amp;$AA$18&amp;",2)")</f>
        <v>46328</v>
      </c>
      <c r="O342" s="282" t="str" cm="1">
        <f t="array" ref="O342">_xll.FDSB($C342,"CS_EVENT_TIME_N("&amp;$AA$18&amp;",2)")</f>
        <v>Unspecified</v>
      </c>
      <c r="P342" s="282" t="str" cm="1">
        <f t="array" ref="P342">_xll.FDSB($C342,"CS_EVENT_DESC_N("&amp;$AA$18&amp;",2)")</f>
        <v>Q3 2026 Earnings Release (Projected)</v>
      </c>
      <c r="Q342" s="282"/>
      <c r="R342" s="274" cm="1">
        <f t="array" ref="R342">_xll.FDSB($C342,"CS_EVENT_DATEJ_N("&amp;$AA$18&amp;",3)")</f>
        <v>46422</v>
      </c>
      <c r="S342" s="282" t="str" cm="1">
        <f t="array" ref="S342">_xll.FDSB($C342,"CS_EVENT_TIME_N("&amp;$AA$18&amp;",3)")</f>
        <v>Unspecified</v>
      </c>
      <c r="T342" s="282" t="str" cm="1">
        <f t="array" ref="T342">_xll.FDSB($C342,"CS_EVENT_DESC_N("&amp;$AA$18&amp;",3)")</f>
        <v>Q4 2026 Earnings Release (Projected)</v>
      </c>
      <c r="U342" s="282"/>
      <c r="V342" s="274" cm="1">
        <f t="array" ref="V342">_xll.FDSB($C342,"CS_EVENT_DATEJ_N("&amp;$AA$18&amp;",4)")</f>
        <v>46510</v>
      </c>
      <c r="W342" s="282" t="str" cm="1">
        <f t="array" ref="W342">_xll.FDSB($C342,"CS_EVENT_TIME_N("&amp;$AA$18&amp;",4)")</f>
        <v>Unspecified</v>
      </c>
      <c r="X342" s="282" t="str" cm="1">
        <f t="array" ref="X342">_xll.FDSB($C342,"CS_EVENT_DESC_N("&amp;$AA$18&amp;",4)")</f>
        <v>Q1 2027 Earnings Release (Projected)</v>
      </c>
    </row>
    <row r="343" spans="2:24" x14ac:dyDescent="0.15">
      <c r="B343" s="298">
        <f t="shared" si="7"/>
        <v>328</v>
      </c>
      <c r="C343" s="299" t="str">
        <v>MPWR</v>
      </c>
      <c r="D343" s="300" t="str" cm="1">
        <f t="array" ref="D343">_xll.FDSB($C343,"FG_COMPANY_NAME")</f>
        <v>Monolithic Power Systems, Inc.</v>
      </c>
      <c r="E343" s="300"/>
      <c r="F343" s="274" cm="1">
        <f t="array" ref="F343">_xll.FDSB($C343,"CS_EVENT_DATEJ_N("&amp;$AA$18&amp;",1)")</f>
        <v>46237</v>
      </c>
      <c r="G343" s="282" t="str" cm="1">
        <f t="array" ref="G343">_xll.FDSB($C343,"CS_EVENT_TIME_N("&amp;$AA$18&amp;",1)")</f>
        <v>Unspecified</v>
      </c>
      <c r="H343" s="282" t="str" cm="1">
        <f t="array" ref="H343">_xll.FDSB($C343,"CS_EVENT_DESC_N("&amp;$AA$18&amp;",1)")</f>
        <v>Q2 2026 Earnings Release (Projected)</v>
      </c>
      <c r="I343" s="282"/>
      <c r="J343" s="274" t="str" cm="1">
        <f t="array" ref="J343">_xll.FDSB($C343,"CS_EVENT_DATEJ_N("&amp;$AB$18&amp;",1)")</f>
        <v/>
      </c>
      <c r="K343" s="282" t="str" cm="1">
        <f t="array" ref="K343">_xll.FDSB($C343,"CS_EVENT_TIME_N("&amp;$AB$18&amp;",1)")</f>
        <v/>
      </c>
      <c r="L343" s="282" t="str" cm="1">
        <f t="array" ref="L343">_xll.FDSB($C343,"CS_EVENT_DESC_N("&amp;$AB$18&amp;",1)")</f>
        <v/>
      </c>
      <c r="M343" s="300"/>
      <c r="N343" s="274" cm="1">
        <f t="array" ref="N343">_xll.FDSB($C343,"CS_EVENT_DATEJ_N("&amp;$AA$18&amp;",2)")</f>
        <v>46330</v>
      </c>
      <c r="O343" s="282" t="str" cm="1">
        <f t="array" ref="O343">_xll.FDSB($C343,"CS_EVENT_TIME_N("&amp;$AA$18&amp;",2)")</f>
        <v>Unspecified</v>
      </c>
      <c r="P343" s="282" t="str" cm="1">
        <f t="array" ref="P343">_xll.FDSB($C343,"CS_EVENT_DESC_N("&amp;$AA$18&amp;",2)")</f>
        <v>Q3 2026 Earnings Release (Projected)</v>
      </c>
      <c r="Q343" s="282"/>
      <c r="R343" s="274" cm="1">
        <f t="array" ref="R343">_xll.FDSB($C343,"CS_EVENT_DATEJ_N("&amp;$AA$18&amp;",3)")</f>
        <v>46429</v>
      </c>
      <c r="S343" s="282" t="str" cm="1">
        <f t="array" ref="S343">_xll.FDSB($C343,"CS_EVENT_TIME_N("&amp;$AA$18&amp;",3)")</f>
        <v>Unspecified</v>
      </c>
      <c r="T343" s="282" t="str" cm="1">
        <f t="array" ref="T343">_xll.FDSB($C343,"CS_EVENT_DESC_N("&amp;$AA$18&amp;",3)")</f>
        <v>Q4 2026 Earnings Release (Projected)</v>
      </c>
      <c r="U343" s="282"/>
      <c r="V343" s="274" cm="1">
        <f t="array" ref="V343">_xll.FDSB($C343,"CS_EVENT_DATEJ_N("&amp;$AA$18&amp;",4)")</f>
        <v>46513</v>
      </c>
      <c r="W343" s="282" t="str" cm="1">
        <f t="array" ref="W343">_xll.FDSB($C343,"CS_EVENT_TIME_N("&amp;$AA$18&amp;",4)")</f>
        <v>Unspecified</v>
      </c>
      <c r="X343" s="282" t="str" cm="1">
        <f t="array" ref="X343">_xll.FDSB($C343,"CS_EVENT_DESC_N("&amp;$AA$18&amp;",4)")</f>
        <v>Q1 2027 Earnings Release (Projected)</v>
      </c>
    </row>
    <row r="344" spans="2:24" x14ac:dyDescent="0.15">
      <c r="B344" s="298">
        <f t="shared" si="7"/>
        <v>329</v>
      </c>
      <c r="C344" s="299" t="str">
        <v>BRK.B</v>
      </c>
      <c r="D344" s="300" t="str" cm="1">
        <f t="array" ref="D344">_xll.FDSB($C344,"FG_COMPANY_NAME")</f>
        <v>Berkshire Hathaway Inc. Class B</v>
      </c>
      <c r="E344" s="300"/>
      <c r="F344" s="274" cm="1">
        <f t="array" ref="F344">_xll.FDSB($C344,"CS_EVENT_DATEJ_N("&amp;$AA$18&amp;",1)")</f>
        <v>46237</v>
      </c>
      <c r="G344" s="282" t="str" cm="1">
        <f t="array" ref="G344">_xll.FDSB($C344,"CS_EVENT_TIME_N("&amp;$AA$18&amp;",1)")</f>
        <v>Unspecified</v>
      </c>
      <c r="H344" s="282" t="str" cm="1">
        <f t="array" ref="H344">_xll.FDSB($C344,"CS_EVENT_DESC_N("&amp;$AA$18&amp;",1)")</f>
        <v>Q2 2026 Earnings Release (Projected)</v>
      </c>
      <c r="I344" s="282"/>
      <c r="J344" s="274" t="str" cm="1">
        <f t="array" ref="J344">_xll.FDSB($C344,"CS_EVENT_DATEJ_N("&amp;$AB$18&amp;",1)")</f>
        <v/>
      </c>
      <c r="K344" s="282" t="str" cm="1">
        <f t="array" ref="K344">_xll.FDSB($C344,"CS_EVENT_TIME_N("&amp;$AB$18&amp;",1)")</f>
        <v/>
      </c>
      <c r="L344" s="282" t="str" cm="1">
        <f t="array" ref="L344">_xll.FDSB($C344,"CS_EVENT_DESC_N("&amp;$AB$18&amp;",1)")</f>
        <v/>
      </c>
      <c r="M344" s="300"/>
      <c r="N344" s="274" cm="1">
        <f t="array" ref="N344">_xll.FDSB($C344,"CS_EVENT_DATEJ_N("&amp;$AA$18&amp;",2)")</f>
        <v>46328</v>
      </c>
      <c r="O344" s="282" t="str" cm="1">
        <f t="array" ref="O344">_xll.FDSB($C344,"CS_EVENT_TIME_N("&amp;$AA$18&amp;",2)")</f>
        <v>Unspecified</v>
      </c>
      <c r="P344" s="282" t="str" cm="1">
        <f t="array" ref="P344">_xll.FDSB($C344,"CS_EVENT_DESC_N("&amp;$AA$18&amp;",2)")</f>
        <v>Q3 2026 Earnings Release (Projected)</v>
      </c>
      <c r="Q344" s="282"/>
      <c r="R344" s="274" cm="1">
        <f t="array" ref="R344">_xll.FDSB($C344,"CS_EVENT_DATEJ_N("&amp;$AA$18&amp;",3)")</f>
        <v>46440</v>
      </c>
      <c r="S344" s="282" t="str" cm="1">
        <f t="array" ref="S344">_xll.FDSB($C344,"CS_EVENT_TIME_N("&amp;$AA$18&amp;",3)")</f>
        <v>Unspecified</v>
      </c>
      <c r="T344" s="282" t="str" cm="1">
        <f t="array" ref="T344">_xll.FDSB($C344,"CS_EVENT_DESC_N("&amp;$AA$18&amp;",3)")</f>
        <v>Q4 2026 Earnings Release (Projected)</v>
      </c>
      <c r="U344" s="282"/>
      <c r="V344" s="274" cm="1">
        <f t="array" ref="V344">_xll.FDSB($C344,"CS_EVENT_DATEJ_N("&amp;$AA$18&amp;",4)")</f>
        <v>46510</v>
      </c>
      <c r="W344" s="282" t="str" cm="1">
        <f t="array" ref="W344">_xll.FDSB($C344,"CS_EVENT_TIME_N("&amp;$AA$18&amp;",4)")</f>
        <v>Unspecified</v>
      </c>
      <c r="X344" s="282" t="str" cm="1">
        <f t="array" ref="X344">_xll.FDSB($C344,"CS_EVENT_DESC_N("&amp;$AA$18&amp;",4)")</f>
        <v>Q1 2027 Earnings Release (Projected)</v>
      </c>
    </row>
    <row r="345" spans="2:24" x14ac:dyDescent="0.15">
      <c r="B345" s="298">
        <f t="shared" si="7"/>
        <v>330</v>
      </c>
      <c r="C345" s="299" t="str">
        <v>ANET</v>
      </c>
      <c r="D345" s="300" t="str" cm="1">
        <f t="array" ref="D345">_xll.FDSB($C345,"FG_COMPANY_NAME")</f>
        <v>Arista Networks Inc</v>
      </c>
      <c r="E345" s="300"/>
      <c r="F345" s="274" cm="1">
        <f t="array" ref="F345">_xll.FDSB($C345,"CS_EVENT_DATEJ_N("&amp;$AA$18&amp;",1)")</f>
        <v>46237</v>
      </c>
      <c r="G345" s="282" t="str" cm="1">
        <f t="array" ref="G345">_xll.FDSB($C345,"CS_EVENT_TIME_N("&amp;$AA$18&amp;",1)")</f>
        <v>Unspecified</v>
      </c>
      <c r="H345" s="282" t="str" cm="1">
        <f t="array" ref="H345">_xll.FDSB($C345,"CS_EVENT_DESC_N("&amp;$AA$18&amp;",1)")</f>
        <v>Q2 2026 Earnings Release (Projected)</v>
      </c>
      <c r="I345" s="282"/>
      <c r="J345" s="274" t="str" cm="1">
        <f t="array" ref="J345">_xll.FDSB($C345,"CS_EVENT_DATEJ_N("&amp;$AB$18&amp;",1)")</f>
        <v/>
      </c>
      <c r="K345" s="282" t="str" cm="1">
        <f t="array" ref="K345">_xll.FDSB($C345,"CS_EVENT_TIME_N("&amp;$AB$18&amp;",1)")</f>
        <v/>
      </c>
      <c r="L345" s="282" t="str" cm="1">
        <f t="array" ref="L345">_xll.FDSB($C345,"CS_EVENT_DESC_N("&amp;$AB$18&amp;",1)")</f>
        <v/>
      </c>
      <c r="M345" s="300"/>
      <c r="N345" s="274" cm="1">
        <f t="array" ref="N345">_xll.FDSB($C345,"CS_EVENT_DATEJ_N("&amp;$AA$18&amp;",2)")</f>
        <v>46328</v>
      </c>
      <c r="O345" s="282" t="str" cm="1">
        <f t="array" ref="O345">_xll.FDSB($C345,"CS_EVENT_TIME_N("&amp;$AA$18&amp;",2)")</f>
        <v>Unspecified</v>
      </c>
      <c r="P345" s="282" t="str" cm="1">
        <f t="array" ref="P345">_xll.FDSB($C345,"CS_EVENT_DESC_N("&amp;$AA$18&amp;",2)")</f>
        <v>Q3 2026 Earnings Release (Projected)</v>
      </c>
      <c r="Q345" s="282"/>
      <c r="R345" s="274" cm="1">
        <f t="array" ref="R345">_xll.FDSB($C345,"CS_EVENT_DATEJ_N("&amp;$AA$18&amp;",3)")</f>
        <v>46433</v>
      </c>
      <c r="S345" s="282" t="str" cm="1">
        <f t="array" ref="S345">_xll.FDSB($C345,"CS_EVENT_TIME_N("&amp;$AA$18&amp;",3)")</f>
        <v>Unspecified</v>
      </c>
      <c r="T345" s="282" t="str" cm="1">
        <f t="array" ref="T345">_xll.FDSB($C345,"CS_EVENT_DESC_N("&amp;$AA$18&amp;",3)")</f>
        <v>Q4 2026 Earnings Release (Projected)</v>
      </c>
      <c r="U345" s="282"/>
      <c r="V345" s="274" cm="1">
        <f t="array" ref="V345">_xll.FDSB($C345,"CS_EVENT_DATEJ_N("&amp;$AA$18&amp;",4)")</f>
        <v>46510</v>
      </c>
      <c r="W345" s="282" t="str" cm="1">
        <f t="array" ref="W345">_xll.FDSB($C345,"CS_EVENT_TIME_N("&amp;$AA$18&amp;",4)")</f>
        <v>Unspecified</v>
      </c>
      <c r="X345" s="282" t="str" cm="1">
        <f t="array" ref="X345">_xll.FDSB($C345,"CS_EVENT_DESC_N("&amp;$AA$18&amp;",4)")</f>
        <v>Q1 2027 Earnings Release (Projected)</v>
      </c>
    </row>
    <row r="346" spans="2:24" x14ac:dyDescent="0.15">
      <c r="B346" s="298">
        <f t="shared" si="7"/>
        <v>331</v>
      </c>
      <c r="C346" s="299" t="str">
        <v>MOS</v>
      </c>
      <c r="D346" s="300" t="str" cm="1">
        <f t="array" ref="D346">_xll.FDSB($C346,"FG_COMPANY_NAME")</f>
        <v>Mosaic Company</v>
      </c>
      <c r="E346" s="300"/>
      <c r="F346" s="274" cm="1">
        <f t="array" ref="F346">_xll.FDSB($C346,"CS_EVENT_DATEJ_N("&amp;$AA$18&amp;",1)")</f>
        <v>46237</v>
      </c>
      <c r="G346" s="282" t="str" cm="1">
        <f t="array" ref="G346">_xll.FDSB($C346,"CS_EVENT_TIME_N("&amp;$AA$18&amp;",1)")</f>
        <v>Unspecified</v>
      </c>
      <c r="H346" s="282" t="str" cm="1">
        <f t="array" ref="H346">_xll.FDSB($C346,"CS_EVENT_DESC_N("&amp;$AA$18&amp;",1)")</f>
        <v>Q2 2026 Earnings Release (Projected)</v>
      </c>
      <c r="I346" s="282"/>
      <c r="J346" s="274" t="str" cm="1">
        <f t="array" ref="J346">_xll.FDSB($C346,"CS_EVENT_DATEJ_N("&amp;$AB$18&amp;",1)")</f>
        <v/>
      </c>
      <c r="K346" s="282" t="str" cm="1">
        <f t="array" ref="K346">_xll.FDSB($C346,"CS_EVENT_TIME_N("&amp;$AB$18&amp;",1)")</f>
        <v/>
      </c>
      <c r="L346" s="282" t="str" cm="1">
        <f t="array" ref="L346">_xll.FDSB($C346,"CS_EVENT_DESC_N("&amp;$AB$18&amp;",1)")</f>
        <v/>
      </c>
      <c r="M346" s="300"/>
      <c r="N346" s="274" cm="1">
        <f t="array" ref="N346">_xll.FDSB($C346,"CS_EVENT_DATEJ_N("&amp;$AA$18&amp;",2)")</f>
        <v>46336</v>
      </c>
      <c r="O346" s="282" t="str" cm="1">
        <f t="array" ref="O346">_xll.FDSB($C346,"CS_EVENT_TIME_N("&amp;$AA$18&amp;",2)")</f>
        <v>Unspecified</v>
      </c>
      <c r="P346" s="282" t="str" cm="1">
        <f t="array" ref="P346">_xll.FDSB($C346,"CS_EVENT_DESC_N("&amp;$AA$18&amp;",2)")</f>
        <v>Q3 2026 Earnings Release (Projected)</v>
      </c>
      <c r="Q346" s="282"/>
      <c r="R346" s="274" cm="1">
        <f t="array" ref="R346">_xll.FDSB($C346,"CS_EVENT_DATEJ_N("&amp;$AA$18&amp;",3)")</f>
        <v>46442</v>
      </c>
      <c r="S346" s="282" t="str" cm="1">
        <f t="array" ref="S346">_xll.FDSB($C346,"CS_EVENT_TIME_N("&amp;$AA$18&amp;",3)")</f>
        <v>Unspecified</v>
      </c>
      <c r="T346" s="282" t="str" cm="1">
        <f t="array" ref="T346">_xll.FDSB($C346,"CS_EVENT_DESC_N("&amp;$AA$18&amp;",3)")</f>
        <v>Q4 2026 Earnings Release (Projected)</v>
      </c>
      <c r="U346" s="282"/>
      <c r="V346" s="274" t="str" cm="1">
        <f t="array" ref="V346">_xll.FDSB($C346,"CS_EVENT_DATEJ_N("&amp;$AA$18&amp;",4)")</f>
        <v/>
      </c>
      <c r="W346" s="282" t="str" cm="1">
        <f t="array" ref="W346">_xll.FDSB($C346,"CS_EVENT_TIME_N("&amp;$AA$18&amp;",4)")</f>
        <v/>
      </c>
      <c r="X346" s="282" t="str" cm="1">
        <f t="array" ref="X346">_xll.FDSB($C346,"CS_EVENT_DESC_N("&amp;$AA$18&amp;",4)")</f>
        <v/>
      </c>
    </row>
    <row r="347" spans="2:24" x14ac:dyDescent="0.15">
      <c r="B347" s="298">
        <f t="shared" si="7"/>
        <v>332</v>
      </c>
      <c r="C347" s="299" t="str">
        <v>FANG</v>
      </c>
      <c r="D347" s="300" t="str" cm="1">
        <f t="array" ref="D347">_xll.FDSB($C347,"FG_COMPANY_NAME")</f>
        <v>Diamondback Energy, Inc.</v>
      </c>
      <c r="E347" s="300"/>
      <c r="F347" s="274" cm="1">
        <f t="array" ref="F347">_xll.FDSB($C347,"CS_EVENT_DATEJ_N("&amp;$AA$18&amp;",1)")</f>
        <v>46237</v>
      </c>
      <c r="G347" s="282" t="str" cm="1">
        <f t="array" ref="G347">_xll.FDSB($C347,"CS_EVENT_TIME_N("&amp;$AA$18&amp;",1)")</f>
        <v>Unspecified</v>
      </c>
      <c r="H347" s="282" t="str" cm="1">
        <f t="array" ref="H347">_xll.FDSB($C347,"CS_EVENT_DESC_N("&amp;$AA$18&amp;",1)")</f>
        <v>Q2 2026 Earnings Release (Projected)</v>
      </c>
      <c r="I347" s="282"/>
      <c r="J347" s="274" t="str" cm="1">
        <f t="array" ref="J347">_xll.FDSB($C347,"CS_EVENT_DATEJ_N("&amp;$AB$18&amp;",1)")</f>
        <v/>
      </c>
      <c r="K347" s="282" t="str" cm="1">
        <f t="array" ref="K347">_xll.FDSB($C347,"CS_EVENT_TIME_N("&amp;$AB$18&amp;",1)")</f>
        <v/>
      </c>
      <c r="L347" s="282" t="str" cm="1">
        <f t="array" ref="L347">_xll.FDSB($C347,"CS_EVENT_DESC_N("&amp;$AB$18&amp;",1)")</f>
        <v/>
      </c>
      <c r="M347" s="300"/>
      <c r="N347" s="274" cm="1">
        <f t="array" ref="N347">_xll.FDSB($C347,"CS_EVENT_DATEJ_N("&amp;$AA$18&amp;",2)")</f>
        <v>46335</v>
      </c>
      <c r="O347" s="282" t="str" cm="1">
        <f t="array" ref="O347">_xll.FDSB($C347,"CS_EVENT_TIME_N("&amp;$AA$18&amp;",2)")</f>
        <v>Unspecified</v>
      </c>
      <c r="P347" s="282" t="str" cm="1">
        <f t="array" ref="P347">_xll.FDSB($C347,"CS_EVENT_DESC_N("&amp;$AA$18&amp;",2)")</f>
        <v>Q3 2026 Earnings Release (Projected)</v>
      </c>
      <c r="Q347" s="282"/>
      <c r="R347" s="274" cm="1">
        <f t="array" ref="R347">_xll.FDSB($C347,"CS_EVENT_DATEJ_N("&amp;$AA$18&amp;",3)")</f>
        <v>46441</v>
      </c>
      <c r="S347" s="282" t="str" cm="1">
        <f t="array" ref="S347">_xll.FDSB($C347,"CS_EVENT_TIME_N("&amp;$AA$18&amp;",3)")</f>
        <v>Unspecified</v>
      </c>
      <c r="T347" s="282" t="str" cm="1">
        <f t="array" ref="T347">_xll.FDSB($C347,"CS_EVENT_DESC_N("&amp;$AA$18&amp;",3)")</f>
        <v>Q4 2026 Earnings Release (Projected)</v>
      </c>
      <c r="U347" s="282"/>
      <c r="V347" s="274" t="str" cm="1">
        <f t="array" ref="V347">_xll.FDSB($C347,"CS_EVENT_DATEJ_N("&amp;$AA$18&amp;",4)")</f>
        <v/>
      </c>
      <c r="W347" s="282" t="str" cm="1">
        <f t="array" ref="W347">_xll.FDSB($C347,"CS_EVENT_TIME_N("&amp;$AA$18&amp;",4)")</f>
        <v/>
      </c>
      <c r="X347" s="282" t="str" cm="1">
        <f t="array" ref="X347">_xll.FDSB($C347,"CS_EVENT_DESC_N("&amp;$AA$18&amp;",4)")</f>
        <v/>
      </c>
    </row>
    <row r="348" spans="2:24" x14ac:dyDescent="0.15">
      <c r="B348" s="298">
        <f t="shared" si="7"/>
        <v>333</v>
      </c>
      <c r="C348" s="299" t="str">
        <v>PRU</v>
      </c>
      <c r="D348" s="300" t="str" cm="1">
        <f t="array" ref="D348">_xll.FDSB($C348,"FG_COMPANY_NAME")</f>
        <v>Prudential Financial, Inc.</v>
      </c>
      <c r="E348" s="300"/>
      <c r="F348" s="274" cm="1">
        <f t="array" ref="F348">_xll.FDSB($C348,"CS_EVENT_DATEJ_N("&amp;$AA$18&amp;",1)")</f>
        <v>46238</v>
      </c>
      <c r="G348" s="282" t="str" cm="1">
        <f t="array" ref="G348">_xll.FDSB($C348,"CS_EVENT_TIME_N("&amp;$AA$18&amp;",1)")</f>
        <v>Unspecified</v>
      </c>
      <c r="H348" s="282" t="str" cm="1">
        <f t="array" ref="H348">_xll.FDSB($C348,"CS_EVENT_DESC_N("&amp;$AA$18&amp;",1)")</f>
        <v>Q2 2026 Earnings Release (Projected)</v>
      </c>
      <c r="I348" s="282"/>
      <c r="J348" s="274" t="str" cm="1">
        <f t="array" ref="J348">_xll.FDSB($C348,"CS_EVENT_DATEJ_N("&amp;$AB$18&amp;",1)")</f>
        <v/>
      </c>
      <c r="K348" s="282" t="str" cm="1">
        <f t="array" ref="K348">_xll.FDSB($C348,"CS_EVENT_TIME_N("&amp;$AB$18&amp;",1)")</f>
        <v/>
      </c>
      <c r="L348" s="282" t="str" cm="1">
        <f t="array" ref="L348">_xll.FDSB($C348,"CS_EVENT_DESC_N("&amp;$AB$18&amp;",1)")</f>
        <v/>
      </c>
      <c r="M348" s="300"/>
      <c r="N348" s="274" cm="1">
        <f t="array" ref="N348">_xll.FDSB($C348,"CS_EVENT_DATEJ_N("&amp;$AA$18&amp;",2)")</f>
        <v>46330</v>
      </c>
      <c r="O348" s="282" t="str" cm="1">
        <f t="array" ref="O348">_xll.FDSB($C348,"CS_EVENT_TIME_N("&amp;$AA$18&amp;",2)")</f>
        <v>Unspecified</v>
      </c>
      <c r="P348" s="282" t="str" cm="1">
        <f t="array" ref="P348">_xll.FDSB($C348,"CS_EVENT_DESC_N("&amp;$AA$18&amp;",2)")</f>
        <v>Q3 2026 Earnings Release (Projected)</v>
      </c>
      <c r="Q348" s="282"/>
      <c r="R348" s="274" cm="1">
        <f t="array" ref="R348">_xll.FDSB($C348,"CS_EVENT_DATEJ_N("&amp;$AA$18&amp;",3)")</f>
        <v>46427</v>
      </c>
      <c r="S348" s="282" t="str" cm="1">
        <f t="array" ref="S348">_xll.FDSB($C348,"CS_EVENT_TIME_N("&amp;$AA$18&amp;",3)")</f>
        <v>Unspecified</v>
      </c>
      <c r="T348" s="282" t="str" cm="1">
        <f t="array" ref="T348">_xll.FDSB($C348,"CS_EVENT_DESC_N("&amp;$AA$18&amp;",3)")</f>
        <v>Q4 2026 Earnings Release (Projected)</v>
      </c>
      <c r="U348" s="282"/>
      <c r="V348" s="274" t="str" cm="1">
        <f t="array" ref="V348">_xll.FDSB($C348,"CS_EVENT_DATEJ_N("&amp;$AA$18&amp;",4)")</f>
        <v/>
      </c>
      <c r="W348" s="282" t="str" cm="1">
        <f t="array" ref="W348">_xll.FDSB($C348,"CS_EVENT_TIME_N("&amp;$AA$18&amp;",4)")</f>
        <v/>
      </c>
      <c r="X348" s="282" t="str" cm="1">
        <f t="array" ref="X348">_xll.FDSB($C348,"CS_EVENT_DESC_N("&amp;$AA$18&amp;",4)")</f>
        <v/>
      </c>
    </row>
    <row r="349" spans="2:24" x14ac:dyDescent="0.15">
      <c r="B349" s="298">
        <f t="shared" si="7"/>
        <v>334</v>
      </c>
      <c r="C349" s="299" t="str">
        <v>MAR</v>
      </c>
      <c r="D349" s="300" t="str" cm="1">
        <f t="array" ref="D349">_xll.FDSB($C349,"FG_COMPANY_NAME")</f>
        <v>Marriott International, Inc. Class A</v>
      </c>
      <c r="E349" s="300"/>
      <c r="F349" s="274" cm="1">
        <f t="array" ref="F349">_xll.FDSB($C349,"CS_EVENT_DATEJ_N("&amp;$AA$18&amp;",1)")</f>
        <v>46238</v>
      </c>
      <c r="G349" s="282" t="str" cm="1">
        <f t="array" ref="G349">_xll.FDSB($C349,"CS_EVENT_TIME_N("&amp;$AA$18&amp;",1)")</f>
        <v>Unspecified</v>
      </c>
      <c r="H349" s="282" t="str" cm="1">
        <f t="array" ref="H349">_xll.FDSB($C349,"CS_EVENT_DESC_N("&amp;$AA$18&amp;",1)")</f>
        <v>Q2 2026 Earnings Release (Projected)</v>
      </c>
      <c r="I349" s="282"/>
      <c r="J349" s="274" t="str" cm="1">
        <f t="array" ref="J349">_xll.FDSB($C349,"CS_EVENT_DATEJ_N("&amp;$AB$18&amp;",1)")</f>
        <v/>
      </c>
      <c r="K349" s="282" t="str" cm="1">
        <f t="array" ref="K349">_xll.FDSB($C349,"CS_EVENT_TIME_N("&amp;$AB$18&amp;",1)")</f>
        <v/>
      </c>
      <c r="L349" s="282" t="str" cm="1">
        <f t="array" ref="L349">_xll.FDSB($C349,"CS_EVENT_DESC_N("&amp;$AB$18&amp;",1)")</f>
        <v/>
      </c>
      <c r="M349" s="300"/>
      <c r="N349" s="274" cm="1">
        <f t="array" ref="N349">_xll.FDSB($C349,"CS_EVENT_DATEJ_N("&amp;$AA$18&amp;",2)")</f>
        <v>46324</v>
      </c>
      <c r="O349" s="282" t="str" cm="1">
        <f t="array" ref="O349">_xll.FDSB($C349,"CS_EVENT_TIME_N("&amp;$AA$18&amp;",2)")</f>
        <v>Unspecified</v>
      </c>
      <c r="P349" s="282" t="str" cm="1">
        <f t="array" ref="P349">_xll.FDSB($C349,"CS_EVENT_DESC_N("&amp;$AA$18&amp;",2)")</f>
        <v>Q3 2026 Earnings Release (Projected)</v>
      </c>
      <c r="Q349" s="282"/>
      <c r="R349" s="274" cm="1">
        <f t="array" ref="R349">_xll.FDSB($C349,"CS_EVENT_DATEJ_N("&amp;$AA$18&amp;",3)")</f>
        <v>46434</v>
      </c>
      <c r="S349" s="282" t="str" cm="1">
        <f t="array" ref="S349">_xll.FDSB($C349,"CS_EVENT_TIME_N("&amp;$AA$18&amp;",3)")</f>
        <v>Unspecified</v>
      </c>
      <c r="T349" s="282" t="str" cm="1">
        <f t="array" ref="T349">_xll.FDSB($C349,"CS_EVENT_DESC_N("&amp;$AA$18&amp;",3)")</f>
        <v>Q4 2026 Earnings Release (Projected)</v>
      </c>
      <c r="U349" s="282"/>
      <c r="V349" s="274" cm="1">
        <f t="array" ref="V349">_xll.FDSB($C349,"CS_EVENT_DATEJ_N("&amp;$AA$18&amp;",4)")</f>
        <v>46518</v>
      </c>
      <c r="W349" s="282" t="str" cm="1">
        <f t="array" ref="W349">_xll.FDSB($C349,"CS_EVENT_TIME_N("&amp;$AA$18&amp;",4)")</f>
        <v>Unspecified</v>
      </c>
      <c r="X349" s="282" t="str" cm="1">
        <f t="array" ref="X349">_xll.FDSB($C349,"CS_EVENT_DESC_N("&amp;$AA$18&amp;",4)")</f>
        <v>Q1 2027 Earnings Release (Projected)</v>
      </c>
    </row>
    <row r="350" spans="2:24" x14ac:dyDescent="0.15">
      <c r="B350" s="298">
        <f t="shared" si="7"/>
        <v>335</v>
      </c>
      <c r="C350" s="299" t="str">
        <v>AME</v>
      </c>
      <c r="D350" s="300" t="str" cm="1">
        <f t="array" ref="D350">_xll.FDSB($C350,"FG_COMPANY_NAME")</f>
        <v>AMETEK, Inc.</v>
      </c>
      <c r="E350" s="300"/>
      <c r="F350" s="274" cm="1">
        <f t="array" ref="F350">_xll.FDSB($C350,"CS_EVENT_DATEJ_N("&amp;$AA$18&amp;",1)")</f>
        <v>46238</v>
      </c>
      <c r="G350" s="282" t="str" cm="1">
        <f t="array" ref="G350">_xll.FDSB($C350,"CS_EVENT_TIME_N("&amp;$AA$18&amp;",1)")</f>
        <v>Unspecified</v>
      </c>
      <c r="H350" s="282" t="str" cm="1">
        <f t="array" ref="H350">_xll.FDSB($C350,"CS_EVENT_DESC_N("&amp;$AA$18&amp;",1)")</f>
        <v>Q2 2026 Earnings Release (Projected)</v>
      </c>
      <c r="I350" s="282"/>
      <c r="J350" s="274" t="str" cm="1">
        <f t="array" ref="J350">_xll.FDSB($C350,"CS_EVENT_DATEJ_N("&amp;$AB$18&amp;",1)")</f>
        <v/>
      </c>
      <c r="K350" s="282" t="str" cm="1">
        <f t="array" ref="K350">_xll.FDSB($C350,"CS_EVENT_TIME_N("&amp;$AB$18&amp;",1)")</f>
        <v/>
      </c>
      <c r="L350" s="282" t="str" cm="1">
        <f t="array" ref="L350">_xll.FDSB($C350,"CS_EVENT_DESC_N("&amp;$AB$18&amp;",1)")</f>
        <v/>
      </c>
      <c r="M350" s="300"/>
      <c r="N350" s="274" cm="1">
        <f t="array" ref="N350">_xll.FDSB($C350,"CS_EVENT_DATEJ_N("&amp;$AA$18&amp;",2)")</f>
        <v>46329</v>
      </c>
      <c r="O350" s="282" t="str" cm="1">
        <f t="array" ref="O350">_xll.FDSB($C350,"CS_EVENT_TIME_N("&amp;$AA$18&amp;",2)")</f>
        <v>Unspecified</v>
      </c>
      <c r="P350" s="282" t="str" cm="1">
        <f t="array" ref="P350">_xll.FDSB($C350,"CS_EVENT_DESC_N("&amp;$AA$18&amp;",2)")</f>
        <v>Q3 2026 Earnings Release (Projected)</v>
      </c>
      <c r="Q350" s="282"/>
      <c r="R350" s="274" cm="1">
        <f t="array" ref="R350">_xll.FDSB($C350,"CS_EVENT_DATEJ_N("&amp;$AA$18&amp;",3)")</f>
        <v>46422</v>
      </c>
      <c r="S350" s="282" t="str" cm="1">
        <f t="array" ref="S350">_xll.FDSB($C350,"CS_EVENT_TIME_N("&amp;$AA$18&amp;",3)")</f>
        <v>Unspecified</v>
      </c>
      <c r="T350" s="282" t="str" cm="1">
        <f t="array" ref="T350">_xll.FDSB($C350,"CS_EVENT_DESC_N("&amp;$AA$18&amp;",3)")</f>
        <v>Q4 2026 Earnings Release (Projected)</v>
      </c>
      <c r="U350" s="282"/>
      <c r="V350" s="274" cm="1">
        <f t="array" ref="V350">_xll.FDSB($C350,"CS_EVENT_DATEJ_N("&amp;$AA$18&amp;",4)")</f>
        <v>46511</v>
      </c>
      <c r="W350" s="282" t="str" cm="1">
        <f t="array" ref="W350">_xll.FDSB($C350,"CS_EVENT_TIME_N("&amp;$AA$18&amp;",4)")</f>
        <v>Unspecified</v>
      </c>
      <c r="X350" s="282" t="str" cm="1">
        <f t="array" ref="X350">_xll.FDSB($C350,"CS_EVENT_DESC_N("&amp;$AA$18&amp;",4)")</f>
        <v>Q1 2027 Earnings Release (Projected)</v>
      </c>
    </row>
    <row r="351" spans="2:24" x14ac:dyDescent="0.15">
      <c r="B351" s="298">
        <f t="shared" si="7"/>
        <v>336</v>
      </c>
      <c r="C351" s="299" t="str">
        <v>ITW</v>
      </c>
      <c r="D351" s="300" t="str" cm="1">
        <f t="array" ref="D351">_xll.FDSB($C351,"FG_COMPANY_NAME")</f>
        <v>Illinois Tool Works Inc.</v>
      </c>
      <c r="E351" s="300"/>
      <c r="F351" s="274" cm="1">
        <f t="array" ref="F351">_xll.FDSB($C351,"CS_EVENT_DATEJ_N("&amp;$AA$18&amp;",1)")</f>
        <v>46238</v>
      </c>
      <c r="G351" s="282" t="str" cm="1">
        <f t="array" ref="G351">_xll.FDSB($C351,"CS_EVENT_TIME_N("&amp;$AA$18&amp;",1)")</f>
        <v>Unspecified</v>
      </c>
      <c r="H351" s="282" t="str" cm="1">
        <f t="array" ref="H351">_xll.FDSB($C351,"CS_EVENT_DESC_N("&amp;$AA$18&amp;",1)")</f>
        <v>Q2 2026 Earnings Release (Projected)</v>
      </c>
      <c r="I351" s="282"/>
      <c r="J351" s="274" t="str" cm="1">
        <f t="array" ref="J351">_xll.FDSB($C351,"CS_EVENT_DATEJ_N("&amp;$AB$18&amp;",1)")</f>
        <v/>
      </c>
      <c r="K351" s="282" t="str" cm="1">
        <f t="array" ref="K351">_xll.FDSB($C351,"CS_EVENT_TIME_N("&amp;$AB$18&amp;",1)")</f>
        <v/>
      </c>
      <c r="L351" s="282" t="str" cm="1">
        <f t="array" ref="L351">_xll.FDSB($C351,"CS_EVENT_DESC_N("&amp;$AB$18&amp;",1)")</f>
        <v/>
      </c>
      <c r="M351" s="300"/>
      <c r="N351" s="274" cm="1">
        <f t="array" ref="N351">_xll.FDSB($C351,"CS_EVENT_DATEJ_N("&amp;$AA$18&amp;",2)")</f>
        <v>46322</v>
      </c>
      <c r="O351" s="282" t="str" cm="1">
        <f t="array" ref="O351">_xll.FDSB($C351,"CS_EVENT_TIME_N("&amp;$AA$18&amp;",2)")</f>
        <v>Unspecified</v>
      </c>
      <c r="P351" s="282" t="str" cm="1">
        <f t="array" ref="P351">_xll.FDSB($C351,"CS_EVENT_DESC_N("&amp;$AA$18&amp;",2)")</f>
        <v>Q3 2026 Earnings Release (Projected)</v>
      </c>
      <c r="Q351" s="282"/>
      <c r="R351" s="274" cm="1">
        <f t="array" ref="R351">_xll.FDSB($C351,"CS_EVENT_DATEJ_N("&amp;$AA$18&amp;",3)")</f>
        <v>46422</v>
      </c>
      <c r="S351" s="282" t="str" cm="1">
        <f t="array" ref="S351">_xll.FDSB($C351,"CS_EVENT_TIME_N("&amp;$AA$18&amp;",3)")</f>
        <v>Unspecified</v>
      </c>
      <c r="T351" s="282" t="str" cm="1">
        <f t="array" ref="T351">_xll.FDSB($C351,"CS_EVENT_DESC_N("&amp;$AA$18&amp;",3)")</f>
        <v>Q4 2026 Earnings Release (Projected)</v>
      </c>
      <c r="U351" s="282"/>
      <c r="V351" s="274" cm="1">
        <f t="array" ref="V351">_xll.FDSB($C351,"CS_EVENT_DATEJ_N("&amp;$AA$18&amp;",4)")</f>
        <v>46511</v>
      </c>
      <c r="W351" s="282" t="str" cm="1">
        <f t="array" ref="W351">_xll.FDSB($C351,"CS_EVENT_TIME_N("&amp;$AA$18&amp;",4)")</f>
        <v>Unspecified</v>
      </c>
      <c r="X351" s="282" t="str" cm="1">
        <f t="array" ref="X351">_xll.FDSB($C351,"CS_EVENT_DESC_N("&amp;$AA$18&amp;",4)")</f>
        <v>Q1 2027 Earnings Release (Projected)</v>
      </c>
    </row>
    <row r="352" spans="2:24" x14ac:dyDescent="0.15">
      <c r="B352" s="298">
        <f t="shared" si="7"/>
        <v>337</v>
      </c>
      <c r="C352" s="299" t="str">
        <v>SBUX</v>
      </c>
      <c r="D352" s="300" t="str" cm="1">
        <f t="array" ref="D352">_xll.FDSB($C352,"FG_COMPANY_NAME")</f>
        <v>Starbucks Corporation</v>
      </c>
      <c r="E352" s="300"/>
      <c r="F352" s="274" cm="1">
        <f t="array" ref="F352">_xll.FDSB($C352,"CS_EVENT_DATEJ_N("&amp;$AA$18&amp;",1)")</f>
        <v>46238</v>
      </c>
      <c r="G352" s="282" t="str" cm="1">
        <f t="array" ref="G352">_xll.FDSB($C352,"CS_EVENT_TIME_N("&amp;$AA$18&amp;",1)")</f>
        <v>Unspecified</v>
      </c>
      <c r="H352" s="282" t="str" cm="1">
        <f t="array" ref="H352">_xll.FDSB($C352,"CS_EVENT_DESC_N("&amp;$AA$18&amp;",1)")</f>
        <v>Q3 2026 Earnings Release (Projected)</v>
      </c>
      <c r="I352" s="282"/>
      <c r="J352" s="274" t="str" cm="1">
        <f t="array" ref="J352">_xll.FDSB($C352,"CS_EVENT_DATEJ_N("&amp;$AB$18&amp;",1)")</f>
        <v/>
      </c>
      <c r="K352" s="282" t="str" cm="1">
        <f t="array" ref="K352">_xll.FDSB($C352,"CS_EVENT_TIME_N("&amp;$AB$18&amp;",1)")</f>
        <v/>
      </c>
      <c r="L352" s="282" t="str" cm="1">
        <f t="array" ref="L352">_xll.FDSB($C352,"CS_EVENT_DESC_N("&amp;$AB$18&amp;",1)")</f>
        <v/>
      </c>
      <c r="M352" s="300"/>
      <c r="N352" s="274" cm="1">
        <f t="array" ref="N352">_xll.FDSB($C352,"CS_EVENT_DATEJ_N("&amp;$AA$18&amp;",2)")</f>
        <v>46324</v>
      </c>
      <c r="O352" s="282" t="str" cm="1">
        <f t="array" ref="O352">_xll.FDSB($C352,"CS_EVENT_TIME_N("&amp;$AA$18&amp;",2)")</f>
        <v>Unspecified</v>
      </c>
      <c r="P352" s="282" t="str" cm="1">
        <f t="array" ref="P352">_xll.FDSB($C352,"CS_EVENT_DESC_N("&amp;$AA$18&amp;",2)")</f>
        <v>Q4 2026 Earnings Release (Projected)</v>
      </c>
      <c r="Q352" s="282"/>
      <c r="R352" s="274" cm="1">
        <f t="array" ref="R352">_xll.FDSB($C352,"CS_EVENT_DATEJ_N("&amp;$AA$18&amp;",3)")</f>
        <v>46420</v>
      </c>
      <c r="S352" s="282" t="str" cm="1">
        <f t="array" ref="S352">_xll.FDSB($C352,"CS_EVENT_TIME_N("&amp;$AA$18&amp;",3)")</f>
        <v>Unspecified</v>
      </c>
      <c r="T352" s="282" t="str" cm="1">
        <f t="array" ref="T352">_xll.FDSB($C352,"CS_EVENT_DESC_N("&amp;$AA$18&amp;",3)")</f>
        <v>Q1 2027 Earnings Release (Projected)</v>
      </c>
      <c r="U352" s="282"/>
      <c r="V352" s="274" cm="1">
        <f t="array" ref="V352">_xll.FDSB($C352,"CS_EVENT_DATEJ_N("&amp;$AA$18&amp;",4)")</f>
        <v>46511</v>
      </c>
      <c r="W352" s="282" t="str" cm="1">
        <f t="array" ref="W352">_xll.FDSB($C352,"CS_EVENT_TIME_N("&amp;$AA$18&amp;",4)")</f>
        <v>Unspecified</v>
      </c>
      <c r="X352" s="282" t="str" cm="1">
        <f t="array" ref="X352">_xll.FDSB($C352,"CS_EVENT_DESC_N("&amp;$AA$18&amp;",4)")</f>
        <v>Q2 2027 Earnings Release (Projected)</v>
      </c>
    </row>
    <row r="353" spans="2:24" x14ac:dyDescent="0.15">
      <c r="B353" s="298">
        <f t="shared" si="7"/>
        <v>338</v>
      </c>
      <c r="C353" s="299" t="str">
        <v>GLW</v>
      </c>
      <c r="D353" s="300" t="str" cm="1">
        <f t="array" ref="D353">_xll.FDSB($C353,"FG_COMPANY_NAME")</f>
        <v>Corning Inc</v>
      </c>
      <c r="E353" s="300"/>
      <c r="F353" s="274" cm="1">
        <f t="array" ref="F353">_xll.FDSB($C353,"CS_EVENT_DATEJ_N("&amp;$AA$18&amp;",1)")</f>
        <v>46238</v>
      </c>
      <c r="G353" s="282" t="str" cm="1">
        <f t="array" ref="G353">_xll.FDSB($C353,"CS_EVENT_TIME_N("&amp;$AA$18&amp;",1)")</f>
        <v>Unspecified</v>
      </c>
      <c r="H353" s="282" t="str" cm="1">
        <f t="array" ref="H353">_xll.FDSB($C353,"CS_EVENT_DESC_N("&amp;$AA$18&amp;",1)")</f>
        <v>Q2 2026 Earnings Release (Projected)</v>
      </c>
      <c r="I353" s="282"/>
      <c r="J353" s="274" t="str" cm="1">
        <f t="array" ref="J353">_xll.FDSB($C353,"CS_EVENT_DATEJ_N("&amp;$AB$18&amp;",1)")</f>
        <v/>
      </c>
      <c r="K353" s="282" t="str" cm="1">
        <f t="array" ref="K353">_xll.FDSB($C353,"CS_EVENT_TIME_N("&amp;$AB$18&amp;",1)")</f>
        <v/>
      </c>
      <c r="L353" s="282" t="str" cm="1">
        <f t="array" ref="L353">_xll.FDSB($C353,"CS_EVENT_DESC_N("&amp;$AB$18&amp;",1)")</f>
        <v/>
      </c>
      <c r="M353" s="300"/>
      <c r="N353" s="274" cm="1">
        <f t="array" ref="N353">_xll.FDSB($C353,"CS_EVENT_DATEJ_N("&amp;$AA$18&amp;",2)")</f>
        <v>46329</v>
      </c>
      <c r="O353" s="282" t="str" cm="1">
        <f t="array" ref="O353">_xll.FDSB($C353,"CS_EVENT_TIME_N("&amp;$AA$18&amp;",2)")</f>
        <v>Unspecified</v>
      </c>
      <c r="P353" s="282" t="str" cm="1">
        <f t="array" ref="P353">_xll.FDSB($C353,"CS_EVENT_DESC_N("&amp;$AA$18&amp;",2)")</f>
        <v>Q3 2026 Earnings Release (Projected)</v>
      </c>
      <c r="Q353" s="282"/>
      <c r="R353" s="274" cm="1">
        <f t="array" ref="R353">_xll.FDSB($C353,"CS_EVENT_DATEJ_N("&amp;$AA$18&amp;",3)")</f>
        <v>46421</v>
      </c>
      <c r="S353" s="282" t="str" cm="1">
        <f t="array" ref="S353">_xll.FDSB($C353,"CS_EVENT_TIME_N("&amp;$AA$18&amp;",3)")</f>
        <v>Unspecified</v>
      </c>
      <c r="T353" s="282" t="str" cm="1">
        <f t="array" ref="T353">_xll.FDSB($C353,"CS_EVENT_DESC_N("&amp;$AA$18&amp;",3)")</f>
        <v>Q4 2026 Earnings Release (Projected)</v>
      </c>
      <c r="U353" s="282"/>
      <c r="V353" s="274" cm="1">
        <f t="array" ref="V353">_xll.FDSB($C353,"CS_EVENT_DATEJ_N("&amp;$AA$18&amp;",4)")</f>
        <v>46504</v>
      </c>
      <c r="W353" s="282" t="str" cm="1">
        <f t="array" ref="W353">_xll.FDSB($C353,"CS_EVENT_TIME_N("&amp;$AA$18&amp;",4)")</f>
        <v>Unspecified</v>
      </c>
      <c r="X353" s="282" t="str" cm="1">
        <f t="array" ref="X353">_xll.FDSB($C353,"CS_EVENT_DESC_N("&amp;$AA$18&amp;",4)")</f>
        <v>Q1 2027 Earnings Release (Projected)</v>
      </c>
    </row>
    <row r="354" spans="2:24" x14ac:dyDescent="0.15">
      <c r="B354" s="298">
        <f t="shared" si="7"/>
        <v>339</v>
      </c>
      <c r="C354" s="299" t="str">
        <v>DVN</v>
      </c>
      <c r="D354" s="300" t="str" cm="1">
        <f t="array" ref="D354">_xll.FDSB($C354,"FG_COMPANY_NAME")</f>
        <v>Devon Energy Corporation</v>
      </c>
      <c r="E354" s="300"/>
      <c r="F354" s="274" cm="1">
        <f t="array" ref="F354">_xll.FDSB($C354,"CS_EVENT_DATEJ_N("&amp;$AA$18&amp;",1)")</f>
        <v>46238</v>
      </c>
      <c r="G354" s="282" t="str" cm="1">
        <f t="array" ref="G354">_xll.FDSB($C354,"CS_EVENT_TIME_N("&amp;$AA$18&amp;",1)")</f>
        <v>Unspecified</v>
      </c>
      <c r="H354" s="282" t="str" cm="1">
        <f t="array" ref="H354">_xll.FDSB($C354,"CS_EVENT_DESC_N("&amp;$AA$18&amp;",1)")</f>
        <v>Q2 2026 Earnings Release (Projected)</v>
      </c>
      <c r="I354" s="282"/>
      <c r="J354" s="274" t="str" cm="1">
        <f t="array" ref="J354">_xll.FDSB($C354,"CS_EVENT_DATEJ_N("&amp;$AB$18&amp;",1)")</f>
        <v/>
      </c>
      <c r="K354" s="282" t="str" cm="1">
        <f t="array" ref="K354">_xll.FDSB($C354,"CS_EVENT_TIME_N("&amp;$AB$18&amp;",1)")</f>
        <v/>
      </c>
      <c r="L354" s="282" t="str" cm="1">
        <f t="array" ref="L354">_xll.FDSB($C354,"CS_EVENT_DESC_N("&amp;$AB$18&amp;",1)")</f>
        <v/>
      </c>
      <c r="M354" s="300"/>
      <c r="N354" s="274" cm="1">
        <f t="array" ref="N354">_xll.FDSB($C354,"CS_EVENT_DATEJ_N("&amp;$AA$18&amp;",2)")</f>
        <v>46336</v>
      </c>
      <c r="O354" s="282" t="str" cm="1">
        <f t="array" ref="O354">_xll.FDSB($C354,"CS_EVENT_TIME_N("&amp;$AA$18&amp;",2)")</f>
        <v>Unspecified</v>
      </c>
      <c r="P354" s="282" t="str" cm="1">
        <f t="array" ref="P354">_xll.FDSB($C354,"CS_EVENT_DESC_N("&amp;$AA$18&amp;",2)")</f>
        <v>Q3 2026 Earnings Release (Projected)</v>
      </c>
      <c r="Q354" s="282"/>
      <c r="R354" s="274" cm="1">
        <f t="array" ref="R354">_xll.FDSB($C354,"CS_EVENT_DATEJ_N("&amp;$AA$18&amp;",3)")</f>
        <v>46434</v>
      </c>
      <c r="S354" s="282" t="str" cm="1">
        <f t="array" ref="S354">_xll.FDSB($C354,"CS_EVENT_TIME_N("&amp;$AA$18&amp;",3)")</f>
        <v>Unspecified</v>
      </c>
      <c r="T354" s="282" t="str" cm="1">
        <f t="array" ref="T354">_xll.FDSB($C354,"CS_EVENT_DESC_N("&amp;$AA$18&amp;",3)")</f>
        <v>Q4 2026 Earnings Release (Projected)</v>
      </c>
      <c r="U354" s="282"/>
      <c r="V354" s="274" cm="1">
        <f t="array" ref="V354">_xll.FDSB($C354,"CS_EVENT_DATEJ_N("&amp;$AA$18&amp;",4)")</f>
        <v>46511</v>
      </c>
      <c r="W354" s="282" t="str" cm="1">
        <f t="array" ref="W354">_xll.FDSB($C354,"CS_EVENT_TIME_N("&amp;$AA$18&amp;",4)")</f>
        <v>Unspecified</v>
      </c>
      <c r="X354" s="282" t="str" cm="1">
        <f t="array" ref="X354">_xll.FDSB($C354,"CS_EVENT_DESC_N("&amp;$AA$18&amp;",4)")</f>
        <v>Q1 2027 Earnings Release (Projected)</v>
      </c>
    </row>
    <row r="355" spans="2:24" x14ac:dyDescent="0.15">
      <c r="B355" s="298">
        <f t="shared" si="7"/>
        <v>340</v>
      </c>
      <c r="C355" s="299" t="str">
        <v>WAT</v>
      </c>
      <c r="D355" s="300" t="str" cm="1">
        <f t="array" ref="D355">_xll.FDSB($C355,"FG_COMPANY_NAME")</f>
        <v>Waters Corporation</v>
      </c>
      <c r="E355" s="300"/>
      <c r="F355" s="274" cm="1">
        <f t="array" ref="F355">_xll.FDSB($C355,"CS_EVENT_DATEJ_N("&amp;$AA$18&amp;",1)")</f>
        <v>46238</v>
      </c>
      <c r="G355" s="282" t="str" cm="1">
        <f t="array" ref="G355">_xll.FDSB($C355,"CS_EVENT_TIME_N("&amp;$AA$18&amp;",1)")</f>
        <v>Unspecified</v>
      </c>
      <c r="H355" s="282" t="str" cm="1">
        <f t="array" ref="H355">_xll.FDSB($C355,"CS_EVENT_DESC_N("&amp;$AA$18&amp;",1)")</f>
        <v>Q2 2026 Earnings Release (Projected)</v>
      </c>
      <c r="I355" s="282"/>
      <c r="J355" s="274" t="str" cm="1">
        <f t="array" ref="J355">_xll.FDSB($C355,"CS_EVENT_DATEJ_N("&amp;$AB$18&amp;",1)")</f>
        <v/>
      </c>
      <c r="K355" s="282" t="str" cm="1">
        <f t="array" ref="K355">_xll.FDSB($C355,"CS_EVENT_TIME_N("&amp;$AB$18&amp;",1)")</f>
        <v/>
      </c>
      <c r="L355" s="282" t="str" cm="1">
        <f t="array" ref="L355">_xll.FDSB($C355,"CS_EVENT_DESC_N("&amp;$AB$18&amp;",1)")</f>
        <v/>
      </c>
      <c r="M355" s="300"/>
      <c r="N355" s="274" cm="1">
        <f t="array" ref="N355">_xll.FDSB($C355,"CS_EVENT_DATEJ_N("&amp;$AA$18&amp;",2)")</f>
        <v>46329</v>
      </c>
      <c r="O355" s="282" t="str" cm="1">
        <f t="array" ref="O355">_xll.FDSB($C355,"CS_EVENT_TIME_N("&amp;$AA$18&amp;",2)")</f>
        <v>Unspecified</v>
      </c>
      <c r="P355" s="282" t="str" cm="1">
        <f t="array" ref="P355">_xll.FDSB($C355,"CS_EVENT_DESC_N("&amp;$AA$18&amp;",2)")</f>
        <v>Q3 2026 Earnings Release (Projected)</v>
      </c>
      <c r="Q355" s="282"/>
      <c r="R355" s="274" cm="1">
        <f t="array" ref="R355">_xll.FDSB($C355,"CS_EVENT_DATEJ_N("&amp;$AA$18&amp;",3)")</f>
        <v>46435</v>
      </c>
      <c r="S355" s="282" t="str" cm="1">
        <f t="array" ref="S355">_xll.FDSB($C355,"CS_EVENT_TIME_N("&amp;$AA$18&amp;",3)")</f>
        <v>Unspecified</v>
      </c>
      <c r="T355" s="282" t="str" cm="1">
        <f t="array" ref="T355">_xll.FDSB($C355,"CS_EVENT_DESC_N("&amp;$AA$18&amp;",3)")</f>
        <v>Q4 2026 Earnings Release (Projected)</v>
      </c>
      <c r="U355" s="282"/>
      <c r="V355" s="274" cm="1">
        <f t="array" ref="V355">_xll.FDSB($C355,"CS_EVENT_DATEJ_N("&amp;$AA$18&amp;",4)")</f>
        <v>46518</v>
      </c>
      <c r="W355" s="282" t="str" cm="1">
        <f t="array" ref="W355">_xll.FDSB($C355,"CS_EVENT_TIME_N("&amp;$AA$18&amp;",4)")</f>
        <v>Unspecified</v>
      </c>
      <c r="X355" s="282" t="str" cm="1">
        <f t="array" ref="X355">_xll.FDSB($C355,"CS_EVENT_DESC_N("&amp;$AA$18&amp;",4)")</f>
        <v>Q1 2027 Earnings Release (Projected)</v>
      </c>
    </row>
    <row r="356" spans="2:24" x14ac:dyDescent="0.15">
      <c r="B356" s="298">
        <f t="shared" si="7"/>
        <v>341</v>
      </c>
      <c r="C356" s="299" t="str">
        <v>SWK</v>
      </c>
      <c r="D356" s="300" t="str" cm="1">
        <f t="array" ref="D356">_xll.FDSB($C356,"FG_COMPANY_NAME")</f>
        <v>Stanley Black &amp; Decker, Inc.</v>
      </c>
      <c r="E356" s="300"/>
      <c r="F356" s="274" cm="1">
        <f t="array" ref="F356">_xll.FDSB($C356,"CS_EVENT_DATEJ_N("&amp;$AA$18&amp;",1)")</f>
        <v>46238</v>
      </c>
      <c r="G356" s="282" t="str" cm="1">
        <f t="array" ref="G356">_xll.FDSB($C356,"CS_EVENT_TIME_N("&amp;$AA$18&amp;",1)")</f>
        <v>Unspecified</v>
      </c>
      <c r="H356" s="282" t="str" cm="1">
        <f t="array" ref="H356">_xll.FDSB($C356,"CS_EVENT_DESC_N("&amp;$AA$18&amp;",1)")</f>
        <v>Q2 2026 Earnings Release (Projected)</v>
      </c>
      <c r="I356" s="282"/>
      <c r="J356" s="274" t="str" cm="1">
        <f t="array" ref="J356">_xll.FDSB($C356,"CS_EVENT_DATEJ_N("&amp;$AB$18&amp;",1)")</f>
        <v/>
      </c>
      <c r="K356" s="282" t="str" cm="1">
        <f t="array" ref="K356">_xll.FDSB($C356,"CS_EVENT_TIME_N("&amp;$AB$18&amp;",1)")</f>
        <v/>
      </c>
      <c r="L356" s="282" t="str" cm="1">
        <f t="array" ref="L356">_xll.FDSB($C356,"CS_EVENT_DESC_N("&amp;$AB$18&amp;",1)")</f>
        <v/>
      </c>
      <c r="M356" s="300"/>
      <c r="N356" s="274" cm="1">
        <f t="array" ref="N356">_xll.FDSB($C356,"CS_EVENT_DATEJ_N("&amp;$AA$18&amp;",2)")</f>
        <v>46317</v>
      </c>
      <c r="O356" s="282" t="str" cm="1">
        <f t="array" ref="O356">_xll.FDSB($C356,"CS_EVENT_TIME_N("&amp;$AA$18&amp;",2)")</f>
        <v>Unspecified</v>
      </c>
      <c r="P356" s="282" t="str" cm="1">
        <f t="array" ref="P356">_xll.FDSB($C356,"CS_EVENT_DESC_N("&amp;$AA$18&amp;",2)")</f>
        <v>Q3 2026 Earnings Release (Projected)</v>
      </c>
      <c r="Q356" s="282"/>
      <c r="R356" s="274" cm="1">
        <f t="array" ref="R356">_xll.FDSB($C356,"CS_EVENT_DATEJ_N("&amp;$AA$18&amp;",3)")</f>
        <v>46422</v>
      </c>
      <c r="S356" s="282" t="str" cm="1">
        <f t="array" ref="S356">_xll.FDSB($C356,"CS_EVENT_TIME_N("&amp;$AA$18&amp;",3)")</f>
        <v>Unspecified</v>
      </c>
      <c r="T356" s="282" t="str" cm="1">
        <f t="array" ref="T356">_xll.FDSB($C356,"CS_EVENT_DESC_N("&amp;$AA$18&amp;",3)")</f>
        <v>Q4 2026 Earnings Release (Projected)</v>
      </c>
      <c r="U356" s="282"/>
      <c r="V356" s="274" cm="1">
        <f t="array" ref="V356">_xll.FDSB($C356,"CS_EVENT_DATEJ_N("&amp;$AA$18&amp;",4)")</f>
        <v>46513</v>
      </c>
      <c r="W356" s="282" t="str" cm="1">
        <f t="array" ref="W356">_xll.FDSB($C356,"CS_EVENT_TIME_N("&amp;$AA$18&amp;",4)")</f>
        <v>Unspecified</v>
      </c>
      <c r="X356" s="282" t="str" cm="1">
        <f t="array" ref="X356">_xll.FDSB($C356,"CS_EVENT_DESC_N("&amp;$AA$18&amp;",4)")</f>
        <v>Q1 2027 Earnings Release (Projected)</v>
      </c>
    </row>
    <row r="357" spans="2:24" x14ac:dyDescent="0.15">
      <c r="B357" s="298">
        <f t="shared" si="7"/>
        <v>342</v>
      </c>
      <c r="C357" s="299" t="str">
        <v>ZBRA</v>
      </c>
      <c r="D357" s="300" t="str" cm="1">
        <f t="array" ref="D357">_xll.FDSB($C357,"FG_COMPANY_NAME")</f>
        <v>Zebra Technologies Corporation Class A</v>
      </c>
      <c r="E357" s="300"/>
      <c r="F357" s="274" cm="1">
        <f t="array" ref="F357">_xll.FDSB($C357,"CS_EVENT_DATEJ_N("&amp;$AA$18&amp;",1)")</f>
        <v>46238</v>
      </c>
      <c r="G357" s="282" t="str" cm="1">
        <f t="array" ref="G357">_xll.FDSB($C357,"CS_EVENT_TIME_N("&amp;$AA$18&amp;",1)")</f>
        <v>6:30 AM</v>
      </c>
      <c r="H357" s="282" t="str" cm="1">
        <f t="array" ref="H357">_xll.FDSB($C357,"CS_EVENT_DESC_N("&amp;$AA$18&amp;",1)")</f>
        <v>Q2 2026 Earnings Release</v>
      </c>
      <c r="I357" s="282"/>
      <c r="J357" s="274" t="str" cm="1">
        <f t="array" ref="J357">_xll.FDSB($C357,"CS_EVENT_DATEJ_N("&amp;$AB$18&amp;",1)")</f>
        <v/>
      </c>
      <c r="K357" s="282" t="str" cm="1">
        <f t="array" ref="K357">_xll.FDSB($C357,"CS_EVENT_TIME_N("&amp;$AB$18&amp;",1)")</f>
        <v/>
      </c>
      <c r="L357" s="282" t="str" cm="1">
        <f t="array" ref="L357">_xll.FDSB($C357,"CS_EVENT_DESC_N("&amp;$AB$18&amp;",1)")</f>
        <v/>
      </c>
      <c r="M357" s="300"/>
      <c r="N357" s="274" cm="1">
        <f t="array" ref="N357">_xll.FDSB($C357,"CS_EVENT_DATEJ_N("&amp;$AA$18&amp;",2)")</f>
        <v>46329</v>
      </c>
      <c r="O357" s="282" t="str" cm="1">
        <f t="array" ref="O357">_xll.FDSB($C357,"CS_EVENT_TIME_N("&amp;$AA$18&amp;",2)")</f>
        <v>6:30 AM</v>
      </c>
      <c r="P357" s="282" t="str" cm="1">
        <f t="array" ref="P357">_xll.FDSB($C357,"CS_EVENT_DESC_N("&amp;$AA$18&amp;",2)")</f>
        <v>Q3 2026 Earnings Release</v>
      </c>
      <c r="Q357" s="282"/>
      <c r="R357" s="274" cm="1">
        <f t="array" ref="R357">_xll.FDSB($C357,"CS_EVENT_DATEJ_N("&amp;$AA$18&amp;",3)")</f>
        <v>46436</v>
      </c>
      <c r="S357" s="282" t="str" cm="1">
        <f t="array" ref="S357">_xll.FDSB($C357,"CS_EVENT_TIME_N("&amp;$AA$18&amp;",3)")</f>
        <v>Unspecified</v>
      </c>
      <c r="T357" s="282" t="str" cm="1">
        <f t="array" ref="T357">_xll.FDSB($C357,"CS_EVENT_DESC_N("&amp;$AA$18&amp;",3)")</f>
        <v>Q4 2026 Earnings Release (Projected)</v>
      </c>
      <c r="U357" s="282"/>
      <c r="V357" s="274" cm="1">
        <f t="array" ref="V357">_xll.FDSB($C357,"CS_EVENT_DATEJ_N("&amp;$AA$18&amp;",4)")</f>
        <v>46511</v>
      </c>
      <c r="W357" s="282" t="str" cm="1">
        <f t="array" ref="W357">_xll.FDSB($C357,"CS_EVENT_TIME_N("&amp;$AA$18&amp;",4)")</f>
        <v>Unspecified</v>
      </c>
      <c r="X357" s="282" t="str" cm="1">
        <f t="array" ref="X357">_xll.FDSB($C357,"CS_EVENT_DESC_N("&amp;$AA$18&amp;",4)")</f>
        <v>Q1 2027 Earnings Release (Projected)</v>
      </c>
    </row>
    <row r="358" spans="2:24" x14ac:dyDescent="0.15">
      <c r="B358" s="298">
        <f t="shared" si="7"/>
        <v>343</v>
      </c>
      <c r="C358" s="299" t="str">
        <v>BXP</v>
      </c>
      <c r="D358" s="300" t="str" cm="1">
        <f t="array" ref="D358">_xll.FDSB($C358,"FG_COMPANY_NAME")</f>
        <v>BXP Inc</v>
      </c>
      <c r="E358" s="300"/>
      <c r="F358" s="274" cm="1">
        <f t="array" ref="F358">_xll.FDSB($C358,"CS_EVENT_DATEJ_N("&amp;$AA$18&amp;",1)")</f>
        <v>46238</v>
      </c>
      <c r="G358" s="282" t="str" cm="1">
        <f t="array" ref="G358">_xll.FDSB($C358,"CS_EVENT_TIME_N("&amp;$AA$18&amp;",1)")</f>
        <v>Unspecified</v>
      </c>
      <c r="H358" s="282" t="str" cm="1">
        <f t="array" ref="H358">_xll.FDSB($C358,"CS_EVENT_DESC_N("&amp;$AA$18&amp;",1)")</f>
        <v>Q2 2026 Earnings Release (Projected)</v>
      </c>
      <c r="I358" s="282"/>
      <c r="J358" s="274" t="str" cm="1">
        <f t="array" ref="J358">_xll.FDSB($C358,"CS_EVENT_DATEJ_N("&amp;$AB$18&amp;",1)")</f>
        <v/>
      </c>
      <c r="K358" s="282" t="str" cm="1">
        <f t="array" ref="K358">_xll.FDSB($C358,"CS_EVENT_TIME_N("&amp;$AB$18&amp;",1)")</f>
        <v/>
      </c>
      <c r="L358" s="282" t="str" cm="1">
        <f t="array" ref="L358">_xll.FDSB($C358,"CS_EVENT_DESC_N("&amp;$AB$18&amp;",1)")</f>
        <v/>
      </c>
      <c r="M358" s="300"/>
      <c r="N358" s="274" cm="1">
        <f t="array" ref="N358">_xll.FDSB($C358,"CS_EVENT_DATEJ_N("&amp;$AA$18&amp;",2)")</f>
        <v>46329</v>
      </c>
      <c r="O358" s="282" t="str" cm="1">
        <f t="array" ref="O358">_xll.FDSB($C358,"CS_EVENT_TIME_N("&amp;$AA$18&amp;",2)")</f>
        <v>Unspecified</v>
      </c>
      <c r="P358" s="282" t="str" cm="1">
        <f t="array" ref="P358">_xll.FDSB($C358,"CS_EVENT_DESC_N("&amp;$AA$18&amp;",2)")</f>
        <v>Q3 2026 Earnings Release (Projected)</v>
      </c>
      <c r="Q358" s="282"/>
      <c r="R358" s="274" t="str" cm="1">
        <f t="array" ref="R358">_xll.FDSB($C358,"CS_EVENT_DATEJ_N("&amp;$AA$18&amp;",3)")</f>
        <v/>
      </c>
      <c r="S358" s="282" t="str" cm="1">
        <f t="array" ref="S358">_xll.FDSB($C358,"CS_EVENT_TIME_N("&amp;$AA$18&amp;",3)")</f>
        <v/>
      </c>
      <c r="T358" s="282" t="str" cm="1">
        <f t="array" ref="T358">_xll.FDSB($C358,"CS_EVENT_DESC_N("&amp;$AA$18&amp;",3)")</f>
        <v/>
      </c>
      <c r="U358" s="282"/>
      <c r="V358" s="274" t="str" cm="1">
        <f t="array" ref="V358">_xll.FDSB($C358,"CS_EVENT_DATEJ_N("&amp;$AA$18&amp;",4)")</f>
        <v/>
      </c>
      <c r="W358" s="282" t="str" cm="1">
        <f t="array" ref="W358">_xll.FDSB($C358,"CS_EVENT_TIME_N("&amp;$AA$18&amp;",4)")</f>
        <v/>
      </c>
      <c r="X358" s="282" t="str" cm="1">
        <f t="array" ref="X358">_xll.FDSB($C358,"CS_EVENT_DESC_N("&amp;$AA$18&amp;",4)")</f>
        <v/>
      </c>
    </row>
    <row r="359" spans="2:24" x14ac:dyDescent="0.15">
      <c r="B359" s="298">
        <f t="shared" si="7"/>
        <v>344</v>
      </c>
      <c r="C359" s="299" t="str">
        <v>SYY</v>
      </c>
      <c r="D359" s="300" t="str" cm="1">
        <f t="array" ref="D359">_xll.FDSB($C359,"FG_COMPANY_NAME")</f>
        <v>Sysco Corporation</v>
      </c>
      <c r="E359" s="300"/>
      <c r="F359" s="274" cm="1">
        <f t="array" ref="F359">_xll.FDSB($C359,"CS_EVENT_DATEJ_N("&amp;$AA$18&amp;",1)")</f>
        <v>46238</v>
      </c>
      <c r="G359" s="282" t="str" cm="1">
        <f t="array" ref="G359">_xll.FDSB($C359,"CS_EVENT_TIME_N("&amp;$AA$18&amp;",1)")</f>
        <v>Unspecified</v>
      </c>
      <c r="H359" s="282" t="str" cm="1">
        <f t="array" ref="H359">_xll.FDSB($C359,"CS_EVENT_DESC_N("&amp;$AA$18&amp;",1)")</f>
        <v>Q4 2026 Earnings Release (Projected)</v>
      </c>
      <c r="I359" s="282"/>
      <c r="J359" s="274" t="str" cm="1">
        <f t="array" ref="J359">_xll.FDSB($C359,"CS_EVENT_DATEJ_N("&amp;$AB$18&amp;",1)")</f>
        <v/>
      </c>
      <c r="K359" s="282" t="str" cm="1">
        <f t="array" ref="K359">_xll.FDSB($C359,"CS_EVENT_TIME_N("&amp;$AB$18&amp;",1)")</f>
        <v/>
      </c>
      <c r="L359" s="282" t="str" cm="1">
        <f t="array" ref="L359">_xll.FDSB($C359,"CS_EVENT_DESC_N("&amp;$AB$18&amp;",1)")</f>
        <v/>
      </c>
      <c r="M359" s="300"/>
      <c r="N359" s="274" cm="1">
        <f t="array" ref="N359">_xll.FDSB($C359,"CS_EVENT_DATEJ_N("&amp;$AA$18&amp;",2)")</f>
        <v>46329</v>
      </c>
      <c r="O359" s="282" t="str" cm="1">
        <f t="array" ref="O359">_xll.FDSB($C359,"CS_EVENT_TIME_N("&amp;$AA$18&amp;",2)")</f>
        <v>Unspecified</v>
      </c>
      <c r="P359" s="282" t="str" cm="1">
        <f t="array" ref="P359">_xll.FDSB($C359,"CS_EVENT_DESC_N("&amp;$AA$18&amp;",2)")</f>
        <v>Q1 2027 Earnings Release (Projected)</v>
      </c>
      <c r="Q359" s="282"/>
      <c r="R359" s="274" cm="1">
        <f t="array" ref="R359">_xll.FDSB($C359,"CS_EVENT_DATEJ_N("&amp;$AA$18&amp;",3)")</f>
        <v>46420</v>
      </c>
      <c r="S359" s="282" t="str" cm="1">
        <f t="array" ref="S359">_xll.FDSB($C359,"CS_EVENT_TIME_N("&amp;$AA$18&amp;",3)")</f>
        <v>Unspecified</v>
      </c>
      <c r="T359" s="282" t="str" cm="1">
        <f t="array" ref="T359">_xll.FDSB($C359,"CS_EVENT_DESC_N("&amp;$AA$18&amp;",3)")</f>
        <v>Q2 2027 Earnings Release (Projected)</v>
      </c>
      <c r="U359" s="282"/>
      <c r="V359" s="274" cm="1">
        <f t="array" ref="V359">_xll.FDSB($C359,"CS_EVENT_DATEJ_N("&amp;$AA$18&amp;",4)")</f>
        <v>46511</v>
      </c>
      <c r="W359" s="282" t="str" cm="1">
        <f t="array" ref="W359">_xll.FDSB($C359,"CS_EVENT_TIME_N("&amp;$AA$18&amp;",4)")</f>
        <v>Unspecified</v>
      </c>
      <c r="X359" s="282" t="str" cm="1">
        <f t="array" ref="X359">_xll.FDSB($C359,"CS_EVENT_DESC_N("&amp;$AA$18&amp;",4)")</f>
        <v>Q3 2027 Earnings Release (Projected)</v>
      </c>
    </row>
    <row r="360" spans="2:24" x14ac:dyDescent="0.15">
      <c r="B360" s="298">
        <f t="shared" si="7"/>
        <v>345</v>
      </c>
      <c r="C360" s="299" t="str">
        <v>EXPD</v>
      </c>
      <c r="D360" s="300" t="str" cm="1">
        <f t="array" ref="D360">_xll.FDSB($C360,"FG_COMPANY_NAME")</f>
        <v>Expeditors International of Washington, Inc.</v>
      </c>
      <c r="E360" s="300"/>
      <c r="F360" s="274" cm="1">
        <f t="array" ref="F360">_xll.FDSB($C360,"CS_EVENT_DATEJ_N("&amp;$AA$18&amp;",1)")</f>
        <v>46238</v>
      </c>
      <c r="G360" s="282" t="str" cm="1">
        <f t="array" ref="G360">_xll.FDSB($C360,"CS_EVENT_TIME_N("&amp;$AA$18&amp;",1)")</f>
        <v>Unspecified</v>
      </c>
      <c r="H360" s="282" t="str" cm="1">
        <f t="array" ref="H360">_xll.FDSB($C360,"CS_EVENT_DESC_N("&amp;$AA$18&amp;",1)")</f>
        <v>Q2 2026 Earnings Release</v>
      </c>
      <c r="I360" s="282"/>
      <c r="J360" s="274" t="str" cm="1">
        <f t="array" ref="J360">_xll.FDSB($C360,"CS_EVENT_DATEJ_N("&amp;$AB$18&amp;",1)")</f>
        <v/>
      </c>
      <c r="K360" s="282" t="str" cm="1">
        <f t="array" ref="K360">_xll.FDSB($C360,"CS_EVENT_TIME_N("&amp;$AB$18&amp;",1)")</f>
        <v/>
      </c>
      <c r="L360" s="282" t="str" cm="1">
        <f t="array" ref="L360">_xll.FDSB($C360,"CS_EVENT_DESC_N("&amp;$AB$18&amp;",1)")</f>
        <v/>
      </c>
      <c r="M360" s="300"/>
      <c r="N360" s="274" cm="1">
        <f t="array" ref="N360">_xll.FDSB($C360,"CS_EVENT_DATEJ_N("&amp;$AA$18&amp;",2)")</f>
        <v>46329</v>
      </c>
      <c r="O360" s="282" t="str" cm="1">
        <f t="array" ref="O360">_xll.FDSB($C360,"CS_EVENT_TIME_N("&amp;$AA$18&amp;",2)")</f>
        <v>Unspecified</v>
      </c>
      <c r="P360" s="282" t="str" cm="1">
        <f t="array" ref="P360">_xll.FDSB($C360,"CS_EVENT_DESC_N("&amp;$AA$18&amp;",2)")</f>
        <v>Q3 2026 Earnings Release</v>
      </c>
      <c r="Q360" s="282"/>
      <c r="R360" s="274" cm="1">
        <f t="array" ref="R360">_xll.FDSB($C360,"CS_EVENT_DATEJ_N("&amp;$AA$18&amp;",3)")</f>
        <v>46434</v>
      </c>
      <c r="S360" s="282" t="str" cm="1">
        <f t="array" ref="S360">_xll.FDSB($C360,"CS_EVENT_TIME_N("&amp;$AA$18&amp;",3)")</f>
        <v>Unspecified</v>
      </c>
      <c r="T360" s="282" t="str" cm="1">
        <f t="array" ref="T360">_xll.FDSB($C360,"CS_EVENT_DESC_N("&amp;$AA$18&amp;",3)")</f>
        <v>Q4 2026 Earnings Release</v>
      </c>
      <c r="U360" s="282"/>
      <c r="V360" s="274" cm="1">
        <f t="array" ref="V360">_xll.FDSB($C360,"CS_EVENT_DATEJ_N("&amp;$AA$18&amp;",4)")</f>
        <v>46511</v>
      </c>
      <c r="W360" s="282" t="str" cm="1">
        <f t="array" ref="W360">_xll.FDSB($C360,"CS_EVENT_TIME_N("&amp;$AA$18&amp;",4)")</f>
        <v>Unspecified</v>
      </c>
      <c r="X360" s="282" t="str" cm="1">
        <f t="array" ref="X360">_xll.FDSB($C360,"CS_EVENT_DESC_N("&amp;$AA$18&amp;",4)")</f>
        <v>Q1 2027 Earnings Release (Projected)</v>
      </c>
    </row>
    <row r="361" spans="2:24" x14ac:dyDescent="0.15">
      <c r="B361" s="298">
        <f t="shared" si="7"/>
        <v>346</v>
      </c>
      <c r="C361" s="299" t="str">
        <v>ETN</v>
      </c>
      <c r="D361" s="300" t="str" cm="1">
        <f t="array" ref="D361">_xll.FDSB($C361,"FG_COMPANY_NAME")</f>
        <v>Eaton Corp. Plc</v>
      </c>
      <c r="E361" s="300"/>
      <c r="F361" s="274" cm="1">
        <f t="array" ref="F361">_xll.FDSB($C361,"CS_EVENT_DATEJ_N("&amp;$AA$18&amp;",1)")</f>
        <v>46238</v>
      </c>
      <c r="G361" s="282" t="str" cm="1">
        <f t="array" ref="G361">_xll.FDSB($C361,"CS_EVENT_TIME_N("&amp;$AA$18&amp;",1)")</f>
        <v>Unspecified</v>
      </c>
      <c r="H361" s="282" t="str" cm="1">
        <f t="array" ref="H361">_xll.FDSB($C361,"CS_EVENT_DESC_N("&amp;$AA$18&amp;",1)")</f>
        <v>Q2 2026 Earnings Release (Projected)</v>
      </c>
      <c r="I361" s="282"/>
      <c r="J361" s="274" t="str" cm="1">
        <f t="array" ref="J361">_xll.FDSB($C361,"CS_EVENT_DATEJ_N("&amp;$AB$18&amp;",1)")</f>
        <v/>
      </c>
      <c r="K361" s="282" t="str" cm="1">
        <f t="array" ref="K361">_xll.FDSB($C361,"CS_EVENT_TIME_N("&amp;$AB$18&amp;",1)")</f>
        <v/>
      </c>
      <c r="L361" s="282" t="str" cm="1">
        <f t="array" ref="L361">_xll.FDSB($C361,"CS_EVENT_DESC_N("&amp;$AB$18&amp;",1)")</f>
        <v/>
      </c>
      <c r="M361" s="300"/>
      <c r="N361" s="274" cm="1">
        <f t="array" ref="N361">_xll.FDSB($C361,"CS_EVENT_DATEJ_N("&amp;$AA$18&amp;",2)")</f>
        <v>46329</v>
      </c>
      <c r="O361" s="282" t="str" cm="1">
        <f t="array" ref="O361">_xll.FDSB($C361,"CS_EVENT_TIME_N("&amp;$AA$18&amp;",2)")</f>
        <v>Unspecified</v>
      </c>
      <c r="P361" s="282" t="str" cm="1">
        <f t="array" ref="P361">_xll.FDSB($C361,"CS_EVENT_DESC_N("&amp;$AA$18&amp;",2)")</f>
        <v>Q3 2026 Earnings Release (Projected)</v>
      </c>
      <c r="Q361" s="282"/>
      <c r="R361" s="274" cm="1">
        <f t="array" ref="R361">_xll.FDSB($C361,"CS_EVENT_DATEJ_N("&amp;$AA$18&amp;",3)")</f>
        <v>46511</v>
      </c>
      <c r="S361" s="282" t="str" cm="1">
        <f t="array" ref="S361">_xll.FDSB($C361,"CS_EVENT_TIME_N("&amp;$AA$18&amp;",3)")</f>
        <v>Unspecified</v>
      </c>
      <c r="T361" s="282" t="str" cm="1">
        <f t="array" ref="T361">_xll.FDSB($C361,"CS_EVENT_DESC_N("&amp;$AA$18&amp;",3)")</f>
        <v>Q1 2027 Earnings Release (Projected)</v>
      </c>
      <c r="U361" s="282"/>
      <c r="V361" s="274" t="str" cm="1">
        <f t="array" ref="V361">_xll.FDSB($C361,"CS_EVENT_DATEJ_N("&amp;$AA$18&amp;",4)")</f>
        <v/>
      </c>
      <c r="W361" s="282" t="str" cm="1">
        <f t="array" ref="W361">_xll.FDSB($C361,"CS_EVENT_TIME_N("&amp;$AA$18&amp;",4)")</f>
        <v/>
      </c>
      <c r="X361" s="282" t="str" cm="1">
        <f t="array" ref="X361">_xll.FDSB($C361,"CS_EVENT_DESC_N("&amp;$AA$18&amp;",4)")</f>
        <v/>
      </c>
    </row>
    <row r="362" spans="2:24" x14ac:dyDescent="0.15">
      <c r="B362" s="298">
        <f t="shared" si="7"/>
        <v>347</v>
      </c>
      <c r="C362" s="299" t="str">
        <v>PG</v>
      </c>
      <c r="D362" s="300" t="str" cm="1">
        <f t="array" ref="D362">_xll.FDSB($C362,"FG_COMPANY_NAME")</f>
        <v>Procter &amp; Gamble Company</v>
      </c>
      <c r="E362" s="300"/>
      <c r="F362" s="274" cm="1">
        <f t="array" ref="F362">_xll.FDSB($C362,"CS_EVENT_DATEJ_N("&amp;$AA$18&amp;",1)")</f>
        <v>46238</v>
      </c>
      <c r="G362" s="282" t="str" cm="1">
        <f t="array" ref="G362">_xll.FDSB($C362,"CS_EVENT_TIME_N("&amp;$AA$18&amp;",1)")</f>
        <v>Unspecified</v>
      </c>
      <c r="H362" s="282" t="str" cm="1">
        <f t="array" ref="H362">_xll.FDSB($C362,"CS_EVENT_DESC_N("&amp;$AA$18&amp;",1)")</f>
        <v>Q4 2026 Earnings Release (Projected)</v>
      </c>
      <c r="I362" s="282"/>
      <c r="J362" s="274" t="str" cm="1">
        <f t="array" ref="J362">_xll.FDSB($C362,"CS_EVENT_DATEJ_N("&amp;$AB$18&amp;",1)")</f>
        <v/>
      </c>
      <c r="K362" s="282" t="str" cm="1">
        <f t="array" ref="K362">_xll.FDSB($C362,"CS_EVENT_TIME_N("&amp;$AB$18&amp;",1)")</f>
        <v/>
      </c>
      <c r="L362" s="282" t="str" cm="1">
        <f t="array" ref="L362">_xll.FDSB($C362,"CS_EVENT_DESC_N("&amp;$AB$18&amp;",1)")</f>
        <v/>
      </c>
      <c r="M362" s="300"/>
      <c r="N362" s="274" cm="1">
        <f t="array" ref="N362">_xll.FDSB($C362,"CS_EVENT_DATEJ_N("&amp;$AA$18&amp;",2)")</f>
        <v>46316</v>
      </c>
      <c r="O362" s="282" t="str" cm="1">
        <f t="array" ref="O362">_xll.FDSB($C362,"CS_EVENT_TIME_N("&amp;$AA$18&amp;",2)")</f>
        <v>Unspecified</v>
      </c>
      <c r="P362" s="282" t="str" cm="1">
        <f t="array" ref="P362">_xll.FDSB($C362,"CS_EVENT_DESC_N("&amp;$AA$18&amp;",2)")</f>
        <v>Q1 2027 Earnings Release (Projected)</v>
      </c>
      <c r="Q362" s="282"/>
      <c r="R362" s="274" cm="1">
        <f t="array" ref="R362">_xll.FDSB($C362,"CS_EVENT_DATEJ_N("&amp;$AA$18&amp;",3)")</f>
        <v>46407</v>
      </c>
      <c r="S362" s="282" t="str" cm="1">
        <f t="array" ref="S362">_xll.FDSB($C362,"CS_EVENT_TIME_N("&amp;$AA$18&amp;",3)")</f>
        <v>Unspecified</v>
      </c>
      <c r="T362" s="282" t="str" cm="1">
        <f t="array" ref="T362">_xll.FDSB($C362,"CS_EVENT_DESC_N("&amp;$AA$18&amp;",3)")</f>
        <v>Q2 2027 Earnings Release (Projected)</v>
      </c>
      <c r="U362" s="282"/>
      <c r="V362" s="274" cm="1">
        <f t="array" ref="V362">_xll.FDSB($C362,"CS_EVENT_DATEJ_N("&amp;$AA$18&amp;",4)")</f>
        <v>46493</v>
      </c>
      <c r="W362" s="282" t="str" cm="1">
        <f t="array" ref="W362">_xll.FDSB($C362,"CS_EVENT_TIME_N("&amp;$AA$18&amp;",4)")</f>
        <v>Unspecified</v>
      </c>
      <c r="X362" s="282" t="str" cm="1">
        <f t="array" ref="X362">_xll.FDSB($C362,"CS_EVENT_DESC_N("&amp;$AA$18&amp;",4)")</f>
        <v>Q3 2027 Earnings Release (Projected)</v>
      </c>
    </row>
    <row r="363" spans="2:24" x14ac:dyDescent="0.15">
      <c r="B363" s="298">
        <f t="shared" si="7"/>
        <v>348</v>
      </c>
      <c r="C363" s="299" t="str">
        <v>GWW</v>
      </c>
      <c r="D363" s="300" t="str" cm="1">
        <f t="array" ref="D363">_xll.FDSB($C363,"FG_COMPANY_NAME")</f>
        <v>W.W. Grainger, Inc.</v>
      </c>
      <c r="E363" s="300"/>
      <c r="F363" s="274" cm="1">
        <f t="array" ref="F363">_xll.FDSB($C363,"CS_EVENT_DATEJ_N("&amp;$AA$18&amp;",1)")</f>
        <v>46238</v>
      </c>
      <c r="G363" s="282" t="str" cm="1">
        <f t="array" ref="G363">_xll.FDSB($C363,"CS_EVENT_TIME_N("&amp;$AA$18&amp;",1)")</f>
        <v>8:00 AM</v>
      </c>
      <c r="H363" s="282" t="str" cm="1">
        <f t="array" ref="H363">_xll.FDSB($C363,"CS_EVENT_DESC_N("&amp;$AA$18&amp;",1)")</f>
        <v>Q2 2026 Earnings Release</v>
      </c>
      <c r="I363" s="282"/>
      <c r="J363" s="274" cm="1">
        <f t="array" ref="J363">_xll.FDSB($C363,"CS_EVENT_DATEJ_N("&amp;$AB$18&amp;",1)")</f>
        <v>46238</v>
      </c>
      <c r="K363" s="282" t="str" cm="1">
        <f t="array" ref="K363">_xll.FDSB($C363,"CS_EVENT_TIME_N("&amp;$AB$18&amp;",1)")</f>
        <v>11:00 AM</v>
      </c>
      <c r="L363" s="282" t="str" cm="1">
        <f t="array" ref="L363">_xll.FDSB($C363,"CS_EVENT_DESC_N("&amp;$AB$18&amp;",1)")</f>
        <v>Q2 2026 Earnings Call</v>
      </c>
      <c r="M363" s="300"/>
      <c r="N363" s="274" cm="1">
        <f t="array" ref="N363">_xll.FDSB($C363,"CS_EVENT_DATEJ_N("&amp;$AA$18&amp;",2)")</f>
        <v>46330</v>
      </c>
      <c r="O363" s="282" t="str" cm="1">
        <f t="array" ref="O363">_xll.FDSB($C363,"CS_EVENT_TIME_N("&amp;$AA$18&amp;",2)")</f>
        <v>8:00 AM</v>
      </c>
      <c r="P363" s="282" t="str" cm="1">
        <f t="array" ref="P363">_xll.FDSB($C363,"CS_EVENT_DESC_N("&amp;$AA$18&amp;",2)")</f>
        <v>Q3 2026 Earnings Release</v>
      </c>
      <c r="Q363" s="282"/>
      <c r="R363" s="274" cm="1">
        <f t="array" ref="R363">_xll.FDSB($C363,"CS_EVENT_DATEJ_N("&amp;$AA$18&amp;",3)")</f>
        <v>46420</v>
      </c>
      <c r="S363" s="282" t="str" cm="1">
        <f t="array" ref="S363">_xll.FDSB($C363,"CS_EVENT_TIME_N("&amp;$AA$18&amp;",3)")</f>
        <v>8:00 AM</v>
      </c>
      <c r="T363" s="282" t="str" cm="1">
        <f t="array" ref="T363">_xll.FDSB($C363,"CS_EVENT_DESC_N("&amp;$AA$18&amp;",3)")</f>
        <v>Q4 2026 Earnings Release</v>
      </c>
      <c r="U363" s="282"/>
      <c r="V363" s="274" cm="1">
        <f t="array" ref="V363">_xll.FDSB($C363,"CS_EVENT_DATEJ_N("&amp;$AA$18&amp;",4)")</f>
        <v>46506</v>
      </c>
      <c r="W363" s="282" t="str" cm="1">
        <f t="array" ref="W363">_xll.FDSB($C363,"CS_EVENT_TIME_N("&amp;$AA$18&amp;",4)")</f>
        <v>Unspecified</v>
      </c>
      <c r="X363" s="282" t="str" cm="1">
        <f t="array" ref="X363">_xll.FDSB($C363,"CS_EVENT_DESC_N("&amp;$AA$18&amp;",4)")</f>
        <v>Q1 2027 Earnings Release (Projected)</v>
      </c>
    </row>
    <row r="364" spans="2:24" x14ac:dyDescent="0.15">
      <c r="B364" s="298">
        <f t="shared" si="7"/>
        <v>349</v>
      </c>
      <c r="C364" s="299" t="str">
        <v>PEG</v>
      </c>
      <c r="D364" s="300" t="str" cm="1">
        <f t="array" ref="D364">_xll.FDSB($C364,"FG_COMPANY_NAME")</f>
        <v>Public Service Enterprise Group Inc</v>
      </c>
      <c r="E364" s="300"/>
      <c r="F364" s="274" cm="1">
        <f t="array" ref="F364">_xll.FDSB($C364,"CS_EVENT_DATEJ_N("&amp;$AA$18&amp;",1)")</f>
        <v>46238</v>
      </c>
      <c r="G364" s="282" t="str" cm="1">
        <f t="array" ref="G364">_xll.FDSB($C364,"CS_EVENT_TIME_N("&amp;$AA$18&amp;",1)")</f>
        <v>Unspecified</v>
      </c>
      <c r="H364" s="282" t="str" cm="1">
        <f t="array" ref="H364">_xll.FDSB($C364,"CS_EVENT_DESC_N("&amp;$AA$18&amp;",1)")</f>
        <v>Q2 2026 Earnings Release (Projected)</v>
      </c>
      <c r="I364" s="282"/>
      <c r="J364" s="274" t="str" cm="1">
        <f t="array" ref="J364">_xll.FDSB($C364,"CS_EVENT_DATEJ_N("&amp;$AB$18&amp;",1)")</f>
        <v/>
      </c>
      <c r="K364" s="282" t="str" cm="1">
        <f t="array" ref="K364">_xll.FDSB($C364,"CS_EVENT_TIME_N("&amp;$AB$18&amp;",1)")</f>
        <v/>
      </c>
      <c r="L364" s="282" t="str" cm="1">
        <f t="array" ref="L364">_xll.FDSB($C364,"CS_EVENT_DESC_N("&amp;$AB$18&amp;",1)")</f>
        <v/>
      </c>
      <c r="M364" s="300"/>
      <c r="N364" s="274" cm="1">
        <f t="array" ref="N364">_xll.FDSB($C364,"CS_EVENT_DATEJ_N("&amp;$AA$18&amp;",2)")</f>
        <v>46329</v>
      </c>
      <c r="O364" s="282" t="str" cm="1">
        <f t="array" ref="O364">_xll.FDSB($C364,"CS_EVENT_TIME_N("&amp;$AA$18&amp;",2)")</f>
        <v>Unspecified</v>
      </c>
      <c r="P364" s="282" t="str" cm="1">
        <f t="array" ref="P364">_xll.FDSB($C364,"CS_EVENT_DESC_N("&amp;$AA$18&amp;",2)")</f>
        <v>Q3 2026 Earnings Release (Projected)</v>
      </c>
      <c r="Q364" s="282"/>
      <c r="R364" s="274" cm="1">
        <f t="array" ref="R364">_xll.FDSB($C364,"CS_EVENT_DATEJ_N("&amp;$AA$18&amp;",3)")</f>
        <v>46443</v>
      </c>
      <c r="S364" s="282" t="str" cm="1">
        <f t="array" ref="S364">_xll.FDSB($C364,"CS_EVENT_TIME_N("&amp;$AA$18&amp;",3)")</f>
        <v>Unspecified</v>
      </c>
      <c r="T364" s="282" t="str" cm="1">
        <f t="array" ref="T364">_xll.FDSB($C364,"CS_EVENT_DESC_N("&amp;$AA$18&amp;",3)")</f>
        <v>Q4 2026 Earnings Release (Projected)</v>
      </c>
      <c r="U364" s="282"/>
      <c r="V364" s="274" cm="1">
        <f t="array" ref="V364">_xll.FDSB($C364,"CS_EVENT_DATEJ_N("&amp;$AA$18&amp;",4)")</f>
        <v>46511</v>
      </c>
      <c r="W364" s="282" t="str" cm="1">
        <f t="array" ref="W364">_xll.FDSB($C364,"CS_EVENT_TIME_N("&amp;$AA$18&amp;",4)")</f>
        <v>Unspecified</v>
      </c>
      <c r="X364" s="282" t="str" cm="1">
        <f t="array" ref="X364">_xll.FDSB($C364,"CS_EVENT_DESC_N("&amp;$AA$18&amp;",4)")</f>
        <v>Q1 2027 Earnings Release (Projected)</v>
      </c>
    </row>
    <row r="365" spans="2:24" x14ac:dyDescent="0.15">
      <c r="B365" s="298">
        <f t="shared" si="7"/>
        <v>350</v>
      </c>
      <c r="C365" s="299" t="str">
        <v>AMD</v>
      </c>
      <c r="D365" s="300" t="str" cm="1">
        <f t="array" ref="D365">_xll.FDSB($C365,"FG_COMPANY_NAME")</f>
        <v>Advanced Micro Devices, Inc.</v>
      </c>
      <c r="E365" s="300"/>
      <c r="F365" s="274" cm="1">
        <f t="array" ref="F365">_xll.FDSB($C365,"CS_EVENT_DATEJ_N("&amp;$AA$18&amp;",1)")</f>
        <v>46238</v>
      </c>
      <c r="G365" s="282" t="str" cm="1">
        <f t="array" ref="G365">_xll.FDSB($C365,"CS_EVENT_TIME_N("&amp;$AA$18&amp;",1)")</f>
        <v>Unspecified</v>
      </c>
      <c r="H365" s="282" t="str" cm="1">
        <f t="array" ref="H365">_xll.FDSB($C365,"CS_EVENT_DESC_N("&amp;$AA$18&amp;",1)")</f>
        <v>Q2 2026 Earnings Release (Projected)</v>
      </c>
      <c r="I365" s="282"/>
      <c r="J365" s="274" t="str" cm="1">
        <f t="array" ref="J365">_xll.FDSB($C365,"CS_EVENT_DATEJ_N("&amp;$AB$18&amp;",1)")</f>
        <v/>
      </c>
      <c r="K365" s="282" t="str" cm="1">
        <f t="array" ref="K365">_xll.FDSB($C365,"CS_EVENT_TIME_N("&amp;$AB$18&amp;",1)")</f>
        <v/>
      </c>
      <c r="L365" s="282" t="str" cm="1">
        <f t="array" ref="L365">_xll.FDSB($C365,"CS_EVENT_DESC_N("&amp;$AB$18&amp;",1)")</f>
        <v/>
      </c>
      <c r="M365" s="300"/>
      <c r="N365" s="274" cm="1">
        <f t="array" ref="N365">_xll.FDSB($C365,"CS_EVENT_DATEJ_N("&amp;$AA$18&amp;",2)")</f>
        <v>46329</v>
      </c>
      <c r="O365" s="282" t="str" cm="1">
        <f t="array" ref="O365">_xll.FDSB($C365,"CS_EVENT_TIME_N("&amp;$AA$18&amp;",2)")</f>
        <v>Unspecified</v>
      </c>
      <c r="P365" s="282" t="str" cm="1">
        <f t="array" ref="P365">_xll.FDSB($C365,"CS_EVENT_DESC_N("&amp;$AA$18&amp;",2)")</f>
        <v>Q3 2026 Earnings Release (Projected)</v>
      </c>
      <c r="Q365" s="282"/>
      <c r="R365" s="274" cm="1">
        <f t="array" ref="R365">_xll.FDSB($C365,"CS_EVENT_DATEJ_N("&amp;$AA$18&amp;",3)")</f>
        <v>46420</v>
      </c>
      <c r="S365" s="282" t="str" cm="1">
        <f t="array" ref="S365">_xll.FDSB($C365,"CS_EVENT_TIME_N("&amp;$AA$18&amp;",3)")</f>
        <v>Unspecified</v>
      </c>
      <c r="T365" s="282" t="str" cm="1">
        <f t="array" ref="T365">_xll.FDSB($C365,"CS_EVENT_DESC_N("&amp;$AA$18&amp;",3)")</f>
        <v>Q4 2026 Earnings Release (Projected)</v>
      </c>
      <c r="U365" s="282"/>
      <c r="V365" s="274" cm="1">
        <f t="array" ref="V365">_xll.FDSB($C365,"CS_EVENT_DATEJ_N("&amp;$AA$18&amp;",4)")</f>
        <v>46511</v>
      </c>
      <c r="W365" s="282" t="str" cm="1">
        <f t="array" ref="W365">_xll.FDSB($C365,"CS_EVENT_TIME_N("&amp;$AA$18&amp;",4)")</f>
        <v>Unspecified</v>
      </c>
      <c r="X365" s="282" t="str" cm="1">
        <f t="array" ref="X365">_xll.FDSB($C365,"CS_EVENT_DESC_N("&amp;$AA$18&amp;",4)")</f>
        <v>Q1 2027 Earnings Release (Projected)</v>
      </c>
    </row>
    <row r="366" spans="2:24" x14ac:dyDescent="0.15">
      <c r="B366" s="298">
        <f t="shared" si="7"/>
        <v>351</v>
      </c>
      <c r="C366" s="299" t="str">
        <v>OXY</v>
      </c>
      <c r="D366" s="300" t="str" cm="1">
        <f t="array" ref="D366">_xll.FDSB($C366,"FG_COMPANY_NAME")</f>
        <v>Occidental Petroleum Corporation</v>
      </c>
      <c r="E366" s="300"/>
      <c r="F366" s="274" cm="1">
        <f t="array" ref="F366">_xll.FDSB($C366,"CS_EVENT_DATEJ_N("&amp;$AA$18&amp;",1)")</f>
        <v>46238</v>
      </c>
      <c r="G366" s="282" t="str" cm="1">
        <f t="array" ref="G366">_xll.FDSB($C366,"CS_EVENT_TIME_N("&amp;$AA$18&amp;",1)")</f>
        <v>Unspecified</v>
      </c>
      <c r="H366" s="282" t="str" cm="1">
        <f t="array" ref="H366">_xll.FDSB($C366,"CS_EVENT_DESC_N("&amp;$AA$18&amp;",1)")</f>
        <v>Q2 2026 Earnings Release (Projected)</v>
      </c>
      <c r="I366" s="282"/>
      <c r="J366" s="274" t="str" cm="1">
        <f t="array" ref="J366">_xll.FDSB($C366,"CS_EVENT_DATEJ_N("&amp;$AB$18&amp;",1)")</f>
        <v/>
      </c>
      <c r="K366" s="282" t="str" cm="1">
        <f t="array" ref="K366">_xll.FDSB($C366,"CS_EVENT_TIME_N("&amp;$AB$18&amp;",1)")</f>
        <v/>
      </c>
      <c r="L366" s="282" t="str" cm="1">
        <f t="array" ref="L366">_xll.FDSB($C366,"CS_EVENT_DESC_N("&amp;$AB$18&amp;",1)")</f>
        <v/>
      </c>
      <c r="M366" s="300"/>
      <c r="N366" s="274" cm="1">
        <f t="array" ref="N366">_xll.FDSB($C366,"CS_EVENT_DATEJ_N("&amp;$AA$18&amp;",2)")</f>
        <v>46336</v>
      </c>
      <c r="O366" s="282" t="str" cm="1">
        <f t="array" ref="O366">_xll.FDSB($C366,"CS_EVENT_TIME_N("&amp;$AA$18&amp;",2)")</f>
        <v>Unspecified</v>
      </c>
      <c r="P366" s="282" t="str" cm="1">
        <f t="array" ref="P366">_xll.FDSB($C366,"CS_EVENT_DESC_N("&amp;$AA$18&amp;",2)")</f>
        <v>Q3 2026 Earnings Release (Projected)</v>
      </c>
      <c r="Q366" s="282"/>
      <c r="R366" s="274" cm="1">
        <f t="array" ref="R366">_xll.FDSB($C366,"CS_EVENT_DATEJ_N("&amp;$AA$18&amp;",3)")</f>
        <v>46442</v>
      </c>
      <c r="S366" s="282" t="str" cm="1">
        <f t="array" ref="S366">_xll.FDSB($C366,"CS_EVENT_TIME_N("&amp;$AA$18&amp;",3)")</f>
        <v>Unspecified</v>
      </c>
      <c r="T366" s="282" t="str" cm="1">
        <f t="array" ref="T366">_xll.FDSB($C366,"CS_EVENT_DESC_N("&amp;$AA$18&amp;",3)")</f>
        <v>Q4 2026 Earnings Release (Projected)</v>
      </c>
      <c r="U366" s="282"/>
      <c r="V366" s="274" cm="1">
        <f t="array" ref="V366">_xll.FDSB($C366,"CS_EVENT_DATEJ_N("&amp;$AA$18&amp;",4)")</f>
        <v>46518</v>
      </c>
      <c r="W366" s="282" t="str" cm="1">
        <f t="array" ref="W366">_xll.FDSB($C366,"CS_EVENT_TIME_N("&amp;$AA$18&amp;",4)")</f>
        <v>Unspecified</v>
      </c>
      <c r="X366" s="282" t="str" cm="1">
        <f t="array" ref="X366">_xll.FDSB($C366,"CS_EVENT_DESC_N("&amp;$AA$18&amp;",4)")</f>
        <v>Q1 2027 Earnings Release (Projected)</v>
      </c>
    </row>
    <row r="367" spans="2:24" x14ac:dyDescent="0.15">
      <c r="B367" s="298">
        <f t="shared" si="7"/>
        <v>352</v>
      </c>
      <c r="C367" s="299" t="str">
        <v>MCHP</v>
      </c>
      <c r="D367" s="300" t="str" cm="1">
        <f t="array" ref="D367">_xll.FDSB($C367,"FG_COMPANY_NAME")</f>
        <v>Microchip Technology Incorporated</v>
      </c>
      <c r="E367" s="300"/>
      <c r="F367" s="274" cm="1">
        <f t="array" ref="F367">_xll.FDSB($C367,"CS_EVENT_DATEJ_N("&amp;$AA$18&amp;",1)")</f>
        <v>46238</v>
      </c>
      <c r="G367" s="282" t="str" cm="1">
        <f t="array" ref="G367">_xll.FDSB($C367,"CS_EVENT_TIME_N("&amp;$AA$18&amp;",1)")</f>
        <v>Unspecified</v>
      </c>
      <c r="H367" s="282" t="str" cm="1">
        <f t="array" ref="H367">_xll.FDSB($C367,"CS_EVENT_DESC_N("&amp;$AA$18&amp;",1)")</f>
        <v>Q1 2027 Earnings Release (Projected)</v>
      </c>
      <c r="I367" s="282"/>
      <c r="J367" s="274" t="str" cm="1">
        <f t="array" ref="J367">_xll.FDSB($C367,"CS_EVENT_DATEJ_N("&amp;$AB$18&amp;",1)")</f>
        <v/>
      </c>
      <c r="K367" s="282" t="str" cm="1">
        <f t="array" ref="K367">_xll.FDSB($C367,"CS_EVENT_TIME_N("&amp;$AB$18&amp;",1)")</f>
        <v/>
      </c>
      <c r="L367" s="282" t="str" cm="1">
        <f t="array" ref="L367">_xll.FDSB($C367,"CS_EVENT_DESC_N("&amp;$AB$18&amp;",1)")</f>
        <v/>
      </c>
      <c r="M367" s="300"/>
      <c r="N367" s="274" cm="1">
        <f t="array" ref="N367">_xll.FDSB($C367,"CS_EVENT_DATEJ_N("&amp;$AA$18&amp;",2)")</f>
        <v>46324</v>
      </c>
      <c r="O367" s="282" t="str" cm="1">
        <f t="array" ref="O367">_xll.FDSB($C367,"CS_EVENT_TIME_N("&amp;$AA$18&amp;",2)")</f>
        <v>Unspecified</v>
      </c>
      <c r="P367" s="282" t="str" cm="1">
        <f t="array" ref="P367">_xll.FDSB($C367,"CS_EVENT_DESC_N("&amp;$AA$18&amp;",2)")</f>
        <v>Q2 2027 Earnings Release (Projected)</v>
      </c>
      <c r="Q367" s="282"/>
      <c r="R367" s="274" cm="1">
        <f t="array" ref="R367">_xll.FDSB($C367,"CS_EVENT_DATEJ_N("&amp;$AA$18&amp;",3)")</f>
        <v>46422</v>
      </c>
      <c r="S367" s="282" t="str" cm="1">
        <f t="array" ref="S367">_xll.FDSB($C367,"CS_EVENT_TIME_N("&amp;$AA$18&amp;",3)")</f>
        <v>Unspecified</v>
      </c>
      <c r="T367" s="282" t="str" cm="1">
        <f t="array" ref="T367">_xll.FDSB($C367,"CS_EVENT_DESC_N("&amp;$AA$18&amp;",3)")</f>
        <v>Q3 2027 Earnings Release (Projected)</v>
      </c>
      <c r="U367" s="282"/>
      <c r="V367" s="274" cm="1">
        <f t="array" ref="V367">_xll.FDSB($C367,"CS_EVENT_DATEJ_N("&amp;$AA$18&amp;",4)")</f>
        <v>46517</v>
      </c>
      <c r="W367" s="282" t="str" cm="1">
        <f t="array" ref="W367">_xll.FDSB($C367,"CS_EVENT_TIME_N("&amp;$AA$18&amp;",4)")</f>
        <v>Unspecified</v>
      </c>
      <c r="X367" s="282" t="str" cm="1">
        <f t="array" ref="X367">_xll.FDSB($C367,"CS_EVENT_DESC_N("&amp;$AA$18&amp;",4)")</f>
        <v>Q4 2027 Earnings Release (Projected)</v>
      </c>
    </row>
    <row r="368" spans="2:24" x14ac:dyDescent="0.15">
      <c r="B368" s="298">
        <f t="shared" si="7"/>
        <v>353</v>
      </c>
      <c r="C368" s="299" t="str">
        <v>SPGI</v>
      </c>
      <c r="D368" s="300" t="str" cm="1">
        <f t="array" ref="D368">_xll.FDSB($C368,"FG_COMPANY_NAME")</f>
        <v>S&amp;P Global, Inc.</v>
      </c>
      <c r="E368" s="300"/>
      <c r="F368" s="274" cm="1">
        <f t="array" ref="F368">_xll.FDSB($C368,"CS_EVENT_DATEJ_N("&amp;$AA$18&amp;",1)")</f>
        <v>46238</v>
      </c>
      <c r="G368" s="282" t="str" cm="1">
        <f t="array" ref="G368">_xll.FDSB($C368,"CS_EVENT_TIME_N("&amp;$AA$18&amp;",1)")</f>
        <v>Unspecified</v>
      </c>
      <c r="H368" s="282" t="str" cm="1">
        <f t="array" ref="H368">_xll.FDSB($C368,"CS_EVENT_DESC_N("&amp;$AA$18&amp;",1)")</f>
        <v>Q2 2026 Earnings Release (Projected)</v>
      </c>
      <c r="I368" s="282"/>
      <c r="J368" s="274" t="str" cm="1">
        <f t="array" ref="J368">_xll.FDSB($C368,"CS_EVENT_DATEJ_N("&amp;$AB$18&amp;",1)")</f>
        <v/>
      </c>
      <c r="K368" s="282" t="str" cm="1">
        <f t="array" ref="K368">_xll.FDSB($C368,"CS_EVENT_TIME_N("&amp;$AB$18&amp;",1)")</f>
        <v/>
      </c>
      <c r="L368" s="282" t="str" cm="1">
        <f t="array" ref="L368">_xll.FDSB($C368,"CS_EVENT_DESC_N("&amp;$AB$18&amp;",1)")</f>
        <v/>
      </c>
      <c r="M368" s="300"/>
      <c r="N368" s="274" cm="1">
        <f t="array" ref="N368">_xll.FDSB($C368,"CS_EVENT_DATEJ_N("&amp;$AA$18&amp;",2)")</f>
        <v>46317</v>
      </c>
      <c r="O368" s="282" t="str" cm="1">
        <f t="array" ref="O368">_xll.FDSB($C368,"CS_EVENT_TIME_N("&amp;$AA$18&amp;",2)")</f>
        <v>Unspecified</v>
      </c>
      <c r="P368" s="282" t="str" cm="1">
        <f t="array" ref="P368">_xll.FDSB($C368,"CS_EVENT_DESC_N("&amp;$AA$18&amp;",2)")</f>
        <v>Q3 2026 Earnings Release (Projected)</v>
      </c>
      <c r="Q368" s="282"/>
      <c r="R368" s="274" cm="1">
        <f t="array" ref="R368">_xll.FDSB($C368,"CS_EVENT_DATEJ_N("&amp;$AA$18&amp;",3)")</f>
        <v>46427</v>
      </c>
      <c r="S368" s="282" t="str" cm="1">
        <f t="array" ref="S368">_xll.FDSB($C368,"CS_EVENT_TIME_N("&amp;$AA$18&amp;",3)")</f>
        <v>Unspecified</v>
      </c>
      <c r="T368" s="282" t="str" cm="1">
        <f t="array" ref="T368">_xll.FDSB($C368,"CS_EVENT_DESC_N("&amp;$AA$18&amp;",3)")</f>
        <v>Q4 2026 Earnings Release (Projected)</v>
      </c>
      <c r="U368" s="282"/>
      <c r="V368" s="274" cm="1">
        <f t="array" ref="V368">_xll.FDSB($C368,"CS_EVENT_DATEJ_N("&amp;$AA$18&amp;",4)")</f>
        <v>46506</v>
      </c>
      <c r="W368" s="282" t="str" cm="1">
        <f t="array" ref="W368">_xll.FDSB($C368,"CS_EVENT_TIME_N("&amp;$AA$18&amp;",4)")</f>
        <v>Unspecified</v>
      </c>
      <c r="X368" s="282" t="str" cm="1">
        <f t="array" ref="X368">_xll.FDSB($C368,"CS_EVENT_DESC_N("&amp;$AA$18&amp;",4)")</f>
        <v>Q1 2027 Earnings Release (Projected)</v>
      </c>
    </row>
    <row r="369" spans="2:24" x14ac:dyDescent="0.15">
      <c r="B369" s="298">
        <f t="shared" si="7"/>
        <v>354</v>
      </c>
      <c r="C369" s="299" t="str">
        <v>AIZ</v>
      </c>
      <c r="D369" s="300" t="str" cm="1">
        <f t="array" ref="D369">_xll.FDSB($C369,"FG_COMPANY_NAME")</f>
        <v>Assurant, Inc.</v>
      </c>
      <c r="E369" s="300"/>
      <c r="F369" s="274" cm="1">
        <f t="array" ref="F369">_xll.FDSB($C369,"CS_EVENT_DATEJ_N("&amp;$AA$18&amp;",1)")</f>
        <v>46238</v>
      </c>
      <c r="G369" s="282" t="str" cm="1">
        <f t="array" ref="G369">_xll.FDSB($C369,"CS_EVENT_TIME_N("&amp;$AA$18&amp;",1)")</f>
        <v>Unspecified</v>
      </c>
      <c r="H369" s="282" t="str" cm="1">
        <f t="array" ref="H369">_xll.FDSB($C369,"CS_EVENT_DESC_N("&amp;$AA$18&amp;",1)")</f>
        <v>Q2 2026 Earnings Release (Projected)</v>
      </c>
      <c r="I369" s="282"/>
      <c r="J369" s="274" t="str" cm="1">
        <f t="array" ref="J369">_xll.FDSB($C369,"CS_EVENT_DATEJ_N("&amp;$AB$18&amp;",1)")</f>
        <v/>
      </c>
      <c r="K369" s="282" t="str" cm="1">
        <f t="array" ref="K369">_xll.FDSB($C369,"CS_EVENT_TIME_N("&amp;$AB$18&amp;",1)")</f>
        <v/>
      </c>
      <c r="L369" s="282" t="str" cm="1">
        <f t="array" ref="L369">_xll.FDSB($C369,"CS_EVENT_DESC_N("&amp;$AB$18&amp;",1)")</f>
        <v/>
      </c>
      <c r="M369" s="300"/>
      <c r="N369" s="274" cm="1">
        <f t="array" ref="N369">_xll.FDSB($C369,"CS_EVENT_DATEJ_N("&amp;$AA$18&amp;",2)")</f>
        <v>46329</v>
      </c>
      <c r="O369" s="282" t="str" cm="1">
        <f t="array" ref="O369">_xll.FDSB($C369,"CS_EVENT_TIME_N("&amp;$AA$18&amp;",2)")</f>
        <v>Unspecified</v>
      </c>
      <c r="P369" s="282" t="str" cm="1">
        <f t="array" ref="P369">_xll.FDSB($C369,"CS_EVENT_DESC_N("&amp;$AA$18&amp;",2)")</f>
        <v>Q3 2026 Earnings Release (Projected)</v>
      </c>
      <c r="Q369" s="282"/>
      <c r="R369" s="274" cm="1">
        <f t="array" ref="R369">_xll.FDSB($C369,"CS_EVENT_DATEJ_N("&amp;$AA$18&amp;",3)")</f>
        <v>46427</v>
      </c>
      <c r="S369" s="282" t="str" cm="1">
        <f t="array" ref="S369">_xll.FDSB($C369,"CS_EVENT_TIME_N("&amp;$AA$18&amp;",3)")</f>
        <v>Unspecified</v>
      </c>
      <c r="T369" s="282" t="str" cm="1">
        <f t="array" ref="T369">_xll.FDSB($C369,"CS_EVENT_DESC_N("&amp;$AA$18&amp;",3)")</f>
        <v>Q4 2026 Earnings Release (Projected)</v>
      </c>
      <c r="U369" s="282"/>
      <c r="V369" s="274" cm="1">
        <f t="array" ref="V369">_xll.FDSB($C369,"CS_EVENT_DATEJ_N("&amp;$AA$18&amp;",4)")</f>
        <v>46518</v>
      </c>
      <c r="W369" s="282" t="str" cm="1">
        <f t="array" ref="W369">_xll.FDSB($C369,"CS_EVENT_TIME_N("&amp;$AA$18&amp;",4)")</f>
        <v>Unspecified</v>
      </c>
      <c r="X369" s="282" t="str" cm="1">
        <f t="array" ref="X369">_xll.FDSB($C369,"CS_EVENT_DESC_N("&amp;$AA$18&amp;",4)")</f>
        <v>Q1 2027 Earnings Release (Projected)</v>
      </c>
    </row>
    <row r="370" spans="2:24" x14ac:dyDescent="0.15">
      <c r="B370" s="298">
        <f t="shared" si="7"/>
        <v>355</v>
      </c>
      <c r="C370" s="299" t="str">
        <v>INCY</v>
      </c>
      <c r="D370" s="300" t="str" cm="1">
        <f t="array" ref="D370">_xll.FDSB($C370,"FG_COMPANY_NAME")</f>
        <v>Incyte Corporation</v>
      </c>
      <c r="E370" s="300"/>
      <c r="F370" s="274" cm="1">
        <f t="array" ref="F370">_xll.FDSB($C370,"CS_EVENT_DATEJ_N("&amp;$AA$18&amp;",1)")</f>
        <v>46238</v>
      </c>
      <c r="G370" s="282" t="str" cm="1">
        <f t="array" ref="G370">_xll.FDSB($C370,"CS_EVENT_TIME_N("&amp;$AA$18&amp;",1)")</f>
        <v>Unspecified</v>
      </c>
      <c r="H370" s="282" t="str" cm="1">
        <f t="array" ref="H370">_xll.FDSB($C370,"CS_EVENT_DESC_N("&amp;$AA$18&amp;",1)")</f>
        <v>Q2 2026 Earnings Release (Projected)</v>
      </c>
      <c r="I370" s="282"/>
      <c r="J370" s="274" t="str" cm="1">
        <f t="array" ref="J370">_xll.FDSB($C370,"CS_EVENT_DATEJ_N("&amp;$AB$18&amp;",1)")</f>
        <v/>
      </c>
      <c r="K370" s="282" t="str" cm="1">
        <f t="array" ref="K370">_xll.FDSB($C370,"CS_EVENT_TIME_N("&amp;$AB$18&amp;",1)")</f>
        <v/>
      </c>
      <c r="L370" s="282" t="str" cm="1">
        <f t="array" ref="L370">_xll.FDSB($C370,"CS_EVENT_DESC_N("&amp;$AB$18&amp;",1)")</f>
        <v/>
      </c>
      <c r="M370" s="300"/>
      <c r="N370" s="274" cm="1">
        <f t="array" ref="N370">_xll.FDSB($C370,"CS_EVENT_DATEJ_N("&amp;$AA$18&amp;",2)")</f>
        <v>46329</v>
      </c>
      <c r="O370" s="282" t="str" cm="1">
        <f t="array" ref="O370">_xll.FDSB($C370,"CS_EVENT_TIME_N("&amp;$AA$18&amp;",2)")</f>
        <v>Unspecified</v>
      </c>
      <c r="P370" s="282" t="str" cm="1">
        <f t="array" ref="P370">_xll.FDSB($C370,"CS_EVENT_DESC_N("&amp;$AA$18&amp;",2)")</f>
        <v>Q3 2026 Earnings Release (Projected)</v>
      </c>
      <c r="Q370" s="282"/>
      <c r="R370" s="274" cm="1">
        <f t="array" ref="R370">_xll.FDSB($C370,"CS_EVENT_DATEJ_N("&amp;$AA$18&amp;",3)")</f>
        <v>46427</v>
      </c>
      <c r="S370" s="282" t="str" cm="1">
        <f t="array" ref="S370">_xll.FDSB($C370,"CS_EVENT_TIME_N("&amp;$AA$18&amp;",3)")</f>
        <v>Unspecified</v>
      </c>
      <c r="T370" s="282" t="str" cm="1">
        <f t="array" ref="T370">_xll.FDSB($C370,"CS_EVENT_DESC_N("&amp;$AA$18&amp;",3)")</f>
        <v>Q4 2026 Earnings Release (Projected)</v>
      </c>
      <c r="U370" s="282"/>
      <c r="V370" s="274" cm="1">
        <f t="array" ref="V370">_xll.FDSB($C370,"CS_EVENT_DATEJ_N("&amp;$AA$18&amp;",4)")</f>
        <v>46511</v>
      </c>
      <c r="W370" s="282" t="str" cm="1">
        <f t="array" ref="W370">_xll.FDSB($C370,"CS_EVENT_TIME_N("&amp;$AA$18&amp;",4)")</f>
        <v>Unspecified</v>
      </c>
      <c r="X370" s="282" t="str" cm="1">
        <f t="array" ref="X370">_xll.FDSB($C370,"CS_EVENT_DESC_N("&amp;$AA$18&amp;",4)")</f>
        <v>Q1 2027 Earnings Release (Projected)</v>
      </c>
    </row>
    <row r="371" spans="2:24" x14ac:dyDescent="0.15">
      <c r="B371" s="298">
        <f t="shared" si="7"/>
        <v>356</v>
      </c>
      <c r="C371" s="299" t="str">
        <v>ECL</v>
      </c>
      <c r="D371" s="300" t="str" cm="1">
        <f t="array" ref="D371">_xll.FDSB($C371,"FG_COMPANY_NAME")</f>
        <v>Ecolab Inc.</v>
      </c>
      <c r="E371" s="300"/>
      <c r="F371" s="274" cm="1">
        <f t="array" ref="F371">_xll.FDSB($C371,"CS_EVENT_DATEJ_N("&amp;$AA$18&amp;",1)")</f>
        <v>46238</v>
      </c>
      <c r="G371" s="282" t="str" cm="1">
        <f t="array" ref="G371">_xll.FDSB($C371,"CS_EVENT_TIME_N("&amp;$AA$18&amp;",1)")</f>
        <v>Unspecified</v>
      </c>
      <c r="H371" s="282" t="str" cm="1">
        <f t="array" ref="H371">_xll.FDSB($C371,"CS_EVENT_DESC_N("&amp;$AA$18&amp;",1)")</f>
        <v>Q2 2026 Earnings Release (Projected)</v>
      </c>
      <c r="I371" s="282"/>
      <c r="J371" s="274" t="str" cm="1">
        <f t="array" ref="J371">_xll.FDSB($C371,"CS_EVENT_DATEJ_N("&amp;$AB$18&amp;",1)")</f>
        <v/>
      </c>
      <c r="K371" s="282" t="str" cm="1">
        <f t="array" ref="K371">_xll.FDSB($C371,"CS_EVENT_TIME_N("&amp;$AB$18&amp;",1)")</f>
        <v/>
      </c>
      <c r="L371" s="282" t="str" cm="1">
        <f t="array" ref="L371">_xll.FDSB($C371,"CS_EVENT_DESC_N("&amp;$AB$18&amp;",1)")</f>
        <v/>
      </c>
      <c r="M371" s="300"/>
      <c r="N371" s="274" cm="1">
        <f t="array" ref="N371">_xll.FDSB($C371,"CS_EVENT_DATEJ_N("&amp;$AA$18&amp;",2)")</f>
        <v>46329</v>
      </c>
      <c r="O371" s="282" t="str" cm="1">
        <f t="array" ref="O371">_xll.FDSB($C371,"CS_EVENT_TIME_N("&amp;$AA$18&amp;",2)")</f>
        <v>Unspecified</v>
      </c>
      <c r="P371" s="282" t="str" cm="1">
        <f t="array" ref="P371">_xll.FDSB($C371,"CS_EVENT_DESC_N("&amp;$AA$18&amp;",2)")</f>
        <v>Q3 2026 Earnings Release (Projected)</v>
      </c>
      <c r="Q371" s="282"/>
      <c r="R371" s="274" cm="1">
        <f t="array" ref="R371">_xll.FDSB($C371,"CS_EVENT_DATEJ_N("&amp;$AA$18&amp;",3)")</f>
        <v>46434</v>
      </c>
      <c r="S371" s="282" t="str" cm="1">
        <f t="array" ref="S371">_xll.FDSB($C371,"CS_EVENT_TIME_N("&amp;$AA$18&amp;",3)")</f>
        <v>Unspecified</v>
      </c>
      <c r="T371" s="282" t="str" cm="1">
        <f t="array" ref="T371">_xll.FDSB($C371,"CS_EVENT_DESC_N("&amp;$AA$18&amp;",3)")</f>
        <v>Q4 2026 Earnings Release (Projected)</v>
      </c>
      <c r="U371" s="282"/>
      <c r="V371" s="274" t="str" cm="1">
        <f t="array" ref="V371">_xll.FDSB($C371,"CS_EVENT_DATEJ_N("&amp;$AA$18&amp;",4)")</f>
        <v/>
      </c>
      <c r="W371" s="282" t="str" cm="1">
        <f t="array" ref="W371">_xll.FDSB($C371,"CS_EVENT_TIME_N("&amp;$AA$18&amp;",4)")</f>
        <v/>
      </c>
      <c r="X371" s="282" t="str" cm="1">
        <f t="array" ref="X371">_xll.FDSB($C371,"CS_EVENT_DESC_N("&amp;$AA$18&amp;",4)")</f>
        <v/>
      </c>
    </row>
    <row r="372" spans="2:24" x14ac:dyDescent="0.15">
      <c r="B372" s="298">
        <f t="shared" si="7"/>
        <v>357</v>
      </c>
      <c r="C372" s="299" t="str">
        <v>PSA</v>
      </c>
      <c r="D372" s="300" t="str" cm="1">
        <f t="array" ref="D372">_xll.FDSB($C372,"FG_COMPANY_NAME")</f>
        <v>Public Storage</v>
      </c>
      <c r="E372" s="300"/>
      <c r="F372" s="274" cm="1">
        <f t="array" ref="F372">_xll.FDSB($C372,"CS_EVENT_DATEJ_N("&amp;$AA$18&amp;",1)")</f>
        <v>46238</v>
      </c>
      <c r="G372" s="282" t="str" cm="1">
        <f t="array" ref="G372">_xll.FDSB($C372,"CS_EVENT_TIME_N("&amp;$AA$18&amp;",1)")</f>
        <v>Unspecified</v>
      </c>
      <c r="H372" s="282" t="str" cm="1">
        <f t="array" ref="H372">_xll.FDSB($C372,"CS_EVENT_DESC_N("&amp;$AA$18&amp;",1)")</f>
        <v>Q2 2026 Earnings Release (Projected)</v>
      </c>
      <c r="I372" s="282"/>
      <c r="J372" s="274" t="str" cm="1">
        <f t="array" ref="J372">_xll.FDSB($C372,"CS_EVENT_DATEJ_N("&amp;$AB$18&amp;",1)")</f>
        <v/>
      </c>
      <c r="K372" s="282" t="str" cm="1">
        <f t="array" ref="K372">_xll.FDSB($C372,"CS_EVENT_TIME_N("&amp;$AB$18&amp;",1)")</f>
        <v/>
      </c>
      <c r="L372" s="282" t="str" cm="1">
        <f t="array" ref="L372">_xll.FDSB($C372,"CS_EVENT_DESC_N("&amp;$AB$18&amp;",1)")</f>
        <v/>
      </c>
      <c r="M372" s="300"/>
      <c r="N372" s="274" cm="1">
        <f t="array" ref="N372">_xll.FDSB($C372,"CS_EVENT_DATEJ_N("&amp;$AA$18&amp;",2)")</f>
        <v>46328</v>
      </c>
      <c r="O372" s="282" t="str" cm="1">
        <f t="array" ref="O372">_xll.FDSB($C372,"CS_EVENT_TIME_N("&amp;$AA$18&amp;",2)")</f>
        <v>Unspecified</v>
      </c>
      <c r="P372" s="282" t="str" cm="1">
        <f t="array" ref="P372">_xll.FDSB($C372,"CS_EVENT_DESC_N("&amp;$AA$18&amp;",2)")</f>
        <v>Q3 2026 Earnings Release (Projected)</v>
      </c>
      <c r="Q372" s="282"/>
      <c r="R372" s="274" cm="1">
        <f t="array" ref="R372">_xll.FDSB($C372,"CS_EVENT_DATEJ_N("&amp;$AA$18&amp;",3)")</f>
        <v>46441</v>
      </c>
      <c r="S372" s="282" t="str" cm="1">
        <f t="array" ref="S372">_xll.FDSB($C372,"CS_EVENT_TIME_N("&amp;$AA$18&amp;",3)")</f>
        <v>Unspecified</v>
      </c>
      <c r="T372" s="282" t="str" cm="1">
        <f t="array" ref="T372">_xll.FDSB($C372,"CS_EVENT_DESC_N("&amp;$AA$18&amp;",3)")</f>
        <v>Q4 2026 Earnings Release (Projected)</v>
      </c>
      <c r="U372" s="282"/>
      <c r="V372" s="274" cm="1">
        <f t="array" ref="V372">_xll.FDSB($C372,"CS_EVENT_DATEJ_N("&amp;$AA$18&amp;",4)")</f>
        <v>46511</v>
      </c>
      <c r="W372" s="282" t="str" cm="1">
        <f t="array" ref="W372">_xll.FDSB($C372,"CS_EVENT_TIME_N("&amp;$AA$18&amp;",4)")</f>
        <v>Unspecified</v>
      </c>
      <c r="X372" s="282" t="str" cm="1">
        <f t="array" ref="X372">_xll.FDSB($C372,"CS_EVENT_DESC_N("&amp;$AA$18&amp;",4)")</f>
        <v>Q1 2027 Earnings Release (Projected)</v>
      </c>
    </row>
    <row r="373" spans="2:24" x14ac:dyDescent="0.15">
      <c r="B373" s="298">
        <f t="shared" si="7"/>
        <v>358</v>
      </c>
      <c r="C373" s="299" t="str">
        <v>CNP</v>
      </c>
      <c r="D373" s="300" t="str" cm="1">
        <f t="array" ref="D373">_xll.FDSB($C373,"FG_COMPANY_NAME")</f>
        <v>CenterPoint Energy, Inc.</v>
      </c>
      <c r="E373" s="300"/>
      <c r="F373" s="274" cm="1">
        <f t="array" ref="F373">_xll.FDSB($C373,"CS_EVENT_DATEJ_N("&amp;$AA$18&amp;",1)")</f>
        <v>46238</v>
      </c>
      <c r="G373" s="282" t="str" cm="1">
        <f t="array" ref="G373">_xll.FDSB($C373,"CS_EVENT_TIME_N("&amp;$AA$18&amp;",1)")</f>
        <v>Unspecified</v>
      </c>
      <c r="H373" s="282" t="str" cm="1">
        <f t="array" ref="H373">_xll.FDSB($C373,"CS_EVENT_DESC_N("&amp;$AA$18&amp;",1)")</f>
        <v>Q2 2026 Earnings Release (Projected)</v>
      </c>
      <c r="I373" s="282"/>
      <c r="J373" s="274" t="str" cm="1">
        <f t="array" ref="J373">_xll.FDSB($C373,"CS_EVENT_DATEJ_N("&amp;$AB$18&amp;",1)")</f>
        <v/>
      </c>
      <c r="K373" s="282" t="str" cm="1">
        <f t="array" ref="K373">_xll.FDSB($C373,"CS_EVENT_TIME_N("&amp;$AB$18&amp;",1)")</f>
        <v/>
      </c>
      <c r="L373" s="282" t="str" cm="1">
        <f t="array" ref="L373">_xll.FDSB($C373,"CS_EVENT_DESC_N("&amp;$AB$18&amp;",1)")</f>
        <v/>
      </c>
      <c r="M373" s="300"/>
      <c r="N373" s="274" cm="1">
        <f t="array" ref="N373">_xll.FDSB($C373,"CS_EVENT_DATEJ_N("&amp;$AA$18&amp;",2)")</f>
        <v>46330</v>
      </c>
      <c r="O373" s="282" t="str" cm="1">
        <f t="array" ref="O373">_xll.FDSB($C373,"CS_EVENT_TIME_N("&amp;$AA$18&amp;",2)")</f>
        <v>Unspecified</v>
      </c>
      <c r="P373" s="282" t="str" cm="1">
        <f t="array" ref="P373">_xll.FDSB($C373,"CS_EVENT_DESC_N("&amp;$AA$18&amp;",2)")</f>
        <v>Q3 2026 Earnings Release (Projected)</v>
      </c>
      <c r="Q373" s="282"/>
      <c r="R373" s="274" cm="1">
        <f t="array" ref="R373">_xll.FDSB($C373,"CS_EVENT_DATEJ_N("&amp;$AA$18&amp;",3)")</f>
        <v>46443</v>
      </c>
      <c r="S373" s="282" t="str" cm="1">
        <f t="array" ref="S373">_xll.FDSB($C373,"CS_EVENT_TIME_N("&amp;$AA$18&amp;",3)")</f>
        <v>Unspecified</v>
      </c>
      <c r="T373" s="282" t="str" cm="1">
        <f t="array" ref="T373">_xll.FDSB($C373,"CS_EVENT_DESC_N("&amp;$AA$18&amp;",3)")</f>
        <v>Q4 2026 Earnings Release (Projected)</v>
      </c>
      <c r="U373" s="282"/>
      <c r="V373" s="274" cm="1">
        <f t="array" ref="V373">_xll.FDSB($C373,"CS_EVENT_DATEJ_N("&amp;$AA$18&amp;",4)")</f>
        <v>46511</v>
      </c>
      <c r="W373" s="282" t="str" cm="1">
        <f t="array" ref="W373">_xll.FDSB($C373,"CS_EVENT_TIME_N("&amp;$AA$18&amp;",4)")</f>
        <v>Unspecified</v>
      </c>
      <c r="X373" s="282" t="str" cm="1">
        <f t="array" ref="X373">_xll.FDSB($C373,"CS_EVENT_DESC_N("&amp;$AA$18&amp;",4)")</f>
        <v>Q1 2027 Earnings Release (Projected)</v>
      </c>
    </row>
    <row r="374" spans="2:24" x14ac:dyDescent="0.15">
      <c r="B374" s="298">
        <f t="shared" si="7"/>
        <v>359</v>
      </c>
      <c r="C374" s="299" t="str">
        <v>IDXX</v>
      </c>
      <c r="D374" s="300" t="str" cm="1">
        <f t="array" ref="D374">_xll.FDSB($C374,"FG_COMPANY_NAME")</f>
        <v>IDEXX Laboratories, Inc.</v>
      </c>
      <c r="E374" s="300"/>
      <c r="F374" s="274" cm="1">
        <f t="array" ref="F374">_xll.FDSB($C374,"CS_EVENT_DATEJ_N("&amp;$AA$18&amp;",1)")</f>
        <v>46238</v>
      </c>
      <c r="G374" s="282" t="str" cm="1">
        <f t="array" ref="G374">_xll.FDSB($C374,"CS_EVENT_TIME_N("&amp;$AA$18&amp;",1)")</f>
        <v>Unspecified</v>
      </c>
      <c r="H374" s="282" t="str" cm="1">
        <f t="array" ref="H374">_xll.FDSB($C374,"CS_EVENT_DESC_N("&amp;$AA$18&amp;",1)")</f>
        <v>Q2 2026 Earnings Release (Projected)</v>
      </c>
      <c r="I374" s="282"/>
      <c r="J374" s="274" t="str" cm="1">
        <f t="array" ref="J374">_xll.FDSB($C374,"CS_EVENT_DATEJ_N("&amp;$AB$18&amp;",1)")</f>
        <v/>
      </c>
      <c r="K374" s="282" t="str" cm="1">
        <f t="array" ref="K374">_xll.FDSB($C374,"CS_EVENT_TIME_N("&amp;$AB$18&amp;",1)")</f>
        <v/>
      </c>
      <c r="L374" s="282" t="str" cm="1">
        <f t="array" ref="L374">_xll.FDSB($C374,"CS_EVENT_DESC_N("&amp;$AB$18&amp;",1)")</f>
        <v/>
      </c>
      <c r="M374" s="300"/>
      <c r="N374" s="274" cm="1">
        <f t="array" ref="N374">_xll.FDSB($C374,"CS_EVENT_DATEJ_N("&amp;$AA$18&amp;",2)")</f>
        <v>46329</v>
      </c>
      <c r="O374" s="282" t="str" cm="1">
        <f t="array" ref="O374">_xll.FDSB($C374,"CS_EVENT_TIME_N("&amp;$AA$18&amp;",2)")</f>
        <v>Unspecified</v>
      </c>
      <c r="P374" s="282" t="str" cm="1">
        <f t="array" ref="P374">_xll.FDSB($C374,"CS_EVENT_DESC_N("&amp;$AA$18&amp;",2)")</f>
        <v>Q3 2026 Earnings Release (Projected)</v>
      </c>
      <c r="Q374" s="282"/>
      <c r="R374" s="274" cm="1">
        <f t="array" ref="R374">_xll.FDSB($C374,"CS_EVENT_DATEJ_N("&amp;$AA$18&amp;",3)")</f>
        <v>46512</v>
      </c>
      <c r="S374" s="282" t="str" cm="1">
        <f t="array" ref="S374">_xll.FDSB($C374,"CS_EVENT_TIME_N("&amp;$AA$18&amp;",3)")</f>
        <v>Unspecified</v>
      </c>
      <c r="T374" s="282" t="str" cm="1">
        <f t="array" ref="T374">_xll.FDSB($C374,"CS_EVENT_DESC_N("&amp;$AA$18&amp;",3)")</f>
        <v>Q1 2027 Earnings Release (Projected)</v>
      </c>
      <c r="U374" s="282"/>
      <c r="V374" s="274" t="str" cm="1">
        <f t="array" ref="V374">_xll.FDSB($C374,"CS_EVENT_DATEJ_N("&amp;$AA$18&amp;",4)")</f>
        <v/>
      </c>
      <c r="W374" s="282" t="str" cm="1">
        <f t="array" ref="W374">_xll.FDSB($C374,"CS_EVENT_TIME_N("&amp;$AA$18&amp;",4)")</f>
        <v/>
      </c>
      <c r="X374" s="282" t="str" cm="1">
        <f t="array" ref="X374">_xll.FDSB($C374,"CS_EVENT_DESC_N("&amp;$AA$18&amp;",4)")</f>
        <v/>
      </c>
    </row>
    <row r="375" spans="2:24" x14ac:dyDescent="0.15">
      <c r="B375" s="298">
        <f t="shared" si="7"/>
        <v>360</v>
      </c>
      <c r="C375" s="299" t="str">
        <v>EA</v>
      </c>
      <c r="D375" s="300" t="str" cm="1">
        <f t="array" ref="D375">_xll.FDSB($C375,"FG_COMPANY_NAME")</f>
        <v>Electronic Arts Inc.</v>
      </c>
      <c r="E375" s="300"/>
      <c r="F375" s="274" cm="1">
        <f t="array" ref="F375">_xll.FDSB($C375,"CS_EVENT_DATEJ_N("&amp;$AA$18&amp;",1)")</f>
        <v>46238</v>
      </c>
      <c r="G375" s="282" t="str" cm="1">
        <f t="array" ref="G375">_xll.FDSB($C375,"CS_EVENT_TIME_N("&amp;$AA$18&amp;",1)")</f>
        <v>Unspecified</v>
      </c>
      <c r="H375" s="282" t="str" cm="1">
        <f t="array" ref="H375">_xll.FDSB($C375,"CS_EVENT_DESC_N("&amp;$AA$18&amp;",1)")</f>
        <v>Q1 2027 Earnings Release (Projected)</v>
      </c>
      <c r="I375" s="282"/>
      <c r="J375" s="274" t="str" cm="1">
        <f t="array" ref="J375">_xll.FDSB($C375,"CS_EVENT_DATEJ_N("&amp;$AB$18&amp;",1)")</f>
        <v/>
      </c>
      <c r="K375" s="282" t="str" cm="1">
        <f t="array" ref="K375">_xll.FDSB($C375,"CS_EVENT_TIME_N("&amp;$AB$18&amp;",1)")</f>
        <v/>
      </c>
      <c r="L375" s="282" t="str" cm="1">
        <f t="array" ref="L375">_xll.FDSB($C375,"CS_EVENT_DESC_N("&amp;$AB$18&amp;",1)")</f>
        <v/>
      </c>
      <c r="M375" s="300"/>
      <c r="N375" s="274" cm="1">
        <f t="array" ref="N375">_xll.FDSB($C375,"CS_EVENT_DATEJ_N("&amp;$AA$18&amp;",2)")</f>
        <v>46329</v>
      </c>
      <c r="O375" s="282" t="str" cm="1">
        <f t="array" ref="O375">_xll.FDSB($C375,"CS_EVENT_TIME_N("&amp;$AA$18&amp;",2)")</f>
        <v>Unspecified</v>
      </c>
      <c r="P375" s="282" t="str" cm="1">
        <f t="array" ref="P375">_xll.FDSB($C375,"CS_EVENT_DESC_N("&amp;$AA$18&amp;",2)")</f>
        <v>Q2 2027 Earnings Release (Projected)</v>
      </c>
      <c r="Q375" s="282"/>
      <c r="R375" s="274" cm="1">
        <f t="array" ref="R375">_xll.FDSB($C375,"CS_EVENT_DATEJ_N("&amp;$AA$18&amp;",3)")</f>
        <v>46420</v>
      </c>
      <c r="S375" s="282" t="str" cm="1">
        <f t="array" ref="S375">_xll.FDSB($C375,"CS_EVENT_TIME_N("&amp;$AA$18&amp;",3)")</f>
        <v>Unspecified</v>
      </c>
      <c r="T375" s="282" t="str" cm="1">
        <f t="array" ref="T375">_xll.FDSB($C375,"CS_EVENT_DESC_N("&amp;$AA$18&amp;",3)")</f>
        <v>Q3 2027 Earnings Release (Projected)</v>
      </c>
      <c r="U375" s="282"/>
      <c r="V375" s="274" cm="1">
        <f t="array" ref="V375">_xll.FDSB($C375,"CS_EVENT_DATEJ_N("&amp;$AA$18&amp;",4)")</f>
        <v>46518</v>
      </c>
      <c r="W375" s="282" t="str" cm="1">
        <f t="array" ref="W375">_xll.FDSB($C375,"CS_EVENT_TIME_N("&amp;$AA$18&amp;",4)")</f>
        <v>Unspecified</v>
      </c>
      <c r="X375" s="282" t="str" cm="1">
        <f t="array" ref="X375">_xll.FDSB($C375,"CS_EVENT_DESC_N("&amp;$AA$18&amp;",4)")</f>
        <v>Q4 2027 Earnings Release (Projected)</v>
      </c>
    </row>
    <row r="376" spans="2:24" x14ac:dyDescent="0.15">
      <c r="B376" s="298">
        <f t="shared" si="7"/>
        <v>361</v>
      </c>
      <c r="C376" s="299" t="str">
        <v>PFE</v>
      </c>
      <c r="D376" s="300" t="str" cm="1">
        <f t="array" ref="D376">_xll.FDSB($C376,"FG_COMPANY_NAME")</f>
        <v>Pfizer Inc.</v>
      </c>
      <c r="E376" s="300"/>
      <c r="F376" s="274" cm="1">
        <f t="array" ref="F376">_xll.FDSB($C376,"CS_EVENT_DATEJ_N("&amp;$AA$18&amp;",1)")</f>
        <v>46238</v>
      </c>
      <c r="G376" s="282" t="str" cm="1">
        <f t="array" ref="G376">_xll.FDSB($C376,"CS_EVENT_TIME_N("&amp;$AA$18&amp;",1)")</f>
        <v>Unspecified</v>
      </c>
      <c r="H376" s="282" t="str" cm="1">
        <f t="array" ref="H376">_xll.FDSB($C376,"CS_EVENT_DESC_N("&amp;$AA$18&amp;",1)")</f>
        <v>Q2 2026 Earnings Release (Projected)</v>
      </c>
      <c r="I376" s="282"/>
      <c r="J376" s="274" t="str" cm="1">
        <f t="array" ref="J376">_xll.FDSB($C376,"CS_EVENT_DATEJ_N("&amp;$AB$18&amp;",1)")</f>
        <v/>
      </c>
      <c r="K376" s="282" t="str" cm="1">
        <f t="array" ref="K376">_xll.FDSB($C376,"CS_EVENT_TIME_N("&amp;$AB$18&amp;",1)")</f>
        <v/>
      </c>
      <c r="L376" s="282" t="str" cm="1">
        <f t="array" ref="L376">_xll.FDSB($C376,"CS_EVENT_DESC_N("&amp;$AB$18&amp;",1)")</f>
        <v/>
      </c>
      <c r="M376" s="300"/>
      <c r="N376" s="274" cm="1">
        <f t="array" ref="N376">_xll.FDSB($C376,"CS_EVENT_DATEJ_N("&amp;$AA$18&amp;",2)")</f>
        <v>46329</v>
      </c>
      <c r="O376" s="282" t="str" cm="1">
        <f t="array" ref="O376">_xll.FDSB($C376,"CS_EVENT_TIME_N("&amp;$AA$18&amp;",2)")</f>
        <v>Unspecified</v>
      </c>
      <c r="P376" s="282" t="str" cm="1">
        <f t="array" ref="P376">_xll.FDSB($C376,"CS_EVENT_DESC_N("&amp;$AA$18&amp;",2)")</f>
        <v>Q3 2026 Earnings Release (Projected)</v>
      </c>
      <c r="Q376" s="282"/>
      <c r="R376" s="274" cm="1">
        <f t="array" ref="R376">_xll.FDSB($C376,"CS_EVENT_DATEJ_N("&amp;$AA$18&amp;",3)")</f>
        <v>46511</v>
      </c>
      <c r="S376" s="282" t="str" cm="1">
        <f t="array" ref="S376">_xll.FDSB($C376,"CS_EVENT_TIME_N("&amp;$AA$18&amp;",3)")</f>
        <v>Unspecified</v>
      </c>
      <c r="T376" s="282" t="str" cm="1">
        <f t="array" ref="T376">_xll.FDSB($C376,"CS_EVENT_DESC_N("&amp;$AA$18&amp;",3)")</f>
        <v>Q1 2027 Earnings Release (Projected)</v>
      </c>
      <c r="U376" s="282"/>
      <c r="V376" s="274" t="str" cm="1">
        <f t="array" ref="V376">_xll.FDSB($C376,"CS_EVENT_DATEJ_N("&amp;$AA$18&amp;",4)")</f>
        <v/>
      </c>
      <c r="W376" s="282" t="str" cm="1">
        <f t="array" ref="W376">_xll.FDSB($C376,"CS_EVENT_TIME_N("&amp;$AA$18&amp;",4)")</f>
        <v/>
      </c>
      <c r="X376" s="282" t="str" cm="1">
        <f t="array" ref="X376">_xll.FDSB($C376,"CS_EVENT_DESC_N("&amp;$AA$18&amp;",4)")</f>
        <v/>
      </c>
    </row>
    <row r="377" spans="2:24" x14ac:dyDescent="0.15">
      <c r="B377" s="298">
        <f t="shared" si="7"/>
        <v>362</v>
      </c>
      <c r="C377" s="299" t="str">
        <v>FE</v>
      </c>
      <c r="D377" s="300" t="str" cm="1">
        <f t="array" ref="D377">_xll.FDSB($C377,"FG_COMPANY_NAME")</f>
        <v>FirstEnergy Corp.</v>
      </c>
      <c r="E377" s="300"/>
      <c r="F377" s="274" cm="1">
        <f t="array" ref="F377">_xll.FDSB($C377,"CS_EVENT_DATEJ_N("&amp;$AA$18&amp;",1)")</f>
        <v>46238</v>
      </c>
      <c r="G377" s="282" t="str" cm="1">
        <f t="array" ref="G377">_xll.FDSB($C377,"CS_EVENT_TIME_N("&amp;$AA$18&amp;",1)")</f>
        <v>Unspecified</v>
      </c>
      <c r="H377" s="282" t="str" cm="1">
        <f t="array" ref="H377">_xll.FDSB($C377,"CS_EVENT_DESC_N("&amp;$AA$18&amp;",1)")</f>
        <v>Q2 2026 Earnings Release (Projected)</v>
      </c>
      <c r="I377" s="282"/>
      <c r="J377" s="274" t="str" cm="1">
        <f t="array" ref="J377">_xll.FDSB($C377,"CS_EVENT_DATEJ_N("&amp;$AB$18&amp;",1)")</f>
        <v/>
      </c>
      <c r="K377" s="282" t="str" cm="1">
        <f t="array" ref="K377">_xll.FDSB($C377,"CS_EVENT_TIME_N("&amp;$AB$18&amp;",1)")</f>
        <v/>
      </c>
      <c r="L377" s="282" t="str" cm="1">
        <f t="array" ref="L377">_xll.FDSB($C377,"CS_EVENT_DESC_N("&amp;$AB$18&amp;",1)")</f>
        <v/>
      </c>
      <c r="M377" s="300"/>
      <c r="N377" s="274" cm="1">
        <f t="array" ref="N377">_xll.FDSB($C377,"CS_EVENT_DATEJ_N("&amp;$AA$18&amp;",2)")</f>
        <v>46317</v>
      </c>
      <c r="O377" s="282" t="str" cm="1">
        <f t="array" ref="O377">_xll.FDSB($C377,"CS_EVENT_TIME_N("&amp;$AA$18&amp;",2)")</f>
        <v>Unspecified</v>
      </c>
      <c r="P377" s="282" t="str" cm="1">
        <f t="array" ref="P377">_xll.FDSB($C377,"CS_EVENT_DESC_N("&amp;$AA$18&amp;",2)")</f>
        <v>Q3 2026 Earnings Release (Projected)</v>
      </c>
      <c r="Q377" s="282"/>
      <c r="R377" s="274" cm="1">
        <f t="array" ref="R377">_xll.FDSB($C377,"CS_EVENT_DATEJ_N("&amp;$AA$18&amp;",3)")</f>
        <v>46429</v>
      </c>
      <c r="S377" s="282" t="str" cm="1">
        <f t="array" ref="S377">_xll.FDSB($C377,"CS_EVENT_TIME_N("&amp;$AA$18&amp;",3)")</f>
        <v>Unspecified</v>
      </c>
      <c r="T377" s="282" t="str" cm="1">
        <f t="array" ref="T377">_xll.FDSB($C377,"CS_EVENT_DESC_N("&amp;$AA$18&amp;",3)")</f>
        <v>Q4 2026 Earnings Release (Projected)</v>
      </c>
      <c r="U377" s="282"/>
      <c r="V377" s="274" cm="1">
        <f t="array" ref="V377">_xll.FDSB($C377,"CS_EVENT_DATEJ_N("&amp;$AA$18&amp;",4)")</f>
        <v>46506</v>
      </c>
      <c r="W377" s="282" t="str" cm="1">
        <f t="array" ref="W377">_xll.FDSB($C377,"CS_EVENT_TIME_N("&amp;$AA$18&amp;",4)")</f>
        <v>Unspecified</v>
      </c>
      <c r="X377" s="282" t="str" cm="1">
        <f t="array" ref="X377">_xll.FDSB($C377,"CS_EVENT_DESC_N("&amp;$AA$18&amp;",4)")</f>
        <v>Q1 2027 Earnings Release (Projected)</v>
      </c>
    </row>
    <row r="378" spans="2:24" x14ac:dyDescent="0.15">
      <c r="B378" s="298">
        <f t="shared" si="7"/>
        <v>363</v>
      </c>
      <c r="C378" s="299" t="str">
        <v>CAT</v>
      </c>
      <c r="D378" s="300" t="str" cm="1">
        <f t="array" ref="D378">_xll.FDSB($C378,"FG_COMPANY_NAME")</f>
        <v>Caterpillar Inc.</v>
      </c>
      <c r="E378" s="300"/>
      <c r="F378" s="274" cm="1">
        <f t="array" ref="F378">_xll.FDSB($C378,"CS_EVENT_DATEJ_N("&amp;$AA$18&amp;",1)")</f>
        <v>46238</v>
      </c>
      <c r="G378" s="282" t="str" cm="1">
        <f t="array" ref="G378">_xll.FDSB($C378,"CS_EVENT_TIME_N("&amp;$AA$18&amp;",1)")</f>
        <v>Unspecified</v>
      </c>
      <c r="H378" s="282" t="str" cm="1">
        <f t="array" ref="H378">_xll.FDSB($C378,"CS_EVENT_DESC_N("&amp;$AA$18&amp;",1)")</f>
        <v>Q2 2026 Earnings Release (Projected)</v>
      </c>
      <c r="I378" s="282"/>
      <c r="J378" s="274" t="str" cm="1">
        <f t="array" ref="J378">_xll.FDSB($C378,"CS_EVENT_DATEJ_N("&amp;$AB$18&amp;",1)")</f>
        <v/>
      </c>
      <c r="K378" s="282" t="str" cm="1">
        <f t="array" ref="K378">_xll.FDSB($C378,"CS_EVENT_TIME_N("&amp;$AB$18&amp;",1)")</f>
        <v/>
      </c>
      <c r="L378" s="282" t="str" cm="1">
        <f t="array" ref="L378">_xll.FDSB($C378,"CS_EVENT_DESC_N("&amp;$AB$18&amp;",1)")</f>
        <v/>
      </c>
      <c r="M378" s="300"/>
      <c r="N378" s="274" cm="1">
        <f t="array" ref="N378">_xll.FDSB($C378,"CS_EVENT_DATEJ_N("&amp;$AA$18&amp;",2)")</f>
        <v>46330</v>
      </c>
      <c r="O378" s="282" t="str" cm="1">
        <f t="array" ref="O378">_xll.FDSB($C378,"CS_EVENT_TIME_N("&amp;$AA$18&amp;",2)")</f>
        <v>Unspecified</v>
      </c>
      <c r="P378" s="282" t="str" cm="1">
        <f t="array" ref="P378">_xll.FDSB($C378,"CS_EVENT_DESC_N("&amp;$AA$18&amp;",2)")</f>
        <v>Q3 2026 Earnings Release (Projected)</v>
      </c>
      <c r="Q378" s="282"/>
      <c r="R378" s="274" cm="1">
        <f t="array" ref="R378">_xll.FDSB($C378,"CS_EVENT_DATEJ_N("&amp;$AA$18&amp;",3)")</f>
        <v>46422</v>
      </c>
      <c r="S378" s="282" t="str" cm="1">
        <f t="array" ref="S378">_xll.FDSB($C378,"CS_EVENT_TIME_N("&amp;$AA$18&amp;",3)")</f>
        <v>Unspecified</v>
      </c>
      <c r="T378" s="282" t="str" cm="1">
        <f t="array" ref="T378">_xll.FDSB($C378,"CS_EVENT_DESC_N("&amp;$AA$18&amp;",3)")</f>
        <v>Q4 2026 Earnings Release (Projected)</v>
      </c>
      <c r="U378" s="282"/>
      <c r="V378" s="274" cm="1">
        <f t="array" ref="V378">_xll.FDSB($C378,"CS_EVENT_DATEJ_N("&amp;$AA$18&amp;",4)")</f>
        <v>46506</v>
      </c>
      <c r="W378" s="282" t="str" cm="1">
        <f t="array" ref="W378">_xll.FDSB($C378,"CS_EVENT_TIME_N("&amp;$AA$18&amp;",4)")</f>
        <v>Unspecified</v>
      </c>
      <c r="X378" s="282" t="str" cm="1">
        <f t="array" ref="X378">_xll.FDSB($C378,"CS_EVENT_DESC_N("&amp;$AA$18&amp;",4)")</f>
        <v>Q1 2027 Earnings Release (Projected)</v>
      </c>
    </row>
    <row r="379" spans="2:24" x14ac:dyDescent="0.15">
      <c r="B379" s="298">
        <f t="shared" si="7"/>
        <v>364</v>
      </c>
      <c r="C379" s="299" t="str">
        <v>CMI</v>
      </c>
      <c r="D379" s="300" t="str" cm="1">
        <f t="array" ref="D379">_xll.FDSB($C379,"FG_COMPANY_NAME")</f>
        <v>Cummins Inc.</v>
      </c>
      <c r="E379" s="300"/>
      <c r="F379" s="274" cm="1">
        <f t="array" ref="F379">_xll.FDSB($C379,"CS_EVENT_DATEJ_N("&amp;$AA$18&amp;",1)")</f>
        <v>46238</v>
      </c>
      <c r="G379" s="282" t="str" cm="1">
        <f t="array" ref="G379">_xll.FDSB($C379,"CS_EVENT_TIME_N("&amp;$AA$18&amp;",1)")</f>
        <v>Unspecified</v>
      </c>
      <c r="H379" s="282" t="str" cm="1">
        <f t="array" ref="H379">_xll.FDSB($C379,"CS_EVENT_DESC_N("&amp;$AA$18&amp;",1)")</f>
        <v>Q2 2026 Earnings Release (Projected)</v>
      </c>
      <c r="I379" s="282"/>
      <c r="J379" s="274" t="str" cm="1">
        <f t="array" ref="J379">_xll.FDSB($C379,"CS_EVENT_DATEJ_N("&amp;$AB$18&amp;",1)")</f>
        <v/>
      </c>
      <c r="K379" s="282" t="str" cm="1">
        <f t="array" ref="K379">_xll.FDSB($C379,"CS_EVENT_TIME_N("&amp;$AB$18&amp;",1)")</f>
        <v/>
      </c>
      <c r="L379" s="282" t="str" cm="1">
        <f t="array" ref="L379">_xll.FDSB($C379,"CS_EVENT_DESC_N("&amp;$AB$18&amp;",1)")</f>
        <v/>
      </c>
      <c r="M379" s="300"/>
      <c r="N379" s="274" cm="1">
        <f t="array" ref="N379">_xll.FDSB($C379,"CS_EVENT_DATEJ_N("&amp;$AA$18&amp;",2)")</f>
        <v>46324</v>
      </c>
      <c r="O379" s="282" t="str" cm="1">
        <f t="array" ref="O379">_xll.FDSB($C379,"CS_EVENT_TIME_N("&amp;$AA$18&amp;",2)")</f>
        <v>Unspecified</v>
      </c>
      <c r="P379" s="282" t="str" cm="1">
        <f t="array" ref="P379">_xll.FDSB($C379,"CS_EVENT_DESC_N("&amp;$AA$18&amp;",2)")</f>
        <v>Q3 2026 Earnings Release (Projected)</v>
      </c>
      <c r="Q379" s="282"/>
      <c r="R379" s="274" cm="1">
        <f t="array" ref="R379">_xll.FDSB($C379,"CS_EVENT_DATEJ_N("&amp;$AA$18&amp;",3)")</f>
        <v>46427</v>
      </c>
      <c r="S379" s="282" t="str" cm="1">
        <f t="array" ref="S379">_xll.FDSB($C379,"CS_EVENT_TIME_N("&amp;$AA$18&amp;",3)")</f>
        <v>Unspecified</v>
      </c>
      <c r="T379" s="282" t="str" cm="1">
        <f t="array" ref="T379">_xll.FDSB($C379,"CS_EVENT_DESC_N("&amp;$AA$18&amp;",3)")</f>
        <v>Q4 2026 Earnings Release (Projected)</v>
      </c>
      <c r="U379" s="282"/>
      <c r="V379" s="274" cm="1">
        <f t="array" ref="V379">_xll.FDSB($C379,"CS_EVENT_DATEJ_N("&amp;$AA$18&amp;",4)")</f>
        <v>46511</v>
      </c>
      <c r="W379" s="282" t="str" cm="1">
        <f t="array" ref="W379">_xll.FDSB($C379,"CS_EVENT_TIME_N("&amp;$AA$18&amp;",4)")</f>
        <v>Unspecified</v>
      </c>
      <c r="X379" s="282" t="str" cm="1">
        <f t="array" ref="X379">_xll.FDSB($C379,"CS_EVENT_DESC_N("&amp;$AA$18&amp;",4)")</f>
        <v>Q1 2027 Earnings Release (Projected)</v>
      </c>
    </row>
    <row r="380" spans="2:24" x14ac:dyDescent="0.15">
      <c r="B380" s="298">
        <f t="shared" si="7"/>
        <v>365</v>
      </c>
      <c r="C380" s="299" t="str">
        <v>ROK</v>
      </c>
      <c r="D380" s="300" t="str" cm="1">
        <f t="array" ref="D380">_xll.FDSB($C380,"FG_COMPANY_NAME")</f>
        <v>Rockwell Automation, Inc.</v>
      </c>
      <c r="E380" s="300"/>
      <c r="F380" s="274" cm="1">
        <f t="array" ref="F380">_xll.FDSB($C380,"CS_EVENT_DATEJ_N("&amp;$AA$18&amp;",1)")</f>
        <v>46238</v>
      </c>
      <c r="G380" s="282" t="str" cm="1">
        <f t="array" ref="G380">_xll.FDSB($C380,"CS_EVENT_TIME_N("&amp;$AA$18&amp;",1)")</f>
        <v>Unspecified</v>
      </c>
      <c r="H380" s="282" t="str" cm="1">
        <f t="array" ref="H380">_xll.FDSB($C380,"CS_EVENT_DESC_N("&amp;$AA$18&amp;",1)")</f>
        <v>Q3 2026 Earnings Release (Projected)</v>
      </c>
      <c r="I380" s="282"/>
      <c r="J380" s="274" t="str" cm="1">
        <f t="array" ref="J380">_xll.FDSB($C380,"CS_EVENT_DATEJ_N("&amp;$AB$18&amp;",1)")</f>
        <v/>
      </c>
      <c r="K380" s="282" t="str" cm="1">
        <f t="array" ref="K380">_xll.FDSB($C380,"CS_EVENT_TIME_N("&amp;$AB$18&amp;",1)")</f>
        <v/>
      </c>
      <c r="L380" s="282" t="str" cm="1">
        <f t="array" ref="L380">_xll.FDSB($C380,"CS_EVENT_DESC_N("&amp;$AB$18&amp;",1)")</f>
        <v/>
      </c>
      <c r="M380" s="300"/>
      <c r="N380" s="274" cm="1">
        <f t="array" ref="N380">_xll.FDSB($C380,"CS_EVENT_DATEJ_N("&amp;$AA$18&amp;",2)")</f>
        <v>46330</v>
      </c>
      <c r="O380" s="282" t="str" cm="1">
        <f t="array" ref="O380">_xll.FDSB($C380,"CS_EVENT_TIME_N("&amp;$AA$18&amp;",2)")</f>
        <v>Unspecified</v>
      </c>
      <c r="P380" s="282" t="str" cm="1">
        <f t="array" ref="P380">_xll.FDSB($C380,"CS_EVENT_DESC_N("&amp;$AA$18&amp;",2)")</f>
        <v>Q4 2026 Earnings Release (Projected)</v>
      </c>
      <c r="Q380" s="282"/>
      <c r="R380" s="274" cm="1">
        <f t="array" ref="R380">_xll.FDSB($C380,"CS_EVENT_DATEJ_N("&amp;$AA$18&amp;",3)")</f>
        <v>46415</v>
      </c>
      <c r="S380" s="282" t="str" cm="1">
        <f t="array" ref="S380">_xll.FDSB($C380,"CS_EVENT_TIME_N("&amp;$AA$18&amp;",3)")</f>
        <v>Unspecified</v>
      </c>
      <c r="T380" s="282" t="str" cm="1">
        <f t="array" ref="T380">_xll.FDSB($C380,"CS_EVENT_DESC_N("&amp;$AA$18&amp;",3)")</f>
        <v>Q1 2027 Earnings Release (Projected)</v>
      </c>
      <c r="U380" s="282"/>
      <c r="V380" s="274" cm="1">
        <f t="array" ref="V380">_xll.FDSB($C380,"CS_EVENT_DATEJ_N("&amp;$AA$18&amp;",4)")</f>
        <v>46518</v>
      </c>
      <c r="W380" s="282" t="str" cm="1">
        <f t="array" ref="W380">_xll.FDSB($C380,"CS_EVENT_TIME_N("&amp;$AA$18&amp;",4)")</f>
        <v>Unspecified</v>
      </c>
      <c r="X380" s="282" t="str" cm="1">
        <f t="array" ref="X380">_xll.FDSB($C380,"CS_EVENT_DESC_N("&amp;$AA$18&amp;",4)")</f>
        <v>Q2 2027 Earnings Release (Projected)</v>
      </c>
    </row>
    <row r="381" spans="2:24" x14ac:dyDescent="0.15">
      <c r="B381" s="298">
        <f t="shared" si="7"/>
        <v>366</v>
      </c>
      <c r="C381" s="299" t="str">
        <v>ZBH</v>
      </c>
      <c r="D381" s="300" t="str" cm="1">
        <f t="array" ref="D381">_xll.FDSB($C381,"FG_COMPANY_NAME")</f>
        <v>Zimmer Biomet Holdings, Inc.</v>
      </c>
      <c r="E381" s="300"/>
      <c r="F381" s="274" cm="1">
        <f t="array" ref="F381">_xll.FDSB($C381,"CS_EVENT_DATEJ_N("&amp;$AA$18&amp;",1)")</f>
        <v>46238</v>
      </c>
      <c r="G381" s="282" t="str" cm="1">
        <f t="array" ref="G381">_xll.FDSB($C381,"CS_EVENT_TIME_N("&amp;$AA$18&amp;",1)")</f>
        <v>Unspecified</v>
      </c>
      <c r="H381" s="282" t="str" cm="1">
        <f t="array" ref="H381">_xll.FDSB($C381,"CS_EVENT_DESC_N("&amp;$AA$18&amp;",1)")</f>
        <v>Q2 2026 Earnings Release (Projected)</v>
      </c>
      <c r="I381" s="282"/>
      <c r="J381" s="274" t="str" cm="1">
        <f t="array" ref="J381">_xll.FDSB($C381,"CS_EVENT_DATEJ_N("&amp;$AB$18&amp;",1)")</f>
        <v/>
      </c>
      <c r="K381" s="282" t="str" cm="1">
        <f t="array" ref="K381">_xll.FDSB($C381,"CS_EVENT_TIME_N("&amp;$AB$18&amp;",1)")</f>
        <v/>
      </c>
      <c r="L381" s="282" t="str" cm="1">
        <f t="array" ref="L381">_xll.FDSB($C381,"CS_EVENT_DESC_N("&amp;$AB$18&amp;",1)")</f>
        <v/>
      </c>
      <c r="M381" s="300"/>
      <c r="N381" s="274" cm="1">
        <f t="array" ref="N381">_xll.FDSB($C381,"CS_EVENT_DATEJ_N("&amp;$AA$18&amp;",2)")</f>
        <v>46330</v>
      </c>
      <c r="O381" s="282" t="str" cm="1">
        <f t="array" ref="O381">_xll.FDSB($C381,"CS_EVENT_TIME_N("&amp;$AA$18&amp;",2)")</f>
        <v>Unspecified</v>
      </c>
      <c r="P381" s="282" t="str" cm="1">
        <f t="array" ref="P381">_xll.FDSB($C381,"CS_EVENT_DESC_N("&amp;$AA$18&amp;",2)")</f>
        <v>Q3 2026 Earnings Release (Projected)</v>
      </c>
      <c r="Q381" s="282"/>
      <c r="R381" s="274" cm="1">
        <f t="array" ref="R381">_xll.FDSB($C381,"CS_EVENT_DATEJ_N("&amp;$AA$18&amp;",3)")</f>
        <v>46429</v>
      </c>
      <c r="S381" s="282" t="str" cm="1">
        <f t="array" ref="S381">_xll.FDSB($C381,"CS_EVENT_TIME_N("&amp;$AA$18&amp;",3)")</f>
        <v>Unspecified</v>
      </c>
      <c r="T381" s="282" t="str" cm="1">
        <f t="array" ref="T381">_xll.FDSB($C381,"CS_EVENT_DESC_N("&amp;$AA$18&amp;",3)")</f>
        <v>Q4 2026 Earnings Release (Projected)</v>
      </c>
      <c r="U381" s="282"/>
      <c r="V381" s="274" cm="1">
        <f t="array" ref="V381">_xll.FDSB($C381,"CS_EVENT_DATEJ_N("&amp;$AA$18&amp;",4)")</f>
        <v>46511</v>
      </c>
      <c r="W381" s="282" t="str" cm="1">
        <f t="array" ref="W381">_xll.FDSB($C381,"CS_EVENT_TIME_N("&amp;$AA$18&amp;",4)")</f>
        <v>Unspecified</v>
      </c>
      <c r="X381" s="282" t="str" cm="1">
        <f t="array" ref="X381">_xll.FDSB($C381,"CS_EVENT_DESC_N("&amp;$AA$18&amp;",4)")</f>
        <v>Q1 2027 Earnings Release (Projected)</v>
      </c>
    </row>
    <row r="382" spans="2:24" x14ac:dyDescent="0.15">
      <c r="B382" s="298">
        <f t="shared" si="7"/>
        <v>367</v>
      </c>
      <c r="C382" s="299" t="str">
        <v>LDOS</v>
      </c>
      <c r="D382" s="300" t="str" cm="1">
        <f t="array" ref="D382">_xll.FDSB($C382,"FG_COMPANY_NAME")</f>
        <v>Leidos Holdings, Inc.</v>
      </c>
      <c r="E382" s="300"/>
      <c r="F382" s="274" cm="1">
        <f t="array" ref="F382">_xll.FDSB($C382,"CS_EVENT_DATEJ_N("&amp;$AA$18&amp;",1)")</f>
        <v>46238</v>
      </c>
      <c r="G382" s="282" t="str" cm="1">
        <f t="array" ref="G382">_xll.FDSB($C382,"CS_EVENT_TIME_N("&amp;$AA$18&amp;",1)")</f>
        <v>Unspecified</v>
      </c>
      <c r="H382" s="282" t="str" cm="1">
        <f t="array" ref="H382">_xll.FDSB($C382,"CS_EVENT_DESC_N("&amp;$AA$18&amp;",1)")</f>
        <v>Q2 2026 Earnings Release (Projected)</v>
      </c>
      <c r="I382" s="282"/>
      <c r="J382" s="274" t="str" cm="1">
        <f t="array" ref="J382">_xll.FDSB($C382,"CS_EVENT_DATEJ_N("&amp;$AB$18&amp;",1)")</f>
        <v/>
      </c>
      <c r="K382" s="282" t="str" cm="1">
        <f t="array" ref="K382">_xll.FDSB($C382,"CS_EVENT_TIME_N("&amp;$AB$18&amp;",1)")</f>
        <v/>
      </c>
      <c r="L382" s="282" t="str" cm="1">
        <f t="array" ref="L382">_xll.FDSB($C382,"CS_EVENT_DESC_N("&amp;$AB$18&amp;",1)")</f>
        <v/>
      </c>
      <c r="M382" s="300"/>
      <c r="N382" s="274" cm="1">
        <f t="array" ref="N382">_xll.FDSB($C382,"CS_EVENT_DATEJ_N("&amp;$AA$18&amp;",2)")</f>
        <v>46329</v>
      </c>
      <c r="O382" s="282" t="str" cm="1">
        <f t="array" ref="O382">_xll.FDSB($C382,"CS_EVENT_TIME_N("&amp;$AA$18&amp;",2)")</f>
        <v>Unspecified</v>
      </c>
      <c r="P382" s="282" t="str" cm="1">
        <f t="array" ref="P382">_xll.FDSB($C382,"CS_EVENT_DESC_N("&amp;$AA$18&amp;",2)")</f>
        <v>Q3 2026 Earnings Release (Projected)</v>
      </c>
      <c r="Q382" s="282"/>
      <c r="R382" s="274" cm="1">
        <f t="array" ref="R382">_xll.FDSB($C382,"CS_EVENT_DATEJ_N("&amp;$AA$18&amp;",3)")</f>
        <v>46434</v>
      </c>
      <c r="S382" s="282" t="str" cm="1">
        <f t="array" ref="S382">_xll.FDSB($C382,"CS_EVENT_TIME_N("&amp;$AA$18&amp;",3)")</f>
        <v>Unspecified</v>
      </c>
      <c r="T382" s="282" t="str" cm="1">
        <f t="array" ref="T382">_xll.FDSB($C382,"CS_EVENT_DESC_N("&amp;$AA$18&amp;",3)")</f>
        <v>Q4 2026 Earnings Release (Projected)</v>
      </c>
      <c r="U382" s="282"/>
      <c r="V382" s="274" cm="1">
        <f t="array" ref="V382">_xll.FDSB($C382,"CS_EVENT_DATEJ_N("&amp;$AA$18&amp;",4)")</f>
        <v>46511</v>
      </c>
      <c r="W382" s="282" t="str" cm="1">
        <f t="array" ref="W382">_xll.FDSB($C382,"CS_EVENT_TIME_N("&amp;$AA$18&amp;",4)")</f>
        <v>Unspecified</v>
      </c>
      <c r="X382" s="282" t="str" cm="1">
        <f t="array" ref="X382">_xll.FDSB($C382,"CS_EVENT_DESC_N("&amp;$AA$18&amp;",4)")</f>
        <v>Q1 2027 Earnings Release (Projected)</v>
      </c>
    </row>
    <row r="383" spans="2:24" x14ac:dyDescent="0.15">
      <c r="B383" s="298">
        <f t="shared" si="7"/>
        <v>368</v>
      </c>
      <c r="C383" s="299" t="str">
        <v>IT</v>
      </c>
      <c r="D383" s="300" t="str" cm="1">
        <f t="array" ref="D383">_xll.FDSB($C383,"FG_COMPANY_NAME")</f>
        <v>Gartner, Inc.</v>
      </c>
      <c r="E383" s="300"/>
      <c r="F383" s="274" cm="1">
        <f t="array" ref="F383">_xll.FDSB($C383,"CS_EVENT_DATEJ_N("&amp;$AA$18&amp;",1)")</f>
        <v>46238</v>
      </c>
      <c r="G383" s="282" t="str" cm="1">
        <f t="array" ref="G383">_xll.FDSB($C383,"CS_EVENT_TIME_N("&amp;$AA$18&amp;",1)")</f>
        <v>Unspecified</v>
      </c>
      <c r="H383" s="282" t="str" cm="1">
        <f t="array" ref="H383">_xll.FDSB($C383,"CS_EVENT_DESC_N("&amp;$AA$18&amp;",1)")</f>
        <v>Q2 2026 Earnings Release (Projected)</v>
      </c>
      <c r="I383" s="282"/>
      <c r="J383" s="274" t="str" cm="1">
        <f t="array" ref="J383">_xll.FDSB($C383,"CS_EVENT_DATEJ_N("&amp;$AB$18&amp;",1)")</f>
        <v/>
      </c>
      <c r="K383" s="282" t="str" cm="1">
        <f t="array" ref="K383">_xll.FDSB($C383,"CS_EVENT_TIME_N("&amp;$AB$18&amp;",1)")</f>
        <v/>
      </c>
      <c r="L383" s="282" t="str" cm="1">
        <f t="array" ref="L383">_xll.FDSB($C383,"CS_EVENT_DESC_N("&amp;$AB$18&amp;",1)")</f>
        <v/>
      </c>
      <c r="M383" s="300"/>
      <c r="N383" s="274" cm="1">
        <f t="array" ref="N383">_xll.FDSB($C383,"CS_EVENT_DATEJ_N("&amp;$AA$18&amp;",2)")</f>
        <v>46329</v>
      </c>
      <c r="O383" s="282" t="str" cm="1">
        <f t="array" ref="O383">_xll.FDSB($C383,"CS_EVENT_TIME_N("&amp;$AA$18&amp;",2)")</f>
        <v>Unspecified</v>
      </c>
      <c r="P383" s="282" t="str" cm="1">
        <f t="array" ref="P383">_xll.FDSB($C383,"CS_EVENT_DESC_N("&amp;$AA$18&amp;",2)")</f>
        <v>Q3 2026 Earnings Release (Projected)</v>
      </c>
      <c r="Q383" s="282"/>
      <c r="R383" s="274" cm="1">
        <f t="array" ref="R383">_xll.FDSB($C383,"CS_EVENT_DATEJ_N("&amp;$AA$18&amp;",3)")</f>
        <v>46427</v>
      </c>
      <c r="S383" s="282" t="str" cm="1">
        <f t="array" ref="S383">_xll.FDSB($C383,"CS_EVENT_TIME_N("&amp;$AA$18&amp;",3)")</f>
        <v>Unspecified</v>
      </c>
      <c r="T383" s="282" t="str" cm="1">
        <f t="array" ref="T383">_xll.FDSB($C383,"CS_EVENT_DESC_N("&amp;$AA$18&amp;",3)")</f>
        <v>Q4 2026 Earnings Release (Projected)</v>
      </c>
      <c r="U383" s="282"/>
      <c r="V383" s="274" cm="1">
        <f t="array" ref="V383">_xll.FDSB($C383,"CS_EVENT_DATEJ_N("&amp;$AA$18&amp;",4)")</f>
        <v>46511</v>
      </c>
      <c r="W383" s="282" t="str" cm="1">
        <f t="array" ref="W383">_xll.FDSB($C383,"CS_EVENT_TIME_N("&amp;$AA$18&amp;",4)")</f>
        <v>Unspecified</v>
      </c>
      <c r="X383" s="282" t="str" cm="1">
        <f t="array" ref="X383">_xll.FDSB($C383,"CS_EVENT_DESC_N("&amp;$AA$18&amp;",4)")</f>
        <v>Q1 2027 Earnings Release (Projected)</v>
      </c>
    </row>
    <row r="384" spans="2:24" x14ac:dyDescent="0.15">
      <c r="B384" s="298">
        <f t="shared" si="7"/>
        <v>369</v>
      </c>
      <c r="C384" s="299" t="str">
        <v>KKR</v>
      </c>
      <c r="D384" s="300" t="str" cm="1">
        <f t="array" ref="D384">_xll.FDSB($C384,"FG_COMPANY_NAME")</f>
        <v>KKR &amp; Co Inc</v>
      </c>
      <c r="E384" s="300"/>
      <c r="F384" s="274" cm="1">
        <f t="array" ref="F384">_xll.FDSB($C384,"CS_EVENT_DATEJ_N("&amp;$AA$18&amp;",1)")</f>
        <v>46238</v>
      </c>
      <c r="G384" s="282" t="str" cm="1">
        <f t="array" ref="G384">_xll.FDSB($C384,"CS_EVENT_TIME_N("&amp;$AA$18&amp;",1)")</f>
        <v>Unspecified</v>
      </c>
      <c r="H384" s="282" t="str" cm="1">
        <f t="array" ref="H384">_xll.FDSB($C384,"CS_EVENT_DESC_N("&amp;$AA$18&amp;",1)")</f>
        <v>Q2 2026 Earnings Release (Projected)</v>
      </c>
      <c r="I384" s="282"/>
      <c r="J384" s="274" t="str" cm="1">
        <f t="array" ref="J384">_xll.FDSB($C384,"CS_EVENT_DATEJ_N("&amp;$AB$18&amp;",1)")</f>
        <v/>
      </c>
      <c r="K384" s="282" t="str" cm="1">
        <f t="array" ref="K384">_xll.FDSB($C384,"CS_EVENT_TIME_N("&amp;$AB$18&amp;",1)")</f>
        <v/>
      </c>
      <c r="L384" s="282" t="str" cm="1">
        <f t="array" ref="L384">_xll.FDSB($C384,"CS_EVENT_DESC_N("&amp;$AB$18&amp;",1)")</f>
        <v/>
      </c>
      <c r="M384" s="300"/>
      <c r="N384" s="274" cm="1">
        <f t="array" ref="N384">_xll.FDSB($C384,"CS_EVENT_DATEJ_N("&amp;$AA$18&amp;",2)")</f>
        <v>46329</v>
      </c>
      <c r="O384" s="282" t="str" cm="1">
        <f t="array" ref="O384">_xll.FDSB($C384,"CS_EVENT_TIME_N("&amp;$AA$18&amp;",2)")</f>
        <v>Unspecified</v>
      </c>
      <c r="P384" s="282" t="str" cm="1">
        <f t="array" ref="P384">_xll.FDSB($C384,"CS_EVENT_DESC_N("&amp;$AA$18&amp;",2)")</f>
        <v>Q3 2026 Earnings Release (Projected)</v>
      </c>
      <c r="Q384" s="282"/>
      <c r="R384" s="274" cm="1">
        <f t="array" ref="R384">_xll.FDSB($C384,"CS_EVENT_DATEJ_N("&amp;$AA$18&amp;",3)")</f>
        <v>46427</v>
      </c>
      <c r="S384" s="282" t="str" cm="1">
        <f t="array" ref="S384">_xll.FDSB($C384,"CS_EVENT_TIME_N("&amp;$AA$18&amp;",3)")</f>
        <v>Unspecified</v>
      </c>
      <c r="T384" s="282" t="str" cm="1">
        <f t="array" ref="T384">_xll.FDSB($C384,"CS_EVENT_DESC_N("&amp;$AA$18&amp;",3)")</f>
        <v>Q4 2026 Earnings Release (Projected)</v>
      </c>
      <c r="U384" s="282"/>
      <c r="V384" s="274" cm="1">
        <f t="array" ref="V384">_xll.FDSB($C384,"CS_EVENT_DATEJ_N("&amp;$AA$18&amp;",4)")</f>
        <v>46511</v>
      </c>
      <c r="W384" s="282" t="str" cm="1">
        <f t="array" ref="W384">_xll.FDSB($C384,"CS_EVENT_TIME_N("&amp;$AA$18&amp;",4)")</f>
        <v>Unspecified</v>
      </c>
      <c r="X384" s="282" t="str" cm="1">
        <f t="array" ref="X384">_xll.FDSB($C384,"CS_EVENT_DESC_N("&amp;$AA$18&amp;",4)")</f>
        <v>Q1 2027 Earnings Release (Projected)</v>
      </c>
    </row>
    <row r="385" spans="2:24" x14ac:dyDescent="0.15">
      <c r="B385" s="298">
        <f t="shared" si="7"/>
        <v>370</v>
      </c>
      <c r="C385" s="299" t="str">
        <v>MRK</v>
      </c>
      <c r="D385" s="300" t="str" cm="1">
        <f t="array" ref="D385">_xll.FDSB($C385,"FG_COMPANY_NAME")</f>
        <v>Merck &amp; Co., Inc.</v>
      </c>
      <c r="E385" s="300"/>
      <c r="F385" s="274" cm="1">
        <f t="array" ref="F385">_xll.FDSB($C385,"CS_EVENT_DATEJ_N("&amp;$AA$18&amp;",1)")</f>
        <v>46238</v>
      </c>
      <c r="G385" s="282" t="str" cm="1">
        <f t="array" ref="G385">_xll.FDSB($C385,"CS_EVENT_TIME_N("&amp;$AA$18&amp;",1)")</f>
        <v>6:30 AM</v>
      </c>
      <c r="H385" s="282" t="str" cm="1">
        <f t="array" ref="H385">_xll.FDSB($C385,"CS_EVENT_DESC_N("&amp;$AA$18&amp;",1)")</f>
        <v>Q2 2026 Earnings Release</v>
      </c>
      <c r="I385" s="282"/>
      <c r="J385" s="274" cm="1">
        <f t="array" ref="J385">_xll.FDSB($C385,"CS_EVENT_DATEJ_N("&amp;$AB$18&amp;",1)")</f>
        <v>46238</v>
      </c>
      <c r="K385" s="282" t="str" cm="1">
        <f t="array" ref="K385">_xll.FDSB($C385,"CS_EVENT_TIME_N("&amp;$AB$18&amp;",1)")</f>
        <v>9:00 AM</v>
      </c>
      <c r="L385" s="282" t="str" cm="1">
        <f t="array" ref="L385">_xll.FDSB($C385,"CS_EVENT_DESC_N("&amp;$AB$18&amp;",1)")</f>
        <v>Q2 2026 Earnings Call</v>
      </c>
      <c r="M385" s="300"/>
      <c r="N385" s="274" cm="1">
        <f t="array" ref="N385">_xll.FDSB($C385,"CS_EVENT_DATEJ_N("&amp;$AA$18&amp;",2)")</f>
        <v>46324</v>
      </c>
      <c r="O385" s="282" t="str" cm="1">
        <f t="array" ref="O385">_xll.FDSB($C385,"CS_EVENT_TIME_N("&amp;$AA$18&amp;",2)")</f>
        <v>6:30 AM</v>
      </c>
      <c r="P385" s="282" t="str" cm="1">
        <f t="array" ref="P385">_xll.FDSB($C385,"CS_EVENT_DESC_N("&amp;$AA$18&amp;",2)")</f>
        <v>Q3 2026 Earnings Release</v>
      </c>
      <c r="Q385" s="282"/>
      <c r="R385" s="274" cm="1">
        <f t="array" ref="R385">_xll.FDSB($C385,"CS_EVENT_DATEJ_N("&amp;$AA$18&amp;",3)")</f>
        <v>46422</v>
      </c>
      <c r="S385" s="282" t="str" cm="1">
        <f t="array" ref="S385">_xll.FDSB($C385,"CS_EVENT_TIME_N("&amp;$AA$18&amp;",3)")</f>
        <v>Unspecified</v>
      </c>
      <c r="T385" s="282" t="str" cm="1">
        <f t="array" ref="T385">_xll.FDSB($C385,"CS_EVENT_DESC_N("&amp;$AA$18&amp;",3)")</f>
        <v>Q4 2026 Earnings Release (Projected)</v>
      </c>
      <c r="U385" s="282"/>
      <c r="V385" s="274" cm="1">
        <f t="array" ref="V385">_xll.FDSB($C385,"CS_EVENT_DATEJ_N("&amp;$AA$18&amp;",4)")</f>
        <v>46506</v>
      </c>
      <c r="W385" s="282" t="str" cm="1">
        <f t="array" ref="W385">_xll.FDSB($C385,"CS_EVENT_TIME_N("&amp;$AA$18&amp;",4)")</f>
        <v>Unspecified</v>
      </c>
      <c r="X385" s="282" t="str" cm="1">
        <f t="array" ref="X385">_xll.FDSB($C385,"CS_EVENT_DESC_N("&amp;$AA$18&amp;",4)")</f>
        <v>Q1 2027 Earnings Release (Projected)</v>
      </c>
    </row>
    <row r="386" spans="2:24" x14ac:dyDescent="0.15">
      <c r="B386" s="298">
        <f t="shared" si="7"/>
        <v>371</v>
      </c>
      <c r="C386" s="299" t="str">
        <v>LYV</v>
      </c>
      <c r="D386" s="300" t="str" cm="1">
        <f t="array" ref="D386">_xll.FDSB($C386,"FG_COMPANY_NAME")</f>
        <v>Live Nation Entertainment, Inc.</v>
      </c>
      <c r="E386" s="300"/>
      <c r="F386" s="274" cm="1">
        <f t="array" ref="F386">_xll.FDSB($C386,"CS_EVENT_DATEJ_N("&amp;$AA$18&amp;",1)")</f>
        <v>46238</v>
      </c>
      <c r="G386" s="282" t="str" cm="1">
        <f t="array" ref="G386">_xll.FDSB($C386,"CS_EVENT_TIME_N("&amp;$AA$18&amp;",1)")</f>
        <v>Unspecified</v>
      </c>
      <c r="H386" s="282" t="str" cm="1">
        <f t="array" ref="H386">_xll.FDSB($C386,"CS_EVENT_DESC_N("&amp;$AA$18&amp;",1)")</f>
        <v>Q2 2026 Earnings Release (Projected)</v>
      </c>
      <c r="I386" s="282"/>
      <c r="J386" s="274" t="str" cm="1">
        <f t="array" ref="J386">_xll.FDSB($C386,"CS_EVENT_DATEJ_N("&amp;$AB$18&amp;",1)")</f>
        <v/>
      </c>
      <c r="K386" s="282" t="str" cm="1">
        <f t="array" ref="K386">_xll.FDSB($C386,"CS_EVENT_TIME_N("&amp;$AB$18&amp;",1)")</f>
        <v/>
      </c>
      <c r="L386" s="282" t="str" cm="1">
        <f t="array" ref="L386">_xll.FDSB($C386,"CS_EVENT_DESC_N("&amp;$AB$18&amp;",1)")</f>
        <v/>
      </c>
      <c r="M386" s="300"/>
      <c r="N386" s="274" cm="1">
        <f t="array" ref="N386">_xll.FDSB($C386,"CS_EVENT_DATEJ_N("&amp;$AA$18&amp;",2)")</f>
        <v>46324</v>
      </c>
      <c r="O386" s="282" t="str" cm="1">
        <f t="array" ref="O386">_xll.FDSB($C386,"CS_EVENT_TIME_N("&amp;$AA$18&amp;",2)")</f>
        <v>Unspecified</v>
      </c>
      <c r="P386" s="282" t="str" cm="1">
        <f t="array" ref="P386">_xll.FDSB($C386,"CS_EVENT_DESC_N("&amp;$AA$18&amp;",2)")</f>
        <v>Q3 2026 Earnings Release (Projected)</v>
      </c>
      <c r="Q386" s="282"/>
      <c r="R386" s="274" cm="1">
        <f t="array" ref="R386">_xll.FDSB($C386,"CS_EVENT_DATEJ_N("&amp;$AA$18&amp;",3)")</f>
        <v>46443</v>
      </c>
      <c r="S386" s="282" t="str" cm="1">
        <f t="array" ref="S386">_xll.FDSB($C386,"CS_EVENT_TIME_N("&amp;$AA$18&amp;",3)")</f>
        <v>Unspecified</v>
      </c>
      <c r="T386" s="282" t="str" cm="1">
        <f t="array" ref="T386">_xll.FDSB($C386,"CS_EVENT_DESC_N("&amp;$AA$18&amp;",3)")</f>
        <v>Q4 2026 Earnings Release (Projected)</v>
      </c>
      <c r="U386" s="282"/>
      <c r="V386" s="274" cm="1">
        <f t="array" ref="V386">_xll.FDSB($C386,"CS_EVENT_DATEJ_N("&amp;$AA$18&amp;",4)")</f>
        <v>46513</v>
      </c>
      <c r="W386" s="282" t="str" cm="1">
        <f t="array" ref="W386">_xll.FDSB($C386,"CS_EVENT_TIME_N("&amp;$AA$18&amp;",4)")</f>
        <v>Unspecified</v>
      </c>
      <c r="X386" s="282" t="str" cm="1">
        <f t="array" ref="X386">_xll.FDSB($C386,"CS_EVENT_DESC_N("&amp;$AA$18&amp;",4)")</f>
        <v>Q1 2027 Earnings Release (Projected)</v>
      </c>
    </row>
    <row r="387" spans="2:24" x14ac:dyDescent="0.15">
      <c r="B387" s="298">
        <f t="shared" si="7"/>
        <v>372</v>
      </c>
      <c r="C387" s="299" t="str">
        <v>EXR</v>
      </c>
      <c r="D387" s="300" t="str" cm="1">
        <f t="array" ref="D387">_xll.FDSB($C387,"FG_COMPANY_NAME")</f>
        <v>Extra Space Storage Inc.</v>
      </c>
      <c r="E387" s="300"/>
      <c r="F387" s="274" cm="1">
        <f t="array" ref="F387">_xll.FDSB($C387,"CS_EVENT_DATEJ_N("&amp;$AA$18&amp;",1)")</f>
        <v>46238</v>
      </c>
      <c r="G387" s="282" t="str" cm="1">
        <f t="array" ref="G387">_xll.FDSB($C387,"CS_EVENT_TIME_N("&amp;$AA$18&amp;",1)")</f>
        <v>Unspecified</v>
      </c>
      <c r="H387" s="282" t="str" cm="1">
        <f t="array" ref="H387">_xll.FDSB($C387,"CS_EVENT_DESC_N("&amp;$AA$18&amp;",1)")</f>
        <v>Q2 2026 Earnings Release (Projected)</v>
      </c>
      <c r="I387" s="282"/>
      <c r="J387" s="274" t="str" cm="1">
        <f t="array" ref="J387">_xll.FDSB($C387,"CS_EVENT_DATEJ_N("&amp;$AB$18&amp;",1)")</f>
        <v/>
      </c>
      <c r="K387" s="282" t="str" cm="1">
        <f t="array" ref="K387">_xll.FDSB($C387,"CS_EVENT_TIME_N("&amp;$AB$18&amp;",1)")</f>
        <v/>
      </c>
      <c r="L387" s="282" t="str" cm="1">
        <f t="array" ref="L387">_xll.FDSB($C387,"CS_EVENT_DESC_N("&amp;$AB$18&amp;",1)")</f>
        <v/>
      </c>
      <c r="M387" s="300"/>
      <c r="N387" s="274" cm="1">
        <f t="array" ref="N387">_xll.FDSB($C387,"CS_EVENT_DATEJ_N("&amp;$AA$18&amp;",2)")</f>
        <v>46329</v>
      </c>
      <c r="O387" s="282" t="str" cm="1">
        <f t="array" ref="O387">_xll.FDSB($C387,"CS_EVENT_TIME_N("&amp;$AA$18&amp;",2)")</f>
        <v>Unspecified</v>
      </c>
      <c r="P387" s="282" t="str" cm="1">
        <f t="array" ref="P387">_xll.FDSB($C387,"CS_EVENT_DESC_N("&amp;$AA$18&amp;",2)")</f>
        <v>Q3 2026 Earnings Release (Projected)</v>
      </c>
      <c r="Q387" s="282"/>
      <c r="R387" s="274" cm="1">
        <f t="array" ref="R387">_xll.FDSB($C387,"CS_EVENT_DATEJ_N("&amp;$AA$18&amp;",3)")</f>
        <v>46442</v>
      </c>
      <c r="S387" s="282" t="str" cm="1">
        <f t="array" ref="S387">_xll.FDSB($C387,"CS_EVENT_TIME_N("&amp;$AA$18&amp;",3)")</f>
        <v>Unspecified</v>
      </c>
      <c r="T387" s="282" t="str" cm="1">
        <f t="array" ref="T387">_xll.FDSB($C387,"CS_EVENT_DESC_N("&amp;$AA$18&amp;",3)")</f>
        <v>Q4 2026 Earnings Release (Projected)</v>
      </c>
      <c r="U387" s="282"/>
      <c r="V387" s="274" cm="1">
        <f t="array" ref="V387">_xll.FDSB($C387,"CS_EVENT_DATEJ_N("&amp;$AA$18&amp;",4)")</f>
        <v>46511</v>
      </c>
      <c r="W387" s="282" t="str" cm="1">
        <f t="array" ref="W387">_xll.FDSB($C387,"CS_EVENT_TIME_N("&amp;$AA$18&amp;",4)")</f>
        <v>Unspecified</v>
      </c>
      <c r="X387" s="282" t="str" cm="1">
        <f t="array" ref="X387">_xll.FDSB($C387,"CS_EVENT_DESC_N("&amp;$AA$18&amp;",4)")</f>
        <v>Q1 2027 Earnings Release (Projected)</v>
      </c>
    </row>
    <row r="388" spans="2:24" x14ac:dyDescent="0.15">
      <c r="B388" s="298">
        <f t="shared" si="7"/>
        <v>373</v>
      </c>
      <c r="C388" s="299" t="str">
        <v>TAP</v>
      </c>
      <c r="D388" s="300" t="str" cm="1">
        <f t="array" ref="D388">_xll.FDSB($C388,"FG_COMPANY_NAME")</f>
        <v>Molson Coors Beverage Company Class B</v>
      </c>
      <c r="E388" s="300"/>
      <c r="F388" s="274" cm="1">
        <f t="array" ref="F388">_xll.FDSB($C388,"CS_EVENT_DATEJ_N("&amp;$AA$18&amp;",1)")</f>
        <v>46238</v>
      </c>
      <c r="G388" s="282" t="str" cm="1">
        <f t="array" ref="G388">_xll.FDSB($C388,"CS_EVENT_TIME_N("&amp;$AA$18&amp;",1)")</f>
        <v>Unspecified</v>
      </c>
      <c r="H388" s="282" t="str" cm="1">
        <f t="array" ref="H388">_xll.FDSB($C388,"CS_EVENT_DESC_N("&amp;$AA$18&amp;",1)")</f>
        <v>Q2 2026 Earnings Release (Projected)</v>
      </c>
      <c r="I388" s="282"/>
      <c r="J388" s="274" t="str" cm="1">
        <f t="array" ref="J388">_xll.FDSB($C388,"CS_EVENT_DATEJ_N("&amp;$AB$18&amp;",1)")</f>
        <v/>
      </c>
      <c r="K388" s="282" t="str" cm="1">
        <f t="array" ref="K388">_xll.FDSB($C388,"CS_EVENT_TIME_N("&amp;$AB$18&amp;",1)")</f>
        <v/>
      </c>
      <c r="L388" s="282" t="str" cm="1">
        <f t="array" ref="L388">_xll.FDSB($C388,"CS_EVENT_DESC_N("&amp;$AB$18&amp;",1)")</f>
        <v/>
      </c>
      <c r="M388" s="300"/>
      <c r="N388" s="274" cm="1">
        <f t="array" ref="N388">_xll.FDSB($C388,"CS_EVENT_DATEJ_N("&amp;$AA$18&amp;",2)")</f>
        <v>46330</v>
      </c>
      <c r="O388" s="282" t="str" cm="1">
        <f t="array" ref="O388">_xll.FDSB($C388,"CS_EVENT_TIME_N("&amp;$AA$18&amp;",2)")</f>
        <v>Unspecified</v>
      </c>
      <c r="P388" s="282" t="str" cm="1">
        <f t="array" ref="P388">_xll.FDSB($C388,"CS_EVENT_DESC_N("&amp;$AA$18&amp;",2)")</f>
        <v>Q3 2026 Earnings Release (Projected)</v>
      </c>
      <c r="Q388" s="282"/>
      <c r="R388" s="274" cm="1">
        <f t="array" ref="R388">_xll.FDSB($C388,"CS_EVENT_DATEJ_N("&amp;$AA$18&amp;",3)")</f>
        <v>46442</v>
      </c>
      <c r="S388" s="282" t="str" cm="1">
        <f t="array" ref="S388">_xll.FDSB($C388,"CS_EVENT_TIME_N("&amp;$AA$18&amp;",3)")</f>
        <v>Unspecified</v>
      </c>
      <c r="T388" s="282" t="str" cm="1">
        <f t="array" ref="T388">_xll.FDSB($C388,"CS_EVENT_DESC_N("&amp;$AA$18&amp;",3)")</f>
        <v>Q4 2026 Earnings Release (Projected)</v>
      </c>
      <c r="U388" s="282"/>
      <c r="V388" s="274" cm="1">
        <f t="array" ref="V388">_xll.FDSB($C388,"CS_EVENT_DATEJ_N("&amp;$AA$18&amp;",4)")</f>
        <v>46511</v>
      </c>
      <c r="W388" s="282" t="str" cm="1">
        <f t="array" ref="W388">_xll.FDSB($C388,"CS_EVENT_TIME_N("&amp;$AA$18&amp;",4)")</f>
        <v>Unspecified</v>
      </c>
      <c r="X388" s="282" t="str" cm="1">
        <f t="array" ref="X388">_xll.FDSB($C388,"CS_EVENT_DESC_N("&amp;$AA$18&amp;",4)")</f>
        <v>Q1 2027 Earnings Release (Projected)</v>
      </c>
    </row>
    <row r="389" spans="2:24" x14ac:dyDescent="0.15">
      <c r="B389" s="298">
        <f t="shared" si="7"/>
        <v>374</v>
      </c>
      <c r="C389" s="299" t="str">
        <v>XYL</v>
      </c>
      <c r="D389" s="300" t="str" cm="1">
        <f t="array" ref="D389">_xll.FDSB($C389,"FG_COMPANY_NAME")</f>
        <v>Xylem Inc.</v>
      </c>
      <c r="E389" s="300"/>
      <c r="F389" s="274" cm="1">
        <f t="array" ref="F389">_xll.FDSB($C389,"CS_EVENT_DATEJ_N("&amp;$AA$18&amp;",1)")</f>
        <v>46238</v>
      </c>
      <c r="G389" s="282" t="str" cm="1">
        <f t="array" ref="G389">_xll.FDSB($C389,"CS_EVENT_TIME_N("&amp;$AA$18&amp;",1)")</f>
        <v>Unspecified</v>
      </c>
      <c r="H389" s="282" t="str" cm="1">
        <f t="array" ref="H389">_xll.FDSB($C389,"CS_EVENT_DESC_N("&amp;$AA$18&amp;",1)")</f>
        <v>Q2 2026 Earnings Release (Projected)</v>
      </c>
      <c r="I389" s="282"/>
      <c r="J389" s="274" t="str" cm="1">
        <f t="array" ref="J389">_xll.FDSB($C389,"CS_EVENT_DATEJ_N("&amp;$AB$18&amp;",1)")</f>
        <v/>
      </c>
      <c r="K389" s="282" t="str" cm="1">
        <f t="array" ref="K389">_xll.FDSB($C389,"CS_EVENT_TIME_N("&amp;$AB$18&amp;",1)")</f>
        <v/>
      </c>
      <c r="L389" s="282" t="str" cm="1">
        <f t="array" ref="L389">_xll.FDSB($C389,"CS_EVENT_DESC_N("&amp;$AB$18&amp;",1)")</f>
        <v/>
      </c>
      <c r="M389" s="300"/>
      <c r="N389" s="274" cm="1">
        <f t="array" ref="N389">_xll.FDSB($C389,"CS_EVENT_DATEJ_N("&amp;$AA$18&amp;",2)")</f>
        <v>46329</v>
      </c>
      <c r="O389" s="282" t="str" cm="1">
        <f t="array" ref="O389">_xll.FDSB($C389,"CS_EVENT_TIME_N("&amp;$AA$18&amp;",2)")</f>
        <v>Unspecified</v>
      </c>
      <c r="P389" s="282" t="str" cm="1">
        <f t="array" ref="P389">_xll.FDSB($C389,"CS_EVENT_DESC_N("&amp;$AA$18&amp;",2)")</f>
        <v>Q3 2026 Earnings Release (Projected)</v>
      </c>
      <c r="Q389" s="282"/>
      <c r="R389" s="274" cm="1">
        <f t="array" ref="R389">_xll.FDSB($C389,"CS_EVENT_DATEJ_N("&amp;$AA$18&amp;",3)")</f>
        <v>46427</v>
      </c>
      <c r="S389" s="282" t="str" cm="1">
        <f t="array" ref="S389">_xll.FDSB($C389,"CS_EVENT_TIME_N("&amp;$AA$18&amp;",3)")</f>
        <v>Unspecified</v>
      </c>
      <c r="T389" s="282" t="str" cm="1">
        <f t="array" ref="T389">_xll.FDSB($C389,"CS_EVENT_DESC_N("&amp;$AA$18&amp;",3)")</f>
        <v>Q4 2026 Earnings Release (Projected)</v>
      </c>
      <c r="U389" s="282"/>
      <c r="V389" s="274" cm="1">
        <f t="array" ref="V389">_xll.FDSB($C389,"CS_EVENT_DATEJ_N("&amp;$AA$18&amp;",4)")</f>
        <v>46511</v>
      </c>
      <c r="W389" s="282" t="str" cm="1">
        <f t="array" ref="W389">_xll.FDSB($C389,"CS_EVENT_TIME_N("&amp;$AA$18&amp;",4)")</f>
        <v>Unspecified</v>
      </c>
      <c r="X389" s="282" t="str" cm="1">
        <f t="array" ref="X389">_xll.FDSB($C389,"CS_EVENT_DESC_N("&amp;$AA$18&amp;",4)")</f>
        <v>Q1 2027 Earnings Release (Projected)</v>
      </c>
    </row>
    <row r="390" spans="2:24" x14ac:dyDescent="0.15">
      <c r="B390" s="298">
        <f t="shared" si="7"/>
        <v>375</v>
      </c>
      <c r="C390" s="299" t="str">
        <v>UBER</v>
      </c>
      <c r="D390" s="300" t="str" cm="1">
        <f t="array" ref="D390">_xll.FDSB($C390,"FG_COMPANY_NAME")</f>
        <v>Uber Technologies, Inc.</v>
      </c>
      <c r="E390" s="300"/>
      <c r="F390" s="274" cm="1">
        <f t="array" ref="F390">_xll.FDSB($C390,"CS_EVENT_DATEJ_N("&amp;$AA$18&amp;",1)")</f>
        <v>46238</v>
      </c>
      <c r="G390" s="282" t="str" cm="1">
        <f t="array" ref="G390">_xll.FDSB($C390,"CS_EVENT_TIME_N("&amp;$AA$18&amp;",1)")</f>
        <v>Unspecified</v>
      </c>
      <c r="H390" s="282" t="str" cm="1">
        <f t="array" ref="H390">_xll.FDSB($C390,"CS_EVENT_DESC_N("&amp;$AA$18&amp;",1)")</f>
        <v>Q2 2026 Earnings Release (Projected)</v>
      </c>
      <c r="I390" s="282"/>
      <c r="J390" s="274" t="str" cm="1">
        <f t="array" ref="J390">_xll.FDSB($C390,"CS_EVENT_DATEJ_N("&amp;$AB$18&amp;",1)")</f>
        <v/>
      </c>
      <c r="K390" s="282" t="str" cm="1">
        <f t="array" ref="K390">_xll.FDSB($C390,"CS_EVENT_TIME_N("&amp;$AB$18&amp;",1)")</f>
        <v/>
      </c>
      <c r="L390" s="282" t="str" cm="1">
        <f t="array" ref="L390">_xll.FDSB($C390,"CS_EVENT_DESC_N("&amp;$AB$18&amp;",1)")</f>
        <v/>
      </c>
      <c r="M390" s="300"/>
      <c r="N390" s="274" cm="1">
        <f t="array" ref="N390">_xll.FDSB($C390,"CS_EVENT_DATEJ_N("&amp;$AA$18&amp;",2)")</f>
        <v>46324</v>
      </c>
      <c r="O390" s="282" t="str" cm="1">
        <f t="array" ref="O390">_xll.FDSB($C390,"CS_EVENT_TIME_N("&amp;$AA$18&amp;",2)")</f>
        <v>Unspecified</v>
      </c>
      <c r="P390" s="282" t="str" cm="1">
        <f t="array" ref="P390">_xll.FDSB($C390,"CS_EVENT_DESC_N("&amp;$AA$18&amp;",2)")</f>
        <v>Q3 2026 Earnings Release (Projected)</v>
      </c>
      <c r="Q390" s="282"/>
      <c r="R390" s="274" cm="1">
        <f t="array" ref="R390">_xll.FDSB($C390,"CS_EVENT_DATEJ_N("&amp;$AA$18&amp;",3)")</f>
        <v>46428</v>
      </c>
      <c r="S390" s="282" t="str" cm="1">
        <f t="array" ref="S390">_xll.FDSB($C390,"CS_EVENT_TIME_N("&amp;$AA$18&amp;",3)")</f>
        <v>Unspecified</v>
      </c>
      <c r="T390" s="282" t="str" cm="1">
        <f t="array" ref="T390">_xll.FDSB($C390,"CS_EVENT_DESC_N("&amp;$AA$18&amp;",3)")</f>
        <v>Q4 2026 Earnings Release (Projected)</v>
      </c>
      <c r="U390" s="282"/>
      <c r="V390" s="274" cm="1">
        <f t="array" ref="V390">_xll.FDSB($C390,"CS_EVENT_DATEJ_N("&amp;$AA$18&amp;",4)")</f>
        <v>46512</v>
      </c>
      <c r="W390" s="282" t="str" cm="1">
        <f t="array" ref="W390">_xll.FDSB($C390,"CS_EVENT_TIME_N("&amp;$AA$18&amp;",4)")</f>
        <v>Unspecified</v>
      </c>
      <c r="X390" s="282" t="str" cm="1">
        <f t="array" ref="X390">_xll.FDSB($C390,"CS_EVENT_DESC_N("&amp;$AA$18&amp;",4)")</f>
        <v>Q1 2027 Earnings Release (Projected)</v>
      </c>
    </row>
    <row r="391" spans="2:24" x14ac:dyDescent="0.15">
      <c r="B391" s="298">
        <f t="shared" si="7"/>
        <v>376</v>
      </c>
      <c r="C391" s="299" t="str">
        <v>DD</v>
      </c>
      <c r="D391" s="300" t="str" cm="1">
        <f t="array" ref="D391">_xll.FDSB($C391,"FG_COMPANY_NAME")</f>
        <v>DuPont de Nemours, Inc.</v>
      </c>
      <c r="E391" s="300"/>
      <c r="F391" s="274" cm="1">
        <f t="array" ref="F391">_xll.FDSB($C391,"CS_EVENT_DATEJ_N("&amp;$AA$18&amp;",1)")</f>
        <v>46238</v>
      </c>
      <c r="G391" s="282" t="str" cm="1">
        <f t="array" ref="G391">_xll.FDSB($C391,"CS_EVENT_TIME_N("&amp;$AA$18&amp;",1)")</f>
        <v>Unspecified</v>
      </c>
      <c r="H391" s="282" t="str" cm="1">
        <f t="array" ref="H391">_xll.FDSB($C391,"CS_EVENT_DESC_N("&amp;$AA$18&amp;",1)")</f>
        <v>Q2 2026 Earnings Release (Projected)</v>
      </c>
      <c r="I391" s="282"/>
      <c r="J391" s="274" t="str" cm="1">
        <f t="array" ref="J391">_xll.FDSB($C391,"CS_EVENT_DATEJ_N("&amp;$AB$18&amp;",1)")</f>
        <v/>
      </c>
      <c r="K391" s="282" t="str" cm="1">
        <f t="array" ref="K391">_xll.FDSB($C391,"CS_EVENT_TIME_N("&amp;$AB$18&amp;",1)")</f>
        <v/>
      </c>
      <c r="L391" s="282" t="str" cm="1">
        <f t="array" ref="L391">_xll.FDSB($C391,"CS_EVENT_DESC_N("&amp;$AB$18&amp;",1)")</f>
        <v/>
      </c>
      <c r="M391" s="300"/>
      <c r="N391" s="274" cm="1">
        <f t="array" ref="N391">_xll.FDSB($C391,"CS_EVENT_DATEJ_N("&amp;$AA$18&amp;",2)")</f>
        <v>46336</v>
      </c>
      <c r="O391" s="282" t="str" cm="1">
        <f t="array" ref="O391">_xll.FDSB($C391,"CS_EVENT_TIME_N("&amp;$AA$18&amp;",2)")</f>
        <v>Unspecified</v>
      </c>
      <c r="P391" s="282" t="str" cm="1">
        <f t="array" ref="P391">_xll.FDSB($C391,"CS_EVENT_DESC_N("&amp;$AA$18&amp;",2)")</f>
        <v>Q3 2026 Earnings Release (Projected)</v>
      </c>
      <c r="Q391" s="282"/>
      <c r="R391" s="274" cm="1">
        <f t="array" ref="R391">_xll.FDSB($C391,"CS_EVENT_DATEJ_N("&amp;$AA$18&amp;",3)")</f>
        <v>46427</v>
      </c>
      <c r="S391" s="282" t="str" cm="1">
        <f t="array" ref="S391">_xll.FDSB($C391,"CS_EVENT_TIME_N("&amp;$AA$18&amp;",3)")</f>
        <v>Unspecified</v>
      </c>
      <c r="T391" s="282" t="str" cm="1">
        <f t="array" ref="T391">_xll.FDSB($C391,"CS_EVENT_DESC_N("&amp;$AA$18&amp;",3)")</f>
        <v>Q4 2026 Earnings Release (Projected)</v>
      </c>
      <c r="U391" s="282"/>
      <c r="V391" s="274" cm="1">
        <f t="array" ref="V391">_xll.FDSB($C391,"CS_EVENT_DATEJ_N("&amp;$AA$18&amp;",4)")</f>
        <v>46511</v>
      </c>
      <c r="W391" s="282" t="str" cm="1">
        <f t="array" ref="W391">_xll.FDSB($C391,"CS_EVENT_TIME_N("&amp;$AA$18&amp;",4)")</f>
        <v>Unspecified</v>
      </c>
      <c r="X391" s="282" t="str" cm="1">
        <f t="array" ref="X391">_xll.FDSB($C391,"CS_EVENT_DESC_N("&amp;$AA$18&amp;",4)")</f>
        <v>Q1 2027 Earnings Release (Projected)</v>
      </c>
    </row>
    <row r="392" spans="2:24" x14ac:dyDescent="0.15">
      <c r="B392" s="298">
        <f t="shared" si="7"/>
        <v>377</v>
      </c>
      <c r="C392" s="299" t="str">
        <v>EXE</v>
      </c>
      <c r="D392" s="300" t="str" cm="1">
        <f t="array" ref="D392">_xll.FDSB($C392,"FG_COMPANY_NAME")</f>
        <v>Expand Energy Corporation</v>
      </c>
      <c r="E392" s="300"/>
      <c r="F392" s="274" cm="1">
        <f t="array" ref="F392">_xll.FDSB($C392,"CS_EVENT_DATEJ_N("&amp;$AA$18&amp;",1)")</f>
        <v>46238</v>
      </c>
      <c r="G392" s="282" t="str" cm="1">
        <f t="array" ref="G392">_xll.FDSB($C392,"CS_EVENT_TIME_N("&amp;$AA$18&amp;",1)")</f>
        <v>Unspecified</v>
      </c>
      <c r="H392" s="282" t="str" cm="1">
        <f t="array" ref="H392">_xll.FDSB($C392,"CS_EVENT_DESC_N("&amp;$AA$18&amp;",1)")</f>
        <v>Q2 2026 Earnings Release (Projected)</v>
      </c>
      <c r="I392" s="282"/>
      <c r="J392" s="274" t="str" cm="1">
        <f t="array" ref="J392">_xll.FDSB($C392,"CS_EVENT_DATEJ_N("&amp;$AB$18&amp;",1)")</f>
        <v/>
      </c>
      <c r="K392" s="282" t="str" cm="1">
        <f t="array" ref="K392">_xll.FDSB($C392,"CS_EVENT_TIME_N("&amp;$AB$18&amp;",1)")</f>
        <v/>
      </c>
      <c r="L392" s="282" t="str" cm="1">
        <f t="array" ref="L392">_xll.FDSB($C392,"CS_EVENT_DESC_N("&amp;$AB$18&amp;",1)")</f>
        <v/>
      </c>
      <c r="M392" s="300"/>
      <c r="N392" s="274" cm="1">
        <f t="array" ref="N392">_xll.FDSB($C392,"CS_EVENT_DATEJ_N("&amp;$AA$18&amp;",2)")</f>
        <v>46329</v>
      </c>
      <c r="O392" s="282" t="str" cm="1">
        <f t="array" ref="O392">_xll.FDSB($C392,"CS_EVENT_TIME_N("&amp;$AA$18&amp;",2)")</f>
        <v>Unspecified</v>
      </c>
      <c r="P392" s="282" t="str" cm="1">
        <f t="array" ref="P392">_xll.FDSB($C392,"CS_EVENT_DESC_N("&amp;$AA$18&amp;",2)")</f>
        <v>Q3 2026 Earnings Release (Projected)</v>
      </c>
      <c r="Q392" s="282"/>
      <c r="R392" s="274" cm="1">
        <f t="array" ref="R392">_xll.FDSB($C392,"CS_EVENT_DATEJ_N("&amp;$AA$18&amp;",3)")</f>
        <v>46449</v>
      </c>
      <c r="S392" s="282" t="str" cm="1">
        <f t="array" ref="S392">_xll.FDSB($C392,"CS_EVENT_TIME_N("&amp;$AA$18&amp;",3)")</f>
        <v>Unspecified</v>
      </c>
      <c r="T392" s="282" t="str" cm="1">
        <f t="array" ref="T392">_xll.FDSB($C392,"CS_EVENT_DESC_N("&amp;$AA$18&amp;",3)")</f>
        <v>Q4 2026 Earnings Release (Projected)</v>
      </c>
      <c r="U392" s="282"/>
      <c r="V392" s="274" cm="1">
        <f t="array" ref="V392">_xll.FDSB($C392,"CS_EVENT_DATEJ_N("&amp;$AA$18&amp;",4)")</f>
        <v>46511</v>
      </c>
      <c r="W392" s="282" t="str" cm="1">
        <f t="array" ref="W392">_xll.FDSB($C392,"CS_EVENT_TIME_N("&amp;$AA$18&amp;",4)")</f>
        <v>Unspecified</v>
      </c>
      <c r="X392" s="282" t="str" cm="1">
        <f t="array" ref="X392">_xll.FDSB($C392,"CS_EVENT_DESC_N("&amp;$AA$18&amp;",4)")</f>
        <v>Q1 2027 Earnings Release (Projected)</v>
      </c>
    </row>
    <row r="393" spans="2:24" x14ac:dyDescent="0.15">
      <c r="B393" s="298">
        <f t="shared" si="7"/>
        <v>378</v>
      </c>
      <c r="C393" s="299" t="str">
        <v>GRMN</v>
      </c>
      <c r="D393" s="300" t="str" cm="1">
        <f t="array" ref="D393">_xll.FDSB($C393,"FG_COMPANY_NAME")</f>
        <v>Garmin Ltd.</v>
      </c>
      <c r="E393" s="300"/>
      <c r="F393" s="274" cm="1">
        <f t="array" ref="F393">_xll.FDSB($C393,"CS_EVENT_DATEJ_N("&amp;$AA$18&amp;",1)")</f>
        <v>46239</v>
      </c>
      <c r="G393" s="282" t="str" cm="1">
        <f t="array" ref="G393">_xll.FDSB($C393,"CS_EVENT_TIME_N("&amp;$AA$18&amp;",1)")</f>
        <v>Unspecified</v>
      </c>
      <c r="H393" s="282" t="str" cm="1">
        <f t="array" ref="H393">_xll.FDSB($C393,"CS_EVENT_DESC_N("&amp;$AA$18&amp;",1)")</f>
        <v>Q2 2026 Earnings Release (Projected)</v>
      </c>
      <c r="I393" s="282"/>
      <c r="J393" s="274" t="str" cm="1">
        <f t="array" ref="J393">_xll.FDSB($C393,"CS_EVENT_DATEJ_N("&amp;$AB$18&amp;",1)")</f>
        <v/>
      </c>
      <c r="K393" s="282" t="str" cm="1">
        <f t="array" ref="K393">_xll.FDSB($C393,"CS_EVENT_TIME_N("&amp;$AB$18&amp;",1)")</f>
        <v/>
      </c>
      <c r="L393" s="282" t="str" cm="1">
        <f t="array" ref="L393">_xll.FDSB($C393,"CS_EVENT_DESC_N("&amp;$AB$18&amp;",1)")</f>
        <v/>
      </c>
      <c r="M393" s="300"/>
      <c r="N393" s="274" cm="1">
        <f t="array" ref="N393">_xll.FDSB($C393,"CS_EVENT_DATEJ_N("&amp;$AA$18&amp;",2)")</f>
        <v>46330</v>
      </c>
      <c r="O393" s="282" t="str" cm="1">
        <f t="array" ref="O393">_xll.FDSB($C393,"CS_EVENT_TIME_N("&amp;$AA$18&amp;",2)")</f>
        <v>Unspecified</v>
      </c>
      <c r="P393" s="282" t="str" cm="1">
        <f t="array" ref="P393">_xll.FDSB($C393,"CS_EVENT_DESC_N("&amp;$AA$18&amp;",2)")</f>
        <v>Q3 2026 Earnings Release (Projected)</v>
      </c>
      <c r="Q393" s="282"/>
      <c r="R393" s="274" cm="1">
        <f t="array" ref="R393">_xll.FDSB($C393,"CS_EVENT_DATEJ_N("&amp;$AA$18&amp;",3)")</f>
        <v>46442</v>
      </c>
      <c r="S393" s="282" t="str" cm="1">
        <f t="array" ref="S393">_xll.FDSB($C393,"CS_EVENT_TIME_N("&amp;$AA$18&amp;",3)")</f>
        <v>Unspecified</v>
      </c>
      <c r="T393" s="282" t="str" cm="1">
        <f t="array" ref="T393">_xll.FDSB($C393,"CS_EVENT_DESC_N("&amp;$AA$18&amp;",3)")</f>
        <v>Q4 2026 Earnings Release (Projected)</v>
      </c>
      <c r="U393" s="282"/>
      <c r="V393" s="274" cm="1">
        <f t="array" ref="V393">_xll.FDSB($C393,"CS_EVENT_DATEJ_N("&amp;$AA$18&amp;",4)")</f>
        <v>46512</v>
      </c>
      <c r="W393" s="282" t="str" cm="1">
        <f t="array" ref="W393">_xll.FDSB($C393,"CS_EVENT_TIME_N("&amp;$AA$18&amp;",4)")</f>
        <v>Unspecified</v>
      </c>
      <c r="X393" s="282" t="str" cm="1">
        <f t="array" ref="X393">_xll.FDSB($C393,"CS_EVENT_DESC_N("&amp;$AA$18&amp;",4)")</f>
        <v>Q1 2027 Earnings Release (Projected)</v>
      </c>
    </row>
    <row r="394" spans="2:24" x14ac:dyDescent="0.15">
      <c r="B394" s="298">
        <f t="shared" si="7"/>
        <v>379</v>
      </c>
      <c r="C394" s="299" t="str">
        <v>CLX</v>
      </c>
      <c r="D394" s="300" t="str" cm="1">
        <f t="array" ref="D394">_xll.FDSB($C394,"FG_COMPANY_NAME")</f>
        <v>Clorox Company</v>
      </c>
      <c r="E394" s="300"/>
      <c r="F394" s="274" cm="1">
        <f t="array" ref="F394">_xll.FDSB($C394,"CS_EVENT_DATEJ_N("&amp;$AA$18&amp;",1)")</f>
        <v>46239</v>
      </c>
      <c r="G394" s="282" t="str" cm="1">
        <f t="array" ref="G394">_xll.FDSB($C394,"CS_EVENT_TIME_N("&amp;$AA$18&amp;",1)")</f>
        <v>Unspecified</v>
      </c>
      <c r="H394" s="282" t="str" cm="1">
        <f t="array" ref="H394">_xll.FDSB($C394,"CS_EVENT_DESC_N("&amp;$AA$18&amp;",1)")</f>
        <v>Q4 2026 Earnings Release (Projected)</v>
      </c>
      <c r="I394" s="282"/>
      <c r="J394" s="274" t="str" cm="1">
        <f t="array" ref="J394">_xll.FDSB($C394,"CS_EVENT_DATEJ_N("&amp;$AB$18&amp;",1)")</f>
        <v/>
      </c>
      <c r="K394" s="282" t="str" cm="1">
        <f t="array" ref="K394">_xll.FDSB($C394,"CS_EVENT_TIME_N("&amp;$AB$18&amp;",1)")</f>
        <v/>
      </c>
      <c r="L394" s="282" t="str" cm="1">
        <f t="array" ref="L394">_xll.FDSB($C394,"CS_EVENT_DESC_N("&amp;$AB$18&amp;",1)")</f>
        <v/>
      </c>
      <c r="M394" s="300"/>
      <c r="N394" s="274" cm="1">
        <f t="array" ref="N394">_xll.FDSB($C394,"CS_EVENT_DATEJ_N("&amp;$AA$18&amp;",2)")</f>
        <v>46330</v>
      </c>
      <c r="O394" s="282" t="str" cm="1">
        <f t="array" ref="O394">_xll.FDSB($C394,"CS_EVENT_TIME_N("&amp;$AA$18&amp;",2)")</f>
        <v>Unspecified</v>
      </c>
      <c r="P394" s="282" t="str" cm="1">
        <f t="array" ref="P394">_xll.FDSB($C394,"CS_EVENT_DESC_N("&amp;$AA$18&amp;",2)")</f>
        <v>Q1 2027 Earnings Release (Projected)</v>
      </c>
      <c r="Q394" s="282"/>
      <c r="R394" s="274" cm="1">
        <f t="array" ref="R394">_xll.FDSB($C394,"CS_EVENT_DATEJ_N("&amp;$AA$18&amp;",3)")</f>
        <v>46422</v>
      </c>
      <c r="S394" s="282" t="str" cm="1">
        <f t="array" ref="S394">_xll.FDSB($C394,"CS_EVENT_TIME_N("&amp;$AA$18&amp;",3)")</f>
        <v>Unspecified</v>
      </c>
      <c r="T394" s="282" t="str" cm="1">
        <f t="array" ref="T394">_xll.FDSB($C394,"CS_EVENT_DESC_N("&amp;$AA$18&amp;",3)")</f>
        <v>Q2 2027 Earnings Release (Projected)</v>
      </c>
      <c r="U394" s="282"/>
      <c r="V394" s="274" cm="1">
        <f t="array" ref="V394">_xll.FDSB($C394,"CS_EVENT_DATEJ_N("&amp;$AA$18&amp;",4)")</f>
        <v>46511</v>
      </c>
      <c r="W394" s="282" t="str" cm="1">
        <f t="array" ref="W394">_xll.FDSB($C394,"CS_EVENT_TIME_N("&amp;$AA$18&amp;",4)")</f>
        <v>Unspecified</v>
      </c>
      <c r="X394" s="282" t="str" cm="1">
        <f t="array" ref="X394">_xll.FDSB($C394,"CS_EVENT_DESC_N("&amp;$AA$18&amp;",4)")</f>
        <v>Q3 2027 Earnings Release (Projected)</v>
      </c>
    </row>
    <row r="395" spans="2:24" x14ac:dyDescent="0.15">
      <c r="B395" s="298">
        <f t="shared" si="7"/>
        <v>380</v>
      </c>
      <c r="C395" s="299" t="str">
        <v>MGM</v>
      </c>
      <c r="D395" s="300" t="str" cm="1">
        <f t="array" ref="D395">_xll.FDSB($C395,"FG_COMPANY_NAME")</f>
        <v>MGM Resorts International</v>
      </c>
      <c r="E395" s="300"/>
      <c r="F395" s="274" cm="1">
        <f t="array" ref="F395">_xll.FDSB($C395,"CS_EVENT_DATEJ_N("&amp;$AA$18&amp;",1)")</f>
        <v>46239</v>
      </c>
      <c r="G395" s="282" t="str" cm="1">
        <f t="array" ref="G395">_xll.FDSB($C395,"CS_EVENT_TIME_N("&amp;$AA$18&amp;",1)")</f>
        <v>Unspecified</v>
      </c>
      <c r="H395" s="282" t="str" cm="1">
        <f t="array" ref="H395">_xll.FDSB($C395,"CS_EVENT_DESC_N("&amp;$AA$18&amp;",1)")</f>
        <v>Q2 2026 Earnings Release (Projected)</v>
      </c>
      <c r="I395" s="282"/>
      <c r="J395" s="274" t="str" cm="1">
        <f t="array" ref="J395">_xll.FDSB($C395,"CS_EVENT_DATEJ_N("&amp;$AB$18&amp;",1)")</f>
        <v/>
      </c>
      <c r="K395" s="282" t="str" cm="1">
        <f t="array" ref="K395">_xll.FDSB($C395,"CS_EVENT_TIME_N("&amp;$AB$18&amp;",1)")</f>
        <v/>
      </c>
      <c r="L395" s="282" t="str" cm="1">
        <f t="array" ref="L395">_xll.FDSB($C395,"CS_EVENT_DESC_N("&amp;$AB$18&amp;",1)")</f>
        <v/>
      </c>
      <c r="M395" s="300"/>
      <c r="N395" s="274" cm="1">
        <f t="array" ref="N395">_xll.FDSB($C395,"CS_EVENT_DATEJ_N("&amp;$AA$18&amp;",2)")</f>
        <v>46330</v>
      </c>
      <c r="O395" s="282" t="str" cm="1">
        <f t="array" ref="O395">_xll.FDSB($C395,"CS_EVENT_TIME_N("&amp;$AA$18&amp;",2)")</f>
        <v>Unspecified</v>
      </c>
      <c r="P395" s="282" t="str" cm="1">
        <f t="array" ref="P395">_xll.FDSB($C395,"CS_EVENT_DESC_N("&amp;$AA$18&amp;",2)")</f>
        <v>Q3 2026 Earnings Release (Projected)</v>
      </c>
      <c r="Q395" s="282"/>
      <c r="R395" s="274" cm="1">
        <f t="array" ref="R395">_xll.FDSB($C395,"CS_EVENT_DATEJ_N("&amp;$AA$18&amp;",3)")</f>
        <v>46428</v>
      </c>
      <c r="S395" s="282" t="str" cm="1">
        <f t="array" ref="S395">_xll.FDSB($C395,"CS_EVENT_TIME_N("&amp;$AA$18&amp;",3)")</f>
        <v>Unspecified</v>
      </c>
      <c r="T395" s="282" t="str" cm="1">
        <f t="array" ref="T395">_xll.FDSB($C395,"CS_EVENT_DESC_N("&amp;$AA$18&amp;",3)")</f>
        <v>Q4 2026 Earnings Release (Projected)</v>
      </c>
      <c r="U395" s="282"/>
      <c r="V395" s="274" cm="1">
        <f t="array" ref="V395">_xll.FDSB($C395,"CS_EVENT_DATEJ_N("&amp;$AA$18&amp;",4)")</f>
        <v>46512</v>
      </c>
      <c r="W395" s="282" t="str" cm="1">
        <f t="array" ref="W395">_xll.FDSB($C395,"CS_EVENT_TIME_N("&amp;$AA$18&amp;",4)")</f>
        <v>Unspecified</v>
      </c>
      <c r="X395" s="282" t="str" cm="1">
        <f t="array" ref="X395">_xll.FDSB($C395,"CS_EVENT_DESC_N("&amp;$AA$18&amp;",4)")</f>
        <v>Q1 2027 Earnings Release (Projected)</v>
      </c>
    </row>
    <row r="396" spans="2:24" x14ac:dyDescent="0.15">
      <c r="B396" s="298">
        <f t="shared" si="7"/>
        <v>381</v>
      </c>
      <c r="C396" s="299" t="str">
        <v>AIG</v>
      </c>
      <c r="D396" s="300" t="str" cm="1">
        <f t="array" ref="D396">_xll.FDSB($C396,"FG_COMPANY_NAME")</f>
        <v>American International Group, Inc.</v>
      </c>
      <c r="E396" s="300"/>
      <c r="F396" s="274" cm="1">
        <f t="array" ref="F396">_xll.FDSB($C396,"CS_EVENT_DATEJ_N("&amp;$AA$18&amp;",1)")</f>
        <v>46239</v>
      </c>
      <c r="G396" s="282" t="str" cm="1">
        <f t="array" ref="G396">_xll.FDSB($C396,"CS_EVENT_TIME_N("&amp;$AA$18&amp;",1)")</f>
        <v>Unspecified</v>
      </c>
      <c r="H396" s="282" t="str" cm="1">
        <f t="array" ref="H396">_xll.FDSB($C396,"CS_EVENT_DESC_N("&amp;$AA$18&amp;",1)")</f>
        <v>Q2 2026 Earnings Release (Projected)</v>
      </c>
      <c r="I396" s="282"/>
      <c r="J396" s="274" t="str" cm="1">
        <f t="array" ref="J396">_xll.FDSB($C396,"CS_EVENT_DATEJ_N("&amp;$AB$18&amp;",1)")</f>
        <v/>
      </c>
      <c r="K396" s="282" t="str" cm="1">
        <f t="array" ref="K396">_xll.FDSB($C396,"CS_EVENT_TIME_N("&amp;$AB$18&amp;",1)")</f>
        <v/>
      </c>
      <c r="L396" s="282" t="str" cm="1">
        <f t="array" ref="L396">_xll.FDSB($C396,"CS_EVENT_DESC_N("&amp;$AB$18&amp;",1)")</f>
        <v/>
      </c>
      <c r="M396" s="300"/>
      <c r="N396" s="274" cm="1">
        <f t="array" ref="N396">_xll.FDSB($C396,"CS_EVENT_DATEJ_N("&amp;$AA$18&amp;",2)")</f>
        <v>46330</v>
      </c>
      <c r="O396" s="282" t="str" cm="1">
        <f t="array" ref="O396">_xll.FDSB($C396,"CS_EVENT_TIME_N("&amp;$AA$18&amp;",2)")</f>
        <v>Unspecified</v>
      </c>
      <c r="P396" s="282" t="str" cm="1">
        <f t="array" ref="P396">_xll.FDSB($C396,"CS_EVENT_DESC_N("&amp;$AA$18&amp;",2)")</f>
        <v>Q3 2026 Earnings Release (Projected)</v>
      </c>
      <c r="Q396" s="282"/>
      <c r="R396" s="274" cm="1">
        <f t="array" ref="R396">_xll.FDSB($C396,"CS_EVENT_DATEJ_N("&amp;$AA$18&amp;",3)")</f>
        <v>46434</v>
      </c>
      <c r="S396" s="282" t="str" cm="1">
        <f t="array" ref="S396">_xll.FDSB($C396,"CS_EVENT_TIME_N("&amp;$AA$18&amp;",3)")</f>
        <v>Unspecified</v>
      </c>
      <c r="T396" s="282" t="str" cm="1">
        <f t="array" ref="T396">_xll.FDSB($C396,"CS_EVENT_DESC_N("&amp;$AA$18&amp;",3)")</f>
        <v>Q4 2026 Earnings Release (Projected)</v>
      </c>
      <c r="U396" s="282"/>
      <c r="V396" s="274" t="str" cm="1">
        <f t="array" ref="V396">_xll.FDSB($C396,"CS_EVENT_DATEJ_N("&amp;$AA$18&amp;",4)")</f>
        <v/>
      </c>
      <c r="W396" s="282" t="str" cm="1">
        <f t="array" ref="W396">_xll.FDSB($C396,"CS_EVENT_TIME_N("&amp;$AA$18&amp;",4)")</f>
        <v/>
      </c>
      <c r="X396" s="282" t="str" cm="1">
        <f t="array" ref="X396">_xll.FDSB($C396,"CS_EVENT_DESC_N("&amp;$AA$18&amp;",4)")</f>
        <v/>
      </c>
    </row>
    <row r="397" spans="2:24" x14ac:dyDescent="0.15">
      <c r="B397" s="298">
        <f t="shared" si="7"/>
        <v>382</v>
      </c>
      <c r="C397" s="299" t="str">
        <v>LLY</v>
      </c>
      <c r="D397" s="300" t="str" cm="1">
        <f t="array" ref="D397">_xll.FDSB($C397,"FG_COMPANY_NAME")</f>
        <v>Eli Lilly and Company</v>
      </c>
      <c r="E397" s="300"/>
      <c r="F397" s="274" cm="1">
        <f t="array" ref="F397">_xll.FDSB($C397,"CS_EVENT_DATEJ_N("&amp;$AA$18&amp;",1)")</f>
        <v>46239</v>
      </c>
      <c r="G397" s="282" t="str" cm="1">
        <f t="array" ref="G397">_xll.FDSB($C397,"CS_EVENT_TIME_N("&amp;$AA$18&amp;",1)")</f>
        <v>6:45 AM</v>
      </c>
      <c r="H397" s="282" t="str" cm="1">
        <f t="array" ref="H397">_xll.FDSB($C397,"CS_EVENT_DESC_N("&amp;$AA$18&amp;",1)")</f>
        <v>Q2 2026 Earnings Release</v>
      </c>
      <c r="I397" s="282"/>
      <c r="J397" s="274" cm="1">
        <f t="array" ref="J397">_xll.FDSB($C397,"CS_EVENT_DATEJ_N("&amp;$AB$18&amp;",1)")</f>
        <v>46239</v>
      </c>
      <c r="K397" s="282" t="str" cm="1">
        <f t="array" ref="K397">_xll.FDSB($C397,"CS_EVENT_TIME_N("&amp;$AB$18&amp;",1)")</f>
        <v>10:00 AM</v>
      </c>
      <c r="L397" s="282" t="str" cm="1">
        <f t="array" ref="L397">_xll.FDSB($C397,"CS_EVENT_DESC_N("&amp;$AB$18&amp;",1)")</f>
        <v>Q2 2026 Earnings Call</v>
      </c>
      <c r="M397" s="300"/>
      <c r="N397" s="274" cm="1">
        <f t="array" ref="N397">_xll.FDSB($C397,"CS_EVENT_DATEJ_N("&amp;$AA$18&amp;",2)")</f>
        <v>46324</v>
      </c>
      <c r="O397" s="282" t="str" cm="1">
        <f t="array" ref="O397">_xll.FDSB($C397,"CS_EVENT_TIME_N("&amp;$AA$18&amp;",2)")</f>
        <v>6:45 AM</v>
      </c>
      <c r="P397" s="282" t="str" cm="1">
        <f t="array" ref="P397">_xll.FDSB($C397,"CS_EVENT_DESC_N("&amp;$AA$18&amp;",2)")</f>
        <v>Q3 2026 Earnings Release</v>
      </c>
      <c r="Q397" s="282"/>
      <c r="R397" s="274" cm="1">
        <f t="array" ref="R397">_xll.FDSB($C397,"CS_EVENT_DATEJ_N("&amp;$AA$18&amp;",3)")</f>
        <v>46428</v>
      </c>
      <c r="S397" s="282" t="str" cm="1">
        <f t="array" ref="S397">_xll.FDSB($C397,"CS_EVENT_TIME_N("&amp;$AA$18&amp;",3)")</f>
        <v>Unspecified</v>
      </c>
      <c r="T397" s="282" t="str" cm="1">
        <f t="array" ref="T397">_xll.FDSB($C397,"CS_EVENT_DESC_N("&amp;$AA$18&amp;",3)")</f>
        <v>Q4 2026 Earnings Release (Projected)</v>
      </c>
      <c r="U397" s="282"/>
      <c r="V397" s="274" cm="1">
        <f t="array" ref="V397">_xll.FDSB($C397,"CS_EVENT_DATEJ_N("&amp;$AA$18&amp;",4)")</f>
        <v>46506</v>
      </c>
      <c r="W397" s="282" t="str" cm="1">
        <f t="array" ref="W397">_xll.FDSB($C397,"CS_EVENT_TIME_N("&amp;$AA$18&amp;",4)")</f>
        <v>Unspecified</v>
      </c>
      <c r="X397" s="282" t="str" cm="1">
        <f t="array" ref="X397">_xll.FDSB($C397,"CS_EVENT_DESC_N("&amp;$AA$18&amp;",4)")</f>
        <v>Q1 2027 Earnings Release (Projected)</v>
      </c>
    </row>
    <row r="398" spans="2:24" x14ac:dyDescent="0.15">
      <c r="B398" s="298">
        <f t="shared" si="7"/>
        <v>383</v>
      </c>
      <c r="C398" s="299" t="str">
        <v>MCK</v>
      </c>
      <c r="D398" s="300" t="str" cm="1">
        <f t="array" ref="D398">_xll.FDSB($C398,"FG_COMPANY_NAME")</f>
        <v>McKesson Corporation</v>
      </c>
      <c r="E398" s="300"/>
      <c r="F398" s="274" cm="1">
        <f t="array" ref="F398">_xll.FDSB($C398,"CS_EVENT_DATEJ_N("&amp;$AA$18&amp;",1)")</f>
        <v>46239</v>
      </c>
      <c r="G398" s="282" t="str" cm="1">
        <f t="array" ref="G398">_xll.FDSB($C398,"CS_EVENT_TIME_N("&amp;$AA$18&amp;",1)")</f>
        <v>Unspecified</v>
      </c>
      <c r="H398" s="282" t="str" cm="1">
        <f t="array" ref="H398">_xll.FDSB($C398,"CS_EVENT_DESC_N("&amp;$AA$18&amp;",1)")</f>
        <v>Q1 2027 Earnings Release (Projected)</v>
      </c>
      <c r="I398" s="282"/>
      <c r="J398" s="274" t="str" cm="1">
        <f t="array" ref="J398">_xll.FDSB($C398,"CS_EVENT_DATEJ_N("&amp;$AB$18&amp;",1)")</f>
        <v/>
      </c>
      <c r="K398" s="282" t="str" cm="1">
        <f t="array" ref="K398">_xll.FDSB($C398,"CS_EVENT_TIME_N("&amp;$AB$18&amp;",1)")</f>
        <v/>
      </c>
      <c r="L398" s="282" t="str" cm="1">
        <f t="array" ref="L398">_xll.FDSB($C398,"CS_EVENT_DESC_N("&amp;$AB$18&amp;",1)")</f>
        <v/>
      </c>
      <c r="M398" s="300"/>
      <c r="N398" s="274" cm="1">
        <f t="array" ref="N398">_xll.FDSB($C398,"CS_EVENT_DATEJ_N("&amp;$AA$18&amp;",2)")</f>
        <v>46329</v>
      </c>
      <c r="O398" s="282" t="str" cm="1">
        <f t="array" ref="O398">_xll.FDSB($C398,"CS_EVENT_TIME_N("&amp;$AA$18&amp;",2)")</f>
        <v>Unspecified</v>
      </c>
      <c r="P398" s="282" t="str" cm="1">
        <f t="array" ref="P398">_xll.FDSB($C398,"CS_EVENT_DESC_N("&amp;$AA$18&amp;",2)")</f>
        <v>Q2 2027 Earnings Release (Projected)</v>
      </c>
      <c r="Q398" s="282"/>
      <c r="R398" s="274" cm="1">
        <f t="array" ref="R398">_xll.FDSB($C398,"CS_EVENT_DATEJ_N("&amp;$AA$18&amp;",3)")</f>
        <v>46428</v>
      </c>
      <c r="S398" s="282" t="str" cm="1">
        <f t="array" ref="S398">_xll.FDSB($C398,"CS_EVENT_TIME_N("&amp;$AA$18&amp;",3)")</f>
        <v>Unspecified</v>
      </c>
      <c r="T398" s="282" t="str" cm="1">
        <f t="array" ref="T398">_xll.FDSB($C398,"CS_EVENT_DESC_N("&amp;$AA$18&amp;",3)")</f>
        <v>Q3 2027 Earnings Release (Projected)</v>
      </c>
      <c r="U398" s="282"/>
      <c r="V398" s="274" cm="1">
        <f t="array" ref="V398">_xll.FDSB($C398,"CS_EVENT_DATEJ_N("&amp;$AA$18&amp;",4)")</f>
        <v>46520</v>
      </c>
      <c r="W398" s="282" t="str" cm="1">
        <f t="array" ref="W398">_xll.FDSB($C398,"CS_EVENT_TIME_N("&amp;$AA$18&amp;",4)")</f>
        <v>Unspecified</v>
      </c>
      <c r="X398" s="282" t="str" cm="1">
        <f t="array" ref="X398">_xll.FDSB($C398,"CS_EVENT_DESC_N("&amp;$AA$18&amp;",4)")</f>
        <v>Q4 2027 Earnings Release (Projected)</v>
      </c>
    </row>
    <row r="399" spans="2:24" x14ac:dyDescent="0.15">
      <c r="B399" s="298">
        <f t="shared" si="7"/>
        <v>384</v>
      </c>
      <c r="C399" s="299" t="str">
        <v>ALL</v>
      </c>
      <c r="D399" s="300" t="str" cm="1">
        <f t="array" ref="D399">_xll.FDSB($C399,"FG_COMPANY_NAME")</f>
        <v>Allstate Corporation</v>
      </c>
      <c r="E399" s="300"/>
      <c r="F399" s="274" cm="1">
        <f t="array" ref="F399">_xll.FDSB($C399,"CS_EVENT_DATEJ_N("&amp;$AA$18&amp;",1)")</f>
        <v>46239</v>
      </c>
      <c r="G399" s="282" t="str" cm="1">
        <f t="array" ref="G399">_xll.FDSB($C399,"CS_EVENT_TIME_N("&amp;$AA$18&amp;",1)")</f>
        <v>After Market</v>
      </c>
      <c r="H399" s="282" t="str" cm="1">
        <f t="array" ref="H399">_xll.FDSB($C399,"CS_EVENT_DESC_N("&amp;$AA$18&amp;",1)")</f>
        <v>Q2 2026 Earnings Release</v>
      </c>
      <c r="I399" s="282"/>
      <c r="J399" s="274" cm="1">
        <f t="array" ref="J399">_xll.FDSB($C399,"CS_EVENT_DATEJ_N("&amp;$AB$18&amp;",1)")</f>
        <v>46240</v>
      </c>
      <c r="K399" s="282" t="str" cm="1">
        <f t="array" ref="K399">_xll.FDSB($C399,"CS_EVENT_TIME_N("&amp;$AB$18&amp;",1)")</f>
        <v>9:00 AM</v>
      </c>
      <c r="L399" s="282" t="str" cm="1">
        <f t="array" ref="L399">_xll.FDSB($C399,"CS_EVENT_DESC_N("&amp;$AB$18&amp;",1)")</f>
        <v>Q2 2026 Earnings Call</v>
      </c>
      <c r="M399" s="300"/>
      <c r="N399" s="274" cm="1">
        <f t="array" ref="N399">_xll.FDSB($C399,"CS_EVENT_DATEJ_N("&amp;$AA$18&amp;",2)")</f>
        <v>46330</v>
      </c>
      <c r="O399" s="282" t="str" cm="1">
        <f t="array" ref="O399">_xll.FDSB($C399,"CS_EVENT_TIME_N("&amp;$AA$18&amp;",2)")</f>
        <v>After Market</v>
      </c>
      <c r="P399" s="282" t="str" cm="1">
        <f t="array" ref="P399">_xll.FDSB($C399,"CS_EVENT_DESC_N("&amp;$AA$18&amp;",2)")</f>
        <v>Q3 2026 Earnings Release</v>
      </c>
      <c r="Q399" s="282"/>
      <c r="R399" s="274" cm="1">
        <f t="array" ref="R399">_xll.FDSB($C399,"CS_EVENT_DATEJ_N("&amp;$AA$18&amp;",3)")</f>
        <v>46421</v>
      </c>
      <c r="S399" s="282" t="str" cm="1">
        <f t="array" ref="S399">_xll.FDSB($C399,"CS_EVENT_TIME_N("&amp;$AA$18&amp;",3)")</f>
        <v>Unspecified</v>
      </c>
      <c r="T399" s="282" t="str" cm="1">
        <f t="array" ref="T399">_xll.FDSB($C399,"CS_EVENT_DESC_N("&amp;$AA$18&amp;",3)")</f>
        <v>Q4 2026 Earnings Release (Projected)</v>
      </c>
      <c r="U399" s="282"/>
      <c r="V399" s="274" cm="1">
        <f t="array" ref="V399">_xll.FDSB($C399,"CS_EVENT_DATEJ_N("&amp;$AA$18&amp;",4)")</f>
        <v>46512</v>
      </c>
      <c r="W399" s="282" t="str" cm="1">
        <f t="array" ref="W399">_xll.FDSB($C399,"CS_EVENT_TIME_N("&amp;$AA$18&amp;",4)")</f>
        <v>Unspecified</v>
      </c>
      <c r="X399" s="282" t="str" cm="1">
        <f t="array" ref="X399">_xll.FDSB($C399,"CS_EVENT_DESC_N("&amp;$AA$18&amp;",4)")</f>
        <v>Q1 2027 Earnings Release (Projected)</v>
      </c>
    </row>
    <row r="400" spans="2:24" x14ac:dyDescent="0.15">
      <c r="B400" s="298">
        <f t="shared" si="7"/>
        <v>385</v>
      </c>
      <c r="C400" s="299" t="str">
        <v>ETR</v>
      </c>
      <c r="D400" s="300" t="str" cm="1">
        <f t="array" ref="D400">_xll.FDSB($C400,"FG_COMPANY_NAME")</f>
        <v>Entergy Corporation</v>
      </c>
      <c r="E400" s="300"/>
      <c r="F400" s="274" cm="1">
        <f t="array" ref="F400">_xll.FDSB($C400,"CS_EVENT_DATEJ_N("&amp;$AA$18&amp;",1)")</f>
        <v>46239</v>
      </c>
      <c r="G400" s="282" t="str" cm="1">
        <f t="array" ref="G400">_xll.FDSB($C400,"CS_EVENT_TIME_N("&amp;$AA$18&amp;",1)")</f>
        <v>Unspecified</v>
      </c>
      <c r="H400" s="282" t="str" cm="1">
        <f t="array" ref="H400">_xll.FDSB($C400,"CS_EVENT_DESC_N("&amp;$AA$18&amp;",1)")</f>
        <v>Q2 2026 Earnings Release (Projected)</v>
      </c>
      <c r="I400" s="282"/>
      <c r="J400" s="274" t="str" cm="1">
        <f t="array" ref="J400">_xll.FDSB($C400,"CS_EVENT_DATEJ_N("&amp;$AB$18&amp;",1)")</f>
        <v/>
      </c>
      <c r="K400" s="282" t="str" cm="1">
        <f t="array" ref="K400">_xll.FDSB($C400,"CS_EVENT_TIME_N("&amp;$AB$18&amp;",1)")</f>
        <v/>
      </c>
      <c r="L400" s="282" t="str" cm="1">
        <f t="array" ref="L400">_xll.FDSB($C400,"CS_EVENT_DESC_N("&amp;$AB$18&amp;",1)")</f>
        <v/>
      </c>
      <c r="M400" s="300"/>
      <c r="N400" s="274" cm="1">
        <f t="array" ref="N400">_xll.FDSB($C400,"CS_EVENT_DATEJ_N("&amp;$AA$18&amp;",2)")</f>
        <v>46330</v>
      </c>
      <c r="O400" s="282" t="str" cm="1">
        <f t="array" ref="O400">_xll.FDSB($C400,"CS_EVENT_TIME_N("&amp;$AA$18&amp;",2)")</f>
        <v>Unspecified</v>
      </c>
      <c r="P400" s="282" t="str" cm="1">
        <f t="array" ref="P400">_xll.FDSB($C400,"CS_EVENT_DESC_N("&amp;$AA$18&amp;",2)")</f>
        <v>Q3 2026 Earnings Release (Projected)</v>
      </c>
      <c r="Q400" s="282"/>
      <c r="R400" s="274" cm="1">
        <f t="array" ref="R400">_xll.FDSB($C400,"CS_EVENT_DATEJ_N("&amp;$AA$18&amp;",3)")</f>
        <v>46442</v>
      </c>
      <c r="S400" s="282" t="str" cm="1">
        <f t="array" ref="S400">_xll.FDSB($C400,"CS_EVENT_TIME_N("&amp;$AA$18&amp;",3)")</f>
        <v>Unspecified</v>
      </c>
      <c r="T400" s="282" t="str" cm="1">
        <f t="array" ref="T400">_xll.FDSB($C400,"CS_EVENT_DESC_N("&amp;$AA$18&amp;",3)")</f>
        <v>Q4 2026 Earnings Release (Projected)</v>
      </c>
      <c r="U400" s="282"/>
      <c r="V400" s="274" cm="1">
        <f t="array" ref="V400">_xll.FDSB($C400,"CS_EVENT_DATEJ_N("&amp;$AA$18&amp;",4)")</f>
        <v>46505</v>
      </c>
      <c r="W400" s="282" t="str" cm="1">
        <f t="array" ref="W400">_xll.FDSB($C400,"CS_EVENT_TIME_N("&amp;$AA$18&amp;",4)")</f>
        <v>Unspecified</v>
      </c>
      <c r="X400" s="282" t="str" cm="1">
        <f t="array" ref="X400">_xll.FDSB($C400,"CS_EVENT_DESC_N("&amp;$AA$18&amp;",4)")</f>
        <v>Q1 2027 Earnings Release (Projected)</v>
      </c>
    </row>
    <row r="401" spans="2:24" x14ac:dyDescent="0.15">
      <c r="B401" s="298">
        <f t="shared" si="7"/>
        <v>386</v>
      </c>
      <c r="C401" s="299" t="str">
        <v>QCOM</v>
      </c>
      <c r="D401" s="300" t="str" cm="1">
        <f t="array" ref="D401">_xll.FDSB($C401,"FG_COMPANY_NAME")</f>
        <v>QUALCOMM Incorporated</v>
      </c>
      <c r="E401" s="300"/>
      <c r="F401" s="274" cm="1">
        <f t="array" ref="F401">_xll.FDSB($C401,"CS_EVENT_DATEJ_N("&amp;$AA$18&amp;",1)")</f>
        <v>46239</v>
      </c>
      <c r="G401" s="282" t="str" cm="1">
        <f t="array" ref="G401">_xll.FDSB($C401,"CS_EVENT_TIME_N("&amp;$AA$18&amp;",1)")</f>
        <v>Unspecified</v>
      </c>
      <c r="H401" s="282" t="str" cm="1">
        <f t="array" ref="H401">_xll.FDSB($C401,"CS_EVENT_DESC_N("&amp;$AA$18&amp;",1)")</f>
        <v>Q3 2026 Earnings Release (Projected)</v>
      </c>
      <c r="I401" s="282"/>
      <c r="J401" s="274" t="str" cm="1">
        <f t="array" ref="J401">_xll.FDSB($C401,"CS_EVENT_DATEJ_N("&amp;$AB$18&amp;",1)")</f>
        <v/>
      </c>
      <c r="K401" s="282" t="str" cm="1">
        <f t="array" ref="K401">_xll.FDSB($C401,"CS_EVENT_TIME_N("&amp;$AB$18&amp;",1)")</f>
        <v/>
      </c>
      <c r="L401" s="282" t="str" cm="1">
        <f t="array" ref="L401">_xll.FDSB($C401,"CS_EVENT_DESC_N("&amp;$AB$18&amp;",1)")</f>
        <v/>
      </c>
      <c r="M401" s="300"/>
      <c r="N401" s="274" cm="1">
        <f t="array" ref="N401">_xll.FDSB($C401,"CS_EVENT_DATEJ_N("&amp;$AA$18&amp;",2)")</f>
        <v>46337</v>
      </c>
      <c r="O401" s="282" t="str" cm="1">
        <f t="array" ref="O401">_xll.FDSB($C401,"CS_EVENT_TIME_N("&amp;$AA$18&amp;",2)")</f>
        <v>Unspecified</v>
      </c>
      <c r="P401" s="282" t="str" cm="1">
        <f t="array" ref="P401">_xll.FDSB($C401,"CS_EVENT_DESC_N("&amp;$AA$18&amp;",2)")</f>
        <v>Q4 2026 Earnings Release (Projected)</v>
      </c>
      <c r="Q401" s="282"/>
      <c r="R401" s="274" cm="1">
        <f t="array" ref="R401">_xll.FDSB($C401,"CS_EVENT_DATEJ_N("&amp;$AA$18&amp;",3)")</f>
        <v>46421</v>
      </c>
      <c r="S401" s="282" t="str" cm="1">
        <f t="array" ref="S401">_xll.FDSB($C401,"CS_EVENT_TIME_N("&amp;$AA$18&amp;",3)")</f>
        <v>Unspecified</v>
      </c>
      <c r="T401" s="282" t="str" cm="1">
        <f t="array" ref="T401">_xll.FDSB($C401,"CS_EVENT_DESC_N("&amp;$AA$18&amp;",3)")</f>
        <v>Q1 2027 Earnings Release (Projected)</v>
      </c>
      <c r="U401" s="282"/>
      <c r="V401" s="274" cm="1">
        <f t="array" ref="V401">_xll.FDSB($C401,"CS_EVENT_DATEJ_N("&amp;$AA$18&amp;",4)")</f>
        <v>46512</v>
      </c>
      <c r="W401" s="282" t="str" cm="1">
        <f t="array" ref="W401">_xll.FDSB($C401,"CS_EVENT_TIME_N("&amp;$AA$18&amp;",4)")</f>
        <v>Unspecified</v>
      </c>
      <c r="X401" s="282" t="str" cm="1">
        <f t="array" ref="X401">_xll.FDSB($C401,"CS_EVENT_DESC_N("&amp;$AA$18&amp;",4)")</f>
        <v>Q2 2027 Earnings Release (Projected)</v>
      </c>
    </row>
    <row r="402" spans="2:24" x14ac:dyDescent="0.15">
      <c r="B402" s="298">
        <f t="shared" ref="B402:B465" si="8">B401+1</f>
        <v>387</v>
      </c>
      <c r="C402" s="299" t="str">
        <v>ES</v>
      </c>
      <c r="D402" s="300" t="str" cm="1">
        <f t="array" ref="D402">_xll.FDSB($C402,"FG_COMPANY_NAME")</f>
        <v>Eversource Energy</v>
      </c>
      <c r="E402" s="300"/>
      <c r="F402" s="274" cm="1">
        <f t="array" ref="F402">_xll.FDSB($C402,"CS_EVENT_DATEJ_N("&amp;$AA$18&amp;",1)")</f>
        <v>46239</v>
      </c>
      <c r="G402" s="282" t="str" cm="1">
        <f t="array" ref="G402">_xll.FDSB($C402,"CS_EVENT_TIME_N("&amp;$AA$18&amp;",1)")</f>
        <v>Unspecified</v>
      </c>
      <c r="H402" s="282" t="str" cm="1">
        <f t="array" ref="H402">_xll.FDSB($C402,"CS_EVENT_DESC_N("&amp;$AA$18&amp;",1)")</f>
        <v>Q2 2026 Earnings Release (Projected)</v>
      </c>
      <c r="I402" s="282"/>
      <c r="J402" s="274" t="str" cm="1">
        <f t="array" ref="J402">_xll.FDSB($C402,"CS_EVENT_DATEJ_N("&amp;$AB$18&amp;",1)")</f>
        <v/>
      </c>
      <c r="K402" s="282" t="str" cm="1">
        <f t="array" ref="K402">_xll.FDSB($C402,"CS_EVENT_TIME_N("&amp;$AB$18&amp;",1)")</f>
        <v/>
      </c>
      <c r="L402" s="282" t="str" cm="1">
        <f t="array" ref="L402">_xll.FDSB($C402,"CS_EVENT_DESC_N("&amp;$AB$18&amp;",1)")</f>
        <v/>
      </c>
      <c r="M402" s="300"/>
      <c r="N402" s="274" cm="1">
        <f t="array" ref="N402">_xll.FDSB($C402,"CS_EVENT_DATEJ_N("&amp;$AA$18&amp;",2)")</f>
        <v>46335</v>
      </c>
      <c r="O402" s="282" t="str" cm="1">
        <f t="array" ref="O402">_xll.FDSB($C402,"CS_EVENT_TIME_N("&amp;$AA$18&amp;",2)")</f>
        <v>Unspecified</v>
      </c>
      <c r="P402" s="282" t="str" cm="1">
        <f t="array" ref="P402">_xll.FDSB($C402,"CS_EVENT_DESC_N("&amp;$AA$18&amp;",2)")</f>
        <v>Q3 2026 Earnings Release (Projected)</v>
      </c>
      <c r="Q402" s="282"/>
      <c r="R402" s="274" cm="1">
        <f t="array" ref="R402">_xll.FDSB($C402,"CS_EVENT_DATEJ_N("&amp;$AA$18&amp;",3)")</f>
        <v>46435</v>
      </c>
      <c r="S402" s="282" t="str" cm="1">
        <f t="array" ref="S402">_xll.FDSB($C402,"CS_EVENT_TIME_N("&amp;$AA$18&amp;",3)")</f>
        <v>Unspecified</v>
      </c>
      <c r="T402" s="282" t="str" cm="1">
        <f t="array" ref="T402">_xll.FDSB($C402,"CS_EVENT_DESC_N("&amp;$AA$18&amp;",3)")</f>
        <v>Q4 2026 Earnings Release (Projected)</v>
      </c>
      <c r="U402" s="282"/>
      <c r="V402" s="274" t="str" cm="1">
        <f t="array" ref="V402">_xll.FDSB($C402,"CS_EVENT_DATEJ_N("&amp;$AA$18&amp;",4)")</f>
        <v/>
      </c>
      <c r="W402" s="282" t="str" cm="1">
        <f t="array" ref="W402">_xll.FDSB($C402,"CS_EVENT_TIME_N("&amp;$AA$18&amp;",4)")</f>
        <v/>
      </c>
      <c r="X402" s="282" t="str" cm="1">
        <f t="array" ref="X402">_xll.FDSB($C402,"CS_EVENT_DESC_N("&amp;$AA$18&amp;",4)")</f>
        <v/>
      </c>
    </row>
    <row r="403" spans="2:24" x14ac:dyDescent="0.15">
      <c r="B403" s="298">
        <f t="shared" si="8"/>
        <v>388</v>
      </c>
      <c r="C403" s="299" t="str">
        <v>SWKS</v>
      </c>
      <c r="D403" s="300" t="str" cm="1">
        <f t="array" ref="D403">_xll.FDSB($C403,"FG_COMPANY_NAME")</f>
        <v>Skyworks Solutions, Inc.</v>
      </c>
      <c r="E403" s="300"/>
      <c r="F403" s="274" cm="1">
        <f t="array" ref="F403">_xll.FDSB($C403,"CS_EVENT_DATEJ_N("&amp;$AA$18&amp;",1)")</f>
        <v>46239</v>
      </c>
      <c r="G403" s="282" t="str" cm="1">
        <f t="array" ref="G403">_xll.FDSB($C403,"CS_EVENT_TIME_N("&amp;$AA$18&amp;",1)")</f>
        <v>Unspecified</v>
      </c>
      <c r="H403" s="282" t="str" cm="1">
        <f t="array" ref="H403">_xll.FDSB($C403,"CS_EVENT_DESC_N("&amp;$AA$18&amp;",1)")</f>
        <v>Q3 2026 Earnings Release (Projected)</v>
      </c>
      <c r="I403" s="282"/>
      <c r="J403" s="274" t="str" cm="1">
        <f t="array" ref="J403">_xll.FDSB($C403,"CS_EVENT_DATEJ_N("&amp;$AB$18&amp;",1)")</f>
        <v/>
      </c>
      <c r="K403" s="282" t="str" cm="1">
        <f t="array" ref="K403">_xll.FDSB($C403,"CS_EVENT_TIME_N("&amp;$AB$18&amp;",1)")</f>
        <v/>
      </c>
      <c r="L403" s="282" t="str" cm="1">
        <f t="array" ref="L403">_xll.FDSB($C403,"CS_EVENT_DESC_N("&amp;$AB$18&amp;",1)")</f>
        <v/>
      </c>
      <c r="M403" s="300"/>
      <c r="N403" s="274" cm="1">
        <f t="array" ref="N403">_xll.FDSB($C403,"CS_EVENT_DATEJ_N("&amp;$AA$18&amp;",2)")</f>
        <v>46324</v>
      </c>
      <c r="O403" s="282" t="str" cm="1">
        <f t="array" ref="O403">_xll.FDSB($C403,"CS_EVENT_TIME_N("&amp;$AA$18&amp;",2)")</f>
        <v>Unspecified</v>
      </c>
      <c r="P403" s="282" t="str" cm="1">
        <f t="array" ref="P403">_xll.FDSB($C403,"CS_EVENT_DESC_N("&amp;$AA$18&amp;",2)")</f>
        <v>Q4 2026 Earnings Release (Projected)</v>
      </c>
      <c r="Q403" s="282"/>
      <c r="R403" s="274" cm="1">
        <f t="array" ref="R403">_xll.FDSB($C403,"CS_EVENT_DATEJ_N("&amp;$AA$18&amp;",3)")</f>
        <v>46427</v>
      </c>
      <c r="S403" s="282" t="str" cm="1">
        <f t="array" ref="S403">_xll.FDSB($C403,"CS_EVENT_TIME_N("&amp;$AA$18&amp;",3)")</f>
        <v>Unspecified</v>
      </c>
      <c r="T403" s="282" t="str" cm="1">
        <f t="array" ref="T403">_xll.FDSB($C403,"CS_EVENT_DESC_N("&amp;$AA$18&amp;",3)")</f>
        <v>Q1 2027 Earnings Release (Projected)</v>
      </c>
      <c r="U403" s="282"/>
      <c r="V403" s="274" cm="1">
        <f t="array" ref="V403">_xll.FDSB($C403,"CS_EVENT_DATEJ_N("&amp;$AA$18&amp;",4)")</f>
        <v>46518</v>
      </c>
      <c r="W403" s="282" t="str" cm="1">
        <f t="array" ref="W403">_xll.FDSB($C403,"CS_EVENT_TIME_N("&amp;$AA$18&amp;",4)")</f>
        <v>Unspecified</v>
      </c>
      <c r="X403" s="282" t="str" cm="1">
        <f t="array" ref="X403">_xll.FDSB($C403,"CS_EVENT_DESC_N("&amp;$AA$18&amp;",4)")</f>
        <v>Q2 2027 Earnings Release (Projected)</v>
      </c>
    </row>
    <row r="404" spans="2:24" x14ac:dyDescent="0.15">
      <c r="B404" s="298">
        <f t="shared" si="8"/>
        <v>389</v>
      </c>
      <c r="C404" s="299" t="str">
        <v>FICO</v>
      </c>
      <c r="D404" s="300" t="str" cm="1">
        <f t="array" ref="D404">_xll.FDSB($C404,"FG_COMPANY_NAME")</f>
        <v>Fair Isaac Corporation</v>
      </c>
      <c r="E404" s="300"/>
      <c r="F404" s="274" cm="1">
        <f t="array" ref="F404">_xll.FDSB($C404,"CS_EVENT_DATEJ_N("&amp;$AA$18&amp;",1)")</f>
        <v>46239</v>
      </c>
      <c r="G404" s="282" t="str" cm="1">
        <f t="array" ref="G404">_xll.FDSB($C404,"CS_EVENT_TIME_N("&amp;$AA$18&amp;",1)")</f>
        <v>Unspecified</v>
      </c>
      <c r="H404" s="282" t="str" cm="1">
        <f t="array" ref="H404">_xll.FDSB($C404,"CS_EVENT_DESC_N("&amp;$AA$18&amp;",1)")</f>
        <v>Q3 2026 Earnings Release (Projected)</v>
      </c>
      <c r="I404" s="282"/>
      <c r="J404" s="274" t="str" cm="1">
        <f t="array" ref="J404">_xll.FDSB($C404,"CS_EVENT_DATEJ_N("&amp;$AB$18&amp;",1)")</f>
        <v/>
      </c>
      <c r="K404" s="282" t="str" cm="1">
        <f t="array" ref="K404">_xll.FDSB($C404,"CS_EVENT_TIME_N("&amp;$AB$18&amp;",1)")</f>
        <v/>
      </c>
      <c r="L404" s="282" t="str" cm="1">
        <f t="array" ref="L404">_xll.FDSB($C404,"CS_EVENT_DESC_N("&amp;$AB$18&amp;",1)")</f>
        <v/>
      </c>
      <c r="M404" s="300"/>
      <c r="N404" s="274" cm="1">
        <f t="array" ref="N404">_xll.FDSB($C404,"CS_EVENT_DATEJ_N("&amp;$AA$18&amp;",2)")</f>
        <v>46337</v>
      </c>
      <c r="O404" s="282" t="str" cm="1">
        <f t="array" ref="O404">_xll.FDSB($C404,"CS_EVENT_TIME_N("&amp;$AA$18&amp;",2)")</f>
        <v>Unspecified</v>
      </c>
      <c r="P404" s="282" t="str" cm="1">
        <f t="array" ref="P404">_xll.FDSB($C404,"CS_EVENT_DESC_N("&amp;$AA$18&amp;",2)")</f>
        <v>Q4 2026 Earnings Release (Projected)</v>
      </c>
      <c r="Q404" s="282"/>
      <c r="R404" s="274" cm="1">
        <f t="array" ref="R404">_xll.FDSB($C404,"CS_EVENT_DATEJ_N("&amp;$AA$18&amp;",3)")</f>
        <v>46415</v>
      </c>
      <c r="S404" s="282" t="str" cm="1">
        <f t="array" ref="S404">_xll.FDSB($C404,"CS_EVENT_TIME_N("&amp;$AA$18&amp;",3)")</f>
        <v>Unspecified</v>
      </c>
      <c r="T404" s="282" t="str" cm="1">
        <f t="array" ref="T404">_xll.FDSB($C404,"CS_EVENT_DESC_N("&amp;$AA$18&amp;",3)")</f>
        <v>Q1 2027 Earnings Release (Projected)</v>
      </c>
      <c r="U404" s="282"/>
      <c r="V404" s="274" cm="1">
        <f t="array" ref="V404">_xll.FDSB($C404,"CS_EVENT_DATEJ_N("&amp;$AA$18&amp;",4)")</f>
        <v>46511</v>
      </c>
      <c r="W404" s="282" t="str" cm="1">
        <f t="array" ref="W404">_xll.FDSB($C404,"CS_EVENT_TIME_N("&amp;$AA$18&amp;",4)")</f>
        <v>Unspecified</v>
      </c>
      <c r="X404" s="282" t="str" cm="1">
        <f t="array" ref="X404">_xll.FDSB($C404,"CS_EVENT_DESC_N("&amp;$AA$18&amp;",4)")</f>
        <v>Q2 2027 Earnings Release (Projected)</v>
      </c>
    </row>
    <row r="405" spans="2:24" x14ac:dyDescent="0.15">
      <c r="B405" s="298">
        <f t="shared" si="8"/>
        <v>390</v>
      </c>
      <c r="C405" s="299" t="str">
        <v>ADP</v>
      </c>
      <c r="D405" s="300" t="str" cm="1">
        <f t="array" ref="D405">_xll.FDSB($C405,"FG_COMPANY_NAME")</f>
        <v>Automatic Data Processing, Inc.</v>
      </c>
      <c r="E405" s="300"/>
      <c r="F405" s="274" cm="1">
        <f t="array" ref="F405">_xll.FDSB($C405,"CS_EVENT_DATEJ_N("&amp;$AA$18&amp;",1)")</f>
        <v>46239</v>
      </c>
      <c r="G405" s="282" t="str" cm="1">
        <f t="array" ref="G405">_xll.FDSB($C405,"CS_EVENT_TIME_N("&amp;$AA$18&amp;",1)")</f>
        <v>Unspecified</v>
      </c>
      <c r="H405" s="282" t="str" cm="1">
        <f t="array" ref="H405">_xll.FDSB($C405,"CS_EVENT_DESC_N("&amp;$AA$18&amp;",1)")</f>
        <v>Q4 2026 Earnings Release (Projected)</v>
      </c>
      <c r="I405" s="282"/>
      <c r="J405" s="274" t="str" cm="1">
        <f t="array" ref="J405">_xll.FDSB($C405,"CS_EVENT_DATEJ_N("&amp;$AB$18&amp;",1)")</f>
        <v/>
      </c>
      <c r="K405" s="282" t="str" cm="1">
        <f t="array" ref="K405">_xll.FDSB($C405,"CS_EVENT_TIME_N("&amp;$AB$18&amp;",1)")</f>
        <v/>
      </c>
      <c r="L405" s="282" t="str" cm="1">
        <f t="array" ref="L405">_xll.FDSB($C405,"CS_EVENT_DESC_N("&amp;$AB$18&amp;",1)")</f>
        <v/>
      </c>
      <c r="M405" s="300"/>
      <c r="N405" s="274" cm="1">
        <f t="array" ref="N405">_xll.FDSB($C405,"CS_EVENT_DATEJ_N("&amp;$AA$18&amp;",2)")</f>
        <v>46323</v>
      </c>
      <c r="O405" s="282" t="str" cm="1">
        <f t="array" ref="O405">_xll.FDSB($C405,"CS_EVENT_TIME_N("&amp;$AA$18&amp;",2)")</f>
        <v>Unspecified</v>
      </c>
      <c r="P405" s="282" t="str" cm="1">
        <f t="array" ref="P405">_xll.FDSB($C405,"CS_EVENT_DESC_N("&amp;$AA$18&amp;",2)")</f>
        <v>Q1 2027 Earnings Release (Projected)</v>
      </c>
      <c r="Q405" s="282"/>
      <c r="R405" s="274" cm="1">
        <f t="array" ref="R405">_xll.FDSB($C405,"CS_EVENT_DATEJ_N("&amp;$AA$18&amp;",3)")</f>
        <v>46414</v>
      </c>
      <c r="S405" s="282" t="str" cm="1">
        <f t="array" ref="S405">_xll.FDSB($C405,"CS_EVENT_TIME_N("&amp;$AA$18&amp;",3)")</f>
        <v>Unspecified</v>
      </c>
      <c r="T405" s="282" t="str" cm="1">
        <f t="array" ref="T405">_xll.FDSB($C405,"CS_EVENT_DESC_N("&amp;$AA$18&amp;",3)")</f>
        <v>Q2 2027 Earnings Release (Projected)</v>
      </c>
      <c r="U405" s="282"/>
      <c r="V405" s="274" cm="1">
        <f t="array" ref="V405">_xll.FDSB($C405,"CS_EVENT_DATEJ_N("&amp;$AA$18&amp;",4)")</f>
        <v>46505</v>
      </c>
      <c r="W405" s="282" t="str" cm="1">
        <f t="array" ref="W405">_xll.FDSB($C405,"CS_EVENT_TIME_N("&amp;$AA$18&amp;",4)")</f>
        <v>Unspecified</v>
      </c>
      <c r="X405" s="282" t="str" cm="1">
        <f t="array" ref="X405">_xll.FDSB($C405,"CS_EVENT_DESC_N("&amp;$AA$18&amp;",4)")</f>
        <v>Q3 2027 Earnings Release (Projected)</v>
      </c>
    </row>
    <row r="406" spans="2:24" x14ac:dyDescent="0.15">
      <c r="B406" s="298">
        <f t="shared" si="8"/>
        <v>391</v>
      </c>
      <c r="C406" s="299" t="str">
        <v>FRT</v>
      </c>
      <c r="D406" s="300" t="str" cm="1">
        <f t="array" ref="D406">_xll.FDSB($C406,"FG_COMPANY_NAME")</f>
        <v>Federal Realty Investment Trust</v>
      </c>
      <c r="E406" s="300"/>
      <c r="F406" s="274" cm="1">
        <f t="array" ref="F406">_xll.FDSB($C406,"CS_EVENT_DATEJ_N("&amp;$AA$18&amp;",1)")</f>
        <v>46239</v>
      </c>
      <c r="G406" s="282" t="str" cm="1">
        <f t="array" ref="G406">_xll.FDSB($C406,"CS_EVENT_TIME_N("&amp;$AA$18&amp;",1)")</f>
        <v>Unspecified</v>
      </c>
      <c r="H406" s="282" t="str" cm="1">
        <f t="array" ref="H406">_xll.FDSB($C406,"CS_EVENT_DESC_N("&amp;$AA$18&amp;",1)")</f>
        <v>Q2 2026 Earnings Release (Projected)</v>
      </c>
      <c r="I406" s="282"/>
      <c r="J406" s="274" t="str" cm="1">
        <f t="array" ref="J406">_xll.FDSB($C406,"CS_EVENT_DATEJ_N("&amp;$AB$18&amp;",1)")</f>
        <v/>
      </c>
      <c r="K406" s="282" t="str" cm="1">
        <f t="array" ref="K406">_xll.FDSB($C406,"CS_EVENT_TIME_N("&amp;$AB$18&amp;",1)")</f>
        <v/>
      </c>
      <c r="L406" s="282" t="str" cm="1">
        <f t="array" ref="L406">_xll.FDSB($C406,"CS_EVENT_DESC_N("&amp;$AB$18&amp;",1)")</f>
        <v/>
      </c>
      <c r="M406" s="300"/>
      <c r="N406" s="274" cm="1">
        <f t="array" ref="N406">_xll.FDSB($C406,"CS_EVENT_DATEJ_N("&amp;$AA$18&amp;",2)")</f>
        <v>46324</v>
      </c>
      <c r="O406" s="282" t="str" cm="1">
        <f t="array" ref="O406">_xll.FDSB($C406,"CS_EVENT_TIME_N("&amp;$AA$18&amp;",2)")</f>
        <v>Unspecified</v>
      </c>
      <c r="P406" s="282" t="str" cm="1">
        <f t="array" ref="P406">_xll.FDSB($C406,"CS_EVENT_DESC_N("&amp;$AA$18&amp;",2)")</f>
        <v>Q3 2026 Earnings Release (Projected)</v>
      </c>
      <c r="Q406" s="282"/>
      <c r="R406" s="274" cm="1">
        <f t="array" ref="R406">_xll.FDSB($C406,"CS_EVENT_DATEJ_N("&amp;$AA$18&amp;",3)")</f>
        <v>46429</v>
      </c>
      <c r="S406" s="282" t="str" cm="1">
        <f t="array" ref="S406">_xll.FDSB($C406,"CS_EVENT_TIME_N("&amp;$AA$18&amp;",3)")</f>
        <v>Unspecified</v>
      </c>
      <c r="T406" s="282" t="str" cm="1">
        <f t="array" ref="T406">_xll.FDSB($C406,"CS_EVENT_DESC_N("&amp;$AA$18&amp;",3)")</f>
        <v>Q4 2026 Earnings Release (Projected)</v>
      </c>
      <c r="U406" s="282"/>
      <c r="V406" s="274" t="str" cm="1">
        <f t="array" ref="V406">_xll.FDSB($C406,"CS_EVENT_DATEJ_N("&amp;$AA$18&amp;",4)")</f>
        <v/>
      </c>
      <c r="W406" s="282" t="str" cm="1">
        <f t="array" ref="W406">_xll.FDSB($C406,"CS_EVENT_TIME_N("&amp;$AA$18&amp;",4)")</f>
        <v/>
      </c>
      <c r="X406" s="282" t="str" cm="1">
        <f t="array" ref="X406">_xll.FDSB($C406,"CS_EVENT_DESC_N("&amp;$AA$18&amp;",4)")</f>
        <v/>
      </c>
    </row>
    <row r="407" spans="2:24" x14ac:dyDescent="0.15">
      <c r="B407" s="298">
        <f t="shared" si="8"/>
        <v>392</v>
      </c>
      <c r="C407" s="299" t="str">
        <v>O</v>
      </c>
      <c r="D407" s="300" t="str" cm="1">
        <f t="array" ref="D407">_xll.FDSB($C407,"FG_COMPANY_NAME")</f>
        <v>Realty Income Corporation</v>
      </c>
      <c r="E407" s="300"/>
      <c r="F407" s="274" cm="1">
        <f t="array" ref="F407">_xll.FDSB($C407,"CS_EVENT_DATEJ_N("&amp;$AA$18&amp;",1)")</f>
        <v>46239</v>
      </c>
      <c r="G407" s="282" t="str" cm="1">
        <f t="array" ref="G407">_xll.FDSB($C407,"CS_EVENT_TIME_N("&amp;$AA$18&amp;",1)")</f>
        <v>Unspecified</v>
      </c>
      <c r="H407" s="282" t="str" cm="1">
        <f t="array" ref="H407">_xll.FDSB($C407,"CS_EVENT_DESC_N("&amp;$AA$18&amp;",1)")</f>
        <v>Q2 2026 Earnings Release (Projected)</v>
      </c>
      <c r="I407" s="282"/>
      <c r="J407" s="274" t="str" cm="1">
        <f t="array" ref="J407">_xll.FDSB($C407,"CS_EVENT_DATEJ_N("&amp;$AB$18&amp;",1)")</f>
        <v/>
      </c>
      <c r="K407" s="282" t="str" cm="1">
        <f t="array" ref="K407">_xll.FDSB($C407,"CS_EVENT_TIME_N("&amp;$AB$18&amp;",1)")</f>
        <v/>
      </c>
      <c r="L407" s="282" t="str" cm="1">
        <f t="array" ref="L407">_xll.FDSB($C407,"CS_EVENT_DESC_N("&amp;$AB$18&amp;",1)")</f>
        <v/>
      </c>
      <c r="M407" s="300"/>
      <c r="N407" s="274" cm="1">
        <f t="array" ref="N407">_xll.FDSB($C407,"CS_EVENT_DATEJ_N("&amp;$AA$18&amp;",2)")</f>
        <v>46335</v>
      </c>
      <c r="O407" s="282" t="str" cm="1">
        <f t="array" ref="O407">_xll.FDSB($C407,"CS_EVENT_TIME_N("&amp;$AA$18&amp;",2)")</f>
        <v>Unspecified</v>
      </c>
      <c r="P407" s="282" t="str" cm="1">
        <f t="array" ref="P407">_xll.FDSB($C407,"CS_EVENT_DESC_N("&amp;$AA$18&amp;",2)")</f>
        <v>Q3 2026 Earnings Release (Projected)</v>
      </c>
      <c r="Q407" s="282"/>
      <c r="R407" s="274" cm="1">
        <f t="array" ref="R407">_xll.FDSB($C407,"CS_EVENT_DATEJ_N("&amp;$AA$18&amp;",3)")</f>
        <v>46441</v>
      </c>
      <c r="S407" s="282" t="str" cm="1">
        <f t="array" ref="S407">_xll.FDSB($C407,"CS_EVENT_TIME_N("&amp;$AA$18&amp;",3)")</f>
        <v>Unspecified</v>
      </c>
      <c r="T407" s="282" t="str" cm="1">
        <f t="array" ref="T407">_xll.FDSB($C407,"CS_EVENT_DESC_N("&amp;$AA$18&amp;",3)")</f>
        <v>Q4 2026 Earnings Release (Projected)</v>
      </c>
      <c r="U407" s="282"/>
      <c r="V407" s="274" cm="1">
        <f t="array" ref="V407">_xll.FDSB($C407,"CS_EVENT_DATEJ_N("&amp;$AA$18&amp;",4)")</f>
        <v>46512</v>
      </c>
      <c r="W407" s="282" t="str" cm="1">
        <f t="array" ref="W407">_xll.FDSB($C407,"CS_EVENT_TIME_N("&amp;$AA$18&amp;",4)")</f>
        <v>Unspecified</v>
      </c>
      <c r="X407" s="282" t="str" cm="1">
        <f t="array" ref="X407">_xll.FDSB($C407,"CS_EVENT_DESC_N("&amp;$AA$18&amp;",4)")</f>
        <v>Q1 2027 Earnings Release (Projected)</v>
      </c>
    </row>
    <row r="408" spans="2:24" x14ac:dyDescent="0.15">
      <c r="B408" s="298">
        <f t="shared" si="8"/>
        <v>393</v>
      </c>
      <c r="C408" s="299" t="str">
        <v>ALB</v>
      </c>
      <c r="D408" s="300" t="str" cm="1">
        <f t="array" ref="D408">_xll.FDSB($C408,"FG_COMPANY_NAME")</f>
        <v>Albemarle Corporation</v>
      </c>
      <c r="E408" s="300"/>
      <c r="F408" s="274" cm="1">
        <f t="array" ref="F408">_xll.FDSB($C408,"CS_EVENT_DATEJ_N("&amp;$AA$18&amp;",1)")</f>
        <v>46239</v>
      </c>
      <c r="G408" s="282" t="str" cm="1">
        <f t="array" ref="G408">_xll.FDSB($C408,"CS_EVENT_TIME_N("&amp;$AA$18&amp;",1)")</f>
        <v>Unspecified</v>
      </c>
      <c r="H408" s="282" t="str" cm="1">
        <f t="array" ref="H408">_xll.FDSB($C408,"CS_EVENT_DESC_N("&amp;$AA$18&amp;",1)")</f>
        <v>Q2 2026 Earnings Release (Projected)</v>
      </c>
      <c r="I408" s="282"/>
      <c r="J408" s="274" t="str" cm="1">
        <f t="array" ref="J408">_xll.FDSB($C408,"CS_EVENT_DATEJ_N("&amp;$AB$18&amp;",1)")</f>
        <v/>
      </c>
      <c r="K408" s="282" t="str" cm="1">
        <f t="array" ref="K408">_xll.FDSB($C408,"CS_EVENT_TIME_N("&amp;$AB$18&amp;",1)")</f>
        <v/>
      </c>
      <c r="L408" s="282" t="str" cm="1">
        <f t="array" ref="L408">_xll.FDSB($C408,"CS_EVENT_DESC_N("&amp;$AB$18&amp;",1)")</f>
        <v/>
      </c>
      <c r="M408" s="300"/>
      <c r="N408" s="274" cm="1">
        <f t="array" ref="N408">_xll.FDSB($C408,"CS_EVENT_DATEJ_N("&amp;$AA$18&amp;",2)")</f>
        <v>46330</v>
      </c>
      <c r="O408" s="282" t="str" cm="1">
        <f t="array" ref="O408">_xll.FDSB($C408,"CS_EVENT_TIME_N("&amp;$AA$18&amp;",2)")</f>
        <v>Unspecified</v>
      </c>
      <c r="P408" s="282" t="str" cm="1">
        <f t="array" ref="P408">_xll.FDSB($C408,"CS_EVENT_DESC_N("&amp;$AA$18&amp;",2)")</f>
        <v>Q3 2026 Earnings Release (Projected)</v>
      </c>
      <c r="Q408" s="282"/>
      <c r="R408" s="274" cm="1">
        <f t="array" ref="R408">_xll.FDSB($C408,"CS_EVENT_DATEJ_N("&amp;$AA$18&amp;",3)")</f>
        <v>46435</v>
      </c>
      <c r="S408" s="282" t="str" cm="1">
        <f t="array" ref="S408">_xll.FDSB($C408,"CS_EVENT_TIME_N("&amp;$AA$18&amp;",3)")</f>
        <v>Unspecified</v>
      </c>
      <c r="T408" s="282" t="str" cm="1">
        <f t="array" ref="T408">_xll.FDSB($C408,"CS_EVENT_DESC_N("&amp;$AA$18&amp;",3)")</f>
        <v>Q4 2026 Earnings Release (Projected)</v>
      </c>
      <c r="U408" s="282"/>
      <c r="V408" s="274" cm="1">
        <f t="array" ref="V408">_xll.FDSB($C408,"CS_EVENT_DATEJ_N("&amp;$AA$18&amp;",4)")</f>
        <v>46512</v>
      </c>
      <c r="W408" s="282" t="str" cm="1">
        <f t="array" ref="W408">_xll.FDSB($C408,"CS_EVENT_TIME_N("&amp;$AA$18&amp;",4)")</f>
        <v>Unspecified</v>
      </c>
      <c r="X408" s="282" t="str" cm="1">
        <f t="array" ref="X408">_xll.FDSB($C408,"CS_EVENT_DESC_N("&amp;$AA$18&amp;",4)")</f>
        <v>Q1 2027 Earnings Release (Projected)</v>
      </c>
    </row>
    <row r="409" spans="2:24" x14ac:dyDescent="0.15">
      <c r="B409" s="298">
        <f t="shared" si="8"/>
        <v>394</v>
      </c>
      <c r="C409" s="299" t="str">
        <v>YUM</v>
      </c>
      <c r="D409" s="300" t="str" cm="1">
        <f t="array" ref="D409">_xll.FDSB($C409,"FG_COMPANY_NAME")</f>
        <v>Yum! Brands, Inc.</v>
      </c>
      <c r="E409" s="300"/>
      <c r="F409" s="274" cm="1">
        <f t="array" ref="F409">_xll.FDSB($C409,"CS_EVENT_DATEJ_N("&amp;$AA$18&amp;",1)")</f>
        <v>46239</v>
      </c>
      <c r="G409" s="282" t="str" cm="1">
        <f t="array" ref="G409">_xll.FDSB($C409,"CS_EVENT_TIME_N("&amp;$AA$18&amp;",1)")</f>
        <v>Unspecified</v>
      </c>
      <c r="H409" s="282" t="str" cm="1">
        <f t="array" ref="H409">_xll.FDSB($C409,"CS_EVENT_DESC_N("&amp;$AA$18&amp;",1)")</f>
        <v>Q2 2026 Earnings Release (Projected)</v>
      </c>
      <c r="I409" s="282"/>
      <c r="J409" s="274" t="str" cm="1">
        <f t="array" ref="J409">_xll.FDSB($C409,"CS_EVENT_DATEJ_N("&amp;$AB$18&amp;",1)")</f>
        <v/>
      </c>
      <c r="K409" s="282" t="str" cm="1">
        <f t="array" ref="K409">_xll.FDSB($C409,"CS_EVENT_TIME_N("&amp;$AB$18&amp;",1)")</f>
        <v/>
      </c>
      <c r="L409" s="282" t="str" cm="1">
        <f t="array" ref="L409">_xll.FDSB($C409,"CS_EVENT_DESC_N("&amp;$AB$18&amp;",1)")</f>
        <v/>
      </c>
      <c r="M409" s="300"/>
      <c r="N409" s="274" cm="1">
        <f t="array" ref="N409">_xll.FDSB($C409,"CS_EVENT_DATEJ_N("&amp;$AA$18&amp;",2)")</f>
        <v>46330</v>
      </c>
      <c r="O409" s="282" t="str" cm="1">
        <f t="array" ref="O409">_xll.FDSB($C409,"CS_EVENT_TIME_N("&amp;$AA$18&amp;",2)")</f>
        <v>Unspecified</v>
      </c>
      <c r="P409" s="282" t="str" cm="1">
        <f t="array" ref="P409">_xll.FDSB($C409,"CS_EVENT_DESC_N("&amp;$AA$18&amp;",2)")</f>
        <v>Q3 2026 Earnings Release (Projected)</v>
      </c>
      <c r="Q409" s="282"/>
      <c r="R409" s="274" cm="1">
        <f t="array" ref="R409">_xll.FDSB($C409,"CS_EVENT_DATEJ_N("&amp;$AA$18&amp;",3)")</f>
        <v>46428</v>
      </c>
      <c r="S409" s="282" t="str" cm="1">
        <f t="array" ref="S409">_xll.FDSB($C409,"CS_EVENT_TIME_N("&amp;$AA$18&amp;",3)")</f>
        <v>Unspecified</v>
      </c>
      <c r="T409" s="282" t="str" cm="1">
        <f t="array" ref="T409">_xll.FDSB($C409,"CS_EVENT_DESC_N("&amp;$AA$18&amp;",3)")</f>
        <v>Q4 2026 Earnings Release (Projected)</v>
      </c>
      <c r="U409" s="282"/>
      <c r="V409" s="274" cm="1">
        <f t="array" ref="V409">_xll.FDSB($C409,"CS_EVENT_DATEJ_N("&amp;$AA$18&amp;",4)")</f>
        <v>46512</v>
      </c>
      <c r="W409" s="282" t="str" cm="1">
        <f t="array" ref="W409">_xll.FDSB($C409,"CS_EVENT_TIME_N("&amp;$AA$18&amp;",4)")</f>
        <v>Unspecified</v>
      </c>
      <c r="X409" s="282" t="str" cm="1">
        <f t="array" ref="X409">_xll.FDSB($C409,"CS_EVENT_DESC_N("&amp;$AA$18&amp;",4)")</f>
        <v>Q1 2027 Earnings Release (Projected)</v>
      </c>
    </row>
    <row r="410" spans="2:24" x14ac:dyDescent="0.15">
      <c r="B410" s="298">
        <f t="shared" si="8"/>
        <v>395</v>
      </c>
      <c r="C410" s="299" t="str">
        <v>TT</v>
      </c>
      <c r="D410" s="300" t="str" cm="1">
        <f t="array" ref="D410">_xll.FDSB($C410,"FG_COMPANY_NAME")</f>
        <v>Trane Technologies plc</v>
      </c>
      <c r="E410" s="300"/>
      <c r="F410" s="274" cm="1">
        <f t="array" ref="F410">_xll.FDSB($C410,"CS_EVENT_DATEJ_N("&amp;$AA$18&amp;",1)")</f>
        <v>46239</v>
      </c>
      <c r="G410" s="282" t="str" cm="1">
        <f t="array" ref="G410">_xll.FDSB($C410,"CS_EVENT_TIME_N("&amp;$AA$18&amp;",1)")</f>
        <v>Unspecified</v>
      </c>
      <c r="H410" s="282" t="str" cm="1">
        <f t="array" ref="H410">_xll.FDSB($C410,"CS_EVENT_DESC_N("&amp;$AA$18&amp;",1)")</f>
        <v>Q2 2026 Earnings Release (Projected)</v>
      </c>
      <c r="I410" s="282"/>
      <c r="J410" s="274" t="str" cm="1">
        <f t="array" ref="J410">_xll.FDSB($C410,"CS_EVENT_DATEJ_N("&amp;$AB$18&amp;",1)")</f>
        <v/>
      </c>
      <c r="K410" s="282" t="str" cm="1">
        <f t="array" ref="K410">_xll.FDSB($C410,"CS_EVENT_TIME_N("&amp;$AB$18&amp;",1)")</f>
        <v/>
      </c>
      <c r="L410" s="282" t="str" cm="1">
        <f t="array" ref="L410">_xll.FDSB($C410,"CS_EVENT_DESC_N("&amp;$AB$18&amp;",1)")</f>
        <v/>
      </c>
      <c r="M410" s="300"/>
      <c r="N410" s="274" cm="1">
        <f t="array" ref="N410">_xll.FDSB($C410,"CS_EVENT_DATEJ_N("&amp;$AA$18&amp;",2)")</f>
        <v>46330</v>
      </c>
      <c r="O410" s="282" t="str" cm="1">
        <f t="array" ref="O410">_xll.FDSB($C410,"CS_EVENT_TIME_N("&amp;$AA$18&amp;",2)")</f>
        <v>Unspecified</v>
      </c>
      <c r="P410" s="282" t="str" cm="1">
        <f t="array" ref="P410">_xll.FDSB($C410,"CS_EVENT_DESC_N("&amp;$AA$18&amp;",2)")</f>
        <v>Q3 2026 Earnings Release (Projected)</v>
      </c>
      <c r="Q410" s="282"/>
      <c r="R410" s="274" cm="1">
        <f t="array" ref="R410">_xll.FDSB($C410,"CS_EVENT_DATEJ_N("&amp;$AA$18&amp;",3)")</f>
        <v>46512</v>
      </c>
      <c r="S410" s="282" t="str" cm="1">
        <f t="array" ref="S410">_xll.FDSB($C410,"CS_EVENT_TIME_N("&amp;$AA$18&amp;",3)")</f>
        <v>Unspecified</v>
      </c>
      <c r="T410" s="282" t="str" cm="1">
        <f t="array" ref="T410">_xll.FDSB($C410,"CS_EVENT_DESC_N("&amp;$AA$18&amp;",3)")</f>
        <v>Q1 2027 Earnings Release (Projected)</v>
      </c>
      <c r="U410" s="282"/>
      <c r="V410" s="274" t="str" cm="1">
        <f t="array" ref="V410">_xll.FDSB($C410,"CS_EVENT_DATEJ_N("&amp;$AA$18&amp;",4)")</f>
        <v/>
      </c>
      <c r="W410" s="282" t="str" cm="1">
        <f t="array" ref="W410">_xll.FDSB($C410,"CS_EVENT_TIME_N("&amp;$AA$18&amp;",4)")</f>
        <v/>
      </c>
      <c r="X410" s="282" t="str" cm="1">
        <f t="array" ref="X410">_xll.FDSB($C410,"CS_EVENT_DESC_N("&amp;$AA$18&amp;",4)")</f>
        <v/>
      </c>
    </row>
    <row r="411" spans="2:24" x14ac:dyDescent="0.15">
      <c r="B411" s="298">
        <f t="shared" si="8"/>
        <v>396</v>
      </c>
      <c r="C411" s="299" t="str">
        <v>HST</v>
      </c>
      <c r="D411" s="300" t="str" cm="1">
        <f t="array" ref="D411">_xll.FDSB($C411,"FG_COMPANY_NAME")</f>
        <v>Host Hotels &amp; Resorts, Inc.</v>
      </c>
      <c r="E411" s="300"/>
      <c r="F411" s="274" cm="1">
        <f t="array" ref="F411">_xll.FDSB($C411,"CS_EVENT_DATEJ_N("&amp;$AA$18&amp;",1)")</f>
        <v>46239</v>
      </c>
      <c r="G411" s="282" t="str" cm="1">
        <f t="array" ref="G411">_xll.FDSB($C411,"CS_EVENT_TIME_N("&amp;$AA$18&amp;",1)")</f>
        <v>Unspecified</v>
      </c>
      <c r="H411" s="282" t="str" cm="1">
        <f t="array" ref="H411">_xll.FDSB($C411,"CS_EVENT_DESC_N("&amp;$AA$18&amp;",1)")</f>
        <v>Q2 2026 Earnings Release (Projected)</v>
      </c>
      <c r="I411" s="282"/>
      <c r="J411" s="274" t="str" cm="1">
        <f t="array" ref="J411">_xll.FDSB($C411,"CS_EVENT_DATEJ_N("&amp;$AB$18&amp;",1)")</f>
        <v/>
      </c>
      <c r="K411" s="282" t="str" cm="1">
        <f t="array" ref="K411">_xll.FDSB($C411,"CS_EVENT_TIME_N("&amp;$AB$18&amp;",1)")</f>
        <v/>
      </c>
      <c r="L411" s="282" t="str" cm="1">
        <f t="array" ref="L411">_xll.FDSB($C411,"CS_EVENT_DESC_N("&amp;$AB$18&amp;",1)")</f>
        <v/>
      </c>
      <c r="M411" s="300"/>
      <c r="N411" s="274" cm="1">
        <f t="array" ref="N411">_xll.FDSB($C411,"CS_EVENT_DATEJ_N("&amp;$AA$18&amp;",2)")</f>
        <v>46330</v>
      </c>
      <c r="O411" s="282" t="str" cm="1">
        <f t="array" ref="O411">_xll.FDSB($C411,"CS_EVENT_TIME_N("&amp;$AA$18&amp;",2)")</f>
        <v>Unspecified</v>
      </c>
      <c r="P411" s="282" t="str" cm="1">
        <f t="array" ref="P411">_xll.FDSB($C411,"CS_EVENT_DESC_N("&amp;$AA$18&amp;",2)")</f>
        <v>Q3 2026 Earnings Release (Projected)</v>
      </c>
      <c r="Q411" s="282"/>
      <c r="R411" s="274" cm="1">
        <f t="array" ref="R411">_xll.FDSB($C411,"CS_EVENT_DATEJ_N("&amp;$AA$18&amp;",3)")</f>
        <v>46442</v>
      </c>
      <c r="S411" s="282" t="str" cm="1">
        <f t="array" ref="S411">_xll.FDSB($C411,"CS_EVENT_TIME_N("&amp;$AA$18&amp;",3)")</f>
        <v>Unspecified</v>
      </c>
      <c r="T411" s="282" t="str" cm="1">
        <f t="array" ref="T411">_xll.FDSB($C411,"CS_EVENT_DESC_N("&amp;$AA$18&amp;",3)")</f>
        <v>Q4 2026 Earnings Release (Projected)</v>
      </c>
      <c r="U411" s="282"/>
      <c r="V411" s="274" cm="1">
        <f t="array" ref="V411">_xll.FDSB($C411,"CS_EVENT_DATEJ_N("&amp;$AA$18&amp;",4)")</f>
        <v>46512</v>
      </c>
      <c r="W411" s="282" t="str" cm="1">
        <f t="array" ref="W411">_xll.FDSB($C411,"CS_EVENT_TIME_N("&amp;$AA$18&amp;",4)")</f>
        <v>Unspecified</v>
      </c>
      <c r="X411" s="282" t="str" cm="1">
        <f t="array" ref="X411">_xll.FDSB($C411,"CS_EVENT_DESC_N("&amp;$AA$18&amp;",4)")</f>
        <v>Q1 2027 Earnings Release (Projected)</v>
      </c>
    </row>
    <row r="412" spans="2:24" x14ac:dyDescent="0.15">
      <c r="B412" s="298">
        <f t="shared" si="8"/>
        <v>397</v>
      </c>
      <c r="C412" s="299" t="str">
        <v>CTSH</v>
      </c>
      <c r="D412" s="300" t="str" cm="1">
        <f t="array" ref="D412">_xll.FDSB($C412,"FG_COMPANY_NAME")</f>
        <v>Cognizant Technology Solutions Corporation Class A</v>
      </c>
      <c r="E412" s="300"/>
      <c r="F412" s="274" cm="1">
        <f t="array" ref="F412">_xll.FDSB($C412,"CS_EVENT_DATEJ_N("&amp;$AA$18&amp;",1)")</f>
        <v>46239</v>
      </c>
      <c r="G412" s="282" t="str" cm="1">
        <f t="array" ref="G412">_xll.FDSB($C412,"CS_EVENT_TIME_N("&amp;$AA$18&amp;",1)")</f>
        <v>Unspecified</v>
      </c>
      <c r="H412" s="282" t="str" cm="1">
        <f t="array" ref="H412">_xll.FDSB($C412,"CS_EVENT_DESC_N("&amp;$AA$18&amp;",1)")</f>
        <v>Q2 2026 Earnings Release (Projected)</v>
      </c>
      <c r="I412" s="282"/>
      <c r="J412" s="274" t="str" cm="1">
        <f t="array" ref="J412">_xll.FDSB($C412,"CS_EVENT_DATEJ_N("&amp;$AB$18&amp;",1)")</f>
        <v/>
      </c>
      <c r="K412" s="282" t="str" cm="1">
        <f t="array" ref="K412">_xll.FDSB($C412,"CS_EVENT_TIME_N("&amp;$AB$18&amp;",1)")</f>
        <v/>
      </c>
      <c r="L412" s="282" t="str" cm="1">
        <f t="array" ref="L412">_xll.FDSB($C412,"CS_EVENT_DESC_N("&amp;$AB$18&amp;",1)")</f>
        <v/>
      </c>
      <c r="M412" s="300"/>
      <c r="N412" s="274" cm="1">
        <f t="array" ref="N412">_xll.FDSB($C412,"CS_EVENT_DATEJ_N("&amp;$AA$18&amp;",2)")</f>
        <v>46330</v>
      </c>
      <c r="O412" s="282" t="str" cm="1">
        <f t="array" ref="O412">_xll.FDSB($C412,"CS_EVENT_TIME_N("&amp;$AA$18&amp;",2)")</f>
        <v>Unspecified</v>
      </c>
      <c r="P412" s="282" t="str" cm="1">
        <f t="array" ref="P412">_xll.FDSB($C412,"CS_EVENT_DESC_N("&amp;$AA$18&amp;",2)")</f>
        <v>Q3 2026 Earnings Release (Projected)</v>
      </c>
      <c r="Q412" s="282"/>
      <c r="R412" s="274" cm="1">
        <f t="array" ref="R412">_xll.FDSB($C412,"CS_EVENT_DATEJ_N("&amp;$AA$18&amp;",3)")</f>
        <v>46428</v>
      </c>
      <c r="S412" s="282" t="str" cm="1">
        <f t="array" ref="S412">_xll.FDSB($C412,"CS_EVENT_TIME_N("&amp;$AA$18&amp;",3)")</f>
        <v>Unspecified</v>
      </c>
      <c r="T412" s="282" t="str" cm="1">
        <f t="array" ref="T412">_xll.FDSB($C412,"CS_EVENT_DESC_N("&amp;$AA$18&amp;",3)")</f>
        <v>Q4 2026 Earnings Release (Projected)</v>
      </c>
      <c r="U412" s="282"/>
      <c r="V412" s="274" cm="1">
        <f t="array" ref="V412">_xll.FDSB($C412,"CS_EVENT_DATEJ_N("&amp;$AA$18&amp;",4)")</f>
        <v>46512</v>
      </c>
      <c r="W412" s="282" t="str" cm="1">
        <f t="array" ref="W412">_xll.FDSB($C412,"CS_EVENT_TIME_N("&amp;$AA$18&amp;",4)")</f>
        <v>Unspecified</v>
      </c>
      <c r="X412" s="282" t="str" cm="1">
        <f t="array" ref="X412">_xll.FDSB($C412,"CS_EVENT_DESC_N("&amp;$AA$18&amp;",4)")</f>
        <v>Q1 2027 Earnings Release (Projected)</v>
      </c>
    </row>
    <row r="413" spans="2:24" x14ac:dyDescent="0.15">
      <c r="B413" s="298">
        <f t="shared" si="8"/>
        <v>398</v>
      </c>
      <c r="C413" s="299" t="str">
        <v>AVB</v>
      </c>
      <c r="D413" s="300" t="str" cm="1">
        <f t="array" ref="D413">_xll.FDSB($C413,"FG_COMPANY_NAME")</f>
        <v>AvalonBay Communities, Inc.</v>
      </c>
      <c r="E413" s="300"/>
      <c r="F413" s="274" cm="1">
        <f t="array" ref="F413">_xll.FDSB($C413,"CS_EVENT_DATEJ_N("&amp;$AA$18&amp;",1)")</f>
        <v>46239</v>
      </c>
      <c r="G413" s="282" t="str" cm="1">
        <f t="array" ref="G413">_xll.FDSB($C413,"CS_EVENT_TIME_N("&amp;$AA$18&amp;",1)")</f>
        <v>Unspecified</v>
      </c>
      <c r="H413" s="282" t="str" cm="1">
        <f t="array" ref="H413">_xll.FDSB($C413,"CS_EVENT_DESC_N("&amp;$AA$18&amp;",1)")</f>
        <v>Q2 2026 Earnings Release (Projected)</v>
      </c>
      <c r="I413" s="282"/>
      <c r="J413" s="274" t="str" cm="1">
        <f t="array" ref="J413">_xll.FDSB($C413,"CS_EVENT_DATEJ_N("&amp;$AB$18&amp;",1)")</f>
        <v/>
      </c>
      <c r="K413" s="282" t="str" cm="1">
        <f t="array" ref="K413">_xll.FDSB($C413,"CS_EVENT_TIME_N("&amp;$AB$18&amp;",1)")</f>
        <v/>
      </c>
      <c r="L413" s="282" t="str" cm="1">
        <f t="array" ref="L413">_xll.FDSB($C413,"CS_EVENT_DESC_N("&amp;$AB$18&amp;",1)")</f>
        <v/>
      </c>
      <c r="M413" s="300"/>
      <c r="N413" s="274" cm="1">
        <f t="array" ref="N413">_xll.FDSB($C413,"CS_EVENT_DATEJ_N("&amp;$AA$18&amp;",2)")</f>
        <v>46323</v>
      </c>
      <c r="O413" s="282" t="str" cm="1">
        <f t="array" ref="O413">_xll.FDSB($C413,"CS_EVENT_TIME_N("&amp;$AA$18&amp;",2)")</f>
        <v>Unspecified</v>
      </c>
      <c r="P413" s="282" t="str" cm="1">
        <f t="array" ref="P413">_xll.FDSB($C413,"CS_EVENT_DESC_N("&amp;$AA$18&amp;",2)")</f>
        <v>Q3 2026 Earnings Release (Projected)</v>
      </c>
      <c r="Q413" s="282"/>
      <c r="R413" s="274" cm="1">
        <f t="array" ref="R413">_xll.FDSB($C413,"CS_EVENT_DATEJ_N("&amp;$AA$18&amp;",3)")</f>
        <v>46505</v>
      </c>
      <c r="S413" s="282" t="str" cm="1">
        <f t="array" ref="S413">_xll.FDSB($C413,"CS_EVENT_TIME_N("&amp;$AA$18&amp;",3)")</f>
        <v>Unspecified</v>
      </c>
      <c r="T413" s="282" t="str" cm="1">
        <f t="array" ref="T413">_xll.FDSB($C413,"CS_EVENT_DESC_N("&amp;$AA$18&amp;",3)")</f>
        <v>Q1 2027 Earnings Release (Projected)</v>
      </c>
      <c r="U413" s="282"/>
      <c r="V413" s="274" t="str" cm="1">
        <f t="array" ref="V413">_xll.FDSB($C413,"CS_EVENT_DATEJ_N("&amp;$AA$18&amp;",4)")</f>
        <v/>
      </c>
      <c r="W413" s="282" t="str" cm="1">
        <f t="array" ref="W413">_xll.FDSB($C413,"CS_EVENT_TIME_N("&amp;$AA$18&amp;",4)")</f>
        <v/>
      </c>
      <c r="X413" s="282" t="str" cm="1">
        <f t="array" ref="X413">_xll.FDSB($C413,"CS_EVENT_DESC_N("&amp;$AA$18&amp;",4)")</f>
        <v/>
      </c>
    </row>
    <row r="414" spans="2:24" x14ac:dyDescent="0.15">
      <c r="B414" s="298">
        <f t="shared" si="8"/>
        <v>399</v>
      </c>
      <c r="C414" s="299" t="str">
        <v>NI</v>
      </c>
      <c r="D414" s="300" t="str" cm="1">
        <f t="array" ref="D414">_xll.FDSB($C414,"FG_COMPANY_NAME")</f>
        <v>NiSource Inc</v>
      </c>
      <c r="E414" s="300"/>
      <c r="F414" s="274" cm="1">
        <f t="array" ref="F414">_xll.FDSB($C414,"CS_EVENT_DATEJ_N("&amp;$AA$18&amp;",1)")</f>
        <v>46239</v>
      </c>
      <c r="G414" s="282" t="str" cm="1">
        <f t="array" ref="G414">_xll.FDSB($C414,"CS_EVENT_TIME_N("&amp;$AA$18&amp;",1)")</f>
        <v>Unspecified</v>
      </c>
      <c r="H414" s="282" t="str" cm="1">
        <f t="array" ref="H414">_xll.FDSB($C414,"CS_EVENT_DESC_N("&amp;$AA$18&amp;",1)")</f>
        <v>Q2 2026 Earnings Release (Projected)</v>
      </c>
      <c r="I414" s="282"/>
      <c r="J414" s="274" t="str" cm="1">
        <f t="array" ref="J414">_xll.FDSB($C414,"CS_EVENT_DATEJ_N("&amp;$AB$18&amp;",1)")</f>
        <v/>
      </c>
      <c r="K414" s="282" t="str" cm="1">
        <f t="array" ref="K414">_xll.FDSB($C414,"CS_EVENT_TIME_N("&amp;$AB$18&amp;",1)")</f>
        <v/>
      </c>
      <c r="L414" s="282" t="str" cm="1">
        <f t="array" ref="L414">_xll.FDSB($C414,"CS_EVENT_DESC_N("&amp;$AB$18&amp;",1)")</f>
        <v/>
      </c>
      <c r="M414" s="300"/>
      <c r="N414" s="274" cm="1">
        <f t="array" ref="N414">_xll.FDSB($C414,"CS_EVENT_DATEJ_N("&amp;$AA$18&amp;",2)")</f>
        <v>46330</v>
      </c>
      <c r="O414" s="282" t="str" cm="1">
        <f t="array" ref="O414">_xll.FDSB($C414,"CS_EVENT_TIME_N("&amp;$AA$18&amp;",2)")</f>
        <v>Unspecified</v>
      </c>
      <c r="P414" s="282" t="str" cm="1">
        <f t="array" ref="P414">_xll.FDSB($C414,"CS_EVENT_DESC_N("&amp;$AA$18&amp;",2)")</f>
        <v>Q3 2026 Earnings Release (Projected)</v>
      </c>
      <c r="Q414" s="282"/>
      <c r="R414" s="274" cm="1">
        <f t="array" ref="R414">_xll.FDSB($C414,"CS_EVENT_DATEJ_N("&amp;$AA$18&amp;",3)")</f>
        <v>46435</v>
      </c>
      <c r="S414" s="282" t="str" cm="1">
        <f t="array" ref="S414">_xll.FDSB($C414,"CS_EVENT_TIME_N("&amp;$AA$18&amp;",3)")</f>
        <v>Unspecified</v>
      </c>
      <c r="T414" s="282" t="str" cm="1">
        <f t="array" ref="T414">_xll.FDSB($C414,"CS_EVENT_DESC_N("&amp;$AA$18&amp;",3)")</f>
        <v>Q4 2026 Earnings Release (Projected)</v>
      </c>
      <c r="U414" s="282"/>
      <c r="V414" s="274" cm="1">
        <f t="array" ref="V414">_xll.FDSB($C414,"CS_EVENT_DATEJ_N("&amp;$AA$18&amp;",4)")</f>
        <v>46512</v>
      </c>
      <c r="W414" s="282" t="str" cm="1">
        <f t="array" ref="W414">_xll.FDSB($C414,"CS_EVENT_TIME_N("&amp;$AA$18&amp;",4)")</f>
        <v>Unspecified</v>
      </c>
      <c r="X414" s="282" t="str" cm="1">
        <f t="array" ref="X414">_xll.FDSB($C414,"CS_EVENT_DESC_N("&amp;$AA$18&amp;",4)")</f>
        <v>Q1 2027 Earnings Release (Projected)</v>
      </c>
    </row>
    <row r="415" spans="2:24" x14ac:dyDescent="0.15">
      <c r="B415" s="298">
        <f t="shared" si="8"/>
        <v>400</v>
      </c>
      <c r="C415" s="299" t="str">
        <v>EBAY</v>
      </c>
      <c r="D415" s="300" t="str" cm="1">
        <f t="array" ref="D415">_xll.FDSB($C415,"FG_COMPANY_NAME")</f>
        <v>eBay Inc.</v>
      </c>
      <c r="E415" s="300"/>
      <c r="F415" s="274" cm="1">
        <f t="array" ref="F415">_xll.FDSB($C415,"CS_EVENT_DATEJ_N("&amp;$AA$18&amp;",1)")</f>
        <v>46239</v>
      </c>
      <c r="G415" s="282" t="str" cm="1">
        <f t="array" ref="G415">_xll.FDSB($C415,"CS_EVENT_TIME_N("&amp;$AA$18&amp;",1)")</f>
        <v>Unspecified</v>
      </c>
      <c r="H415" s="282" t="str" cm="1">
        <f t="array" ref="H415">_xll.FDSB($C415,"CS_EVENT_DESC_N("&amp;$AA$18&amp;",1)")</f>
        <v>Q2 2026 Earnings Release (Projected)</v>
      </c>
      <c r="I415" s="282"/>
      <c r="J415" s="274" t="str" cm="1">
        <f t="array" ref="J415">_xll.FDSB($C415,"CS_EVENT_DATEJ_N("&amp;$AB$18&amp;",1)")</f>
        <v/>
      </c>
      <c r="K415" s="282" t="str" cm="1">
        <f t="array" ref="K415">_xll.FDSB($C415,"CS_EVENT_TIME_N("&amp;$AB$18&amp;",1)")</f>
        <v/>
      </c>
      <c r="L415" s="282" t="str" cm="1">
        <f t="array" ref="L415">_xll.FDSB($C415,"CS_EVENT_DESC_N("&amp;$AB$18&amp;",1)")</f>
        <v/>
      </c>
      <c r="M415" s="300"/>
      <c r="N415" s="274" cm="1">
        <f t="array" ref="N415">_xll.FDSB($C415,"CS_EVENT_DATEJ_N("&amp;$AA$18&amp;",2)")</f>
        <v>46330</v>
      </c>
      <c r="O415" s="282" t="str" cm="1">
        <f t="array" ref="O415">_xll.FDSB($C415,"CS_EVENT_TIME_N("&amp;$AA$18&amp;",2)")</f>
        <v>Unspecified</v>
      </c>
      <c r="P415" s="282" t="str" cm="1">
        <f t="array" ref="P415">_xll.FDSB($C415,"CS_EVENT_DESC_N("&amp;$AA$18&amp;",2)")</f>
        <v>Q3 2026 Earnings Release (Projected)</v>
      </c>
      <c r="Q415" s="282"/>
      <c r="R415" s="274" cm="1">
        <f t="array" ref="R415">_xll.FDSB($C415,"CS_EVENT_DATEJ_N("&amp;$AA$18&amp;",3)")</f>
        <v>46442</v>
      </c>
      <c r="S415" s="282" t="str" cm="1">
        <f t="array" ref="S415">_xll.FDSB($C415,"CS_EVENT_TIME_N("&amp;$AA$18&amp;",3)")</f>
        <v>Unspecified</v>
      </c>
      <c r="T415" s="282" t="str" cm="1">
        <f t="array" ref="T415">_xll.FDSB($C415,"CS_EVENT_DESC_N("&amp;$AA$18&amp;",3)")</f>
        <v>Q4 2026 Earnings Release (Projected)</v>
      </c>
      <c r="U415" s="282"/>
      <c r="V415" s="274" cm="1">
        <f t="array" ref="V415">_xll.FDSB($C415,"CS_EVENT_DATEJ_N("&amp;$AA$18&amp;",4)")</f>
        <v>46512</v>
      </c>
      <c r="W415" s="282" t="str" cm="1">
        <f t="array" ref="W415">_xll.FDSB($C415,"CS_EVENT_TIME_N("&amp;$AA$18&amp;",4)")</f>
        <v>Unspecified</v>
      </c>
      <c r="X415" s="282" t="str" cm="1">
        <f t="array" ref="X415">_xll.FDSB($C415,"CS_EVENT_DESC_N("&amp;$AA$18&amp;",4)")</f>
        <v>Q1 2027 Earnings Release (Projected)</v>
      </c>
    </row>
    <row r="416" spans="2:24" x14ac:dyDescent="0.15">
      <c r="B416" s="298">
        <f t="shared" si="8"/>
        <v>401</v>
      </c>
      <c r="C416" s="299" t="str">
        <v>LRCX</v>
      </c>
      <c r="D416" s="300" t="str" cm="1">
        <f t="array" ref="D416">_xll.FDSB($C416,"FG_COMPANY_NAME")</f>
        <v>Lam Research Corporation</v>
      </c>
      <c r="E416" s="300"/>
      <c r="F416" s="274" cm="1">
        <f t="array" ref="F416">_xll.FDSB($C416,"CS_EVENT_DATEJ_N("&amp;$AA$18&amp;",1)")</f>
        <v>46239</v>
      </c>
      <c r="G416" s="282" t="str" cm="1">
        <f t="array" ref="G416">_xll.FDSB($C416,"CS_EVENT_TIME_N("&amp;$AA$18&amp;",1)")</f>
        <v>Unspecified</v>
      </c>
      <c r="H416" s="282" t="str" cm="1">
        <f t="array" ref="H416">_xll.FDSB($C416,"CS_EVENT_DESC_N("&amp;$AA$18&amp;",1)")</f>
        <v>Q4 2026 Earnings Release (Projected)</v>
      </c>
      <c r="I416" s="282"/>
      <c r="J416" s="274" t="str" cm="1">
        <f t="array" ref="J416">_xll.FDSB($C416,"CS_EVENT_DATEJ_N("&amp;$AB$18&amp;",1)")</f>
        <v/>
      </c>
      <c r="K416" s="282" t="str" cm="1">
        <f t="array" ref="K416">_xll.FDSB($C416,"CS_EVENT_TIME_N("&amp;$AB$18&amp;",1)")</f>
        <v/>
      </c>
      <c r="L416" s="282" t="str" cm="1">
        <f t="array" ref="L416">_xll.FDSB($C416,"CS_EVENT_DESC_N("&amp;$AB$18&amp;",1)")</f>
        <v/>
      </c>
      <c r="M416" s="300"/>
      <c r="N416" s="274" cm="1">
        <f t="array" ref="N416">_xll.FDSB($C416,"CS_EVENT_DATEJ_N("&amp;$AA$18&amp;",2)")</f>
        <v>46316</v>
      </c>
      <c r="O416" s="282" t="str" cm="1">
        <f t="array" ref="O416">_xll.FDSB($C416,"CS_EVENT_TIME_N("&amp;$AA$18&amp;",2)")</f>
        <v>Unspecified</v>
      </c>
      <c r="P416" s="282" t="str" cm="1">
        <f t="array" ref="P416">_xll.FDSB($C416,"CS_EVENT_DESC_N("&amp;$AA$18&amp;",2)")</f>
        <v>Q1 2027 Earnings Release (Projected)</v>
      </c>
      <c r="Q416" s="282"/>
      <c r="R416" s="274" cm="1">
        <f t="array" ref="R416">_xll.FDSB($C416,"CS_EVENT_DATEJ_N("&amp;$AA$18&amp;",3)")</f>
        <v>46414</v>
      </c>
      <c r="S416" s="282" t="str" cm="1">
        <f t="array" ref="S416">_xll.FDSB($C416,"CS_EVENT_TIME_N("&amp;$AA$18&amp;",3)")</f>
        <v>Unspecified</v>
      </c>
      <c r="T416" s="282" t="str" cm="1">
        <f t="array" ref="T416">_xll.FDSB($C416,"CS_EVENT_DESC_N("&amp;$AA$18&amp;",3)")</f>
        <v>Q2 2027 Earnings Release (Projected)</v>
      </c>
      <c r="U416" s="282"/>
      <c r="V416" s="274" cm="1">
        <f t="array" ref="V416">_xll.FDSB($C416,"CS_EVENT_DATEJ_N("&amp;$AA$18&amp;",4)")</f>
        <v>46498</v>
      </c>
      <c r="W416" s="282" t="str" cm="1">
        <f t="array" ref="W416">_xll.FDSB($C416,"CS_EVENT_TIME_N("&amp;$AA$18&amp;",4)")</f>
        <v>Unspecified</v>
      </c>
      <c r="X416" s="282" t="str" cm="1">
        <f t="array" ref="X416">_xll.FDSB($C416,"CS_EVENT_DESC_N("&amp;$AA$18&amp;",4)")</f>
        <v>Q3 2027 Earnings Release (Projected)</v>
      </c>
    </row>
    <row r="417" spans="2:24" x14ac:dyDescent="0.15">
      <c r="B417" s="298">
        <f t="shared" si="8"/>
        <v>402</v>
      </c>
      <c r="C417" s="299" t="str">
        <v>COR</v>
      </c>
      <c r="D417" s="300" t="str" cm="1">
        <f t="array" ref="D417">_xll.FDSB($C417,"FG_COMPANY_NAME")</f>
        <v>Cencora, Inc.</v>
      </c>
      <c r="E417" s="300"/>
      <c r="F417" s="274" cm="1">
        <f t="array" ref="F417">_xll.FDSB($C417,"CS_EVENT_DATEJ_N("&amp;$AA$18&amp;",1)")</f>
        <v>46239</v>
      </c>
      <c r="G417" s="282" t="str" cm="1">
        <f t="array" ref="G417">_xll.FDSB($C417,"CS_EVENT_TIME_N("&amp;$AA$18&amp;",1)")</f>
        <v>Unspecified</v>
      </c>
      <c r="H417" s="282" t="str" cm="1">
        <f t="array" ref="H417">_xll.FDSB($C417,"CS_EVENT_DESC_N("&amp;$AA$18&amp;",1)")</f>
        <v>Q3 2026 Earnings Release (Projected)</v>
      </c>
      <c r="I417" s="282"/>
      <c r="J417" s="274" t="str" cm="1">
        <f t="array" ref="J417">_xll.FDSB($C417,"CS_EVENT_DATEJ_N("&amp;$AB$18&amp;",1)")</f>
        <v/>
      </c>
      <c r="K417" s="282" t="str" cm="1">
        <f t="array" ref="K417">_xll.FDSB($C417,"CS_EVENT_TIME_N("&amp;$AB$18&amp;",1)")</f>
        <v/>
      </c>
      <c r="L417" s="282" t="str" cm="1">
        <f t="array" ref="L417">_xll.FDSB($C417,"CS_EVENT_DESC_N("&amp;$AB$18&amp;",1)")</f>
        <v/>
      </c>
      <c r="M417" s="300"/>
      <c r="N417" s="274" cm="1">
        <f t="array" ref="N417">_xll.FDSB($C417,"CS_EVENT_DATEJ_N("&amp;$AA$18&amp;",2)")</f>
        <v>46337</v>
      </c>
      <c r="O417" s="282" t="str" cm="1">
        <f t="array" ref="O417">_xll.FDSB($C417,"CS_EVENT_TIME_N("&amp;$AA$18&amp;",2)")</f>
        <v>Unspecified</v>
      </c>
      <c r="P417" s="282" t="str" cm="1">
        <f t="array" ref="P417">_xll.FDSB($C417,"CS_EVENT_DESC_N("&amp;$AA$18&amp;",2)")</f>
        <v>Q4 2026 Earnings Release (Projected)</v>
      </c>
      <c r="Q417" s="282"/>
      <c r="R417" s="274" cm="1">
        <f t="array" ref="R417">_xll.FDSB($C417,"CS_EVENT_DATEJ_N("&amp;$AA$18&amp;",3)")</f>
        <v>46421</v>
      </c>
      <c r="S417" s="282" t="str" cm="1">
        <f t="array" ref="S417">_xll.FDSB($C417,"CS_EVENT_TIME_N("&amp;$AA$18&amp;",3)")</f>
        <v>Unspecified</v>
      </c>
      <c r="T417" s="282" t="str" cm="1">
        <f t="array" ref="T417">_xll.FDSB($C417,"CS_EVENT_DESC_N("&amp;$AA$18&amp;",3)")</f>
        <v>Q1 2027 Earnings Release (Projected)</v>
      </c>
      <c r="U417" s="282"/>
      <c r="V417" s="274" t="str" cm="1">
        <f t="array" ref="V417">_xll.FDSB($C417,"CS_EVENT_DATEJ_N("&amp;$AA$18&amp;",4)")</f>
        <v/>
      </c>
      <c r="W417" s="282" t="str" cm="1">
        <f t="array" ref="W417">_xll.FDSB($C417,"CS_EVENT_TIME_N("&amp;$AA$18&amp;",4)")</f>
        <v/>
      </c>
      <c r="X417" s="282" t="str" cm="1">
        <f t="array" ref="X417">_xll.FDSB($C417,"CS_EVENT_DESC_N("&amp;$AA$18&amp;",4)")</f>
        <v/>
      </c>
    </row>
    <row r="418" spans="2:24" x14ac:dyDescent="0.15">
      <c r="B418" s="298">
        <f t="shared" si="8"/>
        <v>403</v>
      </c>
      <c r="C418" s="299" t="str">
        <v>WDC</v>
      </c>
      <c r="D418" s="300" t="str" cm="1">
        <f t="array" ref="D418">_xll.FDSB($C418,"FG_COMPANY_NAME")</f>
        <v>Western Digital Corporation</v>
      </c>
      <c r="E418" s="300"/>
      <c r="F418" s="274" cm="1">
        <f t="array" ref="F418">_xll.FDSB($C418,"CS_EVENT_DATEJ_N("&amp;$AA$18&amp;",1)")</f>
        <v>46239</v>
      </c>
      <c r="G418" s="282" t="str" cm="1">
        <f t="array" ref="G418">_xll.FDSB($C418,"CS_EVENT_TIME_N("&amp;$AA$18&amp;",1)")</f>
        <v>Unspecified</v>
      </c>
      <c r="H418" s="282" t="str" cm="1">
        <f t="array" ref="H418">_xll.FDSB($C418,"CS_EVENT_DESC_N("&amp;$AA$18&amp;",1)")</f>
        <v>Q4 2026 Earnings Release (Projected)</v>
      </c>
      <c r="I418" s="282"/>
      <c r="J418" s="274" t="str" cm="1">
        <f t="array" ref="J418">_xll.FDSB($C418,"CS_EVENT_DATEJ_N("&amp;$AB$18&amp;",1)")</f>
        <v/>
      </c>
      <c r="K418" s="282" t="str" cm="1">
        <f t="array" ref="K418">_xll.FDSB($C418,"CS_EVENT_TIME_N("&amp;$AB$18&amp;",1)")</f>
        <v/>
      </c>
      <c r="L418" s="282" t="str" cm="1">
        <f t="array" ref="L418">_xll.FDSB($C418,"CS_EVENT_DESC_N("&amp;$AB$18&amp;",1)")</f>
        <v/>
      </c>
      <c r="M418" s="300"/>
      <c r="N418" s="274" cm="1">
        <f t="array" ref="N418">_xll.FDSB($C418,"CS_EVENT_DATEJ_N("&amp;$AA$18&amp;",2)")</f>
        <v>46317</v>
      </c>
      <c r="O418" s="282" t="str" cm="1">
        <f t="array" ref="O418">_xll.FDSB($C418,"CS_EVENT_TIME_N("&amp;$AA$18&amp;",2)")</f>
        <v>Unspecified</v>
      </c>
      <c r="P418" s="282" t="str" cm="1">
        <f t="array" ref="P418">_xll.FDSB($C418,"CS_EVENT_DESC_N("&amp;$AA$18&amp;",2)")</f>
        <v>Q1 2027 Earnings Release (Projected)</v>
      </c>
      <c r="Q418" s="282"/>
      <c r="R418" s="274" cm="1">
        <f t="array" ref="R418">_xll.FDSB($C418,"CS_EVENT_DATEJ_N("&amp;$AA$18&amp;",3)")</f>
        <v>46421</v>
      </c>
      <c r="S418" s="282" t="str" cm="1">
        <f t="array" ref="S418">_xll.FDSB($C418,"CS_EVENT_TIME_N("&amp;$AA$18&amp;",3)")</f>
        <v>Unspecified</v>
      </c>
      <c r="T418" s="282" t="str" cm="1">
        <f t="array" ref="T418">_xll.FDSB($C418,"CS_EVENT_DESC_N("&amp;$AA$18&amp;",3)")</f>
        <v>Q2 2027 Earnings Release (Projected)</v>
      </c>
      <c r="U418" s="282"/>
      <c r="V418" s="274" cm="1">
        <f t="array" ref="V418">_xll.FDSB($C418,"CS_EVENT_DATEJ_N("&amp;$AA$18&amp;",4)")</f>
        <v>46506</v>
      </c>
      <c r="W418" s="282" t="str" cm="1">
        <f t="array" ref="W418">_xll.FDSB($C418,"CS_EVENT_TIME_N("&amp;$AA$18&amp;",4)")</f>
        <v>Unspecified</v>
      </c>
      <c r="X418" s="282" t="str" cm="1">
        <f t="array" ref="X418">_xll.FDSB($C418,"CS_EVENT_DESC_N("&amp;$AA$18&amp;",4)")</f>
        <v>Q3 2027 Earnings Release (Projected)</v>
      </c>
    </row>
    <row r="419" spans="2:24" x14ac:dyDescent="0.15">
      <c r="B419" s="298">
        <f t="shared" si="8"/>
        <v>404</v>
      </c>
      <c r="C419" s="299" t="str">
        <v>TPL</v>
      </c>
      <c r="D419" s="300" t="str" cm="1">
        <f t="array" ref="D419">_xll.FDSB($C419,"FG_COMPANY_NAME")</f>
        <v>Texas Pacific Land Corporation</v>
      </c>
      <c r="E419" s="300"/>
      <c r="F419" s="274" cm="1">
        <f t="array" ref="F419">_xll.FDSB($C419,"CS_EVENT_DATEJ_N("&amp;$AA$18&amp;",1)")</f>
        <v>46239</v>
      </c>
      <c r="G419" s="282" t="str" cm="1">
        <f t="array" ref="G419">_xll.FDSB($C419,"CS_EVENT_TIME_N("&amp;$AA$18&amp;",1)")</f>
        <v>Unspecified</v>
      </c>
      <c r="H419" s="282" t="str" cm="1">
        <f t="array" ref="H419">_xll.FDSB($C419,"CS_EVENT_DESC_N("&amp;$AA$18&amp;",1)")</f>
        <v>Q2 2026 Earnings Release (Projected)</v>
      </c>
      <c r="I419" s="282"/>
      <c r="J419" s="274" t="str" cm="1">
        <f t="array" ref="J419">_xll.FDSB($C419,"CS_EVENT_DATEJ_N("&amp;$AB$18&amp;",1)")</f>
        <v/>
      </c>
      <c r="K419" s="282" t="str" cm="1">
        <f t="array" ref="K419">_xll.FDSB($C419,"CS_EVENT_TIME_N("&amp;$AB$18&amp;",1)")</f>
        <v/>
      </c>
      <c r="L419" s="282" t="str" cm="1">
        <f t="array" ref="L419">_xll.FDSB($C419,"CS_EVENT_DESC_N("&amp;$AB$18&amp;",1)")</f>
        <v/>
      </c>
      <c r="M419" s="300"/>
      <c r="N419" s="274" cm="1">
        <f t="array" ref="N419">_xll.FDSB($C419,"CS_EVENT_DATEJ_N("&amp;$AA$18&amp;",2)")</f>
        <v>46330</v>
      </c>
      <c r="O419" s="282" t="str" cm="1">
        <f t="array" ref="O419">_xll.FDSB($C419,"CS_EVENT_TIME_N("&amp;$AA$18&amp;",2)")</f>
        <v>Unspecified</v>
      </c>
      <c r="P419" s="282" t="str" cm="1">
        <f t="array" ref="P419">_xll.FDSB($C419,"CS_EVENT_DESC_N("&amp;$AA$18&amp;",2)")</f>
        <v>Q3 2026 Earnings Release (Projected)</v>
      </c>
      <c r="Q419" s="282"/>
      <c r="R419" s="274" cm="1">
        <f t="array" ref="R419">_xll.FDSB($C419,"CS_EVENT_DATEJ_N("&amp;$AA$18&amp;",3)")</f>
        <v>46442</v>
      </c>
      <c r="S419" s="282" t="str" cm="1">
        <f t="array" ref="S419">_xll.FDSB($C419,"CS_EVENT_TIME_N("&amp;$AA$18&amp;",3)")</f>
        <v>Unspecified</v>
      </c>
      <c r="T419" s="282" t="str" cm="1">
        <f t="array" ref="T419">_xll.FDSB($C419,"CS_EVENT_DESC_N("&amp;$AA$18&amp;",3)")</f>
        <v>Q4 2026 Earnings Release (Projected)</v>
      </c>
      <c r="U419" s="282"/>
      <c r="V419" s="274" cm="1">
        <f t="array" ref="V419">_xll.FDSB($C419,"CS_EVENT_DATEJ_N("&amp;$AA$18&amp;",4)")</f>
        <v>46512</v>
      </c>
      <c r="W419" s="282" t="str" cm="1">
        <f t="array" ref="W419">_xll.FDSB($C419,"CS_EVENT_TIME_N("&amp;$AA$18&amp;",4)")</f>
        <v>Unspecified</v>
      </c>
      <c r="X419" s="282" t="str" cm="1">
        <f t="array" ref="X419">_xll.FDSB($C419,"CS_EVENT_DESC_N("&amp;$AA$18&amp;",4)")</f>
        <v>Q1 2027 Earnings Release (Projected)</v>
      </c>
    </row>
    <row r="420" spans="2:24" x14ac:dyDescent="0.15">
      <c r="B420" s="298">
        <f t="shared" si="8"/>
        <v>405</v>
      </c>
      <c r="C420" s="299" t="str">
        <v>BG</v>
      </c>
      <c r="D420" s="300" t="str" cm="1">
        <f t="array" ref="D420">_xll.FDSB($C420,"FG_COMPANY_NAME")</f>
        <v>Bunge Global SA</v>
      </c>
      <c r="E420" s="300"/>
      <c r="F420" s="274" cm="1">
        <f t="array" ref="F420">_xll.FDSB($C420,"CS_EVENT_DATEJ_N("&amp;$AA$18&amp;",1)")</f>
        <v>46239</v>
      </c>
      <c r="G420" s="282" t="str" cm="1">
        <f t="array" ref="G420">_xll.FDSB($C420,"CS_EVENT_TIME_N("&amp;$AA$18&amp;",1)")</f>
        <v>Unspecified</v>
      </c>
      <c r="H420" s="282" t="str" cm="1">
        <f t="array" ref="H420">_xll.FDSB($C420,"CS_EVENT_DESC_N("&amp;$AA$18&amp;",1)")</f>
        <v>Q2 2026 Earnings Release (Projected)</v>
      </c>
      <c r="I420" s="282"/>
      <c r="J420" s="274" t="str" cm="1">
        <f t="array" ref="J420">_xll.FDSB($C420,"CS_EVENT_DATEJ_N("&amp;$AB$18&amp;",1)")</f>
        <v/>
      </c>
      <c r="K420" s="282" t="str" cm="1">
        <f t="array" ref="K420">_xll.FDSB($C420,"CS_EVENT_TIME_N("&amp;$AB$18&amp;",1)")</f>
        <v/>
      </c>
      <c r="L420" s="282" t="str" cm="1">
        <f t="array" ref="L420">_xll.FDSB($C420,"CS_EVENT_DESC_N("&amp;$AB$18&amp;",1)")</f>
        <v/>
      </c>
      <c r="M420" s="300"/>
      <c r="N420" s="274" cm="1">
        <f t="array" ref="N420">_xll.FDSB($C420,"CS_EVENT_DATEJ_N("&amp;$AA$18&amp;",2)")</f>
        <v>46317</v>
      </c>
      <c r="O420" s="282" t="str" cm="1">
        <f t="array" ref="O420">_xll.FDSB($C420,"CS_EVENT_TIME_N("&amp;$AA$18&amp;",2)")</f>
        <v>Unspecified</v>
      </c>
      <c r="P420" s="282" t="str" cm="1">
        <f t="array" ref="P420">_xll.FDSB($C420,"CS_EVENT_DESC_N("&amp;$AA$18&amp;",2)")</f>
        <v>Q3 2026 Earnings Release (Projected)</v>
      </c>
      <c r="Q420" s="282"/>
      <c r="R420" s="274" cm="1">
        <f t="array" ref="R420">_xll.FDSB($C420,"CS_EVENT_DATEJ_N("&amp;$AA$18&amp;",3)")</f>
        <v>46505</v>
      </c>
      <c r="S420" s="282" t="str" cm="1">
        <f t="array" ref="S420">_xll.FDSB($C420,"CS_EVENT_TIME_N("&amp;$AA$18&amp;",3)")</f>
        <v>Unspecified</v>
      </c>
      <c r="T420" s="282" t="str" cm="1">
        <f t="array" ref="T420">_xll.FDSB($C420,"CS_EVENT_DESC_N("&amp;$AA$18&amp;",3)")</f>
        <v>Q1 2027 Earnings Release (Projected)</v>
      </c>
      <c r="U420" s="282"/>
      <c r="V420" s="274" t="str" cm="1">
        <f t="array" ref="V420">_xll.FDSB($C420,"CS_EVENT_DATEJ_N("&amp;$AA$18&amp;",4)")</f>
        <v/>
      </c>
      <c r="W420" s="282" t="str" cm="1">
        <f t="array" ref="W420">_xll.FDSB($C420,"CS_EVENT_TIME_N("&amp;$AA$18&amp;",4)")</f>
        <v/>
      </c>
      <c r="X420" s="282" t="str" cm="1">
        <f t="array" ref="X420">_xll.FDSB($C420,"CS_EVENT_DESC_N("&amp;$AA$18&amp;",4)")</f>
        <v/>
      </c>
    </row>
    <row r="421" spans="2:24" x14ac:dyDescent="0.15">
      <c r="B421" s="298">
        <f t="shared" si="8"/>
        <v>406</v>
      </c>
      <c r="C421" s="299" t="str">
        <v>APA</v>
      </c>
      <c r="D421" s="300" t="str" cm="1">
        <f t="array" ref="D421">_xll.FDSB($C421,"FG_COMPANY_NAME")</f>
        <v>APA Corporation</v>
      </c>
      <c r="E421" s="300"/>
      <c r="F421" s="274" cm="1">
        <f t="array" ref="F421">_xll.FDSB($C421,"CS_EVENT_DATEJ_N("&amp;$AA$18&amp;",1)")</f>
        <v>46239</v>
      </c>
      <c r="G421" s="282" t="str" cm="1">
        <f t="array" ref="G421">_xll.FDSB($C421,"CS_EVENT_TIME_N("&amp;$AA$18&amp;",1)")</f>
        <v>Unspecified</v>
      </c>
      <c r="H421" s="282" t="str" cm="1">
        <f t="array" ref="H421">_xll.FDSB($C421,"CS_EVENT_DESC_N("&amp;$AA$18&amp;",1)")</f>
        <v>Q2 2026 Earnings Release (Projected)</v>
      </c>
      <c r="I421" s="282"/>
      <c r="J421" s="274" t="str" cm="1">
        <f t="array" ref="J421">_xll.FDSB($C421,"CS_EVENT_DATEJ_N("&amp;$AB$18&amp;",1)")</f>
        <v/>
      </c>
      <c r="K421" s="282" t="str" cm="1">
        <f t="array" ref="K421">_xll.FDSB($C421,"CS_EVENT_TIME_N("&amp;$AB$18&amp;",1)")</f>
        <v/>
      </c>
      <c r="L421" s="282" t="str" cm="1">
        <f t="array" ref="L421">_xll.FDSB($C421,"CS_EVENT_DESC_N("&amp;$AB$18&amp;",1)")</f>
        <v/>
      </c>
      <c r="M421" s="300"/>
      <c r="N421" s="274" cm="1">
        <f t="array" ref="N421">_xll.FDSB($C421,"CS_EVENT_DATEJ_N("&amp;$AA$18&amp;",2)")</f>
        <v>46330</v>
      </c>
      <c r="O421" s="282" t="str" cm="1">
        <f t="array" ref="O421">_xll.FDSB($C421,"CS_EVENT_TIME_N("&amp;$AA$18&amp;",2)")</f>
        <v>Unspecified</v>
      </c>
      <c r="P421" s="282" t="str" cm="1">
        <f t="array" ref="P421">_xll.FDSB($C421,"CS_EVENT_DESC_N("&amp;$AA$18&amp;",2)")</f>
        <v>Q3 2026 Earnings Release (Projected)</v>
      </c>
      <c r="Q421" s="282"/>
      <c r="R421" s="274" cm="1">
        <f t="array" ref="R421">_xll.FDSB($C421,"CS_EVENT_DATEJ_N("&amp;$AA$18&amp;",3)")</f>
        <v>46512</v>
      </c>
      <c r="S421" s="282" t="str" cm="1">
        <f t="array" ref="S421">_xll.FDSB($C421,"CS_EVENT_TIME_N("&amp;$AA$18&amp;",3)")</f>
        <v>Unspecified</v>
      </c>
      <c r="T421" s="282" t="str" cm="1">
        <f t="array" ref="T421">_xll.FDSB($C421,"CS_EVENT_DESC_N("&amp;$AA$18&amp;",3)")</f>
        <v>Q1 2027 Earnings Release (Projected)</v>
      </c>
      <c r="U421" s="282"/>
      <c r="V421" s="274" t="str" cm="1">
        <f t="array" ref="V421">_xll.FDSB($C421,"CS_EVENT_DATEJ_N("&amp;$AA$18&amp;",4)")</f>
        <v/>
      </c>
      <c r="W421" s="282" t="str" cm="1">
        <f t="array" ref="W421">_xll.FDSB($C421,"CS_EVENT_TIME_N("&amp;$AA$18&amp;",4)")</f>
        <v/>
      </c>
      <c r="X421" s="282" t="str" cm="1">
        <f t="array" ref="X421">_xll.FDSB($C421,"CS_EVENT_DESC_N("&amp;$AA$18&amp;",4)")</f>
        <v/>
      </c>
    </row>
    <row r="422" spans="2:24" x14ac:dyDescent="0.15">
      <c r="B422" s="298">
        <f t="shared" si="8"/>
        <v>407</v>
      </c>
      <c r="C422" s="299" t="str">
        <v>RSG</v>
      </c>
      <c r="D422" s="300" t="str" cm="1">
        <f t="array" ref="D422">_xll.FDSB($C422,"FG_COMPANY_NAME")</f>
        <v>Republic Services, Inc.</v>
      </c>
      <c r="E422" s="300"/>
      <c r="F422" s="274" cm="1">
        <f t="array" ref="F422">_xll.FDSB($C422,"CS_EVENT_DATEJ_N("&amp;$AA$18&amp;",1)")</f>
        <v>46239</v>
      </c>
      <c r="G422" s="282" t="str" cm="1">
        <f t="array" ref="G422">_xll.FDSB($C422,"CS_EVENT_TIME_N("&amp;$AA$18&amp;",1)")</f>
        <v>Unspecified</v>
      </c>
      <c r="H422" s="282" t="str" cm="1">
        <f t="array" ref="H422">_xll.FDSB($C422,"CS_EVENT_DESC_N("&amp;$AA$18&amp;",1)")</f>
        <v>Q2 2026 Earnings Release (Projected)</v>
      </c>
      <c r="I422" s="282"/>
      <c r="J422" s="274" t="str" cm="1">
        <f t="array" ref="J422">_xll.FDSB($C422,"CS_EVENT_DATEJ_N("&amp;$AB$18&amp;",1)")</f>
        <v/>
      </c>
      <c r="K422" s="282" t="str" cm="1">
        <f t="array" ref="K422">_xll.FDSB($C422,"CS_EVENT_TIME_N("&amp;$AB$18&amp;",1)")</f>
        <v/>
      </c>
      <c r="L422" s="282" t="str" cm="1">
        <f t="array" ref="L422">_xll.FDSB($C422,"CS_EVENT_DESC_N("&amp;$AB$18&amp;",1)")</f>
        <v/>
      </c>
      <c r="M422" s="300"/>
      <c r="N422" s="274" cm="1">
        <f t="array" ref="N422">_xll.FDSB($C422,"CS_EVENT_DATEJ_N("&amp;$AA$18&amp;",2)")</f>
        <v>46317</v>
      </c>
      <c r="O422" s="282" t="str" cm="1">
        <f t="array" ref="O422">_xll.FDSB($C422,"CS_EVENT_TIME_N("&amp;$AA$18&amp;",2)")</f>
        <v>Unspecified</v>
      </c>
      <c r="P422" s="282" t="str" cm="1">
        <f t="array" ref="P422">_xll.FDSB($C422,"CS_EVENT_DESC_N("&amp;$AA$18&amp;",2)")</f>
        <v>Q3 2026 Earnings Release (Projected)</v>
      </c>
      <c r="Q422" s="282"/>
      <c r="R422" s="274" cm="1">
        <f t="array" ref="R422">_xll.FDSB($C422,"CS_EVENT_DATEJ_N("&amp;$AA$18&amp;",3)")</f>
        <v>46441</v>
      </c>
      <c r="S422" s="282" t="str" cm="1">
        <f t="array" ref="S422">_xll.FDSB($C422,"CS_EVENT_TIME_N("&amp;$AA$18&amp;",3)")</f>
        <v>Unspecified</v>
      </c>
      <c r="T422" s="282" t="str" cm="1">
        <f t="array" ref="T422">_xll.FDSB($C422,"CS_EVENT_DESC_N("&amp;$AA$18&amp;",3)")</f>
        <v>Q4 2026 Earnings Release (Projected)</v>
      </c>
      <c r="U422" s="282"/>
      <c r="V422" s="274" cm="1">
        <f t="array" ref="V422">_xll.FDSB($C422,"CS_EVENT_DATEJ_N("&amp;$AA$18&amp;",4)")</f>
        <v>46512</v>
      </c>
      <c r="W422" s="282" t="str" cm="1">
        <f t="array" ref="W422">_xll.FDSB($C422,"CS_EVENT_TIME_N("&amp;$AA$18&amp;",4)")</f>
        <v>Unspecified</v>
      </c>
      <c r="X422" s="282" t="str" cm="1">
        <f t="array" ref="X422">_xll.FDSB($C422,"CS_EVENT_DESC_N("&amp;$AA$18&amp;",4)")</f>
        <v>Q1 2027 Earnings Release (Projected)</v>
      </c>
    </row>
    <row r="423" spans="2:24" x14ac:dyDescent="0.15">
      <c r="B423" s="298">
        <f t="shared" si="8"/>
        <v>408</v>
      </c>
      <c r="C423" s="299" t="str">
        <v>MET</v>
      </c>
      <c r="D423" s="300" t="str" cm="1">
        <f t="array" ref="D423">_xll.FDSB($C423,"FG_COMPANY_NAME")</f>
        <v>MetLife, Inc.</v>
      </c>
      <c r="E423" s="300"/>
      <c r="F423" s="274" cm="1">
        <f t="array" ref="F423">_xll.FDSB($C423,"CS_EVENT_DATEJ_N("&amp;$AA$18&amp;",1)")</f>
        <v>46239</v>
      </c>
      <c r="G423" s="282" t="str" cm="1">
        <f t="array" ref="G423">_xll.FDSB($C423,"CS_EVENT_TIME_N("&amp;$AA$18&amp;",1)")</f>
        <v>Unspecified</v>
      </c>
      <c r="H423" s="282" t="str" cm="1">
        <f t="array" ref="H423">_xll.FDSB($C423,"CS_EVENT_DESC_N("&amp;$AA$18&amp;",1)")</f>
        <v>Q2 2026 Earnings Release (Projected)</v>
      </c>
      <c r="I423" s="282"/>
      <c r="J423" s="274" t="str" cm="1">
        <f t="array" ref="J423">_xll.FDSB($C423,"CS_EVENT_DATEJ_N("&amp;$AB$18&amp;",1)")</f>
        <v/>
      </c>
      <c r="K423" s="282" t="str" cm="1">
        <f t="array" ref="K423">_xll.FDSB($C423,"CS_EVENT_TIME_N("&amp;$AB$18&amp;",1)")</f>
        <v/>
      </c>
      <c r="L423" s="282" t="str" cm="1">
        <f t="array" ref="L423">_xll.FDSB($C423,"CS_EVENT_DESC_N("&amp;$AB$18&amp;",1)")</f>
        <v/>
      </c>
      <c r="M423" s="300"/>
      <c r="N423" s="274" cm="1">
        <f t="array" ref="N423">_xll.FDSB($C423,"CS_EVENT_DATEJ_N("&amp;$AA$18&amp;",2)")</f>
        <v>46330</v>
      </c>
      <c r="O423" s="282" t="str" cm="1">
        <f t="array" ref="O423">_xll.FDSB($C423,"CS_EVENT_TIME_N("&amp;$AA$18&amp;",2)")</f>
        <v>Unspecified</v>
      </c>
      <c r="P423" s="282" t="str" cm="1">
        <f t="array" ref="P423">_xll.FDSB($C423,"CS_EVENT_DESC_N("&amp;$AA$18&amp;",2)")</f>
        <v>Q3 2026 Earnings Release (Projected)</v>
      </c>
      <c r="Q423" s="282"/>
      <c r="R423" s="274" cm="1">
        <f t="array" ref="R423">_xll.FDSB($C423,"CS_EVENT_DATEJ_N("&amp;$AA$18&amp;",3)")</f>
        <v>46421</v>
      </c>
      <c r="S423" s="282" t="str" cm="1">
        <f t="array" ref="S423">_xll.FDSB($C423,"CS_EVENT_TIME_N("&amp;$AA$18&amp;",3)")</f>
        <v>Unspecified</v>
      </c>
      <c r="T423" s="282" t="str" cm="1">
        <f t="array" ref="T423">_xll.FDSB($C423,"CS_EVENT_DESC_N("&amp;$AA$18&amp;",3)")</f>
        <v>Q4 2026 Earnings Release (Projected)</v>
      </c>
      <c r="U423" s="282"/>
      <c r="V423" s="274" cm="1">
        <f t="array" ref="V423">_xll.FDSB($C423,"CS_EVENT_DATEJ_N("&amp;$AA$18&amp;",4)")</f>
        <v>46512</v>
      </c>
      <c r="W423" s="282" t="str" cm="1">
        <f t="array" ref="W423">_xll.FDSB($C423,"CS_EVENT_TIME_N("&amp;$AA$18&amp;",4)")</f>
        <v>Unspecified</v>
      </c>
      <c r="X423" s="282" t="str" cm="1">
        <f t="array" ref="X423">_xll.FDSB($C423,"CS_EVENT_DESC_N("&amp;$AA$18&amp;",4)")</f>
        <v>Q1 2027 Earnings Release (Projected)</v>
      </c>
    </row>
    <row r="424" spans="2:24" x14ac:dyDescent="0.15">
      <c r="B424" s="298">
        <f t="shared" si="8"/>
        <v>409</v>
      </c>
      <c r="C424" s="299" t="str">
        <v>CVS</v>
      </c>
      <c r="D424" s="300" t="str" cm="1">
        <f t="array" ref="D424">_xll.FDSB($C424,"FG_COMPANY_NAME")</f>
        <v>CVS Health Corporation</v>
      </c>
      <c r="E424" s="300"/>
      <c r="F424" s="274" cm="1">
        <f t="array" ref="F424">_xll.FDSB($C424,"CS_EVENT_DATEJ_N("&amp;$AA$18&amp;",1)")</f>
        <v>46239</v>
      </c>
      <c r="G424" s="282" t="str" cm="1">
        <f t="array" ref="G424">_xll.FDSB($C424,"CS_EVENT_TIME_N("&amp;$AA$18&amp;",1)")</f>
        <v>Unspecified</v>
      </c>
      <c r="H424" s="282" t="str" cm="1">
        <f t="array" ref="H424">_xll.FDSB($C424,"CS_EVENT_DESC_N("&amp;$AA$18&amp;",1)")</f>
        <v>Q2 2026 Earnings Release (Projected)</v>
      </c>
      <c r="I424" s="282"/>
      <c r="J424" s="274" t="str" cm="1">
        <f t="array" ref="J424">_xll.FDSB($C424,"CS_EVENT_DATEJ_N("&amp;$AB$18&amp;",1)")</f>
        <v/>
      </c>
      <c r="K424" s="282" t="str" cm="1">
        <f t="array" ref="K424">_xll.FDSB($C424,"CS_EVENT_TIME_N("&amp;$AB$18&amp;",1)")</f>
        <v/>
      </c>
      <c r="L424" s="282" t="str" cm="1">
        <f t="array" ref="L424">_xll.FDSB($C424,"CS_EVENT_DESC_N("&amp;$AB$18&amp;",1)")</f>
        <v/>
      </c>
      <c r="M424" s="300"/>
      <c r="N424" s="274" cm="1">
        <f t="array" ref="N424">_xll.FDSB($C424,"CS_EVENT_DATEJ_N("&amp;$AA$18&amp;",2)")</f>
        <v>46330</v>
      </c>
      <c r="O424" s="282" t="str" cm="1">
        <f t="array" ref="O424">_xll.FDSB($C424,"CS_EVENT_TIME_N("&amp;$AA$18&amp;",2)")</f>
        <v>Unspecified</v>
      </c>
      <c r="P424" s="282" t="str" cm="1">
        <f t="array" ref="P424">_xll.FDSB($C424,"CS_EVENT_DESC_N("&amp;$AA$18&amp;",2)")</f>
        <v>Q3 2026 Earnings Release (Projected)</v>
      </c>
      <c r="Q424" s="282"/>
      <c r="R424" s="274" cm="1">
        <f t="array" ref="R424">_xll.FDSB($C424,"CS_EVENT_DATEJ_N("&amp;$AA$18&amp;",3)")</f>
        <v>46435</v>
      </c>
      <c r="S424" s="282" t="str" cm="1">
        <f t="array" ref="S424">_xll.FDSB($C424,"CS_EVENT_TIME_N("&amp;$AA$18&amp;",3)")</f>
        <v>Unspecified</v>
      </c>
      <c r="T424" s="282" t="str" cm="1">
        <f t="array" ref="T424">_xll.FDSB($C424,"CS_EVENT_DESC_N("&amp;$AA$18&amp;",3)")</f>
        <v>Q4 2026 Earnings Release (Projected)</v>
      </c>
      <c r="U424" s="282"/>
      <c r="V424" s="274" cm="1">
        <f t="array" ref="V424">_xll.FDSB($C424,"CS_EVENT_DATEJ_N("&amp;$AA$18&amp;",4)")</f>
        <v>46512</v>
      </c>
      <c r="W424" s="282" t="str" cm="1">
        <f t="array" ref="W424">_xll.FDSB($C424,"CS_EVENT_TIME_N("&amp;$AA$18&amp;",4)")</f>
        <v>Unspecified</v>
      </c>
      <c r="X424" s="282" t="str" cm="1">
        <f t="array" ref="X424">_xll.FDSB($C424,"CS_EVENT_DESC_N("&amp;$AA$18&amp;",4)")</f>
        <v>Q1 2027 Earnings Release (Projected)</v>
      </c>
    </row>
    <row r="425" spans="2:24" x14ac:dyDescent="0.15">
      <c r="B425" s="298">
        <f t="shared" si="8"/>
        <v>410</v>
      </c>
      <c r="C425" s="299" t="str">
        <v>BKNG</v>
      </c>
      <c r="D425" s="300" t="str" cm="1">
        <f t="array" ref="D425">_xll.FDSB($C425,"FG_COMPANY_NAME")</f>
        <v>Booking Holdings Inc.</v>
      </c>
      <c r="E425" s="300"/>
      <c r="F425" s="274" cm="1">
        <f t="array" ref="F425">_xll.FDSB($C425,"CS_EVENT_DATEJ_N("&amp;$AA$18&amp;",1)")</f>
        <v>46239</v>
      </c>
      <c r="G425" s="282" t="str" cm="1">
        <f t="array" ref="G425">_xll.FDSB($C425,"CS_EVENT_TIME_N("&amp;$AA$18&amp;",1)")</f>
        <v>Unspecified</v>
      </c>
      <c r="H425" s="282" t="str" cm="1">
        <f t="array" ref="H425">_xll.FDSB($C425,"CS_EVENT_DESC_N("&amp;$AA$18&amp;",1)")</f>
        <v>Q2 2026 Earnings Release (Projected)</v>
      </c>
      <c r="I425" s="282"/>
      <c r="J425" s="274" t="str" cm="1">
        <f t="array" ref="J425">_xll.FDSB($C425,"CS_EVENT_DATEJ_N("&amp;$AB$18&amp;",1)")</f>
        <v/>
      </c>
      <c r="K425" s="282" t="str" cm="1">
        <f t="array" ref="K425">_xll.FDSB($C425,"CS_EVENT_TIME_N("&amp;$AB$18&amp;",1)")</f>
        <v/>
      </c>
      <c r="L425" s="282" t="str" cm="1">
        <f t="array" ref="L425">_xll.FDSB($C425,"CS_EVENT_DESC_N("&amp;$AB$18&amp;",1)")</f>
        <v/>
      </c>
      <c r="M425" s="300"/>
      <c r="N425" s="274" cm="1">
        <f t="array" ref="N425">_xll.FDSB($C425,"CS_EVENT_DATEJ_N("&amp;$AA$18&amp;",2)")</f>
        <v>46330</v>
      </c>
      <c r="O425" s="282" t="str" cm="1">
        <f t="array" ref="O425">_xll.FDSB($C425,"CS_EVENT_TIME_N("&amp;$AA$18&amp;",2)")</f>
        <v>Unspecified</v>
      </c>
      <c r="P425" s="282" t="str" cm="1">
        <f t="array" ref="P425">_xll.FDSB($C425,"CS_EVENT_DESC_N("&amp;$AA$18&amp;",2)")</f>
        <v>Q3 2026 Earnings Release (Projected)</v>
      </c>
      <c r="Q425" s="282"/>
      <c r="R425" s="274" cm="1">
        <f t="array" ref="R425">_xll.FDSB($C425,"CS_EVENT_DATEJ_N("&amp;$AA$18&amp;",3)")</f>
        <v>46443</v>
      </c>
      <c r="S425" s="282" t="str" cm="1">
        <f t="array" ref="S425">_xll.FDSB($C425,"CS_EVENT_TIME_N("&amp;$AA$18&amp;",3)")</f>
        <v>Unspecified</v>
      </c>
      <c r="T425" s="282" t="str" cm="1">
        <f t="array" ref="T425">_xll.FDSB($C425,"CS_EVENT_DESC_N("&amp;$AA$18&amp;",3)")</f>
        <v>Q4 2026 Earnings Release (Projected)</v>
      </c>
      <c r="U425" s="282"/>
      <c r="V425" s="274" cm="1">
        <f t="array" ref="V425">_xll.FDSB($C425,"CS_EVENT_DATEJ_N("&amp;$AA$18&amp;",4)")</f>
        <v>46512</v>
      </c>
      <c r="W425" s="282" t="str" cm="1">
        <f t="array" ref="W425">_xll.FDSB($C425,"CS_EVENT_TIME_N("&amp;$AA$18&amp;",4)")</f>
        <v>Unspecified</v>
      </c>
      <c r="X425" s="282" t="str" cm="1">
        <f t="array" ref="X425">_xll.FDSB($C425,"CS_EVENT_DESC_N("&amp;$AA$18&amp;",4)")</f>
        <v>Q1 2027 Earnings Release (Projected)</v>
      </c>
    </row>
    <row r="426" spans="2:24" x14ac:dyDescent="0.15">
      <c r="B426" s="298">
        <f t="shared" si="8"/>
        <v>411</v>
      </c>
      <c r="C426" s="299" t="str">
        <v>DVA</v>
      </c>
      <c r="D426" s="300" t="str" cm="1">
        <f t="array" ref="D426">_xll.FDSB($C426,"FG_COMPANY_NAME")</f>
        <v>DaVita Inc.</v>
      </c>
      <c r="E426" s="300"/>
      <c r="F426" s="274" cm="1">
        <f t="array" ref="F426">_xll.FDSB($C426,"CS_EVENT_DATEJ_N("&amp;$AA$18&amp;",1)")</f>
        <v>46239</v>
      </c>
      <c r="G426" s="282" t="str" cm="1">
        <f t="array" ref="G426">_xll.FDSB($C426,"CS_EVENT_TIME_N("&amp;$AA$18&amp;",1)")</f>
        <v>Unspecified</v>
      </c>
      <c r="H426" s="282" t="str" cm="1">
        <f t="array" ref="H426">_xll.FDSB($C426,"CS_EVENT_DESC_N("&amp;$AA$18&amp;",1)")</f>
        <v>Q2 2026 Earnings Release (Projected)</v>
      </c>
      <c r="I426" s="282"/>
      <c r="J426" s="274" t="str" cm="1">
        <f t="array" ref="J426">_xll.FDSB($C426,"CS_EVENT_DATEJ_N("&amp;$AB$18&amp;",1)")</f>
        <v/>
      </c>
      <c r="K426" s="282" t="str" cm="1">
        <f t="array" ref="K426">_xll.FDSB($C426,"CS_EVENT_TIME_N("&amp;$AB$18&amp;",1)")</f>
        <v/>
      </c>
      <c r="L426" s="282" t="str" cm="1">
        <f t="array" ref="L426">_xll.FDSB($C426,"CS_EVENT_DESC_N("&amp;$AB$18&amp;",1)")</f>
        <v/>
      </c>
      <c r="M426" s="300"/>
      <c r="N426" s="274" cm="1">
        <f t="array" ref="N426">_xll.FDSB($C426,"CS_EVENT_DATEJ_N("&amp;$AA$18&amp;",2)")</f>
        <v>46318</v>
      </c>
      <c r="O426" s="282" t="str" cm="1">
        <f t="array" ref="O426">_xll.FDSB($C426,"CS_EVENT_TIME_N("&amp;$AA$18&amp;",2)")</f>
        <v>Unspecified</v>
      </c>
      <c r="P426" s="282" t="str" cm="1">
        <f t="array" ref="P426">_xll.FDSB($C426,"CS_EVENT_DESC_N("&amp;$AA$18&amp;",2)")</f>
        <v>Q3 2026 Earnings Release (Projected)</v>
      </c>
      <c r="Q426" s="282"/>
      <c r="R426" s="274" cm="1">
        <f t="array" ref="R426">_xll.FDSB($C426,"CS_EVENT_DATEJ_N("&amp;$AA$18&amp;",3)")</f>
        <v>46429</v>
      </c>
      <c r="S426" s="282" t="str" cm="1">
        <f t="array" ref="S426">_xll.FDSB($C426,"CS_EVENT_TIME_N("&amp;$AA$18&amp;",3)")</f>
        <v>Unspecified</v>
      </c>
      <c r="T426" s="282" t="str" cm="1">
        <f t="array" ref="T426">_xll.FDSB($C426,"CS_EVENT_DESC_N("&amp;$AA$18&amp;",3)")</f>
        <v>Q4 2026 Earnings Release (Projected)</v>
      </c>
      <c r="U426" s="282"/>
      <c r="V426" s="274" cm="1">
        <f t="array" ref="V426">_xll.FDSB($C426,"CS_EVENT_DATEJ_N("&amp;$AA$18&amp;",4)")</f>
        <v>46513</v>
      </c>
      <c r="W426" s="282" t="str" cm="1">
        <f t="array" ref="W426">_xll.FDSB($C426,"CS_EVENT_TIME_N("&amp;$AA$18&amp;",4)")</f>
        <v>Unspecified</v>
      </c>
      <c r="X426" s="282" t="str" cm="1">
        <f t="array" ref="X426">_xll.FDSB($C426,"CS_EVENT_DESC_N("&amp;$AA$18&amp;",4)")</f>
        <v>Q1 2027 Earnings Release (Projected)</v>
      </c>
    </row>
    <row r="427" spans="2:24" x14ac:dyDescent="0.15">
      <c r="B427" s="298">
        <f t="shared" si="8"/>
        <v>412</v>
      </c>
      <c r="C427" s="299" t="str">
        <v>EXC</v>
      </c>
      <c r="D427" s="300" t="str" cm="1">
        <f t="array" ref="D427">_xll.FDSB($C427,"FG_COMPANY_NAME")</f>
        <v>Exelon Corporation</v>
      </c>
      <c r="E427" s="300"/>
      <c r="F427" s="274" cm="1">
        <f t="array" ref="F427">_xll.FDSB($C427,"CS_EVENT_DATEJ_N("&amp;$AA$18&amp;",1)")</f>
        <v>46239</v>
      </c>
      <c r="G427" s="282" t="str" cm="1">
        <f t="array" ref="G427">_xll.FDSB($C427,"CS_EVENT_TIME_N("&amp;$AA$18&amp;",1)")</f>
        <v>Unspecified</v>
      </c>
      <c r="H427" s="282" t="str" cm="1">
        <f t="array" ref="H427">_xll.FDSB($C427,"CS_EVENT_DESC_N("&amp;$AA$18&amp;",1)")</f>
        <v>Q2 2026 Earnings Release (Projected)</v>
      </c>
      <c r="I427" s="282"/>
      <c r="J427" s="274" t="str" cm="1">
        <f t="array" ref="J427">_xll.FDSB($C427,"CS_EVENT_DATEJ_N("&amp;$AB$18&amp;",1)")</f>
        <v/>
      </c>
      <c r="K427" s="282" t="str" cm="1">
        <f t="array" ref="K427">_xll.FDSB($C427,"CS_EVENT_TIME_N("&amp;$AB$18&amp;",1)")</f>
        <v/>
      </c>
      <c r="L427" s="282" t="str" cm="1">
        <f t="array" ref="L427">_xll.FDSB($C427,"CS_EVENT_DESC_N("&amp;$AB$18&amp;",1)")</f>
        <v/>
      </c>
      <c r="M427" s="300"/>
      <c r="N427" s="274" cm="1">
        <f t="array" ref="N427">_xll.FDSB($C427,"CS_EVENT_DATEJ_N("&amp;$AA$18&amp;",2)")</f>
        <v>46330</v>
      </c>
      <c r="O427" s="282" t="str" cm="1">
        <f t="array" ref="O427">_xll.FDSB($C427,"CS_EVENT_TIME_N("&amp;$AA$18&amp;",2)")</f>
        <v>Unspecified</v>
      </c>
      <c r="P427" s="282" t="str" cm="1">
        <f t="array" ref="P427">_xll.FDSB($C427,"CS_EVENT_DESC_N("&amp;$AA$18&amp;",2)")</f>
        <v>Q3 2026 Earnings Release (Projected)</v>
      </c>
      <c r="Q427" s="282"/>
      <c r="R427" s="274" cm="1">
        <f t="array" ref="R427">_xll.FDSB($C427,"CS_EVENT_DATEJ_N("&amp;$AA$18&amp;",3)")</f>
        <v>46442</v>
      </c>
      <c r="S427" s="282" t="str" cm="1">
        <f t="array" ref="S427">_xll.FDSB($C427,"CS_EVENT_TIME_N("&amp;$AA$18&amp;",3)")</f>
        <v>Unspecified</v>
      </c>
      <c r="T427" s="282" t="str" cm="1">
        <f t="array" ref="T427">_xll.FDSB($C427,"CS_EVENT_DESC_N("&amp;$AA$18&amp;",3)")</f>
        <v>Q4 2026 Earnings Release (Projected)</v>
      </c>
      <c r="U427" s="282"/>
      <c r="V427" s="274" cm="1">
        <f t="array" ref="V427">_xll.FDSB($C427,"CS_EVENT_DATEJ_N("&amp;$AA$18&amp;",4)")</f>
        <v>46512</v>
      </c>
      <c r="W427" s="282" t="str" cm="1">
        <f t="array" ref="W427">_xll.FDSB($C427,"CS_EVENT_TIME_N("&amp;$AA$18&amp;",4)")</f>
        <v>Unspecified</v>
      </c>
      <c r="X427" s="282" t="str" cm="1">
        <f t="array" ref="X427">_xll.FDSB($C427,"CS_EVENT_DESC_N("&amp;$AA$18&amp;",4)")</f>
        <v>Q1 2027 Earnings Release (Projected)</v>
      </c>
    </row>
    <row r="428" spans="2:24" x14ac:dyDescent="0.15">
      <c r="B428" s="298">
        <f t="shared" si="8"/>
        <v>413</v>
      </c>
      <c r="C428" s="299" t="str">
        <v>GNRC</v>
      </c>
      <c r="D428" s="300" t="str" cm="1">
        <f t="array" ref="D428">_xll.FDSB($C428,"FG_COMPANY_NAME")</f>
        <v>Generac Holdings Inc.</v>
      </c>
      <c r="E428" s="300"/>
      <c r="F428" s="274" cm="1">
        <f t="array" ref="F428">_xll.FDSB($C428,"CS_EVENT_DATEJ_N("&amp;$AA$18&amp;",1)")</f>
        <v>46239</v>
      </c>
      <c r="G428" s="282" t="str" cm="1">
        <f t="array" ref="G428">_xll.FDSB($C428,"CS_EVENT_TIME_N("&amp;$AA$18&amp;",1)")</f>
        <v>Unspecified</v>
      </c>
      <c r="H428" s="282" t="str" cm="1">
        <f t="array" ref="H428">_xll.FDSB($C428,"CS_EVENT_DESC_N("&amp;$AA$18&amp;",1)")</f>
        <v>Q2 2026 Earnings Release (Projected)</v>
      </c>
      <c r="I428" s="282"/>
      <c r="J428" s="274" t="str" cm="1">
        <f t="array" ref="J428">_xll.FDSB($C428,"CS_EVENT_DATEJ_N("&amp;$AB$18&amp;",1)")</f>
        <v/>
      </c>
      <c r="K428" s="282" t="str" cm="1">
        <f t="array" ref="K428">_xll.FDSB($C428,"CS_EVENT_TIME_N("&amp;$AB$18&amp;",1)")</f>
        <v/>
      </c>
      <c r="L428" s="282" t="str" cm="1">
        <f t="array" ref="L428">_xll.FDSB($C428,"CS_EVENT_DESC_N("&amp;$AB$18&amp;",1)")</f>
        <v/>
      </c>
      <c r="M428" s="300"/>
      <c r="N428" s="274" cm="1">
        <f t="array" ref="N428">_xll.FDSB($C428,"CS_EVENT_DATEJ_N("&amp;$AA$18&amp;",2)")</f>
        <v>46330</v>
      </c>
      <c r="O428" s="282" t="str" cm="1">
        <f t="array" ref="O428">_xll.FDSB($C428,"CS_EVENT_TIME_N("&amp;$AA$18&amp;",2)")</f>
        <v>Unspecified</v>
      </c>
      <c r="P428" s="282" t="str" cm="1">
        <f t="array" ref="P428">_xll.FDSB($C428,"CS_EVENT_DESC_N("&amp;$AA$18&amp;",2)")</f>
        <v>Q3 2026 Earnings Release (Projected)</v>
      </c>
      <c r="Q428" s="282"/>
      <c r="R428" s="274" cm="1">
        <f t="array" ref="R428">_xll.FDSB($C428,"CS_EVENT_DATEJ_N("&amp;$AA$18&amp;",3)")</f>
        <v>46435</v>
      </c>
      <c r="S428" s="282" t="str" cm="1">
        <f t="array" ref="S428">_xll.FDSB($C428,"CS_EVENT_TIME_N("&amp;$AA$18&amp;",3)")</f>
        <v>Unspecified</v>
      </c>
      <c r="T428" s="282" t="str" cm="1">
        <f t="array" ref="T428">_xll.FDSB($C428,"CS_EVENT_DESC_N("&amp;$AA$18&amp;",3)")</f>
        <v>Q4 2026 Earnings Release (Projected)</v>
      </c>
      <c r="U428" s="282"/>
      <c r="V428" s="274" cm="1">
        <f t="array" ref="V428">_xll.FDSB($C428,"CS_EVENT_DATEJ_N("&amp;$AA$18&amp;",4)")</f>
        <v>46512</v>
      </c>
      <c r="W428" s="282" t="str" cm="1">
        <f t="array" ref="W428">_xll.FDSB($C428,"CS_EVENT_TIME_N("&amp;$AA$18&amp;",4)")</f>
        <v>Unspecified</v>
      </c>
      <c r="X428" s="282" t="str" cm="1">
        <f t="array" ref="X428">_xll.FDSB($C428,"CS_EVENT_DESC_N("&amp;$AA$18&amp;",4)")</f>
        <v>Q1 2027 Earnings Release (Projected)</v>
      </c>
    </row>
    <row r="429" spans="2:24" x14ac:dyDescent="0.15">
      <c r="B429" s="298">
        <f t="shared" si="8"/>
        <v>414</v>
      </c>
      <c r="C429" s="299" t="str">
        <v>CDW</v>
      </c>
      <c r="D429" s="300" t="str" cm="1">
        <f t="array" ref="D429">_xll.FDSB($C429,"FG_COMPANY_NAME")</f>
        <v>CDW Corporation</v>
      </c>
      <c r="E429" s="300"/>
      <c r="F429" s="274" cm="1">
        <f t="array" ref="F429">_xll.FDSB($C429,"CS_EVENT_DATEJ_N("&amp;$AA$18&amp;",1)")</f>
        <v>46239</v>
      </c>
      <c r="G429" s="282" t="str" cm="1">
        <f t="array" ref="G429">_xll.FDSB($C429,"CS_EVENT_TIME_N("&amp;$AA$18&amp;",1)")</f>
        <v>Unspecified</v>
      </c>
      <c r="H429" s="282" t="str" cm="1">
        <f t="array" ref="H429">_xll.FDSB($C429,"CS_EVENT_DESC_N("&amp;$AA$18&amp;",1)")</f>
        <v>Q2 2026 Earnings Release (Projected)</v>
      </c>
      <c r="I429" s="282"/>
      <c r="J429" s="274" t="str" cm="1">
        <f t="array" ref="J429">_xll.FDSB($C429,"CS_EVENT_DATEJ_N("&amp;$AB$18&amp;",1)")</f>
        <v/>
      </c>
      <c r="K429" s="282" t="str" cm="1">
        <f t="array" ref="K429">_xll.FDSB($C429,"CS_EVENT_TIME_N("&amp;$AB$18&amp;",1)")</f>
        <v/>
      </c>
      <c r="L429" s="282" t="str" cm="1">
        <f t="array" ref="L429">_xll.FDSB($C429,"CS_EVENT_DESC_N("&amp;$AB$18&amp;",1)")</f>
        <v/>
      </c>
      <c r="M429" s="300"/>
      <c r="N429" s="274" cm="1">
        <f t="array" ref="N429">_xll.FDSB($C429,"CS_EVENT_DATEJ_N("&amp;$AA$18&amp;",2)")</f>
        <v>46330</v>
      </c>
      <c r="O429" s="282" t="str" cm="1">
        <f t="array" ref="O429">_xll.FDSB($C429,"CS_EVENT_TIME_N("&amp;$AA$18&amp;",2)")</f>
        <v>Unspecified</v>
      </c>
      <c r="P429" s="282" t="str" cm="1">
        <f t="array" ref="P429">_xll.FDSB($C429,"CS_EVENT_DESC_N("&amp;$AA$18&amp;",2)")</f>
        <v>Q3 2026 Earnings Release (Projected)</v>
      </c>
      <c r="Q429" s="282"/>
      <c r="R429" s="274" cm="1">
        <f t="array" ref="R429">_xll.FDSB($C429,"CS_EVENT_DATEJ_N("&amp;$AA$18&amp;",3)")</f>
        <v>46512</v>
      </c>
      <c r="S429" s="282" t="str" cm="1">
        <f t="array" ref="S429">_xll.FDSB($C429,"CS_EVENT_TIME_N("&amp;$AA$18&amp;",3)")</f>
        <v>Unspecified</v>
      </c>
      <c r="T429" s="282" t="str" cm="1">
        <f t="array" ref="T429">_xll.FDSB($C429,"CS_EVENT_DESC_N("&amp;$AA$18&amp;",3)")</f>
        <v>Q1 2027 Earnings Release (Projected)</v>
      </c>
      <c r="U429" s="282"/>
      <c r="V429" s="274" t="str" cm="1">
        <f t="array" ref="V429">_xll.FDSB($C429,"CS_EVENT_DATEJ_N("&amp;$AA$18&amp;",4)")</f>
        <v/>
      </c>
      <c r="W429" s="282" t="str" cm="1">
        <f t="array" ref="W429">_xll.FDSB($C429,"CS_EVENT_TIME_N("&amp;$AA$18&amp;",4)")</f>
        <v/>
      </c>
      <c r="X429" s="282" t="str" cm="1">
        <f t="array" ref="X429">_xll.FDSB($C429,"CS_EVENT_DESC_N("&amp;$AA$18&amp;",4)")</f>
        <v/>
      </c>
    </row>
    <row r="430" spans="2:24" x14ac:dyDescent="0.15">
      <c r="B430" s="298">
        <f t="shared" si="8"/>
        <v>415</v>
      </c>
      <c r="C430" s="299" t="str">
        <v>GDDY</v>
      </c>
      <c r="D430" s="300" t="str" cm="1">
        <f t="array" ref="D430">_xll.FDSB($C430,"FG_COMPANY_NAME")</f>
        <v>GoDaddy, Inc. Class A</v>
      </c>
      <c r="E430" s="300"/>
      <c r="F430" s="274" cm="1">
        <f t="array" ref="F430">_xll.FDSB($C430,"CS_EVENT_DATEJ_N("&amp;$AA$18&amp;",1)")</f>
        <v>46239</v>
      </c>
      <c r="G430" s="282" t="str" cm="1">
        <f t="array" ref="G430">_xll.FDSB($C430,"CS_EVENT_TIME_N("&amp;$AA$18&amp;",1)")</f>
        <v>Unspecified</v>
      </c>
      <c r="H430" s="282" t="str" cm="1">
        <f t="array" ref="H430">_xll.FDSB($C430,"CS_EVENT_DESC_N("&amp;$AA$18&amp;",1)")</f>
        <v>Q2 2026 Earnings Release (Projected)</v>
      </c>
      <c r="I430" s="282"/>
      <c r="J430" s="274" t="str" cm="1">
        <f t="array" ref="J430">_xll.FDSB($C430,"CS_EVENT_DATEJ_N("&amp;$AB$18&amp;",1)")</f>
        <v/>
      </c>
      <c r="K430" s="282" t="str" cm="1">
        <f t="array" ref="K430">_xll.FDSB($C430,"CS_EVENT_TIME_N("&amp;$AB$18&amp;",1)")</f>
        <v/>
      </c>
      <c r="L430" s="282" t="str" cm="1">
        <f t="array" ref="L430">_xll.FDSB($C430,"CS_EVENT_DESC_N("&amp;$AB$18&amp;",1)")</f>
        <v/>
      </c>
      <c r="M430" s="300"/>
      <c r="N430" s="274" cm="1">
        <f t="array" ref="N430">_xll.FDSB($C430,"CS_EVENT_DATEJ_N("&amp;$AA$18&amp;",2)")</f>
        <v>46324</v>
      </c>
      <c r="O430" s="282" t="str" cm="1">
        <f t="array" ref="O430">_xll.FDSB($C430,"CS_EVENT_TIME_N("&amp;$AA$18&amp;",2)")</f>
        <v>Unspecified</v>
      </c>
      <c r="P430" s="282" t="str" cm="1">
        <f t="array" ref="P430">_xll.FDSB($C430,"CS_EVENT_DESC_N("&amp;$AA$18&amp;",2)")</f>
        <v>Q3 2026 Earnings Release (Projected)</v>
      </c>
      <c r="Q430" s="282"/>
      <c r="R430" s="274" cm="1">
        <f t="array" ref="R430">_xll.FDSB($C430,"CS_EVENT_DATEJ_N("&amp;$AA$18&amp;",3)")</f>
        <v>46434</v>
      </c>
      <c r="S430" s="282" t="str" cm="1">
        <f t="array" ref="S430">_xll.FDSB($C430,"CS_EVENT_TIME_N("&amp;$AA$18&amp;",3)")</f>
        <v>Unspecified</v>
      </c>
      <c r="T430" s="282" t="str" cm="1">
        <f t="array" ref="T430">_xll.FDSB($C430,"CS_EVENT_DESC_N("&amp;$AA$18&amp;",3)")</f>
        <v>Q4 2026 Earnings Release (Projected)</v>
      </c>
      <c r="U430" s="282"/>
      <c r="V430" s="274" cm="1">
        <f t="array" ref="V430">_xll.FDSB($C430,"CS_EVENT_DATEJ_N("&amp;$AA$18&amp;",4)")</f>
        <v>46513</v>
      </c>
      <c r="W430" s="282" t="str" cm="1">
        <f t="array" ref="W430">_xll.FDSB($C430,"CS_EVENT_TIME_N("&amp;$AA$18&amp;",4)")</f>
        <v>Unspecified</v>
      </c>
      <c r="X430" s="282" t="str" cm="1">
        <f t="array" ref="X430">_xll.FDSB($C430,"CS_EVENT_DESC_N("&amp;$AA$18&amp;",4)")</f>
        <v>Q1 2027 Earnings Release (Projected)</v>
      </c>
    </row>
    <row r="431" spans="2:24" x14ac:dyDescent="0.15">
      <c r="B431" s="298">
        <f t="shared" si="8"/>
        <v>416</v>
      </c>
      <c r="C431" s="299" t="str">
        <v>IR</v>
      </c>
      <c r="D431" s="300" t="str" cm="1">
        <f t="array" ref="D431">_xll.FDSB($C431,"FG_COMPANY_NAME")</f>
        <v>Ingersoll Rand Inc.</v>
      </c>
      <c r="E431" s="300"/>
      <c r="F431" s="274" cm="1">
        <f t="array" ref="F431">_xll.FDSB($C431,"CS_EVENT_DATEJ_N("&amp;$AA$18&amp;",1)")</f>
        <v>46239</v>
      </c>
      <c r="G431" s="282" t="str" cm="1">
        <f t="array" ref="G431">_xll.FDSB($C431,"CS_EVENT_TIME_N("&amp;$AA$18&amp;",1)")</f>
        <v>Unspecified</v>
      </c>
      <c r="H431" s="282" t="str" cm="1">
        <f t="array" ref="H431">_xll.FDSB($C431,"CS_EVENT_DESC_N("&amp;$AA$18&amp;",1)")</f>
        <v>Q2 2026 Earnings Release (Projected)</v>
      </c>
      <c r="I431" s="282"/>
      <c r="J431" s="274" t="str" cm="1">
        <f t="array" ref="J431">_xll.FDSB($C431,"CS_EVENT_DATEJ_N("&amp;$AB$18&amp;",1)")</f>
        <v/>
      </c>
      <c r="K431" s="282" t="str" cm="1">
        <f t="array" ref="K431">_xll.FDSB($C431,"CS_EVENT_TIME_N("&amp;$AB$18&amp;",1)")</f>
        <v/>
      </c>
      <c r="L431" s="282" t="str" cm="1">
        <f t="array" ref="L431">_xll.FDSB($C431,"CS_EVENT_DESC_N("&amp;$AB$18&amp;",1)")</f>
        <v/>
      </c>
      <c r="M431" s="300"/>
      <c r="N431" s="274" cm="1">
        <f t="array" ref="N431">_xll.FDSB($C431,"CS_EVENT_DATEJ_N("&amp;$AA$18&amp;",2)")</f>
        <v>46330</v>
      </c>
      <c r="O431" s="282" t="str" cm="1">
        <f t="array" ref="O431">_xll.FDSB($C431,"CS_EVENT_TIME_N("&amp;$AA$18&amp;",2)")</f>
        <v>Unspecified</v>
      </c>
      <c r="P431" s="282" t="str" cm="1">
        <f t="array" ref="P431">_xll.FDSB($C431,"CS_EVENT_DESC_N("&amp;$AA$18&amp;",2)")</f>
        <v>Q3 2026 Earnings Release (Projected)</v>
      </c>
      <c r="Q431" s="282"/>
      <c r="R431" s="274" cm="1">
        <f t="array" ref="R431">_xll.FDSB($C431,"CS_EVENT_DATEJ_N("&amp;$AA$18&amp;",3)")</f>
        <v>46436</v>
      </c>
      <c r="S431" s="282" t="str" cm="1">
        <f t="array" ref="S431">_xll.FDSB($C431,"CS_EVENT_TIME_N("&amp;$AA$18&amp;",3)")</f>
        <v>Unspecified</v>
      </c>
      <c r="T431" s="282" t="str" cm="1">
        <f t="array" ref="T431">_xll.FDSB($C431,"CS_EVENT_DESC_N("&amp;$AA$18&amp;",3)")</f>
        <v>Q4 2026 Earnings Release (Projected)</v>
      </c>
      <c r="U431" s="282"/>
      <c r="V431" s="274" cm="1">
        <f t="array" ref="V431">_xll.FDSB($C431,"CS_EVENT_DATEJ_N("&amp;$AA$18&amp;",4)")</f>
        <v>46512</v>
      </c>
      <c r="W431" s="282" t="str" cm="1">
        <f t="array" ref="W431">_xll.FDSB($C431,"CS_EVENT_TIME_N("&amp;$AA$18&amp;",4)")</f>
        <v>Unspecified</v>
      </c>
      <c r="X431" s="282" t="str" cm="1">
        <f t="array" ref="X431">_xll.FDSB($C431,"CS_EVENT_DESC_N("&amp;$AA$18&amp;",4)")</f>
        <v>Q1 2027 Earnings Release (Projected)</v>
      </c>
    </row>
    <row r="432" spans="2:24" x14ac:dyDescent="0.15">
      <c r="B432" s="298">
        <f t="shared" si="8"/>
        <v>417</v>
      </c>
      <c r="C432" s="299" t="str">
        <v>JCI</v>
      </c>
      <c r="D432" s="300" t="str" cm="1">
        <f t="array" ref="D432">_xll.FDSB($C432,"FG_COMPANY_NAME")</f>
        <v>Johnson Controls International plc</v>
      </c>
      <c r="E432" s="300"/>
      <c r="F432" s="274" cm="1">
        <f t="array" ref="F432">_xll.FDSB($C432,"CS_EVENT_DATEJ_N("&amp;$AA$18&amp;",1)")</f>
        <v>46239</v>
      </c>
      <c r="G432" s="282" t="str" cm="1">
        <f t="array" ref="G432">_xll.FDSB($C432,"CS_EVENT_TIME_N("&amp;$AA$18&amp;",1)")</f>
        <v>Unspecified</v>
      </c>
      <c r="H432" s="282" t="str" cm="1">
        <f t="array" ref="H432">_xll.FDSB($C432,"CS_EVENT_DESC_N("&amp;$AA$18&amp;",1)")</f>
        <v>Q3 2026 Earnings Release (Projected)</v>
      </c>
      <c r="I432" s="282"/>
      <c r="J432" s="274" t="str" cm="1">
        <f t="array" ref="J432">_xll.FDSB($C432,"CS_EVENT_DATEJ_N("&amp;$AB$18&amp;",1)")</f>
        <v/>
      </c>
      <c r="K432" s="282" t="str" cm="1">
        <f t="array" ref="K432">_xll.FDSB($C432,"CS_EVENT_TIME_N("&amp;$AB$18&amp;",1)")</f>
        <v/>
      </c>
      <c r="L432" s="282" t="str" cm="1">
        <f t="array" ref="L432">_xll.FDSB($C432,"CS_EVENT_DESC_N("&amp;$AB$18&amp;",1)")</f>
        <v/>
      </c>
      <c r="M432" s="300"/>
      <c r="N432" s="274" cm="1">
        <f t="array" ref="N432">_xll.FDSB($C432,"CS_EVENT_DATEJ_N("&amp;$AA$18&amp;",2)")</f>
        <v>46337</v>
      </c>
      <c r="O432" s="282" t="str" cm="1">
        <f t="array" ref="O432">_xll.FDSB($C432,"CS_EVENT_TIME_N("&amp;$AA$18&amp;",2)")</f>
        <v>Unspecified</v>
      </c>
      <c r="P432" s="282" t="str" cm="1">
        <f t="array" ref="P432">_xll.FDSB($C432,"CS_EVENT_DESC_N("&amp;$AA$18&amp;",2)")</f>
        <v>Q4 2026 Earnings Release (Projected)</v>
      </c>
      <c r="Q432" s="282"/>
      <c r="R432" s="274" cm="1">
        <f t="array" ref="R432">_xll.FDSB($C432,"CS_EVENT_DATEJ_N("&amp;$AA$18&amp;",3)")</f>
        <v>46421</v>
      </c>
      <c r="S432" s="282" t="str" cm="1">
        <f t="array" ref="S432">_xll.FDSB($C432,"CS_EVENT_TIME_N("&amp;$AA$18&amp;",3)")</f>
        <v>Unspecified</v>
      </c>
      <c r="T432" s="282" t="str" cm="1">
        <f t="array" ref="T432">_xll.FDSB($C432,"CS_EVENT_DESC_N("&amp;$AA$18&amp;",3)")</f>
        <v>Q1 2027 Earnings Release (Projected)</v>
      </c>
      <c r="U432" s="282"/>
      <c r="V432" s="274" cm="1">
        <f t="array" ref="V432">_xll.FDSB($C432,"CS_EVENT_DATEJ_N("&amp;$AA$18&amp;",4)")</f>
        <v>46512</v>
      </c>
      <c r="W432" s="282" t="str" cm="1">
        <f t="array" ref="W432">_xll.FDSB($C432,"CS_EVENT_TIME_N("&amp;$AA$18&amp;",4)")</f>
        <v>Unspecified</v>
      </c>
      <c r="X432" s="282" t="str" cm="1">
        <f t="array" ref="X432">_xll.FDSB($C432,"CS_EVENT_DESC_N("&amp;$AA$18&amp;",4)")</f>
        <v>Q2 2027 Earnings Release (Projected)</v>
      </c>
    </row>
    <row r="433" spans="2:24" x14ac:dyDescent="0.15">
      <c r="B433" s="298">
        <f t="shared" si="8"/>
        <v>418</v>
      </c>
      <c r="C433" s="299" t="str">
        <v>VRSK</v>
      </c>
      <c r="D433" s="300" t="str" cm="1">
        <f t="array" ref="D433">_xll.FDSB($C433,"FG_COMPANY_NAME")</f>
        <v>Verisk Analytics, Inc.</v>
      </c>
      <c r="E433" s="300"/>
      <c r="F433" s="274" cm="1">
        <f t="array" ref="F433">_xll.FDSB($C433,"CS_EVENT_DATEJ_N("&amp;$AA$18&amp;",1)")</f>
        <v>46239</v>
      </c>
      <c r="G433" s="282" t="str" cm="1">
        <f t="array" ref="G433">_xll.FDSB($C433,"CS_EVENT_TIME_N("&amp;$AA$18&amp;",1)")</f>
        <v>Unspecified</v>
      </c>
      <c r="H433" s="282" t="str" cm="1">
        <f t="array" ref="H433">_xll.FDSB($C433,"CS_EVENT_DESC_N("&amp;$AA$18&amp;",1)")</f>
        <v>Q2 2026 Earnings Release (Projected)</v>
      </c>
      <c r="I433" s="282"/>
      <c r="J433" s="274" t="str" cm="1">
        <f t="array" ref="J433">_xll.FDSB($C433,"CS_EVENT_DATEJ_N("&amp;$AB$18&amp;",1)")</f>
        <v/>
      </c>
      <c r="K433" s="282" t="str" cm="1">
        <f t="array" ref="K433">_xll.FDSB($C433,"CS_EVENT_TIME_N("&amp;$AB$18&amp;",1)")</f>
        <v/>
      </c>
      <c r="L433" s="282" t="str" cm="1">
        <f t="array" ref="L433">_xll.FDSB($C433,"CS_EVENT_DESC_N("&amp;$AB$18&amp;",1)")</f>
        <v/>
      </c>
      <c r="M433" s="300"/>
      <c r="N433" s="274" cm="1">
        <f t="array" ref="N433">_xll.FDSB($C433,"CS_EVENT_DATEJ_N("&amp;$AA$18&amp;",2)")</f>
        <v>46330</v>
      </c>
      <c r="O433" s="282" t="str" cm="1">
        <f t="array" ref="O433">_xll.FDSB($C433,"CS_EVENT_TIME_N("&amp;$AA$18&amp;",2)")</f>
        <v>Unspecified</v>
      </c>
      <c r="P433" s="282" t="str" cm="1">
        <f t="array" ref="P433">_xll.FDSB($C433,"CS_EVENT_DESC_N("&amp;$AA$18&amp;",2)")</f>
        <v>Q3 2026 Earnings Release (Projected)</v>
      </c>
      <c r="Q433" s="282"/>
      <c r="R433" s="274" cm="1">
        <f t="array" ref="R433">_xll.FDSB($C433,"CS_EVENT_DATEJ_N("&amp;$AA$18&amp;",3)")</f>
        <v>46441</v>
      </c>
      <c r="S433" s="282" t="str" cm="1">
        <f t="array" ref="S433">_xll.FDSB($C433,"CS_EVENT_TIME_N("&amp;$AA$18&amp;",3)")</f>
        <v>Unspecified</v>
      </c>
      <c r="T433" s="282" t="str" cm="1">
        <f t="array" ref="T433">_xll.FDSB($C433,"CS_EVENT_DESC_N("&amp;$AA$18&amp;",3)")</f>
        <v>Q4 2026 Earnings Release (Projected)</v>
      </c>
      <c r="U433" s="282"/>
      <c r="V433" s="274" cm="1">
        <f t="array" ref="V433">_xll.FDSB($C433,"CS_EVENT_DATEJ_N("&amp;$AA$18&amp;",4)")</f>
        <v>46512</v>
      </c>
      <c r="W433" s="282" t="str" cm="1">
        <f t="array" ref="W433">_xll.FDSB($C433,"CS_EVENT_TIME_N("&amp;$AA$18&amp;",4)")</f>
        <v>Unspecified</v>
      </c>
      <c r="X433" s="282" t="str" cm="1">
        <f t="array" ref="X433">_xll.FDSB($C433,"CS_EVENT_DESC_N("&amp;$AA$18&amp;",4)")</f>
        <v>Q1 2027 Earnings Release (Projected)</v>
      </c>
    </row>
    <row r="434" spans="2:24" x14ac:dyDescent="0.15">
      <c r="B434" s="298">
        <f t="shared" si="8"/>
        <v>419</v>
      </c>
      <c r="C434" s="299" t="str">
        <v>FIS</v>
      </c>
      <c r="D434" s="300" t="str" cm="1">
        <f t="array" ref="D434">_xll.FDSB($C434,"FG_COMPANY_NAME")</f>
        <v>Fidelity National Information Services, Inc.</v>
      </c>
      <c r="E434" s="300"/>
      <c r="F434" s="274" cm="1">
        <f t="array" ref="F434">_xll.FDSB($C434,"CS_EVENT_DATEJ_N("&amp;$AA$18&amp;",1)")</f>
        <v>46239</v>
      </c>
      <c r="G434" s="282" t="str" cm="1">
        <f t="array" ref="G434">_xll.FDSB($C434,"CS_EVENT_TIME_N("&amp;$AA$18&amp;",1)")</f>
        <v>Unspecified</v>
      </c>
      <c r="H434" s="282" t="str" cm="1">
        <f t="array" ref="H434">_xll.FDSB($C434,"CS_EVENT_DESC_N("&amp;$AA$18&amp;",1)")</f>
        <v>Q2 2026 Earnings Release (Projected)</v>
      </c>
      <c r="I434" s="282"/>
      <c r="J434" s="274" t="str" cm="1">
        <f t="array" ref="J434">_xll.FDSB($C434,"CS_EVENT_DATEJ_N("&amp;$AB$18&amp;",1)")</f>
        <v/>
      </c>
      <c r="K434" s="282" t="str" cm="1">
        <f t="array" ref="K434">_xll.FDSB($C434,"CS_EVENT_TIME_N("&amp;$AB$18&amp;",1)")</f>
        <v/>
      </c>
      <c r="L434" s="282" t="str" cm="1">
        <f t="array" ref="L434">_xll.FDSB($C434,"CS_EVENT_DESC_N("&amp;$AB$18&amp;",1)")</f>
        <v/>
      </c>
      <c r="M434" s="300"/>
      <c r="N434" s="274" cm="1">
        <f t="array" ref="N434">_xll.FDSB($C434,"CS_EVENT_DATEJ_N("&amp;$AA$18&amp;",2)")</f>
        <v>46336</v>
      </c>
      <c r="O434" s="282" t="str" cm="1">
        <f t="array" ref="O434">_xll.FDSB($C434,"CS_EVENT_TIME_N("&amp;$AA$18&amp;",2)")</f>
        <v>Unspecified</v>
      </c>
      <c r="P434" s="282" t="str" cm="1">
        <f t="array" ref="P434">_xll.FDSB($C434,"CS_EVENT_DESC_N("&amp;$AA$18&amp;",2)")</f>
        <v>Q3 2026 Earnings Release (Projected)</v>
      </c>
      <c r="Q434" s="282"/>
      <c r="R434" s="274" cm="1">
        <f t="array" ref="R434">_xll.FDSB($C434,"CS_EVENT_DATEJ_N("&amp;$AA$18&amp;",3)")</f>
        <v>46434</v>
      </c>
      <c r="S434" s="282" t="str" cm="1">
        <f t="array" ref="S434">_xll.FDSB($C434,"CS_EVENT_TIME_N("&amp;$AA$18&amp;",3)")</f>
        <v>Unspecified</v>
      </c>
      <c r="T434" s="282" t="str" cm="1">
        <f t="array" ref="T434">_xll.FDSB($C434,"CS_EVENT_DESC_N("&amp;$AA$18&amp;",3)")</f>
        <v>Q4 2026 Earnings Release (Projected)</v>
      </c>
      <c r="U434" s="282"/>
      <c r="V434" s="274" cm="1">
        <f t="array" ref="V434">_xll.FDSB($C434,"CS_EVENT_DATEJ_N("&amp;$AA$18&amp;",4)")</f>
        <v>46519</v>
      </c>
      <c r="W434" s="282" t="str" cm="1">
        <f t="array" ref="W434">_xll.FDSB($C434,"CS_EVENT_TIME_N("&amp;$AA$18&amp;",4)")</f>
        <v>Unspecified</v>
      </c>
      <c r="X434" s="282" t="str" cm="1">
        <f t="array" ref="X434">_xll.FDSB($C434,"CS_EVENT_DESC_N("&amp;$AA$18&amp;",4)")</f>
        <v>Q1 2027 Earnings Release (Projected)</v>
      </c>
    </row>
    <row r="435" spans="2:24" x14ac:dyDescent="0.15">
      <c r="B435" s="298">
        <f t="shared" si="8"/>
        <v>420</v>
      </c>
      <c r="C435" s="299" t="str">
        <v>CHRW</v>
      </c>
      <c r="D435" s="300" t="str" cm="1">
        <f t="array" ref="D435">_xll.FDSB($C435,"FG_COMPANY_NAME")</f>
        <v>C.H. Robinson Worldwide, Inc.</v>
      </c>
      <c r="E435" s="300"/>
      <c r="F435" s="274" cm="1">
        <f t="array" ref="F435">_xll.FDSB($C435,"CS_EVENT_DATEJ_N("&amp;$AA$18&amp;",1)")</f>
        <v>46239</v>
      </c>
      <c r="G435" s="282" t="str" cm="1">
        <f t="array" ref="G435">_xll.FDSB($C435,"CS_EVENT_TIME_N("&amp;$AA$18&amp;",1)")</f>
        <v>Unspecified</v>
      </c>
      <c r="H435" s="282" t="str" cm="1">
        <f t="array" ref="H435">_xll.FDSB($C435,"CS_EVENT_DESC_N("&amp;$AA$18&amp;",1)")</f>
        <v>Q2 2026 Earnings Release (Projected)</v>
      </c>
      <c r="I435" s="282"/>
      <c r="J435" s="274" t="str" cm="1">
        <f t="array" ref="J435">_xll.FDSB($C435,"CS_EVENT_DATEJ_N("&amp;$AB$18&amp;",1)")</f>
        <v/>
      </c>
      <c r="K435" s="282" t="str" cm="1">
        <f t="array" ref="K435">_xll.FDSB($C435,"CS_EVENT_TIME_N("&amp;$AB$18&amp;",1)")</f>
        <v/>
      </c>
      <c r="L435" s="282" t="str" cm="1">
        <f t="array" ref="L435">_xll.FDSB($C435,"CS_EVENT_DESC_N("&amp;$AB$18&amp;",1)")</f>
        <v/>
      </c>
      <c r="M435" s="300"/>
      <c r="N435" s="274" cm="1">
        <f t="array" ref="N435">_xll.FDSB($C435,"CS_EVENT_DATEJ_N("&amp;$AA$18&amp;",2)")</f>
        <v>46330</v>
      </c>
      <c r="O435" s="282" t="str" cm="1">
        <f t="array" ref="O435">_xll.FDSB($C435,"CS_EVENT_TIME_N("&amp;$AA$18&amp;",2)")</f>
        <v>Unspecified</v>
      </c>
      <c r="P435" s="282" t="str" cm="1">
        <f t="array" ref="P435">_xll.FDSB($C435,"CS_EVENT_DESC_N("&amp;$AA$18&amp;",2)")</f>
        <v>Q3 2026 Earnings Release (Projected)</v>
      </c>
      <c r="Q435" s="282"/>
      <c r="R435" s="274" cm="1">
        <f t="array" ref="R435">_xll.FDSB($C435,"CS_EVENT_DATEJ_N("&amp;$AA$18&amp;",3)")</f>
        <v>46421</v>
      </c>
      <c r="S435" s="282" t="str" cm="1">
        <f t="array" ref="S435">_xll.FDSB($C435,"CS_EVENT_TIME_N("&amp;$AA$18&amp;",3)")</f>
        <v>Unspecified</v>
      </c>
      <c r="T435" s="282" t="str" cm="1">
        <f t="array" ref="T435">_xll.FDSB($C435,"CS_EVENT_DESC_N("&amp;$AA$18&amp;",3)")</f>
        <v>Q4 2026 Earnings Release (Projected)</v>
      </c>
      <c r="U435" s="282"/>
      <c r="V435" s="274" cm="1">
        <f t="array" ref="V435">_xll.FDSB($C435,"CS_EVENT_DATEJ_N("&amp;$AA$18&amp;",4)")</f>
        <v>46512</v>
      </c>
      <c r="W435" s="282" t="str" cm="1">
        <f t="array" ref="W435">_xll.FDSB($C435,"CS_EVENT_TIME_N("&amp;$AA$18&amp;",4)")</f>
        <v>Unspecified</v>
      </c>
      <c r="X435" s="282" t="str" cm="1">
        <f t="array" ref="X435">_xll.FDSB($C435,"CS_EVENT_DESC_N("&amp;$AA$18&amp;",4)")</f>
        <v>Q1 2027 Earnings Release (Projected)</v>
      </c>
    </row>
    <row r="436" spans="2:24" x14ac:dyDescent="0.15">
      <c r="B436" s="298">
        <f t="shared" si="8"/>
        <v>421</v>
      </c>
      <c r="C436" s="299" t="str">
        <v>CF</v>
      </c>
      <c r="D436" s="300" t="str" cm="1">
        <f t="array" ref="D436">_xll.FDSB($C436,"FG_COMPANY_NAME")</f>
        <v>CF Industries Holdings, Inc.</v>
      </c>
      <c r="E436" s="300"/>
      <c r="F436" s="274" cm="1">
        <f t="array" ref="F436">_xll.FDSB($C436,"CS_EVENT_DATEJ_N("&amp;$AA$18&amp;",1)")</f>
        <v>46239</v>
      </c>
      <c r="G436" s="282" t="str" cm="1">
        <f t="array" ref="G436">_xll.FDSB($C436,"CS_EVENT_TIME_N("&amp;$AA$18&amp;",1)")</f>
        <v>4:30 PM</v>
      </c>
      <c r="H436" s="282" t="str" cm="1">
        <f t="array" ref="H436">_xll.FDSB($C436,"CS_EVENT_DESC_N("&amp;$AA$18&amp;",1)")</f>
        <v>Q2 2026 Earnings Release</v>
      </c>
      <c r="I436" s="282"/>
      <c r="J436" s="274" cm="1">
        <f t="array" ref="J436">_xll.FDSB($C436,"CS_EVENT_DATEJ_N("&amp;$AB$18&amp;",1)")</f>
        <v>46240</v>
      </c>
      <c r="K436" s="282" t="str" cm="1">
        <f t="array" ref="K436">_xll.FDSB($C436,"CS_EVENT_TIME_N("&amp;$AB$18&amp;",1)")</f>
        <v>11:00 AM</v>
      </c>
      <c r="L436" s="282" t="str" cm="1">
        <f t="array" ref="L436">_xll.FDSB($C436,"CS_EVENT_DESC_N("&amp;$AB$18&amp;",1)")</f>
        <v>Q2 2026 Earnings Call</v>
      </c>
      <c r="M436" s="300"/>
      <c r="N436" s="274" cm="1">
        <f t="array" ref="N436">_xll.FDSB($C436,"CS_EVENT_DATEJ_N("&amp;$AA$18&amp;",2)")</f>
        <v>46330</v>
      </c>
      <c r="O436" s="282" t="str" cm="1">
        <f t="array" ref="O436">_xll.FDSB($C436,"CS_EVENT_TIME_N("&amp;$AA$18&amp;",2)")</f>
        <v>4:30 PM</v>
      </c>
      <c r="P436" s="282" t="str" cm="1">
        <f t="array" ref="P436">_xll.FDSB($C436,"CS_EVENT_DESC_N("&amp;$AA$18&amp;",2)")</f>
        <v>Q3 2026 Earnings Release</v>
      </c>
      <c r="Q436" s="282"/>
      <c r="R436" s="274" cm="1">
        <f t="array" ref="R436">_xll.FDSB($C436,"CS_EVENT_DATEJ_N("&amp;$AA$18&amp;",3)")</f>
        <v>46435</v>
      </c>
      <c r="S436" s="282" t="str" cm="1">
        <f t="array" ref="S436">_xll.FDSB($C436,"CS_EVENT_TIME_N("&amp;$AA$18&amp;",3)")</f>
        <v>Unspecified</v>
      </c>
      <c r="T436" s="282" t="str" cm="1">
        <f t="array" ref="T436">_xll.FDSB($C436,"CS_EVENT_DESC_N("&amp;$AA$18&amp;",3)")</f>
        <v>Q4 2026 Earnings Release (Projected)</v>
      </c>
      <c r="U436" s="282"/>
      <c r="V436" s="274" cm="1">
        <f t="array" ref="V436">_xll.FDSB($C436,"CS_EVENT_DATEJ_N("&amp;$AA$18&amp;",4)")</f>
        <v>46512</v>
      </c>
      <c r="W436" s="282" t="str" cm="1">
        <f t="array" ref="W436">_xll.FDSB($C436,"CS_EVENT_TIME_N("&amp;$AA$18&amp;",4)")</f>
        <v>Unspecified</v>
      </c>
      <c r="X436" s="282" t="str" cm="1">
        <f t="array" ref="X436">_xll.FDSB($C436,"CS_EVENT_DESC_N("&amp;$AA$18&amp;",4)")</f>
        <v>Q1 2027 Earnings Release (Projected)</v>
      </c>
    </row>
    <row r="437" spans="2:24" x14ac:dyDescent="0.15">
      <c r="B437" s="298">
        <f t="shared" si="8"/>
        <v>422</v>
      </c>
      <c r="C437" s="299" t="str">
        <v>KHC</v>
      </c>
      <c r="D437" s="300" t="str" cm="1">
        <f t="array" ref="D437">_xll.FDSB($C437,"FG_COMPANY_NAME")</f>
        <v>Kraft Heinz Company</v>
      </c>
      <c r="E437" s="300"/>
      <c r="F437" s="274" cm="1">
        <f t="array" ref="F437">_xll.FDSB($C437,"CS_EVENT_DATEJ_N("&amp;$AA$18&amp;",1)")</f>
        <v>46239</v>
      </c>
      <c r="G437" s="282" t="str" cm="1">
        <f t="array" ref="G437">_xll.FDSB($C437,"CS_EVENT_TIME_N("&amp;$AA$18&amp;",1)")</f>
        <v>Unspecified</v>
      </c>
      <c r="H437" s="282" t="str" cm="1">
        <f t="array" ref="H437">_xll.FDSB($C437,"CS_EVENT_DESC_N("&amp;$AA$18&amp;",1)")</f>
        <v>Q2 2026 Earnings Release (Projected)</v>
      </c>
      <c r="I437" s="282"/>
      <c r="J437" s="274" t="str" cm="1">
        <f t="array" ref="J437">_xll.FDSB($C437,"CS_EVENT_DATEJ_N("&amp;$AB$18&amp;",1)")</f>
        <v/>
      </c>
      <c r="K437" s="282" t="str" cm="1">
        <f t="array" ref="K437">_xll.FDSB($C437,"CS_EVENT_TIME_N("&amp;$AB$18&amp;",1)")</f>
        <v/>
      </c>
      <c r="L437" s="282" t="str" cm="1">
        <f t="array" ref="L437">_xll.FDSB($C437,"CS_EVENT_DESC_N("&amp;$AB$18&amp;",1)")</f>
        <v/>
      </c>
      <c r="M437" s="300"/>
      <c r="N437" s="274" cm="1">
        <f t="array" ref="N437">_xll.FDSB($C437,"CS_EVENT_DATEJ_N("&amp;$AA$18&amp;",2)")</f>
        <v>46330</v>
      </c>
      <c r="O437" s="282" t="str" cm="1">
        <f t="array" ref="O437">_xll.FDSB($C437,"CS_EVENT_TIME_N("&amp;$AA$18&amp;",2)")</f>
        <v>Unspecified</v>
      </c>
      <c r="P437" s="282" t="str" cm="1">
        <f t="array" ref="P437">_xll.FDSB($C437,"CS_EVENT_DESC_N("&amp;$AA$18&amp;",2)")</f>
        <v>Q3 2026 Earnings Release (Projected)</v>
      </c>
      <c r="Q437" s="282"/>
      <c r="R437" s="274" cm="1">
        <f t="array" ref="R437">_xll.FDSB($C437,"CS_EVENT_DATEJ_N("&amp;$AA$18&amp;",3)")</f>
        <v>46435</v>
      </c>
      <c r="S437" s="282" t="str" cm="1">
        <f t="array" ref="S437">_xll.FDSB($C437,"CS_EVENT_TIME_N("&amp;$AA$18&amp;",3)")</f>
        <v>Unspecified</v>
      </c>
      <c r="T437" s="282" t="str" cm="1">
        <f t="array" ref="T437">_xll.FDSB($C437,"CS_EVENT_DESC_N("&amp;$AA$18&amp;",3)")</f>
        <v>Q4 2026 Earnings Release (Projected)</v>
      </c>
      <c r="U437" s="282"/>
      <c r="V437" s="274" cm="1">
        <f t="array" ref="V437">_xll.FDSB($C437,"CS_EVENT_DATEJ_N("&amp;$AA$18&amp;",4)")</f>
        <v>46512</v>
      </c>
      <c r="W437" s="282" t="str" cm="1">
        <f t="array" ref="W437">_xll.FDSB($C437,"CS_EVENT_TIME_N("&amp;$AA$18&amp;",4)")</f>
        <v>Unspecified</v>
      </c>
      <c r="X437" s="282" t="str" cm="1">
        <f t="array" ref="X437">_xll.FDSB($C437,"CS_EVENT_DESC_N("&amp;$AA$18&amp;",4)")</f>
        <v>Q1 2027 Earnings Release (Projected)</v>
      </c>
    </row>
    <row r="438" spans="2:24" x14ac:dyDescent="0.15">
      <c r="B438" s="298">
        <f t="shared" si="8"/>
        <v>423</v>
      </c>
      <c r="C438" s="299" t="str">
        <v>SW</v>
      </c>
      <c r="D438" s="300" t="str" cm="1">
        <f t="array" ref="D438">_xll.FDSB($C438,"FG_COMPANY_NAME")</f>
        <v>Smurfit Westrock PLC</v>
      </c>
      <c r="E438" s="300"/>
      <c r="F438" s="274" cm="1">
        <f t="array" ref="F438">_xll.FDSB($C438,"CS_EVENT_DATEJ_N("&amp;$AA$18&amp;",1)")</f>
        <v>46239</v>
      </c>
      <c r="G438" s="282" t="str" cm="1">
        <f t="array" ref="G438">_xll.FDSB($C438,"CS_EVENT_TIME_N("&amp;$AA$18&amp;",1)")</f>
        <v>Unspecified</v>
      </c>
      <c r="H438" s="282" t="str" cm="1">
        <f t="array" ref="H438">_xll.FDSB($C438,"CS_EVENT_DESC_N("&amp;$AA$18&amp;",1)")</f>
        <v>Q2 2026 Earnings Release (Projected)</v>
      </c>
      <c r="I438" s="282"/>
      <c r="J438" s="274" t="str" cm="1">
        <f t="array" ref="J438">_xll.FDSB($C438,"CS_EVENT_DATEJ_N("&amp;$AB$18&amp;",1)")</f>
        <v/>
      </c>
      <c r="K438" s="282" t="str" cm="1">
        <f t="array" ref="K438">_xll.FDSB($C438,"CS_EVENT_TIME_N("&amp;$AB$18&amp;",1)")</f>
        <v/>
      </c>
      <c r="L438" s="282" t="str" cm="1">
        <f t="array" ref="L438">_xll.FDSB($C438,"CS_EVENT_DESC_N("&amp;$AB$18&amp;",1)")</f>
        <v/>
      </c>
      <c r="M438" s="300"/>
      <c r="N438" s="274" cm="1">
        <f t="array" ref="N438">_xll.FDSB($C438,"CS_EVENT_DATEJ_N("&amp;$AA$18&amp;",2)")</f>
        <v>46330</v>
      </c>
      <c r="O438" s="282" t="str" cm="1">
        <f t="array" ref="O438">_xll.FDSB($C438,"CS_EVENT_TIME_N("&amp;$AA$18&amp;",2)")</f>
        <v>Unspecified</v>
      </c>
      <c r="P438" s="282" t="str" cm="1">
        <f t="array" ref="P438">_xll.FDSB($C438,"CS_EVENT_DESC_N("&amp;$AA$18&amp;",2)")</f>
        <v>Q3 2026 Earnings Release (Projected)</v>
      </c>
      <c r="Q438" s="282"/>
      <c r="R438" s="274" t="str" cm="1">
        <f t="array" ref="R438">_xll.FDSB($C438,"CS_EVENT_DATEJ_N("&amp;$AA$18&amp;",3)")</f>
        <v/>
      </c>
      <c r="S438" s="282" t="str" cm="1">
        <f t="array" ref="S438">_xll.FDSB($C438,"CS_EVENT_TIME_N("&amp;$AA$18&amp;",3)")</f>
        <v/>
      </c>
      <c r="T438" s="282" t="str" cm="1">
        <f t="array" ref="T438">_xll.FDSB($C438,"CS_EVENT_DESC_N("&amp;$AA$18&amp;",3)")</f>
        <v/>
      </c>
      <c r="U438" s="282"/>
      <c r="V438" s="274" t="str" cm="1">
        <f t="array" ref="V438">_xll.FDSB($C438,"CS_EVENT_DATEJ_N("&amp;$AA$18&amp;",4)")</f>
        <v/>
      </c>
      <c r="W438" s="282" t="str" cm="1">
        <f t="array" ref="W438">_xll.FDSB($C438,"CS_EVENT_TIME_N("&amp;$AA$18&amp;",4)")</f>
        <v/>
      </c>
      <c r="X438" s="282" t="str" cm="1">
        <f t="array" ref="X438">_xll.FDSB($C438,"CS_EVENT_DESC_N("&amp;$AA$18&amp;",4)")</f>
        <v/>
      </c>
    </row>
    <row r="439" spans="2:24" x14ac:dyDescent="0.15">
      <c r="B439" s="298">
        <f t="shared" si="8"/>
        <v>424</v>
      </c>
      <c r="C439" s="299" t="str">
        <v>VRT</v>
      </c>
      <c r="D439" s="300" t="str" cm="1">
        <f t="array" ref="D439">_xll.FDSB($C439,"FG_COMPANY_NAME")</f>
        <v>Vertiv Holdings Co. Class A</v>
      </c>
      <c r="E439" s="300"/>
      <c r="F439" s="274" cm="1">
        <f t="array" ref="F439">_xll.FDSB($C439,"CS_EVENT_DATEJ_N("&amp;$AA$18&amp;",1)")</f>
        <v>46239</v>
      </c>
      <c r="G439" s="282" t="str" cm="1">
        <f t="array" ref="G439">_xll.FDSB($C439,"CS_EVENT_TIME_N("&amp;$AA$18&amp;",1)")</f>
        <v>Unspecified</v>
      </c>
      <c r="H439" s="282" t="str" cm="1">
        <f t="array" ref="H439">_xll.FDSB($C439,"CS_EVENT_DESC_N("&amp;$AA$18&amp;",1)")</f>
        <v>Q2 2026 Earnings Release (Projected)</v>
      </c>
      <c r="I439" s="282"/>
      <c r="J439" s="274" t="str" cm="1">
        <f t="array" ref="J439">_xll.FDSB($C439,"CS_EVENT_DATEJ_N("&amp;$AB$18&amp;",1)")</f>
        <v/>
      </c>
      <c r="K439" s="282" t="str" cm="1">
        <f t="array" ref="K439">_xll.FDSB($C439,"CS_EVENT_TIME_N("&amp;$AB$18&amp;",1)")</f>
        <v/>
      </c>
      <c r="L439" s="282" t="str" cm="1">
        <f t="array" ref="L439">_xll.FDSB($C439,"CS_EVENT_DESC_N("&amp;$AB$18&amp;",1)")</f>
        <v/>
      </c>
      <c r="M439" s="300"/>
      <c r="N439" s="274" cm="1">
        <f t="array" ref="N439">_xll.FDSB($C439,"CS_EVENT_DATEJ_N("&amp;$AA$18&amp;",2)")</f>
        <v>46323</v>
      </c>
      <c r="O439" s="282" t="str" cm="1">
        <f t="array" ref="O439">_xll.FDSB($C439,"CS_EVENT_TIME_N("&amp;$AA$18&amp;",2)")</f>
        <v>Unspecified</v>
      </c>
      <c r="P439" s="282" t="str" cm="1">
        <f t="array" ref="P439">_xll.FDSB($C439,"CS_EVENT_DESC_N("&amp;$AA$18&amp;",2)")</f>
        <v>Q3 2026 Earnings Release (Projected)</v>
      </c>
      <c r="Q439" s="282"/>
      <c r="R439" s="274" cm="1">
        <f t="array" ref="R439">_xll.FDSB($C439,"CS_EVENT_DATEJ_N("&amp;$AA$18&amp;",3)")</f>
        <v>46442</v>
      </c>
      <c r="S439" s="282" t="str" cm="1">
        <f t="array" ref="S439">_xll.FDSB($C439,"CS_EVENT_TIME_N("&amp;$AA$18&amp;",3)")</f>
        <v>Unspecified</v>
      </c>
      <c r="T439" s="282" t="str" cm="1">
        <f t="array" ref="T439">_xll.FDSB($C439,"CS_EVENT_DESC_N("&amp;$AA$18&amp;",3)")</f>
        <v>Q4 2026 Earnings Release (Projected)</v>
      </c>
      <c r="U439" s="282"/>
      <c r="V439" s="274" cm="1">
        <f t="array" ref="V439">_xll.FDSB($C439,"CS_EVENT_DATEJ_N("&amp;$AA$18&amp;",4)")</f>
        <v>46505</v>
      </c>
      <c r="W439" s="282" t="str" cm="1">
        <f t="array" ref="W439">_xll.FDSB($C439,"CS_EVENT_TIME_N("&amp;$AA$18&amp;",4)")</f>
        <v>Unspecified</v>
      </c>
      <c r="X439" s="282" t="str" cm="1">
        <f t="array" ref="X439">_xll.FDSB($C439,"CS_EVENT_DESC_N("&amp;$AA$18&amp;",4)")</f>
        <v>Q1 2027 Earnings Release (Projected)</v>
      </c>
    </row>
    <row r="440" spans="2:24" x14ac:dyDescent="0.15">
      <c r="B440" s="298">
        <f t="shared" si="8"/>
        <v>425</v>
      </c>
      <c r="C440" s="299" t="str">
        <v>HOOD</v>
      </c>
      <c r="D440" s="300" t="str" cm="1">
        <f t="array" ref="D440">_xll.FDSB($C440,"FG_COMPANY_NAME")</f>
        <v>Robinhood Markets, Inc. Class A</v>
      </c>
      <c r="E440" s="300"/>
      <c r="F440" s="274" cm="1">
        <f t="array" ref="F440">_xll.FDSB($C440,"CS_EVENT_DATEJ_N("&amp;$AA$18&amp;",1)")</f>
        <v>46239</v>
      </c>
      <c r="G440" s="282" t="str" cm="1">
        <f t="array" ref="G440">_xll.FDSB($C440,"CS_EVENT_TIME_N("&amp;$AA$18&amp;",1)")</f>
        <v>Unspecified</v>
      </c>
      <c r="H440" s="282" t="str" cm="1">
        <f t="array" ref="H440">_xll.FDSB($C440,"CS_EVENT_DESC_N("&amp;$AA$18&amp;",1)")</f>
        <v>Q2 2026 Earnings Release (Projected)</v>
      </c>
      <c r="I440" s="282"/>
      <c r="J440" s="274" t="str" cm="1">
        <f t="array" ref="J440">_xll.FDSB($C440,"CS_EVENT_DATEJ_N("&amp;$AB$18&amp;",1)")</f>
        <v/>
      </c>
      <c r="K440" s="282" t="str" cm="1">
        <f t="array" ref="K440">_xll.FDSB($C440,"CS_EVENT_TIME_N("&amp;$AB$18&amp;",1)")</f>
        <v/>
      </c>
      <c r="L440" s="282" t="str" cm="1">
        <f t="array" ref="L440">_xll.FDSB($C440,"CS_EVENT_DESC_N("&amp;$AB$18&amp;",1)")</f>
        <v/>
      </c>
      <c r="M440" s="300"/>
      <c r="N440" s="274" cm="1">
        <f t="array" ref="N440">_xll.FDSB($C440,"CS_EVENT_DATEJ_N("&amp;$AA$18&amp;",2)")</f>
        <v>46330</v>
      </c>
      <c r="O440" s="282" t="str" cm="1">
        <f t="array" ref="O440">_xll.FDSB($C440,"CS_EVENT_TIME_N("&amp;$AA$18&amp;",2)")</f>
        <v>Unspecified</v>
      </c>
      <c r="P440" s="282" t="str" cm="1">
        <f t="array" ref="P440">_xll.FDSB($C440,"CS_EVENT_DESC_N("&amp;$AA$18&amp;",2)")</f>
        <v>Q3 2026 Earnings Release (Projected)</v>
      </c>
      <c r="Q440" s="282"/>
      <c r="R440" s="274" cm="1">
        <f t="array" ref="R440">_xll.FDSB($C440,"CS_EVENT_DATEJ_N("&amp;$AA$18&amp;",3)")</f>
        <v>46434</v>
      </c>
      <c r="S440" s="282" t="str" cm="1">
        <f t="array" ref="S440">_xll.FDSB($C440,"CS_EVENT_TIME_N("&amp;$AA$18&amp;",3)")</f>
        <v>Unspecified</v>
      </c>
      <c r="T440" s="282" t="str" cm="1">
        <f t="array" ref="T440">_xll.FDSB($C440,"CS_EVENT_DESC_N("&amp;$AA$18&amp;",3)")</f>
        <v>Q4 2026 Earnings Release (Projected)</v>
      </c>
      <c r="U440" s="282"/>
      <c r="V440" s="274" cm="1">
        <f t="array" ref="V440">_xll.FDSB($C440,"CS_EVENT_DATEJ_N("&amp;$AA$18&amp;",4)")</f>
        <v>46519</v>
      </c>
      <c r="W440" s="282" t="str" cm="1">
        <f t="array" ref="W440">_xll.FDSB($C440,"CS_EVENT_TIME_N("&amp;$AA$18&amp;",4)")</f>
        <v>Unspecified</v>
      </c>
      <c r="X440" s="282" t="str" cm="1">
        <f t="array" ref="X440">_xll.FDSB($C440,"CS_EVENT_DESC_N("&amp;$AA$18&amp;",4)")</f>
        <v>Q1 2027 Earnings Release (Projected)</v>
      </c>
    </row>
    <row r="441" spans="2:24" x14ac:dyDescent="0.15">
      <c r="B441" s="298">
        <f t="shared" si="8"/>
        <v>426</v>
      </c>
      <c r="C441" s="299" t="str">
        <v>GEHC</v>
      </c>
      <c r="D441" s="300" t="str" cm="1">
        <f t="array" ref="D441">_xll.FDSB($C441,"FG_COMPANY_NAME")</f>
        <v>GE Healthcare Technologies Inc.</v>
      </c>
      <c r="E441" s="300"/>
      <c r="F441" s="274" cm="1">
        <f t="array" ref="F441">_xll.FDSB($C441,"CS_EVENT_DATEJ_N("&amp;$AA$18&amp;",1)")</f>
        <v>46239</v>
      </c>
      <c r="G441" s="282" t="str" cm="1">
        <f t="array" ref="G441">_xll.FDSB($C441,"CS_EVENT_TIME_N("&amp;$AA$18&amp;",1)")</f>
        <v>Unspecified</v>
      </c>
      <c r="H441" s="282" t="str" cm="1">
        <f t="array" ref="H441">_xll.FDSB($C441,"CS_EVENT_DESC_N("&amp;$AA$18&amp;",1)")</f>
        <v>Q2 2026 Earnings Release (Projected)</v>
      </c>
      <c r="I441" s="282"/>
      <c r="J441" s="274" t="str" cm="1">
        <f t="array" ref="J441">_xll.FDSB($C441,"CS_EVENT_DATEJ_N("&amp;$AB$18&amp;",1)")</f>
        <v/>
      </c>
      <c r="K441" s="282" t="str" cm="1">
        <f t="array" ref="K441">_xll.FDSB($C441,"CS_EVENT_TIME_N("&amp;$AB$18&amp;",1)")</f>
        <v/>
      </c>
      <c r="L441" s="282" t="str" cm="1">
        <f t="array" ref="L441">_xll.FDSB($C441,"CS_EVENT_DESC_N("&amp;$AB$18&amp;",1)")</f>
        <v/>
      </c>
      <c r="M441" s="300"/>
      <c r="N441" s="274" cm="1">
        <f t="array" ref="N441">_xll.FDSB($C441,"CS_EVENT_DATEJ_N("&amp;$AA$18&amp;",2)")</f>
        <v>46330</v>
      </c>
      <c r="O441" s="282" t="str" cm="1">
        <f t="array" ref="O441">_xll.FDSB($C441,"CS_EVENT_TIME_N("&amp;$AA$18&amp;",2)")</f>
        <v>Unspecified</v>
      </c>
      <c r="P441" s="282" t="str" cm="1">
        <f t="array" ref="P441">_xll.FDSB($C441,"CS_EVENT_DESC_N("&amp;$AA$18&amp;",2)")</f>
        <v>Q3 2026 Earnings Release (Projected)</v>
      </c>
      <c r="Q441" s="282"/>
      <c r="R441" s="274" cm="1">
        <f t="array" ref="R441">_xll.FDSB($C441,"CS_EVENT_DATEJ_N("&amp;$AA$18&amp;",3)")</f>
        <v>46512</v>
      </c>
      <c r="S441" s="282" t="str" cm="1">
        <f t="array" ref="S441">_xll.FDSB($C441,"CS_EVENT_TIME_N("&amp;$AA$18&amp;",3)")</f>
        <v>Unspecified</v>
      </c>
      <c r="T441" s="282" t="str" cm="1">
        <f t="array" ref="T441">_xll.FDSB($C441,"CS_EVENT_DESC_N("&amp;$AA$18&amp;",3)")</f>
        <v>Q1 2027 Earnings Release (Projected)</v>
      </c>
      <c r="U441" s="282"/>
      <c r="V441" s="274" t="str" cm="1">
        <f t="array" ref="V441">_xll.FDSB($C441,"CS_EVENT_DATEJ_N("&amp;$AA$18&amp;",4)")</f>
        <v/>
      </c>
      <c r="W441" s="282" t="str" cm="1">
        <f t="array" ref="W441">_xll.FDSB($C441,"CS_EVENT_TIME_N("&amp;$AA$18&amp;",4)")</f>
        <v/>
      </c>
      <c r="X441" s="282" t="str" cm="1">
        <f t="array" ref="X441">_xll.FDSB($C441,"CS_EVENT_DESC_N("&amp;$AA$18&amp;",4)")</f>
        <v/>
      </c>
    </row>
    <row r="442" spans="2:24" x14ac:dyDescent="0.15">
      <c r="B442" s="298">
        <f t="shared" si="8"/>
        <v>427</v>
      </c>
      <c r="C442" s="299" t="str">
        <v>TTWO</v>
      </c>
      <c r="D442" s="300" t="str" cm="1">
        <f t="array" ref="D442">_xll.FDSB($C442,"FG_COMPANY_NAME")</f>
        <v>Take-Two Interactive Software, Inc.</v>
      </c>
      <c r="E442" s="300"/>
      <c r="F442" s="274" cm="1">
        <f t="array" ref="F442">_xll.FDSB($C442,"CS_EVENT_DATEJ_N("&amp;$AA$18&amp;",1)")</f>
        <v>46240</v>
      </c>
      <c r="G442" s="282" t="str" cm="1">
        <f t="array" ref="G442">_xll.FDSB($C442,"CS_EVENT_TIME_N("&amp;$AA$18&amp;",1)")</f>
        <v>Unspecified</v>
      </c>
      <c r="H442" s="282" t="str" cm="1">
        <f t="array" ref="H442">_xll.FDSB($C442,"CS_EVENT_DESC_N("&amp;$AA$18&amp;",1)")</f>
        <v>Q1 2027 Earnings Release (Projected)</v>
      </c>
      <c r="I442" s="282"/>
      <c r="J442" s="274" t="str" cm="1">
        <f t="array" ref="J442">_xll.FDSB($C442,"CS_EVENT_DATEJ_N("&amp;$AB$18&amp;",1)")</f>
        <v/>
      </c>
      <c r="K442" s="282" t="str" cm="1">
        <f t="array" ref="K442">_xll.FDSB($C442,"CS_EVENT_TIME_N("&amp;$AB$18&amp;",1)")</f>
        <v/>
      </c>
      <c r="L442" s="282" t="str" cm="1">
        <f t="array" ref="L442">_xll.FDSB($C442,"CS_EVENT_DESC_N("&amp;$AB$18&amp;",1)")</f>
        <v/>
      </c>
      <c r="M442" s="300"/>
      <c r="N442" s="274" cm="1">
        <f t="array" ref="N442">_xll.FDSB($C442,"CS_EVENT_DATEJ_N("&amp;$AA$18&amp;",2)")</f>
        <v>46337</v>
      </c>
      <c r="O442" s="282" t="str" cm="1">
        <f t="array" ref="O442">_xll.FDSB($C442,"CS_EVENT_TIME_N("&amp;$AA$18&amp;",2)")</f>
        <v>Unspecified</v>
      </c>
      <c r="P442" s="282" t="str" cm="1">
        <f t="array" ref="P442">_xll.FDSB($C442,"CS_EVENT_DESC_N("&amp;$AA$18&amp;",2)")</f>
        <v>Q2 2027 Earnings Release (Projected)</v>
      </c>
      <c r="Q442" s="282"/>
      <c r="R442" s="274" cm="1">
        <f t="array" ref="R442">_xll.FDSB($C442,"CS_EVENT_DATEJ_N("&amp;$AA$18&amp;",3)")</f>
        <v>46426</v>
      </c>
      <c r="S442" s="282" t="str" cm="1">
        <f t="array" ref="S442">_xll.FDSB($C442,"CS_EVENT_TIME_N("&amp;$AA$18&amp;",3)")</f>
        <v>Unspecified</v>
      </c>
      <c r="T442" s="282" t="str" cm="1">
        <f t="array" ref="T442">_xll.FDSB($C442,"CS_EVENT_DESC_N("&amp;$AA$18&amp;",3)")</f>
        <v>Q3 2027 Earnings Release (Projected)</v>
      </c>
      <c r="U442" s="282"/>
      <c r="V442" s="274" cm="1">
        <f t="array" ref="V442">_xll.FDSB($C442,"CS_EVENT_DATEJ_N("&amp;$AA$18&amp;",4)")</f>
        <v>46527</v>
      </c>
      <c r="W442" s="282" t="str" cm="1">
        <f t="array" ref="W442">_xll.FDSB($C442,"CS_EVENT_TIME_N("&amp;$AA$18&amp;",4)")</f>
        <v>Unspecified</v>
      </c>
      <c r="X442" s="282" t="str" cm="1">
        <f t="array" ref="X442">_xll.FDSB($C442,"CS_EVENT_DESC_N("&amp;$AA$18&amp;",4)")</f>
        <v>Q4 2027 Earnings Release (Projected)</v>
      </c>
    </row>
    <row r="443" spans="2:24" x14ac:dyDescent="0.15">
      <c r="B443" s="298">
        <f t="shared" si="8"/>
        <v>428</v>
      </c>
      <c r="C443" s="299" t="str">
        <v>PH</v>
      </c>
      <c r="D443" s="300" t="str" cm="1">
        <f t="array" ref="D443">_xll.FDSB($C443,"FG_COMPANY_NAME")</f>
        <v>Parker-Hannifin Corporation</v>
      </c>
      <c r="E443" s="300"/>
      <c r="F443" s="274" cm="1">
        <f t="array" ref="F443">_xll.FDSB($C443,"CS_EVENT_DATEJ_N("&amp;$AA$18&amp;",1)")</f>
        <v>46240</v>
      </c>
      <c r="G443" s="282" t="str" cm="1">
        <f t="array" ref="G443">_xll.FDSB($C443,"CS_EVENT_TIME_N("&amp;$AA$18&amp;",1)")</f>
        <v>Unspecified</v>
      </c>
      <c r="H443" s="282" t="str" cm="1">
        <f t="array" ref="H443">_xll.FDSB($C443,"CS_EVENT_DESC_N("&amp;$AA$18&amp;",1)")</f>
        <v>Q4 2026 Earnings Release (Projected)</v>
      </c>
      <c r="I443" s="282"/>
      <c r="J443" s="274" t="str" cm="1">
        <f t="array" ref="J443">_xll.FDSB($C443,"CS_EVENT_DATEJ_N("&amp;$AB$18&amp;",1)")</f>
        <v/>
      </c>
      <c r="K443" s="282" t="str" cm="1">
        <f t="array" ref="K443">_xll.FDSB($C443,"CS_EVENT_TIME_N("&amp;$AB$18&amp;",1)")</f>
        <v/>
      </c>
      <c r="L443" s="282" t="str" cm="1">
        <f t="array" ref="L443">_xll.FDSB($C443,"CS_EVENT_DESC_N("&amp;$AB$18&amp;",1)")</f>
        <v/>
      </c>
      <c r="M443" s="300"/>
      <c r="N443" s="274" cm="1">
        <f t="array" ref="N443">_xll.FDSB($C443,"CS_EVENT_DATEJ_N("&amp;$AA$18&amp;",2)")</f>
        <v>46324</v>
      </c>
      <c r="O443" s="282" t="str" cm="1">
        <f t="array" ref="O443">_xll.FDSB($C443,"CS_EVENT_TIME_N("&amp;$AA$18&amp;",2)")</f>
        <v>Unspecified</v>
      </c>
      <c r="P443" s="282" t="str" cm="1">
        <f t="array" ref="P443">_xll.FDSB($C443,"CS_EVENT_DESC_N("&amp;$AA$18&amp;",2)")</f>
        <v>Q1 2027 Earnings Release (Projected)</v>
      </c>
      <c r="Q443" s="282"/>
      <c r="R443" s="274" cm="1">
        <f t="array" ref="R443">_xll.FDSB($C443,"CS_EVENT_DATEJ_N("&amp;$AA$18&amp;",3)")</f>
        <v>46422</v>
      </c>
      <c r="S443" s="282" t="str" cm="1">
        <f t="array" ref="S443">_xll.FDSB($C443,"CS_EVENT_TIME_N("&amp;$AA$18&amp;",3)")</f>
        <v>Unspecified</v>
      </c>
      <c r="T443" s="282" t="str" cm="1">
        <f t="array" ref="T443">_xll.FDSB($C443,"CS_EVENT_DESC_N("&amp;$AA$18&amp;",3)")</f>
        <v>Q2 2027 Earnings Release (Projected)</v>
      </c>
      <c r="U443" s="282"/>
      <c r="V443" s="274" cm="1">
        <f t="array" ref="V443">_xll.FDSB($C443,"CS_EVENT_DATEJ_N("&amp;$AA$18&amp;",4)")</f>
        <v>46513</v>
      </c>
      <c r="W443" s="282" t="str" cm="1">
        <f t="array" ref="W443">_xll.FDSB($C443,"CS_EVENT_TIME_N("&amp;$AA$18&amp;",4)")</f>
        <v>Unspecified</v>
      </c>
      <c r="X443" s="282" t="str" cm="1">
        <f t="array" ref="X443">_xll.FDSB($C443,"CS_EVENT_DESC_N("&amp;$AA$18&amp;",4)")</f>
        <v>Q3 2027 Earnings Release (Projected)</v>
      </c>
    </row>
    <row r="444" spans="2:24" x14ac:dyDescent="0.15">
      <c r="B444" s="298">
        <f t="shared" si="8"/>
        <v>429</v>
      </c>
      <c r="C444" s="299" t="str">
        <v>RL</v>
      </c>
      <c r="D444" s="300" t="str" cm="1">
        <f t="array" ref="D444">_xll.FDSB($C444,"FG_COMPANY_NAME")</f>
        <v>Ralph Lauren Corporation Class A</v>
      </c>
      <c r="E444" s="300"/>
      <c r="F444" s="274" cm="1">
        <f t="array" ref="F444">_xll.FDSB($C444,"CS_EVENT_DATEJ_N("&amp;$AA$18&amp;",1)")</f>
        <v>46240</v>
      </c>
      <c r="G444" s="282" t="str" cm="1">
        <f t="array" ref="G444">_xll.FDSB($C444,"CS_EVENT_TIME_N("&amp;$AA$18&amp;",1)")</f>
        <v>Unspecified</v>
      </c>
      <c r="H444" s="282" t="str" cm="1">
        <f t="array" ref="H444">_xll.FDSB($C444,"CS_EVENT_DESC_N("&amp;$AA$18&amp;",1)")</f>
        <v>Q1 2027 Earnings Release (Projected)</v>
      </c>
      <c r="I444" s="282"/>
      <c r="J444" s="274" t="str" cm="1">
        <f t="array" ref="J444">_xll.FDSB($C444,"CS_EVENT_DATEJ_N("&amp;$AB$18&amp;",1)")</f>
        <v/>
      </c>
      <c r="K444" s="282" t="str" cm="1">
        <f t="array" ref="K444">_xll.FDSB($C444,"CS_EVENT_TIME_N("&amp;$AB$18&amp;",1)")</f>
        <v/>
      </c>
      <c r="L444" s="282" t="str" cm="1">
        <f t="array" ref="L444">_xll.FDSB($C444,"CS_EVENT_DESC_N("&amp;$AB$18&amp;",1)")</f>
        <v/>
      </c>
      <c r="M444" s="300"/>
      <c r="N444" s="274" cm="1">
        <f t="array" ref="N444">_xll.FDSB($C444,"CS_EVENT_DATEJ_N("&amp;$AA$18&amp;",2)")</f>
        <v>46331</v>
      </c>
      <c r="O444" s="282" t="str" cm="1">
        <f t="array" ref="O444">_xll.FDSB($C444,"CS_EVENT_TIME_N("&amp;$AA$18&amp;",2)")</f>
        <v>Unspecified</v>
      </c>
      <c r="P444" s="282" t="str" cm="1">
        <f t="array" ref="P444">_xll.FDSB($C444,"CS_EVENT_DESC_N("&amp;$AA$18&amp;",2)")</f>
        <v>Q2 2027 Earnings Release (Projected)</v>
      </c>
      <c r="Q444" s="282"/>
      <c r="R444" s="274" cm="1">
        <f t="array" ref="R444">_xll.FDSB($C444,"CS_EVENT_DATEJ_N("&amp;$AA$18&amp;",3)")</f>
        <v>46429</v>
      </c>
      <c r="S444" s="282" t="str" cm="1">
        <f t="array" ref="S444">_xll.FDSB($C444,"CS_EVENT_TIME_N("&amp;$AA$18&amp;",3)")</f>
        <v>Unspecified</v>
      </c>
      <c r="T444" s="282" t="str" cm="1">
        <f t="array" ref="T444">_xll.FDSB($C444,"CS_EVENT_DESC_N("&amp;$AA$18&amp;",3)")</f>
        <v>Q3 2027 Earnings Release (Projected)</v>
      </c>
      <c r="U444" s="282"/>
      <c r="V444" s="274" cm="1">
        <f t="array" ref="V444">_xll.FDSB($C444,"CS_EVENT_DATEJ_N("&amp;$AA$18&amp;",4)")</f>
        <v>46534</v>
      </c>
      <c r="W444" s="282" t="str" cm="1">
        <f t="array" ref="W444">_xll.FDSB($C444,"CS_EVENT_TIME_N("&amp;$AA$18&amp;",4)")</f>
        <v>Unspecified</v>
      </c>
      <c r="X444" s="282" t="str" cm="1">
        <f t="array" ref="X444">_xll.FDSB($C444,"CS_EVENT_DESC_N("&amp;$AA$18&amp;",4)")</f>
        <v>Q4 2027 Earnings Release (Projected)</v>
      </c>
    </row>
    <row r="445" spans="2:24" x14ac:dyDescent="0.15">
      <c r="B445" s="298">
        <f t="shared" si="8"/>
        <v>430</v>
      </c>
      <c r="C445" s="299" t="str">
        <v>AFL</v>
      </c>
      <c r="D445" s="300" t="str" cm="1">
        <f t="array" ref="D445">_xll.FDSB($C445,"FG_COMPANY_NAME")</f>
        <v>Aflac Incorporated</v>
      </c>
      <c r="E445" s="300"/>
      <c r="F445" s="274" cm="1">
        <f t="array" ref="F445">_xll.FDSB($C445,"CS_EVENT_DATEJ_N("&amp;$AA$18&amp;",1)")</f>
        <v>46240</v>
      </c>
      <c r="G445" s="282" t="str" cm="1">
        <f t="array" ref="G445">_xll.FDSB($C445,"CS_EVENT_TIME_N("&amp;$AA$18&amp;",1)")</f>
        <v>4:05 PM</v>
      </c>
      <c r="H445" s="282" t="str" cm="1">
        <f t="array" ref="H445">_xll.FDSB($C445,"CS_EVENT_DESC_N("&amp;$AA$18&amp;",1)")</f>
        <v>Q2 2026 Earnings Release</v>
      </c>
      <c r="I445" s="282"/>
      <c r="J445" s="274" cm="1">
        <f t="array" ref="J445">_xll.FDSB($C445,"CS_EVENT_DATEJ_N("&amp;$AB$18&amp;",1)")</f>
        <v>46241</v>
      </c>
      <c r="K445" s="282" t="str" cm="1">
        <f t="array" ref="K445">_xll.FDSB($C445,"CS_EVENT_TIME_N("&amp;$AB$18&amp;",1)")</f>
        <v>8:00 AM</v>
      </c>
      <c r="L445" s="282" t="str" cm="1">
        <f t="array" ref="L445">_xll.FDSB($C445,"CS_EVENT_DESC_N("&amp;$AB$18&amp;",1)")</f>
        <v>Q2 2026 Earnings Call</v>
      </c>
      <c r="M445" s="300"/>
      <c r="N445" s="274" cm="1">
        <f t="array" ref="N445">_xll.FDSB($C445,"CS_EVENT_DATEJ_N("&amp;$AA$18&amp;",2)")</f>
        <v>46330</v>
      </c>
      <c r="O445" s="282" t="str" cm="1">
        <f t="array" ref="O445">_xll.FDSB($C445,"CS_EVENT_TIME_N("&amp;$AA$18&amp;",2)")</f>
        <v>4:05 PM</v>
      </c>
      <c r="P445" s="282" t="str" cm="1">
        <f t="array" ref="P445">_xll.FDSB($C445,"CS_EVENT_DESC_N("&amp;$AA$18&amp;",2)")</f>
        <v>Q3 2026 Earnings Release</v>
      </c>
      <c r="Q445" s="282"/>
      <c r="R445" s="274" cm="1">
        <f t="array" ref="R445">_xll.FDSB($C445,"CS_EVENT_DATEJ_N("&amp;$AA$18&amp;",3)")</f>
        <v>46421</v>
      </c>
      <c r="S445" s="282" t="str" cm="1">
        <f t="array" ref="S445">_xll.FDSB($C445,"CS_EVENT_TIME_N("&amp;$AA$18&amp;",3)")</f>
        <v>Unspecified</v>
      </c>
      <c r="T445" s="282" t="str" cm="1">
        <f t="array" ref="T445">_xll.FDSB($C445,"CS_EVENT_DESC_N("&amp;$AA$18&amp;",3)")</f>
        <v>Q4 2027 Earnings Release (Projected)</v>
      </c>
      <c r="U445" s="282"/>
      <c r="V445" s="274" cm="1">
        <f t="array" ref="V445">_xll.FDSB($C445,"CS_EVENT_DATEJ_N("&amp;$AA$18&amp;",4)")</f>
        <v>46505</v>
      </c>
      <c r="W445" s="282" t="str" cm="1">
        <f t="array" ref="W445">_xll.FDSB($C445,"CS_EVENT_TIME_N("&amp;$AA$18&amp;",4)")</f>
        <v>Unspecified</v>
      </c>
      <c r="X445" s="282" t="str" cm="1">
        <f t="array" ref="X445">_xll.FDSB($C445,"CS_EVENT_DESC_N("&amp;$AA$18&amp;",4)")</f>
        <v>Q1 2027 Earnings Release (Projected)</v>
      </c>
    </row>
    <row r="446" spans="2:24" x14ac:dyDescent="0.15">
      <c r="B446" s="298">
        <f t="shared" si="8"/>
        <v>431</v>
      </c>
      <c r="C446" s="299" t="str">
        <v>TTD</v>
      </c>
      <c r="D446" s="300" t="str" cm="1">
        <f t="array" ref="D446">_xll.FDSB($C446,"FG_COMPANY_NAME")</f>
        <v>Trade Desk, Inc. Class A</v>
      </c>
      <c r="E446" s="300"/>
      <c r="F446" s="274" cm="1">
        <f t="array" ref="F446">_xll.FDSB($C446,"CS_EVENT_DATEJ_N("&amp;$AA$18&amp;",1)")</f>
        <v>46240</v>
      </c>
      <c r="G446" s="282" t="str" cm="1">
        <f t="array" ref="G446">_xll.FDSB($C446,"CS_EVENT_TIME_N("&amp;$AA$18&amp;",1)")</f>
        <v>Unspecified</v>
      </c>
      <c r="H446" s="282" t="str" cm="1">
        <f t="array" ref="H446">_xll.FDSB($C446,"CS_EVENT_DESC_N("&amp;$AA$18&amp;",1)")</f>
        <v>Q2 2026 Earnings Release (Projected)</v>
      </c>
      <c r="I446" s="282"/>
      <c r="J446" s="274" t="str" cm="1">
        <f t="array" ref="J446">_xll.FDSB($C446,"CS_EVENT_DATEJ_N("&amp;$AB$18&amp;",1)")</f>
        <v/>
      </c>
      <c r="K446" s="282" t="str" cm="1">
        <f t="array" ref="K446">_xll.FDSB($C446,"CS_EVENT_TIME_N("&amp;$AB$18&amp;",1)")</f>
        <v/>
      </c>
      <c r="L446" s="282" t="str" cm="1">
        <f t="array" ref="L446">_xll.FDSB($C446,"CS_EVENT_DESC_N("&amp;$AB$18&amp;",1)")</f>
        <v/>
      </c>
      <c r="M446" s="300"/>
      <c r="N446" s="274" cm="1">
        <f t="array" ref="N446">_xll.FDSB($C446,"CS_EVENT_DATEJ_N("&amp;$AA$18&amp;",2)")</f>
        <v>46331</v>
      </c>
      <c r="O446" s="282" t="str" cm="1">
        <f t="array" ref="O446">_xll.FDSB($C446,"CS_EVENT_TIME_N("&amp;$AA$18&amp;",2)")</f>
        <v>Unspecified</v>
      </c>
      <c r="P446" s="282" t="str" cm="1">
        <f t="array" ref="P446">_xll.FDSB($C446,"CS_EVENT_DESC_N("&amp;$AA$18&amp;",2)")</f>
        <v>Q3 2026 Earnings Release (Projected)</v>
      </c>
      <c r="Q446" s="282"/>
      <c r="R446" s="274" cm="1">
        <f t="array" ref="R446">_xll.FDSB($C446,"CS_EVENT_DATEJ_N("&amp;$AA$18&amp;",3)")</f>
        <v>46435</v>
      </c>
      <c r="S446" s="282" t="str" cm="1">
        <f t="array" ref="S446">_xll.FDSB($C446,"CS_EVENT_TIME_N("&amp;$AA$18&amp;",3)")</f>
        <v>Unspecified</v>
      </c>
      <c r="T446" s="282" t="str" cm="1">
        <f t="array" ref="T446">_xll.FDSB($C446,"CS_EVENT_DESC_N("&amp;$AA$18&amp;",3)")</f>
        <v>Q4 2026 Earnings Release (Projected)</v>
      </c>
      <c r="U446" s="282"/>
      <c r="V446" s="274" t="str" cm="1">
        <f t="array" ref="V446">_xll.FDSB($C446,"CS_EVENT_DATEJ_N("&amp;$AA$18&amp;",4)")</f>
        <v/>
      </c>
      <c r="W446" s="282" t="str" cm="1">
        <f t="array" ref="W446">_xll.FDSB($C446,"CS_EVENT_TIME_N("&amp;$AA$18&amp;",4)")</f>
        <v/>
      </c>
      <c r="X446" s="282" t="str" cm="1">
        <f t="array" ref="X446">_xll.FDSB($C446,"CS_EVENT_DESC_N("&amp;$AA$18&amp;",4)")</f>
        <v/>
      </c>
    </row>
    <row r="447" spans="2:24" x14ac:dyDescent="0.15">
      <c r="B447" s="298">
        <f t="shared" si="8"/>
        <v>432</v>
      </c>
      <c r="C447" s="299" t="str">
        <v>PODD</v>
      </c>
      <c r="D447" s="300" t="str" cm="1">
        <f t="array" ref="D447">_xll.FDSB($C447,"FG_COMPANY_NAME")</f>
        <v>Insulet Corporation</v>
      </c>
      <c r="E447" s="300"/>
      <c r="F447" s="274" cm="1">
        <f t="array" ref="F447">_xll.FDSB($C447,"CS_EVENT_DATEJ_N("&amp;$AA$18&amp;",1)")</f>
        <v>46240</v>
      </c>
      <c r="G447" s="282" t="str" cm="1">
        <f t="array" ref="G447">_xll.FDSB($C447,"CS_EVENT_TIME_N("&amp;$AA$18&amp;",1)")</f>
        <v>Unspecified</v>
      </c>
      <c r="H447" s="282" t="str" cm="1">
        <f t="array" ref="H447">_xll.FDSB($C447,"CS_EVENT_DESC_N("&amp;$AA$18&amp;",1)")</f>
        <v>Q2 2026 Earnings Release (Projected)</v>
      </c>
      <c r="I447" s="282"/>
      <c r="J447" s="274" t="str" cm="1">
        <f t="array" ref="J447">_xll.FDSB($C447,"CS_EVENT_DATEJ_N("&amp;$AB$18&amp;",1)")</f>
        <v/>
      </c>
      <c r="K447" s="282" t="str" cm="1">
        <f t="array" ref="K447">_xll.FDSB($C447,"CS_EVENT_TIME_N("&amp;$AB$18&amp;",1)")</f>
        <v/>
      </c>
      <c r="L447" s="282" t="str" cm="1">
        <f t="array" ref="L447">_xll.FDSB($C447,"CS_EVENT_DESC_N("&amp;$AB$18&amp;",1)")</f>
        <v/>
      </c>
      <c r="M447" s="300"/>
      <c r="N447" s="274" cm="1">
        <f t="array" ref="N447">_xll.FDSB($C447,"CS_EVENT_DATEJ_N("&amp;$AA$18&amp;",2)")</f>
        <v>46324</v>
      </c>
      <c r="O447" s="282" t="str" cm="1">
        <f t="array" ref="O447">_xll.FDSB($C447,"CS_EVENT_TIME_N("&amp;$AA$18&amp;",2)")</f>
        <v>Unspecified</v>
      </c>
      <c r="P447" s="282" t="str" cm="1">
        <f t="array" ref="P447">_xll.FDSB($C447,"CS_EVENT_DESC_N("&amp;$AA$18&amp;",2)")</f>
        <v>Q3 2026 Earnings Release (Projected)</v>
      </c>
      <c r="Q447" s="282"/>
      <c r="R447" s="274" cm="1">
        <f t="array" ref="R447">_xll.FDSB($C447,"CS_EVENT_DATEJ_N("&amp;$AA$18&amp;",3)")</f>
        <v>46443</v>
      </c>
      <c r="S447" s="282" t="str" cm="1">
        <f t="array" ref="S447">_xll.FDSB($C447,"CS_EVENT_TIME_N("&amp;$AA$18&amp;",3)")</f>
        <v>Unspecified</v>
      </c>
      <c r="T447" s="282" t="str" cm="1">
        <f t="array" ref="T447">_xll.FDSB($C447,"CS_EVENT_DESC_N("&amp;$AA$18&amp;",3)")</f>
        <v>Q4 2026 Earnings Release (Projected)</v>
      </c>
      <c r="U447" s="282"/>
      <c r="V447" s="274" cm="1">
        <f t="array" ref="V447">_xll.FDSB($C447,"CS_EVENT_DATEJ_N("&amp;$AA$18&amp;",4)")</f>
        <v>46513</v>
      </c>
      <c r="W447" s="282" t="str" cm="1">
        <f t="array" ref="W447">_xll.FDSB($C447,"CS_EVENT_TIME_N("&amp;$AA$18&amp;",4)")</f>
        <v>Unspecified</v>
      </c>
      <c r="X447" s="282" t="str" cm="1">
        <f t="array" ref="X447">_xll.FDSB($C447,"CS_EVENT_DESC_N("&amp;$AA$18&amp;",4)")</f>
        <v>Q1 2027 Earnings Release (Projected)</v>
      </c>
    </row>
    <row r="448" spans="2:24" x14ac:dyDescent="0.15">
      <c r="B448" s="298">
        <f t="shared" si="8"/>
        <v>433</v>
      </c>
      <c r="C448" s="299" t="str">
        <v>NWS</v>
      </c>
      <c r="D448" s="300" t="str" cm="1">
        <f t="array" ref="D448">_xll.FDSB($C448,"FG_COMPANY_NAME")</f>
        <v>News Corporation Class B</v>
      </c>
      <c r="E448" s="300"/>
      <c r="F448" s="274" cm="1">
        <f t="array" ref="F448">_xll.FDSB($C448,"CS_EVENT_DATEJ_N("&amp;$AA$18&amp;",1)")</f>
        <v>46240</v>
      </c>
      <c r="G448" s="282" t="str" cm="1">
        <f t="array" ref="G448">_xll.FDSB($C448,"CS_EVENT_TIME_N("&amp;$AA$18&amp;",1)")</f>
        <v>Unspecified</v>
      </c>
      <c r="H448" s="282" t="str" cm="1">
        <f t="array" ref="H448">_xll.FDSB($C448,"CS_EVENT_DESC_N("&amp;$AA$18&amp;",1)")</f>
        <v>Q4 2026 Earnings Release (Projected)</v>
      </c>
      <c r="I448" s="282"/>
      <c r="J448" s="274" t="str" cm="1">
        <f t="array" ref="J448">_xll.FDSB($C448,"CS_EVENT_DATEJ_N("&amp;$AB$18&amp;",1)")</f>
        <v/>
      </c>
      <c r="K448" s="282" t="str" cm="1">
        <f t="array" ref="K448">_xll.FDSB($C448,"CS_EVENT_TIME_N("&amp;$AB$18&amp;",1)")</f>
        <v/>
      </c>
      <c r="L448" s="282" t="str" cm="1">
        <f t="array" ref="L448">_xll.FDSB($C448,"CS_EVENT_DESC_N("&amp;$AB$18&amp;",1)")</f>
        <v/>
      </c>
      <c r="M448" s="300"/>
      <c r="N448" s="274" cm="1">
        <f t="array" ref="N448">_xll.FDSB($C448,"CS_EVENT_DATEJ_N("&amp;$AA$18&amp;",2)")</f>
        <v>46331</v>
      </c>
      <c r="O448" s="282" t="str" cm="1">
        <f t="array" ref="O448">_xll.FDSB($C448,"CS_EVENT_TIME_N("&amp;$AA$18&amp;",2)")</f>
        <v>Unspecified</v>
      </c>
      <c r="P448" s="282" t="str" cm="1">
        <f t="array" ref="P448">_xll.FDSB($C448,"CS_EVENT_DESC_N("&amp;$AA$18&amp;",2)")</f>
        <v>Q1 2027 Earnings Release (Projected)</v>
      </c>
      <c r="Q448" s="282"/>
      <c r="R448" s="274" cm="1">
        <f t="array" ref="R448">_xll.FDSB($C448,"CS_EVENT_DATEJ_N("&amp;$AA$18&amp;",3)")</f>
        <v>46429</v>
      </c>
      <c r="S448" s="282" t="str" cm="1">
        <f t="array" ref="S448">_xll.FDSB($C448,"CS_EVENT_TIME_N("&amp;$AA$18&amp;",3)")</f>
        <v>Unspecified</v>
      </c>
      <c r="T448" s="282" t="str" cm="1">
        <f t="array" ref="T448">_xll.FDSB($C448,"CS_EVENT_DESC_N("&amp;$AA$18&amp;",3)")</f>
        <v>Q2 2027 Earnings Release (Projected)</v>
      </c>
      <c r="U448" s="282"/>
      <c r="V448" s="274" cm="1">
        <f t="array" ref="V448">_xll.FDSB($C448,"CS_EVENT_DATEJ_N("&amp;$AA$18&amp;",4)")</f>
        <v>46520</v>
      </c>
      <c r="W448" s="282" t="str" cm="1">
        <f t="array" ref="W448">_xll.FDSB($C448,"CS_EVENT_TIME_N("&amp;$AA$18&amp;",4)")</f>
        <v>Unspecified</v>
      </c>
      <c r="X448" s="282" t="str" cm="1">
        <f t="array" ref="X448">_xll.FDSB($C448,"CS_EVENT_DESC_N("&amp;$AA$18&amp;",4)")</f>
        <v>Q3 2027 Earnings Release (Projected)</v>
      </c>
    </row>
    <row r="449" spans="2:24" x14ac:dyDescent="0.15">
      <c r="B449" s="298">
        <f t="shared" si="8"/>
        <v>434</v>
      </c>
      <c r="C449" s="299" t="str">
        <v>VST</v>
      </c>
      <c r="D449" s="300" t="str" cm="1">
        <f t="array" ref="D449">_xll.FDSB($C449,"FG_COMPANY_NAME")</f>
        <v>Vistra Corp.</v>
      </c>
      <c r="E449" s="300"/>
      <c r="F449" s="274" cm="1">
        <f t="array" ref="F449">_xll.FDSB($C449,"CS_EVENT_DATEJ_N("&amp;$AA$18&amp;",1)")</f>
        <v>46240</v>
      </c>
      <c r="G449" s="282" t="str" cm="1">
        <f t="array" ref="G449">_xll.FDSB($C449,"CS_EVENT_TIME_N("&amp;$AA$18&amp;",1)")</f>
        <v>Unspecified</v>
      </c>
      <c r="H449" s="282" t="str" cm="1">
        <f t="array" ref="H449">_xll.FDSB($C449,"CS_EVENT_DESC_N("&amp;$AA$18&amp;",1)")</f>
        <v>Q2 2026 Earnings Release (Projected)</v>
      </c>
      <c r="I449" s="282"/>
      <c r="J449" s="274" t="str" cm="1">
        <f t="array" ref="J449">_xll.FDSB($C449,"CS_EVENT_DATEJ_N("&amp;$AB$18&amp;",1)")</f>
        <v/>
      </c>
      <c r="K449" s="282" t="str" cm="1">
        <f t="array" ref="K449">_xll.FDSB($C449,"CS_EVENT_TIME_N("&amp;$AB$18&amp;",1)")</f>
        <v/>
      </c>
      <c r="L449" s="282" t="str" cm="1">
        <f t="array" ref="L449">_xll.FDSB($C449,"CS_EVENT_DESC_N("&amp;$AB$18&amp;",1)")</f>
        <v/>
      </c>
      <c r="M449" s="300"/>
      <c r="N449" s="274" cm="1">
        <f t="array" ref="N449">_xll.FDSB($C449,"CS_EVENT_DATEJ_N("&amp;$AA$18&amp;",2)")</f>
        <v>46331</v>
      </c>
      <c r="O449" s="282" t="str" cm="1">
        <f t="array" ref="O449">_xll.FDSB($C449,"CS_EVENT_TIME_N("&amp;$AA$18&amp;",2)")</f>
        <v>Unspecified</v>
      </c>
      <c r="P449" s="282" t="str" cm="1">
        <f t="array" ref="P449">_xll.FDSB($C449,"CS_EVENT_DESC_N("&amp;$AA$18&amp;",2)")</f>
        <v>Q3 2026 Earnings Release (Projected)</v>
      </c>
      <c r="Q449" s="282"/>
      <c r="R449" s="274" cm="1">
        <f t="array" ref="R449">_xll.FDSB($C449,"CS_EVENT_DATEJ_N("&amp;$AA$18&amp;",3)")</f>
        <v>46449</v>
      </c>
      <c r="S449" s="282" t="str" cm="1">
        <f t="array" ref="S449">_xll.FDSB($C449,"CS_EVENT_TIME_N("&amp;$AA$18&amp;",3)")</f>
        <v>Unspecified</v>
      </c>
      <c r="T449" s="282" t="str" cm="1">
        <f t="array" ref="T449">_xll.FDSB($C449,"CS_EVENT_DESC_N("&amp;$AA$18&amp;",3)")</f>
        <v>Q4 2026 Earnings Release (Projected)</v>
      </c>
      <c r="U449" s="282"/>
      <c r="V449" s="274" cm="1">
        <f t="array" ref="V449">_xll.FDSB($C449,"CS_EVENT_DATEJ_N("&amp;$AA$18&amp;",4)")</f>
        <v>46519</v>
      </c>
      <c r="W449" s="282" t="str" cm="1">
        <f t="array" ref="W449">_xll.FDSB($C449,"CS_EVENT_TIME_N("&amp;$AA$18&amp;",4)")</f>
        <v>Unspecified</v>
      </c>
      <c r="X449" s="282" t="str" cm="1">
        <f t="array" ref="X449">_xll.FDSB($C449,"CS_EVENT_DESC_N("&amp;$AA$18&amp;",4)")</f>
        <v>Q1 2027 Earnings Release (Projected)</v>
      </c>
    </row>
    <row r="450" spans="2:24" x14ac:dyDescent="0.15">
      <c r="B450" s="298">
        <f t="shared" si="8"/>
        <v>435</v>
      </c>
      <c r="C450" s="299" t="str">
        <v>NWSA</v>
      </c>
      <c r="D450" s="300" t="str" cm="1">
        <f t="array" ref="D450">_xll.FDSB($C450,"FG_COMPANY_NAME")</f>
        <v>News Corporation Class A</v>
      </c>
      <c r="E450" s="300"/>
      <c r="F450" s="274" cm="1">
        <f t="array" ref="F450">_xll.FDSB($C450,"CS_EVENT_DATEJ_N("&amp;$AA$18&amp;",1)")</f>
        <v>46240</v>
      </c>
      <c r="G450" s="282" t="str" cm="1">
        <f t="array" ref="G450">_xll.FDSB($C450,"CS_EVENT_TIME_N("&amp;$AA$18&amp;",1)")</f>
        <v>Unspecified</v>
      </c>
      <c r="H450" s="282" t="str" cm="1">
        <f t="array" ref="H450">_xll.FDSB($C450,"CS_EVENT_DESC_N("&amp;$AA$18&amp;",1)")</f>
        <v>Q4 2026 Earnings Release (Projected)</v>
      </c>
      <c r="I450" s="282"/>
      <c r="J450" s="274" t="str" cm="1">
        <f t="array" ref="J450">_xll.FDSB($C450,"CS_EVENT_DATEJ_N("&amp;$AB$18&amp;",1)")</f>
        <v/>
      </c>
      <c r="K450" s="282" t="str" cm="1">
        <f t="array" ref="K450">_xll.FDSB($C450,"CS_EVENT_TIME_N("&amp;$AB$18&amp;",1)")</f>
        <v/>
      </c>
      <c r="L450" s="282" t="str" cm="1">
        <f t="array" ref="L450">_xll.FDSB($C450,"CS_EVENT_DESC_N("&amp;$AB$18&amp;",1)")</f>
        <v/>
      </c>
      <c r="M450" s="300"/>
      <c r="N450" s="274" cm="1">
        <f t="array" ref="N450">_xll.FDSB($C450,"CS_EVENT_DATEJ_N("&amp;$AA$18&amp;",2)")</f>
        <v>46331</v>
      </c>
      <c r="O450" s="282" t="str" cm="1">
        <f t="array" ref="O450">_xll.FDSB($C450,"CS_EVENT_TIME_N("&amp;$AA$18&amp;",2)")</f>
        <v>Unspecified</v>
      </c>
      <c r="P450" s="282" t="str" cm="1">
        <f t="array" ref="P450">_xll.FDSB($C450,"CS_EVENT_DESC_N("&amp;$AA$18&amp;",2)")</f>
        <v>Q1 2027 Earnings Release (Projected)</v>
      </c>
      <c r="Q450" s="282"/>
      <c r="R450" s="274" cm="1">
        <f t="array" ref="R450">_xll.FDSB($C450,"CS_EVENT_DATEJ_N("&amp;$AA$18&amp;",3)")</f>
        <v>46429</v>
      </c>
      <c r="S450" s="282" t="str" cm="1">
        <f t="array" ref="S450">_xll.FDSB($C450,"CS_EVENT_TIME_N("&amp;$AA$18&amp;",3)")</f>
        <v>Unspecified</v>
      </c>
      <c r="T450" s="282" t="str" cm="1">
        <f t="array" ref="T450">_xll.FDSB($C450,"CS_EVENT_DESC_N("&amp;$AA$18&amp;",3)")</f>
        <v>Q2 2027 Earnings Release (Projected)</v>
      </c>
      <c r="U450" s="282"/>
      <c r="V450" s="274" cm="1">
        <f t="array" ref="V450">_xll.FDSB($C450,"CS_EVENT_DATEJ_N("&amp;$AA$18&amp;",4)")</f>
        <v>46520</v>
      </c>
      <c r="W450" s="282" t="str" cm="1">
        <f t="array" ref="W450">_xll.FDSB($C450,"CS_EVENT_TIME_N("&amp;$AA$18&amp;",4)")</f>
        <v>Unspecified</v>
      </c>
      <c r="X450" s="282" t="str" cm="1">
        <f t="array" ref="X450">_xll.FDSB($C450,"CS_EVENT_DESC_N("&amp;$AA$18&amp;",4)")</f>
        <v>Q3 2027 Earnings Release (Projected)</v>
      </c>
    </row>
    <row r="451" spans="2:24" x14ac:dyDescent="0.15">
      <c r="B451" s="298">
        <f t="shared" si="8"/>
        <v>436</v>
      </c>
      <c r="C451" s="299" t="str">
        <v>DDOG</v>
      </c>
      <c r="D451" s="300" t="str" cm="1">
        <f t="array" ref="D451">_xll.FDSB($C451,"FG_COMPANY_NAME")</f>
        <v>Datadog, Inc. Class A</v>
      </c>
      <c r="E451" s="300"/>
      <c r="F451" s="274" cm="1">
        <f t="array" ref="F451">_xll.FDSB($C451,"CS_EVENT_DATEJ_N("&amp;$AA$18&amp;",1)")</f>
        <v>46240</v>
      </c>
      <c r="G451" s="282" t="str" cm="1">
        <f t="array" ref="G451">_xll.FDSB($C451,"CS_EVENT_TIME_N("&amp;$AA$18&amp;",1)")</f>
        <v>Unspecified</v>
      </c>
      <c r="H451" s="282" t="str" cm="1">
        <f t="array" ref="H451">_xll.FDSB($C451,"CS_EVENT_DESC_N("&amp;$AA$18&amp;",1)")</f>
        <v>Q2 2026 Earnings Release (Projected)</v>
      </c>
      <c r="I451" s="282"/>
      <c r="J451" s="274" t="str" cm="1">
        <f t="array" ref="J451">_xll.FDSB($C451,"CS_EVENT_DATEJ_N("&amp;$AB$18&amp;",1)")</f>
        <v/>
      </c>
      <c r="K451" s="282" t="str" cm="1">
        <f t="array" ref="K451">_xll.FDSB($C451,"CS_EVENT_TIME_N("&amp;$AB$18&amp;",1)")</f>
        <v/>
      </c>
      <c r="L451" s="282" t="str" cm="1">
        <f t="array" ref="L451">_xll.FDSB($C451,"CS_EVENT_DESC_N("&amp;$AB$18&amp;",1)")</f>
        <v/>
      </c>
      <c r="M451" s="300"/>
      <c r="N451" s="274" cm="1">
        <f t="array" ref="N451">_xll.FDSB($C451,"CS_EVENT_DATEJ_N("&amp;$AA$18&amp;",2)")</f>
        <v>46331</v>
      </c>
      <c r="O451" s="282" t="str" cm="1">
        <f t="array" ref="O451">_xll.FDSB($C451,"CS_EVENT_TIME_N("&amp;$AA$18&amp;",2)")</f>
        <v>Unspecified</v>
      </c>
      <c r="P451" s="282" t="str" cm="1">
        <f t="array" ref="P451">_xll.FDSB($C451,"CS_EVENT_DESC_N("&amp;$AA$18&amp;",2)")</f>
        <v>Q3 2026 Earnings Release (Projected)</v>
      </c>
      <c r="Q451" s="282"/>
      <c r="R451" s="274" cm="1">
        <f t="array" ref="R451">_xll.FDSB($C451,"CS_EVENT_DATEJ_N("&amp;$AA$18&amp;",3)")</f>
        <v>46436</v>
      </c>
      <c r="S451" s="282" t="str" cm="1">
        <f t="array" ref="S451">_xll.FDSB($C451,"CS_EVENT_TIME_N("&amp;$AA$18&amp;",3)")</f>
        <v>Unspecified</v>
      </c>
      <c r="T451" s="282" t="str" cm="1">
        <f t="array" ref="T451">_xll.FDSB($C451,"CS_EVENT_DESC_N("&amp;$AA$18&amp;",3)")</f>
        <v>Q4 2026 Earnings Release (Projected)</v>
      </c>
      <c r="U451" s="282"/>
      <c r="V451" s="274" cm="1">
        <f t="array" ref="V451">_xll.FDSB($C451,"CS_EVENT_DATEJ_N("&amp;$AA$18&amp;",4)")</f>
        <v>46513</v>
      </c>
      <c r="W451" s="282" t="str" cm="1">
        <f t="array" ref="W451">_xll.FDSB($C451,"CS_EVENT_TIME_N("&amp;$AA$18&amp;",4)")</f>
        <v>Unspecified</v>
      </c>
      <c r="X451" s="282" t="str" cm="1">
        <f t="array" ref="X451">_xll.FDSB($C451,"CS_EVENT_DESC_N("&amp;$AA$18&amp;",4)")</f>
        <v>Q1 2027 Earnings Release (Projected)</v>
      </c>
    </row>
    <row r="452" spans="2:24" x14ac:dyDescent="0.15">
      <c r="B452" s="298">
        <f t="shared" si="8"/>
        <v>437</v>
      </c>
      <c r="C452" s="299" t="str">
        <v>TKO</v>
      </c>
      <c r="D452" s="300" t="str" cm="1">
        <f t="array" ref="D452">_xll.FDSB($C452,"FG_COMPANY_NAME")</f>
        <v>TKO Group Holdings, Inc. Class A</v>
      </c>
      <c r="E452" s="300"/>
      <c r="F452" s="274" cm="1">
        <f t="array" ref="F452">_xll.FDSB($C452,"CS_EVENT_DATEJ_N("&amp;$AA$18&amp;",1)")</f>
        <v>46240</v>
      </c>
      <c r="G452" s="282" t="str" cm="1">
        <f t="array" ref="G452">_xll.FDSB($C452,"CS_EVENT_TIME_N("&amp;$AA$18&amp;",1)")</f>
        <v>Unspecified</v>
      </c>
      <c r="H452" s="282" t="str" cm="1">
        <f t="array" ref="H452">_xll.FDSB($C452,"CS_EVENT_DESC_N("&amp;$AA$18&amp;",1)")</f>
        <v>Q2 2026 Earnings Release (Projected)</v>
      </c>
      <c r="I452" s="282"/>
      <c r="J452" s="274" t="str" cm="1">
        <f t="array" ref="J452">_xll.FDSB($C452,"CS_EVENT_DATEJ_N("&amp;$AB$18&amp;",1)")</f>
        <v/>
      </c>
      <c r="K452" s="282" t="str" cm="1">
        <f t="array" ref="K452">_xll.FDSB($C452,"CS_EVENT_TIME_N("&amp;$AB$18&amp;",1)")</f>
        <v/>
      </c>
      <c r="L452" s="282" t="str" cm="1">
        <f t="array" ref="L452">_xll.FDSB($C452,"CS_EVENT_DESC_N("&amp;$AB$18&amp;",1)")</f>
        <v/>
      </c>
      <c r="M452" s="300"/>
      <c r="N452" s="274" cm="1">
        <f t="array" ref="N452">_xll.FDSB($C452,"CS_EVENT_DATEJ_N("&amp;$AA$18&amp;",2)")</f>
        <v>46337</v>
      </c>
      <c r="O452" s="282" t="str" cm="1">
        <f t="array" ref="O452">_xll.FDSB($C452,"CS_EVENT_TIME_N("&amp;$AA$18&amp;",2)")</f>
        <v>Unspecified</v>
      </c>
      <c r="P452" s="282" t="str" cm="1">
        <f t="array" ref="P452">_xll.FDSB($C452,"CS_EVENT_DESC_N("&amp;$AA$18&amp;",2)")</f>
        <v>Q3 2026 Earnings Release (Projected)</v>
      </c>
      <c r="Q452" s="282"/>
      <c r="R452" s="274" cm="1">
        <f t="array" ref="R452">_xll.FDSB($C452,"CS_EVENT_DATEJ_N("&amp;$AA$18&amp;",3)")</f>
        <v>46449</v>
      </c>
      <c r="S452" s="282" t="str" cm="1">
        <f t="array" ref="S452">_xll.FDSB($C452,"CS_EVENT_TIME_N("&amp;$AA$18&amp;",3)")</f>
        <v>Unspecified</v>
      </c>
      <c r="T452" s="282" t="str" cm="1">
        <f t="array" ref="T452">_xll.FDSB($C452,"CS_EVENT_DESC_N("&amp;$AA$18&amp;",3)")</f>
        <v>Q4 2026 Earnings Release (Projected)</v>
      </c>
      <c r="U452" s="282"/>
      <c r="V452" s="274" cm="1">
        <f t="array" ref="V452">_xll.FDSB($C452,"CS_EVENT_DATEJ_N("&amp;$AA$18&amp;",4)")</f>
        <v>46519</v>
      </c>
      <c r="W452" s="282" t="str" cm="1">
        <f t="array" ref="W452">_xll.FDSB($C452,"CS_EVENT_TIME_N("&amp;$AA$18&amp;",4)")</f>
        <v>Unspecified</v>
      </c>
      <c r="X452" s="282" t="str" cm="1">
        <f t="array" ref="X452">_xll.FDSB($C452,"CS_EVENT_DESC_N("&amp;$AA$18&amp;",4)")</f>
        <v>Q1 2027 Earnings Release (Projected)</v>
      </c>
    </row>
    <row r="453" spans="2:24" x14ac:dyDescent="0.15">
      <c r="B453" s="298">
        <f t="shared" si="8"/>
        <v>438</v>
      </c>
      <c r="C453" s="299" t="str">
        <v>SOLV</v>
      </c>
      <c r="D453" s="300" t="str" cm="1">
        <f t="array" ref="D453">_xll.FDSB($C453,"FG_COMPANY_NAME")</f>
        <v>Solventum Corporation</v>
      </c>
      <c r="E453" s="300"/>
      <c r="F453" s="274" cm="1">
        <f t="array" ref="F453">_xll.FDSB($C453,"CS_EVENT_DATEJ_N("&amp;$AA$18&amp;",1)")</f>
        <v>46240</v>
      </c>
      <c r="G453" s="282" t="str" cm="1">
        <f t="array" ref="G453">_xll.FDSB($C453,"CS_EVENT_TIME_N("&amp;$AA$18&amp;",1)")</f>
        <v>Unspecified</v>
      </c>
      <c r="H453" s="282" t="str" cm="1">
        <f t="array" ref="H453">_xll.FDSB($C453,"CS_EVENT_DESC_N("&amp;$AA$18&amp;",1)")</f>
        <v>Q2 2026 Earnings Release (Projected)</v>
      </c>
      <c r="I453" s="282"/>
      <c r="J453" s="274" t="str" cm="1">
        <f t="array" ref="J453">_xll.FDSB($C453,"CS_EVENT_DATEJ_N("&amp;$AB$18&amp;",1)")</f>
        <v/>
      </c>
      <c r="K453" s="282" t="str" cm="1">
        <f t="array" ref="K453">_xll.FDSB($C453,"CS_EVENT_TIME_N("&amp;$AB$18&amp;",1)")</f>
        <v/>
      </c>
      <c r="L453" s="282" t="str" cm="1">
        <f t="array" ref="L453">_xll.FDSB($C453,"CS_EVENT_DESC_N("&amp;$AB$18&amp;",1)")</f>
        <v/>
      </c>
      <c r="M453" s="300"/>
      <c r="N453" s="274" cm="1">
        <f t="array" ref="N453">_xll.FDSB($C453,"CS_EVENT_DATEJ_N("&amp;$AA$18&amp;",2)")</f>
        <v>46331</v>
      </c>
      <c r="O453" s="282" t="str" cm="1">
        <f t="array" ref="O453">_xll.FDSB($C453,"CS_EVENT_TIME_N("&amp;$AA$18&amp;",2)")</f>
        <v>Unspecified</v>
      </c>
      <c r="P453" s="282" t="str" cm="1">
        <f t="array" ref="P453">_xll.FDSB($C453,"CS_EVENT_DESC_N("&amp;$AA$18&amp;",2)")</f>
        <v>Q3 2026 Earnings Release (Projected)</v>
      </c>
      <c r="Q453" s="282"/>
      <c r="R453" s="274" cm="1">
        <f t="array" ref="R453">_xll.FDSB($C453,"CS_EVENT_DATEJ_N("&amp;$AA$18&amp;",3)")</f>
        <v>46450</v>
      </c>
      <c r="S453" s="282" t="str" cm="1">
        <f t="array" ref="S453">_xll.FDSB($C453,"CS_EVENT_TIME_N("&amp;$AA$18&amp;",3)")</f>
        <v>Unspecified</v>
      </c>
      <c r="T453" s="282" t="str" cm="1">
        <f t="array" ref="T453">_xll.FDSB($C453,"CS_EVENT_DESC_N("&amp;$AA$18&amp;",3)")</f>
        <v>Q4 2026 Earnings Release (Projected)</v>
      </c>
      <c r="U453" s="282"/>
      <c r="V453" s="274" cm="1">
        <f t="array" ref="V453">_xll.FDSB($C453,"CS_EVENT_DATEJ_N("&amp;$AA$18&amp;",4)")</f>
        <v>46520</v>
      </c>
      <c r="W453" s="282" t="str" cm="1">
        <f t="array" ref="W453">_xll.FDSB($C453,"CS_EVENT_TIME_N("&amp;$AA$18&amp;",4)")</f>
        <v>Unspecified</v>
      </c>
      <c r="X453" s="282" t="str" cm="1">
        <f t="array" ref="X453">_xll.FDSB($C453,"CS_EVENT_DESC_N("&amp;$AA$18&amp;",4)")</f>
        <v>Q1 2027 Earnings Release (Projected)</v>
      </c>
    </row>
    <row r="454" spans="2:24" x14ac:dyDescent="0.15">
      <c r="B454" s="298">
        <f t="shared" si="8"/>
        <v>439</v>
      </c>
      <c r="C454" s="299" t="str">
        <v>WMB</v>
      </c>
      <c r="D454" s="300" t="str" cm="1">
        <f t="array" ref="D454">_xll.FDSB($C454,"FG_COMPANY_NAME")</f>
        <v>Williams Companies, Inc.</v>
      </c>
      <c r="E454" s="300"/>
      <c r="F454" s="274" cm="1">
        <f t="array" ref="F454">_xll.FDSB($C454,"CS_EVENT_DATEJ_N("&amp;$AA$18&amp;",1)")</f>
        <v>46244</v>
      </c>
      <c r="G454" s="282" t="str" cm="1">
        <f t="array" ref="G454">_xll.FDSB($C454,"CS_EVENT_TIME_N("&amp;$AA$18&amp;",1)")</f>
        <v>Unspecified</v>
      </c>
      <c r="H454" s="282" t="str" cm="1">
        <f t="array" ref="H454">_xll.FDSB($C454,"CS_EVENT_DESC_N("&amp;$AA$18&amp;",1)")</f>
        <v>Q2 2026 Earnings Release (Projected)</v>
      </c>
      <c r="I454" s="282"/>
      <c r="J454" s="274" t="str" cm="1">
        <f t="array" ref="J454">_xll.FDSB($C454,"CS_EVENT_DATEJ_N("&amp;$AB$18&amp;",1)")</f>
        <v/>
      </c>
      <c r="K454" s="282" t="str" cm="1">
        <f t="array" ref="K454">_xll.FDSB($C454,"CS_EVENT_TIME_N("&amp;$AB$18&amp;",1)")</f>
        <v/>
      </c>
      <c r="L454" s="282" t="str" cm="1">
        <f t="array" ref="L454">_xll.FDSB($C454,"CS_EVENT_DESC_N("&amp;$AB$18&amp;",1)")</f>
        <v/>
      </c>
      <c r="M454" s="300"/>
      <c r="N454" s="274" cm="1">
        <f t="array" ref="N454">_xll.FDSB($C454,"CS_EVENT_DATEJ_N("&amp;$AA$18&amp;",2)")</f>
        <v>46328</v>
      </c>
      <c r="O454" s="282" t="str" cm="1">
        <f t="array" ref="O454">_xll.FDSB($C454,"CS_EVENT_TIME_N("&amp;$AA$18&amp;",2)")</f>
        <v>Unspecified</v>
      </c>
      <c r="P454" s="282" t="str" cm="1">
        <f t="array" ref="P454">_xll.FDSB($C454,"CS_EVENT_DESC_N("&amp;$AA$18&amp;",2)")</f>
        <v>Q3 2026 Earnings Release (Projected)</v>
      </c>
      <c r="Q454" s="282"/>
      <c r="R454" s="274" cm="1">
        <f t="array" ref="R454">_xll.FDSB($C454,"CS_EVENT_DATEJ_N("&amp;$AA$18&amp;",3)")</f>
        <v>46440</v>
      </c>
      <c r="S454" s="282" t="str" cm="1">
        <f t="array" ref="S454">_xll.FDSB($C454,"CS_EVENT_TIME_N("&amp;$AA$18&amp;",3)")</f>
        <v>Unspecified</v>
      </c>
      <c r="T454" s="282" t="str" cm="1">
        <f t="array" ref="T454">_xll.FDSB($C454,"CS_EVENT_DESC_N("&amp;$AA$18&amp;",3)")</f>
        <v>Q4 2026 Earnings Release (Projected)</v>
      </c>
      <c r="U454" s="282"/>
      <c r="V454" s="274" cm="1">
        <f t="array" ref="V454">_xll.FDSB($C454,"CS_EVENT_DATEJ_N("&amp;$AA$18&amp;",4)")</f>
        <v>46510</v>
      </c>
      <c r="W454" s="282" t="str" cm="1">
        <f t="array" ref="W454">_xll.FDSB($C454,"CS_EVENT_TIME_N("&amp;$AA$18&amp;",4)")</f>
        <v>Unspecified</v>
      </c>
      <c r="X454" s="282" t="str" cm="1">
        <f t="array" ref="X454">_xll.FDSB($C454,"CS_EVENT_DESC_N("&amp;$AA$18&amp;",4)")</f>
        <v>Q1 2027 Earnings Release (Projected)</v>
      </c>
    </row>
    <row r="455" spans="2:24" x14ac:dyDescent="0.15">
      <c r="B455" s="298">
        <f t="shared" si="8"/>
        <v>440</v>
      </c>
      <c r="C455" s="299" t="str">
        <v>OKE</v>
      </c>
      <c r="D455" s="300" t="str" cm="1">
        <f t="array" ref="D455">_xll.FDSB($C455,"FG_COMPANY_NAME")</f>
        <v>ONEOK, Inc.</v>
      </c>
      <c r="E455" s="300"/>
      <c r="F455" s="274" cm="1">
        <f t="array" ref="F455">_xll.FDSB($C455,"CS_EVENT_DATEJ_N("&amp;$AA$18&amp;",1)")</f>
        <v>46244</v>
      </c>
      <c r="G455" s="282" t="str" cm="1">
        <f t="array" ref="G455">_xll.FDSB($C455,"CS_EVENT_TIME_N("&amp;$AA$18&amp;",1)")</f>
        <v>Unspecified</v>
      </c>
      <c r="H455" s="282" t="str" cm="1">
        <f t="array" ref="H455">_xll.FDSB($C455,"CS_EVENT_DESC_N("&amp;$AA$18&amp;",1)")</f>
        <v>Q2 2026 Earnings Release (Projected)</v>
      </c>
      <c r="I455" s="282"/>
      <c r="J455" s="274" t="str" cm="1">
        <f t="array" ref="J455">_xll.FDSB($C455,"CS_EVENT_DATEJ_N("&amp;$AB$18&amp;",1)")</f>
        <v/>
      </c>
      <c r="K455" s="282" t="str" cm="1">
        <f t="array" ref="K455">_xll.FDSB($C455,"CS_EVENT_TIME_N("&amp;$AB$18&amp;",1)")</f>
        <v/>
      </c>
      <c r="L455" s="282" t="str" cm="1">
        <f t="array" ref="L455">_xll.FDSB($C455,"CS_EVENT_DESC_N("&amp;$AB$18&amp;",1)")</f>
        <v/>
      </c>
      <c r="M455" s="300"/>
      <c r="N455" s="274" cm="1">
        <f t="array" ref="N455">_xll.FDSB($C455,"CS_EVENT_DATEJ_N("&amp;$AA$18&amp;",2)")</f>
        <v>46329</v>
      </c>
      <c r="O455" s="282" t="str" cm="1">
        <f t="array" ref="O455">_xll.FDSB($C455,"CS_EVENT_TIME_N("&amp;$AA$18&amp;",2)")</f>
        <v>Unspecified</v>
      </c>
      <c r="P455" s="282" t="str" cm="1">
        <f t="array" ref="P455">_xll.FDSB($C455,"CS_EVENT_DESC_N("&amp;$AA$18&amp;",2)")</f>
        <v>Q3 2026 Earnings Release (Projected)</v>
      </c>
      <c r="Q455" s="282"/>
      <c r="R455" s="274" cm="1">
        <f t="array" ref="R455">_xll.FDSB($C455,"CS_EVENT_DATEJ_N("&amp;$AA$18&amp;",3)")</f>
        <v>46447</v>
      </c>
      <c r="S455" s="282" t="str" cm="1">
        <f t="array" ref="S455">_xll.FDSB($C455,"CS_EVENT_TIME_N("&amp;$AA$18&amp;",3)")</f>
        <v>Unspecified</v>
      </c>
      <c r="T455" s="282" t="str" cm="1">
        <f t="array" ref="T455">_xll.FDSB($C455,"CS_EVENT_DESC_N("&amp;$AA$18&amp;",3)")</f>
        <v>Q4 2026 Earnings Release (Projected)</v>
      </c>
      <c r="U455" s="282"/>
      <c r="V455" s="274" cm="1">
        <f t="array" ref="V455">_xll.FDSB($C455,"CS_EVENT_DATEJ_N("&amp;$AA$18&amp;",4)")</f>
        <v>46511</v>
      </c>
      <c r="W455" s="282" t="str" cm="1">
        <f t="array" ref="W455">_xll.FDSB($C455,"CS_EVENT_TIME_N("&amp;$AA$18&amp;",4)")</f>
        <v>Unspecified</v>
      </c>
      <c r="X455" s="282" t="str" cm="1">
        <f t="array" ref="X455">_xll.FDSB($C455,"CS_EVENT_DESC_N("&amp;$AA$18&amp;",4)")</f>
        <v>Q1 2027 Earnings Release (Projected)</v>
      </c>
    </row>
    <row r="456" spans="2:24" x14ac:dyDescent="0.15">
      <c r="B456" s="298">
        <f t="shared" si="8"/>
        <v>441</v>
      </c>
      <c r="C456" s="299" t="str">
        <v>TSN</v>
      </c>
      <c r="D456" s="300" t="str" cm="1">
        <f t="array" ref="D456">_xll.FDSB($C456,"FG_COMPANY_NAME")</f>
        <v>Tyson Foods, Inc. Class A</v>
      </c>
      <c r="E456" s="300"/>
      <c r="F456" s="274" cm="1">
        <f t="array" ref="F456">_xll.FDSB($C456,"CS_EVENT_DATEJ_N("&amp;$AA$18&amp;",1)")</f>
        <v>46244</v>
      </c>
      <c r="G456" s="282" t="str" cm="1">
        <f t="array" ref="G456">_xll.FDSB($C456,"CS_EVENT_TIME_N("&amp;$AA$18&amp;",1)")</f>
        <v>Unspecified</v>
      </c>
      <c r="H456" s="282" t="str" cm="1">
        <f t="array" ref="H456">_xll.FDSB($C456,"CS_EVENT_DESC_N("&amp;$AA$18&amp;",1)")</f>
        <v>Q3 2026 Earnings Release (Projected)</v>
      </c>
      <c r="I456" s="282"/>
      <c r="J456" s="274" t="str" cm="1">
        <f t="array" ref="J456">_xll.FDSB($C456,"CS_EVENT_DATEJ_N("&amp;$AB$18&amp;",1)")</f>
        <v/>
      </c>
      <c r="K456" s="282" t="str" cm="1">
        <f t="array" ref="K456">_xll.FDSB($C456,"CS_EVENT_TIME_N("&amp;$AB$18&amp;",1)")</f>
        <v/>
      </c>
      <c r="L456" s="282" t="str" cm="1">
        <f t="array" ref="L456">_xll.FDSB($C456,"CS_EVENT_DESC_N("&amp;$AB$18&amp;",1)")</f>
        <v/>
      </c>
      <c r="M456" s="300"/>
      <c r="N456" s="274" cm="1">
        <f t="array" ref="N456">_xll.FDSB($C456,"CS_EVENT_DATEJ_N("&amp;$AA$18&amp;",2)")</f>
        <v>46342</v>
      </c>
      <c r="O456" s="282" t="str" cm="1">
        <f t="array" ref="O456">_xll.FDSB($C456,"CS_EVENT_TIME_N("&amp;$AA$18&amp;",2)")</f>
        <v>Unspecified</v>
      </c>
      <c r="P456" s="282" t="str" cm="1">
        <f t="array" ref="P456">_xll.FDSB($C456,"CS_EVENT_DESC_N("&amp;$AA$18&amp;",2)")</f>
        <v>Q4 2026 Earnings Release (Projected)</v>
      </c>
      <c r="Q456" s="282"/>
      <c r="R456" s="274" cm="1">
        <f t="array" ref="R456">_xll.FDSB($C456,"CS_EVENT_DATEJ_N("&amp;$AA$18&amp;",3)")</f>
        <v>46426</v>
      </c>
      <c r="S456" s="282" t="str" cm="1">
        <f t="array" ref="S456">_xll.FDSB($C456,"CS_EVENT_TIME_N("&amp;$AA$18&amp;",3)")</f>
        <v>Unspecified</v>
      </c>
      <c r="T456" s="282" t="str" cm="1">
        <f t="array" ref="T456">_xll.FDSB($C456,"CS_EVENT_DESC_N("&amp;$AA$18&amp;",3)")</f>
        <v>Q1 2027 Earnings Release (Projected)</v>
      </c>
      <c r="U456" s="282"/>
      <c r="V456" s="274" t="str" cm="1">
        <f t="array" ref="V456">_xll.FDSB($C456,"CS_EVENT_DATEJ_N("&amp;$AA$18&amp;",4)")</f>
        <v/>
      </c>
      <c r="W456" s="282" t="str" cm="1">
        <f t="array" ref="W456">_xll.FDSB($C456,"CS_EVENT_TIME_N("&amp;$AA$18&amp;",4)")</f>
        <v/>
      </c>
      <c r="X456" s="282" t="str" cm="1">
        <f t="array" ref="X456">_xll.FDSB($C456,"CS_EVENT_DESC_N("&amp;$AA$18&amp;",4)")</f>
        <v/>
      </c>
    </row>
    <row r="457" spans="2:24" x14ac:dyDescent="0.15">
      <c r="B457" s="298">
        <f t="shared" si="8"/>
        <v>442</v>
      </c>
      <c r="C457" s="299" t="str">
        <v>IFF</v>
      </c>
      <c r="D457" s="300" t="str" cm="1">
        <f t="array" ref="D457">_xll.FDSB($C457,"FG_COMPANY_NAME")</f>
        <v>International Flavors &amp; Fragrances Inc.</v>
      </c>
      <c r="E457" s="300"/>
      <c r="F457" s="274" cm="1">
        <f t="array" ref="F457">_xll.FDSB($C457,"CS_EVENT_DATEJ_N("&amp;$AA$18&amp;",1)")</f>
        <v>46244</v>
      </c>
      <c r="G457" s="282" t="str" cm="1">
        <f t="array" ref="G457">_xll.FDSB($C457,"CS_EVENT_TIME_N("&amp;$AA$18&amp;",1)")</f>
        <v>Unspecified</v>
      </c>
      <c r="H457" s="282" t="str" cm="1">
        <f t="array" ref="H457">_xll.FDSB($C457,"CS_EVENT_DESC_N("&amp;$AA$18&amp;",1)")</f>
        <v>Q2 2026 Earnings Release (Projected)</v>
      </c>
      <c r="I457" s="282"/>
      <c r="J457" s="274" t="str" cm="1">
        <f t="array" ref="J457">_xll.FDSB($C457,"CS_EVENT_DATEJ_N("&amp;$AB$18&amp;",1)")</f>
        <v/>
      </c>
      <c r="K457" s="282" t="str" cm="1">
        <f t="array" ref="K457">_xll.FDSB($C457,"CS_EVENT_TIME_N("&amp;$AB$18&amp;",1)")</f>
        <v/>
      </c>
      <c r="L457" s="282" t="str" cm="1">
        <f t="array" ref="L457">_xll.FDSB($C457,"CS_EVENT_DESC_N("&amp;$AB$18&amp;",1)")</f>
        <v/>
      </c>
      <c r="M457" s="300"/>
      <c r="N457" s="274" cm="1">
        <f t="array" ref="N457">_xll.FDSB($C457,"CS_EVENT_DATEJ_N("&amp;$AA$18&amp;",2)")</f>
        <v>46335</v>
      </c>
      <c r="O457" s="282" t="str" cm="1">
        <f t="array" ref="O457">_xll.FDSB($C457,"CS_EVENT_TIME_N("&amp;$AA$18&amp;",2)")</f>
        <v>Unspecified</v>
      </c>
      <c r="P457" s="282" t="str" cm="1">
        <f t="array" ref="P457">_xll.FDSB($C457,"CS_EVENT_DESC_N("&amp;$AA$18&amp;",2)")</f>
        <v>Q3 2026 Earnings Release (Projected)</v>
      </c>
      <c r="Q457" s="282"/>
      <c r="R457" s="274" cm="1">
        <f t="array" ref="R457">_xll.FDSB($C457,"CS_EVENT_DATEJ_N("&amp;$AA$18&amp;",3)")</f>
        <v>46428</v>
      </c>
      <c r="S457" s="282" t="str" cm="1">
        <f t="array" ref="S457">_xll.FDSB($C457,"CS_EVENT_TIME_N("&amp;$AA$18&amp;",3)")</f>
        <v>Unspecified</v>
      </c>
      <c r="T457" s="282" t="str" cm="1">
        <f t="array" ref="T457">_xll.FDSB($C457,"CS_EVENT_DESC_N("&amp;$AA$18&amp;",3)")</f>
        <v>Q4 2026 Earnings Release (Projected)</v>
      </c>
      <c r="U457" s="282"/>
      <c r="V457" s="274" cm="1">
        <f t="array" ref="V457">_xll.FDSB($C457,"CS_EVENT_DATEJ_N("&amp;$AA$18&amp;",4)")</f>
        <v>46517</v>
      </c>
      <c r="W457" s="282" t="str" cm="1">
        <f t="array" ref="W457">_xll.FDSB($C457,"CS_EVENT_TIME_N("&amp;$AA$18&amp;",4)")</f>
        <v>Unspecified</v>
      </c>
      <c r="X457" s="282" t="str" cm="1">
        <f t="array" ref="X457">_xll.FDSB($C457,"CS_EVENT_DESC_N("&amp;$AA$18&amp;",4)")</f>
        <v>Q1 2027 Earnings Release (Projected)</v>
      </c>
    </row>
    <row r="458" spans="2:24" x14ac:dyDescent="0.15">
      <c r="B458" s="298">
        <f t="shared" si="8"/>
        <v>443</v>
      </c>
      <c r="C458" s="299" t="str">
        <v>STE</v>
      </c>
      <c r="D458" s="300" t="str" cm="1">
        <f t="array" ref="D458">_xll.FDSB($C458,"FG_COMPANY_NAME")</f>
        <v>STERIS plc</v>
      </c>
      <c r="E458" s="300"/>
      <c r="F458" s="274" cm="1">
        <f t="array" ref="F458">_xll.FDSB($C458,"CS_EVENT_DATEJ_N("&amp;$AA$18&amp;",1)")</f>
        <v>46244</v>
      </c>
      <c r="G458" s="282" t="str" cm="1">
        <f t="array" ref="G458">_xll.FDSB($C458,"CS_EVENT_TIME_N("&amp;$AA$18&amp;",1)")</f>
        <v>Unspecified</v>
      </c>
      <c r="H458" s="282" t="str" cm="1">
        <f t="array" ref="H458">_xll.FDSB($C458,"CS_EVENT_DESC_N("&amp;$AA$18&amp;",1)")</f>
        <v>Q1 2027 Earnings Release (Projected)</v>
      </c>
      <c r="I458" s="282"/>
      <c r="J458" s="274" t="str" cm="1">
        <f t="array" ref="J458">_xll.FDSB($C458,"CS_EVENT_DATEJ_N("&amp;$AB$18&amp;",1)")</f>
        <v/>
      </c>
      <c r="K458" s="282" t="str" cm="1">
        <f t="array" ref="K458">_xll.FDSB($C458,"CS_EVENT_TIME_N("&amp;$AB$18&amp;",1)")</f>
        <v/>
      </c>
      <c r="L458" s="282" t="str" cm="1">
        <f t="array" ref="L458">_xll.FDSB($C458,"CS_EVENT_DESC_N("&amp;$AB$18&amp;",1)")</f>
        <v/>
      </c>
      <c r="M458" s="300"/>
      <c r="N458" s="274" cm="1">
        <f t="array" ref="N458">_xll.FDSB($C458,"CS_EVENT_DATEJ_N("&amp;$AA$18&amp;",2)")</f>
        <v>46428</v>
      </c>
      <c r="O458" s="282" t="str" cm="1">
        <f t="array" ref="O458">_xll.FDSB($C458,"CS_EVENT_TIME_N("&amp;$AA$18&amp;",2)")</f>
        <v>Unspecified</v>
      </c>
      <c r="P458" s="282" t="str" cm="1">
        <f t="array" ref="P458">_xll.FDSB($C458,"CS_EVENT_DESC_N("&amp;$AA$18&amp;",2)")</f>
        <v>Q3 2027 Earnings Release (Projected)</v>
      </c>
      <c r="Q458" s="282"/>
      <c r="R458" s="274" cm="1">
        <f t="array" ref="R458">_xll.FDSB($C458,"CS_EVENT_DATEJ_N("&amp;$AA$18&amp;",3)")</f>
        <v>46525</v>
      </c>
      <c r="S458" s="282" t="str" cm="1">
        <f t="array" ref="S458">_xll.FDSB($C458,"CS_EVENT_TIME_N("&amp;$AA$18&amp;",3)")</f>
        <v>Unspecified</v>
      </c>
      <c r="T458" s="282" t="str" cm="1">
        <f t="array" ref="T458">_xll.FDSB($C458,"CS_EVENT_DESC_N("&amp;$AA$18&amp;",3)")</f>
        <v>Q4 2027 Earnings Release (Projected)</v>
      </c>
      <c r="U458" s="282"/>
      <c r="V458" s="274" t="str" cm="1">
        <f t="array" ref="V458">_xll.FDSB($C458,"CS_EVENT_DATEJ_N("&amp;$AA$18&amp;",4)")</f>
        <v/>
      </c>
      <c r="W458" s="282" t="str" cm="1">
        <f t="array" ref="W458">_xll.FDSB($C458,"CS_EVENT_TIME_N("&amp;$AA$18&amp;",4)")</f>
        <v/>
      </c>
      <c r="X458" s="282" t="str" cm="1">
        <f t="array" ref="X458">_xll.FDSB($C458,"CS_EVENT_DESC_N("&amp;$AA$18&amp;",4)")</f>
        <v/>
      </c>
    </row>
    <row r="459" spans="2:24" x14ac:dyDescent="0.15">
      <c r="B459" s="298">
        <f t="shared" si="8"/>
        <v>444</v>
      </c>
      <c r="C459" s="299" t="str">
        <v>VTRS</v>
      </c>
      <c r="D459" s="300" t="str" cm="1">
        <f t="array" ref="D459">_xll.FDSB($C459,"FG_COMPANY_NAME")</f>
        <v>Viatris, Inc.</v>
      </c>
      <c r="E459" s="300"/>
      <c r="F459" s="274" cm="1">
        <f t="array" ref="F459">_xll.FDSB($C459,"CS_EVENT_DATEJ_N("&amp;$AA$18&amp;",1)")</f>
        <v>46244</v>
      </c>
      <c r="G459" s="282" t="str" cm="1">
        <f t="array" ref="G459">_xll.FDSB($C459,"CS_EVENT_TIME_N("&amp;$AA$18&amp;",1)")</f>
        <v>Unspecified</v>
      </c>
      <c r="H459" s="282" t="str" cm="1">
        <f t="array" ref="H459">_xll.FDSB($C459,"CS_EVENT_DESC_N("&amp;$AA$18&amp;",1)")</f>
        <v>Q2 2026 Earnings Release (Projected)</v>
      </c>
      <c r="I459" s="282"/>
      <c r="J459" s="274" t="str" cm="1">
        <f t="array" ref="J459">_xll.FDSB($C459,"CS_EVENT_DATEJ_N("&amp;$AB$18&amp;",1)")</f>
        <v/>
      </c>
      <c r="K459" s="282" t="str" cm="1">
        <f t="array" ref="K459">_xll.FDSB($C459,"CS_EVENT_TIME_N("&amp;$AB$18&amp;",1)")</f>
        <v/>
      </c>
      <c r="L459" s="282" t="str" cm="1">
        <f t="array" ref="L459">_xll.FDSB($C459,"CS_EVENT_DESC_N("&amp;$AB$18&amp;",1)")</f>
        <v/>
      </c>
      <c r="M459" s="300"/>
      <c r="N459" s="274" cm="1">
        <f t="array" ref="N459">_xll.FDSB($C459,"CS_EVENT_DATEJ_N("&amp;$AA$18&amp;",2)")</f>
        <v>46335</v>
      </c>
      <c r="O459" s="282" t="str" cm="1">
        <f t="array" ref="O459">_xll.FDSB($C459,"CS_EVENT_TIME_N("&amp;$AA$18&amp;",2)")</f>
        <v>Unspecified</v>
      </c>
      <c r="P459" s="282" t="str" cm="1">
        <f t="array" ref="P459">_xll.FDSB($C459,"CS_EVENT_DESC_N("&amp;$AA$18&amp;",2)")</f>
        <v>Q3 2026 Earnings Release (Projected)</v>
      </c>
      <c r="Q459" s="282"/>
      <c r="R459" s="274" cm="1">
        <f t="array" ref="R459">_xll.FDSB($C459,"CS_EVENT_DATEJ_N("&amp;$AA$18&amp;",3)")</f>
        <v>46447</v>
      </c>
      <c r="S459" s="282" t="str" cm="1">
        <f t="array" ref="S459">_xll.FDSB($C459,"CS_EVENT_TIME_N("&amp;$AA$18&amp;",3)")</f>
        <v>Unspecified</v>
      </c>
      <c r="T459" s="282" t="str" cm="1">
        <f t="array" ref="T459">_xll.FDSB($C459,"CS_EVENT_DESC_N("&amp;$AA$18&amp;",3)")</f>
        <v>Q4 2026 Earnings Release (Projected)</v>
      </c>
      <c r="U459" s="282"/>
      <c r="V459" s="274" t="str" cm="1">
        <f t="array" ref="V459">_xll.FDSB($C459,"CS_EVENT_DATEJ_N("&amp;$AA$18&amp;",4)")</f>
        <v/>
      </c>
      <c r="W459" s="282" t="str" cm="1">
        <f t="array" ref="W459">_xll.FDSB($C459,"CS_EVENT_TIME_N("&amp;$AA$18&amp;",4)")</f>
        <v/>
      </c>
      <c r="X459" s="282" t="str" cm="1">
        <f t="array" ref="X459">_xll.FDSB($C459,"CS_EVENT_DESC_N("&amp;$AA$18&amp;",4)")</f>
        <v/>
      </c>
    </row>
    <row r="460" spans="2:24" x14ac:dyDescent="0.15">
      <c r="B460" s="298">
        <f t="shared" si="8"/>
        <v>445</v>
      </c>
      <c r="C460" s="299" t="str">
        <v>PLTR</v>
      </c>
      <c r="D460" s="300" t="str" cm="1">
        <f t="array" ref="D460">_xll.FDSB($C460,"FG_COMPANY_NAME")</f>
        <v>Palantir Technologies Inc. Class A</v>
      </c>
      <c r="E460" s="300"/>
      <c r="F460" s="274" cm="1">
        <f t="array" ref="F460">_xll.FDSB($C460,"CS_EVENT_DATEJ_N("&amp;$AA$18&amp;",1)")</f>
        <v>46244</v>
      </c>
      <c r="G460" s="282" t="str" cm="1">
        <f t="array" ref="G460">_xll.FDSB($C460,"CS_EVENT_TIME_N("&amp;$AA$18&amp;",1)")</f>
        <v>Unspecified</v>
      </c>
      <c r="H460" s="282" t="str" cm="1">
        <f t="array" ref="H460">_xll.FDSB($C460,"CS_EVENT_DESC_N("&amp;$AA$18&amp;",1)")</f>
        <v>Q2 2026 Earnings Release (Projected)</v>
      </c>
      <c r="I460" s="282"/>
      <c r="J460" s="274" t="str" cm="1">
        <f t="array" ref="J460">_xll.FDSB($C460,"CS_EVENT_DATEJ_N("&amp;$AB$18&amp;",1)")</f>
        <v/>
      </c>
      <c r="K460" s="282" t="str" cm="1">
        <f t="array" ref="K460">_xll.FDSB($C460,"CS_EVENT_TIME_N("&amp;$AB$18&amp;",1)")</f>
        <v/>
      </c>
      <c r="L460" s="282" t="str" cm="1">
        <f t="array" ref="L460">_xll.FDSB($C460,"CS_EVENT_DESC_N("&amp;$AB$18&amp;",1)")</f>
        <v/>
      </c>
      <c r="M460" s="300"/>
      <c r="N460" s="274" cm="1">
        <f t="array" ref="N460">_xll.FDSB($C460,"CS_EVENT_DATEJ_N("&amp;$AA$18&amp;",2)")</f>
        <v>46335</v>
      </c>
      <c r="O460" s="282" t="str" cm="1">
        <f t="array" ref="O460">_xll.FDSB($C460,"CS_EVENT_TIME_N("&amp;$AA$18&amp;",2)")</f>
        <v>Unspecified</v>
      </c>
      <c r="P460" s="282" t="str" cm="1">
        <f t="array" ref="P460">_xll.FDSB($C460,"CS_EVENT_DESC_N("&amp;$AA$18&amp;",2)")</f>
        <v>Q3 2026 Earnings Release (Projected)</v>
      </c>
      <c r="Q460" s="282"/>
      <c r="R460" s="274" cm="1">
        <f t="array" ref="R460">_xll.FDSB($C460,"CS_EVENT_DATEJ_N("&amp;$AA$18&amp;",3)")</f>
        <v>46435</v>
      </c>
      <c r="S460" s="282" t="str" cm="1">
        <f t="array" ref="S460">_xll.FDSB($C460,"CS_EVENT_TIME_N("&amp;$AA$18&amp;",3)")</f>
        <v>Unspecified</v>
      </c>
      <c r="T460" s="282" t="str" cm="1">
        <f t="array" ref="T460">_xll.FDSB($C460,"CS_EVENT_DESC_N("&amp;$AA$18&amp;",3)")</f>
        <v>Q4 2026 Earnings Release (Projected)</v>
      </c>
      <c r="U460" s="282"/>
      <c r="V460" s="274" cm="1">
        <f t="array" ref="V460">_xll.FDSB($C460,"CS_EVENT_DATEJ_N("&amp;$AA$18&amp;",4)")</f>
        <v>46517</v>
      </c>
      <c r="W460" s="282" t="str" cm="1">
        <f t="array" ref="W460">_xll.FDSB($C460,"CS_EVENT_TIME_N("&amp;$AA$18&amp;",4)")</f>
        <v>Unspecified</v>
      </c>
      <c r="X460" s="282" t="str" cm="1">
        <f t="array" ref="X460">_xll.FDSB($C460,"CS_EVENT_DESC_N("&amp;$AA$18&amp;",4)")</f>
        <v>Q1 2027 Earnings Release (Projected)</v>
      </c>
    </row>
    <row r="461" spans="2:24" x14ac:dyDescent="0.15">
      <c r="B461" s="298">
        <f t="shared" si="8"/>
        <v>446</v>
      </c>
      <c r="C461" s="299" t="str">
        <v>HSIC</v>
      </c>
      <c r="D461" s="300" t="str" cm="1">
        <f t="array" ref="D461">_xll.FDSB($C461,"FG_COMPANY_NAME")</f>
        <v>Henry Schein, Inc.</v>
      </c>
      <c r="E461" s="300"/>
      <c r="F461" s="274" cm="1">
        <f t="array" ref="F461">_xll.FDSB($C461,"CS_EVENT_DATEJ_N("&amp;$AA$18&amp;",1)")</f>
        <v>46245</v>
      </c>
      <c r="G461" s="282" t="str" cm="1">
        <f t="array" ref="G461">_xll.FDSB($C461,"CS_EVENT_TIME_N("&amp;$AA$18&amp;",1)")</f>
        <v>Unspecified</v>
      </c>
      <c r="H461" s="282" t="str" cm="1">
        <f t="array" ref="H461">_xll.FDSB($C461,"CS_EVENT_DESC_N("&amp;$AA$18&amp;",1)")</f>
        <v>Q2 2026 Earnings Release (Projected)</v>
      </c>
      <c r="I461" s="282"/>
      <c r="J461" s="274" t="str" cm="1">
        <f t="array" ref="J461">_xll.FDSB($C461,"CS_EVENT_DATEJ_N("&amp;$AB$18&amp;",1)")</f>
        <v/>
      </c>
      <c r="K461" s="282" t="str" cm="1">
        <f t="array" ref="K461">_xll.FDSB($C461,"CS_EVENT_TIME_N("&amp;$AB$18&amp;",1)")</f>
        <v/>
      </c>
      <c r="L461" s="282" t="str" cm="1">
        <f t="array" ref="L461">_xll.FDSB($C461,"CS_EVENT_DESC_N("&amp;$AB$18&amp;",1)")</f>
        <v/>
      </c>
      <c r="M461" s="300"/>
      <c r="N461" s="274" cm="1">
        <f t="array" ref="N461">_xll.FDSB($C461,"CS_EVENT_DATEJ_N("&amp;$AA$18&amp;",2)")</f>
        <v>46329</v>
      </c>
      <c r="O461" s="282" t="str" cm="1">
        <f t="array" ref="O461">_xll.FDSB($C461,"CS_EVENT_TIME_N("&amp;$AA$18&amp;",2)")</f>
        <v>Unspecified</v>
      </c>
      <c r="P461" s="282" t="str" cm="1">
        <f t="array" ref="P461">_xll.FDSB($C461,"CS_EVENT_DESC_N("&amp;$AA$18&amp;",2)")</f>
        <v>Q3 2026 Earnings Release (Projected)</v>
      </c>
      <c r="Q461" s="282"/>
      <c r="R461" s="274" cm="1">
        <f t="array" ref="R461">_xll.FDSB($C461,"CS_EVENT_DATEJ_N("&amp;$AA$18&amp;",3)")</f>
        <v>46448</v>
      </c>
      <c r="S461" s="282" t="str" cm="1">
        <f t="array" ref="S461">_xll.FDSB($C461,"CS_EVENT_TIME_N("&amp;$AA$18&amp;",3)")</f>
        <v>Unspecified</v>
      </c>
      <c r="T461" s="282" t="str" cm="1">
        <f t="array" ref="T461">_xll.FDSB($C461,"CS_EVENT_DESC_N("&amp;$AA$18&amp;",3)")</f>
        <v>Q4 2026 Earnings Release (Projected)</v>
      </c>
      <c r="U461" s="282"/>
      <c r="V461" s="274" cm="1">
        <f t="array" ref="V461">_xll.FDSB($C461,"CS_EVENT_DATEJ_N("&amp;$AA$18&amp;",4)")</f>
        <v>46518</v>
      </c>
      <c r="W461" s="282" t="str" cm="1">
        <f t="array" ref="W461">_xll.FDSB($C461,"CS_EVENT_TIME_N("&amp;$AA$18&amp;",4)")</f>
        <v>Unspecified</v>
      </c>
      <c r="X461" s="282" t="str" cm="1">
        <f t="array" ref="X461">_xll.FDSB($C461,"CS_EVENT_DESC_N("&amp;$AA$18&amp;",4)")</f>
        <v>Q1 2027 Earnings Release (Projected)</v>
      </c>
    </row>
    <row r="462" spans="2:24" x14ac:dyDescent="0.15">
      <c r="B462" s="298">
        <f t="shared" si="8"/>
        <v>447</v>
      </c>
      <c r="C462" s="299" t="str">
        <v>TECH</v>
      </c>
      <c r="D462" s="300" t="str" cm="1">
        <f t="array" ref="D462">_xll.FDSB($C462,"FG_COMPANY_NAME")</f>
        <v>Bio-Techne Corporation</v>
      </c>
      <c r="E462" s="300"/>
      <c r="F462" s="274" cm="1">
        <f t="array" ref="F462">_xll.FDSB($C462,"CS_EVENT_DATEJ_N("&amp;$AA$18&amp;",1)")</f>
        <v>46245</v>
      </c>
      <c r="G462" s="282" t="str" cm="1">
        <f t="array" ref="G462">_xll.FDSB($C462,"CS_EVENT_TIME_N("&amp;$AA$18&amp;",1)")</f>
        <v>Unspecified</v>
      </c>
      <c r="H462" s="282" t="str" cm="1">
        <f t="array" ref="H462">_xll.FDSB($C462,"CS_EVENT_DESC_N("&amp;$AA$18&amp;",1)")</f>
        <v>Q4 2026 Earnings Release (Projected)</v>
      </c>
      <c r="I462" s="282"/>
      <c r="J462" s="274" t="str" cm="1">
        <f t="array" ref="J462">_xll.FDSB($C462,"CS_EVENT_DATEJ_N("&amp;$AB$18&amp;",1)")</f>
        <v/>
      </c>
      <c r="K462" s="282" t="str" cm="1">
        <f t="array" ref="K462">_xll.FDSB($C462,"CS_EVENT_TIME_N("&amp;$AB$18&amp;",1)")</f>
        <v/>
      </c>
      <c r="L462" s="282" t="str" cm="1">
        <f t="array" ref="L462">_xll.FDSB($C462,"CS_EVENT_DESC_N("&amp;$AB$18&amp;",1)")</f>
        <v/>
      </c>
      <c r="M462" s="300"/>
      <c r="N462" s="274" cm="1">
        <f t="array" ref="N462">_xll.FDSB($C462,"CS_EVENT_DATEJ_N("&amp;$AA$18&amp;",2)")</f>
        <v>46329</v>
      </c>
      <c r="O462" s="282" t="str" cm="1">
        <f t="array" ref="O462">_xll.FDSB($C462,"CS_EVENT_TIME_N("&amp;$AA$18&amp;",2)")</f>
        <v>Unspecified</v>
      </c>
      <c r="P462" s="282" t="str" cm="1">
        <f t="array" ref="P462">_xll.FDSB($C462,"CS_EVENT_DESC_N("&amp;$AA$18&amp;",2)")</f>
        <v>Q1 2027 Earnings Release (Projected)</v>
      </c>
      <c r="Q462" s="282"/>
      <c r="R462" s="274" cm="1">
        <f t="array" ref="R462">_xll.FDSB($C462,"CS_EVENT_DATEJ_N("&amp;$AA$18&amp;",3)")</f>
        <v>46420</v>
      </c>
      <c r="S462" s="282" t="str" cm="1">
        <f t="array" ref="S462">_xll.FDSB($C462,"CS_EVENT_TIME_N("&amp;$AA$18&amp;",3)")</f>
        <v>Unspecified</v>
      </c>
      <c r="T462" s="282" t="str" cm="1">
        <f t="array" ref="T462">_xll.FDSB($C462,"CS_EVENT_DESC_N("&amp;$AA$18&amp;",3)")</f>
        <v>Q2 2027 Earnings Release (Projected)</v>
      </c>
      <c r="U462" s="282"/>
      <c r="V462" s="274" cm="1">
        <f t="array" ref="V462">_xll.FDSB($C462,"CS_EVENT_DATEJ_N("&amp;$AA$18&amp;",4)")</f>
        <v>46512</v>
      </c>
      <c r="W462" s="282" t="str" cm="1">
        <f t="array" ref="W462">_xll.FDSB($C462,"CS_EVENT_TIME_N("&amp;$AA$18&amp;",4)")</f>
        <v>Unspecified</v>
      </c>
      <c r="X462" s="282" t="str" cm="1">
        <f t="array" ref="X462">_xll.FDSB($C462,"CS_EVENT_DESC_N("&amp;$AA$18&amp;",4)")</f>
        <v>Q3 2027 Earnings Release (Projected)</v>
      </c>
    </row>
    <row r="463" spans="2:24" x14ac:dyDescent="0.15">
      <c r="B463" s="298">
        <f t="shared" si="8"/>
        <v>448</v>
      </c>
      <c r="C463" s="299" t="str">
        <v>AXON</v>
      </c>
      <c r="D463" s="300" t="str" cm="1">
        <f t="array" ref="D463">_xll.FDSB($C463,"FG_COMPANY_NAME")</f>
        <v>Axon Enterprise Inc</v>
      </c>
      <c r="E463" s="300"/>
      <c r="F463" s="274" cm="1">
        <f t="array" ref="F463">_xll.FDSB($C463,"CS_EVENT_DATEJ_N("&amp;$AA$18&amp;",1)")</f>
        <v>46245</v>
      </c>
      <c r="G463" s="282" t="str" cm="1">
        <f t="array" ref="G463">_xll.FDSB($C463,"CS_EVENT_TIME_N("&amp;$AA$18&amp;",1)")</f>
        <v>Unspecified</v>
      </c>
      <c r="H463" s="282" t="str" cm="1">
        <f t="array" ref="H463">_xll.FDSB($C463,"CS_EVENT_DESC_N("&amp;$AA$18&amp;",1)")</f>
        <v>Q2 2026 Earnings Release (Projected)</v>
      </c>
      <c r="I463" s="282"/>
      <c r="J463" s="274" t="str" cm="1">
        <f t="array" ref="J463">_xll.FDSB($C463,"CS_EVENT_DATEJ_N("&amp;$AB$18&amp;",1)")</f>
        <v/>
      </c>
      <c r="K463" s="282" t="str" cm="1">
        <f t="array" ref="K463">_xll.FDSB($C463,"CS_EVENT_TIME_N("&amp;$AB$18&amp;",1)")</f>
        <v/>
      </c>
      <c r="L463" s="282" t="str" cm="1">
        <f t="array" ref="L463">_xll.FDSB($C463,"CS_EVENT_DESC_N("&amp;$AB$18&amp;",1)")</f>
        <v/>
      </c>
      <c r="M463" s="300"/>
      <c r="N463" s="274" cm="1">
        <f t="array" ref="N463">_xll.FDSB($C463,"CS_EVENT_DATEJ_N("&amp;$AA$18&amp;",2)")</f>
        <v>46336</v>
      </c>
      <c r="O463" s="282" t="str" cm="1">
        <f t="array" ref="O463">_xll.FDSB($C463,"CS_EVENT_TIME_N("&amp;$AA$18&amp;",2)")</f>
        <v>Unspecified</v>
      </c>
      <c r="P463" s="282" t="str" cm="1">
        <f t="array" ref="P463">_xll.FDSB($C463,"CS_EVENT_DESC_N("&amp;$AA$18&amp;",2)")</f>
        <v>Q3 2026 Earnings Release (Projected)</v>
      </c>
      <c r="Q463" s="282"/>
      <c r="R463" s="274" cm="1">
        <f t="array" ref="R463">_xll.FDSB($C463,"CS_EVENT_DATEJ_N("&amp;$AA$18&amp;",3)")</f>
        <v>46448</v>
      </c>
      <c r="S463" s="282" t="str" cm="1">
        <f t="array" ref="S463">_xll.FDSB($C463,"CS_EVENT_TIME_N("&amp;$AA$18&amp;",3)")</f>
        <v>Unspecified</v>
      </c>
      <c r="T463" s="282" t="str" cm="1">
        <f t="array" ref="T463">_xll.FDSB($C463,"CS_EVENT_DESC_N("&amp;$AA$18&amp;",3)")</f>
        <v>Q4 2026 Earnings Release (Projected)</v>
      </c>
      <c r="U463" s="282"/>
      <c r="V463" s="274" cm="1">
        <f t="array" ref="V463">_xll.FDSB($C463,"CS_EVENT_DATEJ_N("&amp;$AA$18&amp;",4)")</f>
        <v>46518</v>
      </c>
      <c r="W463" s="282" t="str" cm="1">
        <f t="array" ref="W463">_xll.FDSB($C463,"CS_EVENT_TIME_N("&amp;$AA$18&amp;",4)")</f>
        <v>Unspecified</v>
      </c>
      <c r="X463" s="282" t="str" cm="1">
        <f t="array" ref="X463">_xll.FDSB($C463,"CS_EVENT_DESC_N("&amp;$AA$18&amp;",4)")</f>
        <v>Q1 2027 Earnings Release (Projected)</v>
      </c>
    </row>
    <row r="464" spans="2:24" x14ac:dyDescent="0.15">
      <c r="B464" s="298">
        <f t="shared" si="8"/>
        <v>449</v>
      </c>
      <c r="C464" s="299" t="str">
        <v>AKAM</v>
      </c>
      <c r="D464" s="300" t="str" cm="1">
        <f t="array" ref="D464">_xll.FDSB($C464,"FG_COMPANY_NAME")</f>
        <v>Akamai Technologies, Inc.</v>
      </c>
      <c r="E464" s="300"/>
      <c r="F464" s="274" cm="1">
        <f t="array" ref="F464">_xll.FDSB($C464,"CS_EVENT_DATEJ_N("&amp;$AA$18&amp;",1)")</f>
        <v>46245</v>
      </c>
      <c r="G464" s="282" t="str" cm="1">
        <f t="array" ref="G464">_xll.FDSB($C464,"CS_EVENT_TIME_N("&amp;$AA$18&amp;",1)")</f>
        <v>Unspecified</v>
      </c>
      <c r="H464" s="282" t="str" cm="1">
        <f t="array" ref="H464">_xll.FDSB($C464,"CS_EVENT_DESC_N("&amp;$AA$18&amp;",1)")</f>
        <v>Q2 2026 Earnings Release (Projected)</v>
      </c>
      <c r="I464" s="282"/>
      <c r="J464" s="274" t="str" cm="1">
        <f t="array" ref="J464">_xll.FDSB($C464,"CS_EVENT_DATEJ_N("&amp;$AB$18&amp;",1)")</f>
        <v/>
      </c>
      <c r="K464" s="282" t="str" cm="1">
        <f t="array" ref="K464">_xll.FDSB($C464,"CS_EVENT_TIME_N("&amp;$AB$18&amp;",1)")</f>
        <v/>
      </c>
      <c r="L464" s="282" t="str" cm="1">
        <f t="array" ref="L464">_xll.FDSB($C464,"CS_EVENT_DESC_N("&amp;$AB$18&amp;",1)")</f>
        <v/>
      </c>
      <c r="M464" s="300"/>
      <c r="N464" s="274" cm="1">
        <f t="array" ref="N464">_xll.FDSB($C464,"CS_EVENT_DATEJ_N("&amp;$AA$18&amp;",2)")</f>
        <v>46336</v>
      </c>
      <c r="O464" s="282" t="str" cm="1">
        <f t="array" ref="O464">_xll.FDSB($C464,"CS_EVENT_TIME_N("&amp;$AA$18&amp;",2)")</f>
        <v>Unspecified</v>
      </c>
      <c r="P464" s="282" t="str" cm="1">
        <f t="array" ref="P464">_xll.FDSB($C464,"CS_EVENT_DESC_N("&amp;$AA$18&amp;",2)")</f>
        <v>Q3 2026 Earnings Release (Projected)</v>
      </c>
      <c r="Q464" s="282"/>
      <c r="R464" s="274" cm="1">
        <f t="array" ref="R464">_xll.FDSB($C464,"CS_EVENT_DATEJ_N("&amp;$AA$18&amp;",3)")</f>
        <v>46434</v>
      </c>
      <c r="S464" s="282" t="str" cm="1">
        <f t="array" ref="S464">_xll.FDSB($C464,"CS_EVENT_TIME_N("&amp;$AA$18&amp;",3)")</f>
        <v>Unspecified</v>
      </c>
      <c r="T464" s="282" t="str" cm="1">
        <f t="array" ref="T464">_xll.FDSB($C464,"CS_EVENT_DESC_N("&amp;$AA$18&amp;",3)")</f>
        <v>Q4 2026 Earnings Release (Projected)</v>
      </c>
      <c r="U464" s="282"/>
      <c r="V464" s="274" cm="1">
        <f t="array" ref="V464">_xll.FDSB($C464,"CS_EVENT_DATEJ_N("&amp;$AA$18&amp;",4)")</f>
        <v>46520</v>
      </c>
      <c r="W464" s="282" t="str" cm="1">
        <f t="array" ref="W464">_xll.FDSB($C464,"CS_EVENT_TIME_N("&amp;$AA$18&amp;",4)")</f>
        <v>Unspecified</v>
      </c>
      <c r="X464" s="282" t="str" cm="1">
        <f t="array" ref="X464">_xll.FDSB($C464,"CS_EVENT_DESC_N("&amp;$AA$18&amp;",4)")</f>
        <v>Q1 2027 Earnings Release (Projected)</v>
      </c>
    </row>
    <row r="465" spans="2:24" x14ac:dyDescent="0.15">
      <c r="B465" s="298">
        <f t="shared" si="8"/>
        <v>450</v>
      </c>
      <c r="C465" s="299" t="str">
        <v>EMR</v>
      </c>
      <c r="D465" s="300" t="str" cm="1">
        <f t="array" ref="D465">_xll.FDSB($C465,"FG_COMPANY_NAME")</f>
        <v>Emerson Electric Co.</v>
      </c>
      <c r="E465" s="300"/>
      <c r="F465" s="274" cm="1">
        <f t="array" ref="F465">_xll.FDSB($C465,"CS_EVENT_DATEJ_N("&amp;$AA$18&amp;",1)")</f>
        <v>46245</v>
      </c>
      <c r="G465" s="282" t="str" cm="1">
        <f t="array" ref="G465">_xll.FDSB($C465,"CS_EVENT_TIME_N("&amp;$AA$18&amp;",1)")</f>
        <v>Unspecified</v>
      </c>
      <c r="H465" s="282" t="str" cm="1">
        <f t="array" ref="H465">_xll.FDSB($C465,"CS_EVENT_DESC_N("&amp;$AA$18&amp;",1)")</f>
        <v>Q3 2026 Earnings Release (Projected)</v>
      </c>
      <c r="I465" s="282"/>
      <c r="J465" s="274" t="str" cm="1">
        <f t="array" ref="J465">_xll.FDSB($C465,"CS_EVENT_DATEJ_N("&amp;$AB$18&amp;",1)")</f>
        <v/>
      </c>
      <c r="K465" s="282" t="str" cm="1">
        <f t="array" ref="K465">_xll.FDSB($C465,"CS_EVENT_TIME_N("&amp;$AB$18&amp;",1)")</f>
        <v/>
      </c>
      <c r="L465" s="282" t="str" cm="1">
        <f t="array" ref="L465">_xll.FDSB($C465,"CS_EVENT_DESC_N("&amp;$AB$18&amp;",1)")</f>
        <v/>
      </c>
      <c r="M465" s="300"/>
      <c r="N465" s="274" cm="1">
        <f t="array" ref="N465">_xll.FDSB($C465,"CS_EVENT_DATEJ_N("&amp;$AA$18&amp;",2)")</f>
        <v>46336</v>
      </c>
      <c r="O465" s="282" t="str" cm="1">
        <f t="array" ref="O465">_xll.FDSB($C465,"CS_EVENT_TIME_N("&amp;$AA$18&amp;",2)")</f>
        <v>Unspecified</v>
      </c>
      <c r="P465" s="282" t="str" cm="1">
        <f t="array" ref="P465">_xll.FDSB($C465,"CS_EVENT_DESC_N("&amp;$AA$18&amp;",2)")</f>
        <v>Q4 2026 Earnings Release (Projected)</v>
      </c>
      <c r="Q465" s="282"/>
      <c r="R465" s="274" cm="1">
        <f t="array" ref="R465">_xll.FDSB($C465,"CS_EVENT_DATEJ_N("&amp;$AA$18&amp;",3)")</f>
        <v>46428</v>
      </c>
      <c r="S465" s="282" t="str" cm="1">
        <f t="array" ref="S465">_xll.FDSB($C465,"CS_EVENT_TIME_N("&amp;$AA$18&amp;",3)")</f>
        <v>Unspecified</v>
      </c>
      <c r="T465" s="282" t="str" cm="1">
        <f t="array" ref="T465">_xll.FDSB($C465,"CS_EVENT_DESC_N("&amp;$AA$18&amp;",3)")</f>
        <v>Q1 2027 Earnings Release (Projected)</v>
      </c>
      <c r="U465" s="282"/>
      <c r="V465" s="274" cm="1">
        <f t="array" ref="V465">_xll.FDSB($C465,"CS_EVENT_DATEJ_N("&amp;$AA$18&amp;",4)")</f>
        <v>46512</v>
      </c>
      <c r="W465" s="282" t="str" cm="1">
        <f t="array" ref="W465">_xll.FDSB($C465,"CS_EVENT_TIME_N("&amp;$AA$18&amp;",4)")</f>
        <v>Unspecified</v>
      </c>
      <c r="X465" s="282" t="str" cm="1">
        <f t="array" ref="X465">_xll.FDSB($C465,"CS_EVENT_DESC_N("&amp;$AA$18&amp;",4)")</f>
        <v>Q2 2027 Earnings Release (Projected)</v>
      </c>
    </row>
    <row r="466" spans="2:24" x14ac:dyDescent="0.15">
      <c r="B466" s="298">
        <f t="shared" ref="B466:B529" si="9">B465+1</f>
        <v>451</v>
      </c>
      <c r="C466" s="299" t="str">
        <v>WYNN</v>
      </c>
      <c r="D466" s="300" t="str" cm="1">
        <f t="array" ref="D466">_xll.FDSB($C466,"FG_COMPANY_NAME")</f>
        <v>Wynn Resorts, Limited</v>
      </c>
      <c r="E466" s="300"/>
      <c r="F466" s="274" cm="1">
        <f t="array" ref="F466">_xll.FDSB($C466,"CS_EVENT_DATEJ_N("&amp;$AA$18&amp;",1)")</f>
        <v>46245</v>
      </c>
      <c r="G466" s="282" t="str" cm="1">
        <f t="array" ref="G466">_xll.FDSB($C466,"CS_EVENT_TIME_N("&amp;$AA$18&amp;",1)")</f>
        <v>Unspecified</v>
      </c>
      <c r="H466" s="282" t="str" cm="1">
        <f t="array" ref="H466">_xll.FDSB($C466,"CS_EVENT_DESC_N("&amp;$AA$18&amp;",1)")</f>
        <v>Q2 2026 Earnings Release (Projected)</v>
      </c>
      <c r="I466" s="282"/>
      <c r="J466" s="274" t="str" cm="1">
        <f t="array" ref="J466">_xll.FDSB($C466,"CS_EVENT_DATEJ_N("&amp;$AB$18&amp;",1)")</f>
        <v/>
      </c>
      <c r="K466" s="282" t="str" cm="1">
        <f t="array" ref="K466">_xll.FDSB($C466,"CS_EVENT_TIME_N("&amp;$AB$18&amp;",1)")</f>
        <v/>
      </c>
      <c r="L466" s="282" t="str" cm="1">
        <f t="array" ref="L466">_xll.FDSB($C466,"CS_EVENT_DESC_N("&amp;$AB$18&amp;",1)")</f>
        <v/>
      </c>
      <c r="M466" s="300"/>
      <c r="N466" s="274" cm="1">
        <f t="array" ref="N466">_xll.FDSB($C466,"CS_EVENT_DATEJ_N("&amp;$AA$18&amp;",2)")</f>
        <v>46331</v>
      </c>
      <c r="O466" s="282" t="str" cm="1">
        <f t="array" ref="O466">_xll.FDSB($C466,"CS_EVENT_TIME_N("&amp;$AA$18&amp;",2)")</f>
        <v>Unspecified</v>
      </c>
      <c r="P466" s="282" t="str" cm="1">
        <f t="array" ref="P466">_xll.FDSB($C466,"CS_EVENT_DESC_N("&amp;$AA$18&amp;",2)")</f>
        <v>Q3 2026 Earnings Release (Projected)</v>
      </c>
      <c r="Q466" s="282"/>
      <c r="R466" s="274" cm="1">
        <f t="array" ref="R466">_xll.FDSB($C466,"CS_EVENT_DATEJ_N("&amp;$AA$18&amp;",3)")</f>
        <v>46436</v>
      </c>
      <c r="S466" s="282" t="str" cm="1">
        <f t="array" ref="S466">_xll.FDSB($C466,"CS_EVENT_TIME_N("&amp;$AA$18&amp;",3)")</f>
        <v>Unspecified</v>
      </c>
      <c r="T466" s="282" t="str" cm="1">
        <f t="array" ref="T466">_xll.FDSB($C466,"CS_EVENT_DESC_N("&amp;$AA$18&amp;",3)")</f>
        <v>Q4 2026 Earnings Release (Projected)</v>
      </c>
      <c r="U466" s="282"/>
      <c r="V466" s="274" cm="1">
        <f t="array" ref="V466">_xll.FDSB($C466,"CS_EVENT_DATEJ_N("&amp;$AA$18&amp;",4)")</f>
        <v>46518</v>
      </c>
      <c r="W466" s="282" t="str" cm="1">
        <f t="array" ref="W466">_xll.FDSB($C466,"CS_EVENT_TIME_N("&amp;$AA$18&amp;",4)")</f>
        <v>Unspecified</v>
      </c>
      <c r="X466" s="282" t="str" cm="1">
        <f t="array" ref="X466">_xll.FDSB($C466,"CS_EVENT_DESC_N("&amp;$AA$18&amp;",4)")</f>
        <v>Q1 2027 Earnings Release (Projected)</v>
      </c>
    </row>
    <row r="467" spans="2:24" x14ac:dyDescent="0.15">
      <c r="B467" s="298">
        <f t="shared" si="9"/>
        <v>452</v>
      </c>
      <c r="C467" s="299" t="str">
        <v>J</v>
      </c>
      <c r="D467" s="300" t="str" cm="1">
        <f t="array" ref="D467">_xll.FDSB($C467,"FG_COMPANY_NAME")</f>
        <v>Jacobs Solutions Inc.</v>
      </c>
      <c r="E467" s="300"/>
      <c r="F467" s="274" cm="1">
        <f t="array" ref="F467">_xll.FDSB($C467,"CS_EVENT_DATEJ_N("&amp;$AA$18&amp;",1)")</f>
        <v>46245</v>
      </c>
      <c r="G467" s="282" t="str" cm="1">
        <f t="array" ref="G467">_xll.FDSB($C467,"CS_EVENT_TIME_N("&amp;$AA$18&amp;",1)")</f>
        <v>Unspecified</v>
      </c>
      <c r="H467" s="282" t="str" cm="1">
        <f t="array" ref="H467">_xll.FDSB($C467,"CS_EVENT_DESC_N("&amp;$AA$18&amp;",1)")</f>
        <v>Q3 2026 Earnings Release (Projected)</v>
      </c>
      <c r="I467" s="282"/>
      <c r="J467" s="274" t="str" cm="1">
        <f t="array" ref="J467">_xll.FDSB($C467,"CS_EVENT_DATEJ_N("&amp;$AB$18&amp;",1)")</f>
        <v/>
      </c>
      <c r="K467" s="282" t="str" cm="1">
        <f t="array" ref="K467">_xll.FDSB($C467,"CS_EVENT_TIME_N("&amp;$AB$18&amp;",1)")</f>
        <v/>
      </c>
      <c r="L467" s="282" t="str" cm="1">
        <f t="array" ref="L467">_xll.FDSB($C467,"CS_EVENT_DESC_N("&amp;$AB$18&amp;",1)")</f>
        <v/>
      </c>
      <c r="M467" s="300"/>
      <c r="N467" s="274" cm="1">
        <f t="array" ref="N467">_xll.FDSB($C467,"CS_EVENT_DATEJ_N("&amp;$AA$18&amp;",2)")</f>
        <v>46350</v>
      </c>
      <c r="O467" s="282" t="str" cm="1">
        <f t="array" ref="O467">_xll.FDSB($C467,"CS_EVENT_TIME_N("&amp;$AA$18&amp;",2)")</f>
        <v>Unspecified</v>
      </c>
      <c r="P467" s="282" t="str" cm="1">
        <f t="array" ref="P467">_xll.FDSB($C467,"CS_EVENT_DESC_N("&amp;$AA$18&amp;",2)")</f>
        <v>Q4 2026 Earnings Release (Projected)</v>
      </c>
      <c r="Q467" s="282"/>
      <c r="R467" s="274" cm="1">
        <f t="array" ref="R467">_xll.FDSB($C467,"CS_EVENT_DATEJ_N("&amp;$AA$18&amp;",3)")</f>
        <v>46427</v>
      </c>
      <c r="S467" s="282" t="str" cm="1">
        <f t="array" ref="S467">_xll.FDSB($C467,"CS_EVENT_TIME_N("&amp;$AA$18&amp;",3)")</f>
        <v>Unspecified</v>
      </c>
      <c r="T467" s="282" t="str" cm="1">
        <f t="array" ref="T467">_xll.FDSB($C467,"CS_EVENT_DESC_N("&amp;$AA$18&amp;",3)")</f>
        <v>Q1 2027 Earnings Release (Projected)</v>
      </c>
      <c r="U467" s="282"/>
      <c r="V467" s="274" cm="1">
        <f t="array" ref="V467">_xll.FDSB($C467,"CS_EVENT_DATEJ_N("&amp;$AA$18&amp;",4)")</f>
        <v>46518</v>
      </c>
      <c r="W467" s="282" t="str" cm="1">
        <f t="array" ref="W467">_xll.FDSB($C467,"CS_EVENT_TIME_N("&amp;$AA$18&amp;",4)")</f>
        <v>Unspecified</v>
      </c>
      <c r="X467" s="282" t="str" cm="1">
        <f t="array" ref="X467">_xll.FDSB($C467,"CS_EVENT_DESC_N("&amp;$AA$18&amp;",4)")</f>
        <v>Q2 2027 Earnings Release (Projected)</v>
      </c>
    </row>
    <row r="468" spans="2:24" x14ac:dyDescent="0.15">
      <c r="B468" s="298">
        <f t="shared" si="9"/>
        <v>453</v>
      </c>
      <c r="C468" s="299" t="str">
        <v>TDG</v>
      </c>
      <c r="D468" s="300" t="str" cm="1">
        <f t="array" ref="D468">_xll.FDSB($C468,"FG_COMPANY_NAME")</f>
        <v>TransDigm Group Incorporated</v>
      </c>
      <c r="E468" s="300"/>
      <c r="F468" s="274" cm="1">
        <f t="array" ref="F468">_xll.FDSB($C468,"CS_EVENT_DATEJ_N("&amp;$AA$18&amp;",1)")</f>
        <v>46245</v>
      </c>
      <c r="G468" s="282" t="str" cm="1">
        <f t="array" ref="G468">_xll.FDSB($C468,"CS_EVENT_TIME_N("&amp;$AA$18&amp;",1)")</f>
        <v>Unspecified</v>
      </c>
      <c r="H468" s="282" t="str" cm="1">
        <f t="array" ref="H468">_xll.FDSB($C468,"CS_EVENT_DESC_N("&amp;$AA$18&amp;",1)")</f>
        <v>Q3 2026 Earnings Release (Projected)</v>
      </c>
      <c r="I468" s="282"/>
      <c r="J468" s="274" t="str" cm="1">
        <f t="array" ref="J468">_xll.FDSB($C468,"CS_EVENT_DATEJ_N("&amp;$AB$18&amp;",1)")</f>
        <v/>
      </c>
      <c r="K468" s="282" t="str" cm="1">
        <f t="array" ref="K468">_xll.FDSB($C468,"CS_EVENT_TIME_N("&amp;$AB$18&amp;",1)")</f>
        <v/>
      </c>
      <c r="L468" s="282" t="str" cm="1">
        <f t="array" ref="L468">_xll.FDSB($C468,"CS_EVENT_DESC_N("&amp;$AB$18&amp;",1)")</f>
        <v/>
      </c>
      <c r="M468" s="300"/>
      <c r="N468" s="274" cm="1">
        <f t="array" ref="N468">_xll.FDSB($C468,"CS_EVENT_DATEJ_N("&amp;$AA$18&amp;",2)")</f>
        <v>46344</v>
      </c>
      <c r="O468" s="282" t="str" cm="1">
        <f t="array" ref="O468">_xll.FDSB($C468,"CS_EVENT_TIME_N("&amp;$AA$18&amp;",2)")</f>
        <v>Unspecified</v>
      </c>
      <c r="P468" s="282" t="str" cm="1">
        <f t="array" ref="P468">_xll.FDSB($C468,"CS_EVENT_DESC_N("&amp;$AA$18&amp;",2)")</f>
        <v>Q4 2026 Earnings Release (Projected)</v>
      </c>
      <c r="Q468" s="282"/>
      <c r="R468" s="274" cm="1">
        <f t="array" ref="R468">_xll.FDSB($C468,"CS_EVENT_DATEJ_N("&amp;$AA$18&amp;",3)")</f>
        <v>46427</v>
      </c>
      <c r="S468" s="282" t="str" cm="1">
        <f t="array" ref="S468">_xll.FDSB($C468,"CS_EVENT_TIME_N("&amp;$AA$18&amp;",3)")</f>
        <v>Unspecified</v>
      </c>
      <c r="T468" s="282" t="str" cm="1">
        <f t="array" ref="T468">_xll.FDSB($C468,"CS_EVENT_DESC_N("&amp;$AA$18&amp;",3)")</f>
        <v>Q1 2027 Earnings Release (Projected)</v>
      </c>
      <c r="U468" s="282"/>
      <c r="V468" s="274" cm="1">
        <f t="array" ref="V468">_xll.FDSB($C468,"CS_EVENT_DATEJ_N("&amp;$AA$18&amp;",4)")</f>
        <v>46518</v>
      </c>
      <c r="W468" s="282" t="str" cm="1">
        <f t="array" ref="W468">_xll.FDSB($C468,"CS_EVENT_TIME_N("&amp;$AA$18&amp;",4)")</f>
        <v>Unspecified</v>
      </c>
      <c r="X468" s="282" t="str" cm="1">
        <f t="array" ref="X468">_xll.FDSB($C468,"CS_EVENT_DESC_N("&amp;$AA$18&amp;",4)")</f>
        <v>Q2 2027 Earnings Release (Projected)</v>
      </c>
    </row>
    <row r="469" spans="2:24" x14ac:dyDescent="0.15">
      <c r="B469" s="298">
        <f t="shared" si="9"/>
        <v>454</v>
      </c>
      <c r="C469" s="299" t="str">
        <v>DUK</v>
      </c>
      <c r="D469" s="300" t="str" cm="1">
        <f t="array" ref="D469">_xll.FDSB($C469,"FG_COMPANY_NAME")</f>
        <v>Duke Energy Corporation</v>
      </c>
      <c r="E469" s="300"/>
      <c r="F469" s="274" cm="1">
        <f t="array" ref="F469">_xll.FDSB($C469,"CS_EVENT_DATEJ_N("&amp;$AA$18&amp;",1)")</f>
        <v>46245</v>
      </c>
      <c r="G469" s="282" t="str" cm="1">
        <f t="array" ref="G469">_xll.FDSB($C469,"CS_EVENT_TIME_N("&amp;$AA$18&amp;",1)")</f>
        <v>Unspecified</v>
      </c>
      <c r="H469" s="282" t="str" cm="1">
        <f t="array" ref="H469">_xll.FDSB($C469,"CS_EVENT_DESC_N("&amp;$AA$18&amp;",1)")</f>
        <v>Q2 2026 Earnings Release (Projected)</v>
      </c>
      <c r="I469" s="282"/>
      <c r="J469" s="274" t="str" cm="1">
        <f t="array" ref="J469">_xll.FDSB($C469,"CS_EVENT_DATEJ_N("&amp;$AB$18&amp;",1)")</f>
        <v/>
      </c>
      <c r="K469" s="282" t="str" cm="1">
        <f t="array" ref="K469">_xll.FDSB($C469,"CS_EVENT_TIME_N("&amp;$AB$18&amp;",1)")</f>
        <v/>
      </c>
      <c r="L469" s="282" t="str" cm="1">
        <f t="array" ref="L469">_xll.FDSB($C469,"CS_EVENT_DESC_N("&amp;$AB$18&amp;",1)")</f>
        <v/>
      </c>
      <c r="M469" s="300"/>
      <c r="N469" s="274" cm="1">
        <f t="array" ref="N469">_xll.FDSB($C469,"CS_EVENT_DATEJ_N("&amp;$AA$18&amp;",2)")</f>
        <v>46324</v>
      </c>
      <c r="O469" s="282" t="str" cm="1">
        <f t="array" ref="O469">_xll.FDSB($C469,"CS_EVENT_TIME_N("&amp;$AA$18&amp;",2)")</f>
        <v>Unspecified</v>
      </c>
      <c r="P469" s="282" t="str" cm="1">
        <f t="array" ref="P469">_xll.FDSB($C469,"CS_EVENT_DESC_N("&amp;$AA$18&amp;",2)")</f>
        <v>Q3 2026 Earnings Release (Projected)</v>
      </c>
      <c r="Q469" s="282"/>
      <c r="R469" s="274" cm="1">
        <f t="array" ref="R469">_xll.FDSB($C469,"CS_EVENT_DATEJ_N("&amp;$AA$18&amp;",3)")</f>
        <v>46429</v>
      </c>
      <c r="S469" s="282" t="str" cm="1">
        <f t="array" ref="S469">_xll.FDSB($C469,"CS_EVENT_TIME_N("&amp;$AA$18&amp;",3)")</f>
        <v>Unspecified</v>
      </c>
      <c r="T469" s="282" t="str" cm="1">
        <f t="array" ref="T469">_xll.FDSB($C469,"CS_EVENT_DESC_N("&amp;$AA$18&amp;",3)")</f>
        <v>Q4 2026 Earnings Release (Projected)</v>
      </c>
      <c r="U469" s="282"/>
      <c r="V469" s="274" cm="1">
        <f t="array" ref="V469">_xll.FDSB($C469,"CS_EVENT_DATEJ_N("&amp;$AA$18&amp;",4)")</f>
        <v>46518</v>
      </c>
      <c r="W469" s="282" t="str" cm="1">
        <f t="array" ref="W469">_xll.FDSB($C469,"CS_EVENT_TIME_N("&amp;$AA$18&amp;",4)")</f>
        <v>Unspecified</v>
      </c>
      <c r="X469" s="282" t="str" cm="1">
        <f t="array" ref="X469">_xll.FDSB($C469,"CS_EVENT_DESC_N("&amp;$AA$18&amp;",4)")</f>
        <v>Q1 2027 Earnings Release (Projected)</v>
      </c>
    </row>
    <row r="470" spans="2:24" x14ac:dyDescent="0.15">
      <c r="B470" s="298">
        <f t="shared" si="9"/>
        <v>455</v>
      </c>
      <c r="C470" s="299" t="str">
        <v>SMCI</v>
      </c>
      <c r="D470" s="300" t="str" cm="1">
        <f t="array" ref="D470">_xll.FDSB($C470,"FG_COMPANY_NAME")</f>
        <v>Super Micro Computer, Inc.</v>
      </c>
      <c r="E470" s="300"/>
      <c r="F470" s="274" cm="1">
        <f t="array" ref="F470">_xll.FDSB($C470,"CS_EVENT_DATEJ_N("&amp;$AA$18&amp;",1)")</f>
        <v>46245</v>
      </c>
      <c r="G470" s="282" t="str" cm="1">
        <f t="array" ref="G470">_xll.FDSB($C470,"CS_EVENT_TIME_N("&amp;$AA$18&amp;",1)")</f>
        <v>Unspecified</v>
      </c>
      <c r="H470" s="282" t="str" cm="1">
        <f t="array" ref="H470">_xll.FDSB($C470,"CS_EVENT_DESC_N("&amp;$AA$18&amp;",1)")</f>
        <v>Q4 2026 Earnings Release (Projected)</v>
      </c>
      <c r="I470" s="282"/>
      <c r="J470" s="274" t="str" cm="1">
        <f t="array" ref="J470">_xll.FDSB($C470,"CS_EVENT_DATEJ_N("&amp;$AB$18&amp;",1)")</f>
        <v/>
      </c>
      <c r="K470" s="282" t="str" cm="1">
        <f t="array" ref="K470">_xll.FDSB($C470,"CS_EVENT_TIME_N("&amp;$AB$18&amp;",1)")</f>
        <v/>
      </c>
      <c r="L470" s="282" t="str" cm="1">
        <f t="array" ref="L470">_xll.FDSB($C470,"CS_EVENT_DESC_N("&amp;$AB$18&amp;",1)")</f>
        <v/>
      </c>
      <c r="M470" s="300"/>
      <c r="N470" s="274" cm="1">
        <f t="array" ref="N470">_xll.FDSB($C470,"CS_EVENT_DATEJ_N("&amp;$AA$18&amp;",2)")</f>
        <v>46329</v>
      </c>
      <c r="O470" s="282" t="str" cm="1">
        <f t="array" ref="O470">_xll.FDSB($C470,"CS_EVENT_TIME_N("&amp;$AA$18&amp;",2)")</f>
        <v>Unspecified</v>
      </c>
      <c r="P470" s="282" t="str" cm="1">
        <f t="array" ref="P470">_xll.FDSB($C470,"CS_EVENT_DESC_N("&amp;$AA$18&amp;",2)")</f>
        <v>Q1 2027 Earnings Release (Projected)</v>
      </c>
      <c r="Q470" s="282"/>
      <c r="R470" s="274" cm="1">
        <f t="array" ref="R470">_xll.FDSB($C470,"CS_EVENT_DATEJ_N("&amp;$AA$18&amp;",3)")</f>
        <v>46420</v>
      </c>
      <c r="S470" s="282" t="str" cm="1">
        <f t="array" ref="S470">_xll.FDSB($C470,"CS_EVENT_TIME_N("&amp;$AA$18&amp;",3)")</f>
        <v>Unspecified</v>
      </c>
      <c r="T470" s="282" t="str" cm="1">
        <f t="array" ref="T470">_xll.FDSB($C470,"CS_EVENT_DESC_N("&amp;$AA$18&amp;",3)")</f>
        <v>Q2 2027 Earnings Release (Projected)</v>
      </c>
      <c r="U470" s="282"/>
      <c r="V470" s="274" cm="1">
        <f t="array" ref="V470">_xll.FDSB($C470,"CS_EVENT_DATEJ_N("&amp;$AA$18&amp;",4)")</f>
        <v>46511</v>
      </c>
      <c r="W470" s="282" t="str" cm="1">
        <f t="array" ref="W470">_xll.FDSB($C470,"CS_EVENT_TIME_N("&amp;$AA$18&amp;",4)")</f>
        <v>Unspecified</v>
      </c>
      <c r="X470" s="282" t="str" cm="1">
        <f t="array" ref="X470">_xll.FDSB($C470,"CS_EVENT_DESC_N("&amp;$AA$18&amp;",4)")</f>
        <v>Q3 2027 Earnings Release (Projected)</v>
      </c>
    </row>
    <row r="471" spans="2:24" x14ac:dyDescent="0.15">
      <c r="B471" s="298">
        <f t="shared" si="9"/>
        <v>456</v>
      </c>
      <c r="C471" s="299" t="str">
        <v>ZTS</v>
      </c>
      <c r="D471" s="300" t="str" cm="1">
        <f t="array" ref="D471">_xll.FDSB($C471,"FG_COMPANY_NAME")</f>
        <v>Zoetis, Inc. Class A</v>
      </c>
      <c r="E471" s="300"/>
      <c r="F471" s="274" cm="1">
        <f t="array" ref="F471">_xll.FDSB($C471,"CS_EVENT_DATEJ_N("&amp;$AA$18&amp;",1)")</f>
        <v>46245</v>
      </c>
      <c r="G471" s="282" t="str" cm="1">
        <f t="array" ref="G471">_xll.FDSB($C471,"CS_EVENT_TIME_N("&amp;$AA$18&amp;",1)")</f>
        <v>Unspecified</v>
      </c>
      <c r="H471" s="282" t="str" cm="1">
        <f t="array" ref="H471">_xll.FDSB($C471,"CS_EVENT_DESC_N("&amp;$AA$18&amp;",1)")</f>
        <v>Q2 2026 Earnings Release (Projected)</v>
      </c>
      <c r="I471" s="282"/>
      <c r="J471" s="274" t="str" cm="1">
        <f t="array" ref="J471">_xll.FDSB($C471,"CS_EVENT_DATEJ_N("&amp;$AB$18&amp;",1)")</f>
        <v/>
      </c>
      <c r="K471" s="282" t="str" cm="1">
        <f t="array" ref="K471">_xll.FDSB($C471,"CS_EVENT_TIME_N("&amp;$AB$18&amp;",1)")</f>
        <v/>
      </c>
      <c r="L471" s="282" t="str" cm="1">
        <f t="array" ref="L471">_xll.FDSB($C471,"CS_EVENT_DESC_N("&amp;$AB$18&amp;",1)")</f>
        <v/>
      </c>
      <c r="M471" s="300"/>
      <c r="N471" s="274" cm="1">
        <f t="array" ref="N471">_xll.FDSB($C471,"CS_EVENT_DATEJ_N("&amp;$AA$18&amp;",2)")</f>
        <v>46337</v>
      </c>
      <c r="O471" s="282" t="str" cm="1">
        <f t="array" ref="O471">_xll.FDSB($C471,"CS_EVENT_TIME_N("&amp;$AA$18&amp;",2)")</f>
        <v>Unspecified</v>
      </c>
      <c r="P471" s="282" t="str" cm="1">
        <f t="array" ref="P471">_xll.FDSB($C471,"CS_EVENT_DESC_N("&amp;$AA$18&amp;",2)")</f>
        <v>Q3 2026 Earnings Release (Projected)</v>
      </c>
      <c r="Q471" s="282"/>
      <c r="R471" s="274" cm="1">
        <f t="array" ref="R471">_xll.FDSB($C471,"CS_EVENT_DATEJ_N("&amp;$AA$18&amp;",3)")</f>
        <v>46434</v>
      </c>
      <c r="S471" s="282" t="str" cm="1">
        <f t="array" ref="S471">_xll.FDSB($C471,"CS_EVENT_TIME_N("&amp;$AA$18&amp;",3)")</f>
        <v>Unspecified</v>
      </c>
      <c r="T471" s="282" t="str" cm="1">
        <f t="array" ref="T471">_xll.FDSB($C471,"CS_EVENT_DESC_N("&amp;$AA$18&amp;",3)")</f>
        <v>Q4 2026 Earnings Release (Projected)</v>
      </c>
      <c r="U471" s="282"/>
      <c r="V471" s="274" cm="1">
        <f t="array" ref="V471">_xll.FDSB($C471,"CS_EVENT_DATEJ_N("&amp;$AA$18&amp;",4)")</f>
        <v>46513</v>
      </c>
      <c r="W471" s="282" t="str" cm="1">
        <f t="array" ref="W471">_xll.FDSB($C471,"CS_EVENT_TIME_N("&amp;$AA$18&amp;",4)")</f>
        <v>Unspecified</v>
      </c>
      <c r="X471" s="282" t="str" cm="1">
        <f t="array" ref="X471">_xll.FDSB($C471,"CS_EVENT_DESC_N("&amp;$AA$18&amp;",4)")</f>
        <v>Q1 2027 Earnings Release (Projected)</v>
      </c>
    </row>
    <row r="472" spans="2:24" x14ac:dyDescent="0.15">
      <c r="B472" s="298">
        <f t="shared" si="9"/>
        <v>457</v>
      </c>
      <c r="C472" s="299" t="str">
        <v>BR</v>
      </c>
      <c r="D472" s="300" t="str" cm="1">
        <f t="array" ref="D472">_xll.FDSB($C472,"FG_COMPANY_NAME")</f>
        <v>Broadridge Financial Solutions, Inc.</v>
      </c>
      <c r="E472" s="300"/>
      <c r="F472" s="274" cm="1">
        <f t="array" ref="F472">_xll.FDSB($C472,"CS_EVENT_DATEJ_N("&amp;$AA$18&amp;",1)")</f>
        <v>46245</v>
      </c>
      <c r="G472" s="282" t="str" cm="1">
        <f t="array" ref="G472">_xll.FDSB($C472,"CS_EVENT_TIME_N("&amp;$AA$18&amp;",1)")</f>
        <v>Unspecified</v>
      </c>
      <c r="H472" s="282" t="str" cm="1">
        <f t="array" ref="H472">_xll.FDSB($C472,"CS_EVENT_DESC_N("&amp;$AA$18&amp;",1)")</f>
        <v>Q4 2026 Earnings Release (Projected)</v>
      </c>
      <c r="I472" s="282"/>
      <c r="J472" s="274" t="str" cm="1">
        <f t="array" ref="J472">_xll.FDSB($C472,"CS_EVENT_DATEJ_N("&amp;$AB$18&amp;",1)")</f>
        <v/>
      </c>
      <c r="K472" s="282" t="str" cm="1">
        <f t="array" ref="K472">_xll.FDSB($C472,"CS_EVENT_TIME_N("&amp;$AB$18&amp;",1)")</f>
        <v/>
      </c>
      <c r="L472" s="282" t="str" cm="1">
        <f t="array" ref="L472">_xll.FDSB($C472,"CS_EVENT_DESC_N("&amp;$AB$18&amp;",1)")</f>
        <v/>
      </c>
      <c r="M472" s="300"/>
      <c r="N472" s="274" cm="1">
        <f t="array" ref="N472">_xll.FDSB($C472,"CS_EVENT_DATEJ_N("&amp;$AA$18&amp;",2)")</f>
        <v>46330</v>
      </c>
      <c r="O472" s="282" t="str" cm="1">
        <f t="array" ref="O472">_xll.FDSB($C472,"CS_EVENT_TIME_N("&amp;$AA$18&amp;",2)")</f>
        <v>Unspecified</v>
      </c>
      <c r="P472" s="282" t="str" cm="1">
        <f t="array" ref="P472">_xll.FDSB($C472,"CS_EVENT_DESC_N("&amp;$AA$18&amp;",2)")</f>
        <v>Q1 2027 Earnings Release (Projected)</v>
      </c>
      <c r="Q472" s="282"/>
      <c r="R472" s="274" cm="1">
        <f t="array" ref="R472">_xll.FDSB($C472,"CS_EVENT_DATEJ_N("&amp;$AA$18&amp;",3)")</f>
        <v>46422</v>
      </c>
      <c r="S472" s="282" t="str" cm="1">
        <f t="array" ref="S472">_xll.FDSB($C472,"CS_EVENT_TIME_N("&amp;$AA$18&amp;",3)")</f>
        <v>Unspecified</v>
      </c>
      <c r="T472" s="282" t="str" cm="1">
        <f t="array" ref="T472">_xll.FDSB($C472,"CS_EVENT_DESC_N("&amp;$AA$18&amp;",3)")</f>
        <v>Q2 2027 Earnings Release (Projected)</v>
      </c>
      <c r="U472" s="282"/>
      <c r="V472" s="274" cm="1">
        <f t="array" ref="V472">_xll.FDSB($C472,"CS_EVENT_DATEJ_N("&amp;$AA$18&amp;",4)")</f>
        <v>46511</v>
      </c>
      <c r="W472" s="282" t="str" cm="1">
        <f t="array" ref="W472">_xll.FDSB($C472,"CS_EVENT_TIME_N("&amp;$AA$18&amp;",4)")</f>
        <v>Unspecified</v>
      </c>
      <c r="X472" s="282" t="str" cm="1">
        <f t="array" ref="X472">_xll.FDSB($C472,"CS_EVENT_DESC_N("&amp;$AA$18&amp;",4)")</f>
        <v>Q3 2027 Earnings Release (Projected)</v>
      </c>
    </row>
    <row r="473" spans="2:24" x14ac:dyDescent="0.15">
      <c r="B473" s="298">
        <f t="shared" si="9"/>
        <v>458</v>
      </c>
      <c r="C473" s="299" t="str">
        <v>FOX</v>
      </c>
      <c r="D473" s="300" t="str" cm="1">
        <f t="array" ref="D473">_xll.FDSB($C473,"FG_COMPANY_NAME")</f>
        <v>Fox Corporation Class B</v>
      </c>
      <c r="E473" s="300"/>
      <c r="F473" s="274" cm="1">
        <f t="array" ref="F473">_xll.FDSB($C473,"CS_EVENT_DATEJ_N("&amp;$AA$18&amp;",1)")</f>
        <v>46245</v>
      </c>
      <c r="G473" s="282" t="str" cm="1">
        <f t="array" ref="G473">_xll.FDSB($C473,"CS_EVENT_TIME_N("&amp;$AA$18&amp;",1)")</f>
        <v>Unspecified</v>
      </c>
      <c r="H473" s="282" t="str" cm="1">
        <f t="array" ref="H473">_xll.FDSB($C473,"CS_EVENT_DESC_N("&amp;$AA$18&amp;",1)")</f>
        <v>Q4 2026 Earnings Release (Projected)</v>
      </c>
      <c r="I473" s="282"/>
      <c r="J473" s="274" t="str" cm="1">
        <f t="array" ref="J473">_xll.FDSB($C473,"CS_EVENT_DATEJ_N("&amp;$AB$18&amp;",1)")</f>
        <v/>
      </c>
      <c r="K473" s="282" t="str" cm="1">
        <f t="array" ref="K473">_xll.FDSB($C473,"CS_EVENT_TIME_N("&amp;$AB$18&amp;",1)")</f>
        <v/>
      </c>
      <c r="L473" s="282" t="str" cm="1">
        <f t="array" ref="L473">_xll.FDSB($C473,"CS_EVENT_DESC_N("&amp;$AB$18&amp;",1)")</f>
        <v/>
      </c>
      <c r="M473" s="300"/>
      <c r="N473" s="274" cm="1">
        <f t="array" ref="N473">_xll.FDSB($C473,"CS_EVENT_DATEJ_N("&amp;$AA$18&amp;",2)")</f>
        <v>46324</v>
      </c>
      <c r="O473" s="282" t="str" cm="1">
        <f t="array" ref="O473">_xll.FDSB($C473,"CS_EVENT_TIME_N("&amp;$AA$18&amp;",2)")</f>
        <v>Unspecified</v>
      </c>
      <c r="P473" s="282" t="str" cm="1">
        <f t="array" ref="P473">_xll.FDSB($C473,"CS_EVENT_DESC_N("&amp;$AA$18&amp;",2)")</f>
        <v>Q1 2027 Earnings Release (Projected)</v>
      </c>
      <c r="Q473" s="282"/>
      <c r="R473" s="274" cm="1">
        <f t="array" ref="R473">_xll.FDSB($C473,"CS_EVENT_DATEJ_N("&amp;$AA$18&amp;",3)")</f>
        <v>46428</v>
      </c>
      <c r="S473" s="282" t="str" cm="1">
        <f t="array" ref="S473">_xll.FDSB($C473,"CS_EVENT_TIME_N("&amp;$AA$18&amp;",3)")</f>
        <v>Unspecified</v>
      </c>
      <c r="T473" s="282" t="str" cm="1">
        <f t="array" ref="T473">_xll.FDSB($C473,"CS_EVENT_DESC_N("&amp;$AA$18&amp;",3)")</f>
        <v>Q2 2027 Earnings Release (Projected)</v>
      </c>
      <c r="U473" s="282"/>
      <c r="V473" s="274" cm="1">
        <f t="array" ref="V473">_xll.FDSB($C473,"CS_EVENT_DATEJ_N("&amp;$AA$18&amp;",4)")</f>
        <v>46518</v>
      </c>
      <c r="W473" s="282" t="str" cm="1">
        <f t="array" ref="W473">_xll.FDSB($C473,"CS_EVENT_TIME_N("&amp;$AA$18&amp;",4)")</f>
        <v>Unspecified</v>
      </c>
      <c r="X473" s="282" t="str" cm="1">
        <f t="array" ref="X473">_xll.FDSB($C473,"CS_EVENT_DESC_N("&amp;$AA$18&amp;",4)")</f>
        <v>Q3 2027 Earnings Release (Projected)</v>
      </c>
    </row>
    <row r="474" spans="2:24" x14ac:dyDescent="0.15">
      <c r="B474" s="298">
        <f t="shared" si="9"/>
        <v>459</v>
      </c>
      <c r="C474" s="299" t="str">
        <v>FOXA</v>
      </c>
      <c r="D474" s="300" t="str" cm="1">
        <f t="array" ref="D474">_xll.FDSB($C474,"FG_COMPANY_NAME")</f>
        <v>Fox Corporation Class A</v>
      </c>
      <c r="E474" s="300"/>
      <c r="F474" s="274" cm="1">
        <f t="array" ref="F474">_xll.FDSB($C474,"CS_EVENT_DATEJ_N("&amp;$AA$18&amp;",1)")</f>
        <v>46245</v>
      </c>
      <c r="G474" s="282" t="str" cm="1">
        <f t="array" ref="G474">_xll.FDSB($C474,"CS_EVENT_TIME_N("&amp;$AA$18&amp;",1)")</f>
        <v>Unspecified</v>
      </c>
      <c r="H474" s="282" t="str" cm="1">
        <f t="array" ref="H474">_xll.FDSB($C474,"CS_EVENT_DESC_N("&amp;$AA$18&amp;",1)")</f>
        <v>Q4 2026 Earnings Release (Projected)</v>
      </c>
      <c r="I474" s="282"/>
      <c r="J474" s="274" t="str" cm="1">
        <f t="array" ref="J474">_xll.FDSB($C474,"CS_EVENT_DATEJ_N("&amp;$AB$18&amp;",1)")</f>
        <v/>
      </c>
      <c r="K474" s="282" t="str" cm="1">
        <f t="array" ref="K474">_xll.FDSB($C474,"CS_EVENT_TIME_N("&amp;$AB$18&amp;",1)")</f>
        <v/>
      </c>
      <c r="L474" s="282" t="str" cm="1">
        <f t="array" ref="L474">_xll.FDSB($C474,"CS_EVENT_DESC_N("&amp;$AB$18&amp;",1)")</f>
        <v/>
      </c>
      <c r="M474" s="300"/>
      <c r="N474" s="274" cm="1">
        <f t="array" ref="N474">_xll.FDSB($C474,"CS_EVENT_DATEJ_N("&amp;$AA$18&amp;",2)")</f>
        <v>46324</v>
      </c>
      <c r="O474" s="282" t="str" cm="1">
        <f t="array" ref="O474">_xll.FDSB($C474,"CS_EVENT_TIME_N("&amp;$AA$18&amp;",2)")</f>
        <v>Unspecified</v>
      </c>
      <c r="P474" s="282" t="str" cm="1">
        <f t="array" ref="P474">_xll.FDSB($C474,"CS_EVENT_DESC_N("&amp;$AA$18&amp;",2)")</f>
        <v>Q1 2027 Earnings Release (Projected)</v>
      </c>
      <c r="Q474" s="282"/>
      <c r="R474" s="274" cm="1">
        <f t="array" ref="R474">_xll.FDSB($C474,"CS_EVENT_DATEJ_N("&amp;$AA$18&amp;",3)")</f>
        <v>46428</v>
      </c>
      <c r="S474" s="282" t="str" cm="1">
        <f t="array" ref="S474">_xll.FDSB($C474,"CS_EVENT_TIME_N("&amp;$AA$18&amp;",3)")</f>
        <v>Unspecified</v>
      </c>
      <c r="T474" s="282" t="str" cm="1">
        <f t="array" ref="T474">_xll.FDSB($C474,"CS_EVENT_DESC_N("&amp;$AA$18&amp;",3)")</f>
        <v>Q2 2027 Earnings Release (Projected)</v>
      </c>
      <c r="U474" s="282"/>
      <c r="V474" s="274" cm="1">
        <f t="array" ref="V474">_xll.FDSB($C474,"CS_EVENT_DATEJ_N("&amp;$AA$18&amp;",4)")</f>
        <v>46518</v>
      </c>
      <c r="W474" s="282" t="str" cm="1">
        <f t="array" ref="W474">_xll.FDSB($C474,"CS_EVENT_TIME_N("&amp;$AA$18&amp;",4)")</f>
        <v>Unspecified</v>
      </c>
      <c r="X474" s="282" t="str" cm="1">
        <f t="array" ref="X474">_xll.FDSB($C474,"CS_EVENT_DESC_N("&amp;$AA$18&amp;",4)")</f>
        <v>Q3 2027 Earnings Release (Projected)</v>
      </c>
    </row>
    <row r="475" spans="2:24" x14ac:dyDescent="0.15">
      <c r="B475" s="298">
        <f t="shared" si="9"/>
        <v>460</v>
      </c>
      <c r="C475" s="299" t="str">
        <v>ATO</v>
      </c>
      <c r="D475" s="300" t="str" cm="1">
        <f t="array" ref="D475">_xll.FDSB($C475,"FG_COMPANY_NAME")</f>
        <v>Atmos Energy Corporation</v>
      </c>
      <c r="E475" s="300"/>
      <c r="F475" s="274" cm="1">
        <f t="array" ref="F475">_xll.FDSB($C475,"CS_EVENT_DATEJ_N("&amp;$AA$18&amp;",1)")</f>
        <v>46246</v>
      </c>
      <c r="G475" s="282" t="str" cm="1">
        <f t="array" ref="G475">_xll.FDSB($C475,"CS_EVENT_TIME_N("&amp;$AA$18&amp;",1)")</f>
        <v>Unspecified</v>
      </c>
      <c r="H475" s="282" t="str" cm="1">
        <f t="array" ref="H475">_xll.FDSB($C475,"CS_EVENT_DESC_N("&amp;$AA$18&amp;",1)")</f>
        <v>Q3 2026 Earnings Release (Projected)</v>
      </c>
      <c r="I475" s="282"/>
      <c r="J475" s="274" t="str" cm="1">
        <f t="array" ref="J475">_xll.FDSB($C475,"CS_EVENT_DATEJ_N("&amp;$AB$18&amp;",1)")</f>
        <v/>
      </c>
      <c r="K475" s="282" t="str" cm="1">
        <f t="array" ref="K475">_xll.FDSB($C475,"CS_EVENT_TIME_N("&amp;$AB$18&amp;",1)")</f>
        <v/>
      </c>
      <c r="L475" s="282" t="str" cm="1">
        <f t="array" ref="L475">_xll.FDSB($C475,"CS_EVENT_DESC_N("&amp;$AB$18&amp;",1)")</f>
        <v/>
      </c>
      <c r="M475" s="300"/>
      <c r="N475" s="274" cm="1">
        <f t="array" ref="N475">_xll.FDSB($C475,"CS_EVENT_DATEJ_N("&amp;$AA$18&amp;",2)")</f>
        <v>46337</v>
      </c>
      <c r="O475" s="282" t="str" cm="1">
        <f t="array" ref="O475">_xll.FDSB($C475,"CS_EVENT_TIME_N("&amp;$AA$18&amp;",2)")</f>
        <v>Unspecified</v>
      </c>
      <c r="P475" s="282" t="str" cm="1">
        <f t="array" ref="P475">_xll.FDSB($C475,"CS_EVENT_DESC_N("&amp;$AA$18&amp;",2)")</f>
        <v>Q4 2026 Earnings Release (Projected)</v>
      </c>
      <c r="Q475" s="282"/>
      <c r="R475" s="274" cm="1">
        <f t="array" ref="R475">_xll.FDSB($C475,"CS_EVENT_DATEJ_N("&amp;$AA$18&amp;",3)")</f>
        <v>46427</v>
      </c>
      <c r="S475" s="282" t="str" cm="1">
        <f t="array" ref="S475">_xll.FDSB($C475,"CS_EVENT_TIME_N("&amp;$AA$18&amp;",3)")</f>
        <v>Unspecified</v>
      </c>
      <c r="T475" s="282" t="str" cm="1">
        <f t="array" ref="T475">_xll.FDSB($C475,"CS_EVENT_DESC_N("&amp;$AA$18&amp;",3)")</f>
        <v>Q1 2027 Earnings Release (Projected)</v>
      </c>
      <c r="U475" s="282"/>
      <c r="V475" s="274" t="str" cm="1">
        <f t="array" ref="V475">_xll.FDSB($C475,"CS_EVENT_DATEJ_N("&amp;$AA$18&amp;",4)")</f>
        <v/>
      </c>
      <c r="W475" s="282" t="str" cm="1">
        <f t="array" ref="W475">_xll.FDSB($C475,"CS_EVENT_TIME_N("&amp;$AA$18&amp;",4)")</f>
        <v/>
      </c>
      <c r="X475" s="282" t="str" cm="1">
        <f t="array" ref="X475">_xll.FDSB($C475,"CS_EVENT_DESC_N("&amp;$AA$18&amp;",4)")</f>
        <v/>
      </c>
    </row>
    <row r="476" spans="2:24" x14ac:dyDescent="0.15">
      <c r="B476" s="298">
        <f t="shared" si="9"/>
        <v>461</v>
      </c>
      <c r="C476" s="299" t="str">
        <v>DIS</v>
      </c>
      <c r="D476" s="300" t="str" cm="1">
        <f t="array" ref="D476">_xll.FDSB($C476,"FG_COMPANY_NAME")</f>
        <v>Walt Disney Company</v>
      </c>
      <c r="E476" s="300"/>
      <c r="F476" s="274" cm="1">
        <f t="array" ref="F476">_xll.FDSB($C476,"CS_EVENT_DATEJ_N("&amp;$AA$18&amp;",1)")</f>
        <v>46246</v>
      </c>
      <c r="G476" s="282" t="str" cm="1">
        <f t="array" ref="G476">_xll.FDSB($C476,"CS_EVENT_TIME_N("&amp;$AA$18&amp;",1)")</f>
        <v>Unspecified</v>
      </c>
      <c r="H476" s="282" t="str" cm="1">
        <f t="array" ref="H476">_xll.FDSB($C476,"CS_EVENT_DESC_N("&amp;$AA$18&amp;",1)")</f>
        <v>Q3 2026 Earnings Release (Projected)</v>
      </c>
      <c r="I476" s="282"/>
      <c r="J476" s="274" t="str" cm="1">
        <f t="array" ref="J476">_xll.FDSB($C476,"CS_EVENT_DATEJ_N("&amp;$AB$18&amp;",1)")</f>
        <v/>
      </c>
      <c r="K476" s="282" t="str" cm="1">
        <f t="array" ref="K476">_xll.FDSB($C476,"CS_EVENT_TIME_N("&amp;$AB$18&amp;",1)")</f>
        <v/>
      </c>
      <c r="L476" s="282" t="str" cm="1">
        <f t="array" ref="L476">_xll.FDSB($C476,"CS_EVENT_DESC_N("&amp;$AB$18&amp;",1)")</f>
        <v/>
      </c>
      <c r="M476" s="300"/>
      <c r="N476" s="274" cm="1">
        <f t="array" ref="N476">_xll.FDSB($C476,"CS_EVENT_DATEJ_N("&amp;$AA$18&amp;",2)")</f>
        <v>46338</v>
      </c>
      <c r="O476" s="282" t="str" cm="1">
        <f t="array" ref="O476">_xll.FDSB($C476,"CS_EVENT_TIME_N("&amp;$AA$18&amp;",2)")</f>
        <v>Unspecified</v>
      </c>
      <c r="P476" s="282" t="str" cm="1">
        <f t="array" ref="P476">_xll.FDSB($C476,"CS_EVENT_DESC_N("&amp;$AA$18&amp;",2)")</f>
        <v>Q4 2026 Earnings Release (Projected)</v>
      </c>
      <c r="Q476" s="282"/>
      <c r="R476" s="274" cm="1">
        <f t="array" ref="R476">_xll.FDSB($C476,"CS_EVENT_DATEJ_N("&amp;$AA$18&amp;",3)")</f>
        <v>46428</v>
      </c>
      <c r="S476" s="282" t="str" cm="1">
        <f t="array" ref="S476">_xll.FDSB($C476,"CS_EVENT_TIME_N("&amp;$AA$18&amp;",3)")</f>
        <v>Unspecified</v>
      </c>
      <c r="T476" s="282" t="str" cm="1">
        <f t="array" ref="T476">_xll.FDSB($C476,"CS_EVENT_DESC_N("&amp;$AA$18&amp;",3)")</f>
        <v>Q1 2027 Earnings Release (Projected)</v>
      </c>
      <c r="U476" s="282"/>
      <c r="V476" s="274" cm="1">
        <f t="array" ref="V476">_xll.FDSB($C476,"CS_EVENT_DATEJ_N("&amp;$AA$18&amp;",4)")</f>
        <v>46519</v>
      </c>
      <c r="W476" s="282" t="str" cm="1">
        <f t="array" ref="W476">_xll.FDSB($C476,"CS_EVENT_TIME_N("&amp;$AA$18&amp;",4)")</f>
        <v>Unspecified</v>
      </c>
      <c r="X476" s="282" t="str" cm="1">
        <f t="array" ref="X476">_xll.FDSB($C476,"CS_EVENT_DESC_N("&amp;$AA$18&amp;",4)")</f>
        <v>Q2 2027 Earnings Release (Projected)</v>
      </c>
    </row>
    <row r="477" spans="2:24" x14ac:dyDescent="0.15">
      <c r="B477" s="298">
        <f t="shared" si="9"/>
        <v>462</v>
      </c>
      <c r="C477" s="299" t="str">
        <v>CRL</v>
      </c>
      <c r="D477" s="300" t="str" cm="1">
        <f t="array" ref="D477">_xll.FDSB($C477,"FG_COMPANY_NAME")</f>
        <v>Charles River Laboratories International, Inc.</v>
      </c>
      <c r="E477" s="300"/>
      <c r="F477" s="274" cm="1">
        <f t="array" ref="F477">_xll.FDSB($C477,"CS_EVENT_DATEJ_N("&amp;$AA$18&amp;",1)")</f>
        <v>46246</v>
      </c>
      <c r="G477" s="282" t="str" cm="1">
        <f t="array" ref="G477">_xll.FDSB($C477,"CS_EVENT_TIME_N("&amp;$AA$18&amp;",1)")</f>
        <v>Unspecified</v>
      </c>
      <c r="H477" s="282" t="str" cm="1">
        <f t="array" ref="H477">_xll.FDSB($C477,"CS_EVENT_DESC_N("&amp;$AA$18&amp;",1)")</f>
        <v>Q2 2026 Earnings Release (Projected)</v>
      </c>
      <c r="I477" s="282"/>
      <c r="J477" s="274" t="str" cm="1">
        <f t="array" ref="J477">_xll.FDSB($C477,"CS_EVENT_DATEJ_N("&amp;$AB$18&amp;",1)")</f>
        <v/>
      </c>
      <c r="K477" s="282" t="str" cm="1">
        <f t="array" ref="K477">_xll.FDSB($C477,"CS_EVENT_TIME_N("&amp;$AB$18&amp;",1)")</f>
        <v/>
      </c>
      <c r="L477" s="282" t="str" cm="1">
        <f t="array" ref="L477">_xll.FDSB($C477,"CS_EVENT_DESC_N("&amp;$AB$18&amp;",1)")</f>
        <v/>
      </c>
      <c r="M477" s="300"/>
      <c r="N477" s="274" cm="1">
        <f t="array" ref="N477">_xll.FDSB($C477,"CS_EVENT_DATEJ_N("&amp;$AA$18&amp;",2)")</f>
        <v>46337</v>
      </c>
      <c r="O477" s="282" t="str" cm="1">
        <f t="array" ref="O477">_xll.FDSB($C477,"CS_EVENT_TIME_N("&amp;$AA$18&amp;",2)")</f>
        <v>Unspecified</v>
      </c>
      <c r="P477" s="282" t="str" cm="1">
        <f t="array" ref="P477">_xll.FDSB($C477,"CS_EVENT_DESC_N("&amp;$AA$18&amp;",2)")</f>
        <v>Q3 2026 Earnings Release (Projected)</v>
      </c>
      <c r="Q477" s="282"/>
      <c r="R477" s="274" cm="1">
        <f t="array" ref="R477">_xll.FDSB($C477,"CS_EVENT_DATEJ_N("&amp;$AA$18&amp;",3)")</f>
        <v>46442</v>
      </c>
      <c r="S477" s="282" t="str" cm="1">
        <f t="array" ref="S477">_xll.FDSB($C477,"CS_EVENT_TIME_N("&amp;$AA$18&amp;",3)")</f>
        <v>Unspecified</v>
      </c>
      <c r="T477" s="282" t="str" cm="1">
        <f t="array" ref="T477">_xll.FDSB($C477,"CS_EVENT_DESC_N("&amp;$AA$18&amp;",3)")</f>
        <v>Q4 2026 Earnings Release (Projected)</v>
      </c>
      <c r="U477" s="282"/>
      <c r="V477" s="274" cm="1">
        <f t="array" ref="V477">_xll.FDSB($C477,"CS_EVENT_DATEJ_N("&amp;$AA$18&amp;",4)")</f>
        <v>46520</v>
      </c>
      <c r="W477" s="282" t="str" cm="1">
        <f t="array" ref="W477">_xll.FDSB($C477,"CS_EVENT_TIME_N("&amp;$AA$18&amp;",4)")</f>
        <v>Unspecified</v>
      </c>
      <c r="X477" s="282" t="str" cm="1">
        <f t="array" ref="X477">_xll.FDSB($C477,"CS_EVENT_DESC_N("&amp;$AA$18&amp;",4)")</f>
        <v>Q1 2027 Earnings Release (Projected)</v>
      </c>
    </row>
    <row r="478" spans="2:24" x14ac:dyDescent="0.15">
      <c r="B478" s="298">
        <f t="shared" si="9"/>
        <v>463</v>
      </c>
      <c r="C478" s="299" t="str">
        <v>CPAY</v>
      </c>
      <c r="D478" s="300" t="str" cm="1">
        <f t="array" ref="D478">_xll.FDSB($C478,"FG_COMPANY_NAME")</f>
        <v>Corpay, Inc.</v>
      </c>
      <c r="E478" s="300"/>
      <c r="F478" s="274" cm="1">
        <f t="array" ref="F478">_xll.FDSB($C478,"CS_EVENT_DATEJ_N("&amp;$AA$18&amp;",1)")</f>
        <v>46246</v>
      </c>
      <c r="G478" s="282" t="str" cm="1">
        <f t="array" ref="G478">_xll.FDSB($C478,"CS_EVENT_TIME_N("&amp;$AA$18&amp;",1)")</f>
        <v>Unspecified</v>
      </c>
      <c r="H478" s="282" t="str" cm="1">
        <f t="array" ref="H478">_xll.FDSB($C478,"CS_EVENT_DESC_N("&amp;$AA$18&amp;",1)")</f>
        <v>Q2 2026 Earnings Release (Projected)</v>
      </c>
      <c r="I478" s="282"/>
      <c r="J478" s="274" t="str" cm="1">
        <f t="array" ref="J478">_xll.FDSB($C478,"CS_EVENT_DATEJ_N("&amp;$AB$18&amp;",1)")</f>
        <v/>
      </c>
      <c r="K478" s="282" t="str" cm="1">
        <f t="array" ref="K478">_xll.FDSB($C478,"CS_EVENT_TIME_N("&amp;$AB$18&amp;",1)")</f>
        <v/>
      </c>
      <c r="L478" s="282" t="str" cm="1">
        <f t="array" ref="L478">_xll.FDSB($C478,"CS_EVENT_DESC_N("&amp;$AB$18&amp;",1)")</f>
        <v/>
      </c>
      <c r="M478" s="300"/>
      <c r="N478" s="274" cm="1">
        <f t="array" ref="N478">_xll.FDSB($C478,"CS_EVENT_DATEJ_N("&amp;$AA$18&amp;",2)")</f>
        <v>46337</v>
      </c>
      <c r="O478" s="282" t="str" cm="1">
        <f t="array" ref="O478">_xll.FDSB($C478,"CS_EVENT_TIME_N("&amp;$AA$18&amp;",2)")</f>
        <v>Unspecified</v>
      </c>
      <c r="P478" s="282" t="str" cm="1">
        <f t="array" ref="P478">_xll.FDSB($C478,"CS_EVENT_DESC_N("&amp;$AA$18&amp;",2)")</f>
        <v>Q3 2026 Earnings Release (Projected)</v>
      </c>
      <c r="Q478" s="282"/>
      <c r="R478" s="274" cm="1">
        <f t="array" ref="R478">_xll.FDSB($C478,"CS_EVENT_DATEJ_N("&amp;$AA$18&amp;",3)")</f>
        <v>46428</v>
      </c>
      <c r="S478" s="282" t="str" cm="1">
        <f t="array" ref="S478">_xll.FDSB($C478,"CS_EVENT_TIME_N("&amp;$AA$18&amp;",3)")</f>
        <v>Unspecified</v>
      </c>
      <c r="T478" s="282" t="str" cm="1">
        <f t="array" ref="T478">_xll.FDSB($C478,"CS_EVENT_DESC_N("&amp;$AA$18&amp;",3)")</f>
        <v>Q4 2026 Earnings Release (Projected)</v>
      </c>
      <c r="U478" s="282"/>
      <c r="V478" s="274" t="str" cm="1">
        <f t="array" ref="V478">_xll.FDSB($C478,"CS_EVENT_DATEJ_N("&amp;$AA$18&amp;",4)")</f>
        <v/>
      </c>
      <c r="W478" s="282" t="str" cm="1">
        <f t="array" ref="W478">_xll.FDSB($C478,"CS_EVENT_TIME_N("&amp;$AA$18&amp;",4)")</f>
        <v/>
      </c>
      <c r="X478" s="282" t="str" cm="1">
        <f t="array" ref="X478">_xll.FDSB($C478,"CS_EVENT_DESC_N("&amp;$AA$18&amp;",4)")</f>
        <v/>
      </c>
    </row>
    <row r="479" spans="2:24" x14ac:dyDescent="0.15">
      <c r="B479" s="298">
        <f t="shared" si="9"/>
        <v>464</v>
      </c>
      <c r="C479" s="299" t="str">
        <v>NRG</v>
      </c>
      <c r="D479" s="300" t="str" cm="1">
        <f t="array" ref="D479">_xll.FDSB($C479,"FG_COMPANY_NAME")</f>
        <v>NRG Energy, Inc.</v>
      </c>
      <c r="E479" s="300"/>
      <c r="F479" s="274" cm="1">
        <f t="array" ref="F479">_xll.FDSB($C479,"CS_EVENT_DATEJ_N("&amp;$AA$18&amp;",1)")</f>
        <v>46246</v>
      </c>
      <c r="G479" s="282" t="str" cm="1">
        <f t="array" ref="G479">_xll.FDSB($C479,"CS_EVENT_TIME_N("&amp;$AA$18&amp;",1)")</f>
        <v>Unspecified</v>
      </c>
      <c r="H479" s="282" t="str" cm="1">
        <f t="array" ref="H479">_xll.FDSB($C479,"CS_EVENT_DESC_N("&amp;$AA$18&amp;",1)")</f>
        <v>Q2 2026 Earnings Release (Projected)</v>
      </c>
      <c r="I479" s="282"/>
      <c r="J479" s="274" t="str" cm="1">
        <f t="array" ref="J479">_xll.FDSB($C479,"CS_EVENT_DATEJ_N("&amp;$AB$18&amp;",1)")</f>
        <v/>
      </c>
      <c r="K479" s="282" t="str" cm="1">
        <f t="array" ref="K479">_xll.FDSB($C479,"CS_EVENT_TIME_N("&amp;$AB$18&amp;",1)")</f>
        <v/>
      </c>
      <c r="L479" s="282" t="str" cm="1">
        <f t="array" ref="L479">_xll.FDSB($C479,"CS_EVENT_DESC_N("&amp;$AB$18&amp;",1)")</f>
        <v/>
      </c>
      <c r="M479" s="300"/>
      <c r="N479" s="274" cm="1">
        <f t="array" ref="N479">_xll.FDSB($C479,"CS_EVENT_DATEJ_N("&amp;$AA$18&amp;",2)")</f>
        <v>46331</v>
      </c>
      <c r="O479" s="282" t="str" cm="1">
        <f t="array" ref="O479">_xll.FDSB($C479,"CS_EVENT_TIME_N("&amp;$AA$18&amp;",2)")</f>
        <v>Unspecified</v>
      </c>
      <c r="P479" s="282" t="str" cm="1">
        <f t="array" ref="P479">_xll.FDSB($C479,"CS_EVENT_DESC_N("&amp;$AA$18&amp;",2)")</f>
        <v>Q3 2026 Earnings Release (Projected)</v>
      </c>
      <c r="Q479" s="282"/>
      <c r="R479" s="274" cm="1">
        <f t="array" ref="R479">_xll.FDSB($C479,"CS_EVENT_DATEJ_N("&amp;$AA$18&amp;",3)")</f>
        <v>46449</v>
      </c>
      <c r="S479" s="282" t="str" cm="1">
        <f t="array" ref="S479">_xll.FDSB($C479,"CS_EVENT_TIME_N("&amp;$AA$18&amp;",3)")</f>
        <v>Unspecified</v>
      </c>
      <c r="T479" s="282" t="str" cm="1">
        <f t="array" ref="T479">_xll.FDSB($C479,"CS_EVENT_DESC_N("&amp;$AA$18&amp;",3)")</f>
        <v>Q4 2026 Earnings Release (Projected)</v>
      </c>
      <c r="U479" s="282"/>
      <c r="V479" s="274" cm="1">
        <f t="array" ref="V479">_xll.FDSB($C479,"CS_EVENT_DATEJ_N("&amp;$AA$18&amp;",4)")</f>
        <v>46513</v>
      </c>
      <c r="W479" s="282" t="str" cm="1">
        <f t="array" ref="W479">_xll.FDSB($C479,"CS_EVENT_TIME_N("&amp;$AA$18&amp;",4)")</f>
        <v>Unspecified</v>
      </c>
      <c r="X479" s="282" t="str" cm="1">
        <f t="array" ref="X479">_xll.FDSB($C479,"CS_EVENT_DESC_N("&amp;$AA$18&amp;",4)")</f>
        <v>Q1 2027 Earnings Release (Projected)</v>
      </c>
    </row>
    <row r="480" spans="2:24" x14ac:dyDescent="0.15">
      <c r="B480" s="298">
        <f t="shared" si="9"/>
        <v>465</v>
      </c>
      <c r="C480" s="299" t="str">
        <v>ABNB</v>
      </c>
      <c r="D480" s="300" t="str" cm="1">
        <f t="array" ref="D480">_xll.FDSB($C480,"FG_COMPANY_NAME")</f>
        <v>Airbnb, Inc. Class A</v>
      </c>
      <c r="E480" s="300"/>
      <c r="F480" s="274" cm="1">
        <f t="array" ref="F480">_xll.FDSB($C480,"CS_EVENT_DATEJ_N("&amp;$AA$18&amp;",1)")</f>
        <v>46246</v>
      </c>
      <c r="G480" s="282" t="str" cm="1">
        <f t="array" ref="G480">_xll.FDSB($C480,"CS_EVENT_TIME_N("&amp;$AA$18&amp;",1)")</f>
        <v>Unspecified</v>
      </c>
      <c r="H480" s="282" t="str" cm="1">
        <f t="array" ref="H480">_xll.FDSB($C480,"CS_EVENT_DESC_N("&amp;$AA$18&amp;",1)")</f>
        <v>Q2 2026 Earnings Release (Projected)</v>
      </c>
      <c r="I480" s="282"/>
      <c r="J480" s="274" t="str" cm="1">
        <f t="array" ref="J480">_xll.FDSB($C480,"CS_EVENT_DATEJ_N("&amp;$AB$18&amp;",1)")</f>
        <v/>
      </c>
      <c r="K480" s="282" t="str" cm="1">
        <f t="array" ref="K480">_xll.FDSB($C480,"CS_EVENT_TIME_N("&amp;$AB$18&amp;",1)")</f>
        <v/>
      </c>
      <c r="L480" s="282" t="str" cm="1">
        <f t="array" ref="L480">_xll.FDSB($C480,"CS_EVENT_DESC_N("&amp;$AB$18&amp;",1)")</f>
        <v/>
      </c>
      <c r="M480" s="300"/>
      <c r="N480" s="274" cm="1">
        <f t="array" ref="N480">_xll.FDSB($C480,"CS_EVENT_DATEJ_N("&amp;$AA$18&amp;",2)")</f>
        <v>46330</v>
      </c>
      <c r="O480" s="282" t="str" cm="1">
        <f t="array" ref="O480">_xll.FDSB($C480,"CS_EVENT_TIME_N("&amp;$AA$18&amp;",2)")</f>
        <v>Unspecified</v>
      </c>
      <c r="P480" s="282" t="str" cm="1">
        <f t="array" ref="P480">_xll.FDSB($C480,"CS_EVENT_DESC_N("&amp;$AA$18&amp;",2)")</f>
        <v>Q3 2026 Earnings Release (Projected)</v>
      </c>
      <c r="Q480" s="282"/>
      <c r="R480" s="274" cm="1">
        <f t="array" ref="R480">_xll.FDSB($C480,"CS_EVENT_DATEJ_N("&amp;$AA$18&amp;",3)")</f>
        <v>46434</v>
      </c>
      <c r="S480" s="282" t="str" cm="1">
        <f t="array" ref="S480">_xll.FDSB($C480,"CS_EVENT_TIME_N("&amp;$AA$18&amp;",3)")</f>
        <v>Unspecified</v>
      </c>
      <c r="T480" s="282" t="str" cm="1">
        <f t="array" ref="T480">_xll.FDSB($C480,"CS_EVENT_DESC_N("&amp;$AA$18&amp;",3)")</f>
        <v>Q4 2026 Earnings Release (Projected)</v>
      </c>
      <c r="U480" s="282"/>
      <c r="V480" s="274" cm="1">
        <f t="array" ref="V480">_xll.FDSB($C480,"CS_EVENT_DATEJ_N("&amp;$AA$18&amp;",4)")</f>
        <v>46520</v>
      </c>
      <c r="W480" s="282" t="str" cm="1">
        <f t="array" ref="W480">_xll.FDSB($C480,"CS_EVENT_TIME_N("&amp;$AA$18&amp;",4)")</f>
        <v>Unspecified</v>
      </c>
      <c r="X480" s="282" t="str" cm="1">
        <f t="array" ref="X480">_xll.FDSB($C480,"CS_EVENT_DESC_N("&amp;$AA$18&amp;",4)")</f>
        <v>Q1 2027 Earnings Release (Projected)</v>
      </c>
    </row>
    <row r="481" spans="2:24" x14ac:dyDescent="0.15">
      <c r="B481" s="298">
        <f t="shared" si="9"/>
        <v>466</v>
      </c>
      <c r="C481" s="299" t="str">
        <v>APP</v>
      </c>
      <c r="D481" s="300" t="str" cm="1">
        <f t="array" ref="D481">_xll.FDSB($C481,"FG_COMPANY_NAME")</f>
        <v>AppLovin Corp. Class A</v>
      </c>
      <c r="E481" s="300"/>
      <c r="F481" s="274" cm="1">
        <f t="array" ref="F481">_xll.FDSB($C481,"CS_EVENT_DATEJ_N("&amp;$AA$18&amp;",1)")</f>
        <v>46246</v>
      </c>
      <c r="G481" s="282" t="str" cm="1">
        <f t="array" ref="G481">_xll.FDSB($C481,"CS_EVENT_TIME_N("&amp;$AA$18&amp;",1)")</f>
        <v>Unspecified</v>
      </c>
      <c r="H481" s="282" t="str" cm="1">
        <f t="array" ref="H481">_xll.FDSB($C481,"CS_EVENT_DESC_N("&amp;$AA$18&amp;",1)")</f>
        <v>Q2 2026 Earnings Release (Projected)</v>
      </c>
      <c r="I481" s="282"/>
      <c r="J481" s="274" t="str" cm="1">
        <f t="array" ref="J481">_xll.FDSB($C481,"CS_EVENT_DATEJ_N("&amp;$AB$18&amp;",1)")</f>
        <v/>
      </c>
      <c r="K481" s="282" t="str" cm="1">
        <f t="array" ref="K481">_xll.FDSB($C481,"CS_EVENT_TIME_N("&amp;$AB$18&amp;",1)")</f>
        <v/>
      </c>
      <c r="L481" s="282" t="str" cm="1">
        <f t="array" ref="L481">_xll.FDSB($C481,"CS_EVENT_DESC_N("&amp;$AB$18&amp;",1)")</f>
        <v/>
      </c>
      <c r="M481" s="300"/>
      <c r="N481" s="274" cm="1">
        <f t="array" ref="N481">_xll.FDSB($C481,"CS_EVENT_DATEJ_N("&amp;$AA$18&amp;",2)")</f>
        <v>46337</v>
      </c>
      <c r="O481" s="282" t="str" cm="1">
        <f t="array" ref="O481">_xll.FDSB($C481,"CS_EVENT_TIME_N("&amp;$AA$18&amp;",2)")</f>
        <v>Unspecified</v>
      </c>
      <c r="P481" s="282" t="str" cm="1">
        <f t="array" ref="P481">_xll.FDSB($C481,"CS_EVENT_DESC_N("&amp;$AA$18&amp;",2)")</f>
        <v>Q3 2026 Earnings Release (Projected)</v>
      </c>
      <c r="Q481" s="282"/>
      <c r="R481" s="274" cm="1">
        <f t="array" ref="R481">_xll.FDSB($C481,"CS_EVENT_DATEJ_N("&amp;$AA$18&amp;",3)")</f>
        <v>46435</v>
      </c>
      <c r="S481" s="282" t="str" cm="1">
        <f t="array" ref="S481">_xll.FDSB($C481,"CS_EVENT_TIME_N("&amp;$AA$18&amp;",3)")</f>
        <v>Unspecified</v>
      </c>
      <c r="T481" s="282" t="str" cm="1">
        <f t="array" ref="T481">_xll.FDSB($C481,"CS_EVENT_DESC_N("&amp;$AA$18&amp;",3)")</f>
        <v>Q4 2026 Earnings Release (Projected)</v>
      </c>
      <c r="U481" s="282"/>
      <c r="V481" s="274" t="str" cm="1">
        <f t="array" ref="V481">_xll.FDSB($C481,"CS_EVENT_DATEJ_N("&amp;$AA$18&amp;",4)")</f>
        <v/>
      </c>
      <c r="W481" s="282" t="str" cm="1">
        <f t="array" ref="W481">_xll.FDSB($C481,"CS_EVENT_TIME_N("&amp;$AA$18&amp;",4)")</f>
        <v/>
      </c>
      <c r="X481" s="282" t="str" cm="1">
        <f t="array" ref="X481">_xll.FDSB($C481,"CS_EVENT_DESC_N("&amp;$AA$18&amp;",4)")</f>
        <v/>
      </c>
    </row>
    <row r="482" spans="2:24" x14ac:dyDescent="0.15">
      <c r="B482" s="298">
        <f t="shared" si="9"/>
        <v>467</v>
      </c>
      <c r="C482" s="299" t="str">
        <v>KVUE</v>
      </c>
      <c r="D482" s="300" t="str" cm="1">
        <f t="array" ref="D482">_xll.FDSB($C482,"FG_COMPANY_NAME")</f>
        <v>Kenvue, Inc.</v>
      </c>
      <c r="E482" s="300"/>
      <c r="F482" s="274" cm="1">
        <f t="array" ref="F482">_xll.FDSB($C482,"CS_EVENT_DATEJ_N("&amp;$AA$18&amp;",1)")</f>
        <v>46246</v>
      </c>
      <c r="G482" s="282" t="str" cm="1">
        <f t="array" ref="G482">_xll.FDSB($C482,"CS_EVENT_TIME_N("&amp;$AA$18&amp;",1)")</f>
        <v>Unspecified</v>
      </c>
      <c r="H482" s="282" t="str" cm="1">
        <f t="array" ref="H482">_xll.FDSB($C482,"CS_EVENT_DESC_N("&amp;$AA$18&amp;",1)")</f>
        <v>Q2 2026 Earnings Release (Projected)</v>
      </c>
      <c r="I482" s="282"/>
      <c r="J482" s="274" t="str" cm="1">
        <f t="array" ref="J482">_xll.FDSB($C482,"CS_EVENT_DATEJ_N("&amp;$AB$18&amp;",1)")</f>
        <v/>
      </c>
      <c r="K482" s="282" t="str" cm="1">
        <f t="array" ref="K482">_xll.FDSB($C482,"CS_EVENT_TIME_N("&amp;$AB$18&amp;",1)")</f>
        <v/>
      </c>
      <c r="L482" s="282" t="str" cm="1">
        <f t="array" ref="L482">_xll.FDSB($C482,"CS_EVENT_DESC_N("&amp;$AB$18&amp;",1)")</f>
        <v/>
      </c>
      <c r="M482" s="300"/>
      <c r="N482" s="274" cm="1">
        <f t="array" ref="N482">_xll.FDSB($C482,"CS_EVENT_DATEJ_N("&amp;$AA$18&amp;",2)")</f>
        <v>46337</v>
      </c>
      <c r="O482" s="282" t="str" cm="1">
        <f t="array" ref="O482">_xll.FDSB($C482,"CS_EVENT_TIME_N("&amp;$AA$18&amp;",2)")</f>
        <v>Unspecified</v>
      </c>
      <c r="P482" s="282" t="str" cm="1">
        <f t="array" ref="P482">_xll.FDSB($C482,"CS_EVENT_DESC_N("&amp;$AA$18&amp;",2)")</f>
        <v>Q3 2026 Earnings Release (Projected)</v>
      </c>
      <c r="Q482" s="282"/>
      <c r="R482" s="274" cm="1">
        <f t="array" ref="R482">_xll.FDSB($C482,"CS_EVENT_DATEJ_N("&amp;$AA$18&amp;",3)")</f>
        <v>46429</v>
      </c>
      <c r="S482" s="282" t="str" cm="1">
        <f t="array" ref="S482">_xll.FDSB($C482,"CS_EVENT_TIME_N("&amp;$AA$18&amp;",3)")</f>
        <v>Unspecified</v>
      </c>
      <c r="T482" s="282" t="str" cm="1">
        <f t="array" ref="T482">_xll.FDSB($C482,"CS_EVENT_DESC_N("&amp;$AA$18&amp;",3)")</f>
        <v>Q4 2026 Earnings Release (Projected)</v>
      </c>
      <c r="U482" s="282"/>
      <c r="V482" s="274" cm="1">
        <f t="array" ref="V482">_xll.FDSB($C482,"CS_EVENT_DATEJ_N("&amp;$AA$18&amp;",4)")</f>
        <v>46520</v>
      </c>
      <c r="W482" s="282" t="str" cm="1">
        <f t="array" ref="W482">_xll.FDSB($C482,"CS_EVENT_TIME_N("&amp;$AA$18&amp;",4)")</f>
        <v>Unspecified</v>
      </c>
      <c r="X482" s="282" t="str" cm="1">
        <f t="array" ref="X482">_xll.FDSB($C482,"CS_EVENT_DESC_N("&amp;$AA$18&amp;",4)")</f>
        <v>Q1 2027 Earnings Release (Projected)</v>
      </c>
    </row>
    <row r="483" spans="2:24" x14ac:dyDescent="0.15">
      <c r="B483" s="298">
        <f t="shared" si="9"/>
        <v>468</v>
      </c>
      <c r="C483" s="299" t="str">
        <v>COHR</v>
      </c>
      <c r="D483" s="300" t="str" cm="1">
        <f t="array" ref="D483">_xll.FDSB($C483,"FG_COMPANY_NAME")</f>
        <v>Coherent Corp.</v>
      </c>
      <c r="E483" s="300"/>
      <c r="F483" s="274" cm="1">
        <f t="array" ref="F483">_xll.FDSB($C483,"CS_EVENT_DATEJ_N("&amp;$AA$18&amp;",1)")</f>
        <v>46247</v>
      </c>
      <c r="G483" s="282" t="str" cm="1">
        <f t="array" ref="G483">_xll.FDSB($C483,"CS_EVENT_TIME_N("&amp;$AA$18&amp;",1)")</f>
        <v>Unspecified</v>
      </c>
      <c r="H483" s="282" t="str" cm="1">
        <f t="array" ref="H483">_xll.FDSB($C483,"CS_EVENT_DESC_N("&amp;$AA$18&amp;",1)")</f>
        <v>Q4 2026 Earnings Release (Projected)</v>
      </c>
      <c r="I483" s="282"/>
      <c r="J483" s="274" t="str" cm="1">
        <f t="array" ref="J483">_xll.FDSB($C483,"CS_EVENT_DATEJ_N("&amp;$AB$18&amp;",1)")</f>
        <v/>
      </c>
      <c r="K483" s="282" t="str" cm="1">
        <f t="array" ref="K483">_xll.FDSB($C483,"CS_EVENT_TIME_N("&amp;$AB$18&amp;",1)")</f>
        <v/>
      </c>
      <c r="L483" s="282" t="str" cm="1">
        <f t="array" ref="L483">_xll.FDSB($C483,"CS_EVENT_DESC_N("&amp;$AB$18&amp;",1)")</f>
        <v/>
      </c>
      <c r="M483" s="300"/>
      <c r="N483" s="274" cm="1">
        <f t="array" ref="N483">_xll.FDSB($C483,"CS_EVENT_DATEJ_N("&amp;$AA$18&amp;",2)")</f>
        <v>46337</v>
      </c>
      <c r="O483" s="282" t="str" cm="1">
        <f t="array" ref="O483">_xll.FDSB($C483,"CS_EVENT_TIME_N("&amp;$AA$18&amp;",2)")</f>
        <v>Unspecified</v>
      </c>
      <c r="P483" s="282" t="str" cm="1">
        <f t="array" ref="P483">_xll.FDSB($C483,"CS_EVENT_DESC_N("&amp;$AA$18&amp;",2)")</f>
        <v>Q1 2027 Earnings Release (Projected)</v>
      </c>
      <c r="Q483" s="282"/>
      <c r="R483" s="274" cm="1">
        <f t="array" ref="R483">_xll.FDSB($C483,"CS_EVENT_DATEJ_N("&amp;$AA$18&amp;",3)")</f>
        <v>46428</v>
      </c>
      <c r="S483" s="282" t="str" cm="1">
        <f t="array" ref="S483">_xll.FDSB($C483,"CS_EVENT_TIME_N("&amp;$AA$18&amp;",3)")</f>
        <v>Unspecified</v>
      </c>
      <c r="T483" s="282" t="str" cm="1">
        <f t="array" ref="T483">_xll.FDSB($C483,"CS_EVENT_DESC_N("&amp;$AA$18&amp;",3)")</f>
        <v>Q2 2027 Earnings Release (Projected)</v>
      </c>
      <c r="U483" s="282"/>
      <c r="V483" s="274" cm="1">
        <f t="array" ref="V483">_xll.FDSB($C483,"CS_EVENT_DATEJ_N("&amp;$AA$18&amp;",4)")</f>
        <v>46519</v>
      </c>
      <c r="W483" s="282" t="str" cm="1">
        <f t="array" ref="W483">_xll.FDSB($C483,"CS_EVENT_TIME_N("&amp;$AA$18&amp;",4)")</f>
        <v>Unspecified</v>
      </c>
      <c r="X483" s="282" t="str" cm="1">
        <f t="array" ref="X483">_xll.FDSB($C483,"CS_EVENT_DESC_N("&amp;$AA$18&amp;",4)")</f>
        <v>Q3 2027 Earnings Release (Projected)</v>
      </c>
    </row>
    <row r="484" spans="2:24" x14ac:dyDescent="0.15">
      <c r="B484" s="298">
        <f t="shared" si="9"/>
        <v>469</v>
      </c>
      <c r="C484" s="299" t="str">
        <v>TPR</v>
      </c>
      <c r="D484" s="300" t="str" cm="1">
        <f t="array" ref="D484">_xll.FDSB($C484,"FG_COMPANY_NAME")</f>
        <v>Tapestry, Inc.</v>
      </c>
      <c r="E484" s="300"/>
      <c r="F484" s="274" cm="1">
        <f t="array" ref="F484">_xll.FDSB($C484,"CS_EVENT_DATEJ_N("&amp;$AA$18&amp;",1)")</f>
        <v>46247</v>
      </c>
      <c r="G484" s="282" t="str" cm="1">
        <f t="array" ref="G484">_xll.FDSB($C484,"CS_EVENT_TIME_N("&amp;$AA$18&amp;",1)")</f>
        <v>Unspecified</v>
      </c>
      <c r="H484" s="282" t="str" cm="1">
        <f t="array" ref="H484">_xll.FDSB($C484,"CS_EVENT_DESC_N("&amp;$AA$18&amp;",1)")</f>
        <v>Q4 2026 Earnings Release (Projected)</v>
      </c>
      <c r="I484" s="282"/>
      <c r="J484" s="274" t="str" cm="1">
        <f t="array" ref="J484">_xll.FDSB($C484,"CS_EVENT_DATEJ_N("&amp;$AB$18&amp;",1)")</f>
        <v/>
      </c>
      <c r="K484" s="282" t="str" cm="1">
        <f t="array" ref="K484">_xll.FDSB($C484,"CS_EVENT_TIME_N("&amp;$AB$18&amp;",1)")</f>
        <v/>
      </c>
      <c r="L484" s="282" t="str" cm="1">
        <f t="array" ref="L484">_xll.FDSB($C484,"CS_EVENT_DESC_N("&amp;$AB$18&amp;",1)")</f>
        <v/>
      </c>
      <c r="M484" s="300"/>
      <c r="N484" s="274" cm="1">
        <f t="array" ref="N484">_xll.FDSB($C484,"CS_EVENT_DATEJ_N("&amp;$AA$18&amp;",2)")</f>
        <v>46331</v>
      </c>
      <c r="O484" s="282" t="str" cm="1">
        <f t="array" ref="O484">_xll.FDSB($C484,"CS_EVENT_TIME_N("&amp;$AA$18&amp;",2)")</f>
        <v>Unspecified</v>
      </c>
      <c r="P484" s="282" t="str" cm="1">
        <f t="array" ref="P484">_xll.FDSB($C484,"CS_EVENT_DESC_N("&amp;$AA$18&amp;",2)")</f>
        <v>Q1 2027 Earnings Release (Projected)</v>
      </c>
      <c r="Q484" s="282"/>
      <c r="R484" s="274" cm="1">
        <f t="array" ref="R484">_xll.FDSB($C484,"CS_EVENT_DATEJ_N("&amp;$AA$18&amp;",3)")</f>
        <v>46429</v>
      </c>
      <c r="S484" s="282" t="str" cm="1">
        <f t="array" ref="S484">_xll.FDSB($C484,"CS_EVENT_TIME_N("&amp;$AA$18&amp;",3)")</f>
        <v>Unspecified</v>
      </c>
      <c r="T484" s="282" t="str" cm="1">
        <f t="array" ref="T484">_xll.FDSB($C484,"CS_EVENT_DESC_N("&amp;$AA$18&amp;",3)")</f>
        <v>Q2 2027 Earnings Release (Projected)</v>
      </c>
      <c r="U484" s="282"/>
      <c r="V484" s="274" cm="1">
        <f t="array" ref="V484">_xll.FDSB($C484,"CS_EVENT_DATEJ_N("&amp;$AA$18&amp;",4)")</f>
        <v>46520</v>
      </c>
      <c r="W484" s="282" t="str" cm="1">
        <f t="array" ref="W484">_xll.FDSB($C484,"CS_EVENT_TIME_N("&amp;$AA$18&amp;",4)")</f>
        <v>Unspecified</v>
      </c>
      <c r="X484" s="282" t="str" cm="1">
        <f t="array" ref="X484">_xll.FDSB($C484,"CS_EVENT_DESC_N("&amp;$AA$18&amp;",4)")</f>
        <v>Q3 2027 Earnings Release (Projected)</v>
      </c>
    </row>
    <row r="485" spans="2:24" x14ac:dyDescent="0.15">
      <c r="B485" s="298">
        <f t="shared" si="9"/>
        <v>470</v>
      </c>
      <c r="C485" s="299" t="str">
        <v>ROST</v>
      </c>
      <c r="D485" s="300" t="str" cm="1">
        <f t="array" ref="D485">_xll.FDSB($C485,"FG_COMPANY_NAME")</f>
        <v>Ross Stores, Inc.</v>
      </c>
      <c r="E485" s="300"/>
      <c r="F485" s="274" cm="1">
        <f t="array" ref="F485">_xll.FDSB($C485,"CS_EVENT_DATEJ_N("&amp;$AA$18&amp;",1)")</f>
        <v>46247</v>
      </c>
      <c r="G485" s="282" t="str" cm="1">
        <f t="array" ref="G485">_xll.FDSB($C485,"CS_EVENT_TIME_N("&amp;$AA$18&amp;",1)")</f>
        <v>Unspecified</v>
      </c>
      <c r="H485" s="282" t="str" cm="1">
        <f t="array" ref="H485">_xll.FDSB($C485,"CS_EVENT_DESC_N("&amp;$AA$18&amp;",1)")</f>
        <v>Q2 2026 Earnings Release (Projected)</v>
      </c>
      <c r="I485" s="282"/>
      <c r="J485" s="274" t="str" cm="1">
        <f t="array" ref="J485">_xll.FDSB($C485,"CS_EVENT_DATEJ_N("&amp;$AB$18&amp;",1)")</f>
        <v/>
      </c>
      <c r="K485" s="282" t="str" cm="1">
        <f t="array" ref="K485">_xll.FDSB($C485,"CS_EVENT_TIME_N("&amp;$AB$18&amp;",1)")</f>
        <v/>
      </c>
      <c r="L485" s="282" t="str" cm="1">
        <f t="array" ref="L485">_xll.FDSB($C485,"CS_EVENT_DESC_N("&amp;$AB$18&amp;",1)")</f>
        <v/>
      </c>
      <c r="M485" s="300"/>
      <c r="N485" s="274" cm="1">
        <f t="array" ref="N485">_xll.FDSB($C485,"CS_EVENT_DATEJ_N("&amp;$AA$18&amp;",2)")</f>
        <v>46338</v>
      </c>
      <c r="O485" s="282" t="str" cm="1">
        <f t="array" ref="O485">_xll.FDSB($C485,"CS_EVENT_TIME_N("&amp;$AA$18&amp;",2)")</f>
        <v>Unspecified</v>
      </c>
      <c r="P485" s="282" t="str" cm="1">
        <f t="array" ref="P485">_xll.FDSB($C485,"CS_EVENT_DESC_N("&amp;$AA$18&amp;",2)")</f>
        <v>Q3 2026 Earnings Release (Projected)</v>
      </c>
      <c r="Q485" s="282"/>
      <c r="R485" s="274" cm="1">
        <f t="array" ref="R485">_xll.FDSB($C485,"CS_EVENT_DATEJ_N("&amp;$AA$18&amp;",3)")</f>
        <v>46455</v>
      </c>
      <c r="S485" s="282" t="str" cm="1">
        <f t="array" ref="S485">_xll.FDSB($C485,"CS_EVENT_TIME_N("&amp;$AA$18&amp;",3)")</f>
        <v>Unspecified</v>
      </c>
      <c r="T485" s="282" t="str" cm="1">
        <f t="array" ref="T485">_xll.FDSB($C485,"CS_EVENT_DESC_N("&amp;$AA$18&amp;",3)")</f>
        <v>Q4 2026 Earnings Release (Projected)</v>
      </c>
      <c r="U485" s="282"/>
      <c r="V485" s="274" cm="1">
        <f t="array" ref="V485">_xll.FDSB($C485,"CS_EVENT_DATEJ_N("&amp;$AA$18&amp;",4)")</f>
        <v>46534</v>
      </c>
      <c r="W485" s="282" t="str" cm="1">
        <f t="array" ref="W485">_xll.FDSB($C485,"CS_EVENT_TIME_N("&amp;$AA$18&amp;",4)")</f>
        <v>Unspecified</v>
      </c>
      <c r="X485" s="282" t="str" cm="1">
        <f t="array" ref="X485">_xll.FDSB($C485,"CS_EVENT_DESC_N("&amp;$AA$18&amp;",4)")</f>
        <v>Q1 2027 Earnings Release (Projected)</v>
      </c>
    </row>
    <row r="486" spans="2:24" x14ac:dyDescent="0.15">
      <c r="B486" s="298">
        <f t="shared" si="9"/>
        <v>471</v>
      </c>
      <c r="C486" s="299" t="str">
        <v>AMAT</v>
      </c>
      <c r="D486" s="300" t="str" cm="1">
        <f t="array" ref="D486">_xll.FDSB($C486,"FG_COMPANY_NAME")</f>
        <v>Applied Materials, Inc.</v>
      </c>
      <c r="E486" s="300"/>
      <c r="F486" s="274" cm="1">
        <f t="array" ref="F486">_xll.FDSB($C486,"CS_EVENT_DATEJ_N("&amp;$AA$18&amp;",1)")</f>
        <v>46247</v>
      </c>
      <c r="G486" s="282" t="str" cm="1">
        <f t="array" ref="G486">_xll.FDSB($C486,"CS_EVENT_TIME_N("&amp;$AA$18&amp;",1)")</f>
        <v>4:01 PM</v>
      </c>
      <c r="H486" s="282" t="str" cm="1">
        <f t="array" ref="H486">_xll.FDSB($C486,"CS_EVENT_DESC_N("&amp;$AA$18&amp;",1)")</f>
        <v>Q3 2026 Earnings Release</v>
      </c>
      <c r="I486" s="282"/>
      <c r="J486" s="274" t="str" cm="1">
        <f t="array" ref="J486">_xll.FDSB($C486,"CS_EVENT_DATEJ_N("&amp;$AB$18&amp;",1)")</f>
        <v/>
      </c>
      <c r="K486" s="282" t="str" cm="1">
        <f t="array" ref="K486">_xll.FDSB($C486,"CS_EVENT_TIME_N("&amp;$AB$18&amp;",1)")</f>
        <v/>
      </c>
      <c r="L486" s="282" t="str" cm="1">
        <f t="array" ref="L486">_xll.FDSB($C486,"CS_EVENT_DESC_N("&amp;$AB$18&amp;",1)")</f>
        <v/>
      </c>
      <c r="M486" s="300"/>
      <c r="N486" s="274" cm="1">
        <f t="array" ref="N486">_xll.FDSB($C486,"CS_EVENT_DATEJ_N("&amp;$AA$18&amp;",2)")</f>
        <v>46338</v>
      </c>
      <c r="O486" s="282" t="str" cm="1">
        <f t="array" ref="O486">_xll.FDSB($C486,"CS_EVENT_TIME_N("&amp;$AA$18&amp;",2)")</f>
        <v>4:01 PM</v>
      </c>
      <c r="P486" s="282" t="str" cm="1">
        <f t="array" ref="P486">_xll.FDSB($C486,"CS_EVENT_DESC_N("&amp;$AA$18&amp;",2)")</f>
        <v>Q4 2026 Earnings Release</v>
      </c>
      <c r="Q486" s="282"/>
      <c r="R486" s="274" cm="1">
        <f t="array" ref="R486">_xll.FDSB($C486,"CS_EVENT_DATEJ_N("&amp;$AA$18&amp;",3)")</f>
        <v>46436</v>
      </c>
      <c r="S486" s="282" t="str" cm="1">
        <f t="array" ref="S486">_xll.FDSB($C486,"CS_EVENT_TIME_N("&amp;$AA$18&amp;",3)")</f>
        <v>Unspecified</v>
      </c>
      <c r="T486" s="282" t="str" cm="1">
        <f t="array" ref="T486">_xll.FDSB($C486,"CS_EVENT_DESC_N("&amp;$AA$18&amp;",3)")</f>
        <v>Q1 2027 Earnings Release (Projected)</v>
      </c>
      <c r="U486" s="282"/>
      <c r="V486" s="274" cm="1">
        <f t="array" ref="V486">_xll.FDSB($C486,"CS_EVENT_DATEJ_N("&amp;$AA$18&amp;",4)")</f>
        <v>46527</v>
      </c>
      <c r="W486" s="282" t="str" cm="1">
        <f t="array" ref="W486">_xll.FDSB($C486,"CS_EVENT_TIME_N("&amp;$AA$18&amp;",4)")</f>
        <v>Unspecified</v>
      </c>
      <c r="X486" s="282" t="str" cm="1">
        <f t="array" ref="X486">_xll.FDSB($C486,"CS_EVENT_DESC_N("&amp;$AA$18&amp;",4)")</f>
        <v>Q2 2027 Earnings Release (Projected)</v>
      </c>
    </row>
    <row r="487" spans="2:24" x14ac:dyDescent="0.15">
      <c r="B487" s="298">
        <f t="shared" si="9"/>
        <v>472</v>
      </c>
      <c r="C487" s="299" t="str">
        <v>SNDK</v>
      </c>
      <c r="D487" s="300" t="str" cm="1">
        <f t="array" ref="D487">_xll.FDSB($C487,"FG_COMPANY_NAME")</f>
        <v>Sandisk Corporation</v>
      </c>
      <c r="E487" s="300"/>
      <c r="F487" s="274" cm="1">
        <f t="array" ref="F487">_xll.FDSB($C487,"CS_EVENT_DATEJ_N("&amp;$AA$18&amp;",1)")</f>
        <v>46247</v>
      </c>
      <c r="G487" s="282" t="str" cm="1">
        <f t="array" ref="G487">_xll.FDSB($C487,"CS_EVENT_TIME_N("&amp;$AA$18&amp;",1)")</f>
        <v>Unspecified</v>
      </c>
      <c r="H487" s="282" t="str" cm="1">
        <f t="array" ref="H487">_xll.FDSB($C487,"CS_EVENT_DESC_N("&amp;$AA$18&amp;",1)")</f>
        <v>Q4 2026 Earnings Release (Projected)</v>
      </c>
      <c r="I487" s="282"/>
      <c r="J487" s="274" t="str" cm="1">
        <f t="array" ref="J487">_xll.FDSB($C487,"CS_EVENT_DATEJ_N("&amp;$AB$18&amp;",1)")</f>
        <v/>
      </c>
      <c r="K487" s="282" t="str" cm="1">
        <f t="array" ref="K487">_xll.FDSB($C487,"CS_EVENT_TIME_N("&amp;$AB$18&amp;",1)")</f>
        <v/>
      </c>
      <c r="L487" s="282" t="str" cm="1">
        <f t="array" ref="L487">_xll.FDSB($C487,"CS_EVENT_DESC_N("&amp;$AB$18&amp;",1)")</f>
        <v/>
      </c>
      <c r="M487" s="300"/>
      <c r="N487" s="274" cm="1">
        <f t="array" ref="N487">_xll.FDSB($C487,"CS_EVENT_DATEJ_N("&amp;$AA$18&amp;",2)")</f>
        <v>46331</v>
      </c>
      <c r="O487" s="282" t="str" cm="1">
        <f t="array" ref="O487">_xll.FDSB($C487,"CS_EVENT_TIME_N("&amp;$AA$18&amp;",2)")</f>
        <v>Unspecified</v>
      </c>
      <c r="P487" s="282" t="str" cm="1">
        <f t="array" ref="P487">_xll.FDSB($C487,"CS_EVENT_DESC_N("&amp;$AA$18&amp;",2)")</f>
        <v>Q1 2027 Earnings Release (Projected)</v>
      </c>
      <c r="Q487" s="282"/>
      <c r="R487" s="274" cm="1">
        <f t="array" ref="R487">_xll.FDSB($C487,"CS_EVENT_DATEJ_N("&amp;$AA$18&amp;",3)")</f>
        <v>46519</v>
      </c>
      <c r="S487" s="282" t="str" cm="1">
        <f t="array" ref="S487">_xll.FDSB($C487,"CS_EVENT_TIME_N("&amp;$AA$18&amp;",3)")</f>
        <v>Unspecified</v>
      </c>
      <c r="T487" s="282" t="str" cm="1">
        <f t="array" ref="T487">_xll.FDSB($C487,"CS_EVENT_DESC_N("&amp;$AA$18&amp;",3)")</f>
        <v>Q3 2027 Earnings Release (Projected)</v>
      </c>
      <c r="U487" s="282"/>
      <c r="V487" s="274" cm="1">
        <f t="array" ref="V487">_xll.FDSB($C487,"CS_EVENT_DATEJ_N("&amp;$AA$18&amp;",4)")</f>
        <v>46618</v>
      </c>
      <c r="W487" s="282" t="str" cm="1">
        <f t="array" ref="W487">_xll.FDSB($C487,"CS_EVENT_TIME_N("&amp;$AA$18&amp;",4)")</f>
        <v>Unspecified</v>
      </c>
      <c r="X487" s="282" t="str" cm="1">
        <f t="array" ref="X487">_xll.FDSB($C487,"CS_EVENT_DESC_N("&amp;$AA$18&amp;",4)")</f>
        <v>Q4 2027 Earnings Release (Projected)</v>
      </c>
    </row>
    <row r="488" spans="2:24" x14ac:dyDescent="0.15">
      <c r="B488" s="298">
        <f t="shared" si="9"/>
        <v>473</v>
      </c>
      <c r="C488" s="299" t="str">
        <v>CAH</v>
      </c>
      <c r="D488" s="300" t="str" cm="1">
        <f t="array" ref="D488">_xll.FDSB($C488,"FG_COMPANY_NAME")</f>
        <v>Cardinal Health, Inc.</v>
      </c>
      <c r="E488" s="300"/>
      <c r="F488" s="274" cm="1">
        <f t="array" ref="F488">_xll.FDSB($C488,"CS_EVENT_DATEJ_N("&amp;$AA$18&amp;",1)")</f>
        <v>46252</v>
      </c>
      <c r="G488" s="282" t="str" cm="1">
        <f t="array" ref="G488">_xll.FDSB($C488,"CS_EVENT_TIME_N("&amp;$AA$18&amp;",1)")</f>
        <v>Unspecified</v>
      </c>
      <c r="H488" s="282" t="str" cm="1">
        <f t="array" ref="H488">_xll.FDSB($C488,"CS_EVENT_DESC_N("&amp;$AA$18&amp;",1)")</f>
        <v>Q4 2026 Earnings Release (Projected)</v>
      </c>
      <c r="I488" s="282"/>
      <c r="J488" s="274" t="str" cm="1">
        <f t="array" ref="J488">_xll.FDSB($C488,"CS_EVENT_DATEJ_N("&amp;$AB$18&amp;",1)")</f>
        <v/>
      </c>
      <c r="K488" s="282" t="str" cm="1">
        <f t="array" ref="K488">_xll.FDSB($C488,"CS_EVENT_TIME_N("&amp;$AB$18&amp;",1)")</f>
        <v/>
      </c>
      <c r="L488" s="282" t="str" cm="1">
        <f t="array" ref="L488">_xll.FDSB($C488,"CS_EVENT_DESC_N("&amp;$AB$18&amp;",1)")</f>
        <v/>
      </c>
      <c r="M488" s="300"/>
      <c r="N488" s="274" cm="1">
        <f t="array" ref="N488">_xll.FDSB($C488,"CS_EVENT_DATEJ_N("&amp;$AA$18&amp;",2)")</f>
        <v>46325</v>
      </c>
      <c r="O488" s="282" t="str" cm="1">
        <f t="array" ref="O488">_xll.FDSB($C488,"CS_EVENT_TIME_N("&amp;$AA$18&amp;",2)")</f>
        <v>Unspecified</v>
      </c>
      <c r="P488" s="282" t="str" cm="1">
        <f t="array" ref="P488">_xll.FDSB($C488,"CS_EVENT_DESC_N("&amp;$AA$18&amp;",2)")</f>
        <v>Q1 2027 Earnings Release (Projected)</v>
      </c>
      <c r="Q488" s="282"/>
      <c r="R488" s="274" cm="1">
        <f t="array" ref="R488">_xll.FDSB($C488,"CS_EVENT_DATEJ_N("&amp;$AA$18&amp;",3)")</f>
        <v>46422</v>
      </c>
      <c r="S488" s="282" t="str" cm="1">
        <f t="array" ref="S488">_xll.FDSB($C488,"CS_EVENT_TIME_N("&amp;$AA$18&amp;",3)")</f>
        <v>Unspecified</v>
      </c>
      <c r="T488" s="282" t="str" cm="1">
        <f t="array" ref="T488">_xll.FDSB($C488,"CS_EVENT_DESC_N("&amp;$AA$18&amp;",3)")</f>
        <v>Q2 2027 Earnings Release (Projected)</v>
      </c>
      <c r="U488" s="282"/>
      <c r="V488" s="274" cm="1">
        <f t="array" ref="V488">_xll.FDSB($C488,"CS_EVENT_DATEJ_N("&amp;$AA$18&amp;",4)")</f>
        <v>46513</v>
      </c>
      <c r="W488" s="282" t="str" cm="1">
        <f t="array" ref="W488">_xll.FDSB($C488,"CS_EVENT_TIME_N("&amp;$AA$18&amp;",4)")</f>
        <v>Unspecified</v>
      </c>
      <c r="X488" s="282" t="str" cm="1">
        <f t="array" ref="X488">_xll.FDSB($C488,"CS_EVENT_DESC_N("&amp;$AA$18&amp;",4)")</f>
        <v>Q3 2027 Earnings Release (Projected)</v>
      </c>
    </row>
    <row r="489" spans="2:24" x14ac:dyDescent="0.15">
      <c r="B489" s="298">
        <f t="shared" si="9"/>
        <v>474</v>
      </c>
      <c r="C489" s="299" t="str">
        <v>A</v>
      </c>
      <c r="D489" s="300" t="str" cm="1">
        <f t="array" ref="D489">_xll.FDSB($C489,"FG_COMPANY_NAME")</f>
        <v>Agilent Technologies, Inc.</v>
      </c>
      <c r="E489" s="300"/>
      <c r="F489" s="274" cm="1">
        <f t="array" ref="F489">_xll.FDSB($C489,"CS_EVENT_DATEJ_N("&amp;$AA$18&amp;",1)")</f>
        <v>46252</v>
      </c>
      <c r="G489" s="282" t="str" cm="1">
        <f t="array" ref="G489">_xll.FDSB($C489,"CS_EVENT_TIME_N("&amp;$AA$18&amp;",1)")</f>
        <v>Unspecified</v>
      </c>
      <c r="H489" s="282" t="str" cm="1">
        <f t="array" ref="H489">_xll.FDSB($C489,"CS_EVENT_DESC_N("&amp;$AA$18&amp;",1)")</f>
        <v>Q3 2026 Earnings Release (Projected)</v>
      </c>
      <c r="I489" s="282"/>
      <c r="J489" s="274" t="str" cm="1">
        <f t="array" ref="J489">_xll.FDSB($C489,"CS_EVENT_DATEJ_N("&amp;$AB$18&amp;",1)")</f>
        <v/>
      </c>
      <c r="K489" s="282" t="str" cm="1">
        <f t="array" ref="K489">_xll.FDSB($C489,"CS_EVENT_TIME_N("&amp;$AB$18&amp;",1)")</f>
        <v/>
      </c>
      <c r="L489" s="282" t="str" cm="1">
        <f t="array" ref="L489">_xll.FDSB($C489,"CS_EVENT_DESC_N("&amp;$AB$18&amp;",1)")</f>
        <v/>
      </c>
      <c r="M489" s="300"/>
      <c r="N489" s="274" cm="1">
        <f t="array" ref="N489">_xll.FDSB($C489,"CS_EVENT_DATEJ_N("&amp;$AA$18&amp;",2)")</f>
        <v>46356</v>
      </c>
      <c r="O489" s="282" t="str" cm="1">
        <f t="array" ref="O489">_xll.FDSB($C489,"CS_EVENT_TIME_N("&amp;$AA$18&amp;",2)")</f>
        <v>Unspecified</v>
      </c>
      <c r="P489" s="282" t="str" cm="1">
        <f t="array" ref="P489">_xll.FDSB($C489,"CS_EVENT_DESC_N("&amp;$AA$18&amp;",2)")</f>
        <v>Q4 2026 Earnings Release (Projected)</v>
      </c>
      <c r="Q489" s="282"/>
      <c r="R489" s="274" cm="1">
        <f t="array" ref="R489">_xll.FDSB($C489,"CS_EVENT_DATEJ_N("&amp;$AA$18&amp;",3)")</f>
        <v>46448</v>
      </c>
      <c r="S489" s="282" t="str" cm="1">
        <f t="array" ref="S489">_xll.FDSB($C489,"CS_EVENT_TIME_N("&amp;$AA$18&amp;",3)")</f>
        <v>Unspecified</v>
      </c>
      <c r="T489" s="282" t="str" cm="1">
        <f t="array" ref="T489">_xll.FDSB($C489,"CS_EVENT_DESC_N("&amp;$AA$18&amp;",3)")</f>
        <v>Q1 2027 Earnings Release (Projected)</v>
      </c>
      <c r="U489" s="282"/>
      <c r="V489" s="274" cm="1">
        <f t="array" ref="V489">_xll.FDSB($C489,"CS_EVENT_DATEJ_N("&amp;$AA$18&amp;",4)")</f>
        <v>46532</v>
      </c>
      <c r="W489" s="282" t="str" cm="1">
        <f t="array" ref="W489">_xll.FDSB($C489,"CS_EVENT_TIME_N("&amp;$AA$18&amp;",4)")</f>
        <v>Unspecified</v>
      </c>
      <c r="X489" s="282" t="str" cm="1">
        <f t="array" ref="X489">_xll.FDSB($C489,"CS_EVENT_DESC_N("&amp;$AA$18&amp;",4)")</f>
        <v>Q2 2027 Earnings Release (Projected)</v>
      </c>
    </row>
    <row r="490" spans="2:24" x14ac:dyDescent="0.15">
      <c r="B490" s="298">
        <f t="shared" si="9"/>
        <v>475</v>
      </c>
      <c r="C490" s="299" t="str">
        <v>HD</v>
      </c>
      <c r="D490" s="300" t="str" cm="1">
        <f t="array" ref="D490">_xll.FDSB($C490,"FG_COMPANY_NAME")</f>
        <v>Home Depot, Inc.</v>
      </c>
      <c r="E490" s="300"/>
      <c r="F490" s="274" cm="1">
        <f t="array" ref="F490">_xll.FDSB($C490,"CS_EVENT_DATEJ_N("&amp;$AA$18&amp;",1)")</f>
        <v>46252</v>
      </c>
      <c r="G490" s="282" t="str" cm="1">
        <f t="array" ref="G490">_xll.FDSB($C490,"CS_EVENT_TIME_N("&amp;$AA$18&amp;",1)")</f>
        <v>6:00 AM</v>
      </c>
      <c r="H490" s="282" t="str" cm="1">
        <f t="array" ref="H490">_xll.FDSB($C490,"CS_EVENT_DESC_N("&amp;$AA$18&amp;",1)")</f>
        <v>Q2 2026 Earnings Release</v>
      </c>
      <c r="I490" s="282"/>
      <c r="J490" s="274" cm="1">
        <f t="array" ref="J490">_xll.FDSB($C490,"CS_EVENT_DATEJ_N("&amp;$AB$18&amp;",1)")</f>
        <v>46252</v>
      </c>
      <c r="K490" s="282" t="str" cm="1">
        <f t="array" ref="K490">_xll.FDSB($C490,"CS_EVENT_TIME_N("&amp;$AB$18&amp;",1)")</f>
        <v>9:00 AM</v>
      </c>
      <c r="L490" s="282" t="str" cm="1">
        <f t="array" ref="L490">_xll.FDSB($C490,"CS_EVENT_DESC_N("&amp;$AB$18&amp;",1)")</f>
        <v>Q2 2026 Earnings Call</v>
      </c>
      <c r="M490" s="300"/>
      <c r="N490" s="274" cm="1">
        <f t="array" ref="N490">_xll.FDSB($C490,"CS_EVENT_DATEJ_N("&amp;$AA$18&amp;",2)")</f>
        <v>46343</v>
      </c>
      <c r="O490" s="282" t="str" cm="1">
        <f t="array" ref="O490">_xll.FDSB($C490,"CS_EVENT_TIME_N("&amp;$AA$18&amp;",2)")</f>
        <v>6:00 AM</v>
      </c>
      <c r="P490" s="282" t="str" cm="1">
        <f t="array" ref="P490">_xll.FDSB($C490,"CS_EVENT_DESC_N("&amp;$AA$18&amp;",2)")</f>
        <v>Q3 2026 Earnings Release</v>
      </c>
      <c r="Q490" s="282"/>
      <c r="R490" s="274" cm="1">
        <f t="array" ref="R490">_xll.FDSB($C490,"CS_EVENT_DATEJ_N("&amp;$AA$18&amp;",3)")</f>
        <v>46441</v>
      </c>
      <c r="S490" s="282" t="str" cm="1">
        <f t="array" ref="S490">_xll.FDSB($C490,"CS_EVENT_TIME_N("&amp;$AA$18&amp;",3)")</f>
        <v>Unspecified</v>
      </c>
      <c r="T490" s="282" t="str" cm="1">
        <f t="array" ref="T490">_xll.FDSB($C490,"CS_EVENT_DESC_N("&amp;$AA$18&amp;",3)")</f>
        <v>Q4 2026 Earnings Release (Projected)</v>
      </c>
      <c r="U490" s="282"/>
      <c r="V490" s="274" cm="1">
        <f t="array" ref="V490">_xll.FDSB($C490,"CS_EVENT_DATEJ_N("&amp;$AA$18&amp;",4)")</f>
        <v>46525</v>
      </c>
      <c r="W490" s="282" t="str" cm="1">
        <f t="array" ref="W490">_xll.FDSB($C490,"CS_EVENT_TIME_N("&amp;$AA$18&amp;",4)")</f>
        <v>Unspecified</v>
      </c>
      <c r="X490" s="282" t="str" cm="1">
        <f t="array" ref="X490">_xll.FDSB($C490,"CS_EVENT_DESC_N("&amp;$AA$18&amp;",4)")</f>
        <v>Q1 2027 Earnings Release (Projected)</v>
      </c>
    </row>
    <row r="491" spans="2:24" x14ac:dyDescent="0.15">
      <c r="B491" s="298">
        <f t="shared" si="9"/>
        <v>476</v>
      </c>
      <c r="C491" s="299" t="str">
        <v>LITE</v>
      </c>
      <c r="D491" s="300" t="str" cm="1">
        <f t="array" ref="D491">_xll.FDSB($C491,"FG_COMPANY_NAME")</f>
        <v>Lumentum Holdings, Inc.</v>
      </c>
      <c r="E491" s="300"/>
      <c r="F491" s="274" cm="1">
        <f t="array" ref="F491">_xll.FDSB($C491,"CS_EVENT_DATEJ_N("&amp;$AA$18&amp;",1)")</f>
        <v>46252</v>
      </c>
      <c r="G491" s="282" t="str" cm="1">
        <f t="array" ref="G491">_xll.FDSB($C491,"CS_EVENT_TIME_N("&amp;$AA$18&amp;",1)")</f>
        <v>Unspecified</v>
      </c>
      <c r="H491" s="282" t="str" cm="1">
        <f t="array" ref="H491">_xll.FDSB($C491,"CS_EVENT_DESC_N("&amp;$AA$18&amp;",1)")</f>
        <v>Q4 2026 Earnings Release (Projected)</v>
      </c>
      <c r="I491" s="282"/>
      <c r="J491" s="274" t="str" cm="1">
        <f t="array" ref="J491">_xll.FDSB($C491,"CS_EVENT_DATEJ_N("&amp;$AB$18&amp;",1)")</f>
        <v/>
      </c>
      <c r="K491" s="282" t="str" cm="1">
        <f t="array" ref="K491">_xll.FDSB($C491,"CS_EVENT_TIME_N("&amp;$AB$18&amp;",1)")</f>
        <v/>
      </c>
      <c r="L491" s="282" t="str" cm="1">
        <f t="array" ref="L491">_xll.FDSB($C491,"CS_EVENT_DESC_N("&amp;$AB$18&amp;",1)")</f>
        <v/>
      </c>
      <c r="M491" s="300"/>
      <c r="N491" s="274" cm="1">
        <f t="array" ref="N491">_xll.FDSB($C491,"CS_EVENT_DATEJ_N("&amp;$AA$18&amp;",2)")</f>
        <v>46336</v>
      </c>
      <c r="O491" s="282" t="str" cm="1">
        <f t="array" ref="O491">_xll.FDSB($C491,"CS_EVENT_TIME_N("&amp;$AA$18&amp;",2)")</f>
        <v>Unspecified</v>
      </c>
      <c r="P491" s="282" t="str" cm="1">
        <f t="array" ref="P491">_xll.FDSB($C491,"CS_EVENT_DESC_N("&amp;$AA$18&amp;",2)")</f>
        <v>Q1 2027 Earnings Release (Projected)</v>
      </c>
      <c r="Q491" s="282"/>
      <c r="R491" s="274" cm="1">
        <f t="array" ref="R491">_xll.FDSB($C491,"CS_EVENT_DATEJ_N("&amp;$AA$18&amp;",3)")</f>
        <v>46429</v>
      </c>
      <c r="S491" s="282" t="str" cm="1">
        <f t="array" ref="S491">_xll.FDSB($C491,"CS_EVENT_TIME_N("&amp;$AA$18&amp;",3)")</f>
        <v>Unspecified</v>
      </c>
      <c r="T491" s="282" t="str" cm="1">
        <f t="array" ref="T491">_xll.FDSB($C491,"CS_EVENT_DESC_N("&amp;$AA$18&amp;",3)")</f>
        <v>Q2 2027 Earnings Release (Projected)</v>
      </c>
      <c r="U491" s="282"/>
      <c r="V491" s="274" cm="1">
        <f t="array" ref="V491">_xll.FDSB($C491,"CS_EVENT_DATEJ_N("&amp;$AA$18&amp;",4)")</f>
        <v>46518</v>
      </c>
      <c r="W491" s="282" t="str" cm="1">
        <f t="array" ref="W491">_xll.FDSB($C491,"CS_EVENT_TIME_N("&amp;$AA$18&amp;",4)")</f>
        <v>Unspecified</v>
      </c>
      <c r="X491" s="282" t="str" cm="1">
        <f t="array" ref="X491">_xll.FDSB($C491,"CS_EVENT_DESC_N("&amp;$AA$18&amp;",4)")</f>
        <v>Q3 2027 Earnings Release (Projected)</v>
      </c>
    </row>
    <row r="492" spans="2:24" x14ac:dyDescent="0.15">
      <c r="B492" s="298">
        <f t="shared" si="9"/>
        <v>477</v>
      </c>
      <c r="C492" s="299" t="str">
        <v>TJX</v>
      </c>
      <c r="D492" s="300" t="str" cm="1">
        <f t="array" ref="D492">_xll.FDSB($C492,"FG_COMPANY_NAME")</f>
        <v>TJX Companies Inc</v>
      </c>
      <c r="E492" s="300"/>
      <c r="F492" s="274" cm="1">
        <f t="array" ref="F492">_xll.FDSB($C492,"CS_EVENT_DATEJ_N("&amp;$AA$18&amp;",1)")</f>
        <v>46253</v>
      </c>
      <c r="G492" s="282" t="str" cm="1">
        <f t="array" ref="G492">_xll.FDSB($C492,"CS_EVENT_TIME_N("&amp;$AA$18&amp;",1)")</f>
        <v>Unspecified</v>
      </c>
      <c r="H492" s="282" t="str" cm="1">
        <f t="array" ref="H492">_xll.FDSB($C492,"CS_EVENT_DESC_N("&amp;$AA$18&amp;",1)")</f>
        <v>Q2 2027 Earnings Release</v>
      </c>
      <c r="I492" s="282"/>
      <c r="J492" s="274" t="str" cm="1">
        <f t="array" ref="J492">_xll.FDSB($C492,"CS_EVENT_DATEJ_N("&amp;$AB$18&amp;",1)")</f>
        <v/>
      </c>
      <c r="K492" s="282" t="str" cm="1">
        <f t="array" ref="K492">_xll.FDSB($C492,"CS_EVENT_TIME_N("&amp;$AB$18&amp;",1)")</f>
        <v/>
      </c>
      <c r="L492" s="282" t="str" cm="1">
        <f t="array" ref="L492">_xll.FDSB($C492,"CS_EVENT_DESC_N("&amp;$AB$18&amp;",1)")</f>
        <v/>
      </c>
      <c r="M492" s="300"/>
      <c r="N492" s="274" cm="1">
        <f t="array" ref="N492">_xll.FDSB($C492,"CS_EVENT_DATEJ_N("&amp;$AA$18&amp;",2)")</f>
        <v>46344</v>
      </c>
      <c r="O492" s="282" t="str" cm="1">
        <f t="array" ref="O492">_xll.FDSB($C492,"CS_EVENT_TIME_N("&amp;$AA$18&amp;",2)")</f>
        <v>Unspecified</v>
      </c>
      <c r="P492" s="282" t="str" cm="1">
        <f t="array" ref="P492">_xll.FDSB($C492,"CS_EVENT_DESC_N("&amp;$AA$18&amp;",2)")</f>
        <v>Q3 2027 Earnings Release</v>
      </c>
      <c r="Q492" s="282"/>
      <c r="R492" s="274" cm="1">
        <f t="array" ref="R492">_xll.FDSB($C492,"CS_EVENT_DATEJ_N("&amp;$AA$18&amp;",3)")</f>
        <v>46442</v>
      </c>
      <c r="S492" s="282" t="str" cm="1">
        <f t="array" ref="S492">_xll.FDSB($C492,"CS_EVENT_TIME_N("&amp;$AA$18&amp;",3)")</f>
        <v>Unspecified</v>
      </c>
      <c r="T492" s="282" t="str" cm="1">
        <f t="array" ref="T492">_xll.FDSB($C492,"CS_EVENT_DESC_N("&amp;$AA$18&amp;",3)")</f>
        <v>Q4 2027 Earnings Release</v>
      </c>
      <c r="U492" s="282"/>
      <c r="V492" s="274" cm="1">
        <f t="array" ref="V492">_xll.FDSB($C492,"CS_EVENT_DATEJ_N("&amp;$AA$18&amp;",4)")</f>
        <v>46526</v>
      </c>
      <c r="W492" s="282" t="str" cm="1">
        <f t="array" ref="W492">_xll.FDSB($C492,"CS_EVENT_TIME_N("&amp;$AA$18&amp;",4)")</f>
        <v>Unspecified</v>
      </c>
      <c r="X492" s="282" t="str" cm="1">
        <f t="array" ref="X492">_xll.FDSB($C492,"CS_EVENT_DESC_N("&amp;$AA$18&amp;",4)")</f>
        <v>Q1 2028 Earnings Release (Projected)</v>
      </c>
    </row>
    <row r="493" spans="2:24" x14ac:dyDescent="0.15">
      <c r="B493" s="298">
        <f t="shared" si="9"/>
        <v>478</v>
      </c>
      <c r="C493" s="299" t="str">
        <v>TGT</v>
      </c>
      <c r="D493" s="300" t="str" cm="1">
        <f t="array" ref="D493">_xll.FDSB($C493,"FG_COMPANY_NAME")</f>
        <v>Target Corporation</v>
      </c>
      <c r="E493" s="300"/>
      <c r="F493" s="274" cm="1">
        <f t="array" ref="F493">_xll.FDSB($C493,"CS_EVENT_DATEJ_N("&amp;$AA$18&amp;",1)")</f>
        <v>46253</v>
      </c>
      <c r="G493" s="282" t="str" cm="1">
        <f t="array" ref="G493">_xll.FDSB($C493,"CS_EVENT_TIME_N("&amp;$AA$18&amp;",1)")</f>
        <v>Unspecified</v>
      </c>
      <c r="H493" s="282" t="str" cm="1">
        <f t="array" ref="H493">_xll.FDSB($C493,"CS_EVENT_DESC_N("&amp;$AA$18&amp;",1)")</f>
        <v>Q2 2026 Earnings Release (Projected)</v>
      </c>
      <c r="I493" s="282"/>
      <c r="J493" s="274" t="str" cm="1">
        <f t="array" ref="J493">_xll.FDSB($C493,"CS_EVENT_DATEJ_N("&amp;$AB$18&amp;",1)")</f>
        <v/>
      </c>
      <c r="K493" s="282" t="str" cm="1">
        <f t="array" ref="K493">_xll.FDSB($C493,"CS_EVENT_TIME_N("&amp;$AB$18&amp;",1)")</f>
        <v/>
      </c>
      <c r="L493" s="282" t="str" cm="1">
        <f t="array" ref="L493">_xll.FDSB($C493,"CS_EVENT_DESC_N("&amp;$AB$18&amp;",1)")</f>
        <v/>
      </c>
      <c r="M493" s="300"/>
      <c r="N493" s="274" cm="1">
        <f t="array" ref="N493">_xll.FDSB($C493,"CS_EVENT_DATEJ_N("&amp;$AA$18&amp;",2)")</f>
        <v>46344</v>
      </c>
      <c r="O493" s="282" t="str" cm="1">
        <f t="array" ref="O493">_xll.FDSB($C493,"CS_EVENT_TIME_N("&amp;$AA$18&amp;",2)")</f>
        <v>Unspecified</v>
      </c>
      <c r="P493" s="282" t="str" cm="1">
        <f t="array" ref="P493">_xll.FDSB($C493,"CS_EVENT_DESC_N("&amp;$AA$18&amp;",2)")</f>
        <v>Q3 2026 Earnings Release (Projected)</v>
      </c>
      <c r="Q493" s="282"/>
      <c r="R493" s="274" cm="1">
        <f t="array" ref="R493">_xll.FDSB($C493,"CS_EVENT_DATEJ_N("&amp;$AA$18&amp;",3)")</f>
        <v>46448</v>
      </c>
      <c r="S493" s="282" t="str" cm="1">
        <f t="array" ref="S493">_xll.FDSB($C493,"CS_EVENT_TIME_N("&amp;$AA$18&amp;",3)")</f>
        <v>Unspecified</v>
      </c>
      <c r="T493" s="282" t="str" cm="1">
        <f t="array" ref="T493">_xll.FDSB($C493,"CS_EVENT_DESC_N("&amp;$AA$18&amp;",3)")</f>
        <v>Q4 2026 Earnings Release (Projected)</v>
      </c>
      <c r="U493" s="282"/>
      <c r="V493" s="274" cm="1">
        <f t="array" ref="V493">_xll.FDSB($C493,"CS_EVENT_DATEJ_N("&amp;$AA$18&amp;",4)")</f>
        <v>46526</v>
      </c>
      <c r="W493" s="282" t="str" cm="1">
        <f t="array" ref="W493">_xll.FDSB($C493,"CS_EVENT_TIME_N("&amp;$AA$18&amp;",4)")</f>
        <v>Unspecified</v>
      </c>
      <c r="X493" s="282" t="str" cm="1">
        <f t="array" ref="X493">_xll.FDSB($C493,"CS_EVENT_DESC_N("&amp;$AA$18&amp;",4)")</f>
        <v>Q1 2027 Earnings Release (Projected)</v>
      </c>
    </row>
    <row r="494" spans="2:24" x14ac:dyDescent="0.15">
      <c r="B494" s="298">
        <f t="shared" si="9"/>
        <v>479</v>
      </c>
      <c r="C494" s="299" t="str">
        <v>EL</v>
      </c>
      <c r="D494" s="300" t="str" cm="1">
        <f t="array" ref="D494">_xll.FDSB($C494,"FG_COMPANY_NAME")</f>
        <v>Estee Lauder Companies Inc. Class A</v>
      </c>
      <c r="E494" s="300"/>
      <c r="F494" s="274" cm="1">
        <f t="array" ref="F494">_xll.FDSB($C494,"CS_EVENT_DATEJ_N("&amp;$AA$18&amp;",1)")</f>
        <v>46253</v>
      </c>
      <c r="G494" s="282" t="str" cm="1">
        <f t="array" ref="G494">_xll.FDSB($C494,"CS_EVENT_TIME_N("&amp;$AA$18&amp;",1)")</f>
        <v>Before Market</v>
      </c>
      <c r="H494" s="282" t="str" cm="1">
        <f t="array" ref="H494">_xll.FDSB($C494,"CS_EVENT_DESC_N("&amp;$AA$18&amp;",1)")</f>
        <v>Q4 2026 Earnings Release</v>
      </c>
      <c r="I494" s="282"/>
      <c r="J494" s="274" cm="1">
        <f t="array" ref="J494">_xll.FDSB($C494,"CS_EVENT_DATEJ_N("&amp;$AB$18&amp;",1)")</f>
        <v>46253</v>
      </c>
      <c r="K494" s="282" t="str" cm="1">
        <f t="array" ref="K494">_xll.FDSB($C494,"CS_EVENT_TIME_N("&amp;$AB$18&amp;",1)")</f>
        <v>8:30 AM</v>
      </c>
      <c r="L494" s="282" t="str" cm="1">
        <f t="array" ref="L494">_xll.FDSB($C494,"CS_EVENT_DESC_N("&amp;$AB$18&amp;",1)")</f>
        <v>Q4 2026 Earnings Call</v>
      </c>
      <c r="M494" s="300"/>
      <c r="N494" s="274" cm="1">
        <f t="array" ref="N494">_xll.FDSB($C494,"CS_EVENT_DATEJ_N("&amp;$AA$18&amp;",2)")</f>
        <v>46328</v>
      </c>
      <c r="O494" s="282" t="str" cm="1">
        <f t="array" ref="O494">_xll.FDSB($C494,"CS_EVENT_TIME_N("&amp;$AA$18&amp;",2)")</f>
        <v>Before Market</v>
      </c>
      <c r="P494" s="282" t="str" cm="1">
        <f t="array" ref="P494">_xll.FDSB($C494,"CS_EVENT_DESC_N("&amp;$AA$18&amp;",2)")</f>
        <v>Q1 2027 Earnings Release</v>
      </c>
      <c r="Q494" s="282"/>
      <c r="R494" s="274" cm="1">
        <f t="array" ref="R494">_xll.FDSB($C494,"CS_EVENT_DATEJ_N("&amp;$AA$18&amp;",3)")</f>
        <v>46422</v>
      </c>
      <c r="S494" s="282" t="str" cm="1">
        <f t="array" ref="S494">_xll.FDSB($C494,"CS_EVENT_TIME_N("&amp;$AA$18&amp;",3)")</f>
        <v>Unspecified</v>
      </c>
      <c r="T494" s="282" t="str" cm="1">
        <f t="array" ref="T494">_xll.FDSB($C494,"CS_EVENT_DESC_N("&amp;$AA$18&amp;",3)")</f>
        <v>Q2 2027 Earnings Release (Projected)</v>
      </c>
      <c r="U494" s="282"/>
      <c r="V494" s="274" cm="1">
        <f t="array" ref="V494">_xll.FDSB($C494,"CS_EVENT_DATEJ_N("&amp;$AA$18&amp;",4)")</f>
        <v>46512</v>
      </c>
      <c r="W494" s="282" t="str" cm="1">
        <f t="array" ref="W494">_xll.FDSB($C494,"CS_EVENT_TIME_N("&amp;$AA$18&amp;",4)")</f>
        <v>Unspecified</v>
      </c>
      <c r="X494" s="282" t="str" cm="1">
        <f t="array" ref="X494">_xll.FDSB($C494,"CS_EVENT_DESC_N("&amp;$AA$18&amp;",4)")</f>
        <v>Q3 2027 Earnings Release (Projected)</v>
      </c>
    </row>
    <row r="495" spans="2:24" x14ac:dyDescent="0.15">
      <c r="B495" s="298">
        <f t="shared" si="9"/>
        <v>480</v>
      </c>
      <c r="C495" s="299" t="str">
        <v>CSCO</v>
      </c>
      <c r="D495" s="300" t="str" cm="1">
        <f t="array" ref="D495">_xll.FDSB($C495,"FG_COMPANY_NAME")</f>
        <v>Cisco Systems, Inc.</v>
      </c>
      <c r="E495" s="300"/>
      <c r="F495" s="274" cm="1">
        <f t="array" ref="F495">_xll.FDSB($C495,"CS_EVENT_DATEJ_N("&amp;$AA$18&amp;",1)")</f>
        <v>46253</v>
      </c>
      <c r="G495" s="282" t="str" cm="1">
        <f t="array" ref="G495">_xll.FDSB($C495,"CS_EVENT_TIME_N("&amp;$AA$18&amp;",1)")</f>
        <v>Unspecified</v>
      </c>
      <c r="H495" s="282" t="str" cm="1">
        <f t="array" ref="H495">_xll.FDSB($C495,"CS_EVENT_DESC_N("&amp;$AA$18&amp;",1)")</f>
        <v>Q4 2026 Earnings Release (Projected)</v>
      </c>
      <c r="I495" s="282"/>
      <c r="J495" s="274" t="str" cm="1">
        <f t="array" ref="J495">_xll.FDSB($C495,"CS_EVENT_DATEJ_N("&amp;$AB$18&amp;",1)")</f>
        <v/>
      </c>
      <c r="K495" s="282" t="str" cm="1">
        <f t="array" ref="K495">_xll.FDSB($C495,"CS_EVENT_TIME_N("&amp;$AB$18&amp;",1)")</f>
        <v/>
      </c>
      <c r="L495" s="282" t="str" cm="1">
        <f t="array" ref="L495">_xll.FDSB($C495,"CS_EVENT_DESC_N("&amp;$AB$18&amp;",1)")</f>
        <v/>
      </c>
      <c r="M495" s="300"/>
      <c r="N495" s="274" cm="1">
        <f t="array" ref="N495">_xll.FDSB($C495,"CS_EVENT_DATEJ_N("&amp;$AA$18&amp;",2)")</f>
        <v>46435</v>
      </c>
      <c r="O495" s="282" t="str" cm="1">
        <f t="array" ref="O495">_xll.FDSB($C495,"CS_EVENT_TIME_N("&amp;$AA$18&amp;",2)")</f>
        <v>Unspecified</v>
      </c>
      <c r="P495" s="282" t="str" cm="1">
        <f t="array" ref="P495">_xll.FDSB($C495,"CS_EVENT_DESC_N("&amp;$AA$18&amp;",2)")</f>
        <v>Q2 2027 Earnings Release (Projected)</v>
      </c>
      <c r="Q495" s="282"/>
      <c r="R495" s="274" cm="1">
        <f t="array" ref="R495">_xll.FDSB($C495,"CS_EVENT_DATEJ_N("&amp;$AA$18&amp;",3)")</f>
        <v>46526</v>
      </c>
      <c r="S495" s="282" t="str" cm="1">
        <f t="array" ref="S495">_xll.FDSB($C495,"CS_EVENT_TIME_N("&amp;$AA$18&amp;",3)")</f>
        <v>Unspecified</v>
      </c>
      <c r="T495" s="282" t="str" cm="1">
        <f t="array" ref="T495">_xll.FDSB($C495,"CS_EVENT_DESC_N("&amp;$AA$18&amp;",3)")</f>
        <v>Q3 2027 Earnings Release (Projected)</v>
      </c>
      <c r="U495" s="282"/>
      <c r="V495" s="274" t="str" cm="1">
        <f t="array" ref="V495">_xll.FDSB($C495,"CS_EVENT_DATEJ_N("&amp;$AA$18&amp;",4)")</f>
        <v/>
      </c>
      <c r="W495" s="282" t="str" cm="1">
        <f t="array" ref="W495">_xll.FDSB($C495,"CS_EVENT_TIME_N("&amp;$AA$18&amp;",4)")</f>
        <v/>
      </c>
      <c r="X495" s="282" t="str" cm="1">
        <f t="array" ref="X495">_xll.FDSB($C495,"CS_EVENT_DESC_N("&amp;$AA$18&amp;",4)")</f>
        <v/>
      </c>
    </row>
    <row r="496" spans="2:24" x14ac:dyDescent="0.15">
      <c r="B496" s="298">
        <f t="shared" si="9"/>
        <v>481</v>
      </c>
      <c r="C496" s="299" t="str">
        <v>LOW</v>
      </c>
      <c r="D496" s="300" t="str" cm="1">
        <f t="array" ref="D496">_xll.FDSB($C496,"FG_COMPANY_NAME")</f>
        <v>Lowe's Companies, Inc.</v>
      </c>
      <c r="E496" s="300"/>
      <c r="F496" s="274" cm="1">
        <f t="array" ref="F496">_xll.FDSB($C496,"CS_EVENT_DATEJ_N("&amp;$AA$18&amp;",1)")</f>
        <v>46253</v>
      </c>
      <c r="G496" s="282" t="str" cm="1">
        <f t="array" ref="G496">_xll.FDSB($C496,"CS_EVENT_TIME_N("&amp;$AA$18&amp;",1)")</f>
        <v>6:00 AM</v>
      </c>
      <c r="H496" s="282" t="str" cm="1">
        <f t="array" ref="H496">_xll.FDSB($C496,"CS_EVENT_DESC_N("&amp;$AA$18&amp;",1)")</f>
        <v>Q2 2026 Earnings Release</v>
      </c>
      <c r="I496" s="282"/>
      <c r="J496" s="274" cm="1">
        <f t="array" ref="J496">_xll.FDSB($C496,"CS_EVENT_DATEJ_N("&amp;$AB$18&amp;",1)")</f>
        <v>46253</v>
      </c>
      <c r="K496" s="282" t="str" cm="1">
        <f t="array" ref="K496">_xll.FDSB($C496,"CS_EVENT_TIME_N("&amp;$AB$18&amp;",1)")</f>
        <v>Unspecified</v>
      </c>
      <c r="L496" s="282" t="str" cm="1">
        <f t="array" ref="L496">_xll.FDSB($C496,"CS_EVENT_DESC_N("&amp;$AB$18&amp;",1)")</f>
        <v>Q2 2026 Earnings Call</v>
      </c>
      <c r="M496" s="300"/>
      <c r="N496" s="274" cm="1">
        <f t="array" ref="N496">_xll.FDSB($C496,"CS_EVENT_DATEJ_N("&amp;$AA$18&amp;",2)")</f>
        <v>46344</v>
      </c>
      <c r="O496" s="282" t="str" cm="1">
        <f t="array" ref="O496">_xll.FDSB($C496,"CS_EVENT_TIME_N("&amp;$AA$18&amp;",2)")</f>
        <v>6:00 AM</v>
      </c>
      <c r="P496" s="282" t="str" cm="1">
        <f t="array" ref="P496">_xll.FDSB($C496,"CS_EVENT_DESC_N("&amp;$AA$18&amp;",2)")</f>
        <v>Q3 2026 Earnings Release</v>
      </c>
      <c r="Q496" s="282"/>
      <c r="R496" s="274" cm="1">
        <f t="array" ref="R496">_xll.FDSB($C496,"CS_EVENT_DATEJ_N("&amp;$AA$18&amp;",3)")</f>
        <v>46449</v>
      </c>
      <c r="S496" s="282" t="str" cm="1">
        <f t="array" ref="S496">_xll.FDSB($C496,"CS_EVENT_TIME_N("&amp;$AA$18&amp;",3)")</f>
        <v>Unspecified</v>
      </c>
      <c r="T496" s="282" t="str" cm="1">
        <f t="array" ref="T496">_xll.FDSB($C496,"CS_EVENT_DESC_N("&amp;$AA$18&amp;",3)")</f>
        <v>Q4 2026 Earnings Release (Projected)</v>
      </c>
      <c r="U496" s="282"/>
      <c r="V496" s="274" cm="1">
        <f t="array" ref="V496">_xll.FDSB($C496,"CS_EVENT_DATEJ_N("&amp;$AA$18&amp;",4)")</f>
        <v>46532</v>
      </c>
      <c r="W496" s="282" t="str" cm="1">
        <f t="array" ref="W496">_xll.FDSB($C496,"CS_EVENT_TIME_N("&amp;$AA$18&amp;",4)")</f>
        <v>Unspecified</v>
      </c>
      <c r="X496" s="282" t="str" cm="1">
        <f t="array" ref="X496">_xll.FDSB($C496,"CS_EVENT_DESC_N("&amp;$AA$18&amp;",4)")</f>
        <v>Q1 2027 Earnings Release (Projected)</v>
      </c>
    </row>
    <row r="497" spans="2:24" x14ac:dyDescent="0.15">
      <c r="B497" s="298">
        <f t="shared" si="9"/>
        <v>482</v>
      </c>
      <c r="C497" s="299" t="str">
        <v>KEYS</v>
      </c>
      <c r="D497" s="300" t="str" cm="1">
        <f t="array" ref="D497">_xll.FDSB($C497,"FG_COMPANY_NAME")</f>
        <v>Keysight Technologies Inc</v>
      </c>
      <c r="E497" s="300"/>
      <c r="F497" s="274" cm="1">
        <f t="array" ref="F497">_xll.FDSB($C497,"CS_EVENT_DATEJ_N("&amp;$AA$18&amp;",1)")</f>
        <v>46253</v>
      </c>
      <c r="G497" s="282" t="str" cm="1">
        <f t="array" ref="G497">_xll.FDSB($C497,"CS_EVENT_TIME_N("&amp;$AA$18&amp;",1)")</f>
        <v>Unspecified</v>
      </c>
      <c r="H497" s="282" t="str" cm="1">
        <f t="array" ref="H497">_xll.FDSB($C497,"CS_EVENT_DESC_N("&amp;$AA$18&amp;",1)")</f>
        <v>Q3 2026 Earnings Release (Projected)</v>
      </c>
      <c r="I497" s="282"/>
      <c r="J497" s="274" t="str" cm="1">
        <f t="array" ref="J497">_xll.FDSB($C497,"CS_EVENT_DATEJ_N("&amp;$AB$18&amp;",1)")</f>
        <v/>
      </c>
      <c r="K497" s="282" t="str" cm="1">
        <f t="array" ref="K497">_xll.FDSB($C497,"CS_EVENT_TIME_N("&amp;$AB$18&amp;",1)")</f>
        <v/>
      </c>
      <c r="L497" s="282" t="str" cm="1">
        <f t="array" ref="L497">_xll.FDSB($C497,"CS_EVENT_DESC_N("&amp;$AB$18&amp;",1)")</f>
        <v/>
      </c>
      <c r="M497" s="300"/>
      <c r="N497" s="274" cm="1">
        <f t="array" ref="N497">_xll.FDSB($C497,"CS_EVENT_DATEJ_N("&amp;$AA$18&amp;",2)")</f>
        <v>46349</v>
      </c>
      <c r="O497" s="282" t="str" cm="1">
        <f t="array" ref="O497">_xll.FDSB($C497,"CS_EVENT_TIME_N("&amp;$AA$18&amp;",2)")</f>
        <v>Unspecified</v>
      </c>
      <c r="P497" s="282" t="str" cm="1">
        <f t="array" ref="P497">_xll.FDSB($C497,"CS_EVENT_DESC_N("&amp;$AA$18&amp;",2)")</f>
        <v>Q4 2026 Earnings Release (Projected)</v>
      </c>
      <c r="Q497" s="282"/>
      <c r="R497" s="274" cm="1">
        <f t="array" ref="R497">_xll.FDSB($C497,"CS_EVENT_DATEJ_N("&amp;$AA$18&amp;",3)")</f>
        <v>46441</v>
      </c>
      <c r="S497" s="282" t="str" cm="1">
        <f t="array" ref="S497">_xll.FDSB($C497,"CS_EVENT_TIME_N("&amp;$AA$18&amp;",3)")</f>
        <v>Unspecified</v>
      </c>
      <c r="T497" s="282" t="str" cm="1">
        <f t="array" ref="T497">_xll.FDSB($C497,"CS_EVENT_DESC_N("&amp;$AA$18&amp;",3)")</f>
        <v>Q1 2027 Earnings Release (Projected)</v>
      </c>
      <c r="U497" s="282"/>
      <c r="V497" s="274" cm="1">
        <f t="array" ref="V497">_xll.FDSB($C497,"CS_EVENT_DATEJ_N("&amp;$AA$18&amp;",4)")</f>
        <v>46532</v>
      </c>
      <c r="W497" s="282" t="str" cm="1">
        <f t="array" ref="W497">_xll.FDSB($C497,"CS_EVENT_TIME_N("&amp;$AA$18&amp;",4)")</f>
        <v>Unspecified</v>
      </c>
      <c r="X497" s="282" t="str" cm="1">
        <f t="array" ref="X497">_xll.FDSB($C497,"CS_EVENT_DESC_N("&amp;$AA$18&amp;",4)")</f>
        <v>Q2 2027 Earnings Release (Projected)</v>
      </c>
    </row>
    <row r="498" spans="2:24" x14ac:dyDescent="0.15">
      <c r="B498" s="298">
        <f t="shared" si="9"/>
        <v>483</v>
      </c>
      <c r="C498" s="299" t="str">
        <v>AMCR</v>
      </c>
      <c r="D498" s="300" t="str" cm="1">
        <f t="array" ref="D498">_xll.FDSB($C498,"FG_COMPANY_NAME")</f>
        <v>Amcor PLC</v>
      </c>
      <c r="E498" s="300"/>
      <c r="F498" s="274" cm="1">
        <f t="array" ref="F498">_xll.FDSB($C498,"CS_EVENT_DATEJ_N("&amp;$AA$18&amp;",1)")</f>
        <v>46253</v>
      </c>
      <c r="G498" s="282" t="str" cm="1">
        <f t="array" ref="G498">_xll.FDSB($C498,"CS_EVENT_TIME_N("&amp;$AA$18&amp;",1)")</f>
        <v>Unspecified</v>
      </c>
      <c r="H498" s="282" t="str" cm="1">
        <f t="array" ref="H498">_xll.FDSB($C498,"CS_EVENT_DESC_N("&amp;$AA$18&amp;",1)")</f>
        <v>Q4 2026 Earnings Release (Projected)</v>
      </c>
      <c r="I498" s="282"/>
      <c r="J498" s="274" t="str" cm="1">
        <f t="array" ref="J498">_xll.FDSB($C498,"CS_EVENT_DATEJ_N("&amp;$AB$18&amp;",1)")</f>
        <v/>
      </c>
      <c r="K498" s="282" t="str" cm="1">
        <f t="array" ref="K498">_xll.FDSB($C498,"CS_EVENT_TIME_N("&amp;$AB$18&amp;",1)")</f>
        <v/>
      </c>
      <c r="L498" s="282" t="str" cm="1">
        <f t="array" ref="L498">_xll.FDSB($C498,"CS_EVENT_DESC_N("&amp;$AB$18&amp;",1)")</f>
        <v/>
      </c>
      <c r="M498" s="300"/>
      <c r="N498" s="274" cm="1">
        <f t="array" ref="N498">_xll.FDSB($C498,"CS_EVENT_DATEJ_N("&amp;$AA$18&amp;",2)")</f>
        <v>46329</v>
      </c>
      <c r="O498" s="282" t="str" cm="1">
        <f t="array" ref="O498">_xll.FDSB($C498,"CS_EVENT_TIME_N("&amp;$AA$18&amp;",2)")</f>
        <v>Unspecified</v>
      </c>
      <c r="P498" s="282" t="str" cm="1">
        <f t="array" ref="P498">_xll.FDSB($C498,"CS_EVENT_DESC_N("&amp;$AA$18&amp;",2)")</f>
        <v>Q1 2027 Earnings Release (Projected)</v>
      </c>
      <c r="Q498" s="282"/>
      <c r="R498" s="274" cm="1">
        <f t="array" ref="R498">_xll.FDSB($C498,"CS_EVENT_DATEJ_N("&amp;$AA$18&amp;",3)")</f>
        <v>46427</v>
      </c>
      <c r="S498" s="282" t="str" cm="1">
        <f t="array" ref="S498">_xll.FDSB($C498,"CS_EVENT_TIME_N("&amp;$AA$18&amp;",3)")</f>
        <v>Unspecified</v>
      </c>
      <c r="T498" s="282" t="str" cm="1">
        <f t="array" ref="T498">_xll.FDSB($C498,"CS_EVENT_DESC_N("&amp;$AA$18&amp;",3)")</f>
        <v>Q2 2027 Earnings Release (Projected)</v>
      </c>
      <c r="U498" s="282"/>
      <c r="V498" s="274" t="str" cm="1">
        <f t="array" ref="V498">_xll.FDSB($C498,"CS_EVENT_DATEJ_N("&amp;$AA$18&amp;",4)")</f>
        <v/>
      </c>
      <c r="W498" s="282" t="str" cm="1">
        <f t="array" ref="W498">_xll.FDSB($C498,"CS_EVENT_TIME_N("&amp;$AA$18&amp;",4)")</f>
        <v/>
      </c>
      <c r="X498" s="282" t="str" cm="1">
        <f t="array" ref="X498">_xll.FDSB($C498,"CS_EVENT_DESC_N("&amp;$AA$18&amp;",4)")</f>
        <v/>
      </c>
    </row>
    <row r="499" spans="2:24" x14ac:dyDescent="0.15">
      <c r="B499" s="298">
        <f t="shared" si="9"/>
        <v>484</v>
      </c>
      <c r="C499" s="299" t="str">
        <v>DE</v>
      </c>
      <c r="D499" s="300" t="str" cm="1">
        <f t="array" ref="D499">_xll.FDSB($C499,"FG_COMPANY_NAME")</f>
        <v>Deere &amp; Company</v>
      </c>
      <c r="E499" s="300"/>
      <c r="F499" s="274" cm="1">
        <f t="array" ref="F499">_xll.FDSB($C499,"CS_EVENT_DATEJ_N("&amp;$AA$18&amp;",1)")</f>
        <v>46254</v>
      </c>
      <c r="G499" s="282" t="str" cm="1">
        <f t="array" ref="G499">_xll.FDSB($C499,"CS_EVENT_TIME_N("&amp;$AA$18&amp;",1)")</f>
        <v>Unspecified</v>
      </c>
      <c r="H499" s="282" t="str" cm="1">
        <f t="array" ref="H499">_xll.FDSB($C499,"CS_EVENT_DESC_N("&amp;$AA$18&amp;",1)")</f>
        <v>Q3 2026 Earnings Release</v>
      </c>
      <c r="I499" s="282"/>
      <c r="J499" s="274" cm="1">
        <f t="array" ref="J499">_xll.FDSB($C499,"CS_EVENT_DATEJ_N("&amp;$AB$18&amp;",1)")</f>
        <v>46254</v>
      </c>
      <c r="K499" s="282" t="str" cm="1">
        <f t="array" ref="K499">_xll.FDSB($C499,"CS_EVENT_TIME_N("&amp;$AB$18&amp;",1)")</f>
        <v>Unspecified</v>
      </c>
      <c r="L499" s="282" t="str" cm="1">
        <f t="array" ref="L499">_xll.FDSB($C499,"CS_EVENT_DESC_N("&amp;$AB$18&amp;",1)")</f>
        <v>Q3 2026 Earnings Call</v>
      </c>
      <c r="M499" s="300"/>
      <c r="N499" s="274" cm="1">
        <f t="array" ref="N499">_xll.FDSB($C499,"CS_EVENT_DATEJ_N("&amp;$AA$18&amp;",2)")</f>
        <v>46351</v>
      </c>
      <c r="O499" s="282" t="str" cm="1">
        <f t="array" ref="O499">_xll.FDSB($C499,"CS_EVENT_TIME_N("&amp;$AA$18&amp;",2)")</f>
        <v>Unspecified</v>
      </c>
      <c r="P499" s="282" t="str" cm="1">
        <f t="array" ref="P499">_xll.FDSB($C499,"CS_EVENT_DESC_N("&amp;$AA$18&amp;",2)")</f>
        <v>Q4 2026 Earnings Release</v>
      </c>
      <c r="Q499" s="282"/>
      <c r="R499" s="274" cm="1">
        <f t="array" ref="R499">_xll.FDSB($C499,"CS_EVENT_DATEJ_N("&amp;$AA$18&amp;",3)")</f>
        <v>46430</v>
      </c>
      <c r="S499" s="282" t="str" cm="1">
        <f t="array" ref="S499">_xll.FDSB($C499,"CS_EVENT_TIME_N("&amp;$AA$18&amp;",3)")</f>
        <v>Unspecified</v>
      </c>
      <c r="T499" s="282" t="str" cm="1">
        <f t="array" ref="T499">_xll.FDSB($C499,"CS_EVENT_DESC_N("&amp;$AA$18&amp;",3)")</f>
        <v>Q1 2027 Earnings Release (Projected)</v>
      </c>
      <c r="U499" s="282"/>
      <c r="V499" s="274" cm="1">
        <f t="array" ref="V499">_xll.FDSB($C499,"CS_EVENT_DATEJ_N("&amp;$AA$18&amp;",4)")</f>
        <v>46521</v>
      </c>
      <c r="W499" s="282" t="str" cm="1">
        <f t="array" ref="W499">_xll.FDSB($C499,"CS_EVENT_TIME_N("&amp;$AA$18&amp;",4)")</f>
        <v>Unspecified</v>
      </c>
      <c r="X499" s="282" t="str" cm="1">
        <f t="array" ref="X499">_xll.FDSB($C499,"CS_EVENT_DESC_N("&amp;$AA$18&amp;",4)")</f>
        <v>Q2 2027 Earnings Release (Projected)</v>
      </c>
    </row>
    <row r="500" spans="2:24" x14ac:dyDescent="0.15">
      <c r="B500" s="298">
        <f t="shared" si="9"/>
        <v>485</v>
      </c>
      <c r="C500" s="299" t="str">
        <v>WMT</v>
      </c>
      <c r="D500" s="300" t="str" cm="1">
        <f t="array" ref="D500">_xll.FDSB($C500,"FG_COMPANY_NAME")</f>
        <v>Walmart Inc.</v>
      </c>
      <c r="E500" s="300"/>
      <c r="F500" s="274" cm="1">
        <f t="array" ref="F500">_xll.FDSB($C500,"CS_EVENT_DATEJ_N("&amp;$AA$18&amp;",1)")</f>
        <v>46254</v>
      </c>
      <c r="G500" s="282" t="str" cm="1">
        <f t="array" ref="G500">_xll.FDSB($C500,"CS_EVENT_TIME_N("&amp;$AA$18&amp;",1)")</f>
        <v>8:00 AM</v>
      </c>
      <c r="H500" s="282" t="str" cm="1">
        <f t="array" ref="H500">_xll.FDSB($C500,"CS_EVENT_DESC_N("&amp;$AA$18&amp;",1)")</f>
        <v>Q2 2027 Earnings Release</v>
      </c>
      <c r="I500" s="282"/>
      <c r="J500" s="274" t="str" cm="1">
        <f t="array" ref="J500">_xll.FDSB($C500,"CS_EVENT_DATEJ_N("&amp;$AB$18&amp;",1)")</f>
        <v/>
      </c>
      <c r="K500" s="282" t="str" cm="1">
        <f t="array" ref="K500">_xll.FDSB($C500,"CS_EVENT_TIME_N("&amp;$AB$18&amp;",1)")</f>
        <v/>
      </c>
      <c r="L500" s="282" t="str" cm="1">
        <f t="array" ref="L500">_xll.FDSB($C500,"CS_EVENT_DESC_N("&amp;$AB$18&amp;",1)")</f>
        <v/>
      </c>
      <c r="M500" s="300"/>
      <c r="N500" s="274" cm="1">
        <f t="array" ref="N500">_xll.FDSB($C500,"CS_EVENT_DATEJ_N("&amp;$AA$18&amp;",2)")</f>
        <v>46345</v>
      </c>
      <c r="O500" s="282" t="str" cm="1">
        <f t="array" ref="O500">_xll.FDSB($C500,"CS_EVENT_TIME_N("&amp;$AA$18&amp;",2)")</f>
        <v>8:00 AM</v>
      </c>
      <c r="P500" s="282" t="str" cm="1">
        <f t="array" ref="P500">_xll.FDSB($C500,"CS_EVENT_DESC_N("&amp;$AA$18&amp;",2)")</f>
        <v>Q3 2027 Earnings Release</v>
      </c>
      <c r="Q500" s="282"/>
      <c r="R500" s="274" cm="1">
        <f t="array" ref="R500">_xll.FDSB($C500,"CS_EVENT_DATEJ_N("&amp;$AA$18&amp;",3)")</f>
        <v>46436</v>
      </c>
      <c r="S500" s="282" t="str" cm="1">
        <f t="array" ref="S500">_xll.FDSB($C500,"CS_EVENT_TIME_N("&amp;$AA$18&amp;",3)")</f>
        <v>8:00 AM</v>
      </c>
      <c r="T500" s="282" t="str" cm="1">
        <f t="array" ref="T500">_xll.FDSB($C500,"CS_EVENT_DESC_N("&amp;$AA$18&amp;",3)")</f>
        <v>Q4 2027 Earnings Release</v>
      </c>
      <c r="U500" s="282"/>
      <c r="V500" s="274" cm="1">
        <f t="array" ref="V500">_xll.FDSB($C500,"CS_EVENT_DATEJ_N("&amp;$AA$18&amp;",4)")</f>
        <v>46527</v>
      </c>
      <c r="W500" s="282" t="str" cm="1">
        <f t="array" ref="W500">_xll.FDSB($C500,"CS_EVENT_TIME_N("&amp;$AA$18&amp;",4)")</f>
        <v>Unspecified</v>
      </c>
      <c r="X500" s="282" t="str" cm="1">
        <f t="array" ref="X500">_xll.FDSB($C500,"CS_EVENT_DESC_N("&amp;$AA$18&amp;",4)")</f>
        <v>Q1 2028 Earnings Release (Projected)</v>
      </c>
    </row>
    <row r="501" spans="2:24" x14ac:dyDescent="0.15">
      <c r="B501" s="298">
        <f t="shared" si="9"/>
        <v>486</v>
      </c>
      <c r="C501" s="299" t="str">
        <v>INTU</v>
      </c>
      <c r="D501" s="300" t="str" cm="1">
        <f t="array" ref="D501">_xll.FDSB($C501,"FG_COMPANY_NAME")</f>
        <v>Intuit Inc.</v>
      </c>
      <c r="E501" s="300"/>
      <c r="F501" s="274" cm="1">
        <f t="array" ref="F501">_xll.FDSB($C501,"CS_EVENT_DATEJ_N("&amp;$AA$18&amp;",1)")</f>
        <v>46254</v>
      </c>
      <c r="G501" s="282" t="str" cm="1">
        <f t="array" ref="G501">_xll.FDSB($C501,"CS_EVENT_TIME_N("&amp;$AA$18&amp;",1)")</f>
        <v>Unspecified</v>
      </c>
      <c r="H501" s="282" t="str" cm="1">
        <f t="array" ref="H501">_xll.FDSB($C501,"CS_EVENT_DESC_N("&amp;$AA$18&amp;",1)")</f>
        <v>Q4 2026 Earnings Release (Projected)</v>
      </c>
      <c r="I501" s="282"/>
      <c r="J501" s="274" t="str" cm="1">
        <f t="array" ref="J501">_xll.FDSB($C501,"CS_EVENT_DATEJ_N("&amp;$AB$18&amp;",1)")</f>
        <v/>
      </c>
      <c r="K501" s="282" t="str" cm="1">
        <f t="array" ref="K501">_xll.FDSB($C501,"CS_EVENT_TIME_N("&amp;$AB$18&amp;",1)")</f>
        <v/>
      </c>
      <c r="L501" s="282" t="str" cm="1">
        <f t="array" ref="L501">_xll.FDSB($C501,"CS_EVENT_DESC_N("&amp;$AB$18&amp;",1)")</f>
        <v/>
      </c>
      <c r="M501" s="300"/>
      <c r="N501" s="274" cm="1">
        <f t="array" ref="N501">_xll.FDSB($C501,"CS_EVENT_DATEJ_N("&amp;$AA$18&amp;",2)")</f>
        <v>46357</v>
      </c>
      <c r="O501" s="282" t="str" cm="1">
        <f t="array" ref="O501">_xll.FDSB($C501,"CS_EVENT_TIME_N("&amp;$AA$18&amp;",2)")</f>
        <v>Unspecified</v>
      </c>
      <c r="P501" s="282" t="str" cm="1">
        <f t="array" ref="P501">_xll.FDSB($C501,"CS_EVENT_DESC_N("&amp;$AA$18&amp;",2)")</f>
        <v>Q1 2027 Earnings Release (Projected)</v>
      </c>
      <c r="Q501" s="282"/>
      <c r="R501" s="274" cm="1">
        <f t="array" ref="R501">_xll.FDSB($C501,"CS_EVENT_DATEJ_N("&amp;$AA$18&amp;",3)")</f>
        <v>46443</v>
      </c>
      <c r="S501" s="282" t="str" cm="1">
        <f t="array" ref="S501">_xll.FDSB($C501,"CS_EVENT_TIME_N("&amp;$AA$18&amp;",3)")</f>
        <v>Unspecified</v>
      </c>
      <c r="T501" s="282" t="str" cm="1">
        <f t="array" ref="T501">_xll.FDSB($C501,"CS_EVENT_DESC_N("&amp;$AA$18&amp;",3)")</f>
        <v>Q2 2027 Earnings Release (Projected)</v>
      </c>
      <c r="U501" s="282"/>
      <c r="V501" s="274" cm="1">
        <f t="array" ref="V501">_xll.FDSB($C501,"CS_EVENT_DATEJ_N("&amp;$AA$18&amp;",4)")</f>
        <v>46532</v>
      </c>
      <c r="W501" s="282" t="str" cm="1">
        <f t="array" ref="W501">_xll.FDSB($C501,"CS_EVENT_TIME_N("&amp;$AA$18&amp;",4)")</f>
        <v>Unspecified</v>
      </c>
      <c r="X501" s="282" t="str" cm="1">
        <f t="array" ref="X501">_xll.FDSB($C501,"CS_EVENT_DESC_N("&amp;$AA$18&amp;",4)")</f>
        <v>Q3 2027 Earnings Release (Projected)</v>
      </c>
    </row>
    <row r="502" spans="2:24" x14ac:dyDescent="0.15">
      <c r="B502" s="298">
        <f t="shared" si="9"/>
        <v>487</v>
      </c>
      <c r="C502" s="299" t="str">
        <v>WDAY</v>
      </c>
      <c r="D502" s="300" t="str" cm="1">
        <f t="array" ref="D502">_xll.FDSB($C502,"FG_COMPANY_NAME")</f>
        <v>Workday, Inc. Class A</v>
      </c>
      <c r="E502" s="300"/>
      <c r="F502" s="274" cm="1">
        <f t="array" ref="F502">_xll.FDSB($C502,"CS_EVENT_DATEJ_N("&amp;$AA$18&amp;",1)")</f>
        <v>46254</v>
      </c>
      <c r="G502" s="282" t="str" cm="1">
        <f t="array" ref="G502">_xll.FDSB($C502,"CS_EVENT_TIME_N("&amp;$AA$18&amp;",1)")</f>
        <v>Unspecified</v>
      </c>
      <c r="H502" s="282" t="str" cm="1">
        <f t="array" ref="H502">_xll.FDSB($C502,"CS_EVENT_DESC_N("&amp;$AA$18&amp;",1)")</f>
        <v>Q2 2027 Earnings Release (Projected)</v>
      </c>
      <c r="I502" s="282"/>
      <c r="J502" s="274" t="str" cm="1">
        <f t="array" ref="J502">_xll.FDSB($C502,"CS_EVENT_DATEJ_N("&amp;$AB$18&amp;",1)")</f>
        <v/>
      </c>
      <c r="K502" s="282" t="str" cm="1">
        <f t="array" ref="K502">_xll.FDSB($C502,"CS_EVENT_TIME_N("&amp;$AB$18&amp;",1)")</f>
        <v/>
      </c>
      <c r="L502" s="282" t="str" cm="1">
        <f t="array" ref="L502">_xll.FDSB($C502,"CS_EVENT_DESC_N("&amp;$AB$18&amp;",1)")</f>
        <v/>
      </c>
      <c r="M502" s="300"/>
      <c r="N502" s="274" cm="1">
        <f t="array" ref="N502">_xll.FDSB($C502,"CS_EVENT_DATEJ_N("&amp;$AA$18&amp;",2)")</f>
        <v>46357</v>
      </c>
      <c r="O502" s="282" t="str" cm="1">
        <f t="array" ref="O502">_xll.FDSB($C502,"CS_EVENT_TIME_N("&amp;$AA$18&amp;",2)")</f>
        <v>Unspecified</v>
      </c>
      <c r="P502" s="282" t="str" cm="1">
        <f t="array" ref="P502">_xll.FDSB($C502,"CS_EVENT_DESC_N("&amp;$AA$18&amp;",2)")</f>
        <v>Q3 2027 Earnings Release (Projected)</v>
      </c>
      <c r="Q502" s="282"/>
      <c r="R502" s="274" cm="1">
        <f t="array" ref="R502">_xll.FDSB($C502,"CS_EVENT_DATEJ_N("&amp;$AA$18&amp;",3)")</f>
        <v>46447</v>
      </c>
      <c r="S502" s="282" t="str" cm="1">
        <f t="array" ref="S502">_xll.FDSB($C502,"CS_EVENT_TIME_N("&amp;$AA$18&amp;",3)")</f>
        <v>Unspecified</v>
      </c>
      <c r="T502" s="282" t="str" cm="1">
        <f t="array" ref="T502">_xll.FDSB($C502,"CS_EVENT_DESC_N("&amp;$AA$18&amp;",3)")</f>
        <v>Q4 2027 Earnings Release (Projected)</v>
      </c>
      <c r="U502" s="282"/>
      <c r="V502" s="274" cm="1">
        <f t="array" ref="V502">_xll.FDSB($C502,"CS_EVENT_DATEJ_N("&amp;$AA$18&amp;",4)")</f>
        <v>46534</v>
      </c>
      <c r="W502" s="282" t="str" cm="1">
        <f t="array" ref="W502">_xll.FDSB($C502,"CS_EVENT_TIME_N("&amp;$AA$18&amp;",4)")</f>
        <v>Unspecified</v>
      </c>
      <c r="X502" s="282" t="str" cm="1">
        <f t="array" ref="X502">_xll.FDSB($C502,"CS_EVENT_DESC_N("&amp;$AA$18&amp;",4)")</f>
        <v>Q1 2028 Earnings Release (Projected)</v>
      </c>
    </row>
    <row r="503" spans="2:24" x14ac:dyDescent="0.15">
      <c r="B503" s="298">
        <f t="shared" si="9"/>
        <v>488</v>
      </c>
      <c r="C503" s="299" t="str">
        <v>CRH</v>
      </c>
      <c r="D503" s="300" t="str" cm="1">
        <f t="array" ref="D503">_xll.FDSB($C503,"FG_COMPANY_NAME")</f>
        <v>CRH public limited company</v>
      </c>
      <c r="E503" s="300"/>
      <c r="F503" s="274" cm="1">
        <f t="array" ref="F503">_xll.FDSB($C503,"CS_EVENT_DATEJ_N("&amp;$AA$18&amp;",1)")</f>
        <v>46254</v>
      </c>
      <c r="G503" s="282" t="str" cm="1">
        <f t="array" ref="G503">_xll.FDSB($C503,"CS_EVENT_TIME_N("&amp;$AA$18&amp;",1)")</f>
        <v>Unspecified</v>
      </c>
      <c r="H503" s="282" t="str" cm="1">
        <f t="array" ref="H503">_xll.FDSB($C503,"CS_EVENT_DESC_N("&amp;$AA$18&amp;",1)")</f>
        <v>Q2 2026 Earnings Release (Projected)</v>
      </c>
      <c r="I503" s="282"/>
      <c r="J503" s="274" t="str" cm="1">
        <f t="array" ref="J503">_xll.FDSB($C503,"CS_EVENT_DATEJ_N("&amp;$AB$18&amp;",1)")</f>
        <v/>
      </c>
      <c r="K503" s="282" t="str" cm="1">
        <f t="array" ref="K503">_xll.FDSB($C503,"CS_EVENT_TIME_N("&amp;$AB$18&amp;",1)")</f>
        <v/>
      </c>
      <c r="L503" s="282" t="str" cm="1">
        <f t="array" ref="L503">_xll.FDSB($C503,"CS_EVENT_DESC_N("&amp;$AB$18&amp;",1)")</f>
        <v/>
      </c>
      <c r="M503" s="300"/>
      <c r="N503" s="274" cm="1">
        <f t="array" ref="N503">_xll.FDSB($C503,"CS_EVENT_DATEJ_N("&amp;$AA$18&amp;",2)")</f>
        <v>46331</v>
      </c>
      <c r="O503" s="282" t="str" cm="1">
        <f t="array" ref="O503">_xll.FDSB($C503,"CS_EVENT_TIME_N("&amp;$AA$18&amp;",2)")</f>
        <v>Unspecified</v>
      </c>
      <c r="P503" s="282" t="str" cm="1">
        <f t="array" ref="P503">_xll.FDSB($C503,"CS_EVENT_DESC_N("&amp;$AA$18&amp;",2)")</f>
        <v>Q3 2026 Earnings Release (Projected)</v>
      </c>
      <c r="Q503" s="282"/>
      <c r="R503" s="274" cm="1">
        <f t="array" ref="R503">_xll.FDSB($C503,"CS_EVENT_DATEJ_N("&amp;$AA$18&amp;",3)")</f>
        <v>46450</v>
      </c>
      <c r="S503" s="282" t="str" cm="1">
        <f t="array" ref="S503">_xll.FDSB($C503,"CS_EVENT_TIME_N("&amp;$AA$18&amp;",3)")</f>
        <v>Unspecified</v>
      </c>
      <c r="T503" s="282" t="str" cm="1">
        <f t="array" ref="T503">_xll.FDSB($C503,"CS_EVENT_DESC_N("&amp;$AA$18&amp;",3)")</f>
        <v>Q4 2026 Earnings Release (Projected)</v>
      </c>
      <c r="U503" s="282"/>
      <c r="V503" s="274" cm="1">
        <f t="array" ref="V503">_xll.FDSB($C503,"CS_EVENT_DATEJ_N("&amp;$AA$18&amp;",4)")</f>
        <v>46519</v>
      </c>
      <c r="W503" s="282" t="str" cm="1">
        <f t="array" ref="W503">_xll.FDSB($C503,"CS_EVENT_TIME_N("&amp;$AA$18&amp;",4)")</f>
        <v>Unspecified</v>
      </c>
      <c r="X503" s="282" t="str" cm="1">
        <f t="array" ref="X503">_xll.FDSB($C503,"CS_EVENT_DESC_N("&amp;$AA$18&amp;",4)")</f>
        <v>Q1 2027 Earnings Release (Projected)</v>
      </c>
    </row>
    <row r="504" spans="2:24" x14ac:dyDescent="0.15">
      <c r="B504" s="298">
        <f t="shared" si="9"/>
        <v>489</v>
      </c>
      <c r="C504" s="299" t="str">
        <v>NDSN</v>
      </c>
      <c r="D504" s="300" t="str" cm="1">
        <f t="array" ref="D504">_xll.FDSB($C504,"FG_COMPANY_NAME")</f>
        <v>Nordson Corporation</v>
      </c>
      <c r="E504" s="300"/>
      <c r="F504" s="274" cm="1">
        <f t="array" ref="F504">_xll.FDSB($C504,"CS_EVENT_DATEJ_N("&amp;$AA$18&amp;",1)")</f>
        <v>46258</v>
      </c>
      <c r="G504" s="282" t="str" cm="1">
        <f t="array" ref="G504">_xll.FDSB($C504,"CS_EVENT_TIME_N("&amp;$AA$18&amp;",1)")</f>
        <v>Unspecified</v>
      </c>
      <c r="H504" s="282" t="str" cm="1">
        <f t="array" ref="H504">_xll.FDSB($C504,"CS_EVENT_DESC_N("&amp;$AA$18&amp;",1)")</f>
        <v>Q3 2026 Earnings Release (Projected)</v>
      </c>
      <c r="I504" s="282"/>
      <c r="J504" s="274" t="str" cm="1">
        <f t="array" ref="J504">_xll.FDSB($C504,"CS_EVENT_DATEJ_N("&amp;$AB$18&amp;",1)")</f>
        <v/>
      </c>
      <c r="K504" s="282" t="str" cm="1">
        <f t="array" ref="K504">_xll.FDSB($C504,"CS_EVENT_TIME_N("&amp;$AB$18&amp;",1)")</f>
        <v/>
      </c>
      <c r="L504" s="282" t="str" cm="1">
        <f t="array" ref="L504">_xll.FDSB($C504,"CS_EVENT_DESC_N("&amp;$AB$18&amp;",1)")</f>
        <v/>
      </c>
      <c r="M504" s="300"/>
      <c r="N504" s="274" cm="1">
        <f t="array" ref="N504">_xll.FDSB($C504,"CS_EVENT_DATEJ_N("&amp;$AA$18&amp;",2)")</f>
        <v>46372</v>
      </c>
      <c r="O504" s="282" t="str" cm="1">
        <f t="array" ref="O504">_xll.FDSB($C504,"CS_EVENT_TIME_N("&amp;$AA$18&amp;",2)")</f>
        <v>Unspecified</v>
      </c>
      <c r="P504" s="282" t="str" cm="1">
        <f t="array" ref="P504">_xll.FDSB($C504,"CS_EVENT_DESC_N("&amp;$AA$18&amp;",2)")</f>
        <v>Q4 2026 Earnings Release (Projected)</v>
      </c>
      <c r="Q504" s="282"/>
      <c r="R504" s="274" cm="1">
        <f t="array" ref="R504">_xll.FDSB($C504,"CS_EVENT_DATEJ_N("&amp;$AA$18&amp;",3)")</f>
        <v>46442</v>
      </c>
      <c r="S504" s="282" t="str" cm="1">
        <f t="array" ref="S504">_xll.FDSB($C504,"CS_EVENT_TIME_N("&amp;$AA$18&amp;",3)")</f>
        <v>Unspecified</v>
      </c>
      <c r="T504" s="282" t="str" cm="1">
        <f t="array" ref="T504">_xll.FDSB($C504,"CS_EVENT_DESC_N("&amp;$AA$18&amp;",3)")</f>
        <v>Q1 2027 Earnings Release (Projected)</v>
      </c>
      <c r="U504" s="282"/>
      <c r="V504" s="274" cm="1">
        <f t="array" ref="V504">_xll.FDSB($C504,"CS_EVENT_DATEJ_N("&amp;$AA$18&amp;",4)")</f>
        <v>46531</v>
      </c>
      <c r="W504" s="282" t="str" cm="1">
        <f t="array" ref="W504">_xll.FDSB($C504,"CS_EVENT_TIME_N("&amp;$AA$18&amp;",4)")</f>
        <v>Unspecified</v>
      </c>
      <c r="X504" s="282" t="str" cm="1">
        <f t="array" ref="X504">_xll.FDSB($C504,"CS_EVENT_DESC_N("&amp;$AA$18&amp;",4)")</f>
        <v>Q2 2027 Earnings Release (Projected)</v>
      </c>
    </row>
    <row r="505" spans="2:24" x14ac:dyDescent="0.15">
      <c r="B505" s="298">
        <f t="shared" si="9"/>
        <v>490</v>
      </c>
      <c r="C505" s="299" t="str">
        <v>JKHY</v>
      </c>
      <c r="D505" s="300" t="str" cm="1">
        <f t="array" ref="D505">_xll.FDSB($C505,"FG_COMPANY_NAME")</f>
        <v>Jack Henry &amp; Associates, Inc.</v>
      </c>
      <c r="E505" s="300"/>
      <c r="F505" s="274" cm="1">
        <f t="array" ref="F505">_xll.FDSB($C505,"CS_EVENT_DATEJ_N("&amp;$AA$18&amp;",1)")</f>
        <v>46259</v>
      </c>
      <c r="G505" s="282" t="str" cm="1">
        <f t="array" ref="G505">_xll.FDSB($C505,"CS_EVENT_TIME_N("&amp;$AA$18&amp;",1)")</f>
        <v>Unspecified</v>
      </c>
      <c r="H505" s="282" t="str" cm="1">
        <f t="array" ref="H505">_xll.FDSB($C505,"CS_EVENT_DESC_N("&amp;$AA$18&amp;",1)")</f>
        <v>Q4 2026 Earnings Release (Projected)</v>
      </c>
      <c r="I505" s="282"/>
      <c r="J505" s="274" t="str" cm="1">
        <f t="array" ref="J505">_xll.FDSB($C505,"CS_EVENT_DATEJ_N("&amp;$AB$18&amp;",1)")</f>
        <v/>
      </c>
      <c r="K505" s="282" t="str" cm="1">
        <f t="array" ref="K505">_xll.FDSB($C505,"CS_EVENT_TIME_N("&amp;$AB$18&amp;",1)")</f>
        <v/>
      </c>
      <c r="L505" s="282" t="str" cm="1">
        <f t="array" ref="L505">_xll.FDSB($C505,"CS_EVENT_DESC_N("&amp;$AB$18&amp;",1)")</f>
        <v/>
      </c>
      <c r="M505" s="300"/>
      <c r="N505" s="274" cm="1">
        <f t="array" ref="N505">_xll.FDSB($C505,"CS_EVENT_DATEJ_N("&amp;$AA$18&amp;",2)")</f>
        <v>46336</v>
      </c>
      <c r="O505" s="282" t="str" cm="1">
        <f t="array" ref="O505">_xll.FDSB($C505,"CS_EVENT_TIME_N("&amp;$AA$18&amp;",2)")</f>
        <v>Unspecified</v>
      </c>
      <c r="P505" s="282" t="str" cm="1">
        <f t="array" ref="P505">_xll.FDSB($C505,"CS_EVENT_DESC_N("&amp;$AA$18&amp;",2)")</f>
        <v>Q1 2027 Earnings Release (Projected)</v>
      </c>
      <c r="Q505" s="282"/>
      <c r="R505" s="274" cm="1">
        <f t="array" ref="R505">_xll.FDSB($C505,"CS_EVENT_DATEJ_N("&amp;$AA$18&amp;",3)")</f>
        <v>46427</v>
      </c>
      <c r="S505" s="282" t="str" cm="1">
        <f t="array" ref="S505">_xll.FDSB($C505,"CS_EVENT_TIME_N("&amp;$AA$18&amp;",3)")</f>
        <v>Unspecified</v>
      </c>
      <c r="T505" s="282" t="str" cm="1">
        <f t="array" ref="T505">_xll.FDSB($C505,"CS_EVENT_DESC_N("&amp;$AA$18&amp;",3)")</f>
        <v>Q2 2027 Earnings Release (Projected)</v>
      </c>
      <c r="U505" s="282"/>
      <c r="V505" s="274" cm="1">
        <f t="array" ref="V505">_xll.FDSB($C505,"CS_EVENT_DATEJ_N("&amp;$AA$18&amp;",4)")</f>
        <v>46511</v>
      </c>
      <c r="W505" s="282" t="str" cm="1">
        <f t="array" ref="W505">_xll.FDSB($C505,"CS_EVENT_TIME_N("&amp;$AA$18&amp;",4)")</f>
        <v>Unspecified</v>
      </c>
      <c r="X505" s="282" t="str" cm="1">
        <f t="array" ref="X505">_xll.FDSB($C505,"CS_EVENT_DESC_N("&amp;$AA$18&amp;",4)")</f>
        <v>Q3 2027 Earnings Release (Projected)</v>
      </c>
    </row>
    <row r="506" spans="2:24" x14ac:dyDescent="0.15">
      <c r="B506" s="298">
        <f t="shared" si="9"/>
        <v>491</v>
      </c>
      <c r="C506" s="299" t="str">
        <v>ADI</v>
      </c>
      <c r="D506" s="300" t="str" cm="1">
        <f t="array" ref="D506">_xll.FDSB($C506,"FG_COMPANY_NAME")</f>
        <v>Analog Devices, Inc.</v>
      </c>
      <c r="E506" s="300"/>
      <c r="F506" s="274" cm="1">
        <f t="array" ref="F506">_xll.FDSB($C506,"CS_EVENT_DATEJ_N("&amp;$AA$18&amp;",1)")</f>
        <v>46260</v>
      </c>
      <c r="G506" s="282" t="str" cm="1">
        <f t="array" ref="G506">_xll.FDSB($C506,"CS_EVENT_TIME_N("&amp;$AA$18&amp;",1)")</f>
        <v>Unspecified</v>
      </c>
      <c r="H506" s="282" t="str" cm="1">
        <f t="array" ref="H506">_xll.FDSB($C506,"CS_EVENT_DESC_N("&amp;$AA$18&amp;",1)")</f>
        <v>Q3 2026 Earnings Release (Projected)</v>
      </c>
      <c r="I506" s="282"/>
      <c r="J506" s="274" t="str" cm="1">
        <f t="array" ref="J506">_xll.FDSB($C506,"CS_EVENT_DATEJ_N("&amp;$AB$18&amp;",1)")</f>
        <v/>
      </c>
      <c r="K506" s="282" t="str" cm="1">
        <f t="array" ref="K506">_xll.FDSB($C506,"CS_EVENT_TIME_N("&amp;$AB$18&amp;",1)")</f>
        <v/>
      </c>
      <c r="L506" s="282" t="str" cm="1">
        <f t="array" ref="L506">_xll.FDSB($C506,"CS_EVENT_DESC_N("&amp;$AB$18&amp;",1)")</f>
        <v/>
      </c>
      <c r="M506" s="300"/>
      <c r="N506" s="274" cm="1">
        <f t="array" ref="N506">_xll.FDSB($C506,"CS_EVENT_DATEJ_N("&amp;$AA$18&amp;",2)")</f>
        <v>46357</v>
      </c>
      <c r="O506" s="282" t="str" cm="1">
        <f t="array" ref="O506">_xll.FDSB($C506,"CS_EVENT_TIME_N("&amp;$AA$18&amp;",2)")</f>
        <v>Unspecified</v>
      </c>
      <c r="P506" s="282" t="str" cm="1">
        <f t="array" ref="P506">_xll.FDSB($C506,"CS_EVENT_DESC_N("&amp;$AA$18&amp;",2)")</f>
        <v>Q4 2026 Earnings Release (Projected)</v>
      </c>
      <c r="Q506" s="282"/>
      <c r="R506" s="274" cm="1">
        <f t="array" ref="R506">_xll.FDSB($C506,"CS_EVENT_DATEJ_N("&amp;$AA$18&amp;",3)")</f>
        <v>46435</v>
      </c>
      <c r="S506" s="282" t="str" cm="1">
        <f t="array" ref="S506">_xll.FDSB($C506,"CS_EVENT_TIME_N("&amp;$AA$18&amp;",3)")</f>
        <v>Unspecified</v>
      </c>
      <c r="T506" s="282" t="str" cm="1">
        <f t="array" ref="T506">_xll.FDSB($C506,"CS_EVENT_DESC_N("&amp;$AA$18&amp;",3)")</f>
        <v>Q1 2027 Earnings Release (Projected)</v>
      </c>
      <c r="U506" s="282"/>
      <c r="V506" s="274" cm="1">
        <f t="array" ref="V506">_xll.FDSB($C506,"CS_EVENT_DATEJ_N("&amp;$AA$18&amp;",4)")</f>
        <v>46533</v>
      </c>
      <c r="W506" s="282" t="str" cm="1">
        <f t="array" ref="W506">_xll.FDSB($C506,"CS_EVENT_TIME_N("&amp;$AA$18&amp;",4)")</f>
        <v>Unspecified</v>
      </c>
      <c r="X506" s="282" t="str" cm="1">
        <f t="array" ref="X506">_xll.FDSB($C506,"CS_EVENT_DESC_N("&amp;$AA$18&amp;",4)")</f>
        <v>Q2 2027 Earnings Release (Projected)</v>
      </c>
    </row>
    <row r="507" spans="2:24" x14ac:dyDescent="0.15">
      <c r="B507" s="298">
        <f t="shared" si="9"/>
        <v>492</v>
      </c>
      <c r="C507" s="299" t="str">
        <v>NVDA</v>
      </c>
      <c r="D507" s="300" t="str" cm="1">
        <f t="array" ref="D507">_xll.FDSB($C507,"FG_COMPANY_NAME")</f>
        <v>NVIDIA Corporation</v>
      </c>
      <c r="E507" s="300"/>
      <c r="F507" s="274" cm="1">
        <f t="array" ref="F507">_xll.FDSB($C507,"CS_EVENT_DATEJ_N("&amp;$AA$18&amp;",1)")</f>
        <v>46260</v>
      </c>
      <c r="G507" s="282" t="str" cm="1">
        <f t="array" ref="G507">_xll.FDSB($C507,"CS_EVENT_TIME_N("&amp;$AA$18&amp;",1)")</f>
        <v>Unspecified</v>
      </c>
      <c r="H507" s="282" t="str" cm="1">
        <f t="array" ref="H507">_xll.FDSB($C507,"CS_EVENT_DESC_N("&amp;$AA$18&amp;",1)")</f>
        <v>Q2 2027 Earnings Release (Projected)</v>
      </c>
      <c r="I507" s="282"/>
      <c r="J507" s="274" t="str" cm="1">
        <f t="array" ref="J507">_xll.FDSB($C507,"CS_EVENT_DATEJ_N("&amp;$AB$18&amp;",1)")</f>
        <v/>
      </c>
      <c r="K507" s="282" t="str" cm="1">
        <f t="array" ref="K507">_xll.FDSB($C507,"CS_EVENT_TIME_N("&amp;$AB$18&amp;",1)")</f>
        <v/>
      </c>
      <c r="L507" s="282" t="str" cm="1">
        <f t="array" ref="L507">_xll.FDSB($C507,"CS_EVENT_DESC_N("&amp;$AB$18&amp;",1)")</f>
        <v/>
      </c>
      <c r="M507" s="300"/>
      <c r="N507" s="274" cm="1">
        <f t="array" ref="N507">_xll.FDSB($C507,"CS_EVENT_DATEJ_N("&amp;$AA$18&amp;",2)")</f>
        <v>46351</v>
      </c>
      <c r="O507" s="282" t="str" cm="1">
        <f t="array" ref="O507">_xll.FDSB($C507,"CS_EVENT_TIME_N("&amp;$AA$18&amp;",2)")</f>
        <v>Unspecified</v>
      </c>
      <c r="P507" s="282" t="str" cm="1">
        <f t="array" ref="P507">_xll.FDSB($C507,"CS_EVENT_DESC_N("&amp;$AA$18&amp;",2)")</f>
        <v>Q3 2027 Earnings Release (Projected)</v>
      </c>
      <c r="Q507" s="282"/>
      <c r="R507" s="274" cm="1">
        <f t="array" ref="R507">_xll.FDSB($C507,"CS_EVENT_DATEJ_N("&amp;$AA$18&amp;",3)")</f>
        <v>46442</v>
      </c>
      <c r="S507" s="282" t="str" cm="1">
        <f t="array" ref="S507">_xll.FDSB($C507,"CS_EVENT_TIME_N("&amp;$AA$18&amp;",3)")</f>
        <v>Unspecified</v>
      </c>
      <c r="T507" s="282" t="str" cm="1">
        <f t="array" ref="T507">_xll.FDSB($C507,"CS_EVENT_DESC_N("&amp;$AA$18&amp;",3)")</f>
        <v>Q4 2027 Earnings Release (Projected)</v>
      </c>
      <c r="U507" s="282"/>
      <c r="V507" s="274" cm="1">
        <f t="array" ref="V507">_xll.FDSB($C507,"CS_EVENT_DATEJ_N("&amp;$AA$18&amp;",4)")</f>
        <v>46533</v>
      </c>
      <c r="W507" s="282" t="str" cm="1">
        <f t="array" ref="W507">_xll.FDSB($C507,"CS_EVENT_TIME_N("&amp;$AA$18&amp;",4)")</f>
        <v>Unspecified</v>
      </c>
      <c r="X507" s="282" t="str" cm="1">
        <f t="array" ref="X507">_xll.FDSB($C507,"CS_EVENT_DESC_N("&amp;$AA$18&amp;",4)")</f>
        <v>Q1 2028 Earnings Release (Projected)</v>
      </c>
    </row>
    <row r="508" spans="2:24" x14ac:dyDescent="0.15">
      <c r="B508" s="298">
        <f t="shared" si="9"/>
        <v>493</v>
      </c>
      <c r="C508" s="299" t="str">
        <v>WSM</v>
      </c>
      <c r="D508" s="300" t="str" cm="1">
        <f t="array" ref="D508">_xll.FDSB($C508,"FG_COMPANY_NAME")</f>
        <v>Williams-Sonoma, Inc.</v>
      </c>
      <c r="E508" s="300"/>
      <c r="F508" s="274" cm="1">
        <f t="array" ref="F508">_xll.FDSB($C508,"CS_EVENT_DATEJ_N("&amp;$AA$18&amp;",1)")</f>
        <v>46260</v>
      </c>
      <c r="G508" s="282" t="str" cm="1">
        <f t="array" ref="G508">_xll.FDSB($C508,"CS_EVENT_TIME_N("&amp;$AA$18&amp;",1)")</f>
        <v>Unspecified</v>
      </c>
      <c r="H508" s="282" t="str" cm="1">
        <f t="array" ref="H508">_xll.FDSB($C508,"CS_EVENT_DESC_N("&amp;$AA$18&amp;",1)")</f>
        <v>Q2 2026 Earnings Release (Projected)</v>
      </c>
      <c r="I508" s="282"/>
      <c r="J508" s="274" t="str" cm="1">
        <f t="array" ref="J508">_xll.FDSB($C508,"CS_EVENT_DATEJ_N("&amp;$AB$18&amp;",1)")</f>
        <v/>
      </c>
      <c r="K508" s="282" t="str" cm="1">
        <f t="array" ref="K508">_xll.FDSB($C508,"CS_EVENT_TIME_N("&amp;$AB$18&amp;",1)")</f>
        <v/>
      </c>
      <c r="L508" s="282" t="str" cm="1">
        <f t="array" ref="L508">_xll.FDSB($C508,"CS_EVENT_DESC_N("&amp;$AB$18&amp;",1)")</f>
        <v/>
      </c>
      <c r="M508" s="300"/>
      <c r="N508" s="274" cm="1">
        <f t="array" ref="N508">_xll.FDSB($C508,"CS_EVENT_DATEJ_N("&amp;$AA$18&amp;",2)")</f>
        <v>46338</v>
      </c>
      <c r="O508" s="282" t="str" cm="1">
        <f t="array" ref="O508">_xll.FDSB($C508,"CS_EVENT_TIME_N("&amp;$AA$18&amp;",2)")</f>
        <v>Unspecified</v>
      </c>
      <c r="P508" s="282" t="str" cm="1">
        <f t="array" ref="P508">_xll.FDSB($C508,"CS_EVENT_DESC_N("&amp;$AA$18&amp;",2)")</f>
        <v>Q3 2026 Earnings Release (Projected)</v>
      </c>
      <c r="Q508" s="282"/>
      <c r="R508" s="274" cm="1">
        <f t="array" ref="R508">_xll.FDSB($C508,"CS_EVENT_DATEJ_N("&amp;$AA$18&amp;",3)")</f>
        <v>46463</v>
      </c>
      <c r="S508" s="282" t="str" cm="1">
        <f t="array" ref="S508">_xll.FDSB($C508,"CS_EVENT_TIME_N("&amp;$AA$18&amp;",3)")</f>
        <v>Unspecified</v>
      </c>
      <c r="T508" s="282" t="str" cm="1">
        <f t="array" ref="T508">_xll.FDSB($C508,"CS_EVENT_DESC_N("&amp;$AA$18&amp;",3)")</f>
        <v>Q4 2026 Earnings Release (Projected)</v>
      </c>
      <c r="U508" s="282"/>
      <c r="V508" s="274" cm="1">
        <f t="array" ref="V508">_xll.FDSB($C508,"CS_EVENT_DATEJ_N("&amp;$AA$18&amp;",4)")</f>
        <v>46533</v>
      </c>
      <c r="W508" s="282" t="str" cm="1">
        <f t="array" ref="W508">_xll.FDSB($C508,"CS_EVENT_TIME_N("&amp;$AA$18&amp;",4)")</f>
        <v>Unspecified</v>
      </c>
      <c r="X508" s="282" t="str" cm="1">
        <f t="array" ref="X508">_xll.FDSB($C508,"CS_EVENT_DESC_N("&amp;$AA$18&amp;",4)")</f>
        <v>Q1 2027 Earnings Release (Projected)</v>
      </c>
    </row>
    <row r="509" spans="2:24" x14ac:dyDescent="0.15">
      <c r="B509" s="298">
        <f t="shared" si="9"/>
        <v>494</v>
      </c>
      <c r="C509" s="299" t="str">
        <v>CRM</v>
      </c>
      <c r="D509" s="300" t="str" cm="1">
        <f t="array" ref="D509">_xll.FDSB($C509,"FG_COMPANY_NAME")</f>
        <v>Salesforce, Inc.</v>
      </c>
      <c r="E509" s="300"/>
      <c r="F509" s="274" cm="1">
        <f t="array" ref="F509">_xll.FDSB($C509,"CS_EVENT_DATEJ_N("&amp;$AA$18&amp;",1)")</f>
        <v>46260</v>
      </c>
      <c r="G509" s="282" t="str" cm="1">
        <f t="array" ref="G509">_xll.FDSB($C509,"CS_EVENT_TIME_N("&amp;$AA$18&amp;",1)")</f>
        <v>Unspecified</v>
      </c>
      <c r="H509" s="282" t="str" cm="1">
        <f t="array" ref="H509">_xll.FDSB($C509,"CS_EVENT_DESC_N("&amp;$AA$18&amp;",1)")</f>
        <v>Q2 2027 Earnings Release (Projected)</v>
      </c>
      <c r="I509" s="282"/>
      <c r="J509" s="274" t="str" cm="1">
        <f t="array" ref="J509">_xll.FDSB($C509,"CS_EVENT_DATEJ_N("&amp;$AB$18&amp;",1)")</f>
        <v/>
      </c>
      <c r="K509" s="282" t="str" cm="1">
        <f t="array" ref="K509">_xll.FDSB($C509,"CS_EVENT_TIME_N("&amp;$AB$18&amp;",1)")</f>
        <v/>
      </c>
      <c r="L509" s="282" t="str" cm="1">
        <f t="array" ref="L509">_xll.FDSB($C509,"CS_EVENT_DESC_N("&amp;$AB$18&amp;",1)")</f>
        <v/>
      </c>
      <c r="M509" s="300"/>
      <c r="N509" s="274" cm="1">
        <f t="array" ref="N509">_xll.FDSB($C509,"CS_EVENT_DATEJ_N("&amp;$AA$18&amp;",2)")</f>
        <v>46358</v>
      </c>
      <c r="O509" s="282" t="str" cm="1">
        <f t="array" ref="O509">_xll.FDSB($C509,"CS_EVENT_TIME_N("&amp;$AA$18&amp;",2)")</f>
        <v>Unspecified</v>
      </c>
      <c r="P509" s="282" t="str" cm="1">
        <f t="array" ref="P509">_xll.FDSB($C509,"CS_EVENT_DESC_N("&amp;$AA$18&amp;",2)")</f>
        <v>Q3 2027 Earnings Release (Projected)</v>
      </c>
      <c r="Q509" s="282"/>
      <c r="R509" s="274" cm="1">
        <f t="array" ref="R509">_xll.FDSB($C509,"CS_EVENT_DATEJ_N("&amp;$AA$18&amp;",3)")</f>
        <v>46449</v>
      </c>
      <c r="S509" s="282" t="str" cm="1">
        <f t="array" ref="S509">_xll.FDSB($C509,"CS_EVENT_TIME_N("&amp;$AA$18&amp;",3)")</f>
        <v>Unspecified</v>
      </c>
      <c r="T509" s="282" t="str" cm="1">
        <f t="array" ref="T509">_xll.FDSB($C509,"CS_EVENT_DESC_N("&amp;$AA$18&amp;",3)")</f>
        <v>Q4 2027 Earnings Release (Projected)</v>
      </c>
      <c r="U509" s="282"/>
      <c r="V509" s="274" cm="1">
        <f t="array" ref="V509">_xll.FDSB($C509,"CS_EVENT_DATEJ_N("&amp;$AA$18&amp;",4)")</f>
        <v>46540</v>
      </c>
      <c r="W509" s="282" t="str" cm="1">
        <f t="array" ref="W509">_xll.FDSB($C509,"CS_EVENT_TIME_N("&amp;$AA$18&amp;",4)")</f>
        <v>Unspecified</v>
      </c>
      <c r="X509" s="282" t="str" cm="1">
        <f t="array" ref="X509">_xll.FDSB($C509,"CS_EVENT_DESC_N("&amp;$AA$18&amp;",4)")</f>
        <v>Q1 2028 Earnings Release (Projected)</v>
      </c>
    </row>
    <row r="510" spans="2:24" x14ac:dyDescent="0.15">
      <c r="B510" s="298">
        <f t="shared" si="9"/>
        <v>495</v>
      </c>
      <c r="C510" s="299" t="str">
        <v>BBY</v>
      </c>
      <c r="D510" s="300" t="str" cm="1">
        <f t="array" ref="D510">_xll.FDSB($C510,"FG_COMPANY_NAME")</f>
        <v>Best Buy Co., Inc.</v>
      </c>
      <c r="E510" s="300"/>
      <c r="F510" s="274" cm="1">
        <f t="array" ref="F510">_xll.FDSB($C510,"CS_EVENT_DATEJ_N("&amp;$AA$18&amp;",1)")</f>
        <v>46266</v>
      </c>
      <c r="G510" s="282" t="str" cm="1">
        <f t="array" ref="G510">_xll.FDSB($C510,"CS_EVENT_TIME_N("&amp;$AA$18&amp;",1)")</f>
        <v>Unspecified</v>
      </c>
      <c r="H510" s="282" t="str" cm="1">
        <f t="array" ref="H510">_xll.FDSB($C510,"CS_EVENT_DESC_N("&amp;$AA$18&amp;",1)")</f>
        <v>Q2 2027 Earnings Release (Projected)</v>
      </c>
      <c r="I510" s="282"/>
      <c r="J510" s="274" t="str" cm="1">
        <f t="array" ref="J510">_xll.FDSB($C510,"CS_EVENT_DATEJ_N("&amp;$AB$18&amp;",1)")</f>
        <v/>
      </c>
      <c r="K510" s="282" t="str" cm="1">
        <f t="array" ref="K510">_xll.FDSB($C510,"CS_EVENT_TIME_N("&amp;$AB$18&amp;",1)")</f>
        <v/>
      </c>
      <c r="L510" s="282" t="str" cm="1">
        <f t="array" ref="L510">_xll.FDSB($C510,"CS_EVENT_DESC_N("&amp;$AB$18&amp;",1)")</f>
        <v/>
      </c>
      <c r="M510" s="300"/>
      <c r="N510" s="274" cm="1">
        <f t="array" ref="N510">_xll.FDSB($C510,"CS_EVENT_DATEJ_N("&amp;$AA$18&amp;",2)")</f>
        <v>46350</v>
      </c>
      <c r="O510" s="282" t="str" cm="1">
        <f t="array" ref="O510">_xll.FDSB($C510,"CS_EVENT_TIME_N("&amp;$AA$18&amp;",2)")</f>
        <v>Unspecified</v>
      </c>
      <c r="P510" s="282" t="str" cm="1">
        <f t="array" ref="P510">_xll.FDSB($C510,"CS_EVENT_DESC_N("&amp;$AA$18&amp;",2)")</f>
        <v>Q3 2027 Earnings Release (Projected)</v>
      </c>
      <c r="Q510" s="282"/>
      <c r="R510" s="274" t="str" cm="1">
        <f t="array" ref="R510">_xll.FDSB($C510,"CS_EVENT_DATEJ_N("&amp;$AA$18&amp;",3)")</f>
        <v/>
      </c>
      <c r="S510" s="282" t="str" cm="1">
        <f t="array" ref="S510">_xll.FDSB($C510,"CS_EVENT_TIME_N("&amp;$AA$18&amp;",3)")</f>
        <v/>
      </c>
      <c r="T510" s="282" t="str" cm="1">
        <f t="array" ref="T510">_xll.FDSB($C510,"CS_EVENT_DESC_N("&amp;$AA$18&amp;",3)")</f>
        <v/>
      </c>
      <c r="U510" s="282"/>
      <c r="V510" s="274" t="str" cm="1">
        <f t="array" ref="V510">_xll.FDSB($C510,"CS_EVENT_DATEJ_N("&amp;$AA$18&amp;",4)")</f>
        <v/>
      </c>
      <c r="W510" s="282" t="str" cm="1">
        <f t="array" ref="W510">_xll.FDSB($C510,"CS_EVENT_TIME_N("&amp;$AA$18&amp;",4)")</f>
        <v/>
      </c>
      <c r="X510" s="282" t="str" cm="1">
        <f t="array" ref="X510">_xll.FDSB($C510,"CS_EVENT_DESC_N("&amp;$AA$18&amp;",4)")</f>
        <v/>
      </c>
    </row>
    <row r="511" spans="2:24" x14ac:dyDescent="0.15">
      <c r="B511" s="298">
        <f t="shared" si="9"/>
        <v>496</v>
      </c>
      <c r="C511" s="299" t="str">
        <v>HPQ</v>
      </c>
      <c r="D511" s="300" t="str" cm="1">
        <f t="array" ref="D511">_xll.FDSB($C511,"FG_COMPANY_NAME")</f>
        <v>HP Inc.</v>
      </c>
      <c r="E511" s="300"/>
      <c r="F511" s="274" cm="1">
        <f t="array" ref="F511">_xll.FDSB($C511,"CS_EVENT_DATEJ_N("&amp;$AA$18&amp;",1)")</f>
        <v>46266</v>
      </c>
      <c r="G511" s="282" t="str" cm="1">
        <f t="array" ref="G511">_xll.FDSB($C511,"CS_EVENT_TIME_N("&amp;$AA$18&amp;",1)")</f>
        <v>Unspecified</v>
      </c>
      <c r="H511" s="282" t="str" cm="1">
        <f t="array" ref="H511">_xll.FDSB($C511,"CS_EVENT_DESC_N("&amp;$AA$18&amp;",1)")</f>
        <v>Q3 2026 Earnings Release (Projected)</v>
      </c>
      <c r="I511" s="282"/>
      <c r="J511" s="274" t="str" cm="1">
        <f t="array" ref="J511">_xll.FDSB($C511,"CS_EVENT_DATEJ_N("&amp;$AB$18&amp;",1)")</f>
        <v/>
      </c>
      <c r="K511" s="282" t="str" cm="1">
        <f t="array" ref="K511">_xll.FDSB($C511,"CS_EVENT_TIME_N("&amp;$AB$18&amp;",1)")</f>
        <v/>
      </c>
      <c r="L511" s="282" t="str" cm="1">
        <f t="array" ref="L511">_xll.FDSB($C511,"CS_EVENT_DESC_N("&amp;$AB$18&amp;",1)")</f>
        <v/>
      </c>
      <c r="M511" s="300"/>
      <c r="N511" s="274" cm="1">
        <f t="array" ref="N511">_xll.FDSB($C511,"CS_EVENT_DATEJ_N("&amp;$AA$18&amp;",2)")</f>
        <v>46357</v>
      </c>
      <c r="O511" s="282" t="str" cm="1">
        <f t="array" ref="O511">_xll.FDSB($C511,"CS_EVENT_TIME_N("&amp;$AA$18&amp;",2)")</f>
        <v>Unspecified</v>
      </c>
      <c r="P511" s="282" t="str" cm="1">
        <f t="array" ref="P511">_xll.FDSB($C511,"CS_EVENT_DESC_N("&amp;$AA$18&amp;",2)")</f>
        <v>Q4 2026 Earnings Release (Projected)</v>
      </c>
      <c r="Q511" s="282"/>
      <c r="R511" s="274" cm="1">
        <f t="array" ref="R511">_xll.FDSB($C511,"CS_EVENT_DATEJ_N("&amp;$AA$18&amp;",3)")</f>
        <v>46448</v>
      </c>
      <c r="S511" s="282" t="str" cm="1">
        <f t="array" ref="S511">_xll.FDSB($C511,"CS_EVENT_TIME_N("&amp;$AA$18&amp;",3)")</f>
        <v>Unspecified</v>
      </c>
      <c r="T511" s="282" t="str" cm="1">
        <f t="array" ref="T511">_xll.FDSB($C511,"CS_EVENT_DESC_N("&amp;$AA$18&amp;",3)")</f>
        <v>Q1 2027 Earnings Release (Projected)</v>
      </c>
      <c r="U511" s="282"/>
      <c r="V511" s="274" t="str" cm="1">
        <f t="array" ref="V511">_xll.FDSB($C511,"CS_EVENT_DATEJ_N("&amp;$AA$18&amp;",4)")</f>
        <v/>
      </c>
      <c r="W511" s="282" t="str" cm="1">
        <f t="array" ref="W511">_xll.FDSB($C511,"CS_EVENT_TIME_N("&amp;$AA$18&amp;",4)")</f>
        <v/>
      </c>
      <c r="X511" s="282" t="str" cm="1">
        <f t="array" ref="X511">_xll.FDSB($C511,"CS_EVENT_DESC_N("&amp;$AA$18&amp;",4)")</f>
        <v/>
      </c>
    </row>
    <row r="512" spans="2:24" x14ac:dyDescent="0.15">
      <c r="B512" s="298">
        <f t="shared" si="9"/>
        <v>497</v>
      </c>
      <c r="C512" s="299" t="str">
        <v>CPRT</v>
      </c>
      <c r="D512" s="300" t="str" cm="1">
        <f t="array" ref="D512">_xll.FDSB($C512,"FG_COMPANY_NAME")</f>
        <v>Copart, Inc.</v>
      </c>
      <c r="E512" s="300"/>
      <c r="F512" s="274" cm="1">
        <f t="array" ref="F512">_xll.FDSB($C512,"CS_EVENT_DATEJ_N("&amp;$AA$18&amp;",1)")</f>
        <v>46274</v>
      </c>
      <c r="G512" s="282" t="str" cm="1">
        <f t="array" ref="G512">_xll.FDSB($C512,"CS_EVENT_TIME_N("&amp;$AA$18&amp;",1)")</f>
        <v>Unspecified</v>
      </c>
      <c r="H512" s="282" t="str" cm="1">
        <f t="array" ref="H512">_xll.FDSB($C512,"CS_EVENT_DESC_N("&amp;$AA$18&amp;",1)")</f>
        <v>Q4 2026 Earnings Release (Projected)</v>
      </c>
      <c r="I512" s="282"/>
      <c r="J512" s="274" t="str" cm="1">
        <f t="array" ref="J512">_xll.FDSB($C512,"CS_EVENT_DATEJ_N("&amp;$AB$18&amp;",1)")</f>
        <v/>
      </c>
      <c r="K512" s="282" t="str" cm="1">
        <f t="array" ref="K512">_xll.FDSB($C512,"CS_EVENT_TIME_N("&amp;$AB$18&amp;",1)")</f>
        <v/>
      </c>
      <c r="L512" s="282" t="str" cm="1">
        <f t="array" ref="L512">_xll.FDSB($C512,"CS_EVENT_DESC_N("&amp;$AB$18&amp;",1)")</f>
        <v/>
      </c>
      <c r="M512" s="300"/>
      <c r="N512" s="274" cm="1">
        <f t="array" ref="N512">_xll.FDSB($C512,"CS_EVENT_DATEJ_N("&amp;$AA$18&amp;",2)")</f>
        <v>46344</v>
      </c>
      <c r="O512" s="282" t="str" cm="1">
        <f t="array" ref="O512">_xll.FDSB($C512,"CS_EVENT_TIME_N("&amp;$AA$18&amp;",2)")</f>
        <v>Unspecified</v>
      </c>
      <c r="P512" s="282" t="str" cm="1">
        <f t="array" ref="P512">_xll.FDSB($C512,"CS_EVENT_DESC_N("&amp;$AA$18&amp;",2)")</f>
        <v>Q1 2027 Earnings Release (Projected)</v>
      </c>
      <c r="Q512" s="282"/>
      <c r="R512" s="274" cm="1">
        <f t="array" ref="R512">_xll.FDSB($C512,"CS_EVENT_DATEJ_N("&amp;$AA$18&amp;",3)")</f>
        <v>46443</v>
      </c>
      <c r="S512" s="282" t="str" cm="1">
        <f t="array" ref="S512">_xll.FDSB($C512,"CS_EVENT_TIME_N("&amp;$AA$18&amp;",3)")</f>
        <v>Unspecified</v>
      </c>
      <c r="T512" s="282" t="str" cm="1">
        <f t="array" ref="T512">_xll.FDSB($C512,"CS_EVENT_DESC_N("&amp;$AA$18&amp;",3)")</f>
        <v>Q2 2027 Earnings Release (Projected)</v>
      </c>
      <c r="U512" s="282"/>
      <c r="V512" s="274" cm="1">
        <f t="array" ref="V512">_xll.FDSB($C512,"CS_EVENT_DATEJ_N("&amp;$AA$18&amp;",4)")</f>
        <v>46526</v>
      </c>
      <c r="W512" s="282" t="str" cm="1">
        <f t="array" ref="W512">_xll.FDSB($C512,"CS_EVENT_TIME_N("&amp;$AA$18&amp;",4)")</f>
        <v>Unspecified</v>
      </c>
      <c r="X512" s="282" t="str" cm="1">
        <f t="array" ref="X512">_xll.FDSB($C512,"CS_EVENT_DESC_N("&amp;$AA$18&amp;",4)")</f>
        <v>Q3 2027 Earnings Release (Projected)</v>
      </c>
    </row>
    <row r="513" spans="2:24" x14ac:dyDescent="0.15">
      <c r="B513" s="298">
        <f t="shared" si="9"/>
        <v>498</v>
      </c>
      <c r="C513" s="299" t="str">
        <v>AZO</v>
      </c>
      <c r="D513" s="300" t="str" cm="1">
        <f t="array" ref="D513">_xll.FDSB($C513,"FG_COMPANY_NAME")</f>
        <v>AutoZone, Inc.</v>
      </c>
      <c r="E513" s="300"/>
      <c r="F513" s="274" cm="1">
        <f t="array" ref="F513">_xll.FDSB($C513,"CS_EVENT_DATEJ_N("&amp;$AA$18&amp;",1)")</f>
        <v>46294</v>
      </c>
      <c r="G513" s="282" t="str" cm="1">
        <f t="array" ref="G513">_xll.FDSB($C513,"CS_EVENT_TIME_N("&amp;$AA$18&amp;",1)")</f>
        <v>Unspecified</v>
      </c>
      <c r="H513" s="282" t="str" cm="1">
        <f t="array" ref="H513">_xll.FDSB($C513,"CS_EVENT_DESC_N("&amp;$AA$18&amp;",1)")</f>
        <v>Q4 2026 Earnings Release (Projected)</v>
      </c>
      <c r="I513" s="282"/>
      <c r="J513" s="274" t="str" cm="1">
        <f t="array" ref="J513">_xll.FDSB($C513,"CS_EVENT_DATEJ_N("&amp;$AB$18&amp;",1)")</f>
        <v/>
      </c>
      <c r="K513" s="282" t="str" cm="1">
        <f t="array" ref="K513">_xll.FDSB($C513,"CS_EVENT_TIME_N("&amp;$AB$18&amp;",1)")</f>
        <v/>
      </c>
      <c r="L513" s="282" t="str" cm="1">
        <f t="array" ref="L513">_xll.FDSB($C513,"CS_EVENT_DESC_N("&amp;$AB$18&amp;",1)")</f>
        <v/>
      </c>
      <c r="M513" s="300"/>
      <c r="N513" s="274" cm="1">
        <f t="array" ref="N513">_xll.FDSB($C513,"CS_EVENT_DATEJ_N("&amp;$AA$18&amp;",2)")</f>
        <v>46364</v>
      </c>
      <c r="O513" s="282" t="str" cm="1">
        <f t="array" ref="O513">_xll.FDSB($C513,"CS_EVENT_TIME_N("&amp;$AA$18&amp;",2)")</f>
        <v>Unspecified</v>
      </c>
      <c r="P513" s="282" t="str" cm="1">
        <f t="array" ref="P513">_xll.FDSB($C513,"CS_EVENT_DESC_N("&amp;$AA$18&amp;",2)")</f>
        <v>Q1 2027 Earnings Release (Projected)</v>
      </c>
      <c r="Q513" s="282"/>
      <c r="R513" s="274" cm="1">
        <f t="array" ref="R513">_xll.FDSB($C513,"CS_EVENT_DATEJ_N("&amp;$AA$18&amp;",3)")</f>
        <v>46448</v>
      </c>
      <c r="S513" s="282" t="str" cm="1">
        <f t="array" ref="S513">_xll.FDSB($C513,"CS_EVENT_TIME_N("&amp;$AA$18&amp;",3)")</f>
        <v>Unspecified</v>
      </c>
      <c r="T513" s="282" t="str" cm="1">
        <f t="array" ref="T513">_xll.FDSB($C513,"CS_EVENT_DESC_N("&amp;$AA$18&amp;",3)")</f>
        <v>Q2 2027 Earnings Release (Projected)</v>
      </c>
      <c r="U513" s="282"/>
      <c r="V513" s="274" cm="1">
        <f t="array" ref="V513">_xll.FDSB($C513,"CS_EVENT_DATEJ_N("&amp;$AA$18&amp;",4)")</f>
        <v>46532</v>
      </c>
      <c r="W513" s="282" t="str" cm="1">
        <f t="array" ref="W513">_xll.FDSB($C513,"CS_EVENT_TIME_N("&amp;$AA$18&amp;",4)")</f>
        <v>Unspecified</v>
      </c>
      <c r="X513" s="282" t="str" cm="1">
        <f t="array" ref="X513">_xll.FDSB($C513,"CS_EVENT_DESC_N("&amp;$AA$18&amp;",4)")</f>
        <v>Q3 2027 Earnings Release (Projected)</v>
      </c>
    </row>
    <row r="514" spans="2:24" x14ac:dyDescent="0.15">
      <c r="B514" s="298">
        <f t="shared" si="9"/>
        <v>499</v>
      </c>
      <c r="C514" s="299" t="str">
        <v>GILD</v>
      </c>
      <c r="D514" s="300" t="str" cm="1">
        <f t="array" ref="D514">_xll.FDSB($C514,"FG_COMPANY_NAME")</f>
        <v>Gilead Sciences, Inc.</v>
      </c>
      <c r="E514" s="300"/>
      <c r="F514" s="274" cm="1">
        <f t="array" ref="F514">_xll.FDSB($C514,"CS_EVENT_DATEJ_N("&amp;$AA$18&amp;",1)")</f>
        <v>46317</v>
      </c>
      <c r="G514" s="282" t="str" cm="1">
        <f t="array" ref="G514">_xll.FDSB($C514,"CS_EVENT_TIME_N("&amp;$AA$18&amp;",1)")</f>
        <v>Unspecified</v>
      </c>
      <c r="H514" s="282" t="str" cm="1">
        <f t="array" ref="H514">_xll.FDSB($C514,"CS_EVENT_DESC_N("&amp;$AA$18&amp;",1)")</f>
        <v>Q3 2026 Earnings Release (Projected)</v>
      </c>
      <c r="I514" s="282"/>
      <c r="J514" s="274" t="str" cm="1">
        <f t="array" ref="J514">_xll.FDSB($C514,"CS_EVENT_DATEJ_N("&amp;$AB$18&amp;",1)")</f>
        <v/>
      </c>
      <c r="K514" s="282" t="str" cm="1">
        <f t="array" ref="K514">_xll.FDSB($C514,"CS_EVENT_TIME_N("&amp;$AB$18&amp;",1)")</f>
        <v/>
      </c>
      <c r="L514" s="282" t="str" cm="1">
        <f t="array" ref="L514">_xll.FDSB($C514,"CS_EVENT_DESC_N("&amp;$AB$18&amp;",1)")</f>
        <v/>
      </c>
      <c r="M514" s="300"/>
      <c r="N514" s="274" cm="1">
        <f t="array" ref="N514">_xll.FDSB($C514,"CS_EVENT_DATEJ_N("&amp;$AA$18&amp;",2)")</f>
        <v>46422</v>
      </c>
      <c r="O514" s="282" t="str" cm="1">
        <f t="array" ref="O514">_xll.FDSB($C514,"CS_EVENT_TIME_N("&amp;$AA$18&amp;",2)")</f>
        <v>Unspecified</v>
      </c>
      <c r="P514" s="282" t="str" cm="1">
        <f t="array" ref="P514">_xll.FDSB($C514,"CS_EVENT_DESC_N("&amp;$AA$18&amp;",2)")</f>
        <v>Q4 2026 Earnings Release (Projected)</v>
      </c>
      <c r="Q514" s="282"/>
      <c r="R514" s="274" cm="1">
        <f t="array" ref="R514">_xll.FDSB($C514,"CS_EVENT_DATEJ_N("&amp;$AA$18&amp;",3)")</f>
        <v>46506</v>
      </c>
      <c r="S514" s="282" t="str" cm="1">
        <f t="array" ref="S514">_xll.FDSB($C514,"CS_EVENT_TIME_N("&amp;$AA$18&amp;",3)")</f>
        <v>Unspecified</v>
      </c>
      <c r="T514" s="282" t="str" cm="1">
        <f t="array" ref="T514">_xll.FDSB($C514,"CS_EVENT_DESC_N("&amp;$AA$18&amp;",3)")</f>
        <v>Q1 2027 Earnings Release (Projected)</v>
      </c>
      <c r="U514" s="282"/>
      <c r="V514" s="274" t="str" cm="1">
        <f t="array" ref="V514">_xll.FDSB($C514,"CS_EVENT_DATEJ_N("&amp;$AA$18&amp;",4)")</f>
        <v/>
      </c>
      <c r="W514" s="282" t="str" cm="1">
        <f t="array" ref="W514">_xll.FDSB($C514,"CS_EVENT_TIME_N("&amp;$AA$18&amp;",4)")</f>
        <v/>
      </c>
      <c r="X514" s="282" t="str" cm="1">
        <f t="array" ref="X514">_xll.FDSB($C514,"CS_EVENT_DESC_N("&amp;$AA$18&amp;",4)")</f>
        <v/>
      </c>
    </row>
    <row r="515" spans="2:24" x14ac:dyDescent="0.15">
      <c r="B515" s="298">
        <f t="shared" si="9"/>
        <v>500</v>
      </c>
      <c r="C515" s="299" t="str">
        <v>MPC</v>
      </c>
      <c r="D515" s="300" t="str" cm="1">
        <f t="array" ref="D515">_xll.FDSB($C515,"FG_COMPANY_NAME")</f>
        <v>Marathon Petroleum Corporation</v>
      </c>
      <c r="E515" s="300"/>
      <c r="F515" s="274" cm="1">
        <f t="array" ref="F515">_xll.FDSB($C515,"CS_EVENT_DATEJ_N("&amp;$AA$18&amp;",1)")</f>
        <v>46329</v>
      </c>
      <c r="G515" s="282" t="str" cm="1">
        <f t="array" ref="G515">_xll.FDSB($C515,"CS_EVENT_TIME_N("&amp;$AA$18&amp;",1)")</f>
        <v>Unspecified</v>
      </c>
      <c r="H515" s="282" t="str" cm="1">
        <f t="array" ref="H515">_xll.FDSB($C515,"CS_EVENT_DESC_N("&amp;$AA$18&amp;",1)")</f>
        <v>Q3 2026 Earnings Release (Projected)</v>
      </c>
      <c r="I515" s="282"/>
      <c r="J515" s="274" t="str" cm="1">
        <f t="array" ref="J515">_xll.FDSB($C515,"CS_EVENT_DATEJ_N("&amp;$AB$18&amp;",1)")</f>
        <v/>
      </c>
      <c r="K515" s="282" t="str" cm="1">
        <f t="array" ref="K515">_xll.FDSB($C515,"CS_EVENT_TIME_N("&amp;$AB$18&amp;",1)")</f>
        <v/>
      </c>
      <c r="L515" s="282" t="str" cm="1">
        <f t="array" ref="L515">_xll.FDSB($C515,"CS_EVENT_DESC_N("&amp;$AB$18&amp;",1)")</f>
        <v/>
      </c>
      <c r="M515" s="300"/>
      <c r="N515" s="274" cm="1">
        <f t="array" ref="N515">_xll.FDSB($C515,"CS_EVENT_DATEJ_N("&amp;$AA$18&amp;",2)")</f>
        <v>46420</v>
      </c>
      <c r="O515" s="282" t="str" cm="1">
        <f t="array" ref="O515">_xll.FDSB($C515,"CS_EVENT_TIME_N("&amp;$AA$18&amp;",2)")</f>
        <v>Unspecified</v>
      </c>
      <c r="P515" s="282" t="str" cm="1">
        <f t="array" ref="P515">_xll.FDSB($C515,"CS_EVENT_DESC_N("&amp;$AA$18&amp;",2)")</f>
        <v>Q4 2026 Earnings Release (Projected)</v>
      </c>
      <c r="Q515" s="282"/>
      <c r="R515" s="274" cm="1">
        <f t="array" ref="R515">_xll.FDSB($C515,"CS_EVENT_DATEJ_N("&amp;$AA$18&amp;",3)")</f>
        <v>46511</v>
      </c>
      <c r="S515" s="282" t="str" cm="1">
        <f t="array" ref="S515">_xll.FDSB($C515,"CS_EVENT_TIME_N("&amp;$AA$18&amp;",3)")</f>
        <v>Unspecified</v>
      </c>
      <c r="T515" s="282" t="str" cm="1">
        <f t="array" ref="T515">_xll.FDSB($C515,"CS_EVENT_DESC_N("&amp;$AA$18&amp;",3)")</f>
        <v>Q1 2027 Earnings Release (Projected)</v>
      </c>
      <c r="U515" s="282"/>
      <c r="V515" s="274" t="str" cm="1">
        <f t="array" ref="V515">_xll.FDSB($C515,"CS_EVENT_DATEJ_N("&amp;$AA$18&amp;",4)")</f>
        <v/>
      </c>
      <c r="W515" s="282" t="str" cm="1">
        <f t="array" ref="W515">_xll.FDSB($C515,"CS_EVENT_TIME_N("&amp;$AA$18&amp;",4)")</f>
        <v/>
      </c>
      <c r="X515" s="282" t="str" cm="1">
        <f t="array" ref="X515">_xll.FDSB($C515,"CS_EVENT_DESC_N("&amp;$AA$18&amp;",4)")</f>
        <v/>
      </c>
    </row>
    <row r="516" spans="2:24" x14ac:dyDescent="0.15">
      <c r="B516" s="298">
        <f t="shared" si="9"/>
        <v>501</v>
      </c>
      <c r="C516" s="299" t="str">
        <v>NCLH</v>
      </c>
      <c r="D516" s="300" t="str" cm="1">
        <f t="array" ref="D516">_xll.FDSB($C516,"FG_COMPANY_NAME")</f>
        <v>Norwegian Cruise Line Holdings Ltd.</v>
      </c>
      <c r="E516" s="300"/>
      <c r="F516" s="274" cm="1">
        <f t="array" ref="F516">_xll.FDSB($C516,"CS_EVENT_DATEJ_N("&amp;$AA$18&amp;",1)")</f>
        <v>46330</v>
      </c>
      <c r="G516" s="282" t="str" cm="1">
        <f t="array" ref="G516">_xll.FDSB($C516,"CS_EVENT_TIME_N("&amp;$AA$18&amp;",1)")</f>
        <v>Unspecified</v>
      </c>
      <c r="H516" s="282" t="str" cm="1">
        <f t="array" ref="H516">_xll.FDSB($C516,"CS_EVENT_DESC_N("&amp;$AA$18&amp;",1)")</f>
        <v>Q3 2026 Earnings Release (Projected)</v>
      </c>
      <c r="I516" s="282"/>
      <c r="J516" s="274" t="str" cm="1">
        <f t="array" ref="J516">_xll.FDSB($C516,"CS_EVENT_DATEJ_N("&amp;$AB$18&amp;",1)")</f>
        <v/>
      </c>
      <c r="K516" s="282" t="str" cm="1">
        <f t="array" ref="K516">_xll.FDSB($C516,"CS_EVENT_TIME_N("&amp;$AB$18&amp;",1)")</f>
        <v/>
      </c>
      <c r="L516" s="282" t="str" cm="1">
        <f t="array" ref="L516">_xll.FDSB($C516,"CS_EVENT_DESC_N("&amp;$AB$18&amp;",1)")</f>
        <v/>
      </c>
      <c r="M516" s="300"/>
      <c r="N516" s="274" cm="1">
        <f t="array" ref="N516">_xll.FDSB($C516,"CS_EVENT_DATEJ_N("&amp;$AA$18&amp;",2)")</f>
        <v>46448</v>
      </c>
      <c r="O516" s="282" t="str" cm="1">
        <f t="array" ref="O516">_xll.FDSB($C516,"CS_EVENT_TIME_N("&amp;$AA$18&amp;",2)")</f>
        <v>Unspecified</v>
      </c>
      <c r="P516" s="282" t="str" cm="1">
        <f t="array" ref="P516">_xll.FDSB($C516,"CS_EVENT_DESC_N("&amp;$AA$18&amp;",2)")</f>
        <v>Q4 2026 Earnings Release (Projected)</v>
      </c>
      <c r="Q516" s="282"/>
      <c r="R516" s="274" cm="1">
        <f t="array" ref="R516">_xll.FDSB($C516,"CS_EVENT_DATEJ_N("&amp;$AA$18&amp;",3)")</f>
        <v>46512</v>
      </c>
      <c r="S516" s="282" t="str" cm="1">
        <f t="array" ref="S516">_xll.FDSB($C516,"CS_EVENT_TIME_N("&amp;$AA$18&amp;",3)")</f>
        <v>Unspecified</v>
      </c>
      <c r="T516" s="282" t="str" cm="1">
        <f t="array" ref="T516">_xll.FDSB($C516,"CS_EVENT_DESC_N("&amp;$AA$18&amp;",3)")</f>
        <v>Q1 2027 Earnings Release (Projected)</v>
      </c>
      <c r="U516" s="282"/>
      <c r="V516" s="274" t="str" cm="1">
        <f t="array" ref="V516">_xll.FDSB($C516,"CS_EVENT_DATEJ_N("&amp;$AA$18&amp;",4)")</f>
        <v/>
      </c>
      <c r="W516" s="282" t="str" cm="1">
        <f t="array" ref="W516">_xll.FDSB($C516,"CS_EVENT_TIME_N("&amp;$AA$18&amp;",4)")</f>
        <v/>
      </c>
      <c r="X516" s="282" t="str" cm="1">
        <f t="array" ref="X516">_xll.FDSB($C516,"CS_EVENT_DESC_N("&amp;$AA$18&amp;",4)")</f>
        <v/>
      </c>
    </row>
    <row r="517" spans="2:24" x14ac:dyDescent="0.15">
      <c r="B517" s="298">
        <f t="shared" si="9"/>
        <v>502</v>
      </c>
      <c r="C517" s="299" t="str">
        <v>SNPS</v>
      </c>
      <c r="D517" s="300" t="str" cm="1">
        <f t="array" ref="D517">_xll.FDSB($C517,"FG_COMPANY_NAME")</f>
        <v>Synopsys, Inc.</v>
      </c>
      <c r="E517" s="300"/>
      <c r="F517" s="274" cm="1">
        <f t="array" ref="F517">_xll.FDSB($C517,"CS_EVENT_DATEJ_N("&amp;$AA$18&amp;",1)")</f>
        <v>46358</v>
      </c>
      <c r="G517" s="282" t="str" cm="1">
        <f t="array" ref="G517">_xll.FDSB($C517,"CS_EVENT_TIME_N("&amp;$AA$18&amp;",1)")</f>
        <v>Unspecified</v>
      </c>
      <c r="H517" s="282" t="str" cm="1">
        <f t="array" ref="H517">_xll.FDSB($C517,"CS_EVENT_DESC_N("&amp;$AA$18&amp;",1)")</f>
        <v>Q4 2026 Earnings Release (Projected)</v>
      </c>
      <c r="I517" s="282"/>
      <c r="J517" s="274" t="str" cm="1">
        <f t="array" ref="J517">_xll.FDSB($C517,"CS_EVENT_DATEJ_N("&amp;$AB$18&amp;",1)")</f>
        <v/>
      </c>
      <c r="K517" s="282" t="str" cm="1">
        <f t="array" ref="K517">_xll.FDSB($C517,"CS_EVENT_TIME_N("&amp;$AB$18&amp;",1)")</f>
        <v/>
      </c>
      <c r="L517" s="282" t="str" cm="1">
        <f t="array" ref="L517">_xll.FDSB($C517,"CS_EVENT_DESC_N("&amp;$AB$18&amp;",1)")</f>
        <v/>
      </c>
      <c r="M517" s="300"/>
      <c r="N517" s="274" cm="1">
        <f t="array" ref="N517">_xll.FDSB($C517,"CS_EVENT_DATEJ_N("&amp;$AA$18&amp;",2)")</f>
        <v>46435</v>
      </c>
      <c r="O517" s="282" t="str" cm="1">
        <f t="array" ref="O517">_xll.FDSB($C517,"CS_EVENT_TIME_N("&amp;$AA$18&amp;",2)")</f>
        <v>Unspecified</v>
      </c>
      <c r="P517" s="282" t="str" cm="1">
        <f t="array" ref="P517">_xll.FDSB($C517,"CS_EVENT_DESC_N("&amp;$AA$18&amp;",2)")</f>
        <v>Q1 2027 Earnings Release (Projected)</v>
      </c>
      <c r="Q517" s="282"/>
      <c r="R517" s="274" cm="1">
        <f t="array" ref="R517">_xll.FDSB($C517,"CS_EVENT_DATEJ_N("&amp;$AA$18&amp;",3)")</f>
        <v>46526</v>
      </c>
      <c r="S517" s="282" t="str" cm="1">
        <f t="array" ref="S517">_xll.FDSB($C517,"CS_EVENT_TIME_N("&amp;$AA$18&amp;",3)")</f>
        <v>Unspecified</v>
      </c>
      <c r="T517" s="282" t="str" cm="1">
        <f t="array" ref="T517">_xll.FDSB($C517,"CS_EVENT_DESC_N("&amp;$AA$18&amp;",3)")</f>
        <v>Q2 2027 Earnings Release (Projected)</v>
      </c>
      <c r="U517" s="282"/>
      <c r="V517" s="274" t="str" cm="1">
        <f t="array" ref="V517">_xll.FDSB($C517,"CS_EVENT_DATEJ_N("&amp;$AA$18&amp;",4)")</f>
        <v/>
      </c>
      <c r="W517" s="282" t="str" cm="1">
        <f t="array" ref="W517">_xll.FDSB($C517,"CS_EVENT_TIME_N("&amp;$AA$18&amp;",4)")</f>
        <v/>
      </c>
      <c r="X517" s="282" t="str" cm="1">
        <f t="array" ref="X517">_xll.FDSB($C517,"CS_EVENT_DESC_N("&amp;$AA$18&amp;",4)")</f>
        <v/>
      </c>
    </row>
    <row r="518" spans="2:24" x14ac:dyDescent="0.15">
      <c r="B518" s="298">
        <f t="shared" si="9"/>
        <v>503</v>
      </c>
      <c r="C518" s="299" t="str">
        <v>Q</v>
      </c>
      <c r="D518" s="300" t="str" cm="1">
        <f t="array" ref="D518">_xll.FDSB($C518,"FG_COMPANY_NAME")</f>
        <v>Qnity Electronics, Inc.</v>
      </c>
      <c r="E518" s="300"/>
      <c r="F518" s="274" cm="1">
        <f t="array" ref="F518">_xll.FDSB($C518,"CS_EVENT_DATEJ_N("&amp;$AA$18&amp;",1)")</f>
        <v>46450</v>
      </c>
      <c r="G518" s="282" t="str" cm="1">
        <f t="array" ref="G518">_xll.FDSB($C518,"CS_EVENT_TIME_N("&amp;$AA$18&amp;",1)")</f>
        <v>Unspecified</v>
      </c>
      <c r="H518" s="282" t="str" cm="1">
        <f t="array" ref="H518">_xll.FDSB($C518,"CS_EVENT_DESC_N("&amp;$AA$18&amp;",1)")</f>
        <v>Q4 2026 Earnings Release (Projected)</v>
      </c>
      <c r="I518" s="282"/>
      <c r="J518" s="274" t="str" cm="1">
        <f t="array" ref="J518">_xll.FDSB($C518,"CS_EVENT_DATEJ_N("&amp;$AB$18&amp;",1)")</f>
        <v/>
      </c>
      <c r="K518" s="282" t="str" cm="1">
        <f t="array" ref="K518">_xll.FDSB($C518,"CS_EVENT_TIME_N("&amp;$AB$18&amp;",1)")</f>
        <v/>
      </c>
      <c r="L518" s="282" t="str" cm="1">
        <f t="array" ref="L518">_xll.FDSB($C518,"CS_EVENT_DESC_N("&amp;$AB$18&amp;",1)")</f>
        <v/>
      </c>
      <c r="M518" s="300"/>
      <c r="N518" s="274" cm="1">
        <f t="array" ref="N518">_xll.FDSB($C518,"CS_EVENT_DATEJ_N("&amp;$AA$18&amp;",2)")</f>
        <v>46525</v>
      </c>
      <c r="O518" s="282" t="str" cm="1">
        <f t="array" ref="O518">_xll.FDSB($C518,"CS_EVENT_TIME_N("&amp;$AA$18&amp;",2)")</f>
        <v>Unspecified</v>
      </c>
      <c r="P518" s="282" t="str" cm="1">
        <f t="array" ref="P518">_xll.FDSB($C518,"CS_EVENT_DESC_N("&amp;$AA$18&amp;",2)")</f>
        <v>Q1 2027 Earnings Release (Projected)</v>
      </c>
      <c r="Q518" s="282"/>
      <c r="R518" s="274" cm="1">
        <f t="array" ref="R518">_xll.FDSB($C518,"CS_EVENT_DATEJ_N("&amp;$AA$18&amp;",3)")</f>
        <v>46814</v>
      </c>
      <c r="S518" s="282" t="str" cm="1">
        <f t="array" ref="S518">_xll.FDSB($C518,"CS_EVENT_TIME_N("&amp;$AA$18&amp;",3)")</f>
        <v>Unspecified</v>
      </c>
      <c r="T518" s="282" t="str" cm="1">
        <f t="array" ref="T518">_xll.FDSB($C518,"CS_EVENT_DESC_N("&amp;$AA$18&amp;",3)")</f>
        <v>Q4 2027 Earnings Release (Projected)</v>
      </c>
      <c r="U518" s="282"/>
      <c r="V518" s="274" cm="1">
        <f t="array" ref="V518">_xll.FDSB($C518,"CS_EVENT_DATEJ_N("&amp;$AA$18&amp;",4)")</f>
        <v>46889</v>
      </c>
      <c r="W518" s="282" t="str" cm="1">
        <f t="array" ref="W518">_xll.FDSB($C518,"CS_EVENT_TIME_N("&amp;$AA$18&amp;",4)")</f>
        <v>Unspecified</v>
      </c>
      <c r="X518" s="282" t="str" cm="1">
        <f t="array" ref="X518">_xll.FDSB($C518,"CS_EVENT_DESC_N("&amp;$AA$18&amp;",4)")</f>
        <v>Q1 2028 Earnings Release (Projected)</v>
      </c>
    </row>
    <row r="519" spans="2:24" x14ac:dyDescent="0.15">
      <c r="B519" s="298">
        <f t="shared" si="9"/>
        <v>504</v>
      </c>
      <c r="C519" s="299"/>
      <c r="D519" s="300" t="str" cm="1">
        <f t="array" ref="D519">_xll.FDSB($C519,"FG_COMPANY_NAME")</f>
        <v/>
      </c>
      <c r="E519" s="300"/>
      <c r="F519" s="274" t="str" cm="1">
        <f t="array" ref="F519">_xll.FDSB($C519,"CS_EVENT_DATEJ_N("&amp;$AA$18&amp;",1)")</f>
        <v/>
      </c>
      <c r="G519" s="282" t="str" cm="1">
        <f t="array" ref="G519">_xll.FDSB($C519,"CS_EVENT_TIME_N("&amp;$AA$18&amp;",1)")</f>
        <v/>
      </c>
      <c r="H519" s="282" t="str" cm="1">
        <f t="array" ref="H519">_xll.FDSB($C519,"CS_EVENT_DESC_N("&amp;$AA$18&amp;",1)")</f>
        <v/>
      </c>
      <c r="I519" s="282"/>
      <c r="J519" s="274" t="str" cm="1">
        <f t="array" ref="J519">_xll.FDSB($C519,"CS_EVENT_DATEJ_N("&amp;$AB$18&amp;",1)")</f>
        <v/>
      </c>
      <c r="K519" s="282" t="str" cm="1">
        <f t="array" ref="K519">_xll.FDSB($C519,"CS_EVENT_TIME_N("&amp;$AB$18&amp;",1)")</f>
        <v/>
      </c>
      <c r="L519" s="282" t="str" cm="1">
        <f t="array" ref="L519">_xll.FDSB($C519,"CS_EVENT_DESC_N("&amp;$AB$18&amp;",1)")</f>
        <v/>
      </c>
      <c r="M519" s="300"/>
      <c r="N519" s="274" t="str" cm="1">
        <f t="array" ref="N519">_xll.FDSB($C519,"CS_EVENT_DATEJ_N("&amp;$AA$18&amp;",2)")</f>
        <v/>
      </c>
      <c r="O519" s="282" t="str" cm="1">
        <f t="array" ref="O519">_xll.FDSB($C519,"CS_EVENT_TIME_N("&amp;$AA$18&amp;",2)")</f>
        <v/>
      </c>
      <c r="P519" s="282" t="str" cm="1">
        <f t="array" ref="P519">_xll.FDSB($C519,"CS_EVENT_DESC_N("&amp;$AA$18&amp;",2)")</f>
        <v/>
      </c>
      <c r="Q519" s="282"/>
      <c r="R519" s="274" t="str" cm="1">
        <f t="array" ref="R519">_xll.FDSB($C519,"CS_EVENT_DATEJ_N("&amp;$AA$18&amp;",3)")</f>
        <v/>
      </c>
      <c r="S519" s="282" t="str" cm="1">
        <f t="array" ref="S519">_xll.FDSB($C519,"CS_EVENT_TIME_N("&amp;$AA$18&amp;",3)")</f>
        <v/>
      </c>
      <c r="T519" s="282" t="str" cm="1">
        <f t="array" ref="T519">_xll.FDSB($C519,"CS_EVENT_DESC_N("&amp;$AA$18&amp;",3)")</f>
        <v/>
      </c>
      <c r="U519" s="282"/>
      <c r="V519" s="274" t="str" cm="1">
        <f t="array" ref="V519">_xll.FDSB($C519,"CS_EVENT_DATEJ_N("&amp;$AA$18&amp;",4)")</f>
        <v/>
      </c>
      <c r="W519" s="282" t="str" cm="1">
        <f t="array" ref="W519">_xll.FDSB($C519,"CS_EVENT_TIME_N("&amp;$AA$18&amp;",4)")</f>
        <v/>
      </c>
      <c r="X519" s="282" t="str" cm="1">
        <f t="array" ref="X519">_xll.FDSB($C519,"CS_EVENT_DESC_N("&amp;$AA$18&amp;",4)")</f>
        <v/>
      </c>
    </row>
    <row r="520" spans="2:24" x14ac:dyDescent="0.15">
      <c r="B520" s="298">
        <f t="shared" si="9"/>
        <v>505</v>
      </c>
      <c r="C520" s="299"/>
      <c r="D520" s="300" t="str" cm="1">
        <f t="array" ref="D520">_xll.FDSB($C520,"FG_COMPANY_NAME")</f>
        <v/>
      </c>
      <c r="E520" s="300"/>
      <c r="F520" s="274" t="str" cm="1">
        <f t="array" ref="F520">_xll.FDSB($C520,"CS_EVENT_DATEJ_N("&amp;$AA$18&amp;",1)")</f>
        <v/>
      </c>
      <c r="G520" s="282" t="str" cm="1">
        <f t="array" ref="G520">_xll.FDSB($C520,"CS_EVENT_TIME_N("&amp;$AA$18&amp;",1)")</f>
        <v/>
      </c>
      <c r="H520" s="282" t="str" cm="1">
        <f t="array" ref="H520">_xll.FDSB($C520,"CS_EVENT_DESC_N("&amp;$AA$18&amp;",1)")</f>
        <v/>
      </c>
      <c r="I520" s="282"/>
      <c r="J520" s="274" t="str" cm="1">
        <f t="array" ref="J520">_xll.FDSB($C520,"CS_EVENT_DATEJ_N("&amp;$AB$18&amp;",1)")</f>
        <v/>
      </c>
      <c r="K520" s="282" t="str" cm="1">
        <f t="array" ref="K520">_xll.FDSB($C520,"CS_EVENT_TIME_N("&amp;$AB$18&amp;",1)")</f>
        <v/>
      </c>
      <c r="L520" s="282" t="str" cm="1">
        <f t="array" ref="L520">_xll.FDSB($C520,"CS_EVENT_DESC_N("&amp;$AB$18&amp;",1)")</f>
        <v/>
      </c>
      <c r="M520" s="300"/>
      <c r="N520" s="274" t="str" cm="1">
        <f t="array" ref="N520">_xll.FDSB($C520,"CS_EVENT_DATEJ_N("&amp;$AA$18&amp;",2)")</f>
        <v/>
      </c>
      <c r="O520" s="282" t="str" cm="1">
        <f t="array" ref="O520">_xll.FDSB($C520,"CS_EVENT_TIME_N("&amp;$AA$18&amp;",2)")</f>
        <v/>
      </c>
      <c r="P520" s="282" t="str" cm="1">
        <f t="array" ref="P520">_xll.FDSB($C520,"CS_EVENT_DESC_N("&amp;$AA$18&amp;",2)")</f>
        <v/>
      </c>
      <c r="Q520" s="282"/>
      <c r="R520" s="274" t="str" cm="1">
        <f t="array" ref="R520">_xll.FDSB($C520,"CS_EVENT_DATEJ_N("&amp;$AA$18&amp;",3)")</f>
        <v/>
      </c>
      <c r="S520" s="282" t="str" cm="1">
        <f t="array" ref="S520">_xll.FDSB($C520,"CS_EVENT_TIME_N("&amp;$AA$18&amp;",3)")</f>
        <v/>
      </c>
      <c r="T520" s="282" t="str" cm="1">
        <f t="array" ref="T520">_xll.FDSB($C520,"CS_EVENT_DESC_N("&amp;$AA$18&amp;",3)")</f>
        <v/>
      </c>
      <c r="U520" s="282"/>
      <c r="V520" s="274" t="str" cm="1">
        <f t="array" ref="V520">_xll.FDSB($C520,"CS_EVENT_DATEJ_N("&amp;$AA$18&amp;",4)")</f>
        <v/>
      </c>
      <c r="W520" s="282" t="str" cm="1">
        <f t="array" ref="W520">_xll.FDSB($C520,"CS_EVENT_TIME_N("&amp;$AA$18&amp;",4)")</f>
        <v/>
      </c>
      <c r="X520" s="282" t="str" cm="1">
        <f t="array" ref="X520">_xll.FDSB($C520,"CS_EVENT_DESC_N("&amp;$AA$18&amp;",4)")</f>
        <v/>
      </c>
    </row>
    <row r="521" spans="2:24" x14ac:dyDescent="0.15">
      <c r="B521" s="298">
        <f t="shared" si="9"/>
        <v>506</v>
      </c>
      <c r="C521" s="299"/>
      <c r="D521" s="300" t="str" cm="1">
        <f t="array" ref="D521">_xll.FDSB($C521,"FG_COMPANY_NAME")</f>
        <v/>
      </c>
      <c r="E521" s="300"/>
      <c r="F521" s="274" t="str" cm="1">
        <f t="array" ref="F521">_xll.FDSB($C521,"CS_EVENT_DATEJ_N("&amp;$AA$18&amp;",1)")</f>
        <v/>
      </c>
      <c r="G521" s="282" t="str" cm="1">
        <f t="array" ref="G521">_xll.FDSB($C521,"CS_EVENT_TIME_N("&amp;$AA$18&amp;",1)")</f>
        <v/>
      </c>
      <c r="H521" s="282" t="str" cm="1">
        <f t="array" ref="H521">_xll.FDSB($C521,"CS_EVENT_DESC_N("&amp;$AA$18&amp;",1)")</f>
        <v/>
      </c>
      <c r="I521" s="282"/>
      <c r="J521" s="274" t="str" cm="1">
        <f t="array" ref="J521">_xll.FDSB($C521,"CS_EVENT_DATEJ_N("&amp;$AB$18&amp;",1)")</f>
        <v/>
      </c>
      <c r="K521" s="282" t="str" cm="1">
        <f t="array" ref="K521">_xll.FDSB($C521,"CS_EVENT_TIME_N("&amp;$AB$18&amp;",1)")</f>
        <v/>
      </c>
      <c r="L521" s="282" t="str" cm="1">
        <f t="array" ref="L521">_xll.FDSB($C521,"CS_EVENT_DESC_N("&amp;$AB$18&amp;",1)")</f>
        <v/>
      </c>
      <c r="M521" s="300"/>
      <c r="N521" s="274" t="str" cm="1">
        <f t="array" ref="N521">_xll.FDSB($C521,"CS_EVENT_DATEJ_N("&amp;$AA$18&amp;",2)")</f>
        <v/>
      </c>
      <c r="O521" s="282" t="str" cm="1">
        <f t="array" ref="O521">_xll.FDSB($C521,"CS_EVENT_TIME_N("&amp;$AA$18&amp;",2)")</f>
        <v/>
      </c>
      <c r="P521" s="282" t="str" cm="1">
        <f t="array" ref="P521">_xll.FDSB($C521,"CS_EVENT_DESC_N("&amp;$AA$18&amp;",2)")</f>
        <v/>
      </c>
      <c r="Q521" s="282"/>
      <c r="R521" s="274" t="str" cm="1">
        <f t="array" ref="R521">_xll.FDSB($C521,"CS_EVENT_DATEJ_N("&amp;$AA$18&amp;",3)")</f>
        <v/>
      </c>
      <c r="S521" s="282" t="str" cm="1">
        <f t="array" ref="S521">_xll.FDSB($C521,"CS_EVENT_TIME_N("&amp;$AA$18&amp;",3)")</f>
        <v/>
      </c>
      <c r="T521" s="282" t="str" cm="1">
        <f t="array" ref="T521">_xll.FDSB($C521,"CS_EVENT_DESC_N("&amp;$AA$18&amp;",3)")</f>
        <v/>
      </c>
      <c r="U521" s="282"/>
      <c r="V521" s="274" t="str" cm="1">
        <f t="array" ref="V521">_xll.FDSB($C521,"CS_EVENT_DATEJ_N("&amp;$AA$18&amp;",4)")</f>
        <v/>
      </c>
      <c r="W521" s="282" t="str" cm="1">
        <f t="array" ref="W521">_xll.FDSB($C521,"CS_EVENT_TIME_N("&amp;$AA$18&amp;",4)")</f>
        <v/>
      </c>
      <c r="X521" s="282" t="str" cm="1">
        <f t="array" ref="X521">_xll.FDSB($C521,"CS_EVENT_DESC_N("&amp;$AA$18&amp;",4)")</f>
        <v/>
      </c>
    </row>
    <row r="522" spans="2:24" x14ac:dyDescent="0.15">
      <c r="B522" s="298">
        <f t="shared" si="9"/>
        <v>507</v>
      </c>
      <c r="C522" s="299"/>
      <c r="D522" s="300" t="str" cm="1">
        <f t="array" ref="D522">_xll.FDSB($C522,"FG_COMPANY_NAME")</f>
        <v/>
      </c>
      <c r="E522" s="300"/>
      <c r="F522" s="274" t="str" cm="1">
        <f t="array" ref="F522">_xll.FDSB($C522,"CS_EVENT_DATEJ_N("&amp;$AA$18&amp;",1)")</f>
        <v/>
      </c>
      <c r="G522" s="282" t="str" cm="1">
        <f t="array" ref="G522">_xll.FDSB($C522,"CS_EVENT_TIME_N("&amp;$AA$18&amp;",1)")</f>
        <v/>
      </c>
      <c r="H522" s="282" t="str" cm="1">
        <f t="array" ref="H522">_xll.FDSB($C522,"CS_EVENT_DESC_N("&amp;$AA$18&amp;",1)")</f>
        <v/>
      </c>
      <c r="I522" s="282"/>
      <c r="J522" s="274" t="str" cm="1">
        <f t="array" ref="J522">_xll.FDSB($C522,"CS_EVENT_DATEJ_N("&amp;$AB$18&amp;",1)")</f>
        <v/>
      </c>
      <c r="K522" s="282" t="str" cm="1">
        <f t="array" ref="K522">_xll.FDSB($C522,"CS_EVENT_TIME_N("&amp;$AB$18&amp;",1)")</f>
        <v/>
      </c>
      <c r="L522" s="282" t="str" cm="1">
        <f t="array" ref="L522">_xll.FDSB($C522,"CS_EVENT_DESC_N("&amp;$AB$18&amp;",1)")</f>
        <v/>
      </c>
      <c r="M522" s="300"/>
      <c r="N522" s="274" t="str" cm="1">
        <f t="array" ref="N522">_xll.FDSB($C522,"CS_EVENT_DATEJ_N("&amp;$AA$18&amp;",2)")</f>
        <v/>
      </c>
      <c r="O522" s="282" t="str" cm="1">
        <f t="array" ref="O522">_xll.FDSB($C522,"CS_EVENT_TIME_N("&amp;$AA$18&amp;",2)")</f>
        <v/>
      </c>
      <c r="P522" s="282" t="str" cm="1">
        <f t="array" ref="P522">_xll.FDSB($C522,"CS_EVENT_DESC_N("&amp;$AA$18&amp;",2)")</f>
        <v/>
      </c>
      <c r="Q522" s="282"/>
      <c r="R522" s="274" t="str" cm="1">
        <f t="array" ref="R522">_xll.FDSB($C522,"CS_EVENT_DATEJ_N("&amp;$AA$18&amp;",3)")</f>
        <v/>
      </c>
      <c r="S522" s="282" t="str" cm="1">
        <f t="array" ref="S522">_xll.FDSB($C522,"CS_EVENT_TIME_N("&amp;$AA$18&amp;",3)")</f>
        <v/>
      </c>
      <c r="T522" s="282" t="str" cm="1">
        <f t="array" ref="T522">_xll.FDSB($C522,"CS_EVENT_DESC_N("&amp;$AA$18&amp;",3)")</f>
        <v/>
      </c>
      <c r="U522" s="282"/>
      <c r="V522" s="274" t="str" cm="1">
        <f t="array" ref="V522">_xll.FDSB($C522,"CS_EVENT_DATEJ_N("&amp;$AA$18&amp;",4)")</f>
        <v/>
      </c>
      <c r="W522" s="282" t="str" cm="1">
        <f t="array" ref="W522">_xll.FDSB($C522,"CS_EVENT_TIME_N("&amp;$AA$18&amp;",4)")</f>
        <v/>
      </c>
      <c r="X522" s="282" t="str" cm="1">
        <f t="array" ref="X522">_xll.FDSB($C522,"CS_EVENT_DESC_N("&amp;$AA$18&amp;",4)")</f>
        <v/>
      </c>
    </row>
    <row r="523" spans="2:24" x14ac:dyDescent="0.15">
      <c r="B523" s="298">
        <f t="shared" si="9"/>
        <v>508</v>
      </c>
      <c r="C523" s="299"/>
      <c r="D523" s="300" t="str" cm="1">
        <f t="array" ref="D523">_xll.FDSB($C523,"FG_COMPANY_NAME")</f>
        <v/>
      </c>
      <c r="E523" s="300"/>
      <c r="F523" s="274" t="str" cm="1">
        <f t="array" ref="F523">_xll.FDSB($C523,"CS_EVENT_DATEJ_N("&amp;$AA$18&amp;",1)")</f>
        <v/>
      </c>
      <c r="G523" s="282" t="str" cm="1">
        <f t="array" ref="G523">_xll.FDSB($C523,"CS_EVENT_TIME_N("&amp;$AA$18&amp;",1)")</f>
        <v/>
      </c>
      <c r="H523" s="282" t="str" cm="1">
        <f t="array" ref="H523">_xll.FDSB($C523,"CS_EVENT_DESC_N("&amp;$AA$18&amp;",1)")</f>
        <v/>
      </c>
      <c r="I523" s="282"/>
      <c r="J523" s="274" t="str" cm="1">
        <f t="array" ref="J523">_xll.FDSB($C523,"CS_EVENT_DATEJ_N("&amp;$AB$18&amp;",1)")</f>
        <v/>
      </c>
      <c r="K523" s="282" t="str" cm="1">
        <f t="array" ref="K523">_xll.FDSB($C523,"CS_EVENT_TIME_N("&amp;$AB$18&amp;",1)")</f>
        <v/>
      </c>
      <c r="L523" s="282" t="str" cm="1">
        <f t="array" ref="L523">_xll.FDSB($C523,"CS_EVENT_DESC_N("&amp;$AB$18&amp;",1)")</f>
        <v/>
      </c>
      <c r="M523" s="300"/>
      <c r="N523" s="274" t="str" cm="1">
        <f t="array" ref="N523">_xll.FDSB($C523,"CS_EVENT_DATEJ_N("&amp;$AA$18&amp;",2)")</f>
        <v/>
      </c>
      <c r="O523" s="282" t="str" cm="1">
        <f t="array" ref="O523">_xll.FDSB($C523,"CS_EVENT_TIME_N("&amp;$AA$18&amp;",2)")</f>
        <v/>
      </c>
      <c r="P523" s="282" t="str" cm="1">
        <f t="array" ref="P523">_xll.FDSB($C523,"CS_EVENT_DESC_N("&amp;$AA$18&amp;",2)")</f>
        <v/>
      </c>
      <c r="Q523" s="282"/>
      <c r="R523" s="274" t="str" cm="1">
        <f t="array" ref="R523">_xll.FDSB($C523,"CS_EVENT_DATEJ_N("&amp;$AA$18&amp;",3)")</f>
        <v/>
      </c>
      <c r="S523" s="282" t="str" cm="1">
        <f t="array" ref="S523">_xll.FDSB($C523,"CS_EVENT_TIME_N("&amp;$AA$18&amp;",3)")</f>
        <v/>
      </c>
      <c r="T523" s="282" t="str" cm="1">
        <f t="array" ref="T523">_xll.FDSB($C523,"CS_EVENT_DESC_N("&amp;$AA$18&amp;",3)")</f>
        <v/>
      </c>
      <c r="U523" s="282"/>
      <c r="V523" s="274" t="str" cm="1">
        <f t="array" ref="V523">_xll.FDSB($C523,"CS_EVENT_DATEJ_N("&amp;$AA$18&amp;",4)")</f>
        <v/>
      </c>
      <c r="W523" s="282" t="str" cm="1">
        <f t="array" ref="W523">_xll.FDSB($C523,"CS_EVENT_TIME_N("&amp;$AA$18&amp;",4)")</f>
        <v/>
      </c>
      <c r="X523" s="282" t="str" cm="1">
        <f t="array" ref="X523">_xll.FDSB($C523,"CS_EVENT_DESC_N("&amp;$AA$18&amp;",4)")</f>
        <v/>
      </c>
    </row>
    <row r="524" spans="2:24" x14ac:dyDescent="0.15">
      <c r="B524" s="298">
        <f t="shared" si="9"/>
        <v>509</v>
      </c>
      <c r="C524" s="299"/>
      <c r="D524" s="300" t="str" cm="1">
        <f t="array" ref="D524">_xll.FDSB($C524,"FG_COMPANY_NAME")</f>
        <v/>
      </c>
      <c r="E524" s="300"/>
      <c r="F524" s="274" t="str" cm="1">
        <f t="array" ref="F524">_xll.FDSB($C524,"CS_EVENT_DATEJ_N("&amp;$AA$18&amp;",1)")</f>
        <v/>
      </c>
      <c r="G524" s="282" t="str" cm="1">
        <f t="array" ref="G524">_xll.FDSB($C524,"CS_EVENT_TIME_N("&amp;$AA$18&amp;",1)")</f>
        <v/>
      </c>
      <c r="H524" s="282" t="str" cm="1">
        <f t="array" ref="H524">_xll.FDSB($C524,"CS_EVENT_DESC_N("&amp;$AA$18&amp;",1)")</f>
        <v/>
      </c>
      <c r="I524" s="282"/>
      <c r="J524" s="274" t="str" cm="1">
        <f t="array" ref="J524">_xll.FDSB($C524,"CS_EVENT_DATEJ_N("&amp;$AB$18&amp;",1)")</f>
        <v/>
      </c>
      <c r="K524" s="282" t="str" cm="1">
        <f t="array" ref="K524">_xll.FDSB($C524,"CS_EVENT_TIME_N("&amp;$AB$18&amp;",1)")</f>
        <v/>
      </c>
      <c r="L524" s="282" t="str" cm="1">
        <f t="array" ref="L524">_xll.FDSB($C524,"CS_EVENT_DESC_N("&amp;$AB$18&amp;",1)")</f>
        <v/>
      </c>
      <c r="M524" s="300"/>
      <c r="N524" s="274" t="str" cm="1">
        <f t="array" ref="N524">_xll.FDSB($C524,"CS_EVENT_DATEJ_N("&amp;$AA$18&amp;",2)")</f>
        <v/>
      </c>
      <c r="O524" s="282" t="str" cm="1">
        <f t="array" ref="O524">_xll.FDSB($C524,"CS_EVENT_TIME_N("&amp;$AA$18&amp;",2)")</f>
        <v/>
      </c>
      <c r="P524" s="282" t="str" cm="1">
        <f t="array" ref="P524">_xll.FDSB($C524,"CS_EVENT_DESC_N("&amp;$AA$18&amp;",2)")</f>
        <v/>
      </c>
      <c r="Q524" s="282"/>
      <c r="R524" s="274" t="str" cm="1">
        <f t="array" ref="R524">_xll.FDSB($C524,"CS_EVENT_DATEJ_N("&amp;$AA$18&amp;",3)")</f>
        <v/>
      </c>
      <c r="S524" s="282" t="str" cm="1">
        <f t="array" ref="S524">_xll.FDSB($C524,"CS_EVENT_TIME_N("&amp;$AA$18&amp;",3)")</f>
        <v/>
      </c>
      <c r="T524" s="282" t="str" cm="1">
        <f t="array" ref="T524">_xll.FDSB($C524,"CS_EVENT_DESC_N("&amp;$AA$18&amp;",3)")</f>
        <v/>
      </c>
      <c r="U524" s="282"/>
      <c r="V524" s="274" t="str" cm="1">
        <f t="array" ref="V524">_xll.FDSB($C524,"CS_EVENT_DATEJ_N("&amp;$AA$18&amp;",4)")</f>
        <v/>
      </c>
      <c r="W524" s="282" t="str" cm="1">
        <f t="array" ref="W524">_xll.FDSB($C524,"CS_EVENT_TIME_N("&amp;$AA$18&amp;",4)")</f>
        <v/>
      </c>
      <c r="X524" s="282" t="str" cm="1">
        <f t="array" ref="X524">_xll.FDSB($C524,"CS_EVENT_DESC_N("&amp;$AA$18&amp;",4)")</f>
        <v/>
      </c>
    </row>
    <row r="525" spans="2:24" x14ac:dyDescent="0.15">
      <c r="B525" s="298">
        <f t="shared" si="9"/>
        <v>510</v>
      </c>
      <c r="C525" s="299"/>
      <c r="D525" s="300" t="str" cm="1">
        <f t="array" ref="D525">_xll.FDSB($C525,"FG_COMPANY_NAME")</f>
        <v/>
      </c>
      <c r="E525" s="300"/>
      <c r="F525" s="274" t="str" cm="1">
        <f t="array" ref="F525">_xll.FDSB($C525,"CS_EVENT_DATEJ_N("&amp;$AA$18&amp;",1)")</f>
        <v/>
      </c>
      <c r="G525" s="282" t="str" cm="1">
        <f t="array" ref="G525">_xll.FDSB($C525,"CS_EVENT_TIME_N("&amp;$AA$18&amp;",1)")</f>
        <v/>
      </c>
      <c r="H525" s="282" t="str" cm="1">
        <f t="array" ref="H525">_xll.FDSB($C525,"CS_EVENT_DESC_N("&amp;$AA$18&amp;",1)")</f>
        <v/>
      </c>
      <c r="I525" s="282"/>
      <c r="J525" s="274" t="str" cm="1">
        <f t="array" ref="J525">_xll.FDSB($C525,"CS_EVENT_DATEJ_N("&amp;$AB$18&amp;",1)")</f>
        <v/>
      </c>
      <c r="K525" s="282" t="str" cm="1">
        <f t="array" ref="K525">_xll.FDSB($C525,"CS_EVENT_TIME_N("&amp;$AB$18&amp;",1)")</f>
        <v/>
      </c>
      <c r="L525" s="282" t="str" cm="1">
        <f t="array" ref="L525">_xll.FDSB($C525,"CS_EVENT_DESC_N("&amp;$AB$18&amp;",1)")</f>
        <v/>
      </c>
      <c r="M525" s="300"/>
      <c r="N525" s="274" t="str" cm="1">
        <f t="array" ref="N525">_xll.FDSB($C525,"CS_EVENT_DATEJ_N("&amp;$AA$18&amp;",2)")</f>
        <v/>
      </c>
      <c r="O525" s="282" t="str" cm="1">
        <f t="array" ref="O525">_xll.FDSB($C525,"CS_EVENT_TIME_N("&amp;$AA$18&amp;",2)")</f>
        <v/>
      </c>
      <c r="P525" s="282" t="str" cm="1">
        <f t="array" ref="P525">_xll.FDSB($C525,"CS_EVENT_DESC_N("&amp;$AA$18&amp;",2)")</f>
        <v/>
      </c>
      <c r="Q525" s="282"/>
      <c r="R525" s="274" t="str" cm="1">
        <f t="array" ref="R525">_xll.FDSB($C525,"CS_EVENT_DATEJ_N("&amp;$AA$18&amp;",3)")</f>
        <v/>
      </c>
      <c r="S525" s="282" t="str" cm="1">
        <f t="array" ref="S525">_xll.FDSB($C525,"CS_EVENT_TIME_N("&amp;$AA$18&amp;",3)")</f>
        <v/>
      </c>
      <c r="T525" s="282" t="str" cm="1">
        <f t="array" ref="T525">_xll.FDSB($C525,"CS_EVENT_DESC_N("&amp;$AA$18&amp;",3)")</f>
        <v/>
      </c>
      <c r="U525" s="282"/>
      <c r="V525" s="274" t="str" cm="1">
        <f t="array" ref="V525">_xll.FDSB($C525,"CS_EVENT_DATEJ_N("&amp;$AA$18&amp;",4)")</f>
        <v/>
      </c>
      <c r="W525" s="282" t="str" cm="1">
        <f t="array" ref="W525">_xll.FDSB($C525,"CS_EVENT_TIME_N("&amp;$AA$18&amp;",4)")</f>
        <v/>
      </c>
      <c r="X525" s="282" t="str" cm="1">
        <f t="array" ref="X525">_xll.FDSB($C525,"CS_EVENT_DESC_N("&amp;$AA$18&amp;",4)")</f>
        <v/>
      </c>
    </row>
    <row r="526" spans="2:24" x14ac:dyDescent="0.15">
      <c r="B526" s="298">
        <f t="shared" si="9"/>
        <v>511</v>
      </c>
      <c r="C526" s="299"/>
      <c r="D526" s="300" t="str" cm="1">
        <f t="array" ref="D526">_xll.FDSB($C526,"FG_COMPANY_NAME")</f>
        <v/>
      </c>
      <c r="E526" s="300"/>
      <c r="F526" s="274" t="str" cm="1">
        <f t="array" ref="F526">_xll.FDSB($C526,"CS_EVENT_DATEJ_N("&amp;$AA$18&amp;",1)")</f>
        <v/>
      </c>
      <c r="G526" s="282" t="str" cm="1">
        <f t="array" ref="G526">_xll.FDSB($C526,"CS_EVENT_TIME_N("&amp;$AA$18&amp;",1)")</f>
        <v/>
      </c>
      <c r="H526" s="282" t="str" cm="1">
        <f t="array" ref="H526">_xll.FDSB($C526,"CS_EVENT_DESC_N("&amp;$AA$18&amp;",1)")</f>
        <v/>
      </c>
      <c r="I526" s="282"/>
      <c r="J526" s="274" t="str" cm="1">
        <f t="array" ref="J526">_xll.FDSB($C526,"CS_EVENT_DATEJ_N("&amp;$AB$18&amp;",1)")</f>
        <v/>
      </c>
      <c r="K526" s="282" t="str" cm="1">
        <f t="array" ref="K526">_xll.FDSB($C526,"CS_EVENT_TIME_N("&amp;$AB$18&amp;",1)")</f>
        <v/>
      </c>
      <c r="L526" s="282" t="str" cm="1">
        <f t="array" ref="L526">_xll.FDSB($C526,"CS_EVENT_DESC_N("&amp;$AB$18&amp;",1)")</f>
        <v/>
      </c>
      <c r="M526" s="300"/>
      <c r="N526" s="274" t="str" cm="1">
        <f t="array" ref="N526">_xll.FDSB($C526,"CS_EVENT_DATEJ_N("&amp;$AA$18&amp;",2)")</f>
        <v/>
      </c>
      <c r="O526" s="282" t="str" cm="1">
        <f t="array" ref="O526">_xll.FDSB($C526,"CS_EVENT_TIME_N("&amp;$AA$18&amp;",2)")</f>
        <v/>
      </c>
      <c r="P526" s="282" t="str" cm="1">
        <f t="array" ref="P526">_xll.FDSB($C526,"CS_EVENT_DESC_N("&amp;$AA$18&amp;",2)")</f>
        <v/>
      </c>
      <c r="Q526" s="282"/>
      <c r="R526" s="274" t="str" cm="1">
        <f t="array" ref="R526">_xll.FDSB($C526,"CS_EVENT_DATEJ_N("&amp;$AA$18&amp;",3)")</f>
        <v/>
      </c>
      <c r="S526" s="282" t="str" cm="1">
        <f t="array" ref="S526">_xll.FDSB($C526,"CS_EVENT_TIME_N("&amp;$AA$18&amp;",3)")</f>
        <v/>
      </c>
      <c r="T526" s="282" t="str" cm="1">
        <f t="array" ref="T526">_xll.FDSB($C526,"CS_EVENT_DESC_N("&amp;$AA$18&amp;",3)")</f>
        <v/>
      </c>
      <c r="U526" s="282"/>
      <c r="V526" s="274" t="str" cm="1">
        <f t="array" ref="V526">_xll.FDSB($C526,"CS_EVENT_DATEJ_N("&amp;$AA$18&amp;",4)")</f>
        <v/>
      </c>
      <c r="W526" s="282" t="str" cm="1">
        <f t="array" ref="W526">_xll.FDSB($C526,"CS_EVENT_TIME_N("&amp;$AA$18&amp;",4)")</f>
        <v/>
      </c>
      <c r="X526" s="282" t="str" cm="1">
        <f t="array" ref="X526">_xll.FDSB($C526,"CS_EVENT_DESC_N("&amp;$AA$18&amp;",4)")</f>
        <v/>
      </c>
    </row>
    <row r="527" spans="2:24" x14ac:dyDescent="0.15">
      <c r="B527" s="298">
        <f t="shared" si="9"/>
        <v>512</v>
      </c>
      <c r="C527" s="299"/>
      <c r="D527" s="300" t="str" cm="1">
        <f t="array" ref="D527">_xll.FDSB($C527,"FG_COMPANY_NAME")</f>
        <v/>
      </c>
      <c r="E527" s="300"/>
      <c r="F527" s="274" t="str" cm="1">
        <f t="array" ref="F527">_xll.FDSB($C527,"CS_EVENT_DATEJ_N("&amp;$AA$18&amp;",1)")</f>
        <v/>
      </c>
      <c r="G527" s="282" t="str" cm="1">
        <f t="array" ref="G527">_xll.FDSB($C527,"CS_EVENT_TIME_N("&amp;$AA$18&amp;",1)")</f>
        <v/>
      </c>
      <c r="H527" s="282" t="str" cm="1">
        <f t="array" ref="H527">_xll.FDSB($C527,"CS_EVENT_DESC_N("&amp;$AA$18&amp;",1)")</f>
        <v/>
      </c>
      <c r="I527" s="282"/>
      <c r="J527" s="274" t="str" cm="1">
        <f t="array" ref="J527">_xll.FDSB($C527,"CS_EVENT_DATEJ_N("&amp;$AB$18&amp;",1)")</f>
        <v/>
      </c>
      <c r="K527" s="282" t="str" cm="1">
        <f t="array" ref="K527">_xll.FDSB($C527,"CS_EVENT_TIME_N("&amp;$AB$18&amp;",1)")</f>
        <v/>
      </c>
      <c r="L527" s="282" t="str" cm="1">
        <f t="array" ref="L527">_xll.FDSB($C527,"CS_EVENT_DESC_N("&amp;$AB$18&amp;",1)")</f>
        <v/>
      </c>
      <c r="M527" s="300"/>
      <c r="N527" s="274" t="str" cm="1">
        <f t="array" ref="N527">_xll.FDSB($C527,"CS_EVENT_DATEJ_N("&amp;$AA$18&amp;",2)")</f>
        <v/>
      </c>
      <c r="O527" s="282" t="str" cm="1">
        <f t="array" ref="O527">_xll.FDSB($C527,"CS_EVENT_TIME_N("&amp;$AA$18&amp;",2)")</f>
        <v/>
      </c>
      <c r="P527" s="282" t="str" cm="1">
        <f t="array" ref="P527">_xll.FDSB($C527,"CS_EVENT_DESC_N("&amp;$AA$18&amp;",2)")</f>
        <v/>
      </c>
      <c r="Q527" s="282"/>
      <c r="R527" s="274" t="str" cm="1">
        <f t="array" ref="R527">_xll.FDSB($C527,"CS_EVENT_DATEJ_N("&amp;$AA$18&amp;",3)")</f>
        <v/>
      </c>
      <c r="S527" s="282" t="str" cm="1">
        <f t="array" ref="S527">_xll.FDSB($C527,"CS_EVENT_TIME_N("&amp;$AA$18&amp;",3)")</f>
        <v/>
      </c>
      <c r="T527" s="282" t="str" cm="1">
        <f t="array" ref="T527">_xll.FDSB($C527,"CS_EVENT_DESC_N("&amp;$AA$18&amp;",3)")</f>
        <v/>
      </c>
      <c r="U527" s="282"/>
      <c r="V527" s="274" t="str" cm="1">
        <f t="array" ref="V527">_xll.FDSB($C527,"CS_EVENT_DATEJ_N("&amp;$AA$18&amp;",4)")</f>
        <v/>
      </c>
      <c r="W527" s="282" t="str" cm="1">
        <f t="array" ref="W527">_xll.FDSB($C527,"CS_EVENT_TIME_N("&amp;$AA$18&amp;",4)")</f>
        <v/>
      </c>
      <c r="X527" s="282" t="str" cm="1">
        <f t="array" ref="X527">_xll.FDSB($C527,"CS_EVENT_DESC_N("&amp;$AA$18&amp;",4)")</f>
        <v/>
      </c>
    </row>
    <row r="528" spans="2:24" x14ac:dyDescent="0.15">
      <c r="B528" s="298">
        <f t="shared" si="9"/>
        <v>513</v>
      </c>
      <c r="C528" s="299"/>
      <c r="D528" s="300" t="str" cm="1">
        <f t="array" ref="D528">_xll.FDSB($C528,"FG_COMPANY_NAME")</f>
        <v/>
      </c>
      <c r="E528" s="300"/>
      <c r="F528" s="274" t="str" cm="1">
        <f t="array" ref="F528">_xll.FDSB($C528,"CS_EVENT_DATEJ_N("&amp;$AA$18&amp;",1)")</f>
        <v/>
      </c>
      <c r="G528" s="282" t="str" cm="1">
        <f t="array" ref="G528">_xll.FDSB($C528,"CS_EVENT_TIME_N("&amp;$AA$18&amp;",1)")</f>
        <v/>
      </c>
      <c r="H528" s="282" t="str" cm="1">
        <f t="array" ref="H528">_xll.FDSB($C528,"CS_EVENT_DESC_N("&amp;$AA$18&amp;",1)")</f>
        <v/>
      </c>
      <c r="I528" s="282"/>
      <c r="J528" s="274" t="str" cm="1">
        <f t="array" ref="J528">_xll.FDSB($C528,"CS_EVENT_DATEJ_N("&amp;$AB$18&amp;",1)")</f>
        <v/>
      </c>
      <c r="K528" s="282" t="str" cm="1">
        <f t="array" ref="K528">_xll.FDSB($C528,"CS_EVENT_TIME_N("&amp;$AB$18&amp;",1)")</f>
        <v/>
      </c>
      <c r="L528" s="282" t="str" cm="1">
        <f t="array" ref="L528">_xll.FDSB($C528,"CS_EVENT_DESC_N("&amp;$AB$18&amp;",1)")</f>
        <v/>
      </c>
      <c r="M528" s="300"/>
      <c r="N528" s="274" t="str" cm="1">
        <f t="array" ref="N528">_xll.FDSB($C528,"CS_EVENT_DATEJ_N("&amp;$AA$18&amp;",2)")</f>
        <v/>
      </c>
      <c r="O528" s="282" t="str" cm="1">
        <f t="array" ref="O528">_xll.FDSB($C528,"CS_EVENT_TIME_N("&amp;$AA$18&amp;",2)")</f>
        <v/>
      </c>
      <c r="P528" s="282" t="str" cm="1">
        <f t="array" ref="P528">_xll.FDSB($C528,"CS_EVENT_DESC_N("&amp;$AA$18&amp;",2)")</f>
        <v/>
      </c>
      <c r="Q528" s="282"/>
      <c r="R528" s="274" t="str" cm="1">
        <f t="array" ref="R528">_xll.FDSB($C528,"CS_EVENT_DATEJ_N("&amp;$AA$18&amp;",3)")</f>
        <v/>
      </c>
      <c r="S528" s="282" t="str" cm="1">
        <f t="array" ref="S528">_xll.FDSB($C528,"CS_EVENT_TIME_N("&amp;$AA$18&amp;",3)")</f>
        <v/>
      </c>
      <c r="T528" s="282" t="str" cm="1">
        <f t="array" ref="T528">_xll.FDSB($C528,"CS_EVENT_DESC_N("&amp;$AA$18&amp;",3)")</f>
        <v/>
      </c>
      <c r="U528" s="282"/>
      <c r="V528" s="274" t="str" cm="1">
        <f t="array" ref="V528">_xll.FDSB($C528,"CS_EVENT_DATEJ_N("&amp;$AA$18&amp;",4)")</f>
        <v/>
      </c>
      <c r="W528" s="282" t="str" cm="1">
        <f t="array" ref="W528">_xll.FDSB($C528,"CS_EVENT_TIME_N("&amp;$AA$18&amp;",4)")</f>
        <v/>
      </c>
      <c r="X528" s="282" t="str" cm="1">
        <f t="array" ref="X528">_xll.FDSB($C528,"CS_EVENT_DESC_N("&amp;$AA$18&amp;",4)")</f>
        <v/>
      </c>
    </row>
    <row r="529" spans="2:24" x14ac:dyDescent="0.15">
      <c r="B529" s="298">
        <f t="shared" si="9"/>
        <v>514</v>
      </c>
      <c r="C529" s="299"/>
      <c r="D529" s="300" t="str" cm="1">
        <f t="array" ref="D529">_xll.FDSB($C529,"FG_COMPANY_NAME")</f>
        <v/>
      </c>
      <c r="E529" s="300"/>
      <c r="F529" s="274" t="str" cm="1">
        <f t="array" ref="F529">_xll.FDSB($C529,"CS_EVENT_DATEJ_N("&amp;$AA$18&amp;",1)")</f>
        <v/>
      </c>
      <c r="G529" s="282" t="str" cm="1">
        <f t="array" ref="G529">_xll.FDSB($C529,"CS_EVENT_TIME_N("&amp;$AA$18&amp;",1)")</f>
        <v/>
      </c>
      <c r="H529" s="282" t="str" cm="1">
        <f t="array" ref="H529">_xll.FDSB($C529,"CS_EVENT_DESC_N("&amp;$AA$18&amp;",1)")</f>
        <v/>
      </c>
      <c r="I529" s="282"/>
      <c r="J529" s="274" t="str" cm="1">
        <f t="array" ref="J529">_xll.FDSB($C529,"CS_EVENT_DATEJ_N("&amp;$AB$18&amp;",1)")</f>
        <v/>
      </c>
      <c r="K529" s="282" t="str" cm="1">
        <f t="array" ref="K529">_xll.FDSB($C529,"CS_EVENT_TIME_N("&amp;$AB$18&amp;",1)")</f>
        <v/>
      </c>
      <c r="L529" s="282" t="str" cm="1">
        <f t="array" ref="L529">_xll.FDSB($C529,"CS_EVENT_DESC_N("&amp;$AB$18&amp;",1)")</f>
        <v/>
      </c>
      <c r="M529" s="300"/>
      <c r="N529" s="274" t="str" cm="1">
        <f t="array" ref="N529">_xll.FDSB($C529,"CS_EVENT_DATEJ_N("&amp;$AA$18&amp;",2)")</f>
        <v/>
      </c>
      <c r="O529" s="282" t="str" cm="1">
        <f t="array" ref="O529">_xll.FDSB($C529,"CS_EVENT_TIME_N("&amp;$AA$18&amp;",2)")</f>
        <v/>
      </c>
      <c r="P529" s="282" t="str" cm="1">
        <f t="array" ref="P529">_xll.FDSB($C529,"CS_EVENT_DESC_N("&amp;$AA$18&amp;",2)")</f>
        <v/>
      </c>
      <c r="Q529" s="282"/>
      <c r="R529" s="274" t="str" cm="1">
        <f t="array" ref="R529">_xll.FDSB($C529,"CS_EVENT_DATEJ_N("&amp;$AA$18&amp;",3)")</f>
        <v/>
      </c>
      <c r="S529" s="282" t="str" cm="1">
        <f t="array" ref="S529">_xll.FDSB($C529,"CS_EVENT_TIME_N("&amp;$AA$18&amp;",3)")</f>
        <v/>
      </c>
      <c r="T529" s="282" t="str" cm="1">
        <f t="array" ref="T529">_xll.FDSB($C529,"CS_EVENT_DESC_N("&amp;$AA$18&amp;",3)")</f>
        <v/>
      </c>
      <c r="U529" s="282"/>
      <c r="V529" s="274" t="str" cm="1">
        <f t="array" ref="V529">_xll.FDSB($C529,"CS_EVENT_DATEJ_N("&amp;$AA$18&amp;",4)")</f>
        <v/>
      </c>
      <c r="W529" s="282" t="str" cm="1">
        <f t="array" ref="W529">_xll.FDSB($C529,"CS_EVENT_TIME_N("&amp;$AA$18&amp;",4)")</f>
        <v/>
      </c>
      <c r="X529" s="282" t="str" cm="1">
        <f t="array" ref="X529">_xll.FDSB($C529,"CS_EVENT_DESC_N("&amp;$AA$18&amp;",4)")</f>
        <v/>
      </c>
    </row>
    <row r="530" spans="2:24" x14ac:dyDescent="0.15">
      <c r="B530" s="298">
        <f t="shared" ref="B530:B593" si="10">B529+1</f>
        <v>515</v>
      </c>
      <c r="C530" s="299"/>
      <c r="D530" s="300" t="str" cm="1">
        <f t="array" ref="D530">_xll.FDSB($C530,"FG_COMPANY_NAME")</f>
        <v/>
      </c>
      <c r="E530" s="300"/>
      <c r="F530" s="274" t="str" cm="1">
        <f t="array" ref="F530">_xll.FDSB($C530,"CS_EVENT_DATEJ_N("&amp;$AA$18&amp;",1)")</f>
        <v/>
      </c>
      <c r="G530" s="282" t="str" cm="1">
        <f t="array" ref="G530">_xll.FDSB($C530,"CS_EVENT_TIME_N("&amp;$AA$18&amp;",1)")</f>
        <v/>
      </c>
      <c r="H530" s="282" t="str" cm="1">
        <f t="array" ref="H530">_xll.FDSB($C530,"CS_EVENT_DESC_N("&amp;$AA$18&amp;",1)")</f>
        <v/>
      </c>
      <c r="I530" s="282"/>
      <c r="J530" s="274" t="str" cm="1">
        <f t="array" ref="J530">_xll.FDSB($C530,"CS_EVENT_DATEJ_N("&amp;$AB$18&amp;",1)")</f>
        <v/>
      </c>
      <c r="K530" s="282" t="str" cm="1">
        <f t="array" ref="K530">_xll.FDSB($C530,"CS_EVENT_TIME_N("&amp;$AB$18&amp;",1)")</f>
        <v/>
      </c>
      <c r="L530" s="282" t="str" cm="1">
        <f t="array" ref="L530">_xll.FDSB($C530,"CS_EVENT_DESC_N("&amp;$AB$18&amp;",1)")</f>
        <v/>
      </c>
      <c r="M530" s="300"/>
      <c r="N530" s="274" t="str" cm="1">
        <f t="array" ref="N530">_xll.FDSB($C530,"CS_EVENT_DATEJ_N("&amp;$AA$18&amp;",2)")</f>
        <v/>
      </c>
      <c r="O530" s="282" t="str" cm="1">
        <f t="array" ref="O530">_xll.FDSB($C530,"CS_EVENT_TIME_N("&amp;$AA$18&amp;",2)")</f>
        <v/>
      </c>
      <c r="P530" s="282" t="str" cm="1">
        <f t="array" ref="P530">_xll.FDSB($C530,"CS_EVENT_DESC_N("&amp;$AA$18&amp;",2)")</f>
        <v/>
      </c>
      <c r="Q530" s="282"/>
      <c r="R530" s="274" t="str" cm="1">
        <f t="array" ref="R530">_xll.FDSB($C530,"CS_EVENT_DATEJ_N("&amp;$AA$18&amp;",3)")</f>
        <v/>
      </c>
      <c r="S530" s="282" t="str" cm="1">
        <f t="array" ref="S530">_xll.FDSB($C530,"CS_EVENT_TIME_N("&amp;$AA$18&amp;",3)")</f>
        <v/>
      </c>
      <c r="T530" s="282" t="str" cm="1">
        <f t="array" ref="T530">_xll.FDSB($C530,"CS_EVENT_DESC_N("&amp;$AA$18&amp;",3)")</f>
        <v/>
      </c>
      <c r="U530" s="282"/>
      <c r="V530" s="274" t="str" cm="1">
        <f t="array" ref="V530">_xll.FDSB($C530,"CS_EVENT_DATEJ_N("&amp;$AA$18&amp;",4)")</f>
        <v/>
      </c>
      <c r="W530" s="282" t="str" cm="1">
        <f t="array" ref="W530">_xll.FDSB($C530,"CS_EVENT_TIME_N("&amp;$AA$18&amp;",4)")</f>
        <v/>
      </c>
      <c r="X530" s="282" t="str" cm="1">
        <f t="array" ref="X530">_xll.FDSB($C530,"CS_EVENT_DESC_N("&amp;$AA$18&amp;",4)")</f>
        <v/>
      </c>
    </row>
    <row r="531" spans="2:24" x14ac:dyDescent="0.15">
      <c r="B531" s="298">
        <f t="shared" si="10"/>
        <v>516</v>
      </c>
      <c r="C531" s="299"/>
      <c r="D531" s="300" t="str" cm="1">
        <f t="array" ref="D531">_xll.FDSB($C531,"FG_COMPANY_NAME")</f>
        <v/>
      </c>
      <c r="E531" s="300"/>
      <c r="F531" s="274" t="str" cm="1">
        <f t="array" ref="F531">_xll.FDSB($C531,"CS_EVENT_DATEJ_N("&amp;$AA$18&amp;",1)")</f>
        <v/>
      </c>
      <c r="G531" s="282" t="str" cm="1">
        <f t="array" ref="G531">_xll.FDSB($C531,"CS_EVENT_TIME_N("&amp;$AA$18&amp;",1)")</f>
        <v/>
      </c>
      <c r="H531" s="282" t="str" cm="1">
        <f t="array" ref="H531">_xll.FDSB($C531,"CS_EVENT_DESC_N("&amp;$AA$18&amp;",1)")</f>
        <v/>
      </c>
      <c r="I531" s="282"/>
      <c r="J531" s="274" t="str" cm="1">
        <f t="array" ref="J531">_xll.FDSB($C531,"CS_EVENT_DATEJ_N("&amp;$AB$18&amp;",1)")</f>
        <v/>
      </c>
      <c r="K531" s="282" t="str" cm="1">
        <f t="array" ref="K531">_xll.FDSB($C531,"CS_EVENT_TIME_N("&amp;$AB$18&amp;",1)")</f>
        <v/>
      </c>
      <c r="L531" s="282" t="str" cm="1">
        <f t="array" ref="L531">_xll.FDSB($C531,"CS_EVENT_DESC_N("&amp;$AB$18&amp;",1)")</f>
        <v/>
      </c>
      <c r="M531" s="300"/>
      <c r="N531" s="274" t="str" cm="1">
        <f t="array" ref="N531">_xll.FDSB($C531,"CS_EVENT_DATEJ_N("&amp;$AA$18&amp;",2)")</f>
        <v/>
      </c>
      <c r="O531" s="282" t="str" cm="1">
        <f t="array" ref="O531">_xll.FDSB($C531,"CS_EVENT_TIME_N("&amp;$AA$18&amp;",2)")</f>
        <v/>
      </c>
      <c r="P531" s="282" t="str" cm="1">
        <f t="array" ref="P531">_xll.FDSB($C531,"CS_EVENT_DESC_N("&amp;$AA$18&amp;",2)")</f>
        <v/>
      </c>
      <c r="Q531" s="282"/>
      <c r="R531" s="274" t="str" cm="1">
        <f t="array" ref="R531">_xll.FDSB($C531,"CS_EVENT_DATEJ_N("&amp;$AA$18&amp;",3)")</f>
        <v/>
      </c>
      <c r="S531" s="282" t="str" cm="1">
        <f t="array" ref="S531">_xll.FDSB($C531,"CS_EVENT_TIME_N("&amp;$AA$18&amp;",3)")</f>
        <v/>
      </c>
      <c r="T531" s="282" t="str" cm="1">
        <f t="array" ref="T531">_xll.FDSB($C531,"CS_EVENT_DESC_N("&amp;$AA$18&amp;",3)")</f>
        <v/>
      </c>
      <c r="U531" s="282"/>
      <c r="V531" s="274" t="str" cm="1">
        <f t="array" ref="V531">_xll.FDSB($C531,"CS_EVENT_DATEJ_N("&amp;$AA$18&amp;",4)")</f>
        <v/>
      </c>
      <c r="W531" s="282" t="str" cm="1">
        <f t="array" ref="W531">_xll.FDSB($C531,"CS_EVENT_TIME_N("&amp;$AA$18&amp;",4)")</f>
        <v/>
      </c>
      <c r="X531" s="282" t="str" cm="1">
        <f t="array" ref="X531">_xll.FDSB($C531,"CS_EVENT_DESC_N("&amp;$AA$18&amp;",4)")</f>
        <v/>
      </c>
    </row>
    <row r="532" spans="2:24" x14ac:dyDescent="0.15">
      <c r="B532" s="298">
        <f t="shared" si="10"/>
        <v>517</v>
      </c>
      <c r="C532" s="299"/>
      <c r="D532" s="300" t="str" cm="1">
        <f t="array" ref="D532">_xll.FDSB($C532,"FG_COMPANY_NAME")</f>
        <v/>
      </c>
      <c r="E532" s="300"/>
      <c r="F532" s="274" t="str" cm="1">
        <f t="array" ref="F532">_xll.FDSB($C532,"CS_EVENT_DATEJ_N("&amp;$AA$18&amp;",1)")</f>
        <v/>
      </c>
      <c r="G532" s="282" t="str" cm="1">
        <f t="array" ref="G532">_xll.FDSB($C532,"CS_EVENT_TIME_N("&amp;$AA$18&amp;",1)")</f>
        <v/>
      </c>
      <c r="H532" s="282" t="str" cm="1">
        <f t="array" ref="H532">_xll.FDSB($C532,"CS_EVENT_DESC_N("&amp;$AA$18&amp;",1)")</f>
        <v/>
      </c>
      <c r="I532" s="282"/>
      <c r="J532" s="274" t="str" cm="1">
        <f t="array" ref="J532">_xll.FDSB($C532,"CS_EVENT_DATEJ_N("&amp;$AB$18&amp;",1)")</f>
        <v/>
      </c>
      <c r="K532" s="282" t="str" cm="1">
        <f t="array" ref="K532">_xll.FDSB($C532,"CS_EVENT_TIME_N("&amp;$AB$18&amp;",1)")</f>
        <v/>
      </c>
      <c r="L532" s="282" t="str" cm="1">
        <f t="array" ref="L532">_xll.FDSB($C532,"CS_EVENT_DESC_N("&amp;$AB$18&amp;",1)")</f>
        <v/>
      </c>
      <c r="M532" s="300"/>
      <c r="N532" s="274" t="str" cm="1">
        <f t="array" ref="N532">_xll.FDSB($C532,"CS_EVENT_DATEJ_N("&amp;$AA$18&amp;",2)")</f>
        <v/>
      </c>
      <c r="O532" s="282" t="str" cm="1">
        <f t="array" ref="O532">_xll.FDSB($C532,"CS_EVENT_TIME_N("&amp;$AA$18&amp;",2)")</f>
        <v/>
      </c>
      <c r="P532" s="282" t="str" cm="1">
        <f t="array" ref="P532">_xll.FDSB($C532,"CS_EVENT_DESC_N("&amp;$AA$18&amp;",2)")</f>
        <v/>
      </c>
      <c r="Q532" s="282"/>
      <c r="R532" s="274" t="str" cm="1">
        <f t="array" ref="R532">_xll.FDSB($C532,"CS_EVENT_DATEJ_N("&amp;$AA$18&amp;",3)")</f>
        <v/>
      </c>
      <c r="S532" s="282" t="str" cm="1">
        <f t="array" ref="S532">_xll.FDSB($C532,"CS_EVENT_TIME_N("&amp;$AA$18&amp;",3)")</f>
        <v/>
      </c>
      <c r="T532" s="282" t="str" cm="1">
        <f t="array" ref="T532">_xll.FDSB($C532,"CS_EVENT_DESC_N("&amp;$AA$18&amp;",3)")</f>
        <v/>
      </c>
      <c r="U532" s="282"/>
      <c r="V532" s="274" t="str" cm="1">
        <f t="array" ref="V532">_xll.FDSB($C532,"CS_EVENT_DATEJ_N("&amp;$AA$18&amp;",4)")</f>
        <v/>
      </c>
      <c r="W532" s="282" t="str" cm="1">
        <f t="array" ref="W532">_xll.FDSB($C532,"CS_EVENT_TIME_N("&amp;$AA$18&amp;",4)")</f>
        <v/>
      </c>
      <c r="X532" s="282" t="str" cm="1">
        <f t="array" ref="X532">_xll.FDSB($C532,"CS_EVENT_DESC_N("&amp;$AA$18&amp;",4)")</f>
        <v/>
      </c>
    </row>
    <row r="533" spans="2:24" x14ac:dyDescent="0.15">
      <c r="B533" s="298">
        <f t="shared" si="10"/>
        <v>518</v>
      </c>
      <c r="C533" s="299"/>
      <c r="D533" s="300" t="str" cm="1">
        <f t="array" ref="D533">_xll.FDSB($C533,"FG_COMPANY_NAME")</f>
        <v/>
      </c>
      <c r="E533" s="300"/>
      <c r="F533" s="274" t="str" cm="1">
        <f t="array" ref="F533">_xll.FDSB($C533,"CS_EVENT_DATEJ_N("&amp;$AA$18&amp;",1)")</f>
        <v/>
      </c>
      <c r="G533" s="282" t="str" cm="1">
        <f t="array" ref="G533">_xll.FDSB($C533,"CS_EVENT_TIME_N("&amp;$AA$18&amp;",1)")</f>
        <v/>
      </c>
      <c r="H533" s="282" t="str" cm="1">
        <f t="array" ref="H533">_xll.FDSB($C533,"CS_EVENT_DESC_N("&amp;$AA$18&amp;",1)")</f>
        <v/>
      </c>
      <c r="I533" s="282"/>
      <c r="J533" s="274" t="str" cm="1">
        <f t="array" ref="J533">_xll.FDSB($C533,"CS_EVENT_DATEJ_N("&amp;$AB$18&amp;",1)")</f>
        <v/>
      </c>
      <c r="K533" s="282" t="str" cm="1">
        <f t="array" ref="K533">_xll.FDSB($C533,"CS_EVENT_TIME_N("&amp;$AB$18&amp;",1)")</f>
        <v/>
      </c>
      <c r="L533" s="282" t="str" cm="1">
        <f t="array" ref="L533">_xll.FDSB($C533,"CS_EVENT_DESC_N("&amp;$AB$18&amp;",1)")</f>
        <v/>
      </c>
      <c r="M533" s="300"/>
      <c r="N533" s="274" t="str" cm="1">
        <f t="array" ref="N533">_xll.FDSB($C533,"CS_EVENT_DATEJ_N("&amp;$AA$18&amp;",2)")</f>
        <v/>
      </c>
      <c r="O533" s="282" t="str" cm="1">
        <f t="array" ref="O533">_xll.FDSB($C533,"CS_EVENT_TIME_N("&amp;$AA$18&amp;",2)")</f>
        <v/>
      </c>
      <c r="P533" s="282" t="str" cm="1">
        <f t="array" ref="P533">_xll.FDSB($C533,"CS_EVENT_DESC_N("&amp;$AA$18&amp;",2)")</f>
        <v/>
      </c>
      <c r="Q533" s="282"/>
      <c r="R533" s="274" t="str" cm="1">
        <f t="array" ref="R533">_xll.FDSB($C533,"CS_EVENT_DATEJ_N("&amp;$AA$18&amp;",3)")</f>
        <v/>
      </c>
      <c r="S533" s="282" t="str" cm="1">
        <f t="array" ref="S533">_xll.FDSB($C533,"CS_EVENT_TIME_N("&amp;$AA$18&amp;",3)")</f>
        <v/>
      </c>
      <c r="T533" s="282" t="str" cm="1">
        <f t="array" ref="T533">_xll.FDSB($C533,"CS_EVENT_DESC_N("&amp;$AA$18&amp;",3)")</f>
        <v/>
      </c>
      <c r="U533" s="282"/>
      <c r="V533" s="274" t="str" cm="1">
        <f t="array" ref="V533">_xll.FDSB($C533,"CS_EVENT_DATEJ_N("&amp;$AA$18&amp;",4)")</f>
        <v/>
      </c>
      <c r="W533" s="282" t="str" cm="1">
        <f t="array" ref="W533">_xll.FDSB($C533,"CS_EVENT_TIME_N("&amp;$AA$18&amp;",4)")</f>
        <v/>
      </c>
      <c r="X533" s="282" t="str" cm="1">
        <f t="array" ref="X533">_xll.FDSB($C533,"CS_EVENT_DESC_N("&amp;$AA$18&amp;",4)")</f>
        <v/>
      </c>
    </row>
    <row r="534" spans="2:24" x14ac:dyDescent="0.15">
      <c r="B534" s="298">
        <f t="shared" si="10"/>
        <v>519</v>
      </c>
      <c r="C534" s="299"/>
      <c r="D534" s="300" t="str" cm="1">
        <f t="array" ref="D534">_xll.FDSB($C534,"FG_COMPANY_NAME")</f>
        <v/>
      </c>
      <c r="E534" s="300"/>
      <c r="F534" s="274" t="str" cm="1">
        <f t="array" ref="F534">_xll.FDSB($C534,"CS_EVENT_DATEJ_N("&amp;$AA$18&amp;",1)")</f>
        <v/>
      </c>
      <c r="G534" s="282" t="str" cm="1">
        <f t="array" ref="G534">_xll.FDSB($C534,"CS_EVENT_TIME_N("&amp;$AA$18&amp;",1)")</f>
        <v/>
      </c>
      <c r="H534" s="282" t="str" cm="1">
        <f t="array" ref="H534">_xll.FDSB($C534,"CS_EVENT_DESC_N("&amp;$AA$18&amp;",1)")</f>
        <v/>
      </c>
      <c r="I534" s="282"/>
      <c r="J534" s="274" t="str" cm="1">
        <f t="array" ref="J534">_xll.FDSB($C534,"CS_EVENT_DATEJ_N("&amp;$AB$18&amp;",1)")</f>
        <v/>
      </c>
      <c r="K534" s="282" t="str" cm="1">
        <f t="array" ref="K534">_xll.FDSB($C534,"CS_EVENT_TIME_N("&amp;$AB$18&amp;",1)")</f>
        <v/>
      </c>
      <c r="L534" s="282" t="str" cm="1">
        <f t="array" ref="L534">_xll.FDSB($C534,"CS_EVENT_DESC_N("&amp;$AB$18&amp;",1)")</f>
        <v/>
      </c>
      <c r="M534" s="300"/>
      <c r="N534" s="274" t="str" cm="1">
        <f t="array" ref="N534">_xll.FDSB($C534,"CS_EVENT_DATEJ_N("&amp;$AA$18&amp;",2)")</f>
        <v/>
      </c>
      <c r="O534" s="282" t="str" cm="1">
        <f t="array" ref="O534">_xll.FDSB($C534,"CS_EVENT_TIME_N("&amp;$AA$18&amp;",2)")</f>
        <v/>
      </c>
      <c r="P534" s="282" t="str" cm="1">
        <f t="array" ref="P534">_xll.FDSB($C534,"CS_EVENT_DESC_N("&amp;$AA$18&amp;",2)")</f>
        <v/>
      </c>
      <c r="Q534" s="282"/>
      <c r="R534" s="274" t="str" cm="1">
        <f t="array" ref="R534">_xll.FDSB($C534,"CS_EVENT_DATEJ_N("&amp;$AA$18&amp;",3)")</f>
        <v/>
      </c>
      <c r="S534" s="282" t="str" cm="1">
        <f t="array" ref="S534">_xll.FDSB($C534,"CS_EVENT_TIME_N("&amp;$AA$18&amp;",3)")</f>
        <v/>
      </c>
      <c r="T534" s="282" t="str" cm="1">
        <f t="array" ref="T534">_xll.FDSB($C534,"CS_EVENT_DESC_N("&amp;$AA$18&amp;",3)")</f>
        <v/>
      </c>
      <c r="U534" s="282"/>
      <c r="V534" s="274" t="str" cm="1">
        <f t="array" ref="V534">_xll.FDSB($C534,"CS_EVENT_DATEJ_N("&amp;$AA$18&amp;",4)")</f>
        <v/>
      </c>
      <c r="W534" s="282" t="str" cm="1">
        <f t="array" ref="W534">_xll.FDSB($C534,"CS_EVENT_TIME_N("&amp;$AA$18&amp;",4)")</f>
        <v/>
      </c>
      <c r="X534" s="282" t="str" cm="1">
        <f t="array" ref="X534">_xll.FDSB($C534,"CS_EVENT_DESC_N("&amp;$AA$18&amp;",4)")</f>
        <v/>
      </c>
    </row>
    <row r="535" spans="2:24" x14ac:dyDescent="0.15">
      <c r="B535" s="298">
        <f t="shared" si="10"/>
        <v>520</v>
      </c>
      <c r="C535" s="299"/>
      <c r="D535" s="300" t="str" cm="1">
        <f t="array" ref="D535">_xll.FDSB($C535,"FG_COMPANY_NAME")</f>
        <v/>
      </c>
      <c r="E535" s="300"/>
      <c r="F535" s="274" t="str" cm="1">
        <f t="array" ref="F535">_xll.FDSB($C535,"CS_EVENT_DATEJ_N("&amp;$AA$18&amp;",1)")</f>
        <v/>
      </c>
      <c r="G535" s="282" t="str" cm="1">
        <f t="array" ref="G535">_xll.FDSB($C535,"CS_EVENT_TIME_N("&amp;$AA$18&amp;",1)")</f>
        <v/>
      </c>
      <c r="H535" s="282" t="str" cm="1">
        <f t="array" ref="H535">_xll.FDSB($C535,"CS_EVENT_DESC_N("&amp;$AA$18&amp;",1)")</f>
        <v/>
      </c>
      <c r="I535" s="282"/>
      <c r="J535" s="274" t="str" cm="1">
        <f t="array" ref="J535">_xll.FDSB($C535,"CS_EVENT_DATEJ_N("&amp;$AB$18&amp;",1)")</f>
        <v/>
      </c>
      <c r="K535" s="282" t="str" cm="1">
        <f t="array" ref="K535">_xll.FDSB($C535,"CS_EVENT_TIME_N("&amp;$AB$18&amp;",1)")</f>
        <v/>
      </c>
      <c r="L535" s="282" t="str" cm="1">
        <f t="array" ref="L535">_xll.FDSB($C535,"CS_EVENT_DESC_N("&amp;$AB$18&amp;",1)")</f>
        <v/>
      </c>
      <c r="M535" s="300"/>
      <c r="N535" s="274" t="str" cm="1">
        <f t="array" ref="N535">_xll.FDSB($C535,"CS_EVENT_DATEJ_N("&amp;$AA$18&amp;",2)")</f>
        <v/>
      </c>
      <c r="O535" s="282" t="str" cm="1">
        <f t="array" ref="O535">_xll.FDSB($C535,"CS_EVENT_TIME_N("&amp;$AA$18&amp;",2)")</f>
        <v/>
      </c>
      <c r="P535" s="282" t="str" cm="1">
        <f t="array" ref="P535">_xll.FDSB($C535,"CS_EVENT_DESC_N("&amp;$AA$18&amp;",2)")</f>
        <v/>
      </c>
      <c r="Q535" s="282"/>
      <c r="R535" s="274" t="str" cm="1">
        <f t="array" ref="R535">_xll.FDSB($C535,"CS_EVENT_DATEJ_N("&amp;$AA$18&amp;",3)")</f>
        <v/>
      </c>
      <c r="S535" s="282" t="str" cm="1">
        <f t="array" ref="S535">_xll.FDSB($C535,"CS_EVENT_TIME_N("&amp;$AA$18&amp;",3)")</f>
        <v/>
      </c>
      <c r="T535" s="282" t="str" cm="1">
        <f t="array" ref="T535">_xll.FDSB($C535,"CS_EVENT_DESC_N("&amp;$AA$18&amp;",3)")</f>
        <v/>
      </c>
      <c r="U535" s="282"/>
      <c r="V535" s="274" t="str" cm="1">
        <f t="array" ref="V535">_xll.FDSB($C535,"CS_EVENT_DATEJ_N("&amp;$AA$18&amp;",4)")</f>
        <v/>
      </c>
      <c r="W535" s="282" t="str" cm="1">
        <f t="array" ref="W535">_xll.FDSB($C535,"CS_EVENT_TIME_N("&amp;$AA$18&amp;",4)")</f>
        <v/>
      </c>
      <c r="X535" s="282" t="str" cm="1">
        <f t="array" ref="X535">_xll.FDSB($C535,"CS_EVENT_DESC_N("&amp;$AA$18&amp;",4)")</f>
        <v/>
      </c>
    </row>
    <row r="536" spans="2:24" x14ac:dyDescent="0.15">
      <c r="B536" s="298">
        <f t="shared" si="10"/>
        <v>521</v>
      </c>
      <c r="C536" s="299"/>
      <c r="D536" s="300" t="str" cm="1">
        <f t="array" ref="D536">_xll.FDSB($C536,"FG_COMPANY_NAME")</f>
        <v/>
      </c>
      <c r="E536" s="300"/>
      <c r="F536" s="274" t="str" cm="1">
        <f t="array" ref="F536">_xll.FDSB($C536,"CS_EVENT_DATEJ_N("&amp;$AA$18&amp;",1)")</f>
        <v/>
      </c>
      <c r="G536" s="282" t="str" cm="1">
        <f t="array" ref="G536">_xll.FDSB($C536,"CS_EVENT_TIME_N("&amp;$AA$18&amp;",1)")</f>
        <v/>
      </c>
      <c r="H536" s="282" t="str" cm="1">
        <f t="array" ref="H536">_xll.FDSB($C536,"CS_EVENT_DESC_N("&amp;$AA$18&amp;",1)")</f>
        <v/>
      </c>
      <c r="I536" s="282"/>
      <c r="J536" s="274" t="str" cm="1">
        <f t="array" ref="J536">_xll.FDSB($C536,"CS_EVENT_DATEJ_N("&amp;$AB$18&amp;",1)")</f>
        <v/>
      </c>
      <c r="K536" s="282" t="str" cm="1">
        <f t="array" ref="K536">_xll.FDSB($C536,"CS_EVENT_TIME_N("&amp;$AB$18&amp;",1)")</f>
        <v/>
      </c>
      <c r="L536" s="282" t="str" cm="1">
        <f t="array" ref="L536">_xll.FDSB($C536,"CS_EVENT_DESC_N("&amp;$AB$18&amp;",1)")</f>
        <v/>
      </c>
      <c r="M536" s="300"/>
      <c r="N536" s="274" t="str" cm="1">
        <f t="array" ref="N536">_xll.FDSB($C536,"CS_EVENT_DATEJ_N("&amp;$AA$18&amp;",2)")</f>
        <v/>
      </c>
      <c r="O536" s="282" t="str" cm="1">
        <f t="array" ref="O536">_xll.FDSB($C536,"CS_EVENT_TIME_N("&amp;$AA$18&amp;",2)")</f>
        <v/>
      </c>
      <c r="P536" s="282" t="str" cm="1">
        <f t="array" ref="P536">_xll.FDSB($C536,"CS_EVENT_DESC_N("&amp;$AA$18&amp;",2)")</f>
        <v/>
      </c>
      <c r="Q536" s="282"/>
      <c r="R536" s="274" t="str" cm="1">
        <f t="array" ref="R536">_xll.FDSB($C536,"CS_EVENT_DATEJ_N("&amp;$AA$18&amp;",3)")</f>
        <v/>
      </c>
      <c r="S536" s="282" t="str" cm="1">
        <f t="array" ref="S536">_xll.FDSB($C536,"CS_EVENT_TIME_N("&amp;$AA$18&amp;",3)")</f>
        <v/>
      </c>
      <c r="T536" s="282" t="str" cm="1">
        <f t="array" ref="T536">_xll.FDSB($C536,"CS_EVENT_DESC_N("&amp;$AA$18&amp;",3)")</f>
        <v/>
      </c>
      <c r="U536" s="282"/>
      <c r="V536" s="274" t="str" cm="1">
        <f t="array" ref="V536">_xll.FDSB($C536,"CS_EVENT_DATEJ_N("&amp;$AA$18&amp;",4)")</f>
        <v/>
      </c>
      <c r="W536" s="282" t="str" cm="1">
        <f t="array" ref="W536">_xll.FDSB($C536,"CS_EVENT_TIME_N("&amp;$AA$18&amp;",4)")</f>
        <v/>
      </c>
      <c r="X536" s="282" t="str" cm="1">
        <f t="array" ref="X536">_xll.FDSB($C536,"CS_EVENT_DESC_N("&amp;$AA$18&amp;",4)")</f>
        <v/>
      </c>
    </row>
    <row r="537" spans="2:24" x14ac:dyDescent="0.15">
      <c r="B537" s="298">
        <f t="shared" si="10"/>
        <v>522</v>
      </c>
      <c r="C537" s="299"/>
      <c r="D537" s="300" t="str" cm="1">
        <f t="array" ref="D537">_xll.FDSB($C537,"FG_COMPANY_NAME")</f>
        <v/>
      </c>
      <c r="E537" s="300"/>
      <c r="F537" s="274" t="str" cm="1">
        <f t="array" ref="F537">_xll.FDSB($C537,"CS_EVENT_DATEJ_N("&amp;$AA$18&amp;",1)")</f>
        <v/>
      </c>
      <c r="G537" s="282" t="str" cm="1">
        <f t="array" ref="G537">_xll.FDSB($C537,"CS_EVENT_TIME_N("&amp;$AA$18&amp;",1)")</f>
        <v/>
      </c>
      <c r="H537" s="282" t="str" cm="1">
        <f t="array" ref="H537">_xll.FDSB($C537,"CS_EVENT_DESC_N("&amp;$AA$18&amp;",1)")</f>
        <v/>
      </c>
      <c r="I537" s="282"/>
      <c r="J537" s="274" t="str" cm="1">
        <f t="array" ref="J537">_xll.FDSB($C537,"CS_EVENT_DATEJ_N("&amp;$AB$18&amp;",1)")</f>
        <v/>
      </c>
      <c r="K537" s="282" t="str" cm="1">
        <f t="array" ref="K537">_xll.FDSB($C537,"CS_EVENT_TIME_N("&amp;$AB$18&amp;",1)")</f>
        <v/>
      </c>
      <c r="L537" s="282" t="str" cm="1">
        <f t="array" ref="L537">_xll.FDSB($C537,"CS_EVENT_DESC_N("&amp;$AB$18&amp;",1)")</f>
        <v/>
      </c>
      <c r="M537" s="300"/>
      <c r="N537" s="274" t="str" cm="1">
        <f t="array" ref="N537">_xll.FDSB($C537,"CS_EVENT_DATEJ_N("&amp;$AA$18&amp;",2)")</f>
        <v/>
      </c>
      <c r="O537" s="282" t="str" cm="1">
        <f t="array" ref="O537">_xll.FDSB($C537,"CS_EVENT_TIME_N("&amp;$AA$18&amp;",2)")</f>
        <v/>
      </c>
      <c r="P537" s="282" t="str" cm="1">
        <f t="array" ref="P537">_xll.FDSB($C537,"CS_EVENT_DESC_N("&amp;$AA$18&amp;",2)")</f>
        <v/>
      </c>
      <c r="Q537" s="282"/>
      <c r="R537" s="274" t="str" cm="1">
        <f t="array" ref="R537">_xll.FDSB($C537,"CS_EVENT_DATEJ_N("&amp;$AA$18&amp;",3)")</f>
        <v/>
      </c>
      <c r="S537" s="282" t="str" cm="1">
        <f t="array" ref="S537">_xll.FDSB($C537,"CS_EVENT_TIME_N("&amp;$AA$18&amp;",3)")</f>
        <v/>
      </c>
      <c r="T537" s="282" t="str" cm="1">
        <f t="array" ref="T537">_xll.FDSB($C537,"CS_EVENT_DESC_N("&amp;$AA$18&amp;",3)")</f>
        <v/>
      </c>
      <c r="U537" s="282"/>
      <c r="V537" s="274" t="str" cm="1">
        <f t="array" ref="V537">_xll.FDSB($C537,"CS_EVENT_DATEJ_N("&amp;$AA$18&amp;",4)")</f>
        <v/>
      </c>
      <c r="W537" s="282" t="str" cm="1">
        <f t="array" ref="W537">_xll.FDSB($C537,"CS_EVENT_TIME_N("&amp;$AA$18&amp;",4)")</f>
        <v/>
      </c>
      <c r="X537" s="282" t="str" cm="1">
        <f t="array" ref="X537">_xll.FDSB($C537,"CS_EVENT_DESC_N("&amp;$AA$18&amp;",4)")</f>
        <v/>
      </c>
    </row>
    <row r="538" spans="2:24" x14ac:dyDescent="0.15">
      <c r="B538" s="298">
        <f t="shared" si="10"/>
        <v>523</v>
      </c>
      <c r="C538" s="299"/>
      <c r="D538" s="300" t="str" cm="1">
        <f t="array" ref="D538">_xll.FDSB($C538,"FG_COMPANY_NAME")</f>
        <v/>
      </c>
      <c r="E538" s="300"/>
      <c r="F538" s="274" t="str" cm="1">
        <f t="array" ref="F538">_xll.FDSB($C538,"CS_EVENT_DATEJ_N("&amp;$AA$18&amp;",1)")</f>
        <v/>
      </c>
      <c r="G538" s="282" t="str" cm="1">
        <f t="array" ref="G538">_xll.FDSB($C538,"CS_EVENT_TIME_N("&amp;$AA$18&amp;",1)")</f>
        <v/>
      </c>
      <c r="H538" s="282" t="str" cm="1">
        <f t="array" ref="H538">_xll.FDSB($C538,"CS_EVENT_DESC_N("&amp;$AA$18&amp;",1)")</f>
        <v/>
      </c>
      <c r="I538" s="282"/>
      <c r="J538" s="274" t="str" cm="1">
        <f t="array" ref="J538">_xll.FDSB($C538,"CS_EVENT_DATEJ_N("&amp;$AB$18&amp;",1)")</f>
        <v/>
      </c>
      <c r="K538" s="282" t="str" cm="1">
        <f t="array" ref="K538">_xll.FDSB($C538,"CS_EVENT_TIME_N("&amp;$AB$18&amp;",1)")</f>
        <v/>
      </c>
      <c r="L538" s="282" t="str" cm="1">
        <f t="array" ref="L538">_xll.FDSB($C538,"CS_EVENT_DESC_N("&amp;$AB$18&amp;",1)")</f>
        <v/>
      </c>
      <c r="M538" s="300"/>
      <c r="N538" s="274" t="str" cm="1">
        <f t="array" ref="N538">_xll.FDSB($C538,"CS_EVENT_DATEJ_N("&amp;$AA$18&amp;",2)")</f>
        <v/>
      </c>
      <c r="O538" s="282" t="str" cm="1">
        <f t="array" ref="O538">_xll.FDSB($C538,"CS_EVENT_TIME_N("&amp;$AA$18&amp;",2)")</f>
        <v/>
      </c>
      <c r="P538" s="282" t="str" cm="1">
        <f t="array" ref="P538">_xll.FDSB($C538,"CS_EVENT_DESC_N("&amp;$AA$18&amp;",2)")</f>
        <v/>
      </c>
      <c r="Q538" s="282"/>
      <c r="R538" s="274" t="str" cm="1">
        <f t="array" ref="R538">_xll.FDSB($C538,"CS_EVENT_DATEJ_N("&amp;$AA$18&amp;",3)")</f>
        <v/>
      </c>
      <c r="S538" s="282" t="str" cm="1">
        <f t="array" ref="S538">_xll.FDSB($C538,"CS_EVENT_TIME_N("&amp;$AA$18&amp;",3)")</f>
        <v/>
      </c>
      <c r="T538" s="282" t="str" cm="1">
        <f t="array" ref="T538">_xll.FDSB($C538,"CS_EVENT_DESC_N("&amp;$AA$18&amp;",3)")</f>
        <v/>
      </c>
      <c r="U538" s="282"/>
      <c r="V538" s="274" t="str" cm="1">
        <f t="array" ref="V538">_xll.FDSB($C538,"CS_EVENT_DATEJ_N("&amp;$AA$18&amp;",4)")</f>
        <v/>
      </c>
      <c r="W538" s="282" t="str" cm="1">
        <f t="array" ref="W538">_xll.FDSB($C538,"CS_EVENT_TIME_N("&amp;$AA$18&amp;",4)")</f>
        <v/>
      </c>
      <c r="X538" s="282" t="str" cm="1">
        <f t="array" ref="X538">_xll.FDSB($C538,"CS_EVENT_DESC_N("&amp;$AA$18&amp;",4)")</f>
        <v/>
      </c>
    </row>
    <row r="539" spans="2:24" x14ac:dyDescent="0.15">
      <c r="B539" s="298">
        <f t="shared" si="10"/>
        <v>524</v>
      </c>
      <c r="C539" s="299"/>
      <c r="D539" s="300" t="str" cm="1">
        <f t="array" ref="D539">_xll.FDSB($C539,"FG_COMPANY_NAME")</f>
        <v/>
      </c>
      <c r="E539" s="300"/>
      <c r="F539" s="274" t="str" cm="1">
        <f t="array" ref="F539">_xll.FDSB($C539,"CS_EVENT_DATEJ_N("&amp;$AA$18&amp;",1)")</f>
        <v/>
      </c>
      <c r="G539" s="282" t="str" cm="1">
        <f t="array" ref="G539">_xll.FDSB($C539,"CS_EVENT_TIME_N("&amp;$AA$18&amp;",1)")</f>
        <v/>
      </c>
      <c r="H539" s="282" t="str" cm="1">
        <f t="array" ref="H539">_xll.FDSB($C539,"CS_EVENT_DESC_N("&amp;$AA$18&amp;",1)")</f>
        <v/>
      </c>
      <c r="I539" s="282"/>
      <c r="J539" s="274" t="str" cm="1">
        <f t="array" ref="J539">_xll.FDSB($C539,"CS_EVENT_DATEJ_N("&amp;$AB$18&amp;",1)")</f>
        <v/>
      </c>
      <c r="K539" s="282" t="str" cm="1">
        <f t="array" ref="K539">_xll.FDSB($C539,"CS_EVENT_TIME_N("&amp;$AB$18&amp;",1)")</f>
        <v/>
      </c>
      <c r="L539" s="282" t="str" cm="1">
        <f t="array" ref="L539">_xll.FDSB($C539,"CS_EVENT_DESC_N("&amp;$AB$18&amp;",1)")</f>
        <v/>
      </c>
      <c r="M539" s="300"/>
      <c r="N539" s="274" t="str" cm="1">
        <f t="array" ref="N539">_xll.FDSB($C539,"CS_EVENT_DATEJ_N("&amp;$AA$18&amp;",2)")</f>
        <v/>
      </c>
      <c r="O539" s="282" t="str" cm="1">
        <f t="array" ref="O539">_xll.FDSB($C539,"CS_EVENT_TIME_N("&amp;$AA$18&amp;",2)")</f>
        <v/>
      </c>
      <c r="P539" s="282" t="str" cm="1">
        <f t="array" ref="P539">_xll.FDSB($C539,"CS_EVENT_DESC_N("&amp;$AA$18&amp;",2)")</f>
        <v/>
      </c>
      <c r="Q539" s="282"/>
      <c r="R539" s="274" t="str" cm="1">
        <f t="array" ref="R539">_xll.FDSB($C539,"CS_EVENT_DATEJ_N("&amp;$AA$18&amp;",3)")</f>
        <v/>
      </c>
      <c r="S539" s="282" t="str" cm="1">
        <f t="array" ref="S539">_xll.FDSB($C539,"CS_EVENT_TIME_N("&amp;$AA$18&amp;",3)")</f>
        <v/>
      </c>
      <c r="T539" s="282" t="str" cm="1">
        <f t="array" ref="T539">_xll.FDSB($C539,"CS_EVENT_DESC_N("&amp;$AA$18&amp;",3)")</f>
        <v/>
      </c>
      <c r="U539" s="282"/>
      <c r="V539" s="274" t="str" cm="1">
        <f t="array" ref="V539">_xll.FDSB($C539,"CS_EVENT_DATEJ_N("&amp;$AA$18&amp;",4)")</f>
        <v/>
      </c>
      <c r="W539" s="282" t="str" cm="1">
        <f t="array" ref="W539">_xll.FDSB($C539,"CS_EVENT_TIME_N("&amp;$AA$18&amp;",4)")</f>
        <v/>
      </c>
      <c r="X539" s="282" t="str" cm="1">
        <f t="array" ref="X539">_xll.FDSB($C539,"CS_EVENT_DESC_N("&amp;$AA$18&amp;",4)")</f>
        <v/>
      </c>
    </row>
    <row r="540" spans="2:24" x14ac:dyDescent="0.15">
      <c r="B540" s="298">
        <f t="shared" si="10"/>
        <v>525</v>
      </c>
      <c r="C540" s="299"/>
      <c r="D540" s="300" t="str" cm="1">
        <f t="array" ref="D540">_xll.FDSB($C540,"FG_COMPANY_NAME")</f>
        <v/>
      </c>
      <c r="E540" s="300"/>
      <c r="F540" s="274" t="str" cm="1">
        <f t="array" ref="F540">_xll.FDSB($C540,"CS_EVENT_DATEJ_N("&amp;$AA$18&amp;",1)")</f>
        <v/>
      </c>
      <c r="G540" s="282" t="str" cm="1">
        <f t="array" ref="G540">_xll.FDSB($C540,"CS_EVENT_TIME_N("&amp;$AA$18&amp;",1)")</f>
        <v/>
      </c>
      <c r="H540" s="282" t="str" cm="1">
        <f t="array" ref="H540">_xll.FDSB($C540,"CS_EVENT_DESC_N("&amp;$AA$18&amp;",1)")</f>
        <v/>
      </c>
      <c r="I540" s="282"/>
      <c r="J540" s="274" t="str" cm="1">
        <f t="array" ref="J540">_xll.FDSB($C540,"CS_EVENT_DATEJ_N("&amp;$AB$18&amp;",1)")</f>
        <v/>
      </c>
      <c r="K540" s="282" t="str" cm="1">
        <f t="array" ref="K540">_xll.FDSB($C540,"CS_EVENT_TIME_N("&amp;$AB$18&amp;",1)")</f>
        <v/>
      </c>
      <c r="L540" s="282" t="str" cm="1">
        <f t="array" ref="L540">_xll.FDSB($C540,"CS_EVENT_DESC_N("&amp;$AB$18&amp;",1)")</f>
        <v/>
      </c>
      <c r="M540" s="300"/>
      <c r="N540" s="274" t="str" cm="1">
        <f t="array" ref="N540">_xll.FDSB($C540,"CS_EVENT_DATEJ_N("&amp;$AA$18&amp;",2)")</f>
        <v/>
      </c>
      <c r="O540" s="282" t="str" cm="1">
        <f t="array" ref="O540">_xll.FDSB($C540,"CS_EVENT_TIME_N("&amp;$AA$18&amp;",2)")</f>
        <v/>
      </c>
      <c r="P540" s="282" t="str" cm="1">
        <f t="array" ref="P540">_xll.FDSB($C540,"CS_EVENT_DESC_N("&amp;$AA$18&amp;",2)")</f>
        <v/>
      </c>
      <c r="Q540" s="282"/>
      <c r="R540" s="274" t="str" cm="1">
        <f t="array" ref="R540">_xll.FDSB($C540,"CS_EVENT_DATEJ_N("&amp;$AA$18&amp;",3)")</f>
        <v/>
      </c>
      <c r="S540" s="282" t="str" cm="1">
        <f t="array" ref="S540">_xll.FDSB($C540,"CS_EVENT_TIME_N("&amp;$AA$18&amp;",3)")</f>
        <v/>
      </c>
      <c r="T540" s="282" t="str" cm="1">
        <f t="array" ref="T540">_xll.FDSB($C540,"CS_EVENT_DESC_N("&amp;$AA$18&amp;",3)")</f>
        <v/>
      </c>
      <c r="U540" s="282"/>
      <c r="V540" s="274" t="str" cm="1">
        <f t="array" ref="V540">_xll.FDSB($C540,"CS_EVENT_DATEJ_N("&amp;$AA$18&amp;",4)")</f>
        <v/>
      </c>
      <c r="W540" s="282" t="str" cm="1">
        <f t="array" ref="W540">_xll.FDSB($C540,"CS_EVENT_TIME_N("&amp;$AA$18&amp;",4)")</f>
        <v/>
      </c>
      <c r="X540" s="282" t="str" cm="1">
        <f t="array" ref="X540">_xll.FDSB($C540,"CS_EVENT_DESC_N("&amp;$AA$18&amp;",4)")</f>
        <v/>
      </c>
    </row>
    <row r="541" spans="2:24" x14ac:dyDescent="0.15">
      <c r="B541" s="298">
        <f t="shared" si="10"/>
        <v>526</v>
      </c>
      <c r="C541" s="299"/>
      <c r="D541" s="300" t="str" cm="1">
        <f t="array" ref="D541">_xll.FDSB($C541,"FG_COMPANY_NAME")</f>
        <v/>
      </c>
      <c r="E541" s="300"/>
      <c r="F541" s="274" t="str" cm="1">
        <f t="array" ref="F541">_xll.FDSB($C541,"CS_EVENT_DATEJ_N("&amp;$AA$18&amp;",1)")</f>
        <v/>
      </c>
      <c r="G541" s="282" t="str" cm="1">
        <f t="array" ref="G541">_xll.FDSB($C541,"CS_EVENT_TIME_N("&amp;$AA$18&amp;",1)")</f>
        <v/>
      </c>
      <c r="H541" s="282" t="str" cm="1">
        <f t="array" ref="H541">_xll.FDSB($C541,"CS_EVENT_DESC_N("&amp;$AA$18&amp;",1)")</f>
        <v/>
      </c>
      <c r="I541" s="282"/>
      <c r="J541" s="274" t="str" cm="1">
        <f t="array" ref="J541">_xll.FDSB($C541,"CS_EVENT_DATEJ_N("&amp;$AB$18&amp;",1)")</f>
        <v/>
      </c>
      <c r="K541" s="282" t="str" cm="1">
        <f t="array" ref="K541">_xll.FDSB($C541,"CS_EVENT_TIME_N("&amp;$AB$18&amp;",1)")</f>
        <v/>
      </c>
      <c r="L541" s="282" t="str" cm="1">
        <f t="array" ref="L541">_xll.FDSB($C541,"CS_EVENT_DESC_N("&amp;$AB$18&amp;",1)")</f>
        <v/>
      </c>
      <c r="M541" s="300"/>
      <c r="N541" s="274" t="str" cm="1">
        <f t="array" ref="N541">_xll.FDSB($C541,"CS_EVENT_DATEJ_N("&amp;$AA$18&amp;",2)")</f>
        <v/>
      </c>
      <c r="O541" s="282" t="str" cm="1">
        <f t="array" ref="O541">_xll.FDSB($C541,"CS_EVENT_TIME_N("&amp;$AA$18&amp;",2)")</f>
        <v/>
      </c>
      <c r="P541" s="282" t="str" cm="1">
        <f t="array" ref="P541">_xll.FDSB($C541,"CS_EVENT_DESC_N("&amp;$AA$18&amp;",2)")</f>
        <v/>
      </c>
      <c r="Q541" s="282"/>
      <c r="R541" s="274" t="str" cm="1">
        <f t="array" ref="R541">_xll.FDSB($C541,"CS_EVENT_DATEJ_N("&amp;$AA$18&amp;",3)")</f>
        <v/>
      </c>
      <c r="S541" s="282" t="str" cm="1">
        <f t="array" ref="S541">_xll.FDSB($C541,"CS_EVENT_TIME_N("&amp;$AA$18&amp;",3)")</f>
        <v/>
      </c>
      <c r="T541" s="282" t="str" cm="1">
        <f t="array" ref="T541">_xll.FDSB($C541,"CS_EVENT_DESC_N("&amp;$AA$18&amp;",3)")</f>
        <v/>
      </c>
      <c r="U541" s="282"/>
      <c r="V541" s="274" t="str" cm="1">
        <f t="array" ref="V541">_xll.FDSB($C541,"CS_EVENT_DATEJ_N("&amp;$AA$18&amp;",4)")</f>
        <v/>
      </c>
      <c r="W541" s="282" t="str" cm="1">
        <f t="array" ref="W541">_xll.FDSB($C541,"CS_EVENT_TIME_N("&amp;$AA$18&amp;",4)")</f>
        <v/>
      </c>
      <c r="X541" s="282" t="str" cm="1">
        <f t="array" ref="X541">_xll.FDSB($C541,"CS_EVENT_DESC_N("&amp;$AA$18&amp;",4)")</f>
        <v/>
      </c>
    </row>
    <row r="542" spans="2:24" x14ac:dyDescent="0.15">
      <c r="B542" s="298">
        <f t="shared" si="10"/>
        <v>527</v>
      </c>
      <c r="C542" s="299"/>
      <c r="D542" s="300" t="str" cm="1">
        <f t="array" ref="D542">_xll.FDSB($C542,"FG_COMPANY_NAME")</f>
        <v/>
      </c>
      <c r="E542" s="300"/>
      <c r="F542" s="274" t="str" cm="1">
        <f t="array" ref="F542">_xll.FDSB($C542,"CS_EVENT_DATEJ_N("&amp;$AA$18&amp;",1)")</f>
        <v/>
      </c>
      <c r="G542" s="282" t="str" cm="1">
        <f t="array" ref="G542">_xll.FDSB($C542,"CS_EVENT_TIME_N("&amp;$AA$18&amp;",1)")</f>
        <v/>
      </c>
      <c r="H542" s="282" t="str" cm="1">
        <f t="array" ref="H542">_xll.FDSB($C542,"CS_EVENT_DESC_N("&amp;$AA$18&amp;",1)")</f>
        <v/>
      </c>
      <c r="I542" s="282"/>
      <c r="J542" s="274" t="str" cm="1">
        <f t="array" ref="J542">_xll.FDSB($C542,"CS_EVENT_DATEJ_N("&amp;$AB$18&amp;",1)")</f>
        <v/>
      </c>
      <c r="K542" s="282" t="str" cm="1">
        <f t="array" ref="K542">_xll.FDSB($C542,"CS_EVENT_TIME_N("&amp;$AB$18&amp;",1)")</f>
        <v/>
      </c>
      <c r="L542" s="282" t="str" cm="1">
        <f t="array" ref="L542">_xll.FDSB($C542,"CS_EVENT_DESC_N("&amp;$AB$18&amp;",1)")</f>
        <v/>
      </c>
      <c r="M542" s="300"/>
      <c r="N542" s="274" t="str" cm="1">
        <f t="array" ref="N542">_xll.FDSB($C542,"CS_EVENT_DATEJ_N("&amp;$AA$18&amp;",2)")</f>
        <v/>
      </c>
      <c r="O542" s="282" t="str" cm="1">
        <f t="array" ref="O542">_xll.FDSB($C542,"CS_EVENT_TIME_N("&amp;$AA$18&amp;",2)")</f>
        <v/>
      </c>
      <c r="P542" s="282" t="str" cm="1">
        <f t="array" ref="P542">_xll.FDSB($C542,"CS_EVENT_DESC_N("&amp;$AA$18&amp;",2)")</f>
        <v/>
      </c>
      <c r="Q542" s="282"/>
      <c r="R542" s="274" t="str" cm="1">
        <f t="array" ref="R542">_xll.FDSB($C542,"CS_EVENT_DATEJ_N("&amp;$AA$18&amp;",3)")</f>
        <v/>
      </c>
      <c r="S542" s="282" t="str" cm="1">
        <f t="array" ref="S542">_xll.FDSB($C542,"CS_EVENT_TIME_N("&amp;$AA$18&amp;",3)")</f>
        <v/>
      </c>
      <c r="T542" s="282" t="str" cm="1">
        <f t="array" ref="T542">_xll.FDSB($C542,"CS_EVENT_DESC_N("&amp;$AA$18&amp;",3)")</f>
        <v/>
      </c>
      <c r="U542" s="282"/>
      <c r="V542" s="274" t="str" cm="1">
        <f t="array" ref="V542">_xll.FDSB($C542,"CS_EVENT_DATEJ_N("&amp;$AA$18&amp;",4)")</f>
        <v/>
      </c>
      <c r="W542" s="282" t="str" cm="1">
        <f t="array" ref="W542">_xll.FDSB($C542,"CS_EVENT_TIME_N("&amp;$AA$18&amp;",4)")</f>
        <v/>
      </c>
      <c r="X542" s="282" t="str" cm="1">
        <f t="array" ref="X542">_xll.FDSB($C542,"CS_EVENT_DESC_N("&amp;$AA$18&amp;",4)")</f>
        <v/>
      </c>
    </row>
    <row r="543" spans="2:24" x14ac:dyDescent="0.15">
      <c r="B543" s="298">
        <f t="shared" si="10"/>
        <v>528</v>
      </c>
      <c r="C543" s="299"/>
      <c r="D543" s="300" t="str" cm="1">
        <f t="array" ref="D543">_xll.FDSB($C543,"FG_COMPANY_NAME")</f>
        <v/>
      </c>
      <c r="E543" s="300"/>
      <c r="F543" s="274" t="str" cm="1">
        <f t="array" ref="F543">_xll.FDSB($C543,"CS_EVENT_DATEJ_N("&amp;$AA$18&amp;",1)")</f>
        <v/>
      </c>
      <c r="G543" s="282" t="str" cm="1">
        <f t="array" ref="G543">_xll.FDSB($C543,"CS_EVENT_TIME_N("&amp;$AA$18&amp;",1)")</f>
        <v/>
      </c>
      <c r="H543" s="282" t="str" cm="1">
        <f t="array" ref="H543">_xll.FDSB($C543,"CS_EVENT_DESC_N("&amp;$AA$18&amp;",1)")</f>
        <v/>
      </c>
      <c r="I543" s="282"/>
      <c r="J543" s="274" t="str" cm="1">
        <f t="array" ref="J543">_xll.FDSB($C543,"CS_EVENT_DATEJ_N("&amp;$AB$18&amp;",1)")</f>
        <v/>
      </c>
      <c r="K543" s="282" t="str" cm="1">
        <f t="array" ref="K543">_xll.FDSB($C543,"CS_EVENT_TIME_N("&amp;$AB$18&amp;",1)")</f>
        <v/>
      </c>
      <c r="L543" s="282" t="str" cm="1">
        <f t="array" ref="L543">_xll.FDSB($C543,"CS_EVENT_DESC_N("&amp;$AB$18&amp;",1)")</f>
        <v/>
      </c>
      <c r="M543" s="300"/>
      <c r="N543" s="274" t="str" cm="1">
        <f t="array" ref="N543">_xll.FDSB($C543,"CS_EVENT_DATEJ_N("&amp;$AA$18&amp;",2)")</f>
        <v/>
      </c>
      <c r="O543" s="282" t="str" cm="1">
        <f t="array" ref="O543">_xll.FDSB($C543,"CS_EVENT_TIME_N("&amp;$AA$18&amp;",2)")</f>
        <v/>
      </c>
      <c r="P543" s="282" t="str" cm="1">
        <f t="array" ref="P543">_xll.FDSB($C543,"CS_EVENT_DESC_N("&amp;$AA$18&amp;",2)")</f>
        <v/>
      </c>
      <c r="Q543" s="282"/>
      <c r="R543" s="274" t="str" cm="1">
        <f t="array" ref="R543">_xll.FDSB($C543,"CS_EVENT_DATEJ_N("&amp;$AA$18&amp;",3)")</f>
        <v/>
      </c>
      <c r="S543" s="282" t="str" cm="1">
        <f t="array" ref="S543">_xll.FDSB($C543,"CS_EVENT_TIME_N("&amp;$AA$18&amp;",3)")</f>
        <v/>
      </c>
      <c r="T543" s="282" t="str" cm="1">
        <f t="array" ref="T543">_xll.FDSB($C543,"CS_EVENT_DESC_N("&amp;$AA$18&amp;",3)")</f>
        <v/>
      </c>
      <c r="U543" s="282"/>
      <c r="V543" s="274" t="str" cm="1">
        <f t="array" ref="V543">_xll.FDSB($C543,"CS_EVENT_DATEJ_N("&amp;$AA$18&amp;",4)")</f>
        <v/>
      </c>
      <c r="W543" s="282" t="str" cm="1">
        <f t="array" ref="W543">_xll.FDSB($C543,"CS_EVENT_TIME_N("&amp;$AA$18&amp;",4)")</f>
        <v/>
      </c>
      <c r="X543" s="282" t="str" cm="1">
        <f t="array" ref="X543">_xll.FDSB($C543,"CS_EVENT_DESC_N("&amp;$AA$18&amp;",4)")</f>
        <v/>
      </c>
    </row>
    <row r="544" spans="2:24" x14ac:dyDescent="0.15">
      <c r="B544" s="298">
        <f t="shared" si="10"/>
        <v>529</v>
      </c>
      <c r="C544" s="299"/>
      <c r="D544" s="300" t="str" cm="1">
        <f t="array" ref="D544">_xll.FDSB($C544,"FG_COMPANY_NAME")</f>
        <v/>
      </c>
      <c r="E544" s="300"/>
      <c r="F544" s="274" t="str" cm="1">
        <f t="array" ref="F544">_xll.FDSB($C544,"CS_EVENT_DATEJ_N("&amp;$AA$18&amp;",1)")</f>
        <v/>
      </c>
      <c r="G544" s="282" t="str" cm="1">
        <f t="array" ref="G544">_xll.FDSB($C544,"CS_EVENT_TIME_N("&amp;$AA$18&amp;",1)")</f>
        <v/>
      </c>
      <c r="H544" s="282" t="str" cm="1">
        <f t="array" ref="H544">_xll.FDSB($C544,"CS_EVENT_DESC_N("&amp;$AA$18&amp;",1)")</f>
        <v/>
      </c>
      <c r="I544" s="282"/>
      <c r="J544" s="274" t="str" cm="1">
        <f t="array" ref="J544">_xll.FDSB($C544,"CS_EVENT_DATEJ_N("&amp;$AB$18&amp;",1)")</f>
        <v/>
      </c>
      <c r="K544" s="282" t="str" cm="1">
        <f t="array" ref="K544">_xll.FDSB($C544,"CS_EVENT_TIME_N("&amp;$AB$18&amp;",1)")</f>
        <v/>
      </c>
      <c r="L544" s="282" t="str" cm="1">
        <f t="array" ref="L544">_xll.FDSB($C544,"CS_EVENT_DESC_N("&amp;$AB$18&amp;",1)")</f>
        <v/>
      </c>
      <c r="M544" s="300"/>
      <c r="N544" s="274" t="str" cm="1">
        <f t="array" ref="N544">_xll.FDSB($C544,"CS_EVENT_DATEJ_N("&amp;$AA$18&amp;",2)")</f>
        <v/>
      </c>
      <c r="O544" s="282" t="str" cm="1">
        <f t="array" ref="O544">_xll.FDSB($C544,"CS_EVENT_TIME_N("&amp;$AA$18&amp;",2)")</f>
        <v/>
      </c>
      <c r="P544" s="282" t="str" cm="1">
        <f t="array" ref="P544">_xll.FDSB($C544,"CS_EVENT_DESC_N("&amp;$AA$18&amp;",2)")</f>
        <v/>
      </c>
      <c r="Q544" s="282"/>
      <c r="R544" s="274" t="str" cm="1">
        <f t="array" ref="R544">_xll.FDSB($C544,"CS_EVENT_DATEJ_N("&amp;$AA$18&amp;",3)")</f>
        <v/>
      </c>
      <c r="S544" s="282" t="str" cm="1">
        <f t="array" ref="S544">_xll.FDSB($C544,"CS_EVENT_TIME_N("&amp;$AA$18&amp;",3)")</f>
        <v/>
      </c>
      <c r="T544" s="282" t="str" cm="1">
        <f t="array" ref="T544">_xll.FDSB($C544,"CS_EVENT_DESC_N("&amp;$AA$18&amp;",3)")</f>
        <v/>
      </c>
      <c r="U544" s="282"/>
      <c r="V544" s="274" t="str" cm="1">
        <f t="array" ref="V544">_xll.FDSB($C544,"CS_EVENT_DATEJ_N("&amp;$AA$18&amp;",4)")</f>
        <v/>
      </c>
      <c r="W544" s="282" t="str" cm="1">
        <f t="array" ref="W544">_xll.FDSB($C544,"CS_EVENT_TIME_N("&amp;$AA$18&amp;",4)")</f>
        <v/>
      </c>
      <c r="X544" s="282" t="str" cm="1">
        <f t="array" ref="X544">_xll.FDSB($C544,"CS_EVENT_DESC_N("&amp;$AA$18&amp;",4)")</f>
        <v/>
      </c>
    </row>
    <row r="545" spans="2:24" x14ac:dyDescent="0.15">
      <c r="B545" s="298">
        <f t="shared" si="10"/>
        <v>530</v>
      </c>
      <c r="C545" s="299"/>
      <c r="D545" s="300" t="str" cm="1">
        <f t="array" ref="D545">_xll.FDSB($C545,"FG_COMPANY_NAME")</f>
        <v/>
      </c>
      <c r="E545" s="300"/>
      <c r="F545" s="274" t="str" cm="1">
        <f t="array" ref="F545">_xll.FDSB($C545,"CS_EVENT_DATEJ_N("&amp;$AA$18&amp;",1)")</f>
        <v/>
      </c>
      <c r="G545" s="282" t="str" cm="1">
        <f t="array" ref="G545">_xll.FDSB($C545,"CS_EVENT_TIME_N("&amp;$AA$18&amp;",1)")</f>
        <v/>
      </c>
      <c r="H545" s="282" t="str" cm="1">
        <f t="array" ref="H545">_xll.FDSB($C545,"CS_EVENT_DESC_N("&amp;$AA$18&amp;",1)")</f>
        <v/>
      </c>
      <c r="I545" s="282"/>
      <c r="J545" s="274" t="str" cm="1">
        <f t="array" ref="J545">_xll.FDSB($C545,"CS_EVENT_DATEJ_N("&amp;$AB$18&amp;",1)")</f>
        <v/>
      </c>
      <c r="K545" s="282" t="str" cm="1">
        <f t="array" ref="K545">_xll.FDSB($C545,"CS_EVENT_TIME_N("&amp;$AB$18&amp;",1)")</f>
        <v/>
      </c>
      <c r="L545" s="282" t="str" cm="1">
        <f t="array" ref="L545">_xll.FDSB($C545,"CS_EVENT_DESC_N("&amp;$AB$18&amp;",1)")</f>
        <v/>
      </c>
      <c r="M545" s="300"/>
      <c r="N545" s="274" t="str" cm="1">
        <f t="array" ref="N545">_xll.FDSB($C545,"CS_EVENT_DATEJ_N("&amp;$AA$18&amp;",2)")</f>
        <v/>
      </c>
      <c r="O545" s="282" t="str" cm="1">
        <f t="array" ref="O545">_xll.FDSB($C545,"CS_EVENT_TIME_N("&amp;$AA$18&amp;",2)")</f>
        <v/>
      </c>
      <c r="P545" s="282" t="str" cm="1">
        <f t="array" ref="P545">_xll.FDSB($C545,"CS_EVENT_DESC_N("&amp;$AA$18&amp;",2)")</f>
        <v/>
      </c>
      <c r="Q545" s="282"/>
      <c r="R545" s="274" t="str" cm="1">
        <f t="array" ref="R545">_xll.FDSB($C545,"CS_EVENT_DATEJ_N("&amp;$AA$18&amp;",3)")</f>
        <v/>
      </c>
      <c r="S545" s="282" t="str" cm="1">
        <f t="array" ref="S545">_xll.FDSB($C545,"CS_EVENT_TIME_N("&amp;$AA$18&amp;",3)")</f>
        <v/>
      </c>
      <c r="T545" s="282" t="str" cm="1">
        <f t="array" ref="T545">_xll.FDSB($C545,"CS_EVENT_DESC_N("&amp;$AA$18&amp;",3)")</f>
        <v/>
      </c>
      <c r="U545" s="282"/>
      <c r="V545" s="274" t="str" cm="1">
        <f t="array" ref="V545">_xll.FDSB($C545,"CS_EVENT_DATEJ_N("&amp;$AA$18&amp;",4)")</f>
        <v/>
      </c>
      <c r="W545" s="282" t="str" cm="1">
        <f t="array" ref="W545">_xll.FDSB($C545,"CS_EVENT_TIME_N("&amp;$AA$18&amp;",4)")</f>
        <v/>
      </c>
      <c r="X545" s="282" t="str" cm="1">
        <f t="array" ref="X545">_xll.FDSB($C545,"CS_EVENT_DESC_N("&amp;$AA$18&amp;",4)")</f>
        <v/>
      </c>
    </row>
    <row r="546" spans="2:24" x14ac:dyDescent="0.15">
      <c r="B546" s="298">
        <f t="shared" si="10"/>
        <v>531</v>
      </c>
      <c r="C546" s="299"/>
      <c r="D546" s="300" t="str" cm="1">
        <f t="array" ref="D546">_xll.FDSB($C546,"FG_COMPANY_NAME")</f>
        <v/>
      </c>
      <c r="E546" s="300"/>
      <c r="F546" s="274" t="str" cm="1">
        <f t="array" ref="F546">_xll.FDSB($C546,"CS_EVENT_DATEJ_N("&amp;$AA$18&amp;",1)")</f>
        <v/>
      </c>
      <c r="G546" s="282" t="str" cm="1">
        <f t="array" ref="G546">_xll.FDSB($C546,"CS_EVENT_TIME_N("&amp;$AA$18&amp;",1)")</f>
        <v/>
      </c>
      <c r="H546" s="282" t="str" cm="1">
        <f t="array" ref="H546">_xll.FDSB($C546,"CS_EVENT_DESC_N("&amp;$AA$18&amp;",1)")</f>
        <v/>
      </c>
      <c r="I546" s="282"/>
      <c r="J546" s="274" t="str" cm="1">
        <f t="array" ref="J546">_xll.FDSB($C546,"CS_EVENT_DATEJ_N("&amp;$AB$18&amp;",1)")</f>
        <v/>
      </c>
      <c r="K546" s="282" t="str" cm="1">
        <f t="array" ref="K546">_xll.FDSB($C546,"CS_EVENT_TIME_N("&amp;$AB$18&amp;",1)")</f>
        <v/>
      </c>
      <c r="L546" s="282" t="str" cm="1">
        <f t="array" ref="L546">_xll.FDSB($C546,"CS_EVENT_DESC_N("&amp;$AB$18&amp;",1)")</f>
        <v/>
      </c>
      <c r="M546" s="300"/>
      <c r="N546" s="274" t="str" cm="1">
        <f t="array" ref="N546">_xll.FDSB($C546,"CS_EVENT_DATEJ_N("&amp;$AA$18&amp;",2)")</f>
        <v/>
      </c>
      <c r="O546" s="282" t="str" cm="1">
        <f t="array" ref="O546">_xll.FDSB($C546,"CS_EVENT_TIME_N("&amp;$AA$18&amp;",2)")</f>
        <v/>
      </c>
      <c r="P546" s="282" t="str" cm="1">
        <f t="array" ref="P546">_xll.FDSB($C546,"CS_EVENT_DESC_N("&amp;$AA$18&amp;",2)")</f>
        <v/>
      </c>
      <c r="Q546" s="282"/>
      <c r="R546" s="274" t="str" cm="1">
        <f t="array" ref="R546">_xll.FDSB($C546,"CS_EVENT_DATEJ_N("&amp;$AA$18&amp;",3)")</f>
        <v/>
      </c>
      <c r="S546" s="282" t="str" cm="1">
        <f t="array" ref="S546">_xll.FDSB($C546,"CS_EVENT_TIME_N("&amp;$AA$18&amp;",3)")</f>
        <v/>
      </c>
      <c r="T546" s="282" t="str" cm="1">
        <f t="array" ref="T546">_xll.FDSB($C546,"CS_EVENT_DESC_N("&amp;$AA$18&amp;",3)")</f>
        <v/>
      </c>
      <c r="U546" s="282"/>
      <c r="V546" s="274" t="str" cm="1">
        <f t="array" ref="V546">_xll.FDSB($C546,"CS_EVENT_DATEJ_N("&amp;$AA$18&amp;",4)")</f>
        <v/>
      </c>
      <c r="W546" s="282" t="str" cm="1">
        <f t="array" ref="W546">_xll.FDSB($C546,"CS_EVENT_TIME_N("&amp;$AA$18&amp;",4)")</f>
        <v/>
      </c>
      <c r="X546" s="282" t="str" cm="1">
        <f t="array" ref="X546">_xll.FDSB($C546,"CS_EVENT_DESC_N("&amp;$AA$18&amp;",4)")</f>
        <v/>
      </c>
    </row>
    <row r="547" spans="2:24" x14ac:dyDescent="0.15">
      <c r="B547" s="298">
        <f t="shared" si="10"/>
        <v>532</v>
      </c>
      <c r="C547" s="299"/>
      <c r="D547" s="300" t="str" cm="1">
        <f t="array" ref="D547">_xll.FDSB($C547,"FG_COMPANY_NAME")</f>
        <v/>
      </c>
      <c r="E547" s="300"/>
      <c r="F547" s="274" t="str" cm="1">
        <f t="array" ref="F547">_xll.FDSB($C547,"CS_EVENT_DATEJ_N("&amp;$AA$18&amp;",1)")</f>
        <v/>
      </c>
      <c r="G547" s="282" t="str" cm="1">
        <f t="array" ref="G547">_xll.FDSB($C547,"CS_EVENT_TIME_N("&amp;$AA$18&amp;",1)")</f>
        <v/>
      </c>
      <c r="H547" s="282" t="str" cm="1">
        <f t="array" ref="H547">_xll.FDSB($C547,"CS_EVENT_DESC_N("&amp;$AA$18&amp;",1)")</f>
        <v/>
      </c>
      <c r="I547" s="282"/>
      <c r="J547" s="274" t="str" cm="1">
        <f t="array" ref="J547">_xll.FDSB($C547,"CS_EVENT_DATEJ_N("&amp;$AB$18&amp;",1)")</f>
        <v/>
      </c>
      <c r="K547" s="282" t="str" cm="1">
        <f t="array" ref="K547">_xll.FDSB($C547,"CS_EVENT_TIME_N("&amp;$AB$18&amp;",1)")</f>
        <v/>
      </c>
      <c r="L547" s="282" t="str" cm="1">
        <f t="array" ref="L547">_xll.FDSB($C547,"CS_EVENT_DESC_N("&amp;$AB$18&amp;",1)")</f>
        <v/>
      </c>
      <c r="M547" s="300"/>
      <c r="N547" s="274" t="str" cm="1">
        <f t="array" ref="N547">_xll.FDSB($C547,"CS_EVENT_DATEJ_N("&amp;$AA$18&amp;",2)")</f>
        <v/>
      </c>
      <c r="O547" s="282" t="str" cm="1">
        <f t="array" ref="O547">_xll.FDSB($C547,"CS_EVENT_TIME_N("&amp;$AA$18&amp;",2)")</f>
        <v/>
      </c>
      <c r="P547" s="282" t="str" cm="1">
        <f t="array" ref="P547">_xll.FDSB($C547,"CS_EVENT_DESC_N("&amp;$AA$18&amp;",2)")</f>
        <v/>
      </c>
      <c r="Q547" s="282"/>
      <c r="R547" s="274" t="str" cm="1">
        <f t="array" ref="R547">_xll.FDSB($C547,"CS_EVENT_DATEJ_N("&amp;$AA$18&amp;",3)")</f>
        <v/>
      </c>
      <c r="S547" s="282" t="str" cm="1">
        <f t="array" ref="S547">_xll.FDSB($C547,"CS_EVENT_TIME_N("&amp;$AA$18&amp;",3)")</f>
        <v/>
      </c>
      <c r="T547" s="282" t="str" cm="1">
        <f t="array" ref="T547">_xll.FDSB($C547,"CS_EVENT_DESC_N("&amp;$AA$18&amp;",3)")</f>
        <v/>
      </c>
      <c r="U547" s="282"/>
      <c r="V547" s="274" t="str" cm="1">
        <f t="array" ref="V547">_xll.FDSB($C547,"CS_EVENT_DATEJ_N("&amp;$AA$18&amp;",4)")</f>
        <v/>
      </c>
      <c r="W547" s="282" t="str" cm="1">
        <f t="array" ref="W547">_xll.FDSB($C547,"CS_EVENT_TIME_N("&amp;$AA$18&amp;",4)")</f>
        <v/>
      </c>
      <c r="X547" s="282" t="str" cm="1">
        <f t="array" ref="X547">_xll.FDSB($C547,"CS_EVENT_DESC_N("&amp;$AA$18&amp;",4)")</f>
        <v/>
      </c>
    </row>
    <row r="548" spans="2:24" x14ac:dyDescent="0.15">
      <c r="B548" s="298">
        <f t="shared" si="10"/>
        <v>533</v>
      </c>
      <c r="C548" s="299"/>
      <c r="D548" s="300" t="str" cm="1">
        <f t="array" ref="D548">_xll.FDSB($C548,"FG_COMPANY_NAME")</f>
        <v/>
      </c>
      <c r="E548" s="300"/>
      <c r="F548" s="274" t="str" cm="1">
        <f t="array" ref="F548">_xll.FDSB($C548,"CS_EVENT_DATEJ_N("&amp;$AA$18&amp;",1)")</f>
        <v/>
      </c>
      <c r="G548" s="282" t="str" cm="1">
        <f t="array" ref="G548">_xll.FDSB($C548,"CS_EVENT_TIME_N("&amp;$AA$18&amp;",1)")</f>
        <v/>
      </c>
      <c r="H548" s="282" t="str" cm="1">
        <f t="array" ref="H548">_xll.FDSB($C548,"CS_EVENT_DESC_N("&amp;$AA$18&amp;",1)")</f>
        <v/>
      </c>
      <c r="I548" s="282"/>
      <c r="J548" s="274" t="str" cm="1">
        <f t="array" ref="J548">_xll.FDSB($C548,"CS_EVENT_DATEJ_N("&amp;$AB$18&amp;",1)")</f>
        <v/>
      </c>
      <c r="K548" s="282" t="str" cm="1">
        <f t="array" ref="K548">_xll.FDSB($C548,"CS_EVENT_TIME_N("&amp;$AB$18&amp;",1)")</f>
        <v/>
      </c>
      <c r="L548" s="282" t="str" cm="1">
        <f t="array" ref="L548">_xll.FDSB($C548,"CS_EVENT_DESC_N("&amp;$AB$18&amp;",1)")</f>
        <v/>
      </c>
      <c r="M548" s="300"/>
      <c r="N548" s="274" t="str" cm="1">
        <f t="array" ref="N548">_xll.FDSB($C548,"CS_EVENT_DATEJ_N("&amp;$AA$18&amp;",2)")</f>
        <v/>
      </c>
      <c r="O548" s="282" t="str" cm="1">
        <f t="array" ref="O548">_xll.FDSB($C548,"CS_EVENT_TIME_N("&amp;$AA$18&amp;",2)")</f>
        <v/>
      </c>
      <c r="P548" s="282" t="str" cm="1">
        <f t="array" ref="P548">_xll.FDSB($C548,"CS_EVENT_DESC_N("&amp;$AA$18&amp;",2)")</f>
        <v/>
      </c>
      <c r="Q548" s="282"/>
      <c r="R548" s="274" t="str" cm="1">
        <f t="array" ref="R548">_xll.FDSB($C548,"CS_EVENT_DATEJ_N("&amp;$AA$18&amp;",3)")</f>
        <v/>
      </c>
      <c r="S548" s="282" t="str" cm="1">
        <f t="array" ref="S548">_xll.FDSB($C548,"CS_EVENT_TIME_N("&amp;$AA$18&amp;",3)")</f>
        <v/>
      </c>
      <c r="T548" s="282" t="str" cm="1">
        <f t="array" ref="T548">_xll.FDSB($C548,"CS_EVENT_DESC_N("&amp;$AA$18&amp;",3)")</f>
        <v/>
      </c>
      <c r="U548" s="282"/>
      <c r="V548" s="274" t="str" cm="1">
        <f t="array" ref="V548">_xll.FDSB($C548,"CS_EVENT_DATEJ_N("&amp;$AA$18&amp;",4)")</f>
        <v/>
      </c>
      <c r="W548" s="282" t="str" cm="1">
        <f t="array" ref="W548">_xll.FDSB($C548,"CS_EVENT_TIME_N("&amp;$AA$18&amp;",4)")</f>
        <v/>
      </c>
      <c r="X548" s="282" t="str" cm="1">
        <f t="array" ref="X548">_xll.FDSB($C548,"CS_EVENT_DESC_N("&amp;$AA$18&amp;",4)")</f>
        <v/>
      </c>
    </row>
    <row r="549" spans="2:24" x14ac:dyDescent="0.15">
      <c r="B549" s="298">
        <f t="shared" si="10"/>
        <v>534</v>
      </c>
      <c r="C549" s="299"/>
      <c r="D549" s="300" t="str" cm="1">
        <f t="array" ref="D549">_xll.FDSB($C549,"FG_COMPANY_NAME")</f>
        <v/>
      </c>
      <c r="E549" s="300"/>
      <c r="F549" s="274" t="str" cm="1">
        <f t="array" ref="F549">_xll.FDSB($C549,"CS_EVENT_DATEJ_N("&amp;$AA$18&amp;",1)")</f>
        <v/>
      </c>
      <c r="G549" s="282" t="str" cm="1">
        <f t="array" ref="G549">_xll.FDSB($C549,"CS_EVENT_TIME_N("&amp;$AA$18&amp;",1)")</f>
        <v/>
      </c>
      <c r="H549" s="282" t="str" cm="1">
        <f t="array" ref="H549">_xll.FDSB($C549,"CS_EVENT_DESC_N("&amp;$AA$18&amp;",1)")</f>
        <v/>
      </c>
      <c r="I549" s="282"/>
      <c r="J549" s="274" t="str" cm="1">
        <f t="array" ref="J549">_xll.FDSB($C549,"CS_EVENT_DATEJ_N("&amp;$AB$18&amp;",1)")</f>
        <v/>
      </c>
      <c r="K549" s="282" t="str" cm="1">
        <f t="array" ref="K549">_xll.FDSB($C549,"CS_EVENT_TIME_N("&amp;$AB$18&amp;",1)")</f>
        <v/>
      </c>
      <c r="L549" s="282" t="str" cm="1">
        <f t="array" ref="L549">_xll.FDSB($C549,"CS_EVENT_DESC_N("&amp;$AB$18&amp;",1)")</f>
        <v/>
      </c>
      <c r="M549" s="300"/>
      <c r="N549" s="274" t="str" cm="1">
        <f t="array" ref="N549">_xll.FDSB($C549,"CS_EVENT_DATEJ_N("&amp;$AA$18&amp;",2)")</f>
        <v/>
      </c>
      <c r="O549" s="282" t="str" cm="1">
        <f t="array" ref="O549">_xll.FDSB($C549,"CS_EVENT_TIME_N("&amp;$AA$18&amp;",2)")</f>
        <v/>
      </c>
      <c r="P549" s="282" t="str" cm="1">
        <f t="array" ref="P549">_xll.FDSB($C549,"CS_EVENT_DESC_N("&amp;$AA$18&amp;",2)")</f>
        <v/>
      </c>
      <c r="Q549" s="282"/>
      <c r="R549" s="274" t="str" cm="1">
        <f t="array" ref="R549">_xll.FDSB($C549,"CS_EVENT_DATEJ_N("&amp;$AA$18&amp;",3)")</f>
        <v/>
      </c>
      <c r="S549" s="282" t="str" cm="1">
        <f t="array" ref="S549">_xll.FDSB($C549,"CS_EVENT_TIME_N("&amp;$AA$18&amp;",3)")</f>
        <v/>
      </c>
      <c r="T549" s="282" t="str" cm="1">
        <f t="array" ref="T549">_xll.FDSB($C549,"CS_EVENT_DESC_N("&amp;$AA$18&amp;",3)")</f>
        <v/>
      </c>
      <c r="U549" s="282"/>
      <c r="V549" s="274" t="str" cm="1">
        <f t="array" ref="V549">_xll.FDSB($C549,"CS_EVENT_DATEJ_N("&amp;$AA$18&amp;",4)")</f>
        <v/>
      </c>
      <c r="W549" s="282" t="str" cm="1">
        <f t="array" ref="W549">_xll.FDSB($C549,"CS_EVENT_TIME_N("&amp;$AA$18&amp;",4)")</f>
        <v/>
      </c>
      <c r="X549" s="282" t="str" cm="1">
        <f t="array" ref="X549">_xll.FDSB($C549,"CS_EVENT_DESC_N("&amp;$AA$18&amp;",4)")</f>
        <v/>
      </c>
    </row>
    <row r="550" spans="2:24" x14ac:dyDescent="0.15">
      <c r="B550" s="298">
        <f t="shared" si="10"/>
        <v>535</v>
      </c>
      <c r="C550" s="299"/>
      <c r="D550" s="300" t="str" cm="1">
        <f t="array" ref="D550">_xll.FDSB($C550,"FG_COMPANY_NAME")</f>
        <v/>
      </c>
      <c r="E550" s="300"/>
      <c r="F550" s="274" t="str" cm="1">
        <f t="array" ref="F550">_xll.FDSB($C550,"CS_EVENT_DATEJ_N("&amp;$AA$18&amp;",1)")</f>
        <v/>
      </c>
      <c r="G550" s="282" t="str" cm="1">
        <f t="array" ref="G550">_xll.FDSB($C550,"CS_EVENT_TIME_N("&amp;$AA$18&amp;",1)")</f>
        <v/>
      </c>
      <c r="H550" s="282" t="str" cm="1">
        <f t="array" ref="H550">_xll.FDSB($C550,"CS_EVENT_DESC_N("&amp;$AA$18&amp;",1)")</f>
        <v/>
      </c>
      <c r="I550" s="282"/>
      <c r="J550" s="274" t="str" cm="1">
        <f t="array" ref="J550">_xll.FDSB($C550,"CS_EVENT_DATEJ_N("&amp;$AB$18&amp;",1)")</f>
        <v/>
      </c>
      <c r="K550" s="282" t="str" cm="1">
        <f t="array" ref="K550">_xll.FDSB($C550,"CS_EVENT_TIME_N("&amp;$AB$18&amp;",1)")</f>
        <v/>
      </c>
      <c r="L550" s="282" t="str" cm="1">
        <f t="array" ref="L550">_xll.FDSB($C550,"CS_EVENT_DESC_N("&amp;$AB$18&amp;",1)")</f>
        <v/>
      </c>
      <c r="M550" s="300"/>
      <c r="N550" s="274" t="str" cm="1">
        <f t="array" ref="N550">_xll.FDSB($C550,"CS_EVENT_DATEJ_N("&amp;$AA$18&amp;",2)")</f>
        <v/>
      </c>
      <c r="O550" s="282" t="str" cm="1">
        <f t="array" ref="O550">_xll.FDSB($C550,"CS_EVENT_TIME_N("&amp;$AA$18&amp;",2)")</f>
        <v/>
      </c>
      <c r="P550" s="282" t="str" cm="1">
        <f t="array" ref="P550">_xll.FDSB($C550,"CS_EVENT_DESC_N("&amp;$AA$18&amp;",2)")</f>
        <v/>
      </c>
      <c r="Q550" s="282"/>
      <c r="R550" s="274" t="str" cm="1">
        <f t="array" ref="R550">_xll.FDSB($C550,"CS_EVENT_DATEJ_N("&amp;$AA$18&amp;",3)")</f>
        <v/>
      </c>
      <c r="S550" s="282" t="str" cm="1">
        <f t="array" ref="S550">_xll.FDSB($C550,"CS_EVENT_TIME_N("&amp;$AA$18&amp;",3)")</f>
        <v/>
      </c>
      <c r="T550" s="282" t="str" cm="1">
        <f t="array" ref="T550">_xll.FDSB($C550,"CS_EVENT_DESC_N("&amp;$AA$18&amp;",3)")</f>
        <v/>
      </c>
      <c r="U550" s="282"/>
      <c r="V550" s="274" t="str" cm="1">
        <f t="array" ref="V550">_xll.FDSB($C550,"CS_EVENT_DATEJ_N("&amp;$AA$18&amp;",4)")</f>
        <v/>
      </c>
      <c r="W550" s="282" t="str" cm="1">
        <f t="array" ref="W550">_xll.FDSB($C550,"CS_EVENT_TIME_N("&amp;$AA$18&amp;",4)")</f>
        <v/>
      </c>
      <c r="X550" s="282" t="str" cm="1">
        <f t="array" ref="X550">_xll.FDSB($C550,"CS_EVENT_DESC_N("&amp;$AA$18&amp;",4)")</f>
        <v/>
      </c>
    </row>
    <row r="551" spans="2:24" x14ac:dyDescent="0.15">
      <c r="B551" s="298">
        <f t="shared" si="10"/>
        <v>536</v>
      </c>
      <c r="C551" s="299"/>
      <c r="D551" s="300" t="str" cm="1">
        <f t="array" ref="D551">_xll.FDSB($C551,"FG_COMPANY_NAME")</f>
        <v/>
      </c>
      <c r="E551" s="300"/>
      <c r="F551" s="274" t="str" cm="1">
        <f t="array" ref="F551">_xll.FDSB($C551,"CS_EVENT_DATEJ_N("&amp;$AA$18&amp;",1)")</f>
        <v/>
      </c>
      <c r="G551" s="282" t="str" cm="1">
        <f t="array" ref="G551">_xll.FDSB($C551,"CS_EVENT_TIME_N("&amp;$AA$18&amp;",1)")</f>
        <v/>
      </c>
      <c r="H551" s="282" t="str" cm="1">
        <f t="array" ref="H551">_xll.FDSB($C551,"CS_EVENT_DESC_N("&amp;$AA$18&amp;",1)")</f>
        <v/>
      </c>
      <c r="I551" s="282"/>
      <c r="J551" s="274" t="str" cm="1">
        <f t="array" ref="J551">_xll.FDSB($C551,"CS_EVENT_DATEJ_N("&amp;$AB$18&amp;",1)")</f>
        <v/>
      </c>
      <c r="K551" s="282" t="str" cm="1">
        <f t="array" ref="K551">_xll.FDSB($C551,"CS_EVENT_TIME_N("&amp;$AB$18&amp;",1)")</f>
        <v/>
      </c>
      <c r="L551" s="282" t="str" cm="1">
        <f t="array" ref="L551">_xll.FDSB($C551,"CS_EVENT_DESC_N("&amp;$AB$18&amp;",1)")</f>
        <v/>
      </c>
      <c r="M551" s="300"/>
      <c r="N551" s="274" t="str" cm="1">
        <f t="array" ref="N551">_xll.FDSB($C551,"CS_EVENT_DATEJ_N("&amp;$AA$18&amp;",2)")</f>
        <v/>
      </c>
      <c r="O551" s="282" t="str" cm="1">
        <f t="array" ref="O551">_xll.FDSB($C551,"CS_EVENT_TIME_N("&amp;$AA$18&amp;",2)")</f>
        <v/>
      </c>
      <c r="P551" s="282" t="str" cm="1">
        <f t="array" ref="P551">_xll.FDSB($C551,"CS_EVENT_DESC_N("&amp;$AA$18&amp;",2)")</f>
        <v/>
      </c>
      <c r="Q551" s="282"/>
      <c r="R551" s="274" t="str" cm="1">
        <f t="array" ref="R551">_xll.FDSB($C551,"CS_EVENT_DATEJ_N("&amp;$AA$18&amp;",3)")</f>
        <v/>
      </c>
      <c r="S551" s="282" t="str" cm="1">
        <f t="array" ref="S551">_xll.FDSB($C551,"CS_EVENT_TIME_N("&amp;$AA$18&amp;",3)")</f>
        <v/>
      </c>
      <c r="T551" s="282" t="str" cm="1">
        <f t="array" ref="T551">_xll.FDSB($C551,"CS_EVENT_DESC_N("&amp;$AA$18&amp;",3)")</f>
        <v/>
      </c>
      <c r="U551" s="282"/>
      <c r="V551" s="274" t="str" cm="1">
        <f t="array" ref="V551">_xll.FDSB($C551,"CS_EVENT_DATEJ_N("&amp;$AA$18&amp;",4)")</f>
        <v/>
      </c>
      <c r="W551" s="282" t="str" cm="1">
        <f t="array" ref="W551">_xll.FDSB($C551,"CS_EVENT_TIME_N("&amp;$AA$18&amp;",4)")</f>
        <v/>
      </c>
      <c r="X551" s="282" t="str" cm="1">
        <f t="array" ref="X551">_xll.FDSB($C551,"CS_EVENT_DESC_N("&amp;$AA$18&amp;",4)")</f>
        <v/>
      </c>
    </row>
    <row r="552" spans="2:24" x14ac:dyDescent="0.15">
      <c r="B552" s="298">
        <f t="shared" si="10"/>
        <v>537</v>
      </c>
      <c r="C552" s="299"/>
      <c r="D552" s="300" t="str" cm="1">
        <f t="array" ref="D552">_xll.FDSB($C552,"FG_COMPANY_NAME")</f>
        <v/>
      </c>
      <c r="E552" s="300"/>
      <c r="F552" s="274" t="str" cm="1">
        <f t="array" ref="F552">_xll.FDSB($C552,"CS_EVENT_DATEJ_N("&amp;$AA$18&amp;",1)")</f>
        <v/>
      </c>
      <c r="G552" s="282" t="str" cm="1">
        <f t="array" ref="G552">_xll.FDSB($C552,"CS_EVENT_TIME_N("&amp;$AA$18&amp;",1)")</f>
        <v/>
      </c>
      <c r="H552" s="282" t="str" cm="1">
        <f t="array" ref="H552">_xll.FDSB($C552,"CS_EVENT_DESC_N("&amp;$AA$18&amp;",1)")</f>
        <v/>
      </c>
      <c r="I552" s="282"/>
      <c r="J552" s="274" t="str" cm="1">
        <f t="array" ref="J552">_xll.FDSB($C552,"CS_EVENT_DATEJ_N("&amp;$AB$18&amp;",1)")</f>
        <v/>
      </c>
      <c r="K552" s="282" t="str" cm="1">
        <f t="array" ref="K552">_xll.FDSB($C552,"CS_EVENT_TIME_N("&amp;$AB$18&amp;",1)")</f>
        <v/>
      </c>
      <c r="L552" s="282" t="str" cm="1">
        <f t="array" ref="L552">_xll.FDSB($C552,"CS_EVENT_DESC_N("&amp;$AB$18&amp;",1)")</f>
        <v/>
      </c>
      <c r="M552" s="300"/>
      <c r="N552" s="274" t="str" cm="1">
        <f t="array" ref="N552">_xll.FDSB($C552,"CS_EVENT_DATEJ_N("&amp;$AA$18&amp;",2)")</f>
        <v/>
      </c>
      <c r="O552" s="282" t="str" cm="1">
        <f t="array" ref="O552">_xll.FDSB($C552,"CS_EVENT_TIME_N("&amp;$AA$18&amp;",2)")</f>
        <v/>
      </c>
      <c r="P552" s="282" t="str" cm="1">
        <f t="array" ref="P552">_xll.FDSB($C552,"CS_EVENT_DESC_N("&amp;$AA$18&amp;",2)")</f>
        <v/>
      </c>
      <c r="Q552" s="282"/>
      <c r="R552" s="274" t="str" cm="1">
        <f t="array" ref="R552">_xll.FDSB($C552,"CS_EVENT_DATEJ_N("&amp;$AA$18&amp;",3)")</f>
        <v/>
      </c>
      <c r="S552" s="282" t="str" cm="1">
        <f t="array" ref="S552">_xll.FDSB($C552,"CS_EVENT_TIME_N("&amp;$AA$18&amp;",3)")</f>
        <v/>
      </c>
      <c r="T552" s="282" t="str" cm="1">
        <f t="array" ref="T552">_xll.FDSB($C552,"CS_EVENT_DESC_N("&amp;$AA$18&amp;",3)")</f>
        <v/>
      </c>
      <c r="U552" s="282"/>
      <c r="V552" s="274" t="str" cm="1">
        <f t="array" ref="V552">_xll.FDSB($C552,"CS_EVENT_DATEJ_N("&amp;$AA$18&amp;",4)")</f>
        <v/>
      </c>
      <c r="W552" s="282" t="str" cm="1">
        <f t="array" ref="W552">_xll.FDSB($C552,"CS_EVENT_TIME_N("&amp;$AA$18&amp;",4)")</f>
        <v/>
      </c>
      <c r="X552" s="282" t="str" cm="1">
        <f t="array" ref="X552">_xll.FDSB($C552,"CS_EVENT_DESC_N("&amp;$AA$18&amp;",4)")</f>
        <v/>
      </c>
    </row>
    <row r="553" spans="2:24" x14ac:dyDescent="0.15">
      <c r="B553" s="298">
        <f t="shared" si="10"/>
        <v>538</v>
      </c>
      <c r="C553" s="299"/>
      <c r="D553" s="300" t="str" cm="1">
        <f t="array" ref="D553">_xll.FDSB($C553,"FG_COMPANY_NAME")</f>
        <v/>
      </c>
      <c r="E553" s="300"/>
      <c r="F553" s="274" t="str" cm="1">
        <f t="array" ref="F553">_xll.FDSB($C553,"CS_EVENT_DATEJ_N("&amp;$AA$18&amp;",1)")</f>
        <v/>
      </c>
      <c r="G553" s="282" t="str" cm="1">
        <f t="array" ref="G553">_xll.FDSB($C553,"CS_EVENT_TIME_N("&amp;$AA$18&amp;",1)")</f>
        <v/>
      </c>
      <c r="H553" s="282" t="str" cm="1">
        <f t="array" ref="H553">_xll.FDSB($C553,"CS_EVENT_DESC_N("&amp;$AA$18&amp;",1)")</f>
        <v/>
      </c>
      <c r="I553" s="282"/>
      <c r="J553" s="274" t="str" cm="1">
        <f t="array" ref="J553">_xll.FDSB($C553,"CS_EVENT_DATEJ_N("&amp;$AB$18&amp;",1)")</f>
        <v/>
      </c>
      <c r="K553" s="282" t="str" cm="1">
        <f t="array" ref="K553">_xll.FDSB($C553,"CS_EVENT_TIME_N("&amp;$AB$18&amp;",1)")</f>
        <v/>
      </c>
      <c r="L553" s="282" t="str" cm="1">
        <f t="array" ref="L553">_xll.FDSB($C553,"CS_EVENT_DESC_N("&amp;$AB$18&amp;",1)")</f>
        <v/>
      </c>
      <c r="M553" s="300"/>
      <c r="N553" s="274" t="str" cm="1">
        <f t="array" ref="N553">_xll.FDSB($C553,"CS_EVENT_DATEJ_N("&amp;$AA$18&amp;",2)")</f>
        <v/>
      </c>
      <c r="O553" s="282" t="str" cm="1">
        <f t="array" ref="O553">_xll.FDSB($C553,"CS_EVENT_TIME_N("&amp;$AA$18&amp;",2)")</f>
        <v/>
      </c>
      <c r="P553" s="282" t="str" cm="1">
        <f t="array" ref="P553">_xll.FDSB($C553,"CS_EVENT_DESC_N("&amp;$AA$18&amp;",2)")</f>
        <v/>
      </c>
      <c r="Q553" s="282"/>
      <c r="R553" s="274" t="str" cm="1">
        <f t="array" ref="R553">_xll.FDSB($C553,"CS_EVENT_DATEJ_N("&amp;$AA$18&amp;",3)")</f>
        <v/>
      </c>
      <c r="S553" s="282" t="str" cm="1">
        <f t="array" ref="S553">_xll.FDSB($C553,"CS_EVENT_TIME_N("&amp;$AA$18&amp;",3)")</f>
        <v/>
      </c>
      <c r="T553" s="282" t="str" cm="1">
        <f t="array" ref="T553">_xll.FDSB($C553,"CS_EVENT_DESC_N("&amp;$AA$18&amp;",3)")</f>
        <v/>
      </c>
      <c r="U553" s="282"/>
      <c r="V553" s="274" t="str" cm="1">
        <f t="array" ref="V553">_xll.FDSB($C553,"CS_EVENT_DATEJ_N("&amp;$AA$18&amp;",4)")</f>
        <v/>
      </c>
      <c r="W553" s="282" t="str" cm="1">
        <f t="array" ref="W553">_xll.FDSB($C553,"CS_EVENT_TIME_N("&amp;$AA$18&amp;",4)")</f>
        <v/>
      </c>
      <c r="X553" s="282" t="str" cm="1">
        <f t="array" ref="X553">_xll.FDSB($C553,"CS_EVENT_DESC_N("&amp;$AA$18&amp;",4)")</f>
        <v/>
      </c>
    </row>
    <row r="554" spans="2:24" x14ac:dyDescent="0.15">
      <c r="B554" s="298">
        <f t="shared" si="10"/>
        <v>539</v>
      </c>
      <c r="C554" s="299"/>
      <c r="D554" s="300" t="str" cm="1">
        <f t="array" ref="D554">_xll.FDSB($C554,"FG_COMPANY_NAME")</f>
        <v/>
      </c>
      <c r="E554" s="300"/>
      <c r="F554" s="274" t="str" cm="1">
        <f t="array" ref="F554">_xll.FDSB($C554,"CS_EVENT_DATEJ_N("&amp;$AA$18&amp;",1)")</f>
        <v/>
      </c>
      <c r="G554" s="282" t="str" cm="1">
        <f t="array" ref="G554">_xll.FDSB($C554,"CS_EVENT_TIME_N("&amp;$AA$18&amp;",1)")</f>
        <v/>
      </c>
      <c r="H554" s="282" t="str" cm="1">
        <f t="array" ref="H554">_xll.FDSB($C554,"CS_EVENT_DESC_N("&amp;$AA$18&amp;",1)")</f>
        <v/>
      </c>
      <c r="I554" s="282"/>
      <c r="J554" s="274" t="str" cm="1">
        <f t="array" ref="J554">_xll.FDSB($C554,"CS_EVENT_DATEJ_N("&amp;$AB$18&amp;",1)")</f>
        <v/>
      </c>
      <c r="K554" s="282" t="str" cm="1">
        <f t="array" ref="K554">_xll.FDSB($C554,"CS_EVENT_TIME_N("&amp;$AB$18&amp;",1)")</f>
        <v/>
      </c>
      <c r="L554" s="282" t="str" cm="1">
        <f t="array" ref="L554">_xll.FDSB($C554,"CS_EVENT_DESC_N("&amp;$AB$18&amp;",1)")</f>
        <v/>
      </c>
      <c r="M554" s="300"/>
      <c r="N554" s="274" t="str" cm="1">
        <f t="array" ref="N554">_xll.FDSB($C554,"CS_EVENT_DATEJ_N("&amp;$AA$18&amp;",2)")</f>
        <v/>
      </c>
      <c r="O554" s="282" t="str" cm="1">
        <f t="array" ref="O554">_xll.FDSB($C554,"CS_EVENT_TIME_N("&amp;$AA$18&amp;",2)")</f>
        <v/>
      </c>
      <c r="P554" s="282" t="str" cm="1">
        <f t="array" ref="P554">_xll.FDSB($C554,"CS_EVENT_DESC_N("&amp;$AA$18&amp;",2)")</f>
        <v/>
      </c>
      <c r="Q554" s="282"/>
      <c r="R554" s="274" t="str" cm="1">
        <f t="array" ref="R554">_xll.FDSB($C554,"CS_EVENT_DATEJ_N("&amp;$AA$18&amp;",3)")</f>
        <v/>
      </c>
      <c r="S554" s="282" t="str" cm="1">
        <f t="array" ref="S554">_xll.FDSB($C554,"CS_EVENT_TIME_N("&amp;$AA$18&amp;",3)")</f>
        <v/>
      </c>
      <c r="T554" s="282" t="str" cm="1">
        <f t="array" ref="T554">_xll.FDSB($C554,"CS_EVENT_DESC_N("&amp;$AA$18&amp;",3)")</f>
        <v/>
      </c>
      <c r="U554" s="282"/>
      <c r="V554" s="274" t="str" cm="1">
        <f t="array" ref="V554">_xll.FDSB($C554,"CS_EVENT_DATEJ_N("&amp;$AA$18&amp;",4)")</f>
        <v/>
      </c>
      <c r="W554" s="282" t="str" cm="1">
        <f t="array" ref="W554">_xll.FDSB($C554,"CS_EVENT_TIME_N("&amp;$AA$18&amp;",4)")</f>
        <v/>
      </c>
      <c r="X554" s="282" t="str" cm="1">
        <f t="array" ref="X554">_xll.FDSB($C554,"CS_EVENT_DESC_N("&amp;$AA$18&amp;",4)")</f>
        <v/>
      </c>
    </row>
    <row r="555" spans="2:24" x14ac:dyDescent="0.15">
      <c r="B555" s="298">
        <f t="shared" si="10"/>
        <v>540</v>
      </c>
      <c r="C555" s="299"/>
      <c r="D555" s="300" t="str" cm="1">
        <f t="array" ref="D555">_xll.FDSB($C555,"FG_COMPANY_NAME")</f>
        <v/>
      </c>
      <c r="E555" s="300"/>
      <c r="F555" s="274" t="str" cm="1">
        <f t="array" ref="F555">_xll.FDSB($C555,"CS_EVENT_DATEJ_N("&amp;$AA$18&amp;",1)")</f>
        <v/>
      </c>
      <c r="G555" s="282" t="str" cm="1">
        <f t="array" ref="G555">_xll.FDSB($C555,"CS_EVENT_TIME_N("&amp;$AA$18&amp;",1)")</f>
        <v/>
      </c>
      <c r="H555" s="282" t="str" cm="1">
        <f t="array" ref="H555">_xll.FDSB($C555,"CS_EVENT_DESC_N("&amp;$AA$18&amp;",1)")</f>
        <v/>
      </c>
      <c r="I555" s="282"/>
      <c r="J555" s="274" t="str" cm="1">
        <f t="array" ref="J555">_xll.FDSB($C555,"CS_EVENT_DATEJ_N("&amp;$AB$18&amp;",1)")</f>
        <v/>
      </c>
      <c r="K555" s="282" t="str" cm="1">
        <f t="array" ref="K555">_xll.FDSB($C555,"CS_EVENT_TIME_N("&amp;$AB$18&amp;",1)")</f>
        <v/>
      </c>
      <c r="L555" s="282" t="str" cm="1">
        <f t="array" ref="L555">_xll.FDSB($C555,"CS_EVENT_DESC_N("&amp;$AB$18&amp;",1)")</f>
        <v/>
      </c>
      <c r="M555" s="300"/>
      <c r="N555" s="274" t="str" cm="1">
        <f t="array" ref="N555">_xll.FDSB($C555,"CS_EVENT_DATEJ_N("&amp;$AA$18&amp;",2)")</f>
        <v/>
      </c>
      <c r="O555" s="282" t="str" cm="1">
        <f t="array" ref="O555">_xll.FDSB($C555,"CS_EVENT_TIME_N("&amp;$AA$18&amp;",2)")</f>
        <v/>
      </c>
      <c r="P555" s="282" t="str" cm="1">
        <f t="array" ref="P555">_xll.FDSB($C555,"CS_EVENT_DESC_N("&amp;$AA$18&amp;",2)")</f>
        <v/>
      </c>
      <c r="Q555" s="282"/>
      <c r="R555" s="274" t="str" cm="1">
        <f t="array" ref="R555">_xll.FDSB($C555,"CS_EVENT_DATEJ_N("&amp;$AA$18&amp;",3)")</f>
        <v/>
      </c>
      <c r="S555" s="282" t="str" cm="1">
        <f t="array" ref="S555">_xll.FDSB($C555,"CS_EVENT_TIME_N("&amp;$AA$18&amp;",3)")</f>
        <v/>
      </c>
      <c r="T555" s="282" t="str" cm="1">
        <f t="array" ref="T555">_xll.FDSB($C555,"CS_EVENT_DESC_N("&amp;$AA$18&amp;",3)")</f>
        <v/>
      </c>
      <c r="U555" s="282"/>
      <c r="V555" s="274" t="str" cm="1">
        <f t="array" ref="V555">_xll.FDSB($C555,"CS_EVENT_DATEJ_N("&amp;$AA$18&amp;",4)")</f>
        <v/>
      </c>
      <c r="W555" s="282" t="str" cm="1">
        <f t="array" ref="W555">_xll.FDSB($C555,"CS_EVENT_TIME_N("&amp;$AA$18&amp;",4)")</f>
        <v/>
      </c>
      <c r="X555" s="282" t="str" cm="1">
        <f t="array" ref="X555">_xll.FDSB($C555,"CS_EVENT_DESC_N("&amp;$AA$18&amp;",4)")</f>
        <v/>
      </c>
    </row>
    <row r="556" spans="2:24" x14ac:dyDescent="0.15">
      <c r="B556" s="298">
        <f t="shared" si="10"/>
        <v>541</v>
      </c>
      <c r="C556" s="299"/>
      <c r="D556" s="300" t="str" cm="1">
        <f t="array" ref="D556">_xll.FDSB($C556,"FG_COMPANY_NAME")</f>
        <v/>
      </c>
      <c r="E556" s="300"/>
      <c r="F556" s="274" t="str" cm="1">
        <f t="array" ref="F556">_xll.FDSB($C556,"CS_EVENT_DATEJ_N("&amp;$AA$18&amp;",1)")</f>
        <v/>
      </c>
      <c r="G556" s="282" t="str" cm="1">
        <f t="array" ref="G556">_xll.FDSB($C556,"CS_EVENT_TIME_N("&amp;$AA$18&amp;",1)")</f>
        <v/>
      </c>
      <c r="H556" s="282" t="str" cm="1">
        <f t="array" ref="H556">_xll.FDSB($C556,"CS_EVENT_DESC_N("&amp;$AA$18&amp;",1)")</f>
        <v/>
      </c>
      <c r="I556" s="282"/>
      <c r="J556" s="274" t="str" cm="1">
        <f t="array" ref="J556">_xll.FDSB($C556,"CS_EVENT_DATEJ_N("&amp;$AB$18&amp;",1)")</f>
        <v/>
      </c>
      <c r="K556" s="282" t="str" cm="1">
        <f t="array" ref="K556">_xll.FDSB($C556,"CS_EVENT_TIME_N("&amp;$AB$18&amp;",1)")</f>
        <v/>
      </c>
      <c r="L556" s="282" t="str" cm="1">
        <f t="array" ref="L556">_xll.FDSB($C556,"CS_EVENT_DESC_N("&amp;$AB$18&amp;",1)")</f>
        <v/>
      </c>
      <c r="M556" s="300"/>
      <c r="N556" s="274" t="str" cm="1">
        <f t="array" ref="N556">_xll.FDSB($C556,"CS_EVENT_DATEJ_N("&amp;$AA$18&amp;",2)")</f>
        <v/>
      </c>
      <c r="O556" s="282" t="str" cm="1">
        <f t="array" ref="O556">_xll.FDSB($C556,"CS_EVENT_TIME_N("&amp;$AA$18&amp;",2)")</f>
        <v/>
      </c>
      <c r="P556" s="282" t="str" cm="1">
        <f t="array" ref="P556">_xll.FDSB($C556,"CS_EVENT_DESC_N("&amp;$AA$18&amp;",2)")</f>
        <v/>
      </c>
      <c r="Q556" s="282"/>
      <c r="R556" s="274" t="str" cm="1">
        <f t="array" ref="R556">_xll.FDSB($C556,"CS_EVENT_DATEJ_N("&amp;$AA$18&amp;",3)")</f>
        <v/>
      </c>
      <c r="S556" s="282" t="str" cm="1">
        <f t="array" ref="S556">_xll.FDSB($C556,"CS_EVENT_TIME_N("&amp;$AA$18&amp;",3)")</f>
        <v/>
      </c>
      <c r="T556" s="282" t="str" cm="1">
        <f t="array" ref="T556">_xll.FDSB($C556,"CS_EVENT_DESC_N("&amp;$AA$18&amp;",3)")</f>
        <v/>
      </c>
      <c r="U556" s="282"/>
      <c r="V556" s="274" t="str" cm="1">
        <f t="array" ref="V556">_xll.FDSB($C556,"CS_EVENT_DATEJ_N("&amp;$AA$18&amp;",4)")</f>
        <v/>
      </c>
      <c r="W556" s="282" t="str" cm="1">
        <f t="array" ref="W556">_xll.FDSB($C556,"CS_EVENT_TIME_N("&amp;$AA$18&amp;",4)")</f>
        <v/>
      </c>
      <c r="X556" s="282" t="str" cm="1">
        <f t="array" ref="X556">_xll.FDSB($C556,"CS_EVENT_DESC_N("&amp;$AA$18&amp;",4)")</f>
        <v/>
      </c>
    </row>
    <row r="557" spans="2:24" x14ac:dyDescent="0.15">
      <c r="B557" s="298">
        <f t="shared" si="10"/>
        <v>542</v>
      </c>
      <c r="C557" s="299"/>
      <c r="D557" s="300" t="str" cm="1">
        <f t="array" ref="D557">_xll.FDSB($C557,"FG_COMPANY_NAME")</f>
        <v/>
      </c>
      <c r="E557" s="300"/>
      <c r="F557" s="274" t="str" cm="1">
        <f t="array" ref="F557">_xll.FDSB($C557,"CS_EVENT_DATEJ_N("&amp;$AA$18&amp;",1)")</f>
        <v/>
      </c>
      <c r="G557" s="282" t="str" cm="1">
        <f t="array" ref="G557">_xll.FDSB($C557,"CS_EVENT_TIME_N("&amp;$AA$18&amp;",1)")</f>
        <v/>
      </c>
      <c r="H557" s="282" t="str" cm="1">
        <f t="array" ref="H557">_xll.FDSB($C557,"CS_EVENT_DESC_N("&amp;$AA$18&amp;",1)")</f>
        <v/>
      </c>
      <c r="I557" s="282"/>
      <c r="J557" s="274" t="str" cm="1">
        <f t="array" ref="J557">_xll.FDSB($C557,"CS_EVENT_DATEJ_N("&amp;$AB$18&amp;",1)")</f>
        <v/>
      </c>
      <c r="K557" s="282" t="str" cm="1">
        <f t="array" ref="K557">_xll.FDSB($C557,"CS_EVENT_TIME_N("&amp;$AB$18&amp;",1)")</f>
        <v/>
      </c>
      <c r="L557" s="282" t="str" cm="1">
        <f t="array" ref="L557">_xll.FDSB($C557,"CS_EVENT_DESC_N("&amp;$AB$18&amp;",1)")</f>
        <v/>
      </c>
      <c r="M557" s="300"/>
      <c r="N557" s="274" t="str" cm="1">
        <f t="array" ref="N557">_xll.FDSB($C557,"CS_EVENT_DATEJ_N("&amp;$AA$18&amp;",2)")</f>
        <v/>
      </c>
      <c r="O557" s="282" t="str" cm="1">
        <f t="array" ref="O557">_xll.FDSB($C557,"CS_EVENT_TIME_N("&amp;$AA$18&amp;",2)")</f>
        <v/>
      </c>
      <c r="P557" s="282" t="str" cm="1">
        <f t="array" ref="P557">_xll.FDSB($C557,"CS_EVENT_DESC_N("&amp;$AA$18&amp;",2)")</f>
        <v/>
      </c>
      <c r="Q557" s="282"/>
      <c r="R557" s="274" t="str" cm="1">
        <f t="array" ref="R557">_xll.FDSB($C557,"CS_EVENT_DATEJ_N("&amp;$AA$18&amp;",3)")</f>
        <v/>
      </c>
      <c r="S557" s="282" t="str" cm="1">
        <f t="array" ref="S557">_xll.FDSB($C557,"CS_EVENT_TIME_N("&amp;$AA$18&amp;",3)")</f>
        <v/>
      </c>
      <c r="T557" s="282" t="str" cm="1">
        <f t="array" ref="T557">_xll.FDSB($C557,"CS_EVENT_DESC_N("&amp;$AA$18&amp;",3)")</f>
        <v/>
      </c>
      <c r="U557" s="282"/>
      <c r="V557" s="274" t="str" cm="1">
        <f t="array" ref="V557">_xll.FDSB($C557,"CS_EVENT_DATEJ_N("&amp;$AA$18&amp;",4)")</f>
        <v/>
      </c>
      <c r="W557" s="282" t="str" cm="1">
        <f t="array" ref="W557">_xll.FDSB($C557,"CS_EVENT_TIME_N("&amp;$AA$18&amp;",4)")</f>
        <v/>
      </c>
      <c r="X557" s="282" t="str" cm="1">
        <f t="array" ref="X557">_xll.FDSB($C557,"CS_EVENT_DESC_N("&amp;$AA$18&amp;",4)")</f>
        <v/>
      </c>
    </row>
    <row r="558" spans="2:24" x14ac:dyDescent="0.15">
      <c r="B558" s="298">
        <f t="shared" si="10"/>
        <v>543</v>
      </c>
      <c r="C558" s="299"/>
      <c r="D558" s="300" t="str" cm="1">
        <f t="array" ref="D558">_xll.FDSB($C558,"FG_COMPANY_NAME")</f>
        <v/>
      </c>
      <c r="E558" s="300"/>
      <c r="F558" s="274" t="str" cm="1">
        <f t="array" ref="F558">_xll.FDSB($C558,"CS_EVENT_DATEJ_N("&amp;$AA$18&amp;",1)")</f>
        <v/>
      </c>
      <c r="G558" s="282" t="str" cm="1">
        <f t="array" ref="G558">_xll.FDSB($C558,"CS_EVENT_TIME_N("&amp;$AA$18&amp;",1)")</f>
        <v/>
      </c>
      <c r="H558" s="282" t="str" cm="1">
        <f t="array" ref="H558">_xll.FDSB($C558,"CS_EVENT_DESC_N("&amp;$AA$18&amp;",1)")</f>
        <v/>
      </c>
      <c r="I558" s="282"/>
      <c r="J558" s="274" t="str" cm="1">
        <f t="array" ref="J558">_xll.FDSB($C558,"CS_EVENT_DATEJ_N("&amp;$AB$18&amp;",1)")</f>
        <v/>
      </c>
      <c r="K558" s="282" t="str" cm="1">
        <f t="array" ref="K558">_xll.FDSB($C558,"CS_EVENT_TIME_N("&amp;$AB$18&amp;",1)")</f>
        <v/>
      </c>
      <c r="L558" s="282" t="str" cm="1">
        <f t="array" ref="L558">_xll.FDSB($C558,"CS_EVENT_DESC_N("&amp;$AB$18&amp;",1)")</f>
        <v/>
      </c>
      <c r="M558" s="300"/>
      <c r="N558" s="274" t="str" cm="1">
        <f t="array" ref="N558">_xll.FDSB($C558,"CS_EVENT_DATEJ_N("&amp;$AA$18&amp;",2)")</f>
        <v/>
      </c>
      <c r="O558" s="282" t="str" cm="1">
        <f t="array" ref="O558">_xll.FDSB($C558,"CS_EVENT_TIME_N("&amp;$AA$18&amp;",2)")</f>
        <v/>
      </c>
      <c r="P558" s="282" t="str" cm="1">
        <f t="array" ref="P558">_xll.FDSB($C558,"CS_EVENT_DESC_N("&amp;$AA$18&amp;",2)")</f>
        <v/>
      </c>
      <c r="Q558" s="282"/>
      <c r="R558" s="274" t="str" cm="1">
        <f t="array" ref="R558">_xll.FDSB($C558,"CS_EVENT_DATEJ_N("&amp;$AA$18&amp;",3)")</f>
        <v/>
      </c>
      <c r="S558" s="282" t="str" cm="1">
        <f t="array" ref="S558">_xll.FDSB($C558,"CS_EVENT_TIME_N("&amp;$AA$18&amp;",3)")</f>
        <v/>
      </c>
      <c r="T558" s="282" t="str" cm="1">
        <f t="array" ref="T558">_xll.FDSB($C558,"CS_EVENT_DESC_N("&amp;$AA$18&amp;",3)")</f>
        <v/>
      </c>
      <c r="U558" s="282"/>
      <c r="V558" s="274" t="str" cm="1">
        <f t="array" ref="V558">_xll.FDSB($C558,"CS_EVENT_DATEJ_N("&amp;$AA$18&amp;",4)")</f>
        <v/>
      </c>
      <c r="W558" s="282" t="str" cm="1">
        <f t="array" ref="W558">_xll.FDSB($C558,"CS_EVENT_TIME_N("&amp;$AA$18&amp;",4)")</f>
        <v/>
      </c>
      <c r="X558" s="282" t="str" cm="1">
        <f t="array" ref="X558">_xll.FDSB($C558,"CS_EVENT_DESC_N("&amp;$AA$18&amp;",4)")</f>
        <v/>
      </c>
    </row>
    <row r="559" spans="2:24" x14ac:dyDescent="0.15">
      <c r="B559" s="298">
        <f t="shared" si="10"/>
        <v>544</v>
      </c>
      <c r="C559" s="299"/>
      <c r="D559" s="300" t="str" cm="1">
        <f t="array" ref="D559">_xll.FDSB($C559,"FG_COMPANY_NAME")</f>
        <v/>
      </c>
      <c r="E559" s="300"/>
      <c r="F559" s="274" t="str" cm="1">
        <f t="array" ref="F559">_xll.FDSB($C559,"CS_EVENT_DATEJ_N("&amp;$AA$18&amp;",1)")</f>
        <v/>
      </c>
      <c r="G559" s="282" t="str" cm="1">
        <f t="array" ref="G559">_xll.FDSB($C559,"CS_EVENT_TIME_N("&amp;$AA$18&amp;",1)")</f>
        <v/>
      </c>
      <c r="H559" s="282" t="str" cm="1">
        <f t="array" ref="H559">_xll.FDSB($C559,"CS_EVENT_DESC_N("&amp;$AA$18&amp;",1)")</f>
        <v/>
      </c>
      <c r="I559" s="282"/>
      <c r="J559" s="274" t="str" cm="1">
        <f t="array" ref="J559">_xll.FDSB($C559,"CS_EVENT_DATEJ_N("&amp;$AB$18&amp;",1)")</f>
        <v/>
      </c>
      <c r="K559" s="282" t="str" cm="1">
        <f t="array" ref="K559">_xll.FDSB($C559,"CS_EVENT_TIME_N("&amp;$AB$18&amp;",1)")</f>
        <v/>
      </c>
      <c r="L559" s="282" t="str" cm="1">
        <f t="array" ref="L559">_xll.FDSB($C559,"CS_EVENT_DESC_N("&amp;$AB$18&amp;",1)")</f>
        <v/>
      </c>
      <c r="M559" s="300"/>
      <c r="N559" s="274" t="str" cm="1">
        <f t="array" ref="N559">_xll.FDSB($C559,"CS_EVENT_DATEJ_N("&amp;$AA$18&amp;",2)")</f>
        <v/>
      </c>
      <c r="O559" s="282" t="str" cm="1">
        <f t="array" ref="O559">_xll.FDSB($C559,"CS_EVENT_TIME_N("&amp;$AA$18&amp;",2)")</f>
        <v/>
      </c>
      <c r="P559" s="282" t="str" cm="1">
        <f t="array" ref="P559">_xll.FDSB($C559,"CS_EVENT_DESC_N("&amp;$AA$18&amp;",2)")</f>
        <v/>
      </c>
      <c r="Q559" s="282"/>
      <c r="R559" s="274" t="str" cm="1">
        <f t="array" ref="R559">_xll.FDSB($C559,"CS_EVENT_DATEJ_N("&amp;$AA$18&amp;",3)")</f>
        <v/>
      </c>
      <c r="S559" s="282" t="str" cm="1">
        <f t="array" ref="S559">_xll.FDSB($C559,"CS_EVENT_TIME_N("&amp;$AA$18&amp;",3)")</f>
        <v/>
      </c>
      <c r="T559" s="282" t="str" cm="1">
        <f t="array" ref="T559">_xll.FDSB($C559,"CS_EVENT_DESC_N("&amp;$AA$18&amp;",3)")</f>
        <v/>
      </c>
      <c r="U559" s="282"/>
      <c r="V559" s="274" t="str" cm="1">
        <f t="array" ref="V559">_xll.FDSB($C559,"CS_EVENT_DATEJ_N("&amp;$AA$18&amp;",4)")</f>
        <v/>
      </c>
      <c r="W559" s="282" t="str" cm="1">
        <f t="array" ref="W559">_xll.FDSB($C559,"CS_EVENT_TIME_N("&amp;$AA$18&amp;",4)")</f>
        <v/>
      </c>
      <c r="X559" s="282" t="str" cm="1">
        <f t="array" ref="X559">_xll.FDSB($C559,"CS_EVENT_DESC_N("&amp;$AA$18&amp;",4)")</f>
        <v/>
      </c>
    </row>
    <row r="560" spans="2:24" x14ac:dyDescent="0.15">
      <c r="B560" s="298">
        <f t="shared" si="10"/>
        <v>545</v>
      </c>
      <c r="C560" s="299"/>
      <c r="D560" s="300" t="str" cm="1">
        <f t="array" ref="D560">_xll.FDSB($C560,"FG_COMPANY_NAME")</f>
        <v/>
      </c>
      <c r="E560" s="300"/>
      <c r="F560" s="274" t="str" cm="1">
        <f t="array" ref="F560">_xll.FDSB($C560,"CS_EVENT_DATEJ_N("&amp;$AA$18&amp;",1)")</f>
        <v/>
      </c>
      <c r="G560" s="282" t="str" cm="1">
        <f t="array" ref="G560">_xll.FDSB($C560,"CS_EVENT_TIME_N("&amp;$AA$18&amp;",1)")</f>
        <v/>
      </c>
      <c r="H560" s="282" t="str" cm="1">
        <f t="array" ref="H560">_xll.FDSB($C560,"CS_EVENT_DESC_N("&amp;$AA$18&amp;",1)")</f>
        <v/>
      </c>
      <c r="I560" s="282"/>
      <c r="J560" s="274" t="str" cm="1">
        <f t="array" ref="J560">_xll.FDSB($C560,"CS_EVENT_DATEJ_N("&amp;$AB$18&amp;",1)")</f>
        <v/>
      </c>
      <c r="K560" s="282" t="str" cm="1">
        <f t="array" ref="K560">_xll.FDSB($C560,"CS_EVENT_TIME_N("&amp;$AB$18&amp;",1)")</f>
        <v/>
      </c>
      <c r="L560" s="282" t="str" cm="1">
        <f t="array" ref="L560">_xll.FDSB($C560,"CS_EVENT_DESC_N("&amp;$AB$18&amp;",1)")</f>
        <v/>
      </c>
      <c r="M560" s="300"/>
      <c r="N560" s="274" t="str" cm="1">
        <f t="array" ref="N560">_xll.FDSB($C560,"CS_EVENT_DATEJ_N("&amp;$AA$18&amp;",2)")</f>
        <v/>
      </c>
      <c r="O560" s="282" t="str" cm="1">
        <f t="array" ref="O560">_xll.FDSB($C560,"CS_EVENT_TIME_N("&amp;$AA$18&amp;",2)")</f>
        <v/>
      </c>
      <c r="P560" s="282" t="str" cm="1">
        <f t="array" ref="P560">_xll.FDSB($C560,"CS_EVENT_DESC_N("&amp;$AA$18&amp;",2)")</f>
        <v/>
      </c>
      <c r="Q560" s="282"/>
      <c r="R560" s="274" t="str" cm="1">
        <f t="array" ref="R560">_xll.FDSB($C560,"CS_EVENT_DATEJ_N("&amp;$AA$18&amp;",3)")</f>
        <v/>
      </c>
      <c r="S560" s="282" t="str" cm="1">
        <f t="array" ref="S560">_xll.FDSB($C560,"CS_EVENT_TIME_N("&amp;$AA$18&amp;",3)")</f>
        <v/>
      </c>
      <c r="T560" s="282" t="str" cm="1">
        <f t="array" ref="T560">_xll.FDSB($C560,"CS_EVENT_DESC_N("&amp;$AA$18&amp;",3)")</f>
        <v/>
      </c>
      <c r="U560" s="282"/>
      <c r="V560" s="274" t="str" cm="1">
        <f t="array" ref="V560">_xll.FDSB($C560,"CS_EVENT_DATEJ_N("&amp;$AA$18&amp;",4)")</f>
        <v/>
      </c>
      <c r="W560" s="282" t="str" cm="1">
        <f t="array" ref="W560">_xll.FDSB($C560,"CS_EVENT_TIME_N("&amp;$AA$18&amp;",4)")</f>
        <v/>
      </c>
      <c r="X560" s="282" t="str" cm="1">
        <f t="array" ref="X560">_xll.FDSB($C560,"CS_EVENT_DESC_N("&amp;$AA$18&amp;",4)")</f>
        <v/>
      </c>
    </row>
    <row r="561" spans="2:24" x14ac:dyDescent="0.15">
      <c r="B561" s="298">
        <f t="shared" si="10"/>
        <v>546</v>
      </c>
      <c r="C561" s="299"/>
      <c r="D561" s="300" t="str" cm="1">
        <f t="array" ref="D561">_xll.FDSB($C561,"FG_COMPANY_NAME")</f>
        <v/>
      </c>
      <c r="E561" s="300"/>
      <c r="F561" s="274" t="str" cm="1">
        <f t="array" ref="F561">_xll.FDSB($C561,"CS_EVENT_DATEJ_N("&amp;$AA$18&amp;",1)")</f>
        <v/>
      </c>
      <c r="G561" s="282" t="str" cm="1">
        <f t="array" ref="G561">_xll.FDSB($C561,"CS_EVENT_TIME_N("&amp;$AA$18&amp;",1)")</f>
        <v/>
      </c>
      <c r="H561" s="282" t="str" cm="1">
        <f t="array" ref="H561">_xll.FDSB($C561,"CS_EVENT_DESC_N("&amp;$AA$18&amp;",1)")</f>
        <v/>
      </c>
      <c r="I561" s="282"/>
      <c r="J561" s="274" t="str" cm="1">
        <f t="array" ref="J561">_xll.FDSB($C561,"CS_EVENT_DATEJ_N("&amp;$AB$18&amp;",1)")</f>
        <v/>
      </c>
      <c r="K561" s="282" t="str" cm="1">
        <f t="array" ref="K561">_xll.FDSB($C561,"CS_EVENT_TIME_N("&amp;$AB$18&amp;",1)")</f>
        <v/>
      </c>
      <c r="L561" s="282" t="str" cm="1">
        <f t="array" ref="L561">_xll.FDSB($C561,"CS_EVENT_DESC_N("&amp;$AB$18&amp;",1)")</f>
        <v/>
      </c>
      <c r="M561" s="300"/>
      <c r="N561" s="274" t="str" cm="1">
        <f t="array" ref="N561">_xll.FDSB($C561,"CS_EVENT_DATEJ_N("&amp;$AA$18&amp;",2)")</f>
        <v/>
      </c>
      <c r="O561" s="282" t="str" cm="1">
        <f t="array" ref="O561">_xll.FDSB($C561,"CS_EVENT_TIME_N("&amp;$AA$18&amp;",2)")</f>
        <v/>
      </c>
      <c r="P561" s="282" t="str" cm="1">
        <f t="array" ref="P561">_xll.FDSB($C561,"CS_EVENT_DESC_N("&amp;$AA$18&amp;",2)")</f>
        <v/>
      </c>
      <c r="Q561" s="282"/>
      <c r="R561" s="274" t="str" cm="1">
        <f t="array" ref="R561">_xll.FDSB($C561,"CS_EVENT_DATEJ_N("&amp;$AA$18&amp;",3)")</f>
        <v/>
      </c>
      <c r="S561" s="282" t="str" cm="1">
        <f t="array" ref="S561">_xll.FDSB($C561,"CS_EVENT_TIME_N("&amp;$AA$18&amp;",3)")</f>
        <v/>
      </c>
      <c r="T561" s="282" t="str" cm="1">
        <f t="array" ref="T561">_xll.FDSB($C561,"CS_EVENT_DESC_N("&amp;$AA$18&amp;",3)")</f>
        <v/>
      </c>
      <c r="U561" s="282"/>
      <c r="V561" s="274" t="str" cm="1">
        <f t="array" ref="V561">_xll.FDSB($C561,"CS_EVENT_DATEJ_N("&amp;$AA$18&amp;",4)")</f>
        <v/>
      </c>
      <c r="W561" s="282" t="str" cm="1">
        <f t="array" ref="W561">_xll.FDSB($C561,"CS_EVENT_TIME_N("&amp;$AA$18&amp;",4)")</f>
        <v/>
      </c>
      <c r="X561" s="282" t="str" cm="1">
        <f t="array" ref="X561">_xll.FDSB($C561,"CS_EVENT_DESC_N("&amp;$AA$18&amp;",4)")</f>
        <v/>
      </c>
    </row>
    <row r="562" spans="2:24" x14ac:dyDescent="0.15">
      <c r="B562" s="298">
        <f t="shared" si="10"/>
        <v>547</v>
      </c>
      <c r="C562" s="299"/>
      <c r="D562" s="300" t="str" cm="1">
        <f t="array" ref="D562">_xll.FDSB($C562,"FG_COMPANY_NAME")</f>
        <v/>
      </c>
      <c r="E562" s="300"/>
      <c r="F562" s="274" t="str" cm="1">
        <f t="array" ref="F562">_xll.FDSB($C562,"CS_EVENT_DATEJ_N("&amp;$AA$18&amp;",1)")</f>
        <v/>
      </c>
      <c r="G562" s="282" t="str" cm="1">
        <f t="array" ref="G562">_xll.FDSB($C562,"CS_EVENT_TIME_N("&amp;$AA$18&amp;",1)")</f>
        <v/>
      </c>
      <c r="H562" s="282" t="str" cm="1">
        <f t="array" ref="H562">_xll.FDSB($C562,"CS_EVENT_DESC_N("&amp;$AA$18&amp;",1)")</f>
        <v/>
      </c>
      <c r="I562" s="282"/>
      <c r="J562" s="274" t="str" cm="1">
        <f t="array" ref="J562">_xll.FDSB($C562,"CS_EVENT_DATEJ_N("&amp;$AB$18&amp;",1)")</f>
        <v/>
      </c>
      <c r="K562" s="282" t="str" cm="1">
        <f t="array" ref="K562">_xll.FDSB($C562,"CS_EVENT_TIME_N("&amp;$AB$18&amp;",1)")</f>
        <v/>
      </c>
      <c r="L562" s="282" t="str" cm="1">
        <f t="array" ref="L562">_xll.FDSB($C562,"CS_EVENT_DESC_N("&amp;$AB$18&amp;",1)")</f>
        <v/>
      </c>
      <c r="M562" s="300"/>
      <c r="N562" s="274" t="str" cm="1">
        <f t="array" ref="N562">_xll.FDSB($C562,"CS_EVENT_DATEJ_N("&amp;$AA$18&amp;",2)")</f>
        <v/>
      </c>
      <c r="O562" s="282" t="str" cm="1">
        <f t="array" ref="O562">_xll.FDSB($C562,"CS_EVENT_TIME_N("&amp;$AA$18&amp;",2)")</f>
        <v/>
      </c>
      <c r="P562" s="282" t="str" cm="1">
        <f t="array" ref="P562">_xll.FDSB($C562,"CS_EVENT_DESC_N("&amp;$AA$18&amp;",2)")</f>
        <v/>
      </c>
      <c r="Q562" s="282"/>
      <c r="R562" s="274" t="str" cm="1">
        <f t="array" ref="R562">_xll.FDSB($C562,"CS_EVENT_DATEJ_N("&amp;$AA$18&amp;",3)")</f>
        <v/>
      </c>
      <c r="S562" s="282" t="str" cm="1">
        <f t="array" ref="S562">_xll.FDSB($C562,"CS_EVENT_TIME_N("&amp;$AA$18&amp;",3)")</f>
        <v/>
      </c>
      <c r="T562" s="282" t="str" cm="1">
        <f t="array" ref="T562">_xll.FDSB($C562,"CS_EVENT_DESC_N("&amp;$AA$18&amp;",3)")</f>
        <v/>
      </c>
      <c r="U562" s="282"/>
      <c r="V562" s="274" t="str" cm="1">
        <f t="array" ref="V562">_xll.FDSB($C562,"CS_EVENT_DATEJ_N("&amp;$AA$18&amp;",4)")</f>
        <v/>
      </c>
      <c r="W562" s="282" t="str" cm="1">
        <f t="array" ref="W562">_xll.FDSB($C562,"CS_EVENT_TIME_N("&amp;$AA$18&amp;",4)")</f>
        <v/>
      </c>
      <c r="X562" s="282" t="str" cm="1">
        <f t="array" ref="X562">_xll.FDSB($C562,"CS_EVENT_DESC_N("&amp;$AA$18&amp;",4)")</f>
        <v/>
      </c>
    </row>
    <row r="563" spans="2:24" x14ac:dyDescent="0.15">
      <c r="B563" s="298">
        <f t="shared" si="10"/>
        <v>548</v>
      </c>
      <c r="C563" s="299"/>
      <c r="D563" s="300" t="str" cm="1">
        <f t="array" ref="D563">_xll.FDSB($C563,"FG_COMPANY_NAME")</f>
        <v/>
      </c>
      <c r="E563" s="300"/>
      <c r="F563" s="274" t="str" cm="1">
        <f t="array" ref="F563">_xll.FDSB($C563,"CS_EVENT_DATEJ_N("&amp;$AA$18&amp;",1)")</f>
        <v/>
      </c>
      <c r="G563" s="282" t="str" cm="1">
        <f t="array" ref="G563">_xll.FDSB($C563,"CS_EVENT_TIME_N("&amp;$AA$18&amp;",1)")</f>
        <v/>
      </c>
      <c r="H563" s="282" t="str" cm="1">
        <f t="array" ref="H563">_xll.FDSB($C563,"CS_EVENT_DESC_N("&amp;$AA$18&amp;",1)")</f>
        <v/>
      </c>
      <c r="I563" s="282"/>
      <c r="J563" s="274" t="str" cm="1">
        <f t="array" ref="J563">_xll.FDSB($C563,"CS_EVENT_DATEJ_N("&amp;$AB$18&amp;",1)")</f>
        <v/>
      </c>
      <c r="K563" s="282" t="str" cm="1">
        <f t="array" ref="K563">_xll.FDSB($C563,"CS_EVENT_TIME_N("&amp;$AB$18&amp;",1)")</f>
        <v/>
      </c>
      <c r="L563" s="282" t="str" cm="1">
        <f t="array" ref="L563">_xll.FDSB($C563,"CS_EVENT_DESC_N("&amp;$AB$18&amp;",1)")</f>
        <v/>
      </c>
      <c r="M563" s="300"/>
      <c r="N563" s="274" t="str" cm="1">
        <f t="array" ref="N563">_xll.FDSB($C563,"CS_EVENT_DATEJ_N("&amp;$AA$18&amp;",2)")</f>
        <v/>
      </c>
      <c r="O563" s="282" t="str" cm="1">
        <f t="array" ref="O563">_xll.FDSB($C563,"CS_EVENT_TIME_N("&amp;$AA$18&amp;",2)")</f>
        <v/>
      </c>
      <c r="P563" s="282" t="str" cm="1">
        <f t="array" ref="P563">_xll.FDSB($C563,"CS_EVENT_DESC_N("&amp;$AA$18&amp;",2)")</f>
        <v/>
      </c>
      <c r="Q563" s="282"/>
      <c r="R563" s="274" t="str" cm="1">
        <f t="array" ref="R563">_xll.FDSB($C563,"CS_EVENT_DATEJ_N("&amp;$AA$18&amp;",3)")</f>
        <v/>
      </c>
      <c r="S563" s="282" t="str" cm="1">
        <f t="array" ref="S563">_xll.FDSB($C563,"CS_EVENT_TIME_N("&amp;$AA$18&amp;",3)")</f>
        <v/>
      </c>
      <c r="T563" s="282" t="str" cm="1">
        <f t="array" ref="T563">_xll.FDSB($C563,"CS_EVENT_DESC_N("&amp;$AA$18&amp;",3)")</f>
        <v/>
      </c>
      <c r="U563" s="282"/>
      <c r="V563" s="274" t="str" cm="1">
        <f t="array" ref="V563">_xll.FDSB($C563,"CS_EVENT_DATEJ_N("&amp;$AA$18&amp;",4)")</f>
        <v/>
      </c>
      <c r="W563" s="282" t="str" cm="1">
        <f t="array" ref="W563">_xll.FDSB($C563,"CS_EVENT_TIME_N("&amp;$AA$18&amp;",4)")</f>
        <v/>
      </c>
      <c r="X563" s="282" t="str" cm="1">
        <f t="array" ref="X563">_xll.FDSB($C563,"CS_EVENT_DESC_N("&amp;$AA$18&amp;",4)")</f>
        <v/>
      </c>
    </row>
    <row r="564" spans="2:24" x14ac:dyDescent="0.15">
      <c r="B564" s="298">
        <f t="shared" si="10"/>
        <v>549</v>
      </c>
      <c r="C564" s="299"/>
      <c r="D564" s="300" t="str" cm="1">
        <f t="array" ref="D564">_xll.FDSB($C564,"FG_COMPANY_NAME")</f>
        <v/>
      </c>
      <c r="E564" s="300"/>
      <c r="F564" s="274" t="str" cm="1">
        <f t="array" ref="F564">_xll.FDSB($C564,"CS_EVENT_DATEJ_N("&amp;$AA$18&amp;",1)")</f>
        <v/>
      </c>
      <c r="G564" s="282" t="str" cm="1">
        <f t="array" ref="G564">_xll.FDSB($C564,"CS_EVENT_TIME_N("&amp;$AA$18&amp;",1)")</f>
        <v/>
      </c>
      <c r="H564" s="282" t="str" cm="1">
        <f t="array" ref="H564">_xll.FDSB($C564,"CS_EVENT_DESC_N("&amp;$AA$18&amp;",1)")</f>
        <v/>
      </c>
      <c r="I564" s="282"/>
      <c r="J564" s="274" t="str" cm="1">
        <f t="array" ref="J564">_xll.FDSB($C564,"CS_EVENT_DATEJ_N("&amp;$AB$18&amp;",1)")</f>
        <v/>
      </c>
      <c r="K564" s="282" t="str" cm="1">
        <f t="array" ref="K564">_xll.FDSB($C564,"CS_EVENT_TIME_N("&amp;$AB$18&amp;",1)")</f>
        <v/>
      </c>
      <c r="L564" s="282" t="str" cm="1">
        <f t="array" ref="L564">_xll.FDSB($C564,"CS_EVENT_DESC_N("&amp;$AB$18&amp;",1)")</f>
        <v/>
      </c>
      <c r="M564" s="300"/>
      <c r="N564" s="274" t="str" cm="1">
        <f t="array" ref="N564">_xll.FDSB($C564,"CS_EVENT_DATEJ_N("&amp;$AA$18&amp;",2)")</f>
        <v/>
      </c>
      <c r="O564" s="282" t="str" cm="1">
        <f t="array" ref="O564">_xll.FDSB($C564,"CS_EVENT_TIME_N("&amp;$AA$18&amp;",2)")</f>
        <v/>
      </c>
      <c r="P564" s="282" t="str" cm="1">
        <f t="array" ref="P564">_xll.FDSB($C564,"CS_EVENT_DESC_N("&amp;$AA$18&amp;",2)")</f>
        <v/>
      </c>
      <c r="Q564" s="282"/>
      <c r="R564" s="274" t="str" cm="1">
        <f t="array" ref="R564">_xll.FDSB($C564,"CS_EVENT_DATEJ_N("&amp;$AA$18&amp;",3)")</f>
        <v/>
      </c>
      <c r="S564" s="282" t="str" cm="1">
        <f t="array" ref="S564">_xll.FDSB($C564,"CS_EVENT_TIME_N("&amp;$AA$18&amp;",3)")</f>
        <v/>
      </c>
      <c r="T564" s="282" t="str" cm="1">
        <f t="array" ref="T564">_xll.FDSB($C564,"CS_EVENT_DESC_N("&amp;$AA$18&amp;",3)")</f>
        <v/>
      </c>
      <c r="U564" s="282"/>
      <c r="V564" s="274" t="str" cm="1">
        <f t="array" ref="V564">_xll.FDSB($C564,"CS_EVENT_DATEJ_N("&amp;$AA$18&amp;",4)")</f>
        <v/>
      </c>
      <c r="W564" s="282" t="str" cm="1">
        <f t="array" ref="W564">_xll.FDSB($C564,"CS_EVENT_TIME_N("&amp;$AA$18&amp;",4)")</f>
        <v/>
      </c>
      <c r="X564" s="282" t="str" cm="1">
        <f t="array" ref="X564">_xll.FDSB($C564,"CS_EVENT_DESC_N("&amp;$AA$18&amp;",4)")</f>
        <v/>
      </c>
    </row>
    <row r="565" spans="2:24" x14ac:dyDescent="0.15">
      <c r="B565" s="298">
        <f t="shared" si="10"/>
        <v>550</v>
      </c>
      <c r="C565" s="299"/>
      <c r="D565" s="300" t="str" cm="1">
        <f t="array" ref="D565">_xll.FDSB($C565,"FG_COMPANY_NAME")</f>
        <v/>
      </c>
      <c r="E565" s="300"/>
      <c r="F565" s="274" t="str" cm="1">
        <f t="array" ref="F565">_xll.FDSB($C565,"CS_EVENT_DATEJ_N("&amp;$AA$18&amp;",1)")</f>
        <v/>
      </c>
      <c r="G565" s="282" t="str" cm="1">
        <f t="array" ref="G565">_xll.FDSB($C565,"CS_EVENT_TIME_N("&amp;$AA$18&amp;",1)")</f>
        <v/>
      </c>
      <c r="H565" s="282" t="str" cm="1">
        <f t="array" ref="H565">_xll.FDSB($C565,"CS_EVENT_DESC_N("&amp;$AA$18&amp;",1)")</f>
        <v/>
      </c>
      <c r="I565" s="282"/>
      <c r="J565" s="274" t="str" cm="1">
        <f t="array" ref="J565">_xll.FDSB($C565,"CS_EVENT_DATEJ_N("&amp;$AB$18&amp;",1)")</f>
        <v/>
      </c>
      <c r="K565" s="282" t="str" cm="1">
        <f t="array" ref="K565">_xll.FDSB($C565,"CS_EVENT_TIME_N("&amp;$AB$18&amp;",1)")</f>
        <v/>
      </c>
      <c r="L565" s="282" t="str" cm="1">
        <f t="array" ref="L565">_xll.FDSB($C565,"CS_EVENT_DESC_N("&amp;$AB$18&amp;",1)")</f>
        <v/>
      </c>
      <c r="M565" s="300"/>
      <c r="N565" s="274" t="str" cm="1">
        <f t="array" ref="N565">_xll.FDSB($C565,"CS_EVENT_DATEJ_N("&amp;$AA$18&amp;",2)")</f>
        <v/>
      </c>
      <c r="O565" s="282" t="str" cm="1">
        <f t="array" ref="O565">_xll.FDSB($C565,"CS_EVENT_TIME_N("&amp;$AA$18&amp;",2)")</f>
        <v/>
      </c>
      <c r="P565" s="282" t="str" cm="1">
        <f t="array" ref="P565">_xll.FDSB($C565,"CS_EVENT_DESC_N("&amp;$AA$18&amp;",2)")</f>
        <v/>
      </c>
      <c r="Q565" s="282"/>
      <c r="R565" s="274" t="str" cm="1">
        <f t="array" ref="R565">_xll.FDSB($C565,"CS_EVENT_DATEJ_N("&amp;$AA$18&amp;",3)")</f>
        <v/>
      </c>
      <c r="S565" s="282" t="str" cm="1">
        <f t="array" ref="S565">_xll.FDSB($C565,"CS_EVENT_TIME_N("&amp;$AA$18&amp;",3)")</f>
        <v/>
      </c>
      <c r="T565" s="282" t="str" cm="1">
        <f t="array" ref="T565">_xll.FDSB($C565,"CS_EVENT_DESC_N("&amp;$AA$18&amp;",3)")</f>
        <v/>
      </c>
      <c r="U565" s="282"/>
      <c r="V565" s="274" t="str" cm="1">
        <f t="array" ref="V565">_xll.FDSB($C565,"CS_EVENT_DATEJ_N("&amp;$AA$18&amp;",4)")</f>
        <v/>
      </c>
      <c r="W565" s="282" t="str" cm="1">
        <f t="array" ref="W565">_xll.FDSB($C565,"CS_EVENT_TIME_N("&amp;$AA$18&amp;",4)")</f>
        <v/>
      </c>
      <c r="X565" s="282" t="str" cm="1">
        <f t="array" ref="X565">_xll.FDSB($C565,"CS_EVENT_DESC_N("&amp;$AA$18&amp;",4)")</f>
        <v/>
      </c>
    </row>
    <row r="566" spans="2:24" x14ac:dyDescent="0.15">
      <c r="B566" s="298">
        <f t="shared" si="10"/>
        <v>551</v>
      </c>
      <c r="C566" s="299"/>
      <c r="D566" s="300" t="str" cm="1">
        <f t="array" ref="D566">_xll.FDSB($C566,"FG_COMPANY_NAME")</f>
        <v/>
      </c>
      <c r="E566" s="300"/>
      <c r="F566" s="274" t="str" cm="1">
        <f t="array" ref="F566">_xll.FDSB($C566,"CS_EVENT_DATEJ_N("&amp;$AA$18&amp;",1)")</f>
        <v/>
      </c>
      <c r="G566" s="282" t="str" cm="1">
        <f t="array" ref="G566">_xll.FDSB($C566,"CS_EVENT_TIME_N("&amp;$AA$18&amp;",1)")</f>
        <v/>
      </c>
      <c r="H566" s="282" t="str" cm="1">
        <f t="array" ref="H566">_xll.FDSB($C566,"CS_EVENT_DESC_N("&amp;$AA$18&amp;",1)")</f>
        <v/>
      </c>
      <c r="I566" s="282"/>
      <c r="J566" s="274" t="str" cm="1">
        <f t="array" ref="J566">_xll.FDSB($C566,"CS_EVENT_DATEJ_N("&amp;$AB$18&amp;",1)")</f>
        <v/>
      </c>
      <c r="K566" s="282" t="str" cm="1">
        <f t="array" ref="K566">_xll.FDSB($C566,"CS_EVENT_TIME_N("&amp;$AB$18&amp;",1)")</f>
        <v/>
      </c>
      <c r="L566" s="282" t="str" cm="1">
        <f t="array" ref="L566">_xll.FDSB($C566,"CS_EVENT_DESC_N("&amp;$AB$18&amp;",1)")</f>
        <v/>
      </c>
      <c r="M566" s="300"/>
      <c r="N566" s="274" t="str" cm="1">
        <f t="array" ref="N566">_xll.FDSB($C566,"CS_EVENT_DATEJ_N("&amp;$AA$18&amp;",2)")</f>
        <v/>
      </c>
      <c r="O566" s="282" t="str" cm="1">
        <f t="array" ref="O566">_xll.FDSB($C566,"CS_EVENT_TIME_N("&amp;$AA$18&amp;",2)")</f>
        <v/>
      </c>
      <c r="P566" s="282" t="str" cm="1">
        <f t="array" ref="P566">_xll.FDSB($C566,"CS_EVENT_DESC_N("&amp;$AA$18&amp;",2)")</f>
        <v/>
      </c>
      <c r="Q566" s="282"/>
      <c r="R566" s="274" t="str" cm="1">
        <f t="array" ref="R566">_xll.FDSB($C566,"CS_EVENT_DATEJ_N("&amp;$AA$18&amp;",3)")</f>
        <v/>
      </c>
      <c r="S566" s="282" t="str" cm="1">
        <f t="array" ref="S566">_xll.FDSB($C566,"CS_EVENT_TIME_N("&amp;$AA$18&amp;",3)")</f>
        <v/>
      </c>
      <c r="T566" s="282" t="str" cm="1">
        <f t="array" ref="T566">_xll.FDSB($C566,"CS_EVENT_DESC_N("&amp;$AA$18&amp;",3)")</f>
        <v/>
      </c>
      <c r="U566" s="282"/>
      <c r="V566" s="274" t="str" cm="1">
        <f t="array" ref="V566">_xll.FDSB($C566,"CS_EVENT_DATEJ_N("&amp;$AA$18&amp;",4)")</f>
        <v/>
      </c>
      <c r="W566" s="282" t="str" cm="1">
        <f t="array" ref="W566">_xll.FDSB($C566,"CS_EVENT_TIME_N("&amp;$AA$18&amp;",4)")</f>
        <v/>
      </c>
      <c r="X566" s="282" t="str" cm="1">
        <f t="array" ref="X566">_xll.FDSB($C566,"CS_EVENT_DESC_N("&amp;$AA$18&amp;",4)")</f>
        <v/>
      </c>
    </row>
    <row r="567" spans="2:24" x14ac:dyDescent="0.15">
      <c r="B567" s="298">
        <f t="shared" si="10"/>
        <v>552</v>
      </c>
      <c r="C567" s="299"/>
      <c r="D567" s="300" t="str" cm="1">
        <f t="array" ref="D567">_xll.FDSB($C567,"FG_COMPANY_NAME")</f>
        <v/>
      </c>
      <c r="E567" s="300"/>
      <c r="F567" s="274" t="str" cm="1">
        <f t="array" ref="F567">_xll.FDSB($C567,"CS_EVENT_DATEJ_N("&amp;$AA$18&amp;",1)")</f>
        <v/>
      </c>
      <c r="G567" s="282" t="str" cm="1">
        <f t="array" ref="G567">_xll.FDSB($C567,"CS_EVENT_TIME_N("&amp;$AA$18&amp;",1)")</f>
        <v/>
      </c>
      <c r="H567" s="282" t="str" cm="1">
        <f t="array" ref="H567">_xll.FDSB($C567,"CS_EVENT_DESC_N("&amp;$AA$18&amp;",1)")</f>
        <v/>
      </c>
      <c r="I567" s="282"/>
      <c r="J567" s="274" t="str" cm="1">
        <f t="array" ref="J567">_xll.FDSB($C567,"CS_EVENT_DATEJ_N("&amp;$AB$18&amp;",1)")</f>
        <v/>
      </c>
      <c r="K567" s="282" t="str" cm="1">
        <f t="array" ref="K567">_xll.FDSB($C567,"CS_EVENT_TIME_N("&amp;$AB$18&amp;",1)")</f>
        <v/>
      </c>
      <c r="L567" s="282" t="str" cm="1">
        <f t="array" ref="L567">_xll.FDSB($C567,"CS_EVENT_DESC_N("&amp;$AB$18&amp;",1)")</f>
        <v/>
      </c>
      <c r="M567" s="300"/>
      <c r="N567" s="274" t="str" cm="1">
        <f t="array" ref="N567">_xll.FDSB($C567,"CS_EVENT_DATEJ_N("&amp;$AA$18&amp;",2)")</f>
        <v/>
      </c>
      <c r="O567" s="282" t="str" cm="1">
        <f t="array" ref="O567">_xll.FDSB($C567,"CS_EVENT_TIME_N("&amp;$AA$18&amp;",2)")</f>
        <v/>
      </c>
      <c r="P567" s="282" t="str" cm="1">
        <f t="array" ref="P567">_xll.FDSB($C567,"CS_EVENT_DESC_N("&amp;$AA$18&amp;",2)")</f>
        <v/>
      </c>
      <c r="Q567" s="282"/>
      <c r="R567" s="274" t="str" cm="1">
        <f t="array" ref="R567">_xll.FDSB($C567,"CS_EVENT_DATEJ_N("&amp;$AA$18&amp;",3)")</f>
        <v/>
      </c>
      <c r="S567" s="282" t="str" cm="1">
        <f t="array" ref="S567">_xll.FDSB($C567,"CS_EVENT_TIME_N("&amp;$AA$18&amp;",3)")</f>
        <v/>
      </c>
      <c r="T567" s="282" t="str" cm="1">
        <f t="array" ref="T567">_xll.FDSB($C567,"CS_EVENT_DESC_N("&amp;$AA$18&amp;",3)")</f>
        <v/>
      </c>
      <c r="U567" s="282"/>
      <c r="V567" s="274" t="str" cm="1">
        <f t="array" ref="V567">_xll.FDSB($C567,"CS_EVENT_DATEJ_N("&amp;$AA$18&amp;",4)")</f>
        <v/>
      </c>
      <c r="W567" s="282" t="str" cm="1">
        <f t="array" ref="W567">_xll.FDSB($C567,"CS_EVENT_TIME_N("&amp;$AA$18&amp;",4)")</f>
        <v/>
      </c>
      <c r="X567" s="282" t="str" cm="1">
        <f t="array" ref="X567">_xll.FDSB($C567,"CS_EVENT_DESC_N("&amp;$AA$18&amp;",4)")</f>
        <v/>
      </c>
    </row>
    <row r="568" spans="2:24" x14ac:dyDescent="0.15">
      <c r="B568" s="298">
        <f t="shared" si="10"/>
        <v>553</v>
      </c>
      <c r="C568" s="299"/>
      <c r="D568" s="300" t="str" cm="1">
        <f t="array" ref="D568">_xll.FDSB($C568,"FG_COMPANY_NAME")</f>
        <v/>
      </c>
      <c r="E568" s="300"/>
      <c r="F568" s="274" t="str" cm="1">
        <f t="array" ref="F568">_xll.FDSB($C568,"CS_EVENT_DATEJ_N("&amp;$AA$18&amp;",1)")</f>
        <v/>
      </c>
      <c r="G568" s="282" t="str" cm="1">
        <f t="array" ref="G568">_xll.FDSB($C568,"CS_EVENT_TIME_N("&amp;$AA$18&amp;",1)")</f>
        <v/>
      </c>
      <c r="H568" s="282" t="str" cm="1">
        <f t="array" ref="H568">_xll.FDSB($C568,"CS_EVENT_DESC_N("&amp;$AA$18&amp;",1)")</f>
        <v/>
      </c>
      <c r="I568" s="282"/>
      <c r="J568" s="274" t="str" cm="1">
        <f t="array" ref="J568">_xll.FDSB($C568,"CS_EVENT_DATEJ_N("&amp;$AB$18&amp;",1)")</f>
        <v/>
      </c>
      <c r="K568" s="282" t="str" cm="1">
        <f t="array" ref="K568">_xll.FDSB($C568,"CS_EVENT_TIME_N("&amp;$AB$18&amp;",1)")</f>
        <v/>
      </c>
      <c r="L568" s="282" t="str" cm="1">
        <f t="array" ref="L568">_xll.FDSB($C568,"CS_EVENT_DESC_N("&amp;$AB$18&amp;",1)")</f>
        <v/>
      </c>
      <c r="M568" s="300"/>
      <c r="N568" s="274" t="str" cm="1">
        <f t="array" ref="N568">_xll.FDSB($C568,"CS_EVENT_DATEJ_N("&amp;$AA$18&amp;",2)")</f>
        <v/>
      </c>
      <c r="O568" s="282" t="str" cm="1">
        <f t="array" ref="O568">_xll.FDSB($C568,"CS_EVENT_TIME_N("&amp;$AA$18&amp;",2)")</f>
        <v/>
      </c>
      <c r="P568" s="282" t="str" cm="1">
        <f t="array" ref="P568">_xll.FDSB($C568,"CS_EVENT_DESC_N("&amp;$AA$18&amp;",2)")</f>
        <v/>
      </c>
      <c r="Q568" s="282"/>
      <c r="R568" s="274" t="str" cm="1">
        <f t="array" ref="R568">_xll.FDSB($C568,"CS_EVENT_DATEJ_N("&amp;$AA$18&amp;",3)")</f>
        <v/>
      </c>
      <c r="S568" s="282" t="str" cm="1">
        <f t="array" ref="S568">_xll.FDSB($C568,"CS_EVENT_TIME_N("&amp;$AA$18&amp;",3)")</f>
        <v/>
      </c>
      <c r="T568" s="282" t="str" cm="1">
        <f t="array" ref="T568">_xll.FDSB($C568,"CS_EVENT_DESC_N("&amp;$AA$18&amp;",3)")</f>
        <v/>
      </c>
      <c r="U568" s="282"/>
      <c r="V568" s="274" t="str" cm="1">
        <f t="array" ref="V568">_xll.FDSB($C568,"CS_EVENT_DATEJ_N("&amp;$AA$18&amp;",4)")</f>
        <v/>
      </c>
      <c r="W568" s="282" t="str" cm="1">
        <f t="array" ref="W568">_xll.FDSB($C568,"CS_EVENT_TIME_N("&amp;$AA$18&amp;",4)")</f>
        <v/>
      </c>
      <c r="X568" s="282" t="str" cm="1">
        <f t="array" ref="X568">_xll.FDSB($C568,"CS_EVENT_DESC_N("&amp;$AA$18&amp;",4)")</f>
        <v/>
      </c>
    </row>
    <row r="569" spans="2:24" x14ac:dyDescent="0.15">
      <c r="B569" s="298">
        <f t="shared" si="10"/>
        <v>554</v>
      </c>
      <c r="C569" s="299"/>
      <c r="D569" s="300" t="str" cm="1">
        <f t="array" ref="D569">_xll.FDSB($C569,"FG_COMPANY_NAME")</f>
        <v/>
      </c>
      <c r="E569" s="300"/>
      <c r="F569" s="274" t="str" cm="1">
        <f t="array" ref="F569">_xll.FDSB($C569,"CS_EVENT_DATEJ_N("&amp;$AA$18&amp;",1)")</f>
        <v/>
      </c>
      <c r="G569" s="282" t="str" cm="1">
        <f t="array" ref="G569">_xll.FDSB($C569,"CS_EVENT_TIME_N("&amp;$AA$18&amp;",1)")</f>
        <v/>
      </c>
      <c r="H569" s="282" t="str" cm="1">
        <f t="array" ref="H569">_xll.FDSB($C569,"CS_EVENT_DESC_N("&amp;$AA$18&amp;",1)")</f>
        <v/>
      </c>
      <c r="I569" s="282"/>
      <c r="J569" s="274" t="str" cm="1">
        <f t="array" ref="J569">_xll.FDSB($C569,"CS_EVENT_DATEJ_N("&amp;$AB$18&amp;",1)")</f>
        <v/>
      </c>
      <c r="K569" s="282" t="str" cm="1">
        <f t="array" ref="K569">_xll.FDSB($C569,"CS_EVENT_TIME_N("&amp;$AB$18&amp;",1)")</f>
        <v/>
      </c>
      <c r="L569" s="282" t="str" cm="1">
        <f t="array" ref="L569">_xll.FDSB($C569,"CS_EVENT_DESC_N("&amp;$AB$18&amp;",1)")</f>
        <v/>
      </c>
      <c r="M569" s="300"/>
      <c r="N569" s="274" t="str" cm="1">
        <f t="array" ref="N569">_xll.FDSB($C569,"CS_EVENT_DATEJ_N("&amp;$AA$18&amp;",2)")</f>
        <v/>
      </c>
      <c r="O569" s="282" t="str" cm="1">
        <f t="array" ref="O569">_xll.FDSB($C569,"CS_EVENT_TIME_N("&amp;$AA$18&amp;",2)")</f>
        <v/>
      </c>
      <c r="P569" s="282" t="str" cm="1">
        <f t="array" ref="P569">_xll.FDSB($C569,"CS_EVENT_DESC_N("&amp;$AA$18&amp;",2)")</f>
        <v/>
      </c>
      <c r="Q569" s="282"/>
      <c r="R569" s="274" t="str" cm="1">
        <f t="array" ref="R569">_xll.FDSB($C569,"CS_EVENT_DATEJ_N("&amp;$AA$18&amp;",3)")</f>
        <v/>
      </c>
      <c r="S569" s="282" t="str" cm="1">
        <f t="array" ref="S569">_xll.FDSB($C569,"CS_EVENT_TIME_N("&amp;$AA$18&amp;",3)")</f>
        <v/>
      </c>
      <c r="T569" s="282" t="str" cm="1">
        <f t="array" ref="T569">_xll.FDSB($C569,"CS_EVENT_DESC_N("&amp;$AA$18&amp;",3)")</f>
        <v/>
      </c>
      <c r="U569" s="282"/>
      <c r="V569" s="274" t="str" cm="1">
        <f t="array" ref="V569">_xll.FDSB($C569,"CS_EVENT_DATEJ_N("&amp;$AA$18&amp;",4)")</f>
        <v/>
      </c>
      <c r="W569" s="282" t="str" cm="1">
        <f t="array" ref="W569">_xll.FDSB($C569,"CS_EVENT_TIME_N("&amp;$AA$18&amp;",4)")</f>
        <v/>
      </c>
      <c r="X569" s="282" t="str" cm="1">
        <f t="array" ref="X569">_xll.FDSB($C569,"CS_EVENT_DESC_N("&amp;$AA$18&amp;",4)")</f>
        <v/>
      </c>
    </row>
    <row r="570" spans="2:24" x14ac:dyDescent="0.15">
      <c r="B570" s="298">
        <f t="shared" si="10"/>
        <v>555</v>
      </c>
      <c r="C570" s="299"/>
      <c r="D570" s="300" t="str" cm="1">
        <f t="array" ref="D570">_xll.FDSB($C570,"FG_COMPANY_NAME")</f>
        <v/>
      </c>
      <c r="E570" s="300"/>
      <c r="F570" s="274" t="str" cm="1">
        <f t="array" ref="F570">_xll.FDSB($C570,"CS_EVENT_DATEJ_N("&amp;$AA$18&amp;",1)")</f>
        <v/>
      </c>
      <c r="G570" s="282" t="str" cm="1">
        <f t="array" ref="G570">_xll.FDSB($C570,"CS_EVENT_TIME_N("&amp;$AA$18&amp;",1)")</f>
        <v/>
      </c>
      <c r="H570" s="282" t="str" cm="1">
        <f t="array" ref="H570">_xll.FDSB($C570,"CS_EVENT_DESC_N("&amp;$AA$18&amp;",1)")</f>
        <v/>
      </c>
      <c r="I570" s="282"/>
      <c r="J570" s="274" t="str" cm="1">
        <f t="array" ref="J570">_xll.FDSB($C570,"CS_EVENT_DATEJ_N("&amp;$AB$18&amp;",1)")</f>
        <v/>
      </c>
      <c r="K570" s="282" t="str" cm="1">
        <f t="array" ref="K570">_xll.FDSB($C570,"CS_EVENT_TIME_N("&amp;$AB$18&amp;",1)")</f>
        <v/>
      </c>
      <c r="L570" s="282" t="str" cm="1">
        <f t="array" ref="L570">_xll.FDSB($C570,"CS_EVENT_DESC_N("&amp;$AB$18&amp;",1)")</f>
        <v/>
      </c>
      <c r="M570" s="300"/>
      <c r="N570" s="274" t="str" cm="1">
        <f t="array" ref="N570">_xll.FDSB($C570,"CS_EVENT_DATEJ_N("&amp;$AA$18&amp;",2)")</f>
        <v/>
      </c>
      <c r="O570" s="282" t="str" cm="1">
        <f t="array" ref="O570">_xll.FDSB($C570,"CS_EVENT_TIME_N("&amp;$AA$18&amp;",2)")</f>
        <v/>
      </c>
      <c r="P570" s="282" t="str" cm="1">
        <f t="array" ref="P570">_xll.FDSB($C570,"CS_EVENT_DESC_N("&amp;$AA$18&amp;",2)")</f>
        <v/>
      </c>
      <c r="Q570" s="282"/>
      <c r="R570" s="274" t="str" cm="1">
        <f t="array" ref="R570">_xll.FDSB($C570,"CS_EVENT_DATEJ_N("&amp;$AA$18&amp;",3)")</f>
        <v/>
      </c>
      <c r="S570" s="282" t="str" cm="1">
        <f t="array" ref="S570">_xll.FDSB($C570,"CS_EVENT_TIME_N("&amp;$AA$18&amp;",3)")</f>
        <v/>
      </c>
      <c r="T570" s="282" t="str" cm="1">
        <f t="array" ref="T570">_xll.FDSB($C570,"CS_EVENT_DESC_N("&amp;$AA$18&amp;",3)")</f>
        <v/>
      </c>
      <c r="U570" s="282"/>
      <c r="V570" s="274" t="str" cm="1">
        <f t="array" ref="V570">_xll.FDSB($C570,"CS_EVENT_DATEJ_N("&amp;$AA$18&amp;",4)")</f>
        <v/>
      </c>
      <c r="W570" s="282" t="str" cm="1">
        <f t="array" ref="W570">_xll.FDSB($C570,"CS_EVENT_TIME_N("&amp;$AA$18&amp;",4)")</f>
        <v/>
      </c>
      <c r="X570" s="282" t="str" cm="1">
        <f t="array" ref="X570">_xll.FDSB($C570,"CS_EVENT_DESC_N("&amp;$AA$18&amp;",4)")</f>
        <v/>
      </c>
    </row>
    <row r="571" spans="2:24" x14ac:dyDescent="0.15">
      <c r="B571" s="298">
        <f t="shared" si="10"/>
        <v>556</v>
      </c>
      <c r="C571" s="299"/>
      <c r="D571" s="300" t="str" cm="1">
        <f t="array" ref="D571">_xll.FDSB($C571,"FG_COMPANY_NAME")</f>
        <v/>
      </c>
      <c r="E571" s="300"/>
      <c r="F571" s="274" t="str" cm="1">
        <f t="array" ref="F571">_xll.FDSB($C571,"CS_EVENT_DATEJ_N("&amp;$AA$18&amp;",1)")</f>
        <v/>
      </c>
      <c r="G571" s="282" t="str" cm="1">
        <f t="array" ref="G571">_xll.FDSB($C571,"CS_EVENT_TIME_N("&amp;$AA$18&amp;",1)")</f>
        <v/>
      </c>
      <c r="H571" s="282" t="str" cm="1">
        <f t="array" ref="H571">_xll.FDSB($C571,"CS_EVENT_DESC_N("&amp;$AA$18&amp;",1)")</f>
        <v/>
      </c>
      <c r="I571" s="282"/>
      <c r="J571" s="274" t="str" cm="1">
        <f t="array" ref="J571">_xll.FDSB($C571,"CS_EVENT_DATEJ_N("&amp;$AB$18&amp;",1)")</f>
        <v/>
      </c>
      <c r="K571" s="282" t="str" cm="1">
        <f t="array" ref="K571">_xll.FDSB($C571,"CS_EVENT_TIME_N("&amp;$AB$18&amp;",1)")</f>
        <v/>
      </c>
      <c r="L571" s="282" t="str" cm="1">
        <f t="array" ref="L571">_xll.FDSB($C571,"CS_EVENT_DESC_N("&amp;$AB$18&amp;",1)")</f>
        <v/>
      </c>
      <c r="M571" s="300"/>
      <c r="N571" s="274" t="str" cm="1">
        <f t="array" ref="N571">_xll.FDSB($C571,"CS_EVENT_DATEJ_N("&amp;$AA$18&amp;",2)")</f>
        <v/>
      </c>
      <c r="O571" s="282" t="str" cm="1">
        <f t="array" ref="O571">_xll.FDSB($C571,"CS_EVENT_TIME_N("&amp;$AA$18&amp;",2)")</f>
        <v/>
      </c>
      <c r="P571" s="282" t="str" cm="1">
        <f t="array" ref="P571">_xll.FDSB($C571,"CS_EVENT_DESC_N("&amp;$AA$18&amp;",2)")</f>
        <v/>
      </c>
      <c r="Q571" s="282"/>
      <c r="R571" s="274" t="str" cm="1">
        <f t="array" ref="R571">_xll.FDSB($C571,"CS_EVENT_DATEJ_N("&amp;$AA$18&amp;",3)")</f>
        <v/>
      </c>
      <c r="S571" s="282" t="str" cm="1">
        <f t="array" ref="S571">_xll.FDSB($C571,"CS_EVENT_TIME_N("&amp;$AA$18&amp;",3)")</f>
        <v/>
      </c>
      <c r="T571" s="282" t="str" cm="1">
        <f t="array" ref="T571">_xll.FDSB($C571,"CS_EVENT_DESC_N("&amp;$AA$18&amp;",3)")</f>
        <v/>
      </c>
      <c r="U571" s="282"/>
      <c r="V571" s="274" t="str" cm="1">
        <f t="array" ref="V571">_xll.FDSB($C571,"CS_EVENT_DATEJ_N("&amp;$AA$18&amp;",4)")</f>
        <v/>
      </c>
      <c r="W571" s="282" t="str" cm="1">
        <f t="array" ref="W571">_xll.FDSB($C571,"CS_EVENT_TIME_N("&amp;$AA$18&amp;",4)")</f>
        <v/>
      </c>
      <c r="X571" s="282" t="str" cm="1">
        <f t="array" ref="X571">_xll.FDSB($C571,"CS_EVENT_DESC_N("&amp;$AA$18&amp;",4)")</f>
        <v/>
      </c>
    </row>
    <row r="572" spans="2:24" x14ac:dyDescent="0.15">
      <c r="B572" s="298">
        <f t="shared" si="10"/>
        <v>557</v>
      </c>
      <c r="C572" s="299"/>
      <c r="D572" s="300" t="str" cm="1">
        <f t="array" ref="D572">_xll.FDSB($C572,"FG_COMPANY_NAME")</f>
        <v/>
      </c>
      <c r="E572" s="300"/>
      <c r="F572" s="274" t="str" cm="1">
        <f t="array" ref="F572">_xll.FDSB($C572,"CS_EVENT_DATEJ_N("&amp;$AA$18&amp;",1)")</f>
        <v/>
      </c>
      <c r="G572" s="282" t="str" cm="1">
        <f t="array" ref="G572">_xll.FDSB($C572,"CS_EVENT_TIME_N("&amp;$AA$18&amp;",1)")</f>
        <v/>
      </c>
      <c r="H572" s="282" t="str" cm="1">
        <f t="array" ref="H572">_xll.FDSB($C572,"CS_EVENT_DESC_N("&amp;$AA$18&amp;",1)")</f>
        <v/>
      </c>
      <c r="I572" s="282"/>
      <c r="J572" s="274" t="str" cm="1">
        <f t="array" ref="J572">_xll.FDSB($C572,"CS_EVENT_DATEJ_N("&amp;$AB$18&amp;",1)")</f>
        <v/>
      </c>
      <c r="K572" s="282" t="str" cm="1">
        <f t="array" ref="K572">_xll.FDSB($C572,"CS_EVENT_TIME_N("&amp;$AB$18&amp;",1)")</f>
        <v/>
      </c>
      <c r="L572" s="282" t="str" cm="1">
        <f t="array" ref="L572">_xll.FDSB($C572,"CS_EVENT_DESC_N("&amp;$AB$18&amp;",1)")</f>
        <v/>
      </c>
      <c r="M572" s="300"/>
      <c r="N572" s="274" t="str" cm="1">
        <f t="array" ref="N572">_xll.FDSB($C572,"CS_EVENT_DATEJ_N("&amp;$AA$18&amp;",2)")</f>
        <v/>
      </c>
      <c r="O572" s="282" t="str" cm="1">
        <f t="array" ref="O572">_xll.FDSB($C572,"CS_EVENT_TIME_N("&amp;$AA$18&amp;",2)")</f>
        <v/>
      </c>
      <c r="P572" s="282" t="str" cm="1">
        <f t="array" ref="P572">_xll.FDSB($C572,"CS_EVENT_DESC_N("&amp;$AA$18&amp;",2)")</f>
        <v/>
      </c>
      <c r="Q572" s="282"/>
      <c r="R572" s="274" t="str" cm="1">
        <f t="array" ref="R572">_xll.FDSB($C572,"CS_EVENT_DATEJ_N("&amp;$AA$18&amp;",3)")</f>
        <v/>
      </c>
      <c r="S572" s="282" t="str" cm="1">
        <f t="array" ref="S572">_xll.FDSB($C572,"CS_EVENT_TIME_N("&amp;$AA$18&amp;",3)")</f>
        <v/>
      </c>
      <c r="T572" s="282" t="str" cm="1">
        <f t="array" ref="T572">_xll.FDSB($C572,"CS_EVENT_DESC_N("&amp;$AA$18&amp;",3)")</f>
        <v/>
      </c>
      <c r="U572" s="282"/>
      <c r="V572" s="274" t="str" cm="1">
        <f t="array" ref="V572">_xll.FDSB($C572,"CS_EVENT_DATEJ_N("&amp;$AA$18&amp;",4)")</f>
        <v/>
      </c>
      <c r="W572" s="282" t="str" cm="1">
        <f t="array" ref="W572">_xll.FDSB($C572,"CS_EVENT_TIME_N("&amp;$AA$18&amp;",4)")</f>
        <v/>
      </c>
      <c r="X572" s="282" t="str" cm="1">
        <f t="array" ref="X572">_xll.FDSB($C572,"CS_EVENT_DESC_N("&amp;$AA$18&amp;",4)")</f>
        <v/>
      </c>
    </row>
    <row r="573" spans="2:24" x14ac:dyDescent="0.15">
      <c r="B573" s="298">
        <f t="shared" si="10"/>
        <v>558</v>
      </c>
      <c r="C573" s="299"/>
      <c r="D573" s="300" t="str" cm="1">
        <f t="array" ref="D573">_xll.FDSB($C573,"FG_COMPANY_NAME")</f>
        <v/>
      </c>
      <c r="E573" s="300"/>
      <c r="F573" s="274" t="str" cm="1">
        <f t="array" ref="F573">_xll.FDSB($C573,"CS_EVENT_DATEJ_N("&amp;$AA$18&amp;",1)")</f>
        <v/>
      </c>
      <c r="G573" s="282" t="str" cm="1">
        <f t="array" ref="G573">_xll.FDSB($C573,"CS_EVENT_TIME_N("&amp;$AA$18&amp;",1)")</f>
        <v/>
      </c>
      <c r="H573" s="282" t="str" cm="1">
        <f t="array" ref="H573">_xll.FDSB($C573,"CS_EVENT_DESC_N("&amp;$AA$18&amp;",1)")</f>
        <v/>
      </c>
      <c r="I573" s="282"/>
      <c r="J573" s="274" t="str" cm="1">
        <f t="array" ref="J573">_xll.FDSB($C573,"CS_EVENT_DATEJ_N("&amp;$AB$18&amp;",1)")</f>
        <v/>
      </c>
      <c r="K573" s="282" t="str" cm="1">
        <f t="array" ref="K573">_xll.FDSB($C573,"CS_EVENT_TIME_N("&amp;$AB$18&amp;",1)")</f>
        <v/>
      </c>
      <c r="L573" s="282" t="str" cm="1">
        <f t="array" ref="L573">_xll.FDSB($C573,"CS_EVENT_DESC_N("&amp;$AB$18&amp;",1)")</f>
        <v/>
      </c>
      <c r="M573" s="300"/>
      <c r="N573" s="274" t="str" cm="1">
        <f t="array" ref="N573">_xll.FDSB($C573,"CS_EVENT_DATEJ_N("&amp;$AA$18&amp;",2)")</f>
        <v/>
      </c>
      <c r="O573" s="282" t="str" cm="1">
        <f t="array" ref="O573">_xll.FDSB($C573,"CS_EVENT_TIME_N("&amp;$AA$18&amp;",2)")</f>
        <v/>
      </c>
      <c r="P573" s="282" t="str" cm="1">
        <f t="array" ref="P573">_xll.FDSB($C573,"CS_EVENT_DESC_N("&amp;$AA$18&amp;",2)")</f>
        <v/>
      </c>
      <c r="Q573" s="282"/>
      <c r="R573" s="274" t="str" cm="1">
        <f t="array" ref="R573">_xll.FDSB($C573,"CS_EVENT_DATEJ_N("&amp;$AA$18&amp;",3)")</f>
        <v/>
      </c>
      <c r="S573" s="282" t="str" cm="1">
        <f t="array" ref="S573">_xll.FDSB($C573,"CS_EVENT_TIME_N("&amp;$AA$18&amp;",3)")</f>
        <v/>
      </c>
      <c r="T573" s="282" t="str" cm="1">
        <f t="array" ref="T573">_xll.FDSB($C573,"CS_EVENT_DESC_N("&amp;$AA$18&amp;",3)")</f>
        <v/>
      </c>
      <c r="U573" s="282"/>
      <c r="V573" s="274" t="str" cm="1">
        <f t="array" ref="V573">_xll.FDSB($C573,"CS_EVENT_DATEJ_N("&amp;$AA$18&amp;",4)")</f>
        <v/>
      </c>
      <c r="W573" s="282" t="str" cm="1">
        <f t="array" ref="W573">_xll.FDSB($C573,"CS_EVENT_TIME_N("&amp;$AA$18&amp;",4)")</f>
        <v/>
      </c>
      <c r="X573" s="282" t="str" cm="1">
        <f t="array" ref="X573">_xll.FDSB($C573,"CS_EVENT_DESC_N("&amp;$AA$18&amp;",4)")</f>
        <v/>
      </c>
    </row>
    <row r="574" spans="2:24" x14ac:dyDescent="0.15">
      <c r="B574" s="298">
        <f t="shared" si="10"/>
        <v>559</v>
      </c>
      <c r="C574" s="299"/>
      <c r="D574" s="300" t="str" cm="1">
        <f t="array" ref="D574">_xll.FDSB($C574,"FG_COMPANY_NAME")</f>
        <v/>
      </c>
      <c r="E574" s="300"/>
      <c r="F574" s="274" t="str" cm="1">
        <f t="array" ref="F574">_xll.FDSB($C574,"CS_EVENT_DATEJ_N("&amp;$AA$18&amp;",1)")</f>
        <v/>
      </c>
      <c r="G574" s="282" t="str" cm="1">
        <f t="array" ref="G574">_xll.FDSB($C574,"CS_EVENT_TIME_N("&amp;$AA$18&amp;",1)")</f>
        <v/>
      </c>
      <c r="H574" s="282" t="str" cm="1">
        <f t="array" ref="H574">_xll.FDSB($C574,"CS_EVENT_DESC_N("&amp;$AA$18&amp;",1)")</f>
        <v/>
      </c>
      <c r="I574" s="282"/>
      <c r="J574" s="274" t="str" cm="1">
        <f t="array" ref="J574">_xll.FDSB($C574,"CS_EVENT_DATEJ_N("&amp;$AB$18&amp;",1)")</f>
        <v/>
      </c>
      <c r="K574" s="282" t="str" cm="1">
        <f t="array" ref="K574">_xll.FDSB($C574,"CS_EVENT_TIME_N("&amp;$AB$18&amp;",1)")</f>
        <v/>
      </c>
      <c r="L574" s="282" t="str" cm="1">
        <f t="array" ref="L574">_xll.FDSB($C574,"CS_EVENT_DESC_N("&amp;$AB$18&amp;",1)")</f>
        <v/>
      </c>
      <c r="M574" s="300"/>
      <c r="N574" s="274" t="str" cm="1">
        <f t="array" ref="N574">_xll.FDSB($C574,"CS_EVENT_DATEJ_N("&amp;$AA$18&amp;",2)")</f>
        <v/>
      </c>
      <c r="O574" s="282" t="str" cm="1">
        <f t="array" ref="O574">_xll.FDSB($C574,"CS_EVENT_TIME_N("&amp;$AA$18&amp;",2)")</f>
        <v/>
      </c>
      <c r="P574" s="282" t="str" cm="1">
        <f t="array" ref="P574">_xll.FDSB($C574,"CS_EVENT_DESC_N("&amp;$AA$18&amp;",2)")</f>
        <v/>
      </c>
      <c r="Q574" s="282"/>
      <c r="R574" s="274" t="str" cm="1">
        <f t="array" ref="R574">_xll.FDSB($C574,"CS_EVENT_DATEJ_N("&amp;$AA$18&amp;",3)")</f>
        <v/>
      </c>
      <c r="S574" s="282" t="str" cm="1">
        <f t="array" ref="S574">_xll.FDSB($C574,"CS_EVENT_TIME_N("&amp;$AA$18&amp;",3)")</f>
        <v/>
      </c>
      <c r="T574" s="282" t="str" cm="1">
        <f t="array" ref="T574">_xll.FDSB($C574,"CS_EVENT_DESC_N("&amp;$AA$18&amp;",3)")</f>
        <v/>
      </c>
      <c r="U574" s="282"/>
      <c r="V574" s="274" t="str" cm="1">
        <f t="array" ref="V574">_xll.FDSB($C574,"CS_EVENT_DATEJ_N("&amp;$AA$18&amp;",4)")</f>
        <v/>
      </c>
      <c r="W574" s="282" t="str" cm="1">
        <f t="array" ref="W574">_xll.FDSB($C574,"CS_EVENT_TIME_N("&amp;$AA$18&amp;",4)")</f>
        <v/>
      </c>
      <c r="X574" s="282" t="str" cm="1">
        <f t="array" ref="X574">_xll.FDSB($C574,"CS_EVENT_DESC_N("&amp;$AA$18&amp;",4)")</f>
        <v/>
      </c>
    </row>
    <row r="575" spans="2:24" x14ac:dyDescent="0.15">
      <c r="B575" s="298">
        <f t="shared" si="10"/>
        <v>560</v>
      </c>
      <c r="C575" s="299"/>
      <c r="D575" s="300" t="str" cm="1">
        <f t="array" ref="D575">_xll.FDSB($C575,"FG_COMPANY_NAME")</f>
        <v/>
      </c>
      <c r="E575" s="300"/>
      <c r="F575" s="274" t="str" cm="1">
        <f t="array" ref="F575">_xll.FDSB($C575,"CS_EVENT_DATEJ_N("&amp;$AA$18&amp;",1)")</f>
        <v/>
      </c>
      <c r="G575" s="282" t="str" cm="1">
        <f t="array" ref="G575">_xll.FDSB($C575,"CS_EVENT_TIME_N("&amp;$AA$18&amp;",1)")</f>
        <v/>
      </c>
      <c r="H575" s="282" t="str" cm="1">
        <f t="array" ref="H575">_xll.FDSB($C575,"CS_EVENT_DESC_N("&amp;$AA$18&amp;",1)")</f>
        <v/>
      </c>
      <c r="I575" s="282"/>
      <c r="J575" s="274" t="str" cm="1">
        <f t="array" ref="J575">_xll.FDSB($C575,"CS_EVENT_DATEJ_N("&amp;$AB$18&amp;",1)")</f>
        <v/>
      </c>
      <c r="K575" s="282" t="str" cm="1">
        <f t="array" ref="K575">_xll.FDSB($C575,"CS_EVENT_TIME_N("&amp;$AB$18&amp;",1)")</f>
        <v/>
      </c>
      <c r="L575" s="282" t="str" cm="1">
        <f t="array" ref="L575">_xll.FDSB($C575,"CS_EVENT_DESC_N("&amp;$AB$18&amp;",1)")</f>
        <v/>
      </c>
      <c r="M575" s="300"/>
      <c r="N575" s="274" t="str" cm="1">
        <f t="array" ref="N575">_xll.FDSB($C575,"CS_EVENT_DATEJ_N("&amp;$AA$18&amp;",2)")</f>
        <v/>
      </c>
      <c r="O575" s="282" t="str" cm="1">
        <f t="array" ref="O575">_xll.FDSB($C575,"CS_EVENT_TIME_N("&amp;$AA$18&amp;",2)")</f>
        <v/>
      </c>
      <c r="P575" s="282" t="str" cm="1">
        <f t="array" ref="P575">_xll.FDSB($C575,"CS_EVENT_DESC_N("&amp;$AA$18&amp;",2)")</f>
        <v/>
      </c>
      <c r="Q575" s="282"/>
      <c r="R575" s="274" t="str" cm="1">
        <f t="array" ref="R575">_xll.FDSB($C575,"CS_EVENT_DATEJ_N("&amp;$AA$18&amp;",3)")</f>
        <v/>
      </c>
      <c r="S575" s="282" t="str" cm="1">
        <f t="array" ref="S575">_xll.FDSB($C575,"CS_EVENT_TIME_N("&amp;$AA$18&amp;",3)")</f>
        <v/>
      </c>
      <c r="T575" s="282" t="str" cm="1">
        <f t="array" ref="T575">_xll.FDSB($C575,"CS_EVENT_DESC_N("&amp;$AA$18&amp;",3)")</f>
        <v/>
      </c>
      <c r="U575" s="282"/>
      <c r="V575" s="274" t="str" cm="1">
        <f t="array" ref="V575">_xll.FDSB($C575,"CS_EVENT_DATEJ_N("&amp;$AA$18&amp;",4)")</f>
        <v/>
      </c>
      <c r="W575" s="282" t="str" cm="1">
        <f t="array" ref="W575">_xll.FDSB($C575,"CS_EVENT_TIME_N("&amp;$AA$18&amp;",4)")</f>
        <v/>
      </c>
      <c r="X575" s="282" t="str" cm="1">
        <f t="array" ref="X575">_xll.FDSB($C575,"CS_EVENT_DESC_N("&amp;$AA$18&amp;",4)")</f>
        <v/>
      </c>
    </row>
    <row r="576" spans="2:24" x14ac:dyDescent="0.15">
      <c r="B576" s="298">
        <f t="shared" si="10"/>
        <v>561</v>
      </c>
      <c r="C576" s="299"/>
      <c r="D576" s="300" t="str" cm="1">
        <f t="array" ref="D576">_xll.FDSB($C576,"FG_COMPANY_NAME")</f>
        <v/>
      </c>
      <c r="E576" s="300"/>
      <c r="F576" s="274" t="str" cm="1">
        <f t="array" ref="F576">_xll.FDSB($C576,"CS_EVENT_DATEJ_N("&amp;$AA$18&amp;",1)")</f>
        <v/>
      </c>
      <c r="G576" s="282" t="str" cm="1">
        <f t="array" ref="G576">_xll.FDSB($C576,"CS_EVENT_TIME_N("&amp;$AA$18&amp;",1)")</f>
        <v/>
      </c>
      <c r="H576" s="282" t="str" cm="1">
        <f t="array" ref="H576">_xll.FDSB($C576,"CS_EVENT_DESC_N("&amp;$AA$18&amp;",1)")</f>
        <v/>
      </c>
      <c r="I576" s="282"/>
      <c r="J576" s="274" t="str" cm="1">
        <f t="array" ref="J576">_xll.FDSB($C576,"CS_EVENT_DATEJ_N("&amp;$AB$18&amp;",1)")</f>
        <v/>
      </c>
      <c r="K576" s="282" t="str" cm="1">
        <f t="array" ref="K576">_xll.FDSB($C576,"CS_EVENT_TIME_N("&amp;$AB$18&amp;",1)")</f>
        <v/>
      </c>
      <c r="L576" s="282" t="str" cm="1">
        <f t="array" ref="L576">_xll.FDSB($C576,"CS_EVENT_DESC_N("&amp;$AB$18&amp;",1)")</f>
        <v/>
      </c>
      <c r="M576" s="300"/>
      <c r="N576" s="274" t="str" cm="1">
        <f t="array" ref="N576">_xll.FDSB($C576,"CS_EVENT_DATEJ_N("&amp;$AA$18&amp;",2)")</f>
        <v/>
      </c>
      <c r="O576" s="282" t="str" cm="1">
        <f t="array" ref="O576">_xll.FDSB($C576,"CS_EVENT_TIME_N("&amp;$AA$18&amp;",2)")</f>
        <v/>
      </c>
      <c r="P576" s="282" t="str" cm="1">
        <f t="array" ref="P576">_xll.FDSB($C576,"CS_EVENT_DESC_N("&amp;$AA$18&amp;",2)")</f>
        <v/>
      </c>
      <c r="Q576" s="282"/>
      <c r="R576" s="274" t="str" cm="1">
        <f t="array" ref="R576">_xll.FDSB($C576,"CS_EVENT_DATEJ_N("&amp;$AA$18&amp;",3)")</f>
        <v/>
      </c>
      <c r="S576" s="282" t="str" cm="1">
        <f t="array" ref="S576">_xll.FDSB($C576,"CS_EVENT_TIME_N("&amp;$AA$18&amp;",3)")</f>
        <v/>
      </c>
      <c r="T576" s="282" t="str" cm="1">
        <f t="array" ref="T576">_xll.FDSB($C576,"CS_EVENT_DESC_N("&amp;$AA$18&amp;",3)")</f>
        <v/>
      </c>
      <c r="U576" s="282"/>
      <c r="V576" s="274" t="str" cm="1">
        <f t="array" ref="V576">_xll.FDSB($C576,"CS_EVENT_DATEJ_N("&amp;$AA$18&amp;",4)")</f>
        <v/>
      </c>
      <c r="W576" s="282" t="str" cm="1">
        <f t="array" ref="W576">_xll.FDSB($C576,"CS_EVENT_TIME_N("&amp;$AA$18&amp;",4)")</f>
        <v/>
      </c>
      <c r="X576" s="282" t="str" cm="1">
        <f t="array" ref="X576">_xll.FDSB($C576,"CS_EVENT_DESC_N("&amp;$AA$18&amp;",4)")</f>
        <v/>
      </c>
    </row>
    <row r="577" spans="2:24" x14ac:dyDescent="0.15">
      <c r="B577" s="298">
        <f t="shared" si="10"/>
        <v>562</v>
      </c>
      <c r="C577" s="299"/>
      <c r="D577" s="300" t="str" cm="1">
        <f t="array" ref="D577">_xll.FDSB($C577,"FG_COMPANY_NAME")</f>
        <v/>
      </c>
      <c r="E577" s="300"/>
      <c r="F577" s="274" t="str" cm="1">
        <f t="array" ref="F577">_xll.FDSB($C577,"CS_EVENT_DATEJ_N("&amp;$AA$18&amp;",1)")</f>
        <v/>
      </c>
      <c r="G577" s="282" t="str" cm="1">
        <f t="array" ref="G577">_xll.FDSB($C577,"CS_EVENT_TIME_N("&amp;$AA$18&amp;",1)")</f>
        <v/>
      </c>
      <c r="H577" s="282" t="str" cm="1">
        <f t="array" ref="H577">_xll.FDSB($C577,"CS_EVENT_DESC_N("&amp;$AA$18&amp;",1)")</f>
        <v/>
      </c>
      <c r="I577" s="282"/>
      <c r="J577" s="274" t="str" cm="1">
        <f t="array" ref="J577">_xll.FDSB($C577,"CS_EVENT_DATEJ_N("&amp;$AB$18&amp;",1)")</f>
        <v/>
      </c>
      <c r="K577" s="282" t="str" cm="1">
        <f t="array" ref="K577">_xll.FDSB($C577,"CS_EVENT_TIME_N("&amp;$AB$18&amp;",1)")</f>
        <v/>
      </c>
      <c r="L577" s="282" t="str" cm="1">
        <f t="array" ref="L577">_xll.FDSB($C577,"CS_EVENT_DESC_N("&amp;$AB$18&amp;",1)")</f>
        <v/>
      </c>
      <c r="M577" s="300"/>
      <c r="N577" s="274" t="str" cm="1">
        <f t="array" ref="N577">_xll.FDSB($C577,"CS_EVENT_DATEJ_N("&amp;$AA$18&amp;",2)")</f>
        <v/>
      </c>
      <c r="O577" s="282" t="str" cm="1">
        <f t="array" ref="O577">_xll.FDSB($C577,"CS_EVENT_TIME_N("&amp;$AA$18&amp;",2)")</f>
        <v/>
      </c>
      <c r="P577" s="282" t="str" cm="1">
        <f t="array" ref="P577">_xll.FDSB($C577,"CS_EVENT_DESC_N("&amp;$AA$18&amp;",2)")</f>
        <v/>
      </c>
      <c r="Q577" s="282"/>
      <c r="R577" s="274" t="str" cm="1">
        <f t="array" ref="R577">_xll.FDSB($C577,"CS_EVENT_DATEJ_N("&amp;$AA$18&amp;",3)")</f>
        <v/>
      </c>
      <c r="S577" s="282" t="str" cm="1">
        <f t="array" ref="S577">_xll.FDSB($C577,"CS_EVENT_TIME_N("&amp;$AA$18&amp;",3)")</f>
        <v/>
      </c>
      <c r="T577" s="282" t="str" cm="1">
        <f t="array" ref="T577">_xll.FDSB($C577,"CS_EVENT_DESC_N("&amp;$AA$18&amp;",3)")</f>
        <v/>
      </c>
      <c r="U577" s="282"/>
      <c r="V577" s="274" t="str" cm="1">
        <f t="array" ref="V577">_xll.FDSB($C577,"CS_EVENT_DATEJ_N("&amp;$AA$18&amp;",4)")</f>
        <v/>
      </c>
      <c r="W577" s="282" t="str" cm="1">
        <f t="array" ref="W577">_xll.FDSB($C577,"CS_EVENT_TIME_N("&amp;$AA$18&amp;",4)")</f>
        <v/>
      </c>
      <c r="X577" s="282" t="str" cm="1">
        <f t="array" ref="X577">_xll.FDSB($C577,"CS_EVENT_DESC_N("&amp;$AA$18&amp;",4)")</f>
        <v/>
      </c>
    </row>
    <row r="578" spans="2:24" x14ac:dyDescent="0.15">
      <c r="B578" s="298">
        <f t="shared" si="10"/>
        <v>563</v>
      </c>
      <c r="C578" s="299"/>
      <c r="D578" s="300" t="str" cm="1">
        <f t="array" ref="D578">_xll.FDSB($C578,"FG_COMPANY_NAME")</f>
        <v/>
      </c>
      <c r="E578" s="300"/>
      <c r="F578" s="274" t="str" cm="1">
        <f t="array" ref="F578">_xll.FDSB($C578,"CS_EVENT_DATEJ_N("&amp;$AA$18&amp;",1)")</f>
        <v/>
      </c>
      <c r="G578" s="282" t="str" cm="1">
        <f t="array" ref="G578">_xll.FDSB($C578,"CS_EVENT_TIME_N("&amp;$AA$18&amp;",1)")</f>
        <v/>
      </c>
      <c r="H578" s="282" t="str" cm="1">
        <f t="array" ref="H578">_xll.FDSB($C578,"CS_EVENT_DESC_N("&amp;$AA$18&amp;",1)")</f>
        <v/>
      </c>
      <c r="I578" s="282"/>
      <c r="J578" s="274" t="str" cm="1">
        <f t="array" ref="J578">_xll.FDSB($C578,"CS_EVENT_DATEJ_N("&amp;$AB$18&amp;",1)")</f>
        <v/>
      </c>
      <c r="K578" s="282" t="str" cm="1">
        <f t="array" ref="K578">_xll.FDSB($C578,"CS_EVENT_TIME_N("&amp;$AB$18&amp;",1)")</f>
        <v/>
      </c>
      <c r="L578" s="282" t="str" cm="1">
        <f t="array" ref="L578">_xll.FDSB($C578,"CS_EVENT_DESC_N("&amp;$AB$18&amp;",1)")</f>
        <v/>
      </c>
      <c r="M578" s="300"/>
      <c r="N578" s="274" t="str" cm="1">
        <f t="array" ref="N578">_xll.FDSB($C578,"CS_EVENT_DATEJ_N("&amp;$AA$18&amp;",2)")</f>
        <v/>
      </c>
      <c r="O578" s="282" t="str" cm="1">
        <f t="array" ref="O578">_xll.FDSB($C578,"CS_EVENT_TIME_N("&amp;$AA$18&amp;",2)")</f>
        <v/>
      </c>
      <c r="P578" s="282" t="str" cm="1">
        <f t="array" ref="P578">_xll.FDSB($C578,"CS_EVENT_DESC_N("&amp;$AA$18&amp;",2)")</f>
        <v/>
      </c>
      <c r="Q578" s="282"/>
      <c r="R578" s="274" t="str" cm="1">
        <f t="array" ref="R578">_xll.FDSB($C578,"CS_EVENT_DATEJ_N("&amp;$AA$18&amp;",3)")</f>
        <v/>
      </c>
      <c r="S578" s="282" t="str" cm="1">
        <f t="array" ref="S578">_xll.FDSB($C578,"CS_EVENT_TIME_N("&amp;$AA$18&amp;",3)")</f>
        <v/>
      </c>
      <c r="T578" s="282" t="str" cm="1">
        <f t="array" ref="T578">_xll.FDSB($C578,"CS_EVENT_DESC_N("&amp;$AA$18&amp;",3)")</f>
        <v/>
      </c>
      <c r="U578" s="282"/>
      <c r="V578" s="274" t="str" cm="1">
        <f t="array" ref="V578">_xll.FDSB($C578,"CS_EVENT_DATEJ_N("&amp;$AA$18&amp;",4)")</f>
        <v/>
      </c>
      <c r="W578" s="282" t="str" cm="1">
        <f t="array" ref="W578">_xll.FDSB($C578,"CS_EVENT_TIME_N("&amp;$AA$18&amp;",4)")</f>
        <v/>
      </c>
      <c r="X578" s="282" t="str" cm="1">
        <f t="array" ref="X578">_xll.FDSB($C578,"CS_EVENT_DESC_N("&amp;$AA$18&amp;",4)")</f>
        <v/>
      </c>
    </row>
    <row r="579" spans="2:24" x14ac:dyDescent="0.15">
      <c r="B579" s="298">
        <f t="shared" si="10"/>
        <v>564</v>
      </c>
      <c r="C579" s="299"/>
      <c r="D579" s="300" t="str" cm="1">
        <f t="array" ref="D579">_xll.FDSB($C579,"FG_COMPANY_NAME")</f>
        <v/>
      </c>
      <c r="E579" s="300"/>
      <c r="F579" s="274" t="str" cm="1">
        <f t="array" ref="F579">_xll.FDSB($C579,"CS_EVENT_DATEJ_N("&amp;$AA$18&amp;",1)")</f>
        <v/>
      </c>
      <c r="G579" s="282" t="str" cm="1">
        <f t="array" ref="G579">_xll.FDSB($C579,"CS_EVENT_TIME_N("&amp;$AA$18&amp;",1)")</f>
        <v/>
      </c>
      <c r="H579" s="282" t="str" cm="1">
        <f t="array" ref="H579">_xll.FDSB($C579,"CS_EVENT_DESC_N("&amp;$AA$18&amp;",1)")</f>
        <v/>
      </c>
      <c r="I579" s="282"/>
      <c r="J579" s="274" t="str" cm="1">
        <f t="array" ref="J579">_xll.FDSB($C579,"CS_EVENT_DATEJ_N("&amp;$AB$18&amp;",1)")</f>
        <v/>
      </c>
      <c r="K579" s="282" t="str" cm="1">
        <f t="array" ref="K579">_xll.FDSB($C579,"CS_EVENT_TIME_N("&amp;$AB$18&amp;",1)")</f>
        <v/>
      </c>
      <c r="L579" s="282" t="str" cm="1">
        <f t="array" ref="L579">_xll.FDSB($C579,"CS_EVENT_DESC_N("&amp;$AB$18&amp;",1)")</f>
        <v/>
      </c>
      <c r="M579" s="300"/>
      <c r="N579" s="274" t="str" cm="1">
        <f t="array" ref="N579">_xll.FDSB($C579,"CS_EVENT_DATEJ_N("&amp;$AA$18&amp;",2)")</f>
        <v/>
      </c>
      <c r="O579" s="282" t="str" cm="1">
        <f t="array" ref="O579">_xll.FDSB($C579,"CS_EVENT_TIME_N("&amp;$AA$18&amp;",2)")</f>
        <v/>
      </c>
      <c r="P579" s="282" t="str" cm="1">
        <f t="array" ref="P579">_xll.FDSB($C579,"CS_EVENT_DESC_N("&amp;$AA$18&amp;",2)")</f>
        <v/>
      </c>
      <c r="Q579" s="282"/>
      <c r="R579" s="274" t="str" cm="1">
        <f t="array" ref="R579">_xll.FDSB($C579,"CS_EVENT_DATEJ_N("&amp;$AA$18&amp;",3)")</f>
        <v/>
      </c>
      <c r="S579" s="282" t="str" cm="1">
        <f t="array" ref="S579">_xll.FDSB($C579,"CS_EVENT_TIME_N("&amp;$AA$18&amp;",3)")</f>
        <v/>
      </c>
      <c r="T579" s="282" t="str" cm="1">
        <f t="array" ref="T579">_xll.FDSB($C579,"CS_EVENT_DESC_N("&amp;$AA$18&amp;",3)")</f>
        <v/>
      </c>
      <c r="U579" s="282"/>
      <c r="V579" s="274" t="str" cm="1">
        <f t="array" ref="V579">_xll.FDSB($C579,"CS_EVENT_DATEJ_N("&amp;$AA$18&amp;",4)")</f>
        <v/>
      </c>
      <c r="W579" s="282" t="str" cm="1">
        <f t="array" ref="W579">_xll.FDSB($C579,"CS_EVENT_TIME_N("&amp;$AA$18&amp;",4)")</f>
        <v/>
      </c>
      <c r="X579" s="282" t="str" cm="1">
        <f t="array" ref="X579">_xll.FDSB($C579,"CS_EVENT_DESC_N("&amp;$AA$18&amp;",4)")</f>
        <v/>
      </c>
    </row>
    <row r="580" spans="2:24" x14ac:dyDescent="0.15">
      <c r="B580" s="298">
        <f t="shared" si="10"/>
        <v>565</v>
      </c>
      <c r="C580" s="299"/>
      <c r="D580" s="300" t="str" cm="1">
        <f t="array" ref="D580">_xll.FDSB($C580,"FG_COMPANY_NAME")</f>
        <v/>
      </c>
      <c r="E580" s="300"/>
      <c r="F580" s="274" t="str" cm="1">
        <f t="array" ref="F580">_xll.FDSB($C580,"CS_EVENT_DATEJ_N("&amp;$AA$18&amp;",1)")</f>
        <v/>
      </c>
      <c r="G580" s="282" t="str" cm="1">
        <f t="array" ref="G580">_xll.FDSB($C580,"CS_EVENT_TIME_N("&amp;$AA$18&amp;",1)")</f>
        <v/>
      </c>
      <c r="H580" s="282" t="str" cm="1">
        <f t="array" ref="H580">_xll.FDSB($C580,"CS_EVENT_DESC_N("&amp;$AA$18&amp;",1)")</f>
        <v/>
      </c>
      <c r="I580" s="282"/>
      <c r="J580" s="274" t="str" cm="1">
        <f t="array" ref="J580">_xll.FDSB($C580,"CS_EVENT_DATEJ_N("&amp;$AB$18&amp;",1)")</f>
        <v/>
      </c>
      <c r="K580" s="282" t="str" cm="1">
        <f t="array" ref="K580">_xll.FDSB($C580,"CS_EVENT_TIME_N("&amp;$AB$18&amp;",1)")</f>
        <v/>
      </c>
      <c r="L580" s="282" t="str" cm="1">
        <f t="array" ref="L580">_xll.FDSB($C580,"CS_EVENT_DESC_N("&amp;$AB$18&amp;",1)")</f>
        <v/>
      </c>
      <c r="M580" s="300"/>
      <c r="N580" s="274" t="str" cm="1">
        <f t="array" ref="N580">_xll.FDSB($C580,"CS_EVENT_DATEJ_N("&amp;$AA$18&amp;",2)")</f>
        <v/>
      </c>
      <c r="O580" s="282" t="str" cm="1">
        <f t="array" ref="O580">_xll.FDSB($C580,"CS_EVENT_TIME_N("&amp;$AA$18&amp;",2)")</f>
        <v/>
      </c>
      <c r="P580" s="282" t="str" cm="1">
        <f t="array" ref="P580">_xll.FDSB($C580,"CS_EVENT_DESC_N("&amp;$AA$18&amp;",2)")</f>
        <v/>
      </c>
      <c r="Q580" s="282"/>
      <c r="R580" s="274" t="str" cm="1">
        <f t="array" ref="R580">_xll.FDSB($C580,"CS_EVENT_DATEJ_N("&amp;$AA$18&amp;",3)")</f>
        <v/>
      </c>
      <c r="S580" s="282" t="str" cm="1">
        <f t="array" ref="S580">_xll.FDSB($C580,"CS_EVENT_TIME_N("&amp;$AA$18&amp;",3)")</f>
        <v/>
      </c>
      <c r="T580" s="282" t="str" cm="1">
        <f t="array" ref="T580">_xll.FDSB($C580,"CS_EVENT_DESC_N("&amp;$AA$18&amp;",3)")</f>
        <v/>
      </c>
      <c r="U580" s="282"/>
      <c r="V580" s="274" t="str" cm="1">
        <f t="array" ref="V580">_xll.FDSB($C580,"CS_EVENT_DATEJ_N("&amp;$AA$18&amp;",4)")</f>
        <v/>
      </c>
      <c r="W580" s="282" t="str" cm="1">
        <f t="array" ref="W580">_xll.FDSB($C580,"CS_EVENT_TIME_N("&amp;$AA$18&amp;",4)")</f>
        <v/>
      </c>
      <c r="X580" s="282" t="str" cm="1">
        <f t="array" ref="X580">_xll.FDSB($C580,"CS_EVENT_DESC_N("&amp;$AA$18&amp;",4)")</f>
        <v/>
      </c>
    </row>
    <row r="581" spans="2:24" x14ac:dyDescent="0.15">
      <c r="B581" s="298">
        <f t="shared" si="10"/>
        <v>566</v>
      </c>
      <c r="C581" s="299"/>
      <c r="D581" s="300" t="str" cm="1">
        <f t="array" ref="D581">_xll.FDSB($C581,"FG_COMPANY_NAME")</f>
        <v/>
      </c>
      <c r="E581" s="300"/>
      <c r="F581" s="274" t="str" cm="1">
        <f t="array" ref="F581">_xll.FDSB($C581,"CS_EVENT_DATEJ_N("&amp;$AA$18&amp;",1)")</f>
        <v/>
      </c>
      <c r="G581" s="282" t="str" cm="1">
        <f t="array" ref="G581">_xll.FDSB($C581,"CS_EVENT_TIME_N("&amp;$AA$18&amp;",1)")</f>
        <v/>
      </c>
      <c r="H581" s="282" t="str" cm="1">
        <f t="array" ref="H581">_xll.FDSB($C581,"CS_EVENT_DESC_N("&amp;$AA$18&amp;",1)")</f>
        <v/>
      </c>
      <c r="I581" s="282"/>
      <c r="J581" s="274" t="str" cm="1">
        <f t="array" ref="J581">_xll.FDSB($C581,"CS_EVENT_DATEJ_N("&amp;$AB$18&amp;",1)")</f>
        <v/>
      </c>
      <c r="K581" s="282" t="str" cm="1">
        <f t="array" ref="K581">_xll.FDSB($C581,"CS_EVENT_TIME_N("&amp;$AB$18&amp;",1)")</f>
        <v/>
      </c>
      <c r="L581" s="282" t="str" cm="1">
        <f t="array" ref="L581">_xll.FDSB($C581,"CS_EVENT_DESC_N("&amp;$AB$18&amp;",1)")</f>
        <v/>
      </c>
      <c r="M581" s="300"/>
      <c r="N581" s="274" t="str" cm="1">
        <f t="array" ref="N581">_xll.FDSB($C581,"CS_EVENT_DATEJ_N("&amp;$AA$18&amp;",2)")</f>
        <v/>
      </c>
      <c r="O581" s="282" t="str" cm="1">
        <f t="array" ref="O581">_xll.FDSB($C581,"CS_EVENT_TIME_N("&amp;$AA$18&amp;",2)")</f>
        <v/>
      </c>
      <c r="P581" s="282" t="str" cm="1">
        <f t="array" ref="P581">_xll.FDSB($C581,"CS_EVENT_DESC_N("&amp;$AA$18&amp;",2)")</f>
        <v/>
      </c>
      <c r="Q581" s="282"/>
      <c r="R581" s="274" t="str" cm="1">
        <f t="array" ref="R581">_xll.FDSB($C581,"CS_EVENT_DATEJ_N("&amp;$AA$18&amp;",3)")</f>
        <v/>
      </c>
      <c r="S581" s="282" t="str" cm="1">
        <f t="array" ref="S581">_xll.FDSB($C581,"CS_EVENT_TIME_N("&amp;$AA$18&amp;",3)")</f>
        <v/>
      </c>
      <c r="T581" s="282" t="str" cm="1">
        <f t="array" ref="T581">_xll.FDSB($C581,"CS_EVENT_DESC_N("&amp;$AA$18&amp;",3)")</f>
        <v/>
      </c>
      <c r="U581" s="282"/>
      <c r="V581" s="274" t="str" cm="1">
        <f t="array" ref="V581">_xll.FDSB($C581,"CS_EVENT_DATEJ_N("&amp;$AA$18&amp;",4)")</f>
        <v/>
      </c>
      <c r="W581" s="282" t="str" cm="1">
        <f t="array" ref="W581">_xll.FDSB($C581,"CS_EVENT_TIME_N("&amp;$AA$18&amp;",4)")</f>
        <v/>
      </c>
      <c r="X581" s="282" t="str" cm="1">
        <f t="array" ref="X581">_xll.FDSB($C581,"CS_EVENT_DESC_N("&amp;$AA$18&amp;",4)")</f>
        <v/>
      </c>
    </row>
    <row r="582" spans="2:24" x14ac:dyDescent="0.15">
      <c r="B582" s="298">
        <f t="shared" si="10"/>
        <v>567</v>
      </c>
      <c r="C582" s="299"/>
      <c r="D582" s="300" t="str" cm="1">
        <f t="array" ref="D582">_xll.FDSB($C582,"FG_COMPANY_NAME")</f>
        <v/>
      </c>
      <c r="E582" s="300"/>
      <c r="F582" s="274" t="str" cm="1">
        <f t="array" ref="F582">_xll.FDSB($C582,"CS_EVENT_DATEJ_N("&amp;$AA$18&amp;",1)")</f>
        <v/>
      </c>
      <c r="G582" s="282" t="str" cm="1">
        <f t="array" ref="G582">_xll.FDSB($C582,"CS_EVENT_TIME_N("&amp;$AA$18&amp;",1)")</f>
        <v/>
      </c>
      <c r="H582" s="282" t="str" cm="1">
        <f t="array" ref="H582">_xll.FDSB($C582,"CS_EVENT_DESC_N("&amp;$AA$18&amp;",1)")</f>
        <v/>
      </c>
      <c r="I582" s="282"/>
      <c r="J582" s="274" t="str" cm="1">
        <f t="array" ref="J582">_xll.FDSB($C582,"CS_EVENT_DATEJ_N("&amp;$AB$18&amp;",1)")</f>
        <v/>
      </c>
      <c r="K582" s="282" t="str" cm="1">
        <f t="array" ref="K582">_xll.FDSB($C582,"CS_EVENT_TIME_N("&amp;$AB$18&amp;",1)")</f>
        <v/>
      </c>
      <c r="L582" s="282" t="str" cm="1">
        <f t="array" ref="L582">_xll.FDSB($C582,"CS_EVENT_DESC_N("&amp;$AB$18&amp;",1)")</f>
        <v/>
      </c>
      <c r="M582" s="300"/>
      <c r="N582" s="274" t="str" cm="1">
        <f t="array" ref="N582">_xll.FDSB($C582,"CS_EVENT_DATEJ_N("&amp;$AA$18&amp;",2)")</f>
        <v/>
      </c>
      <c r="O582" s="282" t="str" cm="1">
        <f t="array" ref="O582">_xll.FDSB($C582,"CS_EVENT_TIME_N("&amp;$AA$18&amp;",2)")</f>
        <v/>
      </c>
      <c r="P582" s="282" t="str" cm="1">
        <f t="array" ref="P582">_xll.FDSB($C582,"CS_EVENT_DESC_N("&amp;$AA$18&amp;",2)")</f>
        <v/>
      </c>
      <c r="Q582" s="282"/>
      <c r="R582" s="274" t="str" cm="1">
        <f t="array" ref="R582">_xll.FDSB($C582,"CS_EVENT_DATEJ_N("&amp;$AA$18&amp;",3)")</f>
        <v/>
      </c>
      <c r="S582" s="282" t="str" cm="1">
        <f t="array" ref="S582">_xll.FDSB($C582,"CS_EVENT_TIME_N("&amp;$AA$18&amp;",3)")</f>
        <v/>
      </c>
      <c r="T582" s="282" t="str" cm="1">
        <f t="array" ref="T582">_xll.FDSB($C582,"CS_EVENT_DESC_N("&amp;$AA$18&amp;",3)")</f>
        <v/>
      </c>
      <c r="U582" s="282"/>
      <c r="V582" s="274" t="str" cm="1">
        <f t="array" ref="V582">_xll.FDSB($C582,"CS_EVENT_DATEJ_N("&amp;$AA$18&amp;",4)")</f>
        <v/>
      </c>
      <c r="W582" s="282" t="str" cm="1">
        <f t="array" ref="W582">_xll.FDSB($C582,"CS_EVENT_TIME_N("&amp;$AA$18&amp;",4)")</f>
        <v/>
      </c>
      <c r="X582" s="282" t="str" cm="1">
        <f t="array" ref="X582">_xll.FDSB($C582,"CS_EVENT_DESC_N("&amp;$AA$18&amp;",4)")</f>
        <v/>
      </c>
    </row>
    <row r="583" spans="2:24" x14ac:dyDescent="0.15">
      <c r="B583" s="298">
        <f t="shared" si="10"/>
        <v>568</v>
      </c>
      <c r="C583" s="299"/>
      <c r="D583" s="300" t="str" cm="1">
        <f t="array" ref="D583">_xll.FDSB($C583,"FG_COMPANY_NAME")</f>
        <v/>
      </c>
      <c r="E583" s="300"/>
      <c r="F583" s="274" t="str" cm="1">
        <f t="array" ref="F583">_xll.FDSB($C583,"CS_EVENT_DATEJ_N("&amp;$AA$18&amp;",1)")</f>
        <v/>
      </c>
      <c r="G583" s="282" t="str" cm="1">
        <f t="array" ref="G583">_xll.FDSB($C583,"CS_EVENT_TIME_N("&amp;$AA$18&amp;",1)")</f>
        <v/>
      </c>
      <c r="H583" s="282" t="str" cm="1">
        <f t="array" ref="H583">_xll.FDSB($C583,"CS_EVENT_DESC_N("&amp;$AA$18&amp;",1)")</f>
        <v/>
      </c>
      <c r="I583" s="282"/>
      <c r="J583" s="274" t="str" cm="1">
        <f t="array" ref="J583">_xll.FDSB($C583,"CS_EVENT_DATEJ_N("&amp;$AB$18&amp;",1)")</f>
        <v/>
      </c>
      <c r="K583" s="282" t="str" cm="1">
        <f t="array" ref="K583">_xll.FDSB($C583,"CS_EVENT_TIME_N("&amp;$AB$18&amp;",1)")</f>
        <v/>
      </c>
      <c r="L583" s="282" t="str" cm="1">
        <f t="array" ref="L583">_xll.FDSB($C583,"CS_EVENT_DESC_N("&amp;$AB$18&amp;",1)")</f>
        <v/>
      </c>
      <c r="M583" s="300"/>
      <c r="N583" s="274" t="str" cm="1">
        <f t="array" ref="N583">_xll.FDSB($C583,"CS_EVENT_DATEJ_N("&amp;$AA$18&amp;",2)")</f>
        <v/>
      </c>
      <c r="O583" s="282" t="str" cm="1">
        <f t="array" ref="O583">_xll.FDSB($C583,"CS_EVENT_TIME_N("&amp;$AA$18&amp;",2)")</f>
        <v/>
      </c>
      <c r="P583" s="282" t="str" cm="1">
        <f t="array" ref="P583">_xll.FDSB($C583,"CS_EVENT_DESC_N("&amp;$AA$18&amp;",2)")</f>
        <v/>
      </c>
      <c r="Q583" s="282"/>
      <c r="R583" s="274" t="str" cm="1">
        <f t="array" ref="R583">_xll.FDSB($C583,"CS_EVENT_DATEJ_N("&amp;$AA$18&amp;",3)")</f>
        <v/>
      </c>
      <c r="S583" s="282" t="str" cm="1">
        <f t="array" ref="S583">_xll.FDSB($C583,"CS_EVENT_TIME_N("&amp;$AA$18&amp;",3)")</f>
        <v/>
      </c>
      <c r="T583" s="282" t="str" cm="1">
        <f t="array" ref="T583">_xll.FDSB($C583,"CS_EVENT_DESC_N("&amp;$AA$18&amp;",3)")</f>
        <v/>
      </c>
      <c r="U583" s="282"/>
      <c r="V583" s="274" t="str" cm="1">
        <f t="array" ref="V583">_xll.FDSB($C583,"CS_EVENT_DATEJ_N("&amp;$AA$18&amp;",4)")</f>
        <v/>
      </c>
      <c r="W583" s="282" t="str" cm="1">
        <f t="array" ref="W583">_xll.FDSB($C583,"CS_EVENT_TIME_N("&amp;$AA$18&amp;",4)")</f>
        <v/>
      </c>
      <c r="X583" s="282" t="str" cm="1">
        <f t="array" ref="X583">_xll.FDSB($C583,"CS_EVENT_DESC_N("&amp;$AA$18&amp;",4)")</f>
        <v/>
      </c>
    </row>
    <row r="584" spans="2:24" x14ac:dyDescent="0.15">
      <c r="B584" s="298">
        <f t="shared" si="10"/>
        <v>569</v>
      </c>
      <c r="C584" s="299"/>
      <c r="D584" s="300" t="str" cm="1">
        <f t="array" ref="D584">_xll.FDSB($C584,"FG_COMPANY_NAME")</f>
        <v/>
      </c>
      <c r="E584" s="300"/>
      <c r="F584" s="274" t="str" cm="1">
        <f t="array" ref="F584">_xll.FDSB($C584,"CS_EVENT_DATEJ_N("&amp;$AA$18&amp;",1)")</f>
        <v/>
      </c>
      <c r="G584" s="282" t="str" cm="1">
        <f t="array" ref="G584">_xll.FDSB($C584,"CS_EVENT_TIME_N("&amp;$AA$18&amp;",1)")</f>
        <v/>
      </c>
      <c r="H584" s="282" t="str" cm="1">
        <f t="array" ref="H584">_xll.FDSB($C584,"CS_EVENT_DESC_N("&amp;$AA$18&amp;",1)")</f>
        <v/>
      </c>
      <c r="I584" s="282"/>
      <c r="J584" s="274" t="str" cm="1">
        <f t="array" ref="J584">_xll.FDSB($C584,"CS_EVENT_DATEJ_N("&amp;$AB$18&amp;",1)")</f>
        <v/>
      </c>
      <c r="K584" s="282" t="str" cm="1">
        <f t="array" ref="K584">_xll.FDSB($C584,"CS_EVENT_TIME_N("&amp;$AB$18&amp;",1)")</f>
        <v/>
      </c>
      <c r="L584" s="282" t="str" cm="1">
        <f t="array" ref="L584">_xll.FDSB($C584,"CS_EVENT_DESC_N("&amp;$AB$18&amp;",1)")</f>
        <v/>
      </c>
      <c r="M584" s="300"/>
      <c r="N584" s="274" t="str" cm="1">
        <f t="array" ref="N584">_xll.FDSB($C584,"CS_EVENT_DATEJ_N("&amp;$AA$18&amp;",2)")</f>
        <v/>
      </c>
      <c r="O584" s="282" t="str" cm="1">
        <f t="array" ref="O584">_xll.FDSB($C584,"CS_EVENT_TIME_N("&amp;$AA$18&amp;",2)")</f>
        <v/>
      </c>
      <c r="P584" s="282" t="str" cm="1">
        <f t="array" ref="P584">_xll.FDSB($C584,"CS_EVENT_DESC_N("&amp;$AA$18&amp;",2)")</f>
        <v/>
      </c>
      <c r="Q584" s="282"/>
      <c r="R584" s="274" t="str" cm="1">
        <f t="array" ref="R584">_xll.FDSB($C584,"CS_EVENT_DATEJ_N("&amp;$AA$18&amp;",3)")</f>
        <v/>
      </c>
      <c r="S584" s="282" t="str" cm="1">
        <f t="array" ref="S584">_xll.FDSB($C584,"CS_EVENT_TIME_N("&amp;$AA$18&amp;",3)")</f>
        <v/>
      </c>
      <c r="T584" s="282" t="str" cm="1">
        <f t="array" ref="T584">_xll.FDSB($C584,"CS_EVENT_DESC_N("&amp;$AA$18&amp;",3)")</f>
        <v/>
      </c>
      <c r="U584" s="282"/>
      <c r="V584" s="274" t="str" cm="1">
        <f t="array" ref="V584">_xll.FDSB($C584,"CS_EVENT_DATEJ_N("&amp;$AA$18&amp;",4)")</f>
        <v/>
      </c>
      <c r="W584" s="282" t="str" cm="1">
        <f t="array" ref="W584">_xll.FDSB($C584,"CS_EVENT_TIME_N("&amp;$AA$18&amp;",4)")</f>
        <v/>
      </c>
      <c r="X584" s="282" t="str" cm="1">
        <f t="array" ref="X584">_xll.FDSB($C584,"CS_EVENT_DESC_N("&amp;$AA$18&amp;",4)")</f>
        <v/>
      </c>
    </row>
    <row r="585" spans="2:24" x14ac:dyDescent="0.15">
      <c r="B585" s="298">
        <f t="shared" si="10"/>
        <v>570</v>
      </c>
      <c r="C585" s="299"/>
      <c r="D585" s="300" t="str" cm="1">
        <f t="array" ref="D585">_xll.FDSB($C585,"FG_COMPANY_NAME")</f>
        <v/>
      </c>
      <c r="E585" s="300"/>
      <c r="F585" s="274" t="str" cm="1">
        <f t="array" ref="F585">_xll.FDSB($C585,"CS_EVENT_DATEJ_N("&amp;$AA$18&amp;",1)")</f>
        <v/>
      </c>
      <c r="G585" s="282" t="str" cm="1">
        <f t="array" ref="G585">_xll.FDSB($C585,"CS_EVENT_TIME_N("&amp;$AA$18&amp;",1)")</f>
        <v/>
      </c>
      <c r="H585" s="282" t="str" cm="1">
        <f t="array" ref="H585">_xll.FDSB($C585,"CS_EVENT_DESC_N("&amp;$AA$18&amp;",1)")</f>
        <v/>
      </c>
      <c r="I585" s="282"/>
      <c r="J585" s="274" t="str" cm="1">
        <f t="array" ref="J585">_xll.FDSB($C585,"CS_EVENT_DATEJ_N("&amp;$AB$18&amp;",1)")</f>
        <v/>
      </c>
      <c r="K585" s="282" t="str" cm="1">
        <f t="array" ref="K585">_xll.FDSB($C585,"CS_EVENT_TIME_N("&amp;$AB$18&amp;",1)")</f>
        <v/>
      </c>
      <c r="L585" s="282" t="str" cm="1">
        <f t="array" ref="L585">_xll.FDSB($C585,"CS_EVENT_DESC_N("&amp;$AB$18&amp;",1)")</f>
        <v/>
      </c>
      <c r="M585" s="300"/>
      <c r="N585" s="274" t="str" cm="1">
        <f t="array" ref="N585">_xll.FDSB($C585,"CS_EVENT_DATEJ_N("&amp;$AA$18&amp;",2)")</f>
        <v/>
      </c>
      <c r="O585" s="282" t="str" cm="1">
        <f t="array" ref="O585">_xll.FDSB($C585,"CS_EVENT_TIME_N("&amp;$AA$18&amp;",2)")</f>
        <v/>
      </c>
      <c r="P585" s="282" t="str" cm="1">
        <f t="array" ref="P585">_xll.FDSB($C585,"CS_EVENT_DESC_N("&amp;$AA$18&amp;",2)")</f>
        <v/>
      </c>
      <c r="Q585" s="282"/>
      <c r="R585" s="274" t="str" cm="1">
        <f t="array" ref="R585">_xll.FDSB($C585,"CS_EVENT_DATEJ_N("&amp;$AA$18&amp;",3)")</f>
        <v/>
      </c>
      <c r="S585" s="282" t="str" cm="1">
        <f t="array" ref="S585">_xll.FDSB($C585,"CS_EVENT_TIME_N("&amp;$AA$18&amp;",3)")</f>
        <v/>
      </c>
      <c r="T585" s="282" t="str" cm="1">
        <f t="array" ref="T585">_xll.FDSB($C585,"CS_EVENT_DESC_N("&amp;$AA$18&amp;",3)")</f>
        <v/>
      </c>
      <c r="U585" s="282"/>
      <c r="V585" s="274" t="str" cm="1">
        <f t="array" ref="V585">_xll.FDSB($C585,"CS_EVENT_DATEJ_N("&amp;$AA$18&amp;",4)")</f>
        <v/>
      </c>
      <c r="W585" s="282" t="str" cm="1">
        <f t="array" ref="W585">_xll.FDSB($C585,"CS_EVENT_TIME_N("&amp;$AA$18&amp;",4)")</f>
        <v/>
      </c>
      <c r="X585" s="282" t="str" cm="1">
        <f t="array" ref="X585">_xll.FDSB($C585,"CS_EVENT_DESC_N("&amp;$AA$18&amp;",4)")</f>
        <v/>
      </c>
    </row>
    <row r="586" spans="2:24" x14ac:dyDescent="0.15">
      <c r="B586" s="298">
        <f t="shared" si="10"/>
        <v>571</v>
      </c>
      <c r="C586" s="299"/>
      <c r="D586" s="300" t="str" cm="1">
        <f t="array" ref="D586">_xll.FDSB($C586,"FG_COMPANY_NAME")</f>
        <v/>
      </c>
      <c r="E586" s="300"/>
      <c r="F586" s="274" t="str" cm="1">
        <f t="array" ref="F586">_xll.FDSB($C586,"CS_EVENT_DATEJ_N("&amp;$AA$18&amp;",1)")</f>
        <v/>
      </c>
      <c r="G586" s="282" t="str" cm="1">
        <f t="array" ref="G586">_xll.FDSB($C586,"CS_EVENT_TIME_N("&amp;$AA$18&amp;",1)")</f>
        <v/>
      </c>
      <c r="H586" s="282" t="str" cm="1">
        <f t="array" ref="H586">_xll.FDSB($C586,"CS_EVENT_DESC_N("&amp;$AA$18&amp;",1)")</f>
        <v/>
      </c>
      <c r="I586" s="282"/>
      <c r="J586" s="274" t="str" cm="1">
        <f t="array" ref="J586">_xll.FDSB($C586,"CS_EVENT_DATEJ_N("&amp;$AB$18&amp;",1)")</f>
        <v/>
      </c>
      <c r="K586" s="282" t="str" cm="1">
        <f t="array" ref="K586">_xll.FDSB($C586,"CS_EVENT_TIME_N("&amp;$AB$18&amp;",1)")</f>
        <v/>
      </c>
      <c r="L586" s="282" t="str" cm="1">
        <f t="array" ref="L586">_xll.FDSB($C586,"CS_EVENT_DESC_N("&amp;$AB$18&amp;",1)")</f>
        <v/>
      </c>
      <c r="M586" s="300"/>
      <c r="N586" s="274" t="str" cm="1">
        <f t="array" ref="N586">_xll.FDSB($C586,"CS_EVENT_DATEJ_N("&amp;$AA$18&amp;",2)")</f>
        <v/>
      </c>
      <c r="O586" s="282" t="str" cm="1">
        <f t="array" ref="O586">_xll.FDSB($C586,"CS_EVENT_TIME_N("&amp;$AA$18&amp;",2)")</f>
        <v/>
      </c>
      <c r="P586" s="282" t="str" cm="1">
        <f t="array" ref="P586">_xll.FDSB($C586,"CS_EVENT_DESC_N("&amp;$AA$18&amp;",2)")</f>
        <v/>
      </c>
      <c r="Q586" s="282"/>
      <c r="R586" s="274" t="str" cm="1">
        <f t="array" ref="R586">_xll.FDSB($C586,"CS_EVENT_DATEJ_N("&amp;$AA$18&amp;",3)")</f>
        <v/>
      </c>
      <c r="S586" s="282" t="str" cm="1">
        <f t="array" ref="S586">_xll.FDSB($C586,"CS_EVENT_TIME_N("&amp;$AA$18&amp;",3)")</f>
        <v/>
      </c>
      <c r="T586" s="282" t="str" cm="1">
        <f t="array" ref="T586">_xll.FDSB($C586,"CS_EVENT_DESC_N("&amp;$AA$18&amp;",3)")</f>
        <v/>
      </c>
      <c r="U586" s="282"/>
      <c r="V586" s="274" t="str" cm="1">
        <f t="array" ref="V586">_xll.FDSB($C586,"CS_EVENT_DATEJ_N("&amp;$AA$18&amp;",4)")</f>
        <v/>
      </c>
      <c r="W586" s="282" t="str" cm="1">
        <f t="array" ref="W586">_xll.FDSB($C586,"CS_EVENT_TIME_N("&amp;$AA$18&amp;",4)")</f>
        <v/>
      </c>
      <c r="X586" s="282" t="str" cm="1">
        <f t="array" ref="X586">_xll.FDSB($C586,"CS_EVENT_DESC_N("&amp;$AA$18&amp;",4)")</f>
        <v/>
      </c>
    </row>
    <row r="587" spans="2:24" x14ac:dyDescent="0.15">
      <c r="B587" s="298">
        <f t="shared" si="10"/>
        <v>572</v>
      </c>
      <c r="C587" s="299"/>
      <c r="D587" s="300" t="str" cm="1">
        <f t="array" ref="D587">_xll.FDSB($C587,"FG_COMPANY_NAME")</f>
        <v/>
      </c>
      <c r="E587" s="300"/>
      <c r="F587" s="274" t="str" cm="1">
        <f t="array" ref="F587">_xll.FDSB($C587,"CS_EVENT_DATEJ_N("&amp;$AA$18&amp;",1)")</f>
        <v/>
      </c>
      <c r="G587" s="282" t="str" cm="1">
        <f t="array" ref="G587">_xll.FDSB($C587,"CS_EVENT_TIME_N("&amp;$AA$18&amp;",1)")</f>
        <v/>
      </c>
      <c r="H587" s="282" t="str" cm="1">
        <f t="array" ref="H587">_xll.FDSB($C587,"CS_EVENT_DESC_N("&amp;$AA$18&amp;",1)")</f>
        <v/>
      </c>
      <c r="I587" s="282"/>
      <c r="J587" s="274" t="str" cm="1">
        <f t="array" ref="J587">_xll.FDSB($C587,"CS_EVENT_DATEJ_N("&amp;$AB$18&amp;",1)")</f>
        <v/>
      </c>
      <c r="K587" s="282" t="str" cm="1">
        <f t="array" ref="K587">_xll.FDSB($C587,"CS_EVENT_TIME_N("&amp;$AB$18&amp;",1)")</f>
        <v/>
      </c>
      <c r="L587" s="282" t="str" cm="1">
        <f t="array" ref="L587">_xll.FDSB($C587,"CS_EVENT_DESC_N("&amp;$AB$18&amp;",1)")</f>
        <v/>
      </c>
      <c r="M587" s="300"/>
      <c r="N587" s="274" t="str" cm="1">
        <f t="array" ref="N587">_xll.FDSB($C587,"CS_EVENT_DATEJ_N("&amp;$AA$18&amp;",2)")</f>
        <v/>
      </c>
      <c r="O587" s="282" t="str" cm="1">
        <f t="array" ref="O587">_xll.FDSB($C587,"CS_EVENT_TIME_N("&amp;$AA$18&amp;",2)")</f>
        <v/>
      </c>
      <c r="P587" s="282" t="str" cm="1">
        <f t="array" ref="P587">_xll.FDSB($C587,"CS_EVENT_DESC_N("&amp;$AA$18&amp;",2)")</f>
        <v/>
      </c>
      <c r="Q587" s="282"/>
      <c r="R587" s="274" t="str" cm="1">
        <f t="array" ref="R587">_xll.FDSB($C587,"CS_EVENT_DATEJ_N("&amp;$AA$18&amp;",3)")</f>
        <v/>
      </c>
      <c r="S587" s="282" t="str" cm="1">
        <f t="array" ref="S587">_xll.FDSB($C587,"CS_EVENT_TIME_N("&amp;$AA$18&amp;",3)")</f>
        <v/>
      </c>
      <c r="T587" s="282" t="str" cm="1">
        <f t="array" ref="T587">_xll.FDSB($C587,"CS_EVENT_DESC_N("&amp;$AA$18&amp;",3)")</f>
        <v/>
      </c>
      <c r="U587" s="282"/>
      <c r="V587" s="274" t="str" cm="1">
        <f t="array" ref="V587">_xll.FDSB($C587,"CS_EVENT_DATEJ_N("&amp;$AA$18&amp;",4)")</f>
        <v/>
      </c>
      <c r="W587" s="282" t="str" cm="1">
        <f t="array" ref="W587">_xll.FDSB($C587,"CS_EVENT_TIME_N("&amp;$AA$18&amp;",4)")</f>
        <v/>
      </c>
      <c r="X587" s="282" t="str" cm="1">
        <f t="array" ref="X587">_xll.FDSB($C587,"CS_EVENT_DESC_N("&amp;$AA$18&amp;",4)")</f>
        <v/>
      </c>
    </row>
    <row r="588" spans="2:24" x14ac:dyDescent="0.15">
      <c r="B588" s="298">
        <f t="shared" si="10"/>
        <v>573</v>
      </c>
      <c r="C588" s="299"/>
      <c r="D588" s="300" t="str" cm="1">
        <f t="array" ref="D588">_xll.FDSB($C588,"FG_COMPANY_NAME")</f>
        <v/>
      </c>
      <c r="E588" s="300"/>
      <c r="F588" s="274" t="str" cm="1">
        <f t="array" ref="F588">_xll.FDSB($C588,"CS_EVENT_DATEJ_N("&amp;$AA$18&amp;",1)")</f>
        <v/>
      </c>
      <c r="G588" s="282" t="str" cm="1">
        <f t="array" ref="G588">_xll.FDSB($C588,"CS_EVENT_TIME_N("&amp;$AA$18&amp;",1)")</f>
        <v/>
      </c>
      <c r="H588" s="282" t="str" cm="1">
        <f t="array" ref="H588">_xll.FDSB($C588,"CS_EVENT_DESC_N("&amp;$AA$18&amp;",1)")</f>
        <v/>
      </c>
      <c r="I588" s="282"/>
      <c r="J588" s="274" t="str" cm="1">
        <f t="array" ref="J588">_xll.FDSB($C588,"CS_EVENT_DATEJ_N("&amp;$AB$18&amp;",1)")</f>
        <v/>
      </c>
      <c r="K588" s="282" t="str" cm="1">
        <f t="array" ref="K588">_xll.FDSB($C588,"CS_EVENT_TIME_N("&amp;$AB$18&amp;",1)")</f>
        <v/>
      </c>
      <c r="L588" s="282" t="str" cm="1">
        <f t="array" ref="L588">_xll.FDSB($C588,"CS_EVENT_DESC_N("&amp;$AB$18&amp;",1)")</f>
        <v/>
      </c>
      <c r="M588" s="300"/>
      <c r="N588" s="274" t="str" cm="1">
        <f t="array" ref="N588">_xll.FDSB($C588,"CS_EVENT_DATEJ_N("&amp;$AA$18&amp;",2)")</f>
        <v/>
      </c>
      <c r="O588" s="282" t="str" cm="1">
        <f t="array" ref="O588">_xll.FDSB($C588,"CS_EVENT_TIME_N("&amp;$AA$18&amp;",2)")</f>
        <v/>
      </c>
      <c r="P588" s="282" t="str" cm="1">
        <f t="array" ref="P588">_xll.FDSB($C588,"CS_EVENT_DESC_N("&amp;$AA$18&amp;",2)")</f>
        <v/>
      </c>
      <c r="Q588" s="282"/>
      <c r="R588" s="274" t="str" cm="1">
        <f t="array" ref="R588">_xll.FDSB($C588,"CS_EVENT_DATEJ_N("&amp;$AA$18&amp;",3)")</f>
        <v/>
      </c>
      <c r="S588" s="282" t="str" cm="1">
        <f t="array" ref="S588">_xll.FDSB($C588,"CS_EVENT_TIME_N("&amp;$AA$18&amp;",3)")</f>
        <v/>
      </c>
      <c r="T588" s="282" t="str" cm="1">
        <f t="array" ref="T588">_xll.FDSB($C588,"CS_EVENT_DESC_N("&amp;$AA$18&amp;",3)")</f>
        <v/>
      </c>
      <c r="U588" s="282"/>
      <c r="V588" s="274" t="str" cm="1">
        <f t="array" ref="V588">_xll.FDSB($C588,"CS_EVENT_DATEJ_N("&amp;$AA$18&amp;",4)")</f>
        <v/>
      </c>
      <c r="W588" s="282" t="str" cm="1">
        <f t="array" ref="W588">_xll.FDSB($C588,"CS_EVENT_TIME_N("&amp;$AA$18&amp;",4)")</f>
        <v/>
      </c>
      <c r="X588" s="282" t="str" cm="1">
        <f t="array" ref="X588">_xll.FDSB($C588,"CS_EVENT_DESC_N("&amp;$AA$18&amp;",4)")</f>
        <v/>
      </c>
    </row>
    <row r="589" spans="2:24" x14ac:dyDescent="0.15">
      <c r="B589" s="298">
        <f t="shared" si="10"/>
        <v>574</v>
      </c>
      <c r="C589" s="299"/>
      <c r="D589" s="300" t="str" cm="1">
        <f t="array" ref="D589">_xll.FDSB($C589,"FG_COMPANY_NAME")</f>
        <v/>
      </c>
      <c r="E589" s="300"/>
      <c r="F589" s="274" t="str" cm="1">
        <f t="array" ref="F589">_xll.FDSB($C589,"CS_EVENT_DATEJ_N("&amp;$AA$18&amp;",1)")</f>
        <v/>
      </c>
      <c r="G589" s="282" t="str" cm="1">
        <f t="array" ref="G589">_xll.FDSB($C589,"CS_EVENT_TIME_N("&amp;$AA$18&amp;",1)")</f>
        <v/>
      </c>
      <c r="H589" s="282" t="str" cm="1">
        <f t="array" ref="H589">_xll.FDSB($C589,"CS_EVENT_DESC_N("&amp;$AA$18&amp;",1)")</f>
        <v/>
      </c>
      <c r="I589" s="282"/>
      <c r="J589" s="274" t="str" cm="1">
        <f t="array" ref="J589">_xll.FDSB($C589,"CS_EVENT_DATEJ_N("&amp;$AB$18&amp;",1)")</f>
        <v/>
      </c>
      <c r="K589" s="282" t="str" cm="1">
        <f t="array" ref="K589">_xll.FDSB($C589,"CS_EVENT_TIME_N("&amp;$AB$18&amp;",1)")</f>
        <v/>
      </c>
      <c r="L589" s="282" t="str" cm="1">
        <f t="array" ref="L589">_xll.FDSB($C589,"CS_EVENT_DESC_N("&amp;$AB$18&amp;",1)")</f>
        <v/>
      </c>
      <c r="M589" s="300"/>
      <c r="N589" s="274" t="str" cm="1">
        <f t="array" ref="N589">_xll.FDSB($C589,"CS_EVENT_DATEJ_N("&amp;$AA$18&amp;",2)")</f>
        <v/>
      </c>
      <c r="O589" s="282" t="str" cm="1">
        <f t="array" ref="O589">_xll.FDSB($C589,"CS_EVENT_TIME_N("&amp;$AA$18&amp;",2)")</f>
        <v/>
      </c>
      <c r="P589" s="282" t="str" cm="1">
        <f t="array" ref="P589">_xll.FDSB($C589,"CS_EVENT_DESC_N("&amp;$AA$18&amp;",2)")</f>
        <v/>
      </c>
      <c r="Q589" s="282"/>
      <c r="R589" s="274" t="str" cm="1">
        <f t="array" ref="R589">_xll.FDSB($C589,"CS_EVENT_DATEJ_N("&amp;$AA$18&amp;",3)")</f>
        <v/>
      </c>
      <c r="S589" s="282" t="str" cm="1">
        <f t="array" ref="S589">_xll.FDSB($C589,"CS_EVENT_TIME_N("&amp;$AA$18&amp;",3)")</f>
        <v/>
      </c>
      <c r="T589" s="282" t="str" cm="1">
        <f t="array" ref="T589">_xll.FDSB($C589,"CS_EVENT_DESC_N("&amp;$AA$18&amp;",3)")</f>
        <v/>
      </c>
      <c r="U589" s="282"/>
      <c r="V589" s="274" t="str" cm="1">
        <f t="array" ref="V589">_xll.FDSB($C589,"CS_EVENT_DATEJ_N("&amp;$AA$18&amp;",4)")</f>
        <v/>
      </c>
      <c r="W589" s="282" t="str" cm="1">
        <f t="array" ref="W589">_xll.FDSB($C589,"CS_EVENT_TIME_N("&amp;$AA$18&amp;",4)")</f>
        <v/>
      </c>
      <c r="X589" s="282" t="str" cm="1">
        <f t="array" ref="X589">_xll.FDSB($C589,"CS_EVENT_DESC_N("&amp;$AA$18&amp;",4)")</f>
        <v/>
      </c>
    </row>
    <row r="590" spans="2:24" x14ac:dyDescent="0.15">
      <c r="B590" s="298">
        <f t="shared" si="10"/>
        <v>575</v>
      </c>
      <c r="C590" s="299"/>
      <c r="D590" s="300" t="str" cm="1">
        <f t="array" ref="D590">_xll.FDSB($C590,"FG_COMPANY_NAME")</f>
        <v/>
      </c>
      <c r="E590" s="300"/>
      <c r="F590" s="274" t="str" cm="1">
        <f t="array" ref="F590">_xll.FDSB($C590,"CS_EVENT_DATEJ_N("&amp;$AA$18&amp;",1)")</f>
        <v/>
      </c>
      <c r="G590" s="282" t="str" cm="1">
        <f t="array" ref="G590">_xll.FDSB($C590,"CS_EVENT_TIME_N("&amp;$AA$18&amp;",1)")</f>
        <v/>
      </c>
      <c r="H590" s="282" t="str" cm="1">
        <f t="array" ref="H590">_xll.FDSB($C590,"CS_EVENT_DESC_N("&amp;$AA$18&amp;",1)")</f>
        <v/>
      </c>
      <c r="I590" s="282"/>
      <c r="J590" s="274" t="str" cm="1">
        <f t="array" ref="J590">_xll.FDSB($C590,"CS_EVENT_DATEJ_N("&amp;$AB$18&amp;",1)")</f>
        <v/>
      </c>
      <c r="K590" s="282" t="str" cm="1">
        <f t="array" ref="K590">_xll.FDSB($C590,"CS_EVENT_TIME_N("&amp;$AB$18&amp;",1)")</f>
        <v/>
      </c>
      <c r="L590" s="282" t="str" cm="1">
        <f t="array" ref="L590">_xll.FDSB($C590,"CS_EVENT_DESC_N("&amp;$AB$18&amp;",1)")</f>
        <v/>
      </c>
      <c r="M590" s="300"/>
      <c r="N590" s="274" t="str" cm="1">
        <f t="array" ref="N590">_xll.FDSB($C590,"CS_EVENT_DATEJ_N("&amp;$AA$18&amp;",2)")</f>
        <v/>
      </c>
      <c r="O590" s="282" t="str" cm="1">
        <f t="array" ref="O590">_xll.FDSB($C590,"CS_EVENT_TIME_N("&amp;$AA$18&amp;",2)")</f>
        <v/>
      </c>
      <c r="P590" s="282" t="str" cm="1">
        <f t="array" ref="P590">_xll.FDSB($C590,"CS_EVENT_DESC_N("&amp;$AA$18&amp;",2)")</f>
        <v/>
      </c>
      <c r="Q590" s="282"/>
      <c r="R590" s="274" t="str" cm="1">
        <f t="array" ref="R590">_xll.FDSB($C590,"CS_EVENT_DATEJ_N("&amp;$AA$18&amp;",3)")</f>
        <v/>
      </c>
      <c r="S590" s="282" t="str" cm="1">
        <f t="array" ref="S590">_xll.FDSB($C590,"CS_EVENT_TIME_N("&amp;$AA$18&amp;",3)")</f>
        <v/>
      </c>
      <c r="T590" s="282" t="str" cm="1">
        <f t="array" ref="T590">_xll.FDSB($C590,"CS_EVENT_DESC_N("&amp;$AA$18&amp;",3)")</f>
        <v/>
      </c>
      <c r="U590" s="282"/>
      <c r="V590" s="274" t="str" cm="1">
        <f t="array" ref="V590">_xll.FDSB($C590,"CS_EVENT_DATEJ_N("&amp;$AA$18&amp;",4)")</f>
        <v/>
      </c>
      <c r="W590" s="282" t="str" cm="1">
        <f t="array" ref="W590">_xll.FDSB($C590,"CS_EVENT_TIME_N("&amp;$AA$18&amp;",4)")</f>
        <v/>
      </c>
      <c r="X590" s="282" t="str" cm="1">
        <f t="array" ref="X590">_xll.FDSB($C590,"CS_EVENT_DESC_N("&amp;$AA$18&amp;",4)")</f>
        <v/>
      </c>
    </row>
    <row r="591" spans="2:24" x14ac:dyDescent="0.15">
      <c r="B591" s="298">
        <f t="shared" si="10"/>
        <v>576</v>
      </c>
      <c r="C591" s="299"/>
      <c r="D591" s="300" t="str" cm="1">
        <f t="array" ref="D591">_xll.FDSB($C591,"FG_COMPANY_NAME")</f>
        <v/>
      </c>
      <c r="E591" s="300"/>
      <c r="F591" s="274" t="str" cm="1">
        <f t="array" ref="F591">_xll.FDSB($C591,"CS_EVENT_DATEJ_N("&amp;$AA$18&amp;",1)")</f>
        <v/>
      </c>
      <c r="G591" s="282" t="str" cm="1">
        <f t="array" ref="G591">_xll.FDSB($C591,"CS_EVENT_TIME_N("&amp;$AA$18&amp;",1)")</f>
        <v/>
      </c>
      <c r="H591" s="282" t="str" cm="1">
        <f t="array" ref="H591">_xll.FDSB($C591,"CS_EVENT_DESC_N("&amp;$AA$18&amp;",1)")</f>
        <v/>
      </c>
      <c r="I591" s="282"/>
      <c r="J591" s="274" t="str" cm="1">
        <f t="array" ref="J591">_xll.FDSB($C591,"CS_EVENT_DATEJ_N("&amp;$AB$18&amp;",1)")</f>
        <v/>
      </c>
      <c r="K591" s="282" t="str" cm="1">
        <f t="array" ref="K591">_xll.FDSB($C591,"CS_EVENT_TIME_N("&amp;$AB$18&amp;",1)")</f>
        <v/>
      </c>
      <c r="L591" s="282" t="str" cm="1">
        <f t="array" ref="L591">_xll.FDSB($C591,"CS_EVENT_DESC_N("&amp;$AB$18&amp;",1)")</f>
        <v/>
      </c>
      <c r="M591" s="300"/>
      <c r="N591" s="274" t="str" cm="1">
        <f t="array" ref="N591">_xll.FDSB($C591,"CS_EVENT_DATEJ_N("&amp;$AA$18&amp;",2)")</f>
        <v/>
      </c>
      <c r="O591" s="282" t="str" cm="1">
        <f t="array" ref="O591">_xll.FDSB($C591,"CS_EVENT_TIME_N("&amp;$AA$18&amp;",2)")</f>
        <v/>
      </c>
      <c r="P591" s="282" t="str" cm="1">
        <f t="array" ref="P591">_xll.FDSB($C591,"CS_EVENT_DESC_N("&amp;$AA$18&amp;",2)")</f>
        <v/>
      </c>
      <c r="Q591" s="282"/>
      <c r="R591" s="274" t="str" cm="1">
        <f t="array" ref="R591">_xll.FDSB($C591,"CS_EVENT_DATEJ_N("&amp;$AA$18&amp;",3)")</f>
        <v/>
      </c>
      <c r="S591" s="282" t="str" cm="1">
        <f t="array" ref="S591">_xll.FDSB($C591,"CS_EVENT_TIME_N("&amp;$AA$18&amp;",3)")</f>
        <v/>
      </c>
      <c r="T591" s="282" t="str" cm="1">
        <f t="array" ref="T591">_xll.FDSB($C591,"CS_EVENT_DESC_N("&amp;$AA$18&amp;",3)")</f>
        <v/>
      </c>
      <c r="U591" s="282"/>
      <c r="V591" s="274" t="str" cm="1">
        <f t="array" ref="V591">_xll.FDSB($C591,"CS_EVENT_DATEJ_N("&amp;$AA$18&amp;",4)")</f>
        <v/>
      </c>
      <c r="W591" s="282" t="str" cm="1">
        <f t="array" ref="W591">_xll.FDSB($C591,"CS_EVENT_TIME_N("&amp;$AA$18&amp;",4)")</f>
        <v/>
      </c>
      <c r="X591" s="282" t="str" cm="1">
        <f t="array" ref="X591">_xll.FDSB($C591,"CS_EVENT_DESC_N("&amp;$AA$18&amp;",4)")</f>
        <v/>
      </c>
    </row>
    <row r="592" spans="2:24" x14ac:dyDescent="0.15">
      <c r="B592" s="298">
        <f t="shared" si="10"/>
        <v>577</v>
      </c>
      <c r="C592" s="299"/>
      <c r="D592" s="300" t="str" cm="1">
        <f t="array" ref="D592">_xll.FDSB($C592,"FG_COMPANY_NAME")</f>
        <v/>
      </c>
      <c r="E592" s="300"/>
      <c r="F592" s="274" t="str" cm="1">
        <f t="array" ref="F592">_xll.FDSB($C592,"CS_EVENT_DATEJ_N("&amp;$AA$18&amp;",1)")</f>
        <v/>
      </c>
      <c r="G592" s="282" t="str" cm="1">
        <f t="array" ref="G592">_xll.FDSB($C592,"CS_EVENT_TIME_N("&amp;$AA$18&amp;",1)")</f>
        <v/>
      </c>
      <c r="H592" s="282" t="str" cm="1">
        <f t="array" ref="H592">_xll.FDSB($C592,"CS_EVENT_DESC_N("&amp;$AA$18&amp;",1)")</f>
        <v/>
      </c>
      <c r="I592" s="282"/>
      <c r="J592" s="274" t="str" cm="1">
        <f t="array" ref="J592">_xll.FDSB($C592,"CS_EVENT_DATEJ_N("&amp;$AB$18&amp;",1)")</f>
        <v/>
      </c>
      <c r="K592" s="282" t="str" cm="1">
        <f t="array" ref="K592">_xll.FDSB($C592,"CS_EVENT_TIME_N("&amp;$AB$18&amp;",1)")</f>
        <v/>
      </c>
      <c r="L592" s="282" t="str" cm="1">
        <f t="array" ref="L592">_xll.FDSB($C592,"CS_EVENT_DESC_N("&amp;$AB$18&amp;",1)")</f>
        <v/>
      </c>
      <c r="M592" s="300"/>
      <c r="N592" s="274" t="str" cm="1">
        <f t="array" ref="N592">_xll.FDSB($C592,"CS_EVENT_DATEJ_N("&amp;$AA$18&amp;",2)")</f>
        <v/>
      </c>
      <c r="O592" s="282" t="str" cm="1">
        <f t="array" ref="O592">_xll.FDSB($C592,"CS_EVENT_TIME_N("&amp;$AA$18&amp;",2)")</f>
        <v/>
      </c>
      <c r="P592" s="282" t="str" cm="1">
        <f t="array" ref="P592">_xll.FDSB($C592,"CS_EVENT_DESC_N("&amp;$AA$18&amp;",2)")</f>
        <v/>
      </c>
      <c r="Q592" s="282"/>
      <c r="R592" s="274" t="str" cm="1">
        <f t="array" ref="R592">_xll.FDSB($C592,"CS_EVENT_DATEJ_N("&amp;$AA$18&amp;",3)")</f>
        <v/>
      </c>
      <c r="S592" s="282" t="str" cm="1">
        <f t="array" ref="S592">_xll.FDSB($C592,"CS_EVENT_TIME_N("&amp;$AA$18&amp;",3)")</f>
        <v/>
      </c>
      <c r="T592" s="282" t="str" cm="1">
        <f t="array" ref="T592">_xll.FDSB($C592,"CS_EVENT_DESC_N("&amp;$AA$18&amp;",3)")</f>
        <v/>
      </c>
      <c r="U592" s="282"/>
      <c r="V592" s="274" t="str" cm="1">
        <f t="array" ref="V592">_xll.FDSB($C592,"CS_EVENT_DATEJ_N("&amp;$AA$18&amp;",4)")</f>
        <v/>
      </c>
      <c r="W592" s="282" t="str" cm="1">
        <f t="array" ref="W592">_xll.FDSB($C592,"CS_EVENT_TIME_N("&amp;$AA$18&amp;",4)")</f>
        <v/>
      </c>
      <c r="X592" s="282" t="str" cm="1">
        <f t="array" ref="X592">_xll.FDSB($C592,"CS_EVENT_DESC_N("&amp;$AA$18&amp;",4)")</f>
        <v/>
      </c>
    </row>
    <row r="593" spans="2:24" x14ac:dyDescent="0.15">
      <c r="B593" s="298">
        <f t="shared" si="10"/>
        <v>578</v>
      </c>
      <c r="C593" s="299"/>
      <c r="D593" s="300" t="str" cm="1">
        <f t="array" ref="D593">_xll.FDSB($C593,"FG_COMPANY_NAME")</f>
        <v/>
      </c>
      <c r="E593" s="300"/>
      <c r="F593" s="274" t="str" cm="1">
        <f t="array" ref="F593">_xll.FDSB($C593,"CS_EVENT_DATEJ_N("&amp;$AA$18&amp;",1)")</f>
        <v/>
      </c>
      <c r="G593" s="282" t="str" cm="1">
        <f t="array" ref="G593">_xll.FDSB($C593,"CS_EVENT_TIME_N("&amp;$AA$18&amp;",1)")</f>
        <v/>
      </c>
      <c r="H593" s="282" t="str" cm="1">
        <f t="array" ref="H593">_xll.FDSB($C593,"CS_EVENT_DESC_N("&amp;$AA$18&amp;",1)")</f>
        <v/>
      </c>
      <c r="I593" s="282"/>
      <c r="J593" s="274" t="str" cm="1">
        <f t="array" ref="J593">_xll.FDSB($C593,"CS_EVENT_DATEJ_N("&amp;$AB$18&amp;",1)")</f>
        <v/>
      </c>
      <c r="K593" s="282" t="str" cm="1">
        <f t="array" ref="K593">_xll.FDSB($C593,"CS_EVENT_TIME_N("&amp;$AB$18&amp;",1)")</f>
        <v/>
      </c>
      <c r="L593" s="282" t="str" cm="1">
        <f t="array" ref="L593">_xll.FDSB($C593,"CS_EVENT_DESC_N("&amp;$AB$18&amp;",1)")</f>
        <v/>
      </c>
      <c r="M593" s="300"/>
      <c r="N593" s="274" t="str" cm="1">
        <f t="array" ref="N593">_xll.FDSB($C593,"CS_EVENT_DATEJ_N("&amp;$AA$18&amp;",2)")</f>
        <v/>
      </c>
      <c r="O593" s="282" t="str" cm="1">
        <f t="array" ref="O593">_xll.FDSB($C593,"CS_EVENT_TIME_N("&amp;$AA$18&amp;",2)")</f>
        <v/>
      </c>
      <c r="P593" s="282" t="str" cm="1">
        <f t="array" ref="P593">_xll.FDSB($C593,"CS_EVENT_DESC_N("&amp;$AA$18&amp;",2)")</f>
        <v/>
      </c>
      <c r="Q593" s="282"/>
      <c r="R593" s="274" t="str" cm="1">
        <f t="array" ref="R593">_xll.FDSB($C593,"CS_EVENT_DATEJ_N("&amp;$AA$18&amp;",3)")</f>
        <v/>
      </c>
      <c r="S593" s="282" t="str" cm="1">
        <f t="array" ref="S593">_xll.FDSB($C593,"CS_EVENT_TIME_N("&amp;$AA$18&amp;",3)")</f>
        <v/>
      </c>
      <c r="T593" s="282" t="str" cm="1">
        <f t="array" ref="T593">_xll.FDSB($C593,"CS_EVENT_DESC_N("&amp;$AA$18&amp;",3)")</f>
        <v/>
      </c>
      <c r="U593" s="282"/>
      <c r="V593" s="274" t="str" cm="1">
        <f t="array" ref="V593">_xll.FDSB($C593,"CS_EVENT_DATEJ_N("&amp;$AA$18&amp;",4)")</f>
        <v/>
      </c>
      <c r="W593" s="282" t="str" cm="1">
        <f t="array" ref="W593">_xll.FDSB($C593,"CS_EVENT_TIME_N("&amp;$AA$18&amp;",4)")</f>
        <v/>
      </c>
      <c r="X593" s="282" t="str" cm="1">
        <f t="array" ref="X593">_xll.FDSB($C593,"CS_EVENT_DESC_N("&amp;$AA$18&amp;",4)")</f>
        <v/>
      </c>
    </row>
    <row r="594" spans="2:24" x14ac:dyDescent="0.15">
      <c r="B594" s="298">
        <f t="shared" ref="B594:B657" si="11">B593+1</f>
        <v>579</v>
      </c>
      <c r="C594" s="299"/>
      <c r="D594" s="300" t="str" cm="1">
        <f t="array" ref="D594">_xll.FDSB($C594,"FG_COMPANY_NAME")</f>
        <v/>
      </c>
      <c r="E594" s="300"/>
      <c r="F594" s="274" t="str" cm="1">
        <f t="array" ref="F594">_xll.FDSB($C594,"CS_EVENT_DATEJ_N("&amp;$AA$18&amp;",1)")</f>
        <v/>
      </c>
      <c r="G594" s="282" t="str" cm="1">
        <f t="array" ref="G594">_xll.FDSB($C594,"CS_EVENT_TIME_N("&amp;$AA$18&amp;",1)")</f>
        <v/>
      </c>
      <c r="H594" s="282" t="str" cm="1">
        <f t="array" ref="H594">_xll.FDSB($C594,"CS_EVENT_DESC_N("&amp;$AA$18&amp;",1)")</f>
        <v/>
      </c>
      <c r="I594" s="282"/>
      <c r="J594" s="274" t="str" cm="1">
        <f t="array" ref="J594">_xll.FDSB($C594,"CS_EVENT_DATEJ_N("&amp;$AB$18&amp;",1)")</f>
        <v/>
      </c>
      <c r="K594" s="282" t="str" cm="1">
        <f t="array" ref="K594">_xll.FDSB($C594,"CS_EVENT_TIME_N("&amp;$AB$18&amp;",1)")</f>
        <v/>
      </c>
      <c r="L594" s="282" t="str" cm="1">
        <f t="array" ref="L594">_xll.FDSB($C594,"CS_EVENT_DESC_N("&amp;$AB$18&amp;",1)")</f>
        <v/>
      </c>
      <c r="M594" s="300"/>
      <c r="N594" s="274" t="str" cm="1">
        <f t="array" ref="N594">_xll.FDSB($C594,"CS_EVENT_DATEJ_N("&amp;$AA$18&amp;",2)")</f>
        <v/>
      </c>
      <c r="O594" s="282" t="str" cm="1">
        <f t="array" ref="O594">_xll.FDSB($C594,"CS_EVENT_TIME_N("&amp;$AA$18&amp;",2)")</f>
        <v/>
      </c>
      <c r="P594" s="282" t="str" cm="1">
        <f t="array" ref="P594">_xll.FDSB($C594,"CS_EVENT_DESC_N("&amp;$AA$18&amp;",2)")</f>
        <v/>
      </c>
      <c r="Q594" s="282"/>
      <c r="R594" s="274" t="str" cm="1">
        <f t="array" ref="R594">_xll.FDSB($C594,"CS_EVENT_DATEJ_N("&amp;$AA$18&amp;",3)")</f>
        <v/>
      </c>
      <c r="S594" s="282" t="str" cm="1">
        <f t="array" ref="S594">_xll.FDSB($C594,"CS_EVENT_TIME_N("&amp;$AA$18&amp;",3)")</f>
        <v/>
      </c>
      <c r="T594" s="282" t="str" cm="1">
        <f t="array" ref="T594">_xll.FDSB($C594,"CS_EVENT_DESC_N("&amp;$AA$18&amp;",3)")</f>
        <v/>
      </c>
      <c r="U594" s="282"/>
      <c r="V594" s="274" t="str" cm="1">
        <f t="array" ref="V594">_xll.FDSB($C594,"CS_EVENT_DATEJ_N("&amp;$AA$18&amp;",4)")</f>
        <v/>
      </c>
      <c r="W594" s="282" t="str" cm="1">
        <f t="array" ref="W594">_xll.FDSB($C594,"CS_EVENT_TIME_N("&amp;$AA$18&amp;",4)")</f>
        <v/>
      </c>
      <c r="X594" s="282" t="str" cm="1">
        <f t="array" ref="X594">_xll.FDSB($C594,"CS_EVENT_DESC_N("&amp;$AA$18&amp;",4)")</f>
        <v/>
      </c>
    </row>
    <row r="595" spans="2:24" x14ac:dyDescent="0.15">
      <c r="B595" s="298">
        <f t="shared" si="11"/>
        <v>580</v>
      </c>
      <c r="C595" s="299"/>
      <c r="D595" s="300" t="str" cm="1">
        <f t="array" ref="D595">_xll.FDSB($C595,"FG_COMPANY_NAME")</f>
        <v/>
      </c>
      <c r="E595" s="300"/>
      <c r="F595" s="274" t="str" cm="1">
        <f t="array" ref="F595">_xll.FDSB($C595,"CS_EVENT_DATEJ_N("&amp;$AA$18&amp;",1)")</f>
        <v/>
      </c>
      <c r="G595" s="282" t="str" cm="1">
        <f t="array" ref="G595">_xll.FDSB($C595,"CS_EVENT_TIME_N("&amp;$AA$18&amp;",1)")</f>
        <v/>
      </c>
      <c r="H595" s="282" t="str" cm="1">
        <f t="array" ref="H595">_xll.FDSB($C595,"CS_EVENT_DESC_N("&amp;$AA$18&amp;",1)")</f>
        <v/>
      </c>
      <c r="I595" s="282"/>
      <c r="J595" s="274" t="str" cm="1">
        <f t="array" ref="J595">_xll.FDSB($C595,"CS_EVENT_DATEJ_N("&amp;$AB$18&amp;",1)")</f>
        <v/>
      </c>
      <c r="K595" s="282" t="str" cm="1">
        <f t="array" ref="K595">_xll.FDSB($C595,"CS_EVENT_TIME_N("&amp;$AB$18&amp;",1)")</f>
        <v/>
      </c>
      <c r="L595" s="282" t="str" cm="1">
        <f t="array" ref="L595">_xll.FDSB($C595,"CS_EVENT_DESC_N("&amp;$AB$18&amp;",1)")</f>
        <v/>
      </c>
      <c r="M595" s="300"/>
      <c r="N595" s="274" t="str" cm="1">
        <f t="array" ref="N595">_xll.FDSB($C595,"CS_EVENT_DATEJ_N("&amp;$AA$18&amp;",2)")</f>
        <v/>
      </c>
      <c r="O595" s="282" t="str" cm="1">
        <f t="array" ref="O595">_xll.FDSB($C595,"CS_EVENT_TIME_N("&amp;$AA$18&amp;",2)")</f>
        <v/>
      </c>
      <c r="P595" s="282" t="str" cm="1">
        <f t="array" ref="P595">_xll.FDSB($C595,"CS_EVENT_DESC_N("&amp;$AA$18&amp;",2)")</f>
        <v/>
      </c>
      <c r="Q595" s="282"/>
      <c r="R595" s="274" t="str" cm="1">
        <f t="array" ref="R595">_xll.FDSB($C595,"CS_EVENT_DATEJ_N("&amp;$AA$18&amp;",3)")</f>
        <v/>
      </c>
      <c r="S595" s="282" t="str" cm="1">
        <f t="array" ref="S595">_xll.FDSB($C595,"CS_EVENT_TIME_N("&amp;$AA$18&amp;",3)")</f>
        <v/>
      </c>
      <c r="T595" s="282" t="str" cm="1">
        <f t="array" ref="T595">_xll.FDSB($C595,"CS_EVENT_DESC_N("&amp;$AA$18&amp;",3)")</f>
        <v/>
      </c>
      <c r="U595" s="282"/>
      <c r="V595" s="274" t="str" cm="1">
        <f t="array" ref="V595">_xll.FDSB($C595,"CS_EVENT_DATEJ_N("&amp;$AA$18&amp;",4)")</f>
        <v/>
      </c>
      <c r="W595" s="282" t="str" cm="1">
        <f t="array" ref="W595">_xll.FDSB($C595,"CS_EVENT_TIME_N("&amp;$AA$18&amp;",4)")</f>
        <v/>
      </c>
      <c r="X595" s="282" t="str" cm="1">
        <f t="array" ref="X595">_xll.FDSB($C595,"CS_EVENT_DESC_N("&amp;$AA$18&amp;",4)")</f>
        <v/>
      </c>
    </row>
    <row r="596" spans="2:24" x14ac:dyDescent="0.15">
      <c r="B596" s="298">
        <f t="shared" si="11"/>
        <v>581</v>
      </c>
      <c r="C596" s="299"/>
      <c r="D596" s="300" t="str" cm="1">
        <f t="array" ref="D596">_xll.FDSB($C596,"FG_COMPANY_NAME")</f>
        <v/>
      </c>
      <c r="E596" s="300"/>
      <c r="F596" s="274" t="str" cm="1">
        <f t="array" ref="F596">_xll.FDSB($C596,"CS_EVENT_DATEJ_N("&amp;$AA$18&amp;",1)")</f>
        <v/>
      </c>
      <c r="G596" s="282" t="str" cm="1">
        <f t="array" ref="G596">_xll.FDSB($C596,"CS_EVENT_TIME_N("&amp;$AA$18&amp;",1)")</f>
        <v/>
      </c>
      <c r="H596" s="282" t="str" cm="1">
        <f t="array" ref="H596">_xll.FDSB($C596,"CS_EVENT_DESC_N("&amp;$AA$18&amp;",1)")</f>
        <v/>
      </c>
      <c r="I596" s="282"/>
      <c r="J596" s="274" t="str" cm="1">
        <f t="array" ref="J596">_xll.FDSB($C596,"CS_EVENT_DATEJ_N("&amp;$AB$18&amp;",1)")</f>
        <v/>
      </c>
      <c r="K596" s="282" t="str" cm="1">
        <f t="array" ref="K596">_xll.FDSB($C596,"CS_EVENT_TIME_N("&amp;$AB$18&amp;",1)")</f>
        <v/>
      </c>
      <c r="L596" s="282" t="str" cm="1">
        <f t="array" ref="L596">_xll.FDSB($C596,"CS_EVENT_DESC_N("&amp;$AB$18&amp;",1)")</f>
        <v/>
      </c>
      <c r="M596" s="300"/>
      <c r="N596" s="274" t="str" cm="1">
        <f t="array" ref="N596">_xll.FDSB($C596,"CS_EVENT_DATEJ_N("&amp;$AA$18&amp;",2)")</f>
        <v/>
      </c>
      <c r="O596" s="282" t="str" cm="1">
        <f t="array" ref="O596">_xll.FDSB($C596,"CS_EVENT_TIME_N("&amp;$AA$18&amp;",2)")</f>
        <v/>
      </c>
      <c r="P596" s="282" t="str" cm="1">
        <f t="array" ref="P596">_xll.FDSB($C596,"CS_EVENT_DESC_N("&amp;$AA$18&amp;",2)")</f>
        <v/>
      </c>
      <c r="Q596" s="282"/>
      <c r="R596" s="274" t="str" cm="1">
        <f t="array" ref="R596">_xll.FDSB($C596,"CS_EVENT_DATEJ_N("&amp;$AA$18&amp;",3)")</f>
        <v/>
      </c>
      <c r="S596" s="282" t="str" cm="1">
        <f t="array" ref="S596">_xll.FDSB($C596,"CS_EVENT_TIME_N("&amp;$AA$18&amp;",3)")</f>
        <v/>
      </c>
      <c r="T596" s="282" t="str" cm="1">
        <f t="array" ref="T596">_xll.FDSB($C596,"CS_EVENT_DESC_N("&amp;$AA$18&amp;",3)")</f>
        <v/>
      </c>
      <c r="U596" s="282"/>
      <c r="V596" s="274" t="str" cm="1">
        <f t="array" ref="V596">_xll.FDSB($C596,"CS_EVENT_DATEJ_N("&amp;$AA$18&amp;",4)")</f>
        <v/>
      </c>
      <c r="W596" s="282" t="str" cm="1">
        <f t="array" ref="W596">_xll.FDSB($C596,"CS_EVENT_TIME_N("&amp;$AA$18&amp;",4)")</f>
        <v/>
      </c>
      <c r="X596" s="282" t="str" cm="1">
        <f t="array" ref="X596">_xll.FDSB($C596,"CS_EVENT_DESC_N("&amp;$AA$18&amp;",4)")</f>
        <v/>
      </c>
    </row>
    <row r="597" spans="2:24" x14ac:dyDescent="0.15">
      <c r="B597" s="298">
        <f t="shared" si="11"/>
        <v>582</v>
      </c>
      <c r="C597" s="299"/>
      <c r="D597" s="300" t="str" cm="1">
        <f t="array" ref="D597">_xll.FDSB($C597,"FG_COMPANY_NAME")</f>
        <v/>
      </c>
      <c r="E597" s="300"/>
      <c r="F597" s="274" t="str" cm="1">
        <f t="array" ref="F597">_xll.FDSB($C597,"CS_EVENT_DATEJ_N("&amp;$AA$18&amp;",1)")</f>
        <v/>
      </c>
      <c r="G597" s="282" t="str" cm="1">
        <f t="array" ref="G597">_xll.FDSB($C597,"CS_EVENT_TIME_N("&amp;$AA$18&amp;",1)")</f>
        <v/>
      </c>
      <c r="H597" s="282" t="str" cm="1">
        <f t="array" ref="H597">_xll.FDSB($C597,"CS_EVENT_DESC_N("&amp;$AA$18&amp;",1)")</f>
        <v/>
      </c>
      <c r="I597" s="282"/>
      <c r="J597" s="274" t="str" cm="1">
        <f t="array" ref="J597">_xll.FDSB($C597,"CS_EVENT_DATEJ_N("&amp;$AB$18&amp;",1)")</f>
        <v/>
      </c>
      <c r="K597" s="282" t="str" cm="1">
        <f t="array" ref="K597">_xll.FDSB($C597,"CS_EVENT_TIME_N("&amp;$AB$18&amp;",1)")</f>
        <v/>
      </c>
      <c r="L597" s="282" t="str" cm="1">
        <f t="array" ref="L597">_xll.FDSB($C597,"CS_EVENT_DESC_N("&amp;$AB$18&amp;",1)")</f>
        <v/>
      </c>
      <c r="M597" s="300"/>
      <c r="N597" s="274" t="str" cm="1">
        <f t="array" ref="N597">_xll.FDSB($C597,"CS_EVENT_DATEJ_N("&amp;$AA$18&amp;",2)")</f>
        <v/>
      </c>
      <c r="O597" s="282" t="str" cm="1">
        <f t="array" ref="O597">_xll.FDSB($C597,"CS_EVENT_TIME_N("&amp;$AA$18&amp;",2)")</f>
        <v/>
      </c>
      <c r="P597" s="282" t="str" cm="1">
        <f t="array" ref="P597">_xll.FDSB($C597,"CS_EVENT_DESC_N("&amp;$AA$18&amp;",2)")</f>
        <v/>
      </c>
      <c r="Q597" s="282"/>
      <c r="R597" s="274" t="str" cm="1">
        <f t="array" ref="R597">_xll.FDSB($C597,"CS_EVENT_DATEJ_N("&amp;$AA$18&amp;",3)")</f>
        <v/>
      </c>
      <c r="S597" s="282" t="str" cm="1">
        <f t="array" ref="S597">_xll.FDSB($C597,"CS_EVENT_TIME_N("&amp;$AA$18&amp;",3)")</f>
        <v/>
      </c>
      <c r="T597" s="282" t="str" cm="1">
        <f t="array" ref="T597">_xll.FDSB($C597,"CS_EVENT_DESC_N("&amp;$AA$18&amp;",3)")</f>
        <v/>
      </c>
      <c r="U597" s="282"/>
      <c r="V597" s="274" t="str" cm="1">
        <f t="array" ref="V597">_xll.FDSB($C597,"CS_EVENT_DATEJ_N("&amp;$AA$18&amp;",4)")</f>
        <v/>
      </c>
      <c r="W597" s="282" t="str" cm="1">
        <f t="array" ref="W597">_xll.FDSB($C597,"CS_EVENT_TIME_N("&amp;$AA$18&amp;",4)")</f>
        <v/>
      </c>
      <c r="X597" s="282" t="str" cm="1">
        <f t="array" ref="X597">_xll.FDSB($C597,"CS_EVENT_DESC_N("&amp;$AA$18&amp;",4)")</f>
        <v/>
      </c>
    </row>
    <row r="598" spans="2:24" x14ac:dyDescent="0.15">
      <c r="B598" s="298">
        <f t="shared" si="11"/>
        <v>583</v>
      </c>
      <c r="C598" s="299"/>
      <c r="D598" s="300" t="str" cm="1">
        <f t="array" ref="D598">_xll.FDSB($C598,"FG_COMPANY_NAME")</f>
        <v/>
      </c>
      <c r="E598" s="300"/>
      <c r="F598" s="274" t="str" cm="1">
        <f t="array" ref="F598">_xll.FDSB($C598,"CS_EVENT_DATEJ_N("&amp;$AA$18&amp;",1)")</f>
        <v/>
      </c>
      <c r="G598" s="282" t="str" cm="1">
        <f t="array" ref="G598">_xll.FDSB($C598,"CS_EVENT_TIME_N("&amp;$AA$18&amp;",1)")</f>
        <v/>
      </c>
      <c r="H598" s="282" t="str" cm="1">
        <f t="array" ref="H598">_xll.FDSB($C598,"CS_EVENT_DESC_N("&amp;$AA$18&amp;",1)")</f>
        <v/>
      </c>
      <c r="I598" s="282"/>
      <c r="J598" s="274" t="str" cm="1">
        <f t="array" ref="J598">_xll.FDSB($C598,"CS_EVENT_DATEJ_N("&amp;$AB$18&amp;",1)")</f>
        <v/>
      </c>
      <c r="K598" s="282" t="str" cm="1">
        <f t="array" ref="K598">_xll.FDSB($C598,"CS_EVENT_TIME_N("&amp;$AB$18&amp;",1)")</f>
        <v/>
      </c>
      <c r="L598" s="282" t="str" cm="1">
        <f t="array" ref="L598">_xll.FDSB($C598,"CS_EVENT_DESC_N("&amp;$AB$18&amp;",1)")</f>
        <v/>
      </c>
      <c r="M598" s="300"/>
      <c r="N598" s="274" t="str" cm="1">
        <f t="array" ref="N598">_xll.FDSB($C598,"CS_EVENT_DATEJ_N("&amp;$AA$18&amp;",2)")</f>
        <v/>
      </c>
      <c r="O598" s="282" t="str" cm="1">
        <f t="array" ref="O598">_xll.FDSB($C598,"CS_EVENT_TIME_N("&amp;$AA$18&amp;",2)")</f>
        <v/>
      </c>
      <c r="P598" s="282" t="str" cm="1">
        <f t="array" ref="P598">_xll.FDSB($C598,"CS_EVENT_DESC_N("&amp;$AA$18&amp;",2)")</f>
        <v/>
      </c>
      <c r="Q598" s="282"/>
      <c r="R598" s="274" t="str" cm="1">
        <f t="array" ref="R598">_xll.FDSB($C598,"CS_EVENT_DATEJ_N("&amp;$AA$18&amp;",3)")</f>
        <v/>
      </c>
      <c r="S598" s="282" t="str" cm="1">
        <f t="array" ref="S598">_xll.FDSB($C598,"CS_EVENT_TIME_N("&amp;$AA$18&amp;",3)")</f>
        <v/>
      </c>
      <c r="T598" s="282" t="str" cm="1">
        <f t="array" ref="T598">_xll.FDSB($C598,"CS_EVENT_DESC_N("&amp;$AA$18&amp;",3)")</f>
        <v/>
      </c>
      <c r="U598" s="282"/>
      <c r="V598" s="274" t="str" cm="1">
        <f t="array" ref="V598">_xll.FDSB($C598,"CS_EVENT_DATEJ_N("&amp;$AA$18&amp;",4)")</f>
        <v/>
      </c>
      <c r="W598" s="282" t="str" cm="1">
        <f t="array" ref="W598">_xll.FDSB($C598,"CS_EVENT_TIME_N("&amp;$AA$18&amp;",4)")</f>
        <v/>
      </c>
      <c r="X598" s="282" t="str" cm="1">
        <f t="array" ref="X598">_xll.FDSB($C598,"CS_EVENT_DESC_N("&amp;$AA$18&amp;",4)")</f>
        <v/>
      </c>
    </row>
    <row r="599" spans="2:24" x14ac:dyDescent="0.15">
      <c r="B599" s="298">
        <f t="shared" si="11"/>
        <v>584</v>
      </c>
      <c r="C599" s="299"/>
      <c r="D599" s="300" t="str" cm="1">
        <f t="array" ref="D599">_xll.FDSB($C599,"FG_COMPANY_NAME")</f>
        <v/>
      </c>
      <c r="E599" s="300"/>
      <c r="F599" s="274" t="str" cm="1">
        <f t="array" ref="F599">_xll.FDSB($C599,"CS_EVENT_DATEJ_N("&amp;$AA$18&amp;",1)")</f>
        <v/>
      </c>
      <c r="G599" s="282" t="str" cm="1">
        <f t="array" ref="G599">_xll.FDSB($C599,"CS_EVENT_TIME_N("&amp;$AA$18&amp;",1)")</f>
        <v/>
      </c>
      <c r="H599" s="282" t="str" cm="1">
        <f t="array" ref="H599">_xll.FDSB($C599,"CS_EVENT_DESC_N("&amp;$AA$18&amp;",1)")</f>
        <v/>
      </c>
      <c r="I599" s="282"/>
      <c r="J599" s="274" t="str" cm="1">
        <f t="array" ref="J599">_xll.FDSB($C599,"CS_EVENT_DATEJ_N("&amp;$AB$18&amp;",1)")</f>
        <v/>
      </c>
      <c r="K599" s="282" t="str" cm="1">
        <f t="array" ref="K599">_xll.FDSB($C599,"CS_EVENT_TIME_N("&amp;$AB$18&amp;",1)")</f>
        <v/>
      </c>
      <c r="L599" s="282" t="str" cm="1">
        <f t="array" ref="L599">_xll.FDSB($C599,"CS_EVENT_DESC_N("&amp;$AB$18&amp;",1)")</f>
        <v/>
      </c>
      <c r="M599" s="300"/>
      <c r="N599" s="274" t="str" cm="1">
        <f t="array" ref="N599">_xll.FDSB($C599,"CS_EVENT_DATEJ_N("&amp;$AA$18&amp;",2)")</f>
        <v/>
      </c>
      <c r="O599" s="282" t="str" cm="1">
        <f t="array" ref="O599">_xll.FDSB($C599,"CS_EVENT_TIME_N("&amp;$AA$18&amp;",2)")</f>
        <v/>
      </c>
      <c r="P599" s="282" t="str" cm="1">
        <f t="array" ref="P599">_xll.FDSB($C599,"CS_EVENT_DESC_N("&amp;$AA$18&amp;",2)")</f>
        <v/>
      </c>
      <c r="Q599" s="282"/>
      <c r="R599" s="274" t="str" cm="1">
        <f t="array" ref="R599">_xll.FDSB($C599,"CS_EVENT_DATEJ_N("&amp;$AA$18&amp;",3)")</f>
        <v/>
      </c>
      <c r="S599" s="282" t="str" cm="1">
        <f t="array" ref="S599">_xll.FDSB($C599,"CS_EVENT_TIME_N("&amp;$AA$18&amp;",3)")</f>
        <v/>
      </c>
      <c r="T599" s="282" t="str" cm="1">
        <f t="array" ref="T599">_xll.FDSB($C599,"CS_EVENT_DESC_N("&amp;$AA$18&amp;",3)")</f>
        <v/>
      </c>
      <c r="U599" s="282"/>
      <c r="V599" s="274" t="str" cm="1">
        <f t="array" ref="V599">_xll.FDSB($C599,"CS_EVENT_DATEJ_N("&amp;$AA$18&amp;",4)")</f>
        <v/>
      </c>
      <c r="W599" s="282" t="str" cm="1">
        <f t="array" ref="W599">_xll.FDSB($C599,"CS_EVENT_TIME_N("&amp;$AA$18&amp;",4)")</f>
        <v/>
      </c>
      <c r="X599" s="282" t="str" cm="1">
        <f t="array" ref="X599">_xll.FDSB($C599,"CS_EVENT_DESC_N("&amp;$AA$18&amp;",4)")</f>
        <v/>
      </c>
    </row>
    <row r="600" spans="2:24" x14ac:dyDescent="0.15">
      <c r="B600" s="298">
        <f t="shared" si="11"/>
        <v>585</v>
      </c>
      <c r="C600" s="299"/>
      <c r="D600" s="300" t="str" cm="1">
        <f t="array" ref="D600">_xll.FDSB($C600,"FG_COMPANY_NAME")</f>
        <v/>
      </c>
      <c r="E600" s="300"/>
      <c r="F600" s="274" t="str" cm="1">
        <f t="array" ref="F600">_xll.FDSB($C600,"CS_EVENT_DATEJ_N("&amp;$AA$18&amp;",1)")</f>
        <v/>
      </c>
      <c r="G600" s="282" t="str" cm="1">
        <f t="array" ref="G600">_xll.FDSB($C600,"CS_EVENT_TIME_N("&amp;$AA$18&amp;",1)")</f>
        <v/>
      </c>
      <c r="H600" s="282" t="str" cm="1">
        <f t="array" ref="H600">_xll.FDSB($C600,"CS_EVENT_DESC_N("&amp;$AA$18&amp;",1)")</f>
        <v/>
      </c>
      <c r="I600" s="282"/>
      <c r="J600" s="274" t="str" cm="1">
        <f t="array" ref="J600">_xll.FDSB($C600,"CS_EVENT_DATEJ_N("&amp;$AB$18&amp;",1)")</f>
        <v/>
      </c>
      <c r="K600" s="282" t="str" cm="1">
        <f t="array" ref="K600">_xll.FDSB($C600,"CS_EVENT_TIME_N("&amp;$AB$18&amp;",1)")</f>
        <v/>
      </c>
      <c r="L600" s="282" t="str" cm="1">
        <f t="array" ref="L600">_xll.FDSB($C600,"CS_EVENT_DESC_N("&amp;$AB$18&amp;",1)")</f>
        <v/>
      </c>
      <c r="M600" s="300"/>
      <c r="N600" s="274" t="str" cm="1">
        <f t="array" ref="N600">_xll.FDSB($C600,"CS_EVENT_DATEJ_N("&amp;$AA$18&amp;",2)")</f>
        <v/>
      </c>
      <c r="O600" s="282" t="str" cm="1">
        <f t="array" ref="O600">_xll.FDSB($C600,"CS_EVENT_TIME_N("&amp;$AA$18&amp;",2)")</f>
        <v/>
      </c>
      <c r="P600" s="282" t="str" cm="1">
        <f t="array" ref="P600">_xll.FDSB($C600,"CS_EVENT_DESC_N("&amp;$AA$18&amp;",2)")</f>
        <v/>
      </c>
      <c r="Q600" s="282"/>
      <c r="R600" s="274" t="str" cm="1">
        <f t="array" ref="R600">_xll.FDSB($C600,"CS_EVENT_DATEJ_N("&amp;$AA$18&amp;",3)")</f>
        <v/>
      </c>
      <c r="S600" s="282" t="str" cm="1">
        <f t="array" ref="S600">_xll.FDSB($C600,"CS_EVENT_TIME_N("&amp;$AA$18&amp;",3)")</f>
        <v/>
      </c>
      <c r="T600" s="282" t="str" cm="1">
        <f t="array" ref="T600">_xll.FDSB($C600,"CS_EVENT_DESC_N("&amp;$AA$18&amp;",3)")</f>
        <v/>
      </c>
      <c r="U600" s="282"/>
      <c r="V600" s="274" t="str" cm="1">
        <f t="array" ref="V600">_xll.FDSB($C600,"CS_EVENT_DATEJ_N("&amp;$AA$18&amp;",4)")</f>
        <v/>
      </c>
      <c r="W600" s="282" t="str" cm="1">
        <f t="array" ref="W600">_xll.FDSB($C600,"CS_EVENT_TIME_N("&amp;$AA$18&amp;",4)")</f>
        <v/>
      </c>
      <c r="X600" s="282" t="str" cm="1">
        <f t="array" ref="X600">_xll.FDSB($C600,"CS_EVENT_DESC_N("&amp;$AA$18&amp;",4)")</f>
        <v/>
      </c>
    </row>
    <row r="601" spans="2:24" x14ac:dyDescent="0.15">
      <c r="B601" s="298">
        <f t="shared" si="11"/>
        <v>586</v>
      </c>
      <c r="C601" s="299"/>
      <c r="D601" s="300" t="str" cm="1">
        <f t="array" ref="D601">_xll.FDSB($C601,"FG_COMPANY_NAME")</f>
        <v/>
      </c>
      <c r="E601" s="300"/>
      <c r="F601" s="274" t="str" cm="1">
        <f t="array" ref="F601">_xll.FDSB($C601,"CS_EVENT_DATEJ_N("&amp;$AA$18&amp;",1)")</f>
        <v/>
      </c>
      <c r="G601" s="282" t="str" cm="1">
        <f t="array" ref="G601">_xll.FDSB($C601,"CS_EVENT_TIME_N("&amp;$AA$18&amp;",1)")</f>
        <v/>
      </c>
      <c r="H601" s="282" t="str" cm="1">
        <f t="array" ref="H601">_xll.FDSB($C601,"CS_EVENT_DESC_N("&amp;$AA$18&amp;",1)")</f>
        <v/>
      </c>
      <c r="I601" s="282"/>
      <c r="J601" s="274" t="str" cm="1">
        <f t="array" ref="J601">_xll.FDSB($C601,"CS_EVENT_DATEJ_N("&amp;$AB$18&amp;",1)")</f>
        <v/>
      </c>
      <c r="K601" s="282" t="str" cm="1">
        <f t="array" ref="K601">_xll.FDSB($C601,"CS_EVENT_TIME_N("&amp;$AB$18&amp;",1)")</f>
        <v/>
      </c>
      <c r="L601" s="282" t="str" cm="1">
        <f t="array" ref="L601">_xll.FDSB($C601,"CS_EVENT_DESC_N("&amp;$AB$18&amp;",1)")</f>
        <v/>
      </c>
      <c r="M601" s="300"/>
      <c r="N601" s="274" t="str" cm="1">
        <f t="array" ref="N601">_xll.FDSB($C601,"CS_EVENT_DATEJ_N("&amp;$AA$18&amp;",2)")</f>
        <v/>
      </c>
      <c r="O601" s="282" t="str" cm="1">
        <f t="array" ref="O601">_xll.FDSB($C601,"CS_EVENT_TIME_N("&amp;$AA$18&amp;",2)")</f>
        <v/>
      </c>
      <c r="P601" s="282" t="str" cm="1">
        <f t="array" ref="P601">_xll.FDSB($C601,"CS_EVENT_DESC_N("&amp;$AA$18&amp;",2)")</f>
        <v/>
      </c>
      <c r="Q601" s="282"/>
      <c r="R601" s="274" t="str" cm="1">
        <f t="array" ref="R601">_xll.FDSB($C601,"CS_EVENT_DATEJ_N("&amp;$AA$18&amp;",3)")</f>
        <v/>
      </c>
      <c r="S601" s="282" t="str" cm="1">
        <f t="array" ref="S601">_xll.FDSB($C601,"CS_EVENT_TIME_N("&amp;$AA$18&amp;",3)")</f>
        <v/>
      </c>
      <c r="T601" s="282" t="str" cm="1">
        <f t="array" ref="T601">_xll.FDSB($C601,"CS_EVENT_DESC_N("&amp;$AA$18&amp;",3)")</f>
        <v/>
      </c>
      <c r="U601" s="282"/>
      <c r="V601" s="274" t="str" cm="1">
        <f t="array" ref="V601">_xll.FDSB($C601,"CS_EVENT_DATEJ_N("&amp;$AA$18&amp;",4)")</f>
        <v/>
      </c>
      <c r="W601" s="282" t="str" cm="1">
        <f t="array" ref="W601">_xll.FDSB($C601,"CS_EVENT_TIME_N("&amp;$AA$18&amp;",4)")</f>
        <v/>
      </c>
      <c r="X601" s="282" t="str" cm="1">
        <f t="array" ref="X601">_xll.FDSB($C601,"CS_EVENT_DESC_N("&amp;$AA$18&amp;",4)")</f>
        <v/>
      </c>
    </row>
    <row r="602" spans="2:24" x14ac:dyDescent="0.15">
      <c r="B602" s="298">
        <f t="shared" si="11"/>
        <v>587</v>
      </c>
      <c r="C602" s="299"/>
      <c r="D602" s="300" t="str" cm="1">
        <f t="array" ref="D602">_xll.FDSB($C602,"FG_COMPANY_NAME")</f>
        <v/>
      </c>
      <c r="E602" s="300"/>
      <c r="F602" s="274" t="str" cm="1">
        <f t="array" ref="F602">_xll.FDSB($C602,"CS_EVENT_DATEJ_N("&amp;$AA$18&amp;",1)")</f>
        <v/>
      </c>
      <c r="G602" s="282" t="str" cm="1">
        <f t="array" ref="G602">_xll.FDSB($C602,"CS_EVENT_TIME_N("&amp;$AA$18&amp;",1)")</f>
        <v/>
      </c>
      <c r="H602" s="282" t="str" cm="1">
        <f t="array" ref="H602">_xll.FDSB($C602,"CS_EVENT_DESC_N("&amp;$AA$18&amp;",1)")</f>
        <v/>
      </c>
      <c r="I602" s="282"/>
      <c r="J602" s="274" t="str" cm="1">
        <f t="array" ref="J602">_xll.FDSB($C602,"CS_EVENT_DATEJ_N("&amp;$AB$18&amp;",1)")</f>
        <v/>
      </c>
      <c r="K602" s="282" t="str" cm="1">
        <f t="array" ref="K602">_xll.FDSB($C602,"CS_EVENT_TIME_N("&amp;$AB$18&amp;",1)")</f>
        <v/>
      </c>
      <c r="L602" s="282" t="str" cm="1">
        <f t="array" ref="L602">_xll.FDSB($C602,"CS_EVENT_DESC_N("&amp;$AB$18&amp;",1)")</f>
        <v/>
      </c>
      <c r="M602" s="300"/>
      <c r="N602" s="274" t="str" cm="1">
        <f t="array" ref="N602">_xll.FDSB($C602,"CS_EVENT_DATEJ_N("&amp;$AA$18&amp;",2)")</f>
        <v/>
      </c>
      <c r="O602" s="282" t="str" cm="1">
        <f t="array" ref="O602">_xll.FDSB($C602,"CS_EVENT_TIME_N("&amp;$AA$18&amp;",2)")</f>
        <v/>
      </c>
      <c r="P602" s="282" t="str" cm="1">
        <f t="array" ref="P602">_xll.FDSB($C602,"CS_EVENT_DESC_N("&amp;$AA$18&amp;",2)")</f>
        <v/>
      </c>
      <c r="Q602" s="282"/>
      <c r="R602" s="274" t="str" cm="1">
        <f t="array" ref="R602">_xll.FDSB($C602,"CS_EVENT_DATEJ_N("&amp;$AA$18&amp;",3)")</f>
        <v/>
      </c>
      <c r="S602" s="282" t="str" cm="1">
        <f t="array" ref="S602">_xll.FDSB($C602,"CS_EVENT_TIME_N("&amp;$AA$18&amp;",3)")</f>
        <v/>
      </c>
      <c r="T602" s="282" t="str" cm="1">
        <f t="array" ref="T602">_xll.FDSB($C602,"CS_EVENT_DESC_N("&amp;$AA$18&amp;",3)")</f>
        <v/>
      </c>
      <c r="U602" s="282"/>
      <c r="V602" s="274" t="str" cm="1">
        <f t="array" ref="V602">_xll.FDSB($C602,"CS_EVENT_DATEJ_N("&amp;$AA$18&amp;",4)")</f>
        <v/>
      </c>
      <c r="W602" s="282" t="str" cm="1">
        <f t="array" ref="W602">_xll.FDSB($C602,"CS_EVENT_TIME_N("&amp;$AA$18&amp;",4)")</f>
        <v/>
      </c>
      <c r="X602" s="282" t="str" cm="1">
        <f t="array" ref="X602">_xll.FDSB($C602,"CS_EVENT_DESC_N("&amp;$AA$18&amp;",4)")</f>
        <v/>
      </c>
    </row>
    <row r="603" spans="2:24" x14ac:dyDescent="0.15">
      <c r="B603" s="298">
        <f t="shared" si="11"/>
        <v>588</v>
      </c>
      <c r="C603" s="299"/>
      <c r="D603" s="300" t="str" cm="1">
        <f t="array" ref="D603">_xll.FDSB($C603,"FG_COMPANY_NAME")</f>
        <v/>
      </c>
      <c r="E603" s="300"/>
      <c r="F603" s="274" t="str" cm="1">
        <f t="array" ref="F603">_xll.FDSB($C603,"CS_EVENT_DATEJ_N("&amp;$AA$18&amp;",1)")</f>
        <v/>
      </c>
      <c r="G603" s="282" t="str" cm="1">
        <f t="array" ref="G603">_xll.FDSB($C603,"CS_EVENT_TIME_N("&amp;$AA$18&amp;",1)")</f>
        <v/>
      </c>
      <c r="H603" s="282" t="str" cm="1">
        <f t="array" ref="H603">_xll.FDSB($C603,"CS_EVENT_DESC_N("&amp;$AA$18&amp;",1)")</f>
        <v/>
      </c>
      <c r="I603" s="282"/>
      <c r="J603" s="274" t="str" cm="1">
        <f t="array" ref="J603">_xll.FDSB($C603,"CS_EVENT_DATEJ_N("&amp;$AB$18&amp;",1)")</f>
        <v/>
      </c>
      <c r="K603" s="282" t="str" cm="1">
        <f t="array" ref="K603">_xll.FDSB($C603,"CS_EVENT_TIME_N("&amp;$AB$18&amp;",1)")</f>
        <v/>
      </c>
      <c r="L603" s="282" t="str" cm="1">
        <f t="array" ref="L603">_xll.FDSB($C603,"CS_EVENT_DESC_N("&amp;$AB$18&amp;",1)")</f>
        <v/>
      </c>
      <c r="M603" s="300"/>
      <c r="N603" s="274" t="str" cm="1">
        <f t="array" ref="N603">_xll.FDSB($C603,"CS_EVENT_DATEJ_N("&amp;$AA$18&amp;",2)")</f>
        <v/>
      </c>
      <c r="O603" s="282" t="str" cm="1">
        <f t="array" ref="O603">_xll.FDSB($C603,"CS_EVENT_TIME_N("&amp;$AA$18&amp;",2)")</f>
        <v/>
      </c>
      <c r="P603" s="282" t="str" cm="1">
        <f t="array" ref="P603">_xll.FDSB($C603,"CS_EVENT_DESC_N("&amp;$AA$18&amp;",2)")</f>
        <v/>
      </c>
      <c r="Q603" s="282"/>
      <c r="R603" s="274" t="str" cm="1">
        <f t="array" ref="R603">_xll.FDSB($C603,"CS_EVENT_DATEJ_N("&amp;$AA$18&amp;",3)")</f>
        <v/>
      </c>
      <c r="S603" s="282" t="str" cm="1">
        <f t="array" ref="S603">_xll.FDSB($C603,"CS_EVENT_TIME_N("&amp;$AA$18&amp;",3)")</f>
        <v/>
      </c>
      <c r="T603" s="282" t="str" cm="1">
        <f t="array" ref="T603">_xll.FDSB($C603,"CS_EVENT_DESC_N("&amp;$AA$18&amp;",3)")</f>
        <v/>
      </c>
      <c r="U603" s="282"/>
      <c r="V603" s="274" t="str" cm="1">
        <f t="array" ref="V603">_xll.FDSB($C603,"CS_EVENT_DATEJ_N("&amp;$AA$18&amp;",4)")</f>
        <v/>
      </c>
      <c r="W603" s="282" t="str" cm="1">
        <f t="array" ref="W603">_xll.FDSB($C603,"CS_EVENT_TIME_N("&amp;$AA$18&amp;",4)")</f>
        <v/>
      </c>
      <c r="X603" s="282" t="str" cm="1">
        <f t="array" ref="X603">_xll.FDSB($C603,"CS_EVENT_DESC_N("&amp;$AA$18&amp;",4)")</f>
        <v/>
      </c>
    </row>
    <row r="604" spans="2:24" x14ac:dyDescent="0.15">
      <c r="B604" s="298">
        <f t="shared" si="11"/>
        <v>589</v>
      </c>
      <c r="C604" s="299"/>
      <c r="D604" s="300" t="str" cm="1">
        <f t="array" ref="D604">_xll.FDSB($C604,"FG_COMPANY_NAME")</f>
        <v/>
      </c>
      <c r="E604" s="300"/>
      <c r="F604" s="274" t="str" cm="1">
        <f t="array" ref="F604">_xll.FDSB($C604,"CS_EVENT_DATEJ_N("&amp;$AA$18&amp;",1)")</f>
        <v/>
      </c>
      <c r="G604" s="282" t="str" cm="1">
        <f t="array" ref="G604">_xll.FDSB($C604,"CS_EVENT_TIME_N("&amp;$AA$18&amp;",1)")</f>
        <v/>
      </c>
      <c r="H604" s="282" t="str" cm="1">
        <f t="array" ref="H604">_xll.FDSB($C604,"CS_EVENT_DESC_N("&amp;$AA$18&amp;",1)")</f>
        <v/>
      </c>
      <c r="I604" s="282"/>
      <c r="J604" s="274" t="str" cm="1">
        <f t="array" ref="J604">_xll.FDSB($C604,"CS_EVENT_DATEJ_N("&amp;$AB$18&amp;",1)")</f>
        <v/>
      </c>
      <c r="K604" s="282" t="str" cm="1">
        <f t="array" ref="K604">_xll.FDSB($C604,"CS_EVENT_TIME_N("&amp;$AB$18&amp;",1)")</f>
        <v/>
      </c>
      <c r="L604" s="282" t="str" cm="1">
        <f t="array" ref="L604">_xll.FDSB($C604,"CS_EVENT_DESC_N("&amp;$AB$18&amp;",1)")</f>
        <v/>
      </c>
      <c r="M604" s="300"/>
      <c r="N604" s="274" t="str" cm="1">
        <f t="array" ref="N604">_xll.FDSB($C604,"CS_EVENT_DATEJ_N("&amp;$AA$18&amp;",2)")</f>
        <v/>
      </c>
      <c r="O604" s="282" t="str" cm="1">
        <f t="array" ref="O604">_xll.FDSB($C604,"CS_EVENT_TIME_N("&amp;$AA$18&amp;",2)")</f>
        <v/>
      </c>
      <c r="P604" s="282" t="str" cm="1">
        <f t="array" ref="P604">_xll.FDSB($C604,"CS_EVENT_DESC_N("&amp;$AA$18&amp;",2)")</f>
        <v/>
      </c>
      <c r="Q604" s="282"/>
      <c r="R604" s="274" t="str" cm="1">
        <f t="array" ref="R604">_xll.FDSB($C604,"CS_EVENT_DATEJ_N("&amp;$AA$18&amp;",3)")</f>
        <v/>
      </c>
      <c r="S604" s="282" t="str" cm="1">
        <f t="array" ref="S604">_xll.FDSB($C604,"CS_EVENT_TIME_N("&amp;$AA$18&amp;",3)")</f>
        <v/>
      </c>
      <c r="T604" s="282" t="str" cm="1">
        <f t="array" ref="T604">_xll.FDSB($C604,"CS_EVENT_DESC_N("&amp;$AA$18&amp;",3)")</f>
        <v/>
      </c>
      <c r="U604" s="282"/>
      <c r="V604" s="274" t="str" cm="1">
        <f t="array" ref="V604">_xll.FDSB($C604,"CS_EVENT_DATEJ_N("&amp;$AA$18&amp;",4)")</f>
        <v/>
      </c>
      <c r="W604" s="282" t="str" cm="1">
        <f t="array" ref="W604">_xll.FDSB($C604,"CS_EVENT_TIME_N("&amp;$AA$18&amp;",4)")</f>
        <v/>
      </c>
      <c r="X604" s="282" t="str" cm="1">
        <f t="array" ref="X604">_xll.FDSB($C604,"CS_EVENT_DESC_N("&amp;$AA$18&amp;",4)")</f>
        <v/>
      </c>
    </row>
    <row r="605" spans="2:24" x14ac:dyDescent="0.15">
      <c r="B605" s="298">
        <f t="shared" si="11"/>
        <v>590</v>
      </c>
      <c r="C605" s="299"/>
      <c r="D605" s="300" t="str" cm="1">
        <f t="array" ref="D605">_xll.FDSB($C605,"FG_COMPANY_NAME")</f>
        <v/>
      </c>
      <c r="E605" s="300"/>
      <c r="F605" s="274" t="str" cm="1">
        <f t="array" ref="F605">_xll.FDSB($C605,"CS_EVENT_DATEJ_N("&amp;$AA$18&amp;",1)")</f>
        <v/>
      </c>
      <c r="G605" s="282" t="str" cm="1">
        <f t="array" ref="G605">_xll.FDSB($C605,"CS_EVENT_TIME_N("&amp;$AA$18&amp;",1)")</f>
        <v/>
      </c>
      <c r="H605" s="282" t="str" cm="1">
        <f t="array" ref="H605">_xll.FDSB($C605,"CS_EVENT_DESC_N("&amp;$AA$18&amp;",1)")</f>
        <v/>
      </c>
      <c r="I605" s="282"/>
      <c r="J605" s="274" t="str" cm="1">
        <f t="array" ref="J605">_xll.FDSB($C605,"CS_EVENT_DATEJ_N("&amp;$AB$18&amp;",1)")</f>
        <v/>
      </c>
      <c r="K605" s="282" t="str" cm="1">
        <f t="array" ref="K605">_xll.FDSB($C605,"CS_EVENT_TIME_N("&amp;$AB$18&amp;",1)")</f>
        <v/>
      </c>
      <c r="L605" s="282" t="str" cm="1">
        <f t="array" ref="L605">_xll.FDSB($C605,"CS_EVENT_DESC_N("&amp;$AB$18&amp;",1)")</f>
        <v/>
      </c>
      <c r="M605" s="300"/>
      <c r="N605" s="274" t="str" cm="1">
        <f t="array" ref="N605">_xll.FDSB($C605,"CS_EVENT_DATEJ_N("&amp;$AA$18&amp;",2)")</f>
        <v/>
      </c>
      <c r="O605" s="282" t="str" cm="1">
        <f t="array" ref="O605">_xll.FDSB($C605,"CS_EVENT_TIME_N("&amp;$AA$18&amp;",2)")</f>
        <v/>
      </c>
      <c r="P605" s="282" t="str" cm="1">
        <f t="array" ref="P605">_xll.FDSB($C605,"CS_EVENT_DESC_N("&amp;$AA$18&amp;",2)")</f>
        <v/>
      </c>
      <c r="Q605" s="282"/>
      <c r="R605" s="274" t="str" cm="1">
        <f t="array" ref="R605">_xll.FDSB($C605,"CS_EVENT_DATEJ_N("&amp;$AA$18&amp;",3)")</f>
        <v/>
      </c>
      <c r="S605" s="282" t="str" cm="1">
        <f t="array" ref="S605">_xll.FDSB($C605,"CS_EVENT_TIME_N("&amp;$AA$18&amp;",3)")</f>
        <v/>
      </c>
      <c r="T605" s="282" t="str" cm="1">
        <f t="array" ref="T605">_xll.FDSB($C605,"CS_EVENT_DESC_N("&amp;$AA$18&amp;",3)")</f>
        <v/>
      </c>
      <c r="U605" s="282"/>
      <c r="V605" s="274" t="str" cm="1">
        <f t="array" ref="V605">_xll.FDSB($C605,"CS_EVENT_DATEJ_N("&amp;$AA$18&amp;",4)")</f>
        <v/>
      </c>
      <c r="W605" s="282" t="str" cm="1">
        <f t="array" ref="W605">_xll.FDSB($C605,"CS_EVENT_TIME_N("&amp;$AA$18&amp;",4)")</f>
        <v/>
      </c>
      <c r="X605" s="282" t="str" cm="1">
        <f t="array" ref="X605">_xll.FDSB($C605,"CS_EVENT_DESC_N("&amp;$AA$18&amp;",4)")</f>
        <v/>
      </c>
    </row>
    <row r="606" spans="2:24" x14ac:dyDescent="0.15">
      <c r="B606" s="298">
        <f t="shared" si="11"/>
        <v>591</v>
      </c>
      <c r="C606" s="299"/>
      <c r="D606" s="300" t="str" cm="1">
        <f t="array" ref="D606">_xll.FDSB($C606,"FG_COMPANY_NAME")</f>
        <v/>
      </c>
      <c r="E606" s="300"/>
      <c r="F606" s="274" t="str" cm="1">
        <f t="array" ref="F606">_xll.FDSB($C606,"CS_EVENT_DATEJ_N("&amp;$AA$18&amp;",1)")</f>
        <v/>
      </c>
      <c r="G606" s="282" t="str" cm="1">
        <f t="array" ref="G606">_xll.FDSB($C606,"CS_EVENT_TIME_N("&amp;$AA$18&amp;",1)")</f>
        <v/>
      </c>
      <c r="H606" s="282" t="str" cm="1">
        <f t="array" ref="H606">_xll.FDSB($C606,"CS_EVENT_DESC_N("&amp;$AA$18&amp;",1)")</f>
        <v/>
      </c>
      <c r="I606" s="282"/>
      <c r="J606" s="274" t="str" cm="1">
        <f t="array" ref="J606">_xll.FDSB($C606,"CS_EVENT_DATEJ_N("&amp;$AB$18&amp;",1)")</f>
        <v/>
      </c>
      <c r="K606" s="282" t="str" cm="1">
        <f t="array" ref="K606">_xll.FDSB($C606,"CS_EVENT_TIME_N("&amp;$AB$18&amp;",1)")</f>
        <v/>
      </c>
      <c r="L606" s="282" t="str" cm="1">
        <f t="array" ref="L606">_xll.FDSB($C606,"CS_EVENT_DESC_N("&amp;$AB$18&amp;",1)")</f>
        <v/>
      </c>
      <c r="M606" s="300"/>
      <c r="N606" s="274" t="str" cm="1">
        <f t="array" ref="N606">_xll.FDSB($C606,"CS_EVENT_DATEJ_N("&amp;$AA$18&amp;",2)")</f>
        <v/>
      </c>
      <c r="O606" s="282" t="str" cm="1">
        <f t="array" ref="O606">_xll.FDSB($C606,"CS_EVENT_TIME_N("&amp;$AA$18&amp;",2)")</f>
        <v/>
      </c>
      <c r="P606" s="282" t="str" cm="1">
        <f t="array" ref="P606">_xll.FDSB($C606,"CS_EVENT_DESC_N("&amp;$AA$18&amp;",2)")</f>
        <v/>
      </c>
      <c r="Q606" s="282"/>
      <c r="R606" s="274" t="str" cm="1">
        <f t="array" ref="R606">_xll.FDSB($C606,"CS_EVENT_DATEJ_N("&amp;$AA$18&amp;",3)")</f>
        <v/>
      </c>
      <c r="S606" s="282" t="str" cm="1">
        <f t="array" ref="S606">_xll.FDSB($C606,"CS_EVENT_TIME_N("&amp;$AA$18&amp;",3)")</f>
        <v/>
      </c>
      <c r="T606" s="282" t="str" cm="1">
        <f t="array" ref="T606">_xll.FDSB($C606,"CS_EVENT_DESC_N("&amp;$AA$18&amp;",3)")</f>
        <v/>
      </c>
      <c r="U606" s="282"/>
      <c r="V606" s="274" t="str" cm="1">
        <f t="array" ref="V606">_xll.FDSB($C606,"CS_EVENT_DATEJ_N("&amp;$AA$18&amp;",4)")</f>
        <v/>
      </c>
      <c r="W606" s="282" t="str" cm="1">
        <f t="array" ref="W606">_xll.FDSB($C606,"CS_EVENT_TIME_N("&amp;$AA$18&amp;",4)")</f>
        <v/>
      </c>
      <c r="X606" s="282" t="str" cm="1">
        <f t="array" ref="X606">_xll.FDSB($C606,"CS_EVENT_DESC_N("&amp;$AA$18&amp;",4)")</f>
        <v/>
      </c>
    </row>
    <row r="607" spans="2:24" x14ac:dyDescent="0.15">
      <c r="B607" s="298">
        <f t="shared" si="11"/>
        <v>592</v>
      </c>
      <c r="C607" s="299"/>
      <c r="D607" s="300" t="str" cm="1">
        <f t="array" ref="D607">_xll.FDSB($C607,"FG_COMPANY_NAME")</f>
        <v/>
      </c>
      <c r="E607" s="300"/>
      <c r="F607" s="274" t="str" cm="1">
        <f t="array" ref="F607">_xll.FDSB($C607,"CS_EVENT_DATEJ_N("&amp;$AA$18&amp;",1)")</f>
        <v/>
      </c>
      <c r="G607" s="282" t="str" cm="1">
        <f t="array" ref="G607">_xll.FDSB($C607,"CS_EVENT_TIME_N("&amp;$AA$18&amp;",1)")</f>
        <v/>
      </c>
      <c r="H607" s="282" t="str" cm="1">
        <f t="array" ref="H607">_xll.FDSB($C607,"CS_EVENT_DESC_N("&amp;$AA$18&amp;",1)")</f>
        <v/>
      </c>
      <c r="I607" s="282"/>
      <c r="J607" s="274" t="str" cm="1">
        <f t="array" ref="J607">_xll.FDSB($C607,"CS_EVENT_DATEJ_N("&amp;$AB$18&amp;",1)")</f>
        <v/>
      </c>
      <c r="K607" s="282" t="str" cm="1">
        <f t="array" ref="K607">_xll.FDSB($C607,"CS_EVENT_TIME_N("&amp;$AB$18&amp;",1)")</f>
        <v/>
      </c>
      <c r="L607" s="282" t="str" cm="1">
        <f t="array" ref="L607">_xll.FDSB($C607,"CS_EVENT_DESC_N("&amp;$AB$18&amp;",1)")</f>
        <v/>
      </c>
      <c r="M607" s="300"/>
      <c r="N607" s="274" t="str" cm="1">
        <f t="array" ref="N607">_xll.FDSB($C607,"CS_EVENT_DATEJ_N("&amp;$AA$18&amp;",2)")</f>
        <v/>
      </c>
      <c r="O607" s="282" t="str" cm="1">
        <f t="array" ref="O607">_xll.FDSB($C607,"CS_EVENT_TIME_N("&amp;$AA$18&amp;",2)")</f>
        <v/>
      </c>
      <c r="P607" s="282" t="str" cm="1">
        <f t="array" ref="P607">_xll.FDSB($C607,"CS_EVENT_DESC_N("&amp;$AA$18&amp;",2)")</f>
        <v/>
      </c>
      <c r="Q607" s="282"/>
      <c r="R607" s="274" t="str" cm="1">
        <f t="array" ref="R607">_xll.FDSB($C607,"CS_EVENT_DATEJ_N("&amp;$AA$18&amp;",3)")</f>
        <v/>
      </c>
      <c r="S607" s="282" t="str" cm="1">
        <f t="array" ref="S607">_xll.FDSB($C607,"CS_EVENT_TIME_N("&amp;$AA$18&amp;",3)")</f>
        <v/>
      </c>
      <c r="T607" s="282" t="str" cm="1">
        <f t="array" ref="T607">_xll.FDSB($C607,"CS_EVENT_DESC_N("&amp;$AA$18&amp;",3)")</f>
        <v/>
      </c>
      <c r="U607" s="282"/>
      <c r="V607" s="274" t="str" cm="1">
        <f t="array" ref="V607">_xll.FDSB($C607,"CS_EVENT_DATEJ_N("&amp;$AA$18&amp;",4)")</f>
        <v/>
      </c>
      <c r="W607" s="282" t="str" cm="1">
        <f t="array" ref="W607">_xll.FDSB($C607,"CS_EVENT_TIME_N("&amp;$AA$18&amp;",4)")</f>
        <v/>
      </c>
      <c r="X607" s="282" t="str" cm="1">
        <f t="array" ref="X607">_xll.FDSB($C607,"CS_EVENT_DESC_N("&amp;$AA$18&amp;",4)")</f>
        <v/>
      </c>
    </row>
    <row r="608" spans="2:24" x14ac:dyDescent="0.15">
      <c r="B608" s="298">
        <f t="shared" si="11"/>
        <v>593</v>
      </c>
      <c r="C608" s="299"/>
      <c r="D608" s="300" t="str" cm="1">
        <f t="array" ref="D608">_xll.FDSB($C608,"FG_COMPANY_NAME")</f>
        <v/>
      </c>
      <c r="E608" s="300"/>
      <c r="F608" s="274" t="str" cm="1">
        <f t="array" ref="F608">_xll.FDSB($C608,"CS_EVENT_DATEJ_N("&amp;$AA$18&amp;",1)")</f>
        <v/>
      </c>
      <c r="G608" s="282" t="str" cm="1">
        <f t="array" ref="G608">_xll.FDSB($C608,"CS_EVENT_TIME_N("&amp;$AA$18&amp;",1)")</f>
        <v/>
      </c>
      <c r="H608" s="282" t="str" cm="1">
        <f t="array" ref="H608">_xll.FDSB($C608,"CS_EVENT_DESC_N("&amp;$AA$18&amp;",1)")</f>
        <v/>
      </c>
      <c r="I608" s="282"/>
      <c r="J608" s="274" t="str" cm="1">
        <f t="array" ref="J608">_xll.FDSB($C608,"CS_EVENT_DATEJ_N("&amp;$AB$18&amp;",1)")</f>
        <v/>
      </c>
      <c r="K608" s="282" t="str" cm="1">
        <f t="array" ref="K608">_xll.FDSB($C608,"CS_EVENT_TIME_N("&amp;$AB$18&amp;",1)")</f>
        <v/>
      </c>
      <c r="L608" s="282" t="str" cm="1">
        <f t="array" ref="L608">_xll.FDSB($C608,"CS_EVENT_DESC_N("&amp;$AB$18&amp;",1)")</f>
        <v/>
      </c>
      <c r="M608" s="300"/>
      <c r="N608" s="274" t="str" cm="1">
        <f t="array" ref="N608">_xll.FDSB($C608,"CS_EVENT_DATEJ_N("&amp;$AA$18&amp;",2)")</f>
        <v/>
      </c>
      <c r="O608" s="282" t="str" cm="1">
        <f t="array" ref="O608">_xll.FDSB($C608,"CS_EVENT_TIME_N("&amp;$AA$18&amp;",2)")</f>
        <v/>
      </c>
      <c r="P608" s="282" t="str" cm="1">
        <f t="array" ref="P608">_xll.FDSB($C608,"CS_EVENT_DESC_N("&amp;$AA$18&amp;",2)")</f>
        <v/>
      </c>
      <c r="Q608" s="282"/>
      <c r="R608" s="274" t="str" cm="1">
        <f t="array" ref="R608">_xll.FDSB($C608,"CS_EVENT_DATEJ_N("&amp;$AA$18&amp;",3)")</f>
        <v/>
      </c>
      <c r="S608" s="282" t="str" cm="1">
        <f t="array" ref="S608">_xll.FDSB($C608,"CS_EVENT_TIME_N("&amp;$AA$18&amp;",3)")</f>
        <v/>
      </c>
      <c r="T608" s="282" t="str" cm="1">
        <f t="array" ref="T608">_xll.FDSB($C608,"CS_EVENT_DESC_N("&amp;$AA$18&amp;",3)")</f>
        <v/>
      </c>
      <c r="U608" s="282"/>
      <c r="V608" s="274" t="str" cm="1">
        <f t="array" ref="V608">_xll.FDSB($C608,"CS_EVENT_DATEJ_N("&amp;$AA$18&amp;",4)")</f>
        <v/>
      </c>
      <c r="W608" s="282" t="str" cm="1">
        <f t="array" ref="W608">_xll.FDSB($C608,"CS_EVENT_TIME_N("&amp;$AA$18&amp;",4)")</f>
        <v/>
      </c>
      <c r="X608" s="282" t="str" cm="1">
        <f t="array" ref="X608">_xll.FDSB($C608,"CS_EVENT_DESC_N("&amp;$AA$18&amp;",4)")</f>
        <v/>
      </c>
    </row>
    <row r="609" spans="2:24" x14ac:dyDescent="0.15">
      <c r="B609" s="298">
        <f t="shared" si="11"/>
        <v>594</v>
      </c>
      <c r="C609" s="299"/>
      <c r="D609" s="300" t="str" cm="1">
        <f t="array" ref="D609">_xll.FDSB($C609,"FG_COMPANY_NAME")</f>
        <v/>
      </c>
      <c r="E609" s="300"/>
      <c r="F609" s="274" t="str" cm="1">
        <f t="array" ref="F609">_xll.FDSB($C609,"CS_EVENT_DATEJ_N("&amp;$AA$18&amp;",1)")</f>
        <v/>
      </c>
      <c r="G609" s="282" t="str" cm="1">
        <f t="array" ref="G609">_xll.FDSB($C609,"CS_EVENT_TIME_N("&amp;$AA$18&amp;",1)")</f>
        <v/>
      </c>
      <c r="H609" s="282" t="str" cm="1">
        <f t="array" ref="H609">_xll.FDSB($C609,"CS_EVENT_DESC_N("&amp;$AA$18&amp;",1)")</f>
        <v/>
      </c>
      <c r="I609" s="282"/>
      <c r="J609" s="274" t="str" cm="1">
        <f t="array" ref="J609">_xll.FDSB($C609,"CS_EVENT_DATEJ_N("&amp;$AB$18&amp;",1)")</f>
        <v/>
      </c>
      <c r="K609" s="282" t="str" cm="1">
        <f t="array" ref="K609">_xll.FDSB($C609,"CS_EVENT_TIME_N("&amp;$AB$18&amp;",1)")</f>
        <v/>
      </c>
      <c r="L609" s="282" t="str" cm="1">
        <f t="array" ref="L609">_xll.FDSB($C609,"CS_EVENT_DESC_N("&amp;$AB$18&amp;",1)")</f>
        <v/>
      </c>
      <c r="M609" s="300"/>
      <c r="N609" s="274" t="str" cm="1">
        <f t="array" ref="N609">_xll.FDSB($C609,"CS_EVENT_DATEJ_N("&amp;$AA$18&amp;",2)")</f>
        <v/>
      </c>
      <c r="O609" s="282" t="str" cm="1">
        <f t="array" ref="O609">_xll.FDSB($C609,"CS_EVENT_TIME_N("&amp;$AA$18&amp;",2)")</f>
        <v/>
      </c>
      <c r="P609" s="282" t="str" cm="1">
        <f t="array" ref="P609">_xll.FDSB($C609,"CS_EVENT_DESC_N("&amp;$AA$18&amp;",2)")</f>
        <v/>
      </c>
      <c r="Q609" s="282"/>
      <c r="R609" s="274" t="str" cm="1">
        <f t="array" ref="R609">_xll.FDSB($C609,"CS_EVENT_DATEJ_N("&amp;$AA$18&amp;",3)")</f>
        <v/>
      </c>
      <c r="S609" s="282" t="str" cm="1">
        <f t="array" ref="S609">_xll.FDSB($C609,"CS_EVENT_TIME_N("&amp;$AA$18&amp;",3)")</f>
        <v/>
      </c>
      <c r="T609" s="282" t="str" cm="1">
        <f t="array" ref="T609">_xll.FDSB($C609,"CS_EVENT_DESC_N("&amp;$AA$18&amp;",3)")</f>
        <v/>
      </c>
      <c r="U609" s="282"/>
      <c r="V609" s="274" t="str" cm="1">
        <f t="array" ref="V609">_xll.FDSB($C609,"CS_EVENT_DATEJ_N("&amp;$AA$18&amp;",4)")</f>
        <v/>
      </c>
      <c r="W609" s="282" t="str" cm="1">
        <f t="array" ref="W609">_xll.FDSB($C609,"CS_EVENT_TIME_N("&amp;$AA$18&amp;",4)")</f>
        <v/>
      </c>
      <c r="X609" s="282" t="str" cm="1">
        <f t="array" ref="X609">_xll.FDSB($C609,"CS_EVENT_DESC_N("&amp;$AA$18&amp;",4)")</f>
        <v/>
      </c>
    </row>
    <row r="610" spans="2:24" x14ac:dyDescent="0.15">
      <c r="B610" s="298">
        <f t="shared" si="11"/>
        <v>595</v>
      </c>
      <c r="C610" s="299"/>
      <c r="D610" s="300" t="str" cm="1">
        <f t="array" ref="D610">_xll.FDSB($C610,"FG_COMPANY_NAME")</f>
        <v/>
      </c>
      <c r="E610" s="300"/>
      <c r="F610" s="274" t="str" cm="1">
        <f t="array" ref="F610">_xll.FDSB($C610,"CS_EVENT_DATEJ_N("&amp;$AA$18&amp;",1)")</f>
        <v/>
      </c>
      <c r="G610" s="282" t="str" cm="1">
        <f t="array" ref="G610">_xll.FDSB($C610,"CS_EVENT_TIME_N("&amp;$AA$18&amp;",1)")</f>
        <v/>
      </c>
      <c r="H610" s="282" t="str" cm="1">
        <f t="array" ref="H610">_xll.FDSB($C610,"CS_EVENT_DESC_N("&amp;$AA$18&amp;",1)")</f>
        <v/>
      </c>
      <c r="I610" s="282"/>
      <c r="J610" s="274" t="str" cm="1">
        <f t="array" ref="J610">_xll.FDSB($C610,"CS_EVENT_DATEJ_N("&amp;$AB$18&amp;",1)")</f>
        <v/>
      </c>
      <c r="K610" s="282" t="str" cm="1">
        <f t="array" ref="K610">_xll.FDSB($C610,"CS_EVENT_TIME_N("&amp;$AB$18&amp;",1)")</f>
        <v/>
      </c>
      <c r="L610" s="282" t="str" cm="1">
        <f t="array" ref="L610">_xll.FDSB($C610,"CS_EVENT_DESC_N("&amp;$AB$18&amp;",1)")</f>
        <v/>
      </c>
      <c r="M610" s="300"/>
      <c r="N610" s="274" t="str" cm="1">
        <f t="array" ref="N610">_xll.FDSB($C610,"CS_EVENT_DATEJ_N("&amp;$AA$18&amp;",2)")</f>
        <v/>
      </c>
      <c r="O610" s="282" t="str" cm="1">
        <f t="array" ref="O610">_xll.FDSB($C610,"CS_EVENT_TIME_N("&amp;$AA$18&amp;",2)")</f>
        <v/>
      </c>
      <c r="P610" s="282" t="str" cm="1">
        <f t="array" ref="P610">_xll.FDSB($C610,"CS_EVENT_DESC_N("&amp;$AA$18&amp;",2)")</f>
        <v/>
      </c>
      <c r="Q610" s="282"/>
      <c r="R610" s="274" t="str" cm="1">
        <f t="array" ref="R610">_xll.FDSB($C610,"CS_EVENT_DATEJ_N("&amp;$AA$18&amp;",3)")</f>
        <v/>
      </c>
      <c r="S610" s="282" t="str" cm="1">
        <f t="array" ref="S610">_xll.FDSB($C610,"CS_EVENT_TIME_N("&amp;$AA$18&amp;",3)")</f>
        <v/>
      </c>
      <c r="T610" s="282" t="str" cm="1">
        <f t="array" ref="T610">_xll.FDSB($C610,"CS_EVENT_DESC_N("&amp;$AA$18&amp;",3)")</f>
        <v/>
      </c>
      <c r="U610" s="282"/>
      <c r="V610" s="274" t="str" cm="1">
        <f t="array" ref="V610">_xll.FDSB($C610,"CS_EVENT_DATEJ_N("&amp;$AA$18&amp;",4)")</f>
        <v/>
      </c>
      <c r="W610" s="282" t="str" cm="1">
        <f t="array" ref="W610">_xll.FDSB($C610,"CS_EVENT_TIME_N("&amp;$AA$18&amp;",4)")</f>
        <v/>
      </c>
      <c r="X610" s="282" t="str" cm="1">
        <f t="array" ref="X610">_xll.FDSB($C610,"CS_EVENT_DESC_N("&amp;$AA$18&amp;",4)")</f>
        <v/>
      </c>
    </row>
    <row r="611" spans="2:24" x14ac:dyDescent="0.15">
      <c r="B611" s="298">
        <f t="shared" si="11"/>
        <v>596</v>
      </c>
      <c r="C611" s="299"/>
      <c r="D611" s="300" t="str" cm="1">
        <f t="array" ref="D611">_xll.FDSB($C611,"FG_COMPANY_NAME")</f>
        <v/>
      </c>
      <c r="E611" s="300"/>
      <c r="F611" s="274" t="str" cm="1">
        <f t="array" ref="F611">_xll.FDSB($C611,"CS_EVENT_DATEJ_N("&amp;$AA$18&amp;",1)")</f>
        <v/>
      </c>
      <c r="G611" s="282" t="str" cm="1">
        <f t="array" ref="G611">_xll.FDSB($C611,"CS_EVENT_TIME_N("&amp;$AA$18&amp;",1)")</f>
        <v/>
      </c>
      <c r="H611" s="282" t="str" cm="1">
        <f t="array" ref="H611">_xll.FDSB($C611,"CS_EVENT_DESC_N("&amp;$AA$18&amp;",1)")</f>
        <v/>
      </c>
      <c r="I611" s="282"/>
      <c r="J611" s="274" t="str" cm="1">
        <f t="array" ref="J611">_xll.FDSB($C611,"CS_EVENT_DATEJ_N("&amp;$AB$18&amp;",1)")</f>
        <v/>
      </c>
      <c r="K611" s="282" t="str" cm="1">
        <f t="array" ref="K611">_xll.FDSB($C611,"CS_EVENT_TIME_N("&amp;$AB$18&amp;",1)")</f>
        <v/>
      </c>
      <c r="L611" s="282" t="str" cm="1">
        <f t="array" ref="L611">_xll.FDSB($C611,"CS_EVENT_DESC_N("&amp;$AB$18&amp;",1)")</f>
        <v/>
      </c>
      <c r="M611" s="300"/>
      <c r="N611" s="274" t="str" cm="1">
        <f t="array" ref="N611">_xll.FDSB($C611,"CS_EVENT_DATEJ_N("&amp;$AA$18&amp;",2)")</f>
        <v/>
      </c>
      <c r="O611" s="282" t="str" cm="1">
        <f t="array" ref="O611">_xll.FDSB($C611,"CS_EVENT_TIME_N("&amp;$AA$18&amp;",2)")</f>
        <v/>
      </c>
      <c r="P611" s="282" t="str" cm="1">
        <f t="array" ref="P611">_xll.FDSB($C611,"CS_EVENT_DESC_N("&amp;$AA$18&amp;",2)")</f>
        <v/>
      </c>
      <c r="Q611" s="282"/>
      <c r="R611" s="274" t="str" cm="1">
        <f t="array" ref="R611">_xll.FDSB($C611,"CS_EVENT_DATEJ_N("&amp;$AA$18&amp;",3)")</f>
        <v/>
      </c>
      <c r="S611" s="282" t="str" cm="1">
        <f t="array" ref="S611">_xll.FDSB($C611,"CS_EVENT_TIME_N("&amp;$AA$18&amp;",3)")</f>
        <v/>
      </c>
      <c r="T611" s="282" t="str" cm="1">
        <f t="array" ref="T611">_xll.FDSB($C611,"CS_EVENT_DESC_N("&amp;$AA$18&amp;",3)")</f>
        <v/>
      </c>
      <c r="U611" s="282"/>
      <c r="V611" s="274" t="str" cm="1">
        <f t="array" ref="V611">_xll.FDSB($C611,"CS_EVENT_DATEJ_N("&amp;$AA$18&amp;",4)")</f>
        <v/>
      </c>
      <c r="W611" s="282" t="str" cm="1">
        <f t="array" ref="W611">_xll.FDSB($C611,"CS_EVENT_TIME_N("&amp;$AA$18&amp;",4)")</f>
        <v/>
      </c>
      <c r="X611" s="282" t="str" cm="1">
        <f t="array" ref="X611">_xll.FDSB($C611,"CS_EVENT_DESC_N("&amp;$AA$18&amp;",4)")</f>
        <v/>
      </c>
    </row>
    <row r="612" spans="2:24" x14ac:dyDescent="0.15">
      <c r="B612" s="298">
        <f t="shared" si="11"/>
        <v>597</v>
      </c>
      <c r="C612" s="299"/>
      <c r="D612" s="300" t="str" cm="1">
        <f t="array" ref="D612">_xll.FDSB($C612,"FG_COMPANY_NAME")</f>
        <v/>
      </c>
      <c r="E612" s="300"/>
      <c r="F612" s="274" t="str" cm="1">
        <f t="array" ref="F612">_xll.FDSB($C612,"CS_EVENT_DATEJ_N("&amp;$AA$18&amp;",1)")</f>
        <v/>
      </c>
      <c r="G612" s="282" t="str" cm="1">
        <f t="array" ref="G612">_xll.FDSB($C612,"CS_EVENT_TIME_N("&amp;$AA$18&amp;",1)")</f>
        <v/>
      </c>
      <c r="H612" s="282" t="str" cm="1">
        <f t="array" ref="H612">_xll.FDSB($C612,"CS_EVENT_DESC_N("&amp;$AA$18&amp;",1)")</f>
        <v/>
      </c>
      <c r="I612" s="282"/>
      <c r="J612" s="274" t="str" cm="1">
        <f t="array" ref="J612">_xll.FDSB($C612,"CS_EVENT_DATEJ_N("&amp;$AB$18&amp;",1)")</f>
        <v/>
      </c>
      <c r="K612" s="282" t="str" cm="1">
        <f t="array" ref="K612">_xll.FDSB($C612,"CS_EVENT_TIME_N("&amp;$AB$18&amp;",1)")</f>
        <v/>
      </c>
      <c r="L612" s="282" t="str" cm="1">
        <f t="array" ref="L612">_xll.FDSB($C612,"CS_EVENT_DESC_N("&amp;$AB$18&amp;",1)")</f>
        <v/>
      </c>
      <c r="M612" s="300"/>
      <c r="N612" s="274" t="str" cm="1">
        <f t="array" ref="N612">_xll.FDSB($C612,"CS_EVENT_DATEJ_N("&amp;$AA$18&amp;",2)")</f>
        <v/>
      </c>
      <c r="O612" s="282" t="str" cm="1">
        <f t="array" ref="O612">_xll.FDSB($C612,"CS_EVENT_TIME_N("&amp;$AA$18&amp;",2)")</f>
        <v/>
      </c>
      <c r="P612" s="282" t="str" cm="1">
        <f t="array" ref="P612">_xll.FDSB($C612,"CS_EVENT_DESC_N("&amp;$AA$18&amp;",2)")</f>
        <v/>
      </c>
      <c r="Q612" s="282"/>
      <c r="R612" s="274" t="str" cm="1">
        <f t="array" ref="R612">_xll.FDSB($C612,"CS_EVENT_DATEJ_N("&amp;$AA$18&amp;",3)")</f>
        <v/>
      </c>
      <c r="S612" s="282" t="str" cm="1">
        <f t="array" ref="S612">_xll.FDSB($C612,"CS_EVENT_TIME_N("&amp;$AA$18&amp;",3)")</f>
        <v/>
      </c>
      <c r="T612" s="282" t="str" cm="1">
        <f t="array" ref="T612">_xll.FDSB($C612,"CS_EVENT_DESC_N("&amp;$AA$18&amp;",3)")</f>
        <v/>
      </c>
      <c r="U612" s="282"/>
      <c r="V612" s="274" t="str" cm="1">
        <f t="array" ref="V612">_xll.FDSB($C612,"CS_EVENT_DATEJ_N("&amp;$AA$18&amp;",4)")</f>
        <v/>
      </c>
      <c r="W612" s="282" t="str" cm="1">
        <f t="array" ref="W612">_xll.FDSB($C612,"CS_EVENT_TIME_N("&amp;$AA$18&amp;",4)")</f>
        <v/>
      </c>
      <c r="X612" s="282" t="str" cm="1">
        <f t="array" ref="X612">_xll.FDSB($C612,"CS_EVENT_DESC_N("&amp;$AA$18&amp;",4)")</f>
        <v/>
      </c>
    </row>
    <row r="613" spans="2:24" x14ac:dyDescent="0.15">
      <c r="B613" s="298">
        <f t="shared" si="11"/>
        <v>598</v>
      </c>
      <c r="C613" s="299"/>
      <c r="D613" s="300" t="str" cm="1">
        <f t="array" ref="D613">_xll.FDSB($C613,"FG_COMPANY_NAME")</f>
        <v/>
      </c>
      <c r="E613" s="300"/>
      <c r="F613" s="274" t="str" cm="1">
        <f t="array" ref="F613">_xll.FDSB($C613,"CS_EVENT_DATEJ_N("&amp;$AA$18&amp;",1)")</f>
        <v/>
      </c>
      <c r="G613" s="282" t="str" cm="1">
        <f t="array" ref="G613">_xll.FDSB($C613,"CS_EVENT_TIME_N("&amp;$AA$18&amp;",1)")</f>
        <v/>
      </c>
      <c r="H613" s="282" t="str" cm="1">
        <f t="array" ref="H613">_xll.FDSB($C613,"CS_EVENT_DESC_N("&amp;$AA$18&amp;",1)")</f>
        <v/>
      </c>
      <c r="I613" s="282"/>
      <c r="J613" s="274" t="str" cm="1">
        <f t="array" ref="J613">_xll.FDSB($C613,"CS_EVENT_DATEJ_N("&amp;$AB$18&amp;",1)")</f>
        <v/>
      </c>
      <c r="K613" s="282" t="str" cm="1">
        <f t="array" ref="K613">_xll.FDSB($C613,"CS_EVENT_TIME_N("&amp;$AB$18&amp;",1)")</f>
        <v/>
      </c>
      <c r="L613" s="282" t="str" cm="1">
        <f t="array" ref="L613">_xll.FDSB($C613,"CS_EVENT_DESC_N("&amp;$AB$18&amp;",1)")</f>
        <v/>
      </c>
      <c r="M613" s="300"/>
      <c r="N613" s="274" t="str" cm="1">
        <f t="array" ref="N613">_xll.FDSB($C613,"CS_EVENT_DATEJ_N("&amp;$AA$18&amp;",2)")</f>
        <v/>
      </c>
      <c r="O613" s="282" t="str" cm="1">
        <f t="array" ref="O613">_xll.FDSB($C613,"CS_EVENT_TIME_N("&amp;$AA$18&amp;",2)")</f>
        <v/>
      </c>
      <c r="P613" s="282" t="str" cm="1">
        <f t="array" ref="P613">_xll.FDSB($C613,"CS_EVENT_DESC_N("&amp;$AA$18&amp;",2)")</f>
        <v/>
      </c>
      <c r="Q613" s="282"/>
      <c r="R613" s="274" t="str" cm="1">
        <f t="array" ref="R613">_xll.FDSB($C613,"CS_EVENT_DATEJ_N("&amp;$AA$18&amp;",3)")</f>
        <v/>
      </c>
      <c r="S613" s="282" t="str" cm="1">
        <f t="array" ref="S613">_xll.FDSB($C613,"CS_EVENT_TIME_N("&amp;$AA$18&amp;",3)")</f>
        <v/>
      </c>
      <c r="T613" s="282" t="str" cm="1">
        <f t="array" ref="T613">_xll.FDSB($C613,"CS_EVENT_DESC_N("&amp;$AA$18&amp;",3)")</f>
        <v/>
      </c>
      <c r="U613" s="282"/>
      <c r="V613" s="274" t="str" cm="1">
        <f t="array" ref="V613">_xll.FDSB($C613,"CS_EVENT_DATEJ_N("&amp;$AA$18&amp;",4)")</f>
        <v/>
      </c>
      <c r="W613" s="282" t="str" cm="1">
        <f t="array" ref="W613">_xll.FDSB($C613,"CS_EVENT_TIME_N("&amp;$AA$18&amp;",4)")</f>
        <v/>
      </c>
      <c r="X613" s="282" t="str" cm="1">
        <f t="array" ref="X613">_xll.FDSB($C613,"CS_EVENT_DESC_N("&amp;$AA$18&amp;",4)")</f>
        <v/>
      </c>
    </row>
    <row r="614" spans="2:24" x14ac:dyDescent="0.15">
      <c r="B614" s="298">
        <f t="shared" si="11"/>
        <v>599</v>
      </c>
      <c r="C614" s="299"/>
      <c r="D614" s="300" t="str" cm="1">
        <f t="array" ref="D614">_xll.FDSB($C614,"FG_COMPANY_NAME")</f>
        <v/>
      </c>
      <c r="E614" s="300"/>
      <c r="F614" s="274" t="str" cm="1">
        <f t="array" ref="F614">_xll.FDSB($C614,"CS_EVENT_DATEJ_N("&amp;$AA$18&amp;",1)")</f>
        <v/>
      </c>
      <c r="G614" s="282" t="str" cm="1">
        <f t="array" ref="G614">_xll.FDSB($C614,"CS_EVENT_TIME_N("&amp;$AA$18&amp;",1)")</f>
        <v/>
      </c>
      <c r="H614" s="282" t="str" cm="1">
        <f t="array" ref="H614">_xll.FDSB($C614,"CS_EVENT_DESC_N("&amp;$AA$18&amp;",1)")</f>
        <v/>
      </c>
      <c r="I614" s="282"/>
      <c r="J614" s="274" t="str" cm="1">
        <f t="array" ref="J614">_xll.FDSB($C614,"CS_EVENT_DATEJ_N("&amp;$AB$18&amp;",1)")</f>
        <v/>
      </c>
      <c r="K614" s="282" t="str" cm="1">
        <f t="array" ref="K614">_xll.FDSB($C614,"CS_EVENT_TIME_N("&amp;$AB$18&amp;",1)")</f>
        <v/>
      </c>
      <c r="L614" s="282" t="str" cm="1">
        <f t="array" ref="L614">_xll.FDSB($C614,"CS_EVENT_DESC_N("&amp;$AB$18&amp;",1)")</f>
        <v/>
      </c>
      <c r="M614" s="300"/>
      <c r="N614" s="274" t="str" cm="1">
        <f t="array" ref="N614">_xll.FDSB($C614,"CS_EVENT_DATEJ_N("&amp;$AA$18&amp;",2)")</f>
        <v/>
      </c>
      <c r="O614" s="282" t="str" cm="1">
        <f t="array" ref="O614">_xll.FDSB($C614,"CS_EVENT_TIME_N("&amp;$AA$18&amp;",2)")</f>
        <v/>
      </c>
      <c r="P614" s="282" t="str" cm="1">
        <f t="array" ref="P614">_xll.FDSB($C614,"CS_EVENT_DESC_N("&amp;$AA$18&amp;",2)")</f>
        <v/>
      </c>
      <c r="Q614" s="282"/>
      <c r="R614" s="274" t="str" cm="1">
        <f t="array" ref="R614">_xll.FDSB($C614,"CS_EVENT_DATEJ_N("&amp;$AA$18&amp;",3)")</f>
        <v/>
      </c>
      <c r="S614" s="282" t="str" cm="1">
        <f t="array" ref="S614">_xll.FDSB($C614,"CS_EVENT_TIME_N("&amp;$AA$18&amp;",3)")</f>
        <v/>
      </c>
      <c r="T614" s="282" t="str" cm="1">
        <f t="array" ref="T614">_xll.FDSB($C614,"CS_EVENT_DESC_N("&amp;$AA$18&amp;",3)")</f>
        <v/>
      </c>
      <c r="U614" s="282"/>
      <c r="V614" s="274" t="str" cm="1">
        <f t="array" ref="V614">_xll.FDSB($C614,"CS_EVENT_DATEJ_N("&amp;$AA$18&amp;",4)")</f>
        <v/>
      </c>
      <c r="W614" s="282" t="str" cm="1">
        <f t="array" ref="W614">_xll.FDSB($C614,"CS_EVENT_TIME_N("&amp;$AA$18&amp;",4)")</f>
        <v/>
      </c>
      <c r="X614" s="282" t="str" cm="1">
        <f t="array" ref="X614">_xll.FDSB($C614,"CS_EVENT_DESC_N("&amp;$AA$18&amp;",4)")</f>
        <v/>
      </c>
    </row>
    <row r="615" spans="2:24" x14ac:dyDescent="0.15">
      <c r="B615" s="298">
        <f t="shared" si="11"/>
        <v>600</v>
      </c>
      <c r="C615" s="299"/>
      <c r="D615" s="300" t="str" cm="1">
        <f t="array" ref="D615">_xll.FDSB($C615,"FG_COMPANY_NAME")</f>
        <v/>
      </c>
      <c r="E615" s="300"/>
      <c r="F615" s="274" t="str" cm="1">
        <f t="array" ref="F615">_xll.FDSB($C615,"CS_EVENT_DATEJ_N("&amp;$AA$18&amp;",1)")</f>
        <v/>
      </c>
      <c r="G615" s="282" t="str" cm="1">
        <f t="array" ref="G615">_xll.FDSB($C615,"CS_EVENT_TIME_N("&amp;$AA$18&amp;",1)")</f>
        <v/>
      </c>
      <c r="H615" s="282" t="str" cm="1">
        <f t="array" ref="H615">_xll.FDSB($C615,"CS_EVENT_DESC_N("&amp;$AA$18&amp;",1)")</f>
        <v/>
      </c>
      <c r="I615" s="282"/>
      <c r="J615" s="274" t="str" cm="1">
        <f t="array" ref="J615">_xll.FDSB($C615,"CS_EVENT_DATEJ_N("&amp;$AB$18&amp;",1)")</f>
        <v/>
      </c>
      <c r="K615" s="282" t="str" cm="1">
        <f t="array" ref="K615">_xll.FDSB($C615,"CS_EVENT_TIME_N("&amp;$AB$18&amp;",1)")</f>
        <v/>
      </c>
      <c r="L615" s="282" t="str" cm="1">
        <f t="array" ref="L615">_xll.FDSB($C615,"CS_EVENT_DESC_N("&amp;$AB$18&amp;",1)")</f>
        <v/>
      </c>
      <c r="M615" s="300"/>
      <c r="N615" s="274" t="str" cm="1">
        <f t="array" ref="N615">_xll.FDSB($C615,"CS_EVENT_DATEJ_N("&amp;$AA$18&amp;",2)")</f>
        <v/>
      </c>
      <c r="O615" s="282" t="str" cm="1">
        <f t="array" ref="O615">_xll.FDSB($C615,"CS_EVENT_TIME_N("&amp;$AA$18&amp;",2)")</f>
        <v/>
      </c>
      <c r="P615" s="282" t="str" cm="1">
        <f t="array" ref="P615">_xll.FDSB($C615,"CS_EVENT_DESC_N("&amp;$AA$18&amp;",2)")</f>
        <v/>
      </c>
      <c r="Q615" s="282"/>
      <c r="R615" s="274" t="str" cm="1">
        <f t="array" ref="R615">_xll.FDSB($C615,"CS_EVENT_DATEJ_N("&amp;$AA$18&amp;",3)")</f>
        <v/>
      </c>
      <c r="S615" s="282" t="str" cm="1">
        <f t="array" ref="S615">_xll.FDSB($C615,"CS_EVENT_TIME_N("&amp;$AA$18&amp;",3)")</f>
        <v/>
      </c>
      <c r="T615" s="282" t="str" cm="1">
        <f t="array" ref="T615">_xll.FDSB($C615,"CS_EVENT_DESC_N("&amp;$AA$18&amp;",3)")</f>
        <v/>
      </c>
      <c r="U615" s="282"/>
      <c r="V615" s="274" t="str" cm="1">
        <f t="array" ref="V615">_xll.FDSB($C615,"CS_EVENT_DATEJ_N("&amp;$AA$18&amp;",4)")</f>
        <v/>
      </c>
      <c r="W615" s="282" t="str" cm="1">
        <f t="array" ref="W615">_xll.FDSB($C615,"CS_EVENT_TIME_N("&amp;$AA$18&amp;",4)")</f>
        <v/>
      </c>
      <c r="X615" s="282" t="str" cm="1">
        <f t="array" ref="X615">_xll.FDSB($C615,"CS_EVENT_DESC_N("&amp;$AA$18&amp;",4)")</f>
        <v/>
      </c>
    </row>
    <row r="616" spans="2:24" x14ac:dyDescent="0.15">
      <c r="B616" s="298">
        <f t="shared" si="11"/>
        <v>601</v>
      </c>
      <c r="C616" s="299"/>
      <c r="D616" s="300" t="str" cm="1">
        <f t="array" ref="D616">_xll.FDSB($C616,"FG_COMPANY_NAME")</f>
        <v/>
      </c>
      <c r="E616" s="300"/>
      <c r="F616" s="274" t="str" cm="1">
        <f t="array" ref="F616">_xll.FDSB($C616,"CS_EVENT_DATEJ_N("&amp;$AA$18&amp;",1)")</f>
        <v/>
      </c>
      <c r="G616" s="282" t="str" cm="1">
        <f t="array" ref="G616">_xll.FDSB($C616,"CS_EVENT_TIME_N("&amp;$AA$18&amp;",1)")</f>
        <v/>
      </c>
      <c r="H616" s="282" t="str" cm="1">
        <f t="array" ref="H616">_xll.FDSB($C616,"CS_EVENT_DESC_N("&amp;$AA$18&amp;",1)")</f>
        <v/>
      </c>
      <c r="I616" s="282"/>
      <c r="J616" s="274" t="str" cm="1">
        <f t="array" ref="J616">_xll.FDSB($C616,"CS_EVENT_DATEJ_N("&amp;$AB$18&amp;",1)")</f>
        <v/>
      </c>
      <c r="K616" s="282" t="str" cm="1">
        <f t="array" ref="K616">_xll.FDSB($C616,"CS_EVENT_TIME_N("&amp;$AB$18&amp;",1)")</f>
        <v/>
      </c>
      <c r="L616" s="282" t="str" cm="1">
        <f t="array" ref="L616">_xll.FDSB($C616,"CS_EVENT_DESC_N("&amp;$AB$18&amp;",1)")</f>
        <v/>
      </c>
      <c r="M616" s="300"/>
      <c r="N616" s="274" t="str" cm="1">
        <f t="array" ref="N616">_xll.FDSB($C616,"CS_EVENT_DATEJ_N("&amp;$AA$18&amp;",2)")</f>
        <v/>
      </c>
      <c r="O616" s="282" t="str" cm="1">
        <f t="array" ref="O616">_xll.FDSB($C616,"CS_EVENT_TIME_N("&amp;$AA$18&amp;",2)")</f>
        <v/>
      </c>
      <c r="P616" s="282" t="str" cm="1">
        <f t="array" ref="P616">_xll.FDSB($C616,"CS_EVENT_DESC_N("&amp;$AA$18&amp;",2)")</f>
        <v/>
      </c>
      <c r="Q616" s="282"/>
      <c r="R616" s="274" t="str" cm="1">
        <f t="array" ref="R616">_xll.FDSB($C616,"CS_EVENT_DATEJ_N("&amp;$AA$18&amp;",3)")</f>
        <v/>
      </c>
      <c r="S616" s="282" t="str" cm="1">
        <f t="array" ref="S616">_xll.FDSB($C616,"CS_EVENT_TIME_N("&amp;$AA$18&amp;",3)")</f>
        <v/>
      </c>
      <c r="T616" s="282" t="str" cm="1">
        <f t="array" ref="T616">_xll.FDSB($C616,"CS_EVENT_DESC_N("&amp;$AA$18&amp;",3)")</f>
        <v/>
      </c>
      <c r="U616" s="282"/>
      <c r="V616" s="274" t="str" cm="1">
        <f t="array" ref="V616">_xll.FDSB($C616,"CS_EVENT_DATEJ_N("&amp;$AA$18&amp;",4)")</f>
        <v/>
      </c>
      <c r="W616" s="282" t="str" cm="1">
        <f t="array" ref="W616">_xll.FDSB($C616,"CS_EVENT_TIME_N("&amp;$AA$18&amp;",4)")</f>
        <v/>
      </c>
      <c r="X616" s="282" t="str" cm="1">
        <f t="array" ref="X616">_xll.FDSB($C616,"CS_EVENT_DESC_N("&amp;$AA$18&amp;",4)")</f>
        <v/>
      </c>
    </row>
    <row r="617" spans="2:24" x14ac:dyDescent="0.15">
      <c r="B617" s="298">
        <f t="shared" si="11"/>
        <v>602</v>
      </c>
      <c r="C617" s="299"/>
      <c r="D617" s="300" t="str" cm="1">
        <f t="array" ref="D617">_xll.FDSB($C617,"FG_COMPANY_NAME")</f>
        <v/>
      </c>
      <c r="E617" s="300"/>
      <c r="F617" s="274" t="str" cm="1">
        <f t="array" ref="F617">_xll.FDSB($C617,"CS_EVENT_DATEJ_N("&amp;$AA$18&amp;",1)")</f>
        <v/>
      </c>
      <c r="G617" s="282" t="str" cm="1">
        <f t="array" ref="G617">_xll.FDSB($C617,"CS_EVENT_TIME_N("&amp;$AA$18&amp;",1)")</f>
        <v/>
      </c>
      <c r="H617" s="282" t="str" cm="1">
        <f t="array" ref="H617">_xll.FDSB($C617,"CS_EVENT_DESC_N("&amp;$AA$18&amp;",1)")</f>
        <v/>
      </c>
      <c r="I617" s="282"/>
      <c r="J617" s="274" t="str" cm="1">
        <f t="array" ref="J617">_xll.FDSB($C617,"CS_EVENT_DATEJ_N("&amp;$AB$18&amp;",1)")</f>
        <v/>
      </c>
      <c r="K617" s="282" t="str" cm="1">
        <f t="array" ref="K617">_xll.FDSB($C617,"CS_EVENT_TIME_N("&amp;$AB$18&amp;",1)")</f>
        <v/>
      </c>
      <c r="L617" s="282" t="str" cm="1">
        <f t="array" ref="L617">_xll.FDSB($C617,"CS_EVENT_DESC_N("&amp;$AB$18&amp;",1)")</f>
        <v/>
      </c>
      <c r="M617" s="300"/>
      <c r="N617" s="274" t="str" cm="1">
        <f t="array" ref="N617">_xll.FDSB($C617,"CS_EVENT_DATEJ_N("&amp;$AA$18&amp;",2)")</f>
        <v/>
      </c>
      <c r="O617" s="282" t="str" cm="1">
        <f t="array" ref="O617">_xll.FDSB($C617,"CS_EVENT_TIME_N("&amp;$AA$18&amp;",2)")</f>
        <v/>
      </c>
      <c r="P617" s="282" t="str" cm="1">
        <f t="array" ref="P617">_xll.FDSB($C617,"CS_EVENT_DESC_N("&amp;$AA$18&amp;",2)")</f>
        <v/>
      </c>
      <c r="Q617" s="282"/>
      <c r="R617" s="274" t="str" cm="1">
        <f t="array" ref="R617">_xll.FDSB($C617,"CS_EVENT_DATEJ_N("&amp;$AA$18&amp;",3)")</f>
        <v/>
      </c>
      <c r="S617" s="282" t="str" cm="1">
        <f t="array" ref="S617">_xll.FDSB($C617,"CS_EVENT_TIME_N("&amp;$AA$18&amp;",3)")</f>
        <v/>
      </c>
      <c r="T617" s="282" t="str" cm="1">
        <f t="array" ref="T617">_xll.FDSB($C617,"CS_EVENT_DESC_N("&amp;$AA$18&amp;",3)")</f>
        <v/>
      </c>
      <c r="U617" s="282"/>
      <c r="V617" s="274" t="str" cm="1">
        <f t="array" ref="V617">_xll.FDSB($C617,"CS_EVENT_DATEJ_N("&amp;$AA$18&amp;",4)")</f>
        <v/>
      </c>
      <c r="W617" s="282" t="str" cm="1">
        <f t="array" ref="W617">_xll.FDSB($C617,"CS_EVENT_TIME_N("&amp;$AA$18&amp;",4)")</f>
        <v/>
      </c>
      <c r="X617" s="282" t="str" cm="1">
        <f t="array" ref="X617">_xll.FDSB($C617,"CS_EVENT_DESC_N("&amp;$AA$18&amp;",4)")</f>
        <v/>
      </c>
    </row>
    <row r="618" spans="2:24" x14ac:dyDescent="0.15">
      <c r="B618" s="298">
        <f t="shared" si="11"/>
        <v>603</v>
      </c>
      <c r="C618" s="299"/>
      <c r="D618" s="300" t="str" cm="1">
        <f t="array" ref="D618">_xll.FDSB($C618,"FG_COMPANY_NAME")</f>
        <v/>
      </c>
      <c r="E618" s="300"/>
      <c r="F618" s="274" t="str" cm="1">
        <f t="array" ref="F618">_xll.FDSB($C618,"CS_EVENT_DATEJ_N("&amp;$AA$18&amp;",1)")</f>
        <v/>
      </c>
      <c r="G618" s="282" t="str" cm="1">
        <f t="array" ref="G618">_xll.FDSB($C618,"CS_EVENT_TIME_N("&amp;$AA$18&amp;",1)")</f>
        <v/>
      </c>
      <c r="H618" s="282" t="str" cm="1">
        <f t="array" ref="H618">_xll.FDSB($C618,"CS_EVENT_DESC_N("&amp;$AA$18&amp;",1)")</f>
        <v/>
      </c>
      <c r="I618" s="282"/>
      <c r="J618" s="274" t="str" cm="1">
        <f t="array" ref="J618">_xll.FDSB($C618,"CS_EVENT_DATEJ_N("&amp;$AB$18&amp;",1)")</f>
        <v/>
      </c>
      <c r="K618" s="282" t="str" cm="1">
        <f t="array" ref="K618">_xll.FDSB($C618,"CS_EVENT_TIME_N("&amp;$AB$18&amp;",1)")</f>
        <v/>
      </c>
      <c r="L618" s="282" t="str" cm="1">
        <f t="array" ref="L618">_xll.FDSB($C618,"CS_EVENT_DESC_N("&amp;$AB$18&amp;",1)")</f>
        <v/>
      </c>
      <c r="M618" s="300"/>
      <c r="N618" s="274" t="str" cm="1">
        <f t="array" ref="N618">_xll.FDSB($C618,"CS_EVENT_DATEJ_N("&amp;$AA$18&amp;",2)")</f>
        <v/>
      </c>
      <c r="O618" s="282" t="str" cm="1">
        <f t="array" ref="O618">_xll.FDSB($C618,"CS_EVENT_TIME_N("&amp;$AA$18&amp;",2)")</f>
        <v/>
      </c>
      <c r="P618" s="282" t="str" cm="1">
        <f t="array" ref="P618">_xll.FDSB($C618,"CS_EVENT_DESC_N("&amp;$AA$18&amp;",2)")</f>
        <v/>
      </c>
      <c r="Q618" s="282"/>
      <c r="R618" s="274" t="str" cm="1">
        <f t="array" ref="R618">_xll.FDSB($C618,"CS_EVENT_DATEJ_N("&amp;$AA$18&amp;",3)")</f>
        <v/>
      </c>
      <c r="S618" s="282" t="str" cm="1">
        <f t="array" ref="S618">_xll.FDSB($C618,"CS_EVENT_TIME_N("&amp;$AA$18&amp;",3)")</f>
        <v/>
      </c>
      <c r="T618" s="282" t="str" cm="1">
        <f t="array" ref="T618">_xll.FDSB($C618,"CS_EVENT_DESC_N("&amp;$AA$18&amp;",3)")</f>
        <v/>
      </c>
      <c r="U618" s="282"/>
      <c r="V618" s="274" t="str" cm="1">
        <f t="array" ref="V618">_xll.FDSB($C618,"CS_EVENT_DATEJ_N("&amp;$AA$18&amp;",4)")</f>
        <v/>
      </c>
      <c r="W618" s="282" t="str" cm="1">
        <f t="array" ref="W618">_xll.FDSB($C618,"CS_EVENT_TIME_N("&amp;$AA$18&amp;",4)")</f>
        <v/>
      </c>
      <c r="X618" s="282" t="str" cm="1">
        <f t="array" ref="X618">_xll.FDSB($C618,"CS_EVENT_DESC_N("&amp;$AA$18&amp;",4)")</f>
        <v/>
      </c>
    </row>
    <row r="619" spans="2:24" x14ac:dyDescent="0.15">
      <c r="B619" s="298">
        <f t="shared" si="11"/>
        <v>604</v>
      </c>
      <c r="C619" s="299"/>
      <c r="D619" s="300" t="str" cm="1">
        <f t="array" ref="D619">_xll.FDSB($C619,"FG_COMPANY_NAME")</f>
        <v/>
      </c>
      <c r="E619" s="300"/>
      <c r="F619" s="274" t="str" cm="1">
        <f t="array" ref="F619">_xll.FDSB($C619,"CS_EVENT_DATEJ_N("&amp;$AA$18&amp;",1)")</f>
        <v/>
      </c>
      <c r="G619" s="282" t="str" cm="1">
        <f t="array" ref="G619">_xll.FDSB($C619,"CS_EVENT_TIME_N("&amp;$AA$18&amp;",1)")</f>
        <v/>
      </c>
      <c r="H619" s="282" t="str" cm="1">
        <f t="array" ref="H619">_xll.FDSB($C619,"CS_EVENT_DESC_N("&amp;$AA$18&amp;",1)")</f>
        <v/>
      </c>
      <c r="I619" s="282"/>
      <c r="J619" s="274" t="str" cm="1">
        <f t="array" ref="J619">_xll.FDSB($C619,"CS_EVENT_DATEJ_N("&amp;$AB$18&amp;",1)")</f>
        <v/>
      </c>
      <c r="K619" s="282" t="str" cm="1">
        <f t="array" ref="K619">_xll.FDSB($C619,"CS_EVENT_TIME_N("&amp;$AB$18&amp;",1)")</f>
        <v/>
      </c>
      <c r="L619" s="282" t="str" cm="1">
        <f t="array" ref="L619">_xll.FDSB($C619,"CS_EVENT_DESC_N("&amp;$AB$18&amp;",1)")</f>
        <v/>
      </c>
      <c r="M619" s="300"/>
      <c r="N619" s="274" t="str" cm="1">
        <f t="array" ref="N619">_xll.FDSB($C619,"CS_EVENT_DATEJ_N("&amp;$AA$18&amp;",2)")</f>
        <v/>
      </c>
      <c r="O619" s="282" t="str" cm="1">
        <f t="array" ref="O619">_xll.FDSB($C619,"CS_EVENT_TIME_N("&amp;$AA$18&amp;",2)")</f>
        <v/>
      </c>
      <c r="P619" s="282" t="str" cm="1">
        <f t="array" ref="P619">_xll.FDSB($C619,"CS_EVENT_DESC_N("&amp;$AA$18&amp;",2)")</f>
        <v/>
      </c>
      <c r="Q619" s="282"/>
      <c r="R619" s="274" t="str" cm="1">
        <f t="array" ref="R619">_xll.FDSB($C619,"CS_EVENT_DATEJ_N("&amp;$AA$18&amp;",3)")</f>
        <v/>
      </c>
      <c r="S619" s="282" t="str" cm="1">
        <f t="array" ref="S619">_xll.FDSB($C619,"CS_EVENT_TIME_N("&amp;$AA$18&amp;",3)")</f>
        <v/>
      </c>
      <c r="T619" s="282" t="str" cm="1">
        <f t="array" ref="T619">_xll.FDSB($C619,"CS_EVENT_DESC_N("&amp;$AA$18&amp;",3)")</f>
        <v/>
      </c>
      <c r="U619" s="282"/>
      <c r="V619" s="274" t="str" cm="1">
        <f t="array" ref="V619">_xll.FDSB($C619,"CS_EVENT_DATEJ_N("&amp;$AA$18&amp;",4)")</f>
        <v/>
      </c>
      <c r="W619" s="282" t="str" cm="1">
        <f t="array" ref="W619">_xll.FDSB($C619,"CS_EVENT_TIME_N("&amp;$AA$18&amp;",4)")</f>
        <v/>
      </c>
      <c r="X619" s="282" t="str" cm="1">
        <f t="array" ref="X619">_xll.FDSB($C619,"CS_EVENT_DESC_N("&amp;$AA$18&amp;",4)")</f>
        <v/>
      </c>
    </row>
    <row r="620" spans="2:24" x14ac:dyDescent="0.15">
      <c r="B620" s="298">
        <f t="shared" si="11"/>
        <v>605</v>
      </c>
      <c r="C620" s="299"/>
      <c r="D620" s="300" t="str" cm="1">
        <f t="array" ref="D620">_xll.FDSB($C620,"FG_COMPANY_NAME")</f>
        <v/>
      </c>
      <c r="E620" s="300"/>
      <c r="F620" s="274" t="str" cm="1">
        <f t="array" ref="F620">_xll.FDSB($C620,"CS_EVENT_DATEJ_N("&amp;$AA$18&amp;",1)")</f>
        <v/>
      </c>
      <c r="G620" s="282" t="str" cm="1">
        <f t="array" ref="G620">_xll.FDSB($C620,"CS_EVENT_TIME_N("&amp;$AA$18&amp;",1)")</f>
        <v/>
      </c>
      <c r="H620" s="282" t="str" cm="1">
        <f t="array" ref="H620">_xll.FDSB($C620,"CS_EVENT_DESC_N("&amp;$AA$18&amp;",1)")</f>
        <v/>
      </c>
      <c r="I620" s="282"/>
      <c r="J620" s="274" t="str" cm="1">
        <f t="array" ref="J620">_xll.FDSB($C620,"CS_EVENT_DATEJ_N("&amp;$AB$18&amp;",1)")</f>
        <v/>
      </c>
      <c r="K620" s="282" t="str" cm="1">
        <f t="array" ref="K620">_xll.FDSB($C620,"CS_EVENT_TIME_N("&amp;$AB$18&amp;",1)")</f>
        <v/>
      </c>
      <c r="L620" s="282" t="str" cm="1">
        <f t="array" ref="L620">_xll.FDSB($C620,"CS_EVENT_DESC_N("&amp;$AB$18&amp;",1)")</f>
        <v/>
      </c>
      <c r="M620" s="300"/>
      <c r="N620" s="274" t="str" cm="1">
        <f t="array" ref="N620">_xll.FDSB($C620,"CS_EVENT_DATEJ_N("&amp;$AA$18&amp;",2)")</f>
        <v/>
      </c>
      <c r="O620" s="282" t="str" cm="1">
        <f t="array" ref="O620">_xll.FDSB($C620,"CS_EVENT_TIME_N("&amp;$AA$18&amp;",2)")</f>
        <v/>
      </c>
      <c r="P620" s="282" t="str" cm="1">
        <f t="array" ref="P620">_xll.FDSB($C620,"CS_EVENT_DESC_N("&amp;$AA$18&amp;",2)")</f>
        <v/>
      </c>
      <c r="Q620" s="282"/>
      <c r="R620" s="274" t="str" cm="1">
        <f t="array" ref="R620">_xll.FDSB($C620,"CS_EVENT_DATEJ_N("&amp;$AA$18&amp;",3)")</f>
        <v/>
      </c>
      <c r="S620" s="282" t="str" cm="1">
        <f t="array" ref="S620">_xll.FDSB($C620,"CS_EVENT_TIME_N("&amp;$AA$18&amp;",3)")</f>
        <v/>
      </c>
      <c r="T620" s="282" t="str" cm="1">
        <f t="array" ref="T620">_xll.FDSB($C620,"CS_EVENT_DESC_N("&amp;$AA$18&amp;",3)")</f>
        <v/>
      </c>
      <c r="U620" s="282"/>
      <c r="V620" s="274" t="str" cm="1">
        <f t="array" ref="V620">_xll.FDSB($C620,"CS_EVENT_DATEJ_N("&amp;$AA$18&amp;",4)")</f>
        <v/>
      </c>
      <c r="W620" s="282" t="str" cm="1">
        <f t="array" ref="W620">_xll.FDSB($C620,"CS_EVENT_TIME_N("&amp;$AA$18&amp;",4)")</f>
        <v/>
      </c>
      <c r="X620" s="282" t="str" cm="1">
        <f t="array" ref="X620">_xll.FDSB($C620,"CS_EVENT_DESC_N("&amp;$AA$18&amp;",4)")</f>
        <v/>
      </c>
    </row>
    <row r="621" spans="2:24" x14ac:dyDescent="0.15">
      <c r="B621" s="298">
        <f t="shared" si="11"/>
        <v>606</v>
      </c>
      <c r="C621" s="299"/>
      <c r="D621" s="300" t="str" cm="1">
        <f t="array" ref="D621">_xll.FDSB($C621,"FG_COMPANY_NAME")</f>
        <v/>
      </c>
      <c r="E621" s="300"/>
      <c r="F621" s="274" t="str" cm="1">
        <f t="array" ref="F621">_xll.FDSB($C621,"CS_EVENT_DATEJ_N("&amp;$AA$18&amp;",1)")</f>
        <v/>
      </c>
      <c r="G621" s="282" t="str" cm="1">
        <f t="array" ref="G621">_xll.FDSB($C621,"CS_EVENT_TIME_N("&amp;$AA$18&amp;",1)")</f>
        <v/>
      </c>
      <c r="H621" s="282" t="str" cm="1">
        <f t="array" ref="H621">_xll.FDSB($C621,"CS_EVENT_DESC_N("&amp;$AA$18&amp;",1)")</f>
        <v/>
      </c>
      <c r="I621" s="282"/>
      <c r="J621" s="274" t="str" cm="1">
        <f t="array" ref="J621">_xll.FDSB($C621,"CS_EVENT_DATEJ_N("&amp;$AB$18&amp;",1)")</f>
        <v/>
      </c>
      <c r="K621" s="282" t="str" cm="1">
        <f t="array" ref="K621">_xll.FDSB($C621,"CS_EVENT_TIME_N("&amp;$AB$18&amp;",1)")</f>
        <v/>
      </c>
      <c r="L621" s="282" t="str" cm="1">
        <f t="array" ref="L621">_xll.FDSB($C621,"CS_EVENT_DESC_N("&amp;$AB$18&amp;",1)")</f>
        <v/>
      </c>
      <c r="M621" s="300"/>
      <c r="N621" s="274" t="str" cm="1">
        <f t="array" ref="N621">_xll.FDSB($C621,"CS_EVENT_DATEJ_N("&amp;$AA$18&amp;",2)")</f>
        <v/>
      </c>
      <c r="O621" s="282" t="str" cm="1">
        <f t="array" ref="O621">_xll.FDSB($C621,"CS_EVENT_TIME_N("&amp;$AA$18&amp;",2)")</f>
        <v/>
      </c>
      <c r="P621" s="282" t="str" cm="1">
        <f t="array" ref="P621">_xll.FDSB($C621,"CS_EVENT_DESC_N("&amp;$AA$18&amp;",2)")</f>
        <v/>
      </c>
      <c r="Q621" s="282"/>
      <c r="R621" s="274" t="str" cm="1">
        <f t="array" ref="R621">_xll.FDSB($C621,"CS_EVENT_DATEJ_N("&amp;$AA$18&amp;",3)")</f>
        <v/>
      </c>
      <c r="S621" s="282" t="str" cm="1">
        <f t="array" ref="S621">_xll.FDSB($C621,"CS_EVENT_TIME_N("&amp;$AA$18&amp;",3)")</f>
        <v/>
      </c>
      <c r="T621" s="282" t="str" cm="1">
        <f t="array" ref="T621">_xll.FDSB($C621,"CS_EVENT_DESC_N("&amp;$AA$18&amp;",3)")</f>
        <v/>
      </c>
      <c r="U621" s="282"/>
      <c r="V621" s="274" t="str" cm="1">
        <f t="array" ref="V621">_xll.FDSB($C621,"CS_EVENT_DATEJ_N("&amp;$AA$18&amp;",4)")</f>
        <v/>
      </c>
      <c r="W621" s="282" t="str" cm="1">
        <f t="array" ref="W621">_xll.FDSB($C621,"CS_EVENT_TIME_N("&amp;$AA$18&amp;",4)")</f>
        <v/>
      </c>
      <c r="X621" s="282" t="str" cm="1">
        <f t="array" ref="X621">_xll.FDSB($C621,"CS_EVENT_DESC_N("&amp;$AA$18&amp;",4)")</f>
        <v/>
      </c>
    </row>
    <row r="622" spans="2:24" x14ac:dyDescent="0.15">
      <c r="B622" s="298">
        <f t="shared" si="11"/>
        <v>607</v>
      </c>
      <c r="C622" s="299"/>
      <c r="D622" s="300" t="str" cm="1">
        <f t="array" ref="D622">_xll.FDSB($C622,"FG_COMPANY_NAME")</f>
        <v/>
      </c>
      <c r="E622" s="300"/>
      <c r="F622" s="274" t="str" cm="1">
        <f t="array" ref="F622">_xll.FDSB($C622,"CS_EVENT_DATEJ_N("&amp;$AA$18&amp;",1)")</f>
        <v/>
      </c>
      <c r="G622" s="282" t="str" cm="1">
        <f t="array" ref="G622">_xll.FDSB($C622,"CS_EVENT_TIME_N("&amp;$AA$18&amp;",1)")</f>
        <v/>
      </c>
      <c r="H622" s="282" t="str" cm="1">
        <f t="array" ref="H622">_xll.FDSB($C622,"CS_EVENT_DESC_N("&amp;$AA$18&amp;",1)")</f>
        <v/>
      </c>
      <c r="I622" s="282"/>
      <c r="J622" s="274" t="str" cm="1">
        <f t="array" ref="J622">_xll.FDSB($C622,"CS_EVENT_DATEJ_N("&amp;$AB$18&amp;",1)")</f>
        <v/>
      </c>
      <c r="K622" s="282" t="str" cm="1">
        <f t="array" ref="K622">_xll.FDSB($C622,"CS_EVENT_TIME_N("&amp;$AB$18&amp;",1)")</f>
        <v/>
      </c>
      <c r="L622" s="282" t="str" cm="1">
        <f t="array" ref="L622">_xll.FDSB($C622,"CS_EVENT_DESC_N("&amp;$AB$18&amp;",1)")</f>
        <v/>
      </c>
      <c r="M622" s="300"/>
      <c r="N622" s="274" t="str" cm="1">
        <f t="array" ref="N622">_xll.FDSB($C622,"CS_EVENT_DATEJ_N("&amp;$AA$18&amp;",2)")</f>
        <v/>
      </c>
      <c r="O622" s="282" t="str" cm="1">
        <f t="array" ref="O622">_xll.FDSB($C622,"CS_EVENT_TIME_N("&amp;$AA$18&amp;",2)")</f>
        <v/>
      </c>
      <c r="P622" s="282" t="str" cm="1">
        <f t="array" ref="P622">_xll.FDSB($C622,"CS_EVENT_DESC_N("&amp;$AA$18&amp;",2)")</f>
        <v/>
      </c>
      <c r="Q622" s="282"/>
      <c r="R622" s="274" t="str" cm="1">
        <f t="array" ref="R622">_xll.FDSB($C622,"CS_EVENT_DATEJ_N("&amp;$AA$18&amp;",3)")</f>
        <v/>
      </c>
      <c r="S622" s="282" t="str" cm="1">
        <f t="array" ref="S622">_xll.FDSB($C622,"CS_EVENT_TIME_N("&amp;$AA$18&amp;",3)")</f>
        <v/>
      </c>
      <c r="T622" s="282" t="str" cm="1">
        <f t="array" ref="T622">_xll.FDSB($C622,"CS_EVENT_DESC_N("&amp;$AA$18&amp;",3)")</f>
        <v/>
      </c>
      <c r="U622" s="282"/>
      <c r="V622" s="274" t="str" cm="1">
        <f t="array" ref="V622">_xll.FDSB($C622,"CS_EVENT_DATEJ_N("&amp;$AA$18&amp;",4)")</f>
        <v/>
      </c>
      <c r="W622" s="282" t="str" cm="1">
        <f t="array" ref="W622">_xll.FDSB($C622,"CS_EVENT_TIME_N("&amp;$AA$18&amp;",4)")</f>
        <v/>
      </c>
      <c r="X622" s="282" t="str" cm="1">
        <f t="array" ref="X622">_xll.FDSB($C622,"CS_EVENT_DESC_N("&amp;$AA$18&amp;",4)")</f>
        <v/>
      </c>
    </row>
    <row r="623" spans="2:24" x14ac:dyDescent="0.15">
      <c r="B623" s="298">
        <f t="shared" si="11"/>
        <v>608</v>
      </c>
      <c r="C623" s="299"/>
      <c r="D623" s="300" t="str" cm="1">
        <f t="array" ref="D623">_xll.FDSB($C623,"FG_COMPANY_NAME")</f>
        <v/>
      </c>
      <c r="E623" s="300"/>
      <c r="F623" s="274" t="str" cm="1">
        <f t="array" ref="F623">_xll.FDSB($C623,"CS_EVENT_DATEJ_N("&amp;$AA$18&amp;",1)")</f>
        <v/>
      </c>
      <c r="G623" s="282" t="str" cm="1">
        <f t="array" ref="G623">_xll.FDSB($C623,"CS_EVENT_TIME_N("&amp;$AA$18&amp;",1)")</f>
        <v/>
      </c>
      <c r="H623" s="282" t="str" cm="1">
        <f t="array" ref="H623">_xll.FDSB($C623,"CS_EVENT_DESC_N("&amp;$AA$18&amp;",1)")</f>
        <v/>
      </c>
      <c r="I623" s="282"/>
      <c r="J623" s="274" t="str" cm="1">
        <f t="array" ref="J623">_xll.FDSB($C623,"CS_EVENT_DATEJ_N("&amp;$AB$18&amp;",1)")</f>
        <v/>
      </c>
      <c r="K623" s="282" t="str" cm="1">
        <f t="array" ref="K623">_xll.FDSB($C623,"CS_EVENT_TIME_N("&amp;$AB$18&amp;",1)")</f>
        <v/>
      </c>
      <c r="L623" s="282" t="str" cm="1">
        <f t="array" ref="L623">_xll.FDSB($C623,"CS_EVENT_DESC_N("&amp;$AB$18&amp;",1)")</f>
        <v/>
      </c>
      <c r="M623" s="300"/>
      <c r="N623" s="274" t="str" cm="1">
        <f t="array" ref="N623">_xll.FDSB($C623,"CS_EVENT_DATEJ_N("&amp;$AA$18&amp;",2)")</f>
        <v/>
      </c>
      <c r="O623" s="282" t="str" cm="1">
        <f t="array" ref="O623">_xll.FDSB($C623,"CS_EVENT_TIME_N("&amp;$AA$18&amp;",2)")</f>
        <v/>
      </c>
      <c r="P623" s="282" t="str" cm="1">
        <f t="array" ref="P623">_xll.FDSB($C623,"CS_EVENT_DESC_N("&amp;$AA$18&amp;",2)")</f>
        <v/>
      </c>
      <c r="Q623" s="282"/>
      <c r="R623" s="274" t="str" cm="1">
        <f t="array" ref="R623">_xll.FDSB($C623,"CS_EVENT_DATEJ_N("&amp;$AA$18&amp;",3)")</f>
        <v/>
      </c>
      <c r="S623" s="282" t="str" cm="1">
        <f t="array" ref="S623">_xll.FDSB($C623,"CS_EVENT_TIME_N("&amp;$AA$18&amp;",3)")</f>
        <v/>
      </c>
      <c r="T623" s="282" t="str" cm="1">
        <f t="array" ref="T623">_xll.FDSB($C623,"CS_EVENT_DESC_N("&amp;$AA$18&amp;",3)")</f>
        <v/>
      </c>
      <c r="U623" s="282"/>
      <c r="V623" s="274" t="str" cm="1">
        <f t="array" ref="V623">_xll.FDSB($C623,"CS_EVENT_DATEJ_N("&amp;$AA$18&amp;",4)")</f>
        <v/>
      </c>
      <c r="W623" s="282" t="str" cm="1">
        <f t="array" ref="W623">_xll.FDSB($C623,"CS_EVENT_TIME_N("&amp;$AA$18&amp;",4)")</f>
        <v/>
      </c>
      <c r="X623" s="282" t="str" cm="1">
        <f t="array" ref="X623">_xll.FDSB($C623,"CS_EVENT_DESC_N("&amp;$AA$18&amp;",4)")</f>
        <v/>
      </c>
    </row>
    <row r="624" spans="2:24" x14ac:dyDescent="0.15">
      <c r="B624" s="298">
        <f t="shared" si="11"/>
        <v>609</v>
      </c>
      <c r="C624" s="299"/>
      <c r="D624" s="300" t="str" cm="1">
        <f t="array" ref="D624">_xll.FDSB($C624,"FG_COMPANY_NAME")</f>
        <v/>
      </c>
      <c r="E624" s="300"/>
      <c r="F624" s="274" t="str" cm="1">
        <f t="array" ref="F624">_xll.FDSB($C624,"CS_EVENT_DATEJ_N("&amp;$AA$18&amp;",1)")</f>
        <v/>
      </c>
      <c r="G624" s="282" t="str" cm="1">
        <f t="array" ref="G624">_xll.FDSB($C624,"CS_EVENT_TIME_N("&amp;$AA$18&amp;",1)")</f>
        <v/>
      </c>
      <c r="H624" s="282" t="str" cm="1">
        <f t="array" ref="H624">_xll.FDSB($C624,"CS_EVENT_DESC_N("&amp;$AA$18&amp;",1)")</f>
        <v/>
      </c>
      <c r="I624" s="282"/>
      <c r="J624" s="274" t="str" cm="1">
        <f t="array" ref="J624">_xll.FDSB($C624,"CS_EVENT_DATEJ_N("&amp;$AB$18&amp;",1)")</f>
        <v/>
      </c>
      <c r="K624" s="282" t="str" cm="1">
        <f t="array" ref="K624">_xll.FDSB($C624,"CS_EVENT_TIME_N("&amp;$AB$18&amp;",1)")</f>
        <v/>
      </c>
      <c r="L624" s="282" t="str" cm="1">
        <f t="array" ref="L624">_xll.FDSB($C624,"CS_EVENT_DESC_N("&amp;$AB$18&amp;",1)")</f>
        <v/>
      </c>
      <c r="M624" s="300"/>
      <c r="N624" s="274" t="str" cm="1">
        <f t="array" ref="N624">_xll.FDSB($C624,"CS_EVENT_DATEJ_N("&amp;$AA$18&amp;",2)")</f>
        <v/>
      </c>
      <c r="O624" s="282" t="str" cm="1">
        <f t="array" ref="O624">_xll.FDSB($C624,"CS_EVENT_TIME_N("&amp;$AA$18&amp;",2)")</f>
        <v/>
      </c>
      <c r="P624" s="282" t="str" cm="1">
        <f t="array" ref="P624">_xll.FDSB($C624,"CS_EVENT_DESC_N("&amp;$AA$18&amp;",2)")</f>
        <v/>
      </c>
      <c r="Q624" s="282"/>
      <c r="R624" s="274" t="str" cm="1">
        <f t="array" ref="R624">_xll.FDSB($C624,"CS_EVENT_DATEJ_N("&amp;$AA$18&amp;",3)")</f>
        <v/>
      </c>
      <c r="S624" s="282" t="str" cm="1">
        <f t="array" ref="S624">_xll.FDSB($C624,"CS_EVENT_TIME_N("&amp;$AA$18&amp;",3)")</f>
        <v/>
      </c>
      <c r="T624" s="282" t="str" cm="1">
        <f t="array" ref="T624">_xll.FDSB($C624,"CS_EVENT_DESC_N("&amp;$AA$18&amp;",3)")</f>
        <v/>
      </c>
      <c r="U624" s="282"/>
      <c r="V624" s="274" t="str" cm="1">
        <f t="array" ref="V624">_xll.FDSB($C624,"CS_EVENT_DATEJ_N("&amp;$AA$18&amp;",4)")</f>
        <v/>
      </c>
      <c r="W624" s="282" t="str" cm="1">
        <f t="array" ref="W624">_xll.FDSB($C624,"CS_EVENT_TIME_N("&amp;$AA$18&amp;",4)")</f>
        <v/>
      </c>
      <c r="X624" s="282" t="str" cm="1">
        <f t="array" ref="X624">_xll.FDSB($C624,"CS_EVENT_DESC_N("&amp;$AA$18&amp;",4)")</f>
        <v/>
      </c>
    </row>
    <row r="625" spans="2:24" x14ac:dyDescent="0.15">
      <c r="B625" s="298">
        <f t="shared" si="11"/>
        <v>610</v>
      </c>
      <c r="C625" s="299"/>
      <c r="D625" s="300" t="str" cm="1">
        <f t="array" ref="D625">_xll.FDSB($C625,"FG_COMPANY_NAME")</f>
        <v/>
      </c>
      <c r="E625" s="300"/>
      <c r="F625" s="274" t="str" cm="1">
        <f t="array" ref="F625">_xll.FDSB($C625,"CS_EVENT_DATEJ_N("&amp;$AA$18&amp;",1)")</f>
        <v/>
      </c>
      <c r="G625" s="282" t="str" cm="1">
        <f t="array" ref="G625">_xll.FDSB($C625,"CS_EVENT_TIME_N("&amp;$AA$18&amp;",1)")</f>
        <v/>
      </c>
      <c r="H625" s="282" t="str" cm="1">
        <f t="array" ref="H625">_xll.FDSB($C625,"CS_EVENT_DESC_N("&amp;$AA$18&amp;",1)")</f>
        <v/>
      </c>
      <c r="I625" s="282"/>
      <c r="J625" s="274" t="str" cm="1">
        <f t="array" ref="J625">_xll.FDSB($C625,"CS_EVENT_DATEJ_N("&amp;$AB$18&amp;",1)")</f>
        <v/>
      </c>
      <c r="K625" s="282" t="str" cm="1">
        <f t="array" ref="K625">_xll.FDSB($C625,"CS_EVENT_TIME_N("&amp;$AB$18&amp;",1)")</f>
        <v/>
      </c>
      <c r="L625" s="282" t="str" cm="1">
        <f t="array" ref="L625">_xll.FDSB($C625,"CS_EVENT_DESC_N("&amp;$AB$18&amp;",1)")</f>
        <v/>
      </c>
      <c r="M625" s="300"/>
      <c r="N625" s="274" t="str" cm="1">
        <f t="array" ref="N625">_xll.FDSB($C625,"CS_EVENT_DATEJ_N("&amp;$AA$18&amp;",2)")</f>
        <v/>
      </c>
      <c r="O625" s="282" t="str" cm="1">
        <f t="array" ref="O625">_xll.FDSB($C625,"CS_EVENT_TIME_N("&amp;$AA$18&amp;",2)")</f>
        <v/>
      </c>
      <c r="P625" s="282" t="str" cm="1">
        <f t="array" ref="P625">_xll.FDSB($C625,"CS_EVENT_DESC_N("&amp;$AA$18&amp;",2)")</f>
        <v/>
      </c>
      <c r="Q625" s="282"/>
      <c r="R625" s="274" t="str" cm="1">
        <f t="array" ref="R625">_xll.FDSB($C625,"CS_EVENT_DATEJ_N("&amp;$AA$18&amp;",3)")</f>
        <v/>
      </c>
      <c r="S625" s="282" t="str" cm="1">
        <f t="array" ref="S625">_xll.FDSB($C625,"CS_EVENT_TIME_N("&amp;$AA$18&amp;",3)")</f>
        <v/>
      </c>
      <c r="T625" s="282" t="str" cm="1">
        <f t="array" ref="T625">_xll.FDSB($C625,"CS_EVENT_DESC_N("&amp;$AA$18&amp;",3)")</f>
        <v/>
      </c>
      <c r="U625" s="282"/>
      <c r="V625" s="274" t="str" cm="1">
        <f t="array" ref="V625">_xll.FDSB($C625,"CS_EVENT_DATEJ_N("&amp;$AA$18&amp;",4)")</f>
        <v/>
      </c>
      <c r="W625" s="282" t="str" cm="1">
        <f t="array" ref="W625">_xll.FDSB($C625,"CS_EVENT_TIME_N("&amp;$AA$18&amp;",4)")</f>
        <v/>
      </c>
      <c r="X625" s="282" t="str" cm="1">
        <f t="array" ref="X625">_xll.FDSB($C625,"CS_EVENT_DESC_N("&amp;$AA$18&amp;",4)")</f>
        <v/>
      </c>
    </row>
    <row r="626" spans="2:24" x14ac:dyDescent="0.15">
      <c r="B626" s="298">
        <f t="shared" si="11"/>
        <v>611</v>
      </c>
      <c r="C626" s="299"/>
      <c r="D626" s="300" t="str" cm="1">
        <f t="array" ref="D626">_xll.FDSB($C626,"FG_COMPANY_NAME")</f>
        <v/>
      </c>
      <c r="E626" s="300"/>
      <c r="F626" s="274" t="str" cm="1">
        <f t="array" ref="F626">_xll.FDSB($C626,"CS_EVENT_DATEJ_N("&amp;$AA$18&amp;",1)")</f>
        <v/>
      </c>
      <c r="G626" s="282" t="str" cm="1">
        <f t="array" ref="G626">_xll.FDSB($C626,"CS_EVENT_TIME_N("&amp;$AA$18&amp;",1)")</f>
        <v/>
      </c>
      <c r="H626" s="282" t="str" cm="1">
        <f t="array" ref="H626">_xll.FDSB($C626,"CS_EVENT_DESC_N("&amp;$AA$18&amp;",1)")</f>
        <v/>
      </c>
      <c r="I626" s="282"/>
      <c r="J626" s="274" t="str" cm="1">
        <f t="array" ref="J626">_xll.FDSB($C626,"CS_EVENT_DATEJ_N("&amp;$AB$18&amp;",1)")</f>
        <v/>
      </c>
      <c r="K626" s="282" t="str" cm="1">
        <f t="array" ref="K626">_xll.FDSB($C626,"CS_EVENT_TIME_N("&amp;$AB$18&amp;",1)")</f>
        <v/>
      </c>
      <c r="L626" s="282" t="str" cm="1">
        <f t="array" ref="L626">_xll.FDSB($C626,"CS_EVENT_DESC_N("&amp;$AB$18&amp;",1)")</f>
        <v/>
      </c>
      <c r="M626" s="300"/>
      <c r="N626" s="274" t="str" cm="1">
        <f t="array" ref="N626">_xll.FDSB($C626,"CS_EVENT_DATEJ_N("&amp;$AA$18&amp;",2)")</f>
        <v/>
      </c>
      <c r="O626" s="282" t="str" cm="1">
        <f t="array" ref="O626">_xll.FDSB($C626,"CS_EVENT_TIME_N("&amp;$AA$18&amp;",2)")</f>
        <v/>
      </c>
      <c r="P626" s="282" t="str" cm="1">
        <f t="array" ref="P626">_xll.FDSB($C626,"CS_EVENT_DESC_N("&amp;$AA$18&amp;",2)")</f>
        <v/>
      </c>
      <c r="Q626" s="282"/>
      <c r="R626" s="274" t="str" cm="1">
        <f t="array" ref="R626">_xll.FDSB($C626,"CS_EVENT_DATEJ_N("&amp;$AA$18&amp;",3)")</f>
        <v/>
      </c>
      <c r="S626" s="282" t="str" cm="1">
        <f t="array" ref="S626">_xll.FDSB($C626,"CS_EVENT_TIME_N("&amp;$AA$18&amp;",3)")</f>
        <v/>
      </c>
      <c r="T626" s="282" t="str" cm="1">
        <f t="array" ref="T626">_xll.FDSB($C626,"CS_EVENT_DESC_N("&amp;$AA$18&amp;",3)")</f>
        <v/>
      </c>
      <c r="U626" s="282"/>
      <c r="V626" s="274" t="str" cm="1">
        <f t="array" ref="V626">_xll.FDSB($C626,"CS_EVENT_DATEJ_N("&amp;$AA$18&amp;",4)")</f>
        <v/>
      </c>
      <c r="W626" s="282" t="str" cm="1">
        <f t="array" ref="W626">_xll.FDSB($C626,"CS_EVENT_TIME_N("&amp;$AA$18&amp;",4)")</f>
        <v/>
      </c>
      <c r="X626" s="282" t="str" cm="1">
        <f t="array" ref="X626">_xll.FDSB($C626,"CS_EVENT_DESC_N("&amp;$AA$18&amp;",4)")</f>
        <v/>
      </c>
    </row>
    <row r="627" spans="2:24" x14ac:dyDescent="0.15">
      <c r="B627" s="298">
        <f t="shared" si="11"/>
        <v>612</v>
      </c>
      <c r="C627" s="299"/>
      <c r="D627" s="300" t="str" cm="1">
        <f t="array" ref="D627">_xll.FDSB($C627,"FG_COMPANY_NAME")</f>
        <v/>
      </c>
      <c r="E627" s="300"/>
      <c r="F627" s="274" t="str" cm="1">
        <f t="array" ref="F627">_xll.FDSB($C627,"CS_EVENT_DATEJ_N("&amp;$AA$18&amp;",1)")</f>
        <v/>
      </c>
      <c r="G627" s="282" t="str" cm="1">
        <f t="array" ref="G627">_xll.FDSB($C627,"CS_EVENT_TIME_N("&amp;$AA$18&amp;",1)")</f>
        <v/>
      </c>
      <c r="H627" s="282" t="str" cm="1">
        <f t="array" ref="H627">_xll.FDSB($C627,"CS_EVENT_DESC_N("&amp;$AA$18&amp;",1)")</f>
        <v/>
      </c>
      <c r="I627" s="282"/>
      <c r="J627" s="274" t="str" cm="1">
        <f t="array" ref="J627">_xll.FDSB($C627,"CS_EVENT_DATEJ_N("&amp;$AB$18&amp;",1)")</f>
        <v/>
      </c>
      <c r="K627" s="282" t="str" cm="1">
        <f t="array" ref="K627">_xll.FDSB($C627,"CS_EVENT_TIME_N("&amp;$AB$18&amp;",1)")</f>
        <v/>
      </c>
      <c r="L627" s="282" t="str" cm="1">
        <f t="array" ref="L627">_xll.FDSB($C627,"CS_EVENT_DESC_N("&amp;$AB$18&amp;",1)")</f>
        <v/>
      </c>
      <c r="M627" s="300"/>
      <c r="N627" s="274" t="str" cm="1">
        <f t="array" ref="N627">_xll.FDSB($C627,"CS_EVENT_DATEJ_N("&amp;$AA$18&amp;",2)")</f>
        <v/>
      </c>
      <c r="O627" s="282" t="str" cm="1">
        <f t="array" ref="O627">_xll.FDSB($C627,"CS_EVENT_TIME_N("&amp;$AA$18&amp;",2)")</f>
        <v/>
      </c>
      <c r="P627" s="282" t="str" cm="1">
        <f t="array" ref="P627">_xll.FDSB($C627,"CS_EVENT_DESC_N("&amp;$AA$18&amp;",2)")</f>
        <v/>
      </c>
      <c r="Q627" s="282"/>
      <c r="R627" s="274" t="str" cm="1">
        <f t="array" ref="R627">_xll.FDSB($C627,"CS_EVENT_DATEJ_N("&amp;$AA$18&amp;",3)")</f>
        <v/>
      </c>
      <c r="S627" s="282" t="str" cm="1">
        <f t="array" ref="S627">_xll.FDSB($C627,"CS_EVENT_TIME_N("&amp;$AA$18&amp;",3)")</f>
        <v/>
      </c>
      <c r="T627" s="282" t="str" cm="1">
        <f t="array" ref="T627">_xll.FDSB($C627,"CS_EVENT_DESC_N("&amp;$AA$18&amp;",3)")</f>
        <v/>
      </c>
      <c r="U627" s="282"/>
      <c r="V627" s="274" t="str" cm="1">
        <f t="array" ref="V627">_xll.FDSB($C627,"CS_EVENT_DATEJ_N("&amp;$AA$18&amp;",4)")</f>
        <v/>
      </c>
      <c r="W627" s="282" t="str" cm="1">
        <f t="array" ref="W627">_xll.FDSB($C627,"CS_EVENT_TIME_N("&amp;$AA$18&amp;",4)")</f>
        <v/>
      </c>
      <c r="X627" s="282" t="str" cm="1">
        <f t="array" ref="X627">_xll.FDSB($C627,"CS_EVENT_DESC_N("&amp;$AA$18&amp;",4)")</f>
        <v/>
      </c>
    </row>
    <row r="628" spans="2:24" x14ac:dyDescent="0.15">
      <c r="B628" s="298">
        <f t="shared" si="11"/>
        <v>613</v>
      </c>
      <c r="C628" s="299"/>
      <c r="D628" s="300" t="str" cm="1">
        <f t="array" ref="D628">_xll.FDSB($C628,"FG_COMPANY_NAME")</f>
        <v/>
      </c>
      <c r="E628" s="300"/>
      <c r="F628" s="274" t="str" cm="1">
        <f t="array" ref="F628">_xll.FDSB($C628,"CS_EVENT_DATEJ_N("&amp;$AA$18&amp;",1)")</f>
        <v/>
      </c>
      <c r="G628" s="282" t="str" cm="1">
        <f t="array" ref="G628">_xll.FDSB($C628,"CS_EVENT_TIME_N("&amp;$AA$18&amp;",1)")</f>
        <v/>
      </c>
      <c r="H628" s="282" t="str" cm="1">
        <f t="array" ref="H628">_xll.FDSB($C628,"CS_EVENT_DESC_N("&amp;$AA$18&amp;",1)")</f>
        <v/>
      </c>
      <c r="I628" s="282"/>
      <c r="J628" s="274" t="str" cm="1">
        <f t="array" ref="J628">_xll.FDSB($C628,"CS_EVENT_DATEJ_N("&amp;$AB$18&amp;",1)")</f>
        <v/>
      </c>
      <c r="K628" s="282" t="str" cm="1">
        <f t="array" ref="K628">_xll.FDSB($C628,"CS_EVENT_TIME_N("&amp;$AB$18&amp;",1)")</f>
        <v/>
      </c>
      <c r="L628" s="282" t="str" cm="1">
        <f t="array" ref="L628">_xll.FDSB($C628,"CS_EVENT_DESC_N("&amp;$AB$18&amp;",1)")</f>
        <v/>
      </c>
      <c r="M628" s="300"/>
      <c r="N628" s="274" t="str" cm="1">
        <f t="array" ref="N628">_xll.FDSB($C628,"CS_EVENT_DATEJ_N("&amp;$AA$18&amp;",2)")</f>
        <v/>
      </c>
      <c r="O628" s="282" t="str" cm="1">
        <f t="array" ref="O628">_xll.FDSB($C628,"CS_EVENT_TIME_N("&amp;$AA$18&amp;",2)")</f>
        <v/>
      </c>
      <c r="P628" s="282" t="str" cm="1">
        <f t="array" ref="P628">_xll.FDSB($C628,"CS_EVENT_DESC_N("&amp;$AA$18&amp;",2)")</f>
        <v/>
      </c>
      <c r="Q628" s="282"/>
      <c r="R628" s="274" t="str" cm="1">
        <f t="array" ref="R628">_xll.FDSB($C628,"CS_EVENT_DATEJ_N("&amp;$AA$18&amp;",3)")</f>
        <v/>
      </c>
      <c r="S628" s="282" t="str" cm="1">
        <f t="array" ref="S628">_xll.FDSB($C628,"CS_EVENT_TIME_N("&amp;$AA$18&amp;",3)")</f>
        <v/>
      </c>
      <c r="T628" s="282" t="str" cm="1">
        <f t="array" ref="T628">_xll.FDSB($C628,"CS_EVENT_DESC_N("&amp;$AA$18&amp;",3)")</f>
        <v/>
      </c>
      <c r="U628" s="282"/>
      <c r="V628" s="274" t="str" cm="1">
        <f t="array" ref="V628">_xll.FDSB($C628,"CS_EVENT_DATEJ_N("&amp;$AA$18&amp;",4)")</f>
        <v/>
      </c>
      <c r="W628" s="282" t="str" cm="1">
        <f t="array" ref="W628">_xll.FDSB($C628,"CS_EVENT_TIME_N("&amp;$AA$18&amp;",4)")</f>
        <v/>
      </c>
      <c r="X628" s="282" t="str" cm="1">
        <f t="array" ref="X628">_xll.FDSB($C628,"CS_EVENT_DESC_N("&amp;$AA$18&amp;",4)")</f>
        <v/>
      </c>
    </row>
    <row r="629" spans="2:24" x14ac:dyDescent="0.15">
      <c r="B629" s="298">
        <f t="shared" si="11"/>
        <v>614</v>
      </c>
      <c r="C629" s="299"/>
      <c r="D629" s="300" t="str" cm="1">
        <f t="array" ref="D629">_xll.FDSB($C629,"FG_COMPANY_NAME")</f>
        <v/>
      </c>
      <c r="E629" s="300"/>
      <c r="F629" s="274" t="str" cm="1">
        <f t="array" ref="F629">_xll.FDSB($C629,"CS_EVENT_DATEJ_N("&amp;$AA$18&amp;",1)")</f>
        <v/>
      </c>
      <c r="G629" s="282" t="str" cm="1">
        <f t="array" ref="G629">_xll.FDSB($C629,"CS_EVENT_TIME_N("&amp;$AA$18&amp;",1)")</f>
        <v/>
      </c>
      <c r="H629" s="282" t="str" cm="1">
        <f t="array" ref="H629">_xll.FDSB($C629,"CS_EVENT_DESC_N("&amp;$AA$18&amp;",1)")</f>
        <v/>
      </c>
      <c r="I629" s="282"/>
      <c r="J629" s="274" t="str" cm="1">
        <f t="array" ref="J629">_xll.FDSB($C629,"CS_EVENT_DATEJ_N("&amp;$AB$18&amp;",1)")</f>
        <v/>
      </c>
      <c r="K629" s="282" t="str" cm="1">
        <f t="array" ref="K629">_xll.FDSB($C629,"CS_EVENT_TIME_N("&amp;$AB$18&amp;",1)")</f>
        <v/>
      </c>
      <c r="L629" s="282" t="str" cm="1">
        <f t="array" ref="L629">_xll.FDSB($C629,"CS_EVENT_DESC_N("&amp;$AB$18&amp;",1)")</f>
        <v/>
      </c>
      <c r="M629" s="300"/>
      <c r="N629" s="274" t="str" cm="1">
        <f t="array" ref="N629">_xll.FDSB($C629,"CS_EVENT_DATEJ_N("&amp;$AA$18&amp;",2)")</f>
        <v/>
      </c>
      <c r="O629" s="282" t="str" cm="1">
        <f t="array" ref="O629">_xll.FDSB($C629,"CS_EVENT_TIME_N("&amp;$AA$18&amp;",2)")</f>
        <v/>
      </c>
      <c r="P629" s="282" t="str" cm="1">
        <f t="array" ref="P629">_xll.FDSB($C629,"CS_EVENT_DESC_N("&amp;$AA$18&amp;",2)")</f>
        <v/>
      </c>
      <c r="Q629" s="282"/>
      <c r="R629" s="274" t="str" cm="1">
        <f t="array" ref="R629">_xll.FDSB($C629,"CS_EVENT_DATEJ_N("&amp;$AA$18&amp;",3)")</f>
        <v/>
      </c>
      <c r="S629" s="282" t="str" cm="1">
        <f t="array" ref="S629">_xll.FDSB($C629,"CS_EVENT_TIME_N("&amp;$AA$18&amp;",3)")</f>
        <v/>
      </c>
      <c r="T629" s="282" t="str" cm="1">
        <f t="array" ref="T629">_xll.FDSB($C629,"CS_EVENT_DESC_N("&amp;$AA$18&amp;",3)")</f>
        <v/>
      </c>
      <c r="U629" s="282"/>
      <c r="V629" s="274" t="str" cm="1">
        <f t="array" ref="V629">_xll.FDSB($C629,"CS_EVENT_DATEJ_N("&amp;$AA$18&amp;",4)")</f>
        <v/>
      </c>
      <c r="W629" s="282" t="str" cm="1">
        <f t="array" ref="W629">_xll.FDSB($C629,"CS_EVENT_TIME_N("&amp;$AA$18&amp;",4)")</f>
        <v/>
      </c>
      <c r="X629" s="282" t="str" cm="1">
        <f t="array" ref="X629">_xll.FDSB($C629,"CS_EVENT_DESC_N("&amp;$AA$18&amp;",4)")</f>
        <v/>
      </c>
    </row>
    <row r="630" spans="2:24" x14ac:dyDescent="0.15">
      <c r="B630" s="298">
        <f t="shared" si="11"/>
        <v>615</v>
      </c>
      <c r="C630" s="299"/>
      <c r="D630" s="300" t="str" cm="1">
        <f t="array" ref="D630">_xll.FDSB($C630,"FG_COMPANY_NAME")</f>
        <v/>
      </c>
      <c r="E630" s="300"/>
      <c r="F630" s="274" t="str" cm="1">
        <f t="array" ref="F630">_xll.FDSB($C630,"CS_EVENT_DATEJ_N("&amp;$AA$18&amp;",1)")</f>
        <v/>
      </c>
      <c r="G630" s="282" t="str" cm="1">
        <f t="array" ref="G630">_xll.FDSB($C630,"CS_EVENT_TIME_N("&amp;$AA$18&amp;",1)")</f>
        <v/>
      </c>
      <c r="H630" s="282" t="str" cm="1">
        <f t="array" ref="H630">_xll.FDSB($C630,"CS_EVENT_DESC_N("&amp;$AA$18&amp;",1)")</f>
        <v/>
      </c>
      <c r="I630" s="282"/>
      <c r="J630" s="274" t="str" cm="1">
        <f t="array" ref="J630">_xll.FDSB($C630,"CS_EVENT_DATEJ_N("&amp;$AB$18&amp;",1)")</f>
        <v/>
      </c>
      <c r="K630" s="282" t="str" cm="1">
        <f t="array" ref="K630">_xll.FDSB($C630,"CS_EVENT_TIME_N("&amp;$AB$18&amp;",1)")</f>
        <v/>
      </c>
      <c r="L630" s="282" t="str" cm="1">
        <f t="array" ref="L630">_xll.FDSB($C630,"CS_EVENT_DESC_N("&amp;$AB$18&amp;",1)")</f>
        <v/>
      </c>
      <c r="M630" s="300"/>
      <c r="N630" s="274" t="str" cm="1">
        <f t="array" ref="N630">_xll.FDSB($C630,"CS_EVENT_DATEJ_N("&amp;$AA$18&amp;",2)")</f>
        <v/>
      </c>
      <c r="O630" s="282" t="str" cm="1">
        <f t="array" ref="O630">_xll.FDSB($C630,"CS_EVENT_TIME_N("&amp;$AA$18&amp;",2)")</f>
        <v/>
      </c>
      <c r="P630" s="282" t="str" cm="1">
        <f t="array" ref="P630">_xll.FDSB($C630,"CS_EVENT_DESC_N("&amp;$AA$18&amp;",2)")</f>
        <v/>
      </c>
      <c r="Q630" s="282"/>
      <c r="R630" s="274" t="str" cm="1">
        <f t="array" ref="R630">_xll.FDSB($C630,"CS_EVENT_DATEJ_N("&amp;$AA$18&amp;",3)")</f>
        <v/>
      </c>
      <c r="S630" s="282" t="str" cm="1">
        <f t="array" ref="S630">_xll.FDSB($C630,"CS_EVENT_TIME_N("&amp;$AA$18&amp;",3)")</f>
        <v/>
      </c>
      <c r="T630" s="282" t="str" cm="1">
        <f t="array" ref="T630">_xll.FDSB($C630,"CS_EVENT_DESC_N("&amp;$AA$18&amp;",3)")</f>
        <v/>
      </c>
      <c r="U630" s="282"/>
      <c r="V630" s="274" t="str" cm="1">
        <f t="array" ref="V630">_xll.FDSB($C630,"CS_EVENT_DATEJ_N("&amp;$AA$18&amp;",4)")</f>
        <v/>
      </c>
      <c r="W630" s="282" t="str" cm="1">
        <f t="array" ref="W630">_xll.FDSB($C630,"CS_EVENT_TIME_N("&amp;$AA$18&amp;",4)")</f>
        <v/>
      </c>
      <c r="X630" s="282" t="str" cm="1">
        <f t="array" ref="X630">_xll.FDSB($C630,"CS_EVENT_DESC_N("&amp;$AA$18&amp;",4)")</f>
        <v/>
      </c>
    </row>
    <row r="631" spans="2:24" x14ac:dyDescent="0.15">
      <c r="B631" s="298">
        <f t="shared" si="11"/>
        <v>616</v>
      </c>
      <c r="C631" s="299"/>
      <c r="D631" s="300" t="str" cm="1">
        <f t="array" ref="D631">_xll.FDSB($C631,"FG_COMPANY_NAME")</f>
        <v/>
      </c>
      <c r="E631" s="300"/>
      <c r="F631" s="274" t="str" cm="1">
        <f t="array" ref="F631">_xll.FDSB($C631,"CS_EVENT_DATEJ_N("&amp;$AA$18&amp;",1)")</f>
        <v/>
      </c>
      <c r="G631" s="282" t="str" cm="1">
        <f t="array" ref="G631">_xll.FDSB($C631,"CS_EVENT_TIME_N("&amp;$AA$18&amp;",1)")</f>
        <v/>
      </c>
      <c r="H631" s="282" t="str" cm="1">
        <f t="array" ref="H631">_xll.FDSB($C631,"CS_EVENT_DESC_N("&amp;$AA$18&amp;",1)")</f>
        <v/>
      </c>
      <c r="I631" s="282"/>
      <c r="J631" s="274" t="str" cm="1">
        <f t="array" ref="J631">_xll.FDSB($C631,"CS_EVENT_DATEJ_N("&amp;$AB$18&amp;",1)")</f>
        <v/>
      </c>
      <c r="K631" s="282" t="str" cm="1">
        <f t="array" ref="K631">_xll.FDSB($C631,"CS_EVENT_TIME_N("&amp;$AB$18&amp;",1)")</f>
        <v/>
      </c>
      <c r="L631" s="282" t="str" cm="1">
        <f t="array" ref="L631">_xll.FDSB($C631,"CS_EVENT_DESC_N("&amp;$AB$18&amp;",1)")</f>
        <v/>
      </c>
      <c r="M631" s="300"/>
      <c r="N631" s="274" t="str" cm="1">
        <f t="array" ref="N631">_xll.FDSB($C631,"CS_EVENT_DATEJ_N("&amp;$AA$18&amp;",2)")</f>
        <v/>
      </c>
      <c r="O631" s="282" t="str" cm="1">
        <f t="array" ref="O631">_xll.FDSB($C631,"CS_EVENT_TIME_N("&amp;$AA$18&amp;",2)")</f>
        <v/>
      </c>
      <c r="P631" s="282" t="str" cm="1">
        <f t="array" ref="P631">_xll.FDSB($C631,"CS_EVENT_DESC_N("&amp;$AA$18&amp;",2)")</f>
        <v/>
      </c>
      <c r="Q631" s="282"/>
      <c r="R631" s="274" t="str" cm="1">
        <f t="array" ref="R631">_xll.FDSB($C631,"CS_EVENT_DATEJ_N("&amp;$AA$18&amp;",3)")</f>
        <v/>
      </c>
      <c r="S631" s="282" t="str" cm="1">
        <f t="array" ref="S631">_xll.FDSB($C631,"CS_EVENT_TIME_N("&amp;$AA$18&amp;",3)")</f>
        <v/>
      </c>
      <c r="T631" s="282" t="str" cm="1">
        <f t="array" ref="T631">_xll.FDSB($C631,"CS_EVENT_DESC_N("&amp;$AA$18&amp;",3)")</f>
        <v/>
      </c>
      <c r="U631" s="282"/>
      <c r="V631" s="274" t="str" cm="1">
        <f t="array" ref="V631">_xll.FDSB($C631,"CS_EVENT_DATEJ_N("&amp;$AA$18&amp;",4)")</f>
        <v/>
      </c>
      <c r="W631" s="282" t="str" cm="1">
        <f t="array" ref="W631">_xll.FDSB($C631,"CS_EVENT_TIME_N("&amp;$AA$18&amp;",4)")</f>
        <v/>
      </c>
      <c r="X631" s="282" t="str" cm="1">
        <f t="array" ref="X631">_xll.FDSB($C631,"CS_EVENT_DESC_N("&amp;$AA$18&amp;",4)")</f>
        <v/>
      </c>
    </row>
    <row r="632" spans="2:24" x14ac:dyDescent="0.15">
      <c r="B632" s="298">
        <f t="shared" si="11"/>
        <v>617</v>
      </c>
      <c r="C632" s="299"/>
      <c r="D632" s="300" t="str" cm="1">
        <f t="array" ref="D632">_xll.FDSB($C632,"FG_COMPANY_NAME")</f>
        <v/>
      </c>
      <c r="E632" s="300"/>
      <c r="F632" s="274" t="str" cm="1">
        <f t="array" ref="F632">_xll.FDSB($C632,"CS_EVENT_DATEJ_N("&amp;$AA$18&amp;",1)")</f>
        <v/>
      </c>
      <c r="G632" s="282" t="str" cm="1">
        <f t="array" ref="G632">_xll.FDSB($C632,"CS_EVENT_TIME_N("&amp;$AA$18&amp;",1)")</f>
        <v/>
      </c>
      <c r="H632" s="282" t="str" cm="1">
        <f t="array" ref="H632">_xll.FDSB($C632,"CS_EVENT_DESC_N("&amp;$AA$18&amp;",1)")</f>
        <v/>
      </c>
      <c r="I632" s="282"/>
      <c r="J632" s="274" t="str" cm="1">
        <f t="array" ref="J632">_xll.FDSB($C632,"CS_EVENT_DATEJ_N("&amp;$AB$18&amp;",1)")</f>
        <v/>
      </c>
      <c r="K632" s="282" t="str" cm="1">
        <f t="array" ref="K632">_xll.FDSB($C632,"CS_EVENT_TIME_N("&amp;$AB$18&amp;",1)")</f>
        <v/>
      </c>
      <c r="L632" s="282" t="str" cm="1">
        <f t="array" ref="L632">_xll.FDSB($C632,"CS_EVENT_DESC_N("&amp;$AB$18&amp;",1)")</f>
        <v/>
      </c>
      <c r="M632" s="300"/>
      <c r="N632" s="274" t="str" cm="1">
        <f t="array" ref="N632">_xll.FDSB($C632,"CS_EVENT_DATEJ_N("&amp;$AA$18&amp;",2)")</f>
        <v/>
      </c>
      <c r="O632" s="282" t="str" cm="1">
        <f t="array" ref="O632">_xll.FDSB($C632,"CS_EVENT_TIME_N("&amp;$AA$18&amp;",2)")</f>
        <v/>
      </c>
      <c r="P632" s="282" t="str" cm="1">
        <f t="array" ref="P632">_xll.FDSB($C632,"CS_EVENT_DESC_N("&amp;$AA$18&amp;",2)")</f>
        <v/>
      </c>
      <c r="Q632" s="282"/>
      <c r="R632" s="274" t="str" cm="1">
        <f t="array" ref="R632">_xll.FDSB($C632,"CS_EVENT_DATEJ_N("&amp;$AA$18&amp;",3)")</f>
        <v/>
      </c>
      <c r="S632" s="282" t="str" cm="1">
        <f t="array" ref="S632">_xll.FDSB($C632,"CS_EVENT_TIME_N("&amp;$AA$18&amp;",3)")</f>
        <v/>
      </c>
      <c r="T632" s="282" t="str" cm="1">
        <f t="array" ref="T632">_xll.FDSB($C632,"CS_EVENT_DESC_N("&amp;$AA$18&amp;",3)")</f>
        <v/>
      </c>
      <c r="U632" s="282"/>
      <c r="V632" s="274" t="str" cm="1">
        <f t="array" ref="V632">_xll.FDSB($C632,"CS_EVENT_DATEJ_N("&amp;$AA$18&amp;",4)")</f>
        <v/>
      </c>
      <c r="W632" s="282" t="str" cm="1">
        <f t="array" ref="W632">_xll.FDSB($C632,"CS_EVENT_TIME_N("&amp;$AA$18&amp;",4)")</f>
        <v/>
      </c>
      <c r="X632" s="282" t="str" cm="1">
        <f t="array" ref="X632">_xll.FDSB($C632,"CS_EVENT_DESC_N("&amp;$AA$18&amp;",4)")</f>
        <v/>
      </c>
    </row>
    <row r="633" spans="2:24" x14ac:dyDescent="0.15">
      <c r="B633" s="298">
        <f t="shared" si="11"/>
        <v>618</v>
      </c>
      <c r="C633" s="299"/>
      <c r="D633" s="300" t="str" cm="1">
        <f t="array" ref="D633">_xll.FDSB($C633,"FG_COMPANY_NAME")</f>
        <v/>
      </c>
      <c r="E633" s="300"/>
      <c r="F633" s="274" t="str" cm="1">
        <f t="array" ref="F633">_xll.FDSB($C633,"CS_EVENT_DATEJ_N("&amp;$AA$18&amp;",1)")</f>
        <v/>
      </c>
      <c r="G633" s="282" t="str" cm="1">
        <f t="array" ref="G633">_xll.FDSB($C633,"CS_EVENT_TIME_N("&amp;$AA$18&amp;",1)")</f>
        <v/>
      </c>
      <c r="H633" s="282" t="str" cm="1">
        <f t="array" ref="H633">_xll.FDSB($C633,"CS_EVENT_DESC_N("&amp;$AA$18&amp;",1)")</f>
        <v/>
      </c>
      <c r="I633" s="282"/>
      <c r="J633" s="274" t="str" cm="1">
        <f t="array" ref="J633">_xll.FDSB($C633,"CS_EVENT_DATEJ_N("&amp;$AB$18&amp;",1)")</f>
        <v/>
      </c>
      <c r="K633" s="282" t="str" cm="1">
        <f t="array" ref="K633">_xll.FDSB($C633,"CS_EVENT_TIME_N("&amp;$AB$18&amp;",1)")</f>
        <v/>
      </c>
      <c r="L633" s="282" t="str" cm="1">
        <f t="array" ref="L633">_xll.FDSB($C633,"CS_EVENT_DESC_N("&amp;$AB$18&amp;",1)")</f>
        <v/>
      </c>
      <c r="M633" s="300"/>
      <c r="N633" s="274" t="str" cm="1">
        <f t="array" ref="N633">_xll.FDSB($C633,"CS_EVENT_DATEJ_N("&amp;$AA$18&amp;",2)")</f>
        <v/>
      </c>
      <c r="O633" s="282" t="str" cm="1">
        <f t="array" ref="O633">_xll.FDSB($C633,"CS_EVENT_TIME_N("&amp;$AA$18&amp;",2)")</f>
        <v/>
      </c>
      <c r="P633" s="282" t="str" cm="1">
        <f t="array" ref="P633">_xll.FDSB($C633,"CS_EVENT_DESC_N("&amp;$AA$18&amp;",2)")</f>
        <v/>
      </c>
      <c r="Q633" s="282"/>
      <c r="R633" s="274" t="str" cm="1">
        <f t="array" ref="R633">_xll.FDSB($C633,"CS_EVENT_DATEJ_N("&amp;$AA$18&amp;",3)")</f>
        <v/>
      </c>
      <c r="S633" s="282" t="str" cm="1">
        <f t="array" ref="S633">_xll.FDSB($C633,"CS_EVENT_TIME_N("&amp;$AA$18&amp;",3)")</f>
        <v/>
      </c>
      <c r="T633" s="282" t="str" cm="1">
        <f t="array" ref="T633">_xll.FDSB($C633,"CS_EVENT_DESC_N("&amp;$AA$18&amp;",3)")</f>
        <v/>
      </c>
      <c r="U633" s="282"/>
      <c r="V633" s="274" t="str" cm="1">
        <f t="array" ref="V633">_xll.FDSB($C633,"CS_EVENT_DATEJ_N("&amp;$AA$18&amp;",4)")</f>
        <v/>
      </c>
      <c r="W633" s="282" t="str" cm="1">
        <f t="array" ref="W633">_xll.FDSB($C633,"CS_EVENT_TIME_N("&amp;$AA$18&amp;",4)")</f>
        <v/>
      </c>
      <c r="X633" s="282" t="str" cm="1">
        <f t="array" ref="X633">_xll.FDSB($C633,"CS_EVENT_DESC_N("&amp;$AA$18&amp;",4)")</f>
        <v/>
      </c>
    </row>
    <row r="634" spans="2:24" x14ac:dyDescent="0.15">
      <c r="B634" s="298">
        <f t="shared" si="11"/>
        <v>619</v>
      </c>
      <c r="C634" s="299"/>
      <c r="D634" s="300" t="str" cm="1">
        <f t="array" ref="D634">_xll.FDSB($C634,"FG_COMPANY_NAME")</f>
        <v/>
      </c>
      <c r="E634" s="300"/>
      <c r="F634" s="274" t="str" cm="1">
        <f t="array" ref="F634">_xll.FDSB($C634,"CS_EVENT_DATEJ_N("&amp;$AA$18&amp;",1)")</f>
        <v/>
      </c>
      <c r="G634" s="282" t="str" cm="1">
        <f t="array" ref="G634">_xll.FDSB($C634,"CS_EVENT_TIME_N("&amp;$AA$18&amp;",1)")</f>
        <v/>
      </c>
      <c r="H634" s="282" t="str" cm="1">
        <f t="array" ref="H634">_xll.FDSB($C634,"CS_EVENT_DESC_N("&amp;$AA$18&amp;",1)")</f>
        <v/>
      </c>
      <c r="I634" s="282"/>
      <c r="J634" s="274" t="str" cm="1">
        <f t="array" ref="J634">_xll.FDSB($C634,"CS_EVENT_DATEJ_N("&amp;$AB$18&amp;",1)")</f>
        <v/>
      </c>
      <c r="K634" s="282" t="str" cm="1">
        <f t="array" ref="K634">_xll.FDSB($C634,"CS_EVENT_TIME_N("&amp;$AB$18&amp;",1)")</f>
        <v/>
      </c>
      <c r="L634" s="282" t="str" cm="1">
        <f t="array" ref="L634">_xll.FDSB($C634,"CS_EVENT_DESC_N("&amp;$AB$18&amp;",1)")</f>
        <v/>
      </c>
      <c r="M634" s="300"/>
      <c r="N634" s="274" t="str" cm="1">
        <f t="array" ref="N634">_xll.FDSB($C634,"CS_EVENT_DATEJ_N("&amp;$AA$18&amp;",2)")</f>
        <v/>
      </c>
      <c r="O634" s="282" t="str" cm="1">
        <f t="array" ref="O634">_xll.FDSB($C634,"CS_EVENT_TIME_N("&amp;$AA$18&amp;",2)")</f>
        <v/>
      </c>
      <c r="P634" s="282" t="str" cm="1">
        <f t="array" ref="P634">_xll.FDSB($C634,"CS_EVENT_DESC_N("&amp;$AA$18&amp;",2)")</f>
        <v/>
      </c>
      <c r="Q634" s="282"/>
      <c r="R634" s="274" t="str" cm="1">
        <f t="array" ref="R634">_xll.FDSB($C634,"CS_EVENT_DATEJ_N("&amp;$AA$18&amp;",3)")</f>
        <v/>
      </c>
      <c r="S634" s="282" t="str" cm="1">
        <f t="array" ref="S634">_xll.FDSB($C634,"CS_EVENT_TIME_N("&amp;$AA$18&amp;",3)")</f>
        <v/>
      </c>
      <c r="T634" s="282" t="str" cm="1">
        <f t="array" ref="T634">_xll.FDSB($C634,"CS_EVENT_DESC_N("&amp;$AA$18&amp;",3)")</f>
        <v/>
      </c>
      <c r="U634" s="282"/>
      <c r="V634" s="274" t="str" cm="1">
        <f t="array" ref="V634">_xll.FDSB($C634,"CS_EVENT_DATEJ_N("&amp;$AA$18&amp;",4)")</f>
        <v/>
      </c>
      <c r="W634" s="282" t="str" cm="1">
        <f t="array" ref="W634">_xll.FDSB($C634,"CS_EVENT_TIME_N("&amp;$AA$18&amp;",4)")</f>
        <v/>
      </c>
      <c r="X634" s="282" t="str" cm="1">
        <f t="array" ref="X634">_xll.FDSB($C634,"CS_EVENT_DESC_N("&amp;$AA$18&amp;",4)")</f>
        <v/>
      </c>
    </row>
    <row r="635" spans="2:24" x14ac:dyDescent="0.15">
      <c r="B635" s="298">
        <f t="shared" si="11"/>
        <v>620</v>
      </c>
      <c r="C635" s="299"/>
      <c r="D635" s="300" t="str" cm="1">
        <f t="array" ref="D635">_xll.FDSB($C635,"FG_COMPANY_NAME")</f>
        <v/>
      </c>
      <c r="E635" s="300"/>
      <c r="F635" s="274" t="str" cm="1">
        <f t="array" ref="F635">_xll.FDSB($C635,"CS_EVENT_DATEJ_N("&amp;$AA$18&amp;",1)")</f>
        <v/>
      </c>
      <c r="G635" s="282" t="str" cm="1">
        <f t="array" ref="G635">_xll.FDSB($C635,"CS_EVENT_TIME_N("&amp;$AA$18&amp;",1)")</f>
        <v/>
      </c>
      <c r="H635" s="282" t="str" cm="1">
        <f t="array" ref="H635">_xll.FDSB($C635,"CS_EVENT_DESC_N("&amp;$AA$18&amp;",1)")</f>
        <v/>
      </c>
      <c r="I635" s="282"/>
      <c r="J635" s="274" t="str" cm="1">
        <f t="array" ref="J635">_xll.FDSB($C635,"CS_EVENT_DATEJ_N("&amp;$AB$18&amp;",1)")</f>
        <v/>
      </c>
      <c r="K635" s="282" t="str" cm="1">
        <f t="array" ref="K635">_xll.FDSB($C635,"CS_EVENT_TIME_N("&amp;$AB$18&amp;",1)")</f>
        <v/>
      </c>
      <c r="L635" s="282" t="str" cm="1">
        <f t="array" ref="L635">_xll.FDSB($C635,"CS_EVENT_DESC_N("&amp;$AB$18&amp;",1)")</f>
        <v/>
      </c>
      <c r="M635" s="300"/>
      <c r="N635" s="274" t="str" cm="1">
        <f t="array" ref="N635">_xll.FDSB($C635,"CS_EVENT_DATEJ_N("&amp;$AA$18&amp;",2)")</f>
        <v/>
      </c>
      <c r="O635" s="282" t="str" cm="1">
        <f t="array" ref="O635">_xll.FDSB($C635,"CS_EVENT_TIME_N("&amp;$AA$18&amp;",2)")</f>
        <v/>
      </c>
      <c r="P635" s="282" t="str" cm="1">
        <f t="array" ref="P635">_xll.FDSB($C635,"CS_EVENT_DESC_N("&amp;$AA$18&amp;",2)")</f>
        <v/>
      </c>
      <c r="Q635" s="282"/>
      <c r="R635" s="274" t="str" cm="1">
        <f t="array" ref="R635">_xll.FDSB($C635,"CS_EVENT_DATEJ_N("&amp;$AA$18&amp;",3)")</f>
        <v/>
      </c>
      <c r="S635" s="282" t="str" cm="1">
        <f t="array" ref="S635">_xll.FDSB($C635,"CS_EVENT_TIME_N("&amp;$AA$18&amp;",3)")</f>
        <v/>
      </c>
      <c r="T635" s="282" t="str" cm="1">
        <f t="array" ref="T635">_xll.FDSB($C635,"CS_EVENT_DESC_N("&amp;$AA$18&amp;",3)")</f>
        <v/>
      </c>
      <c r="U635" s="282"/>
      <c r="V635" s="274" t="str" cm="1">
        <f t="array" ref="V635">_xll.FDSB($C635,"CS_EVENT_DATEJ_N("&amp;$AA$18&amp;",4)")</f>
        <v/>
      </c>
      <c r="W635" s="282" t="str" cm="1">
        <f t="array" ref="W635">_xll.FDSB($C635,"CS_EVENT_TIME_N("&amp;$AA$18&amp;",4)")</f>
        <v/>
      </c>
      <c r="X635" s="282" t="str" cm="1">
        <f t="array" ref="X635">_xll.FDSB($C635,"CS_EVENT_DESC_N("&amp;$AA$18&amp;",4)")</f>
        <v/>
      </c>
    </row>
    <row r="636" spans="2:24" x14ac:dyDescent="0.15">
      <c r="B636" s="298">
        <f t="shared" si="11"/>
        <v>621</v>
      </c>
      <c r="C636" s="299"/>
      <c r="D636" s="300" t="str" cm="1">
        <f t="array" ref="D636">_xll.FDSB($C636,"FG_COMPANY_NAME")</f>
        <v/>
      </c>
      <c r="E636" s="300"/>
      <c r="F636" s="274" t="str" cm="1">
        <f t="array" ref="F636">_xll.FDSB($C636,"CS_EVENT_DATEJ_N("&amp;$AA$18&amp;",1)")</f>
        <v/>
      </c>
      <c r="G636" s="282" t="str" cm="1">
        <f t="array" ref="G636">_xll.FDSB($C636,"CS_EVENT_TIME_N("&amp;$AA$18&amp;",1)")</f>
        <v/>
      </c>
      <c r="H636" s="282" t="str" cm="1">
        <f t="array" ref="H636">_xll.FDSB($C636,"CS_EVENT_DESC_N("&amp;$AA$18&amp;",1)")</f>
        <v/>
      </c>
      <c r="I636" s="282"/>
      <c r="J636" s="274" t="str" cm="1">
        <f t="array" ref="J636">_xll.FDSB($C636,"CS_EVENT_DATEJ_N("&amp;$AB$18&amp;",1)")</f>
        <v/>
      </c>
      <c r="K636" s="282" t="str" cm="1">
        <f t="array" ref="K636">_xll.FDSB($C636,"CS_EVENT_TIME_N("&amp;$AB$18&amp;",1)")</f>
        <v/>
      </c>
      <c r="L636" s="282" t="str" cm="1">
        <f t="array" ref="L636">_xll.FDSB($C636,"CS_EVENT_DESC_N("&amp;$AB$18&amp;",1)")</f>
        <v/>
      </c>
      <c r="M636" s="300"/>
      <c r="N636" s="274" t="str" cm="1">
        <f t="array" ref="N636">_xll.FDSB($C636,"CS_EVENT_DATEJ_N("&amp;$AA$18&amp;",2)")</f>
        <v/>
      </c>
      <c r="O636" s="282" t="str" cm="1">
        <f t="array" ref="O636">_xll.FDSB($C636,"CS_EVENT_TIME_N("&amp;$AA$18&amp;",2)")</f>
        <v/>
      </c>
      <c r="P636" s="282" t="str" cm="1">
        <f t="array" ref="P636">_xll.FDSB($C636,"CS_EVENT_DESC_N("&amp;$AA$18&amp;",2)")</f>
        <v/>
      </c>
      <c r="Q636" s="282"/>
      <c r="R636" s="274" t="str" cm="1">
        <f t="array" ref="R636">_xll.FDSB($C636,"CS_EVENT_DATEJ_N("&amp;$AA$18&amp;",3)")</f>
        <v/>
      </c>
      <c r="S636" s="282" t="str" cm="1">
        <f t="array" ref="S636">_xll.FDSB($C636,"CS_EVENT_TIME_N("&amp;$AA$18&amp;",3)")</f>
        <v/>
      </c>
      <c r="T636" s="282" t="str" cm="1">
        <f t="array" ref="T636">_xll.FDSB($C636,"CS_EVENT_DESC_N("&amp;$AA$18&amp;",3)")</f>
        <v/>
      </c>
      <c r="U636" s="282"/>
      <c r="V636" s="274" t="str" cm="1">
        <f t="array" ref="V636">_xll.FDSB($C636,"CS_EVENT_DATEJ_N("&amp;$AA$18&amp;",4)")</f>
        <v/>
      </c>
      <c r="W636" s="282" t="str" cm="1">
        <f t="array" ref="W636">_xll.FDSB($C636,"CS_EVENT_TIME_N("&amp;$AA$18&amp;",4)")</f>
        <v/>
      </c>
      <c r="X636" s="282" t="str" cm="1">
        <f t="array" ref="X636">_xll.FDSB($C636,"CS_EVENT_DESC_N("&amp;$AA$18&amp;",4)")</f>
        <v/>
      </c>
    </row>
    <row r="637" spans="2:24" x14ac:dyDescent="0.15">
      <c r="B637" s="298">
        <f t="shared" si="11"/>
        <v>622</v>
      </c>
      <c r="C637" s="299"/>
      <c r="D637" s="300" t="str" cm="1">
        <f t="array" ref="D637">_xll.FDSB($C637,"FG_COMPANY_NAME")</f>
        <v/>
      </c>
      <c r="E637" s="300"/>
      <c r="F637" s="274" t="str" cm="1">
        <f t="array" ref="F637">_xll.FDSB($C637,"CS_EVENT_DATEJ_N("&amp;$AA$18&amp;",1)")</f>
        <v/>
      </c>
      <c r="G637" s="282" t="str" cm="1">
        <f t="array" ref="G637">_xll.FDSB($C637,"CS_EVENT_TIME_N("&amp;$AA$18&amp;",1)")</f>
        <v/>
      </c>
      <c r="H637" s="282" t="str" cm="1">
        <f t="array" ref="H637">_xll.FDSB($C637,"CS_EVENT_DESC_N("&amp;$AA$18&amp;",1)")</f>
        <v/>
      </c>
      <c r="I637" s="282"/>
      <c r="J637" s="274" t="str" cm="1">
        <f t="array" ref="J637">_xll.FDSB($C637,"CS_EVENT_DATEJ_N("&amp;$AB$18&amp;",1)")</f>
        <v/>
      </c>
      <c r="K637" s="282" t="str" cm="1">
        <f t="array" ref="K637">_xll.FDSB($C637,"CS_EVENT_TIME_N("&amp;$AB$18&amp;",1)")</f>
        <v/>
      </c>
      <c r="L637" s="282" t="str" cm="1">
        <f t="array" ref="L637">_xll.FDSB($C637,"CS_EVENT_DESC_N("&amp;$AB$18&amp;",1)")</f>
        <v/>
      </c>
      <c r="M637" s="300"/>
      <c r="N637" s="274" t="str" cm="1">
        <f t="array" ref="N637">_xll.FDSB($C637,"CS_EVENT_DATEJ_N("&amp;$AA$18&amp;",2)")</f>
        <v/>
      </c>
      <c r="O637" s="282" t="str" cm="1">
        <f t="array" ref="O637">_xll.FDSB($C637,"CS_EVENT_TIME_N("&amp;$AA$18&amp;",2)")</f>
        <v/>
      </c>
      <c r="P637" s="282" t="str" cm="1">
        <f t="array" ref="P637">_xll.FDSB($C637,"CS_EVENT_DESC_N("&amp;$AA$18&amp;",2)")</f>
        <v/>
      </c>
      <c r="Q637" s="282"/>
      <c r="R637" s="274" t="str" cm="1">
        <f t="array" ref="R637">_xll.FDSB($C637,"CS_EVENT_DATEJ_N("&amp;$AA$18&amp;",3)")</f>
        <v/>
      </c>
      <c r="S637" s="282" t="str" cm="1">
        <f t="array" ref="S637">_xll.FDSB($C637,"CS_EVENT_TIME_N("&amp;$AA$18&amp;",3)")</f>
        <v/>
      </c>
      <c r="T637" s="282" t="str" cm="1">
        <f t="array" ref="T637">_xll.FDSB($C637,"CS_EVENT_DESC_N("&amp;$AA$18&amp;",3)")</f>
        <v/>
      </c>
      <c r="U637" s="282"/>
      <c r="V637" s="274" t="str" cm="1">
        <f t="array" ref="V637">_xll.FDSB($C637,"CS_EVENT_DATEJ_N("&amp;$AA$18&amp;",4)")</f>
        <v/>
      </c>
      <c r="W637" s="282" t="str" cm="1">
        <f t="array" ref="W637">_xll.FDSB($C637,"CS_EVENT_TIME_N("&amp;$AA$18&amp;",4)")</f>
        <v/>
      </c>
      <c r="X637" s="282" t="str" cm="1">
        <f t="array" ref="X637">_xll.FDSB($C637,"CS_EVENT_DESC_N("&amp;$AA$18&amp;",4)")</f>
        <v/>
      </c>
    </row>
    <row r="638" spans="2:24" x14ac:dyDescent="0.15">
      <c r="B638" s="298">
        <f t="shared" si="11"/>
        <v>623</v>
      </c>
      <c r="C638" s="299"/>
      <c r="D638" s="300" t="str" cm="1">
        <f t="array" ref="D638">_xll.FDSB($C638,"FG_COMPANY_NAME")</f>
        <v/>
      </c>
      <c r="E638" s="300"/>
      <c r="F638" s="274" t="str" cm="1">
        <f t="array" ref="F638">_xll.FDSB($C638,"CS_EVENT_DATEJ_N("&amp;$AA$18&amp;",1)")</f>
        <v/>
      </c>
      <c r="G638" s="282" t="str" cm="1">
        <f t="array" ref="G638">_xll.FDSB($C638,"CS_EVENT_TIME_N("&amp;$AA$18&amp;",1)")</f>
        <v/>
      </c>
      <c r="H638" s="282" t="str" cm="1">
        <f t="array" ref="H638">_xll.FDSB($C638,"CS_EVENT_DESC_N("&amp;$AA$18&amp;",1)")</f>
        <v/>
      </c>
      <c r="I638" s="282"/>
      <c r="J638" s="274" t="str" cm="1">
        <f t="array" ref="J638">_xll.FDSB($C638,"CS_EVENT_DATEJ_N("&amp;$AB$18&amp;",1)")</f>
        <v/>
      </c>
      <c r="K638" s="282" t="str" cm="1">
        <f t="array" ref="K638">_xll.FDSB($C638,"CS_EVENT_TIME_N("&amp;$AB$18&amp;",1)")</f>
        <v/>
      </c>
      <c r="L638" s="282" t="str" cm="1">
        <f t="array" ref="L638">_xll.FDSB($C638,"CS_EVENT_DESC_N("&amp;$AB$18&amp;",1)")</f>
        <v/>
      </c>
      <c r="M638" s="300"/>
      <c r="N638" s="274" t="str" cm="1">
        <f t="array" ref="N638">_xll.FDSB($C638,"CS_EVENT_DATEJ_N("&amp;$AA$18&amp;",2)")</f>
        <v/>
      </c>
      <c r="O638" s="282" t="str" cm="1">
        <f t="array" ref="O638">_xll.FDSB($C638,"CS_EVENT_TIME_N("&amp;$AA$18&amp;",2)")</f>
        <v/>
      </c>
      <c r="P638" s="282" t="str" cm="1">
        <f t="array" ref="P638">_xll.FDSB($C638,"CS_EVENT_DESC_N("&amp;$AA$18&amp;",2)")</f>
        <v/>
      </c>
      <c r="Q638" s="282"/>
      <c r="R638" s="274" t="str" cm="1">
        <f t="array" ref="R638">_xll.FDSB($C638,"CS_EVENT_DATEJ_N("&amp;$AA$18&amp;",3)")</f>
        <v/>
      </c>
      <c r="S638" s="282" t="str" cm="1">
        <f t="array" ref="S638">_xll.FDSB($C638,"CS_EVENT_TIME_N("&amp;$AA$18&amp;",3)")</f>
        <v/>
      </c>
      <c r="T638" s="282" t="str" cm="1">
        <f t="array" ref="T638">_xll.FDSB($C638,"CS_EVENT_DESC_N("&amp;$AA$18&amp;",3)")</f>
        <v/>
      </c>
      <c r="U638" s="282"/>
      <c r="V638" s="274" t="str" cm="1">
        <f t="array" ref="V638">_xll.FDSB($C638,"CS_EVENT_DATEJ_N("&amp;$AA$18&amp;",4)")</f>
        <v/>
      </c>
      <c r="W638" s="282" t="str" cm="1">
        <f t="array" ref="W638">_xll.FDSB($C638,"CS_EVENT_TIME_N("&amp;$AA$18&amp;",4)")</f>
        <v/>
      </c>
      <c r="X638" s="282" t="str" cm="1">
        <f t="array" ref="X638">_xll.FDSB($C638,"CS_EVENT_DESC_N("&amp;$AA$18&amp;",4)")</f>
        <v/>
      </c>
    </row>
    <row r="639" spans="2:24" x14ac:dyDescent="0.15">
      <c r="B639" s="298">
        <f t="shared" si="11"/>
        <v>624</v>
      </c>
      <c r="C639" s="299"/>
      <c r="D639" s="300" t="str" cm="1">
        <f t="array" ref="D639">_xll.FDSB($C639,"FG_COMPANY_NAME")</f>
        <v/>
      </c>
      <c r="E639" s="300"/>
      <c r="F639" s="274" t="str" cm="1">
        <f t="array" ref="F639">_xll.FDSB($C639,"CS_EVENT_DATEJ_N("&amp;$AA$18&amp;",1)")</f>
        <v/>
      </c>
      <c r="G639" s="282" t="str" cm="1">
        <f t="array" ref="G639">_xll.FDSB($C639,"CS_EVENT_TIME_N("&amp;$AA$18&amp;",1)")</f>
        <v/>
      </c>
      <c r="H639" s="282" t="str" cm="1">
        <f t="array" ref="H639">_xll.FDSB($C639,"CS_EVENT_DESC_N("&amp;$AA$18&amp;",1)")</f>
        <v/>
      </c>
      <c r="I639" s="282"/>
      <c r="J639" s="274" t="str" cm="1">
        <f t="array" ref="J639">_xll.FDSB($C639,"CS_EVENT_DATEJ_N("&amp;$AB$18&amp;",1)")</f>
        <v/>
      </c>
      <c r="K639" s="282" t="str" cm="1">
        <f t="array" ref="K639">_xll.FDSB($C639,"CS_EVENT_TIME_N("&amp;$AB$18&amp;",1)")</f>
        <v/>
      </c>
      <c r="L639" s="282" t="str" cm="1">
        <f t="array" ref="L639">_xll.FDSB($C639,"CS_EVENT_DESC_N("&amp;$AB$18&amp;",1)")</f>
        <v/>
      </c>
      <c r="M639" s="300"/>
      <c r="N639" s="274" t="str" cm="1">
        <f t="array" ref="N639">_xll.FDSB($C639,"CS_EVENT_DATEJ_N("&amp;$AA$18&amp;",2)")</f>
        <v/>
      </c>
      <c r="O639" s="282" t="str" cm="1">
        <f t="array" ref="O639">_xll.FDSB($C639,"CS_EVENT_TIME_N("&amp;$AA$18&amp;",2)")</f>
        <v/>
      </c>
      <c r="P639" s="282" t="str" cm="1">
        <f t="array" ref="P639">_xll.FDSB($C639,"CS_EVENT_DESC_N("&amp;$AA$18&amp;",2)")</f>
        <v/>
      </c>
      <c r="Q639" s="282"/>
      <c r="R639" s="274" t="str" cm="1">
        <f t="array" ref="R639">_xll.FDSB($C639,"CS_EVENT_DATEJ_N("&amp;$AA$18&amp;",3)")</f>
        <v/>
      </c>
      <c r="S639" s="282" t="str" cm="1">
        <f t="array" ref="S639">_xll.FDSB($C639,"CS_EVENT_TIME_N("&amp;$AA$18&amp;",3)")</f>
        <v/>
      </c>
      <c r="T639" s="282" t="str" cm="1">
        <f t="array" ref="T639">_xll.FDSB($C639,"CS_EVENT_DESC_N("&amp;$AA$18&amp;",3)")</f>
        <v/>
      </c>
      <c r="U639" s="282"/>
      <c r="V639" s="274" t="str" cm="1">
        <f t="array" ref="V639">_xll.FDSB($C639,"CS_EVENT_DATEJ_N("&amp;$AA$18&amp;",4)")</f>
        <v/>
      </c>
      <c r="W639" s="282" t="str" cm="1">
        <f t="array" ref="W639">_xll.FDSB($C639,"CS_EVENT_TIME_N("&amp;$AA$18&amp;",4)")</f>
        <v/>
      </c>
      <c r="X639" s="282" t="str" cm="1">
        <f t="array" ref="X639">_xll.FDSB($C639,"CS_EVENT_DESC_N("&amp;$AA$18&amp;",4)")</f>
        <v/>
      </c>
    </row>
    <row r="640" spans="2:24" x14ac:dyDescent="0.15">
      <c r="B640" s="298">
        <f t="shared" si="11"/>
        <v>625</v>
      </c>
      <c r="C640" s="299"/>
      <c r="D640" s="300" t="str" cm="1">
        <f t="array" ref="D640">_xll.FDSB($C640,"FG_COMPANY_NAME")</f>
        <v/>
      </c>
      <c r="E640" s="300"/>
      <c r="F640" s="274" t="str" cm="1">
        <f t="array" ref="F640">_xll.FDSB($C640,"CS_EVENT_DATEJ_N("&amp;$AA$18&amp;",1)")</f>
        <v/>
      </c>
      <c r="G640" s="282" t="str" cm="1">
        <f t="array" ref="G640">_xll.FDSB($C640,"CS_EVENT_TIME_N("&amp;$AA$18&amp;",1)")</f>
        <v/>
      </c>
      <c r="H640" s="282" t="str" cm="1">
        <f t="array" ref="H640">_xll.FDSB($C640,"CS_EVENT_DESC_N("&amp;$AA$18&amp;",1)")</f>
        <v/>
      </c>
      <c r="I640" s="282"/>
      <c r="J640" s="274" t="str" cm="1">
        <f t="array" ref="J640">_xll.FDSB($C640,"CS_EVENT_DATEJ_N("&amp;$AB$18&amp;",1)")</f>
        <v/>
      </c>
      <c r="K640" s="282" t="str" cm="1">
        <f t="array" ref="K640">_xll.FDSB($C640,"CS_EVENT_TIME_N("&amp;$AB$18&amp;",1)")</f>
        <v/>
      </c>
      <c r="L640" s="282" t="str" cm="1">
        <f t="array" ref="L640">_xll.FDSB($C640,"CS_EVENT_DESC_N("&amp;$AB$18&amp;",1)")</f>
        <v/>
      </c>
      <c r="M640" s="300"/>
      <c r="N640" s="274" t="str" cm="1">
        <f t="array" ref="N640">_xll.FDSB($C640,"CS_EVENT_DATEJ_N("&amp;$AA$18&amp;",2)")</f>
        <v/>
      </c>
      <c r="O640" s="282" t="str" cm="1">
        <f t="array" ref="O640">_xll.FDSB($C640,"CS_EVENT_TIME_N("&amp;$AA$18&amp;",2)")</f>
        <v/>
      </c>
      <c r="P640" s="282" t="str" cm="1">
        <f t="array" ref="P640">_xll.FDSB($C640,"CS_EVENT_DESC_N("&amp;$AA$18&amp;",2)")</f>
        <v/>
      </c>
      <c r="Q640" s="282"/>
      <c r="R640" s="274" t="str" cm="1">
        <f t="array" ref="R640">_xll.FDSB($C640,"CS_EVENT_DATEJ_N("&amp;$AA$18&amp;",3)")</f>
        <v/>
      </c>
      <c r="S640" s="282" t="str" cm="1">
        <f t="array" ref="S640">_xll.FDSB($C640,"CS_EVENT_TIME_N("&amp;$AA$18&amp;",3)")</f>
        <v/>
      </c>
      <c r="T640" s="282" t="str" cm="1">
        <f t="array" ref="T640">_xll.FDSB($C640,"CS_EVENT_DESC_N("&amp;$AA$18&amp;",3)")</f>
        <v/>
      </c>
      <c r="U640" s="282"/>
      <c r="V640" s="274" t="str" cm="1">
        <f t="array" ref="V640">_xll.FDSB($C640,"CS_EVENT_DATEJ_N("&amp;$AA$18&amp;",4)")</f>
        <v/>
      </c>
      <c r="W640" s="282" t="str" cm="1">
        <f t="array" ref="W640">_xll.FDSB($C640,"CS_EVENT_TIME_N("&amp;$AA$18&amp;",4)")</f>
        <v/>
      </c>
      <c r="X640" s="282" t="str" cm="1">
        <f t="array" ref="X640">_xll.FDSB($C640,"CS_EVENT_DESC_N("&amp;$AA$18&amp;",4)")</f>
        <v/>
      </c>
    </row>
    <row r="641" spans="2:24" x14ac:dyDescent="0.15">
      <c r="B641" s="298">
        <f t="shared" si="11"/>
        <v>626</v>
      </c>
      <c r="C641" s="299"/>
      <c r="D641" s="300" t="str" cm="1">
        <f t="array" ref="D641">_xll.FDSB($C641,"FG_COMPANY_NAME")</f>
        <v/>
      </c>
      <c r="E641" s="300"/>
      <c r="F641" s="274" t="str" cm="1">
        <f t="array" ref="F641">_xll.FDSB($C641,"CS_EVENT_DATEJ_N("&amp;$AA$18&amp;",1)")</f>
        <v/>
      </c>
      <c r="G641" s="282" t="str" cm="1">
        <f t="array" ref="G641">_xll.FDSB($C641,"CS_EVENT_TIME_N("&amp;$AA$18&amp;",1)")</f>
        <v/>
      </c>
      <c r="H641" s="282" t="str" cm="1">
        <f t="array" ref="H641">_xll.FDSB($C641,"CS_EVENT_DESC_N("&amp;$AA$18&amp;",1)")</f>
        <v/>
      </c>
      <c r="I641" s="282"/>
      <c r="J641" s="274" t="str" cm="1">
        <f t="array" ref="J641">_xll.FDSB($C641,"CS_EVENT_DATEJ_N("&amp;$AB$18&amp;",1)")</f>
        <v/>
      </c>
      <c r="K641" s="282" t="str" cm="1">
        <f t="array" ref="K641">_xll.FDSB($C641,"CS_EVENT_TIME_N("&amp;$AB$18&amp;",1)")</f>
        <v/>
      </c>
      <c r="L641" s="282" t="str" cm="1">
        <f t="array" ref="L641">_xll.FDSB($C641,"CS_EVENT_DESC_N("&amp;$AB$18&amp;",1)")</f>
        <v/>
      </c>
      <c r="M641" s="300"/>
      <c r="N641" s="274" t="str" cm="1">
        <f t="array" ref="N641">_xll.FDSB($C641,"CS_EVENT_DATEJ_N("&amp;$AA$18&amp;",2)")</f>
        <v/>
      </c>
      <c r="O641" s="282" t="str" cm="1">
        <f t="array" ref="O641">_xll.FDSB($C641,"CS_EVENT_TIME_N("&amp;$AA$18&amp;",2)")</f>
        <v/>
      </c>
      <c r="P641" s="282" t="str" cm="1">
        <f t="array" ref="P641">_xll.FDSB($C641,"CS_EVENT_DESC_N("&amp;$AA$18&amp;",2)")</f>
        <v/>
      </c>
      <c r="Q641" s="282"/>
      <c r="R641" s="274" t="str" cm="1">
        <f t="array" ref="R641">_xll.FDSB($C641,"CS_EVENT_DATEJ_N("&amp;$AA$18&amp;",3)")</f>
        <v/>
      </c>
      <c r="S641" s="282" t="str" cm="1">
        <f t="array" ref="S641">_xll.FDSB($C641,"CS_EVENT_TIME_N("&amp;$AA$18&amp;",3)")</f>
        <v/>
      </c>
      <c r="T641" s="282" t="str" cm="1">
        <f t="array" ref="T641">_xll.FDSB($C641,"CS_EVENT_DESC_N("&amp;$AA$18&amp;",3)")</f>
        <v/>
      </c>
      <c r="U641" s="282"/>
      <c r="V641" s="274" t="str" cm="1">
        <f t="array" ref="V641">_xll.FDSB($C641,"CS_EVENT_DATEJ_N("&amp;$AA$18&amp;",4)")</f>
        <v/>
      </c>
      <c r="W641" s="282" t="str" cm="1">
        <f t="array" ref="W641">_xll.FDSB($C641,"CS_EVENT_TIME_N("&amp;$AA$18&amp;",4)")</f>
        <v/>
      </c>
      <c r="X641" s="282" t="str" cm="1">
        <f t="array" ref="X641">_xll.FDSB($C641,"CS_EVENT_DESC_N("&amp;$AA$18&amp;",4)")</f>
        <v/>
      </c>
    </row>
    <row r="642" spans="2:24" x14ac:dyDescent="0.15">
      <c r="B642" s="298">
        <f t="shared" si="11"/>
        <v>627</v>
      </c>
      <c r="C642" s="299"/>
      <c r="D642" s="300" t="str" cm="1">
        <f t="array" ref="D642">_xll.FDSB($C642,"FG_COMPANY_NAME")</f>
        <v/>
      </c>
      <c r="E642" s="300"/>
      <c r="F642" s="274" t="str" cm="1">
        <f t="array" ref="F642">_xll.FDSB($C642,"CS_EVENT_DATEJ_N("&amp;$AA$18&amp;",1)")</f>
        <v/>
      </c>
      <c r="G642" s="282" t="str" cm="1">
        <f t="array" ref="G642">_xll.FDSB($C642,"CS_EVENT_TIME_N("&amp;$AA$18&amp;",1)")</f>
        <v/>
      </c>
      <c r="H642" s="282" t="str" cm="1">
        <f t="array" ref="H642">_xll.FDSB($C642,"CS_EVENT_DESC_N("&amp;$AA$18&amp;",1)")</f>
        <v/>
      </c>
      <c r="I642" s="282"/>
      <c r="J642" s="274" t="str" cm="1">
        <f t="array" ref="J642">_xll.FDSB($C642,"CS_EVENT_DATEJ_N("&amp;$AB$18&amp;",1)")</f>
        <v/>
      </c>
      <c r="K642" s="282" t="str" cm="1">
        <f t="array" ref="K642">_xll.FDSB($C642,"CS_EVENT_TIME_N("&amp;$AB$18&amp;",1)")</f>
        <v/>
      </c>
      <c r="L642" s="282" t="str" cm="1">
        <f t="array" ref="L642">_xll.FDSB($C642,"CS_EVENT_DESC_N("&amp;$AB$18&amp;",1)")</f>
        <v/>
      </c>
      <c r="M642" s="300"/>
      <c r="N642" s="274" t="str" cm="1">
        <f t="array" ref="N642">_xll.FDSB($C642,"CS_EVENT_DATEJ_N("&amp;$AA$18&amp;",2)")</f>
        <v/>
      </c>
      <c r="O642" s="282" t="str" cm="1">
        <f t="array" ref="O642">_xll.FDSB($C642,"CS_EVENT_TIME_N("&amp;$AA$18&amp;",2)")</f>
        <v/>
      </c>
      <c r="P642" s="282" t="str" cm="1">
        <f t="array" ref="P642">_xll.FDSB($C642,"CS_EVENT_DESC_N("&amp;$AA$18&amp;",2)")</f>
        <v/>
      </c>
      <c r="Q642" s="282"/>
      <c r="R642" s="274" t="str" cm="1">
        <f t="array" ref="R642">_xll.FDSB($C642,"CS_EVENT_DATEJ_N("&amp;$AA$18&amp;",3)")</f>
        <v/>
      </c>
      <c r="S642" s="282" t="str" cm="1">
        <f t="array" ref="S642">_xll.FDSB($C642,"CS_EVENT_TIME_N("&amp;$AA$18&amp;",3)")</f>
        <v/>
      </c>
      <c r="T642" s="282" t="str" cm="1">
        <f t="array" ref="T642">_xll.FDSB($C642,"CS_EVENT_DESC_N("&amp;$AA$18&amp;",3)")</f>
        <v/>
      </c>
      <c r="U642" s="282"/>
      <c r="V642" s="274" t="str" cm="1">
        <f t="array" ref="V642">_xll.FDSB($C642,"CS_EVENT_DATEJ_N("&amp;$AA$18&amp;",4)")</f>
        <v/>
      </c>
      <c r="W642" s="282" t="str" cm="1">
        <f t="array" ref="W642">_xll.FDSB($C642,"CS_EVENT_TIME_N("&amp;$AA$18&amp;",4)")</f>
        <v/>
      </c>
      <c r="X642" s="282" t="str" cm="1">
        <f t="array" ref="X642">_xll.FDSB($C642,"CS_EVENT_DESC_N("&amp;$AA$18&amp;",4)")</f>
        <v/>
      </c>
    </row>
    <row r="643" spans="2:24" x14ac:dyDescent="0.15">
      <c r="B643" s="298">
        <f t="shared" si="11"/>
        <v>628</v>
      </c>
      <c r="C643" s="299"/>
      <c r="D643" s="300" t="str" cm="1">
        <f t="array" ref="D643">_xll.FDSB($C643,"FG_COMPANY_NAME")</f>
        <v/>
      </c>
      <c r="E643" s="300"/>
      <c r="F643" s="274" t="str" cm="1">
        <f t="array" ref="F643">_xll.FDSB($C643,"CS_EVENT_DATEJ_N("&amp;$AA$18&amp;",1)")</f>
        <v/>
      </c>
      <c r="G643" s="282" t="str" cm="1">
        <f t="array" ref="G643">_xll.FDSB($C643,"CS_EVENT_TIME_N("&amp;$AA$18&amp;",1)")</f>
        <v/>
      </c>
      <c r="H643" s="282" t="str" cm="1">
        <f t="array" ref="H643">_xll.FDSB($C643,"CS_EVENT_DESC_N("&amp;$AA$18&amp;",1)")</f>
        <v/>
      </c>
      <c r="I643" s="282"/>
      <c r="J643" s="274" t="str" cm="1">
        <f t="array" ref="J643">_xll.FDSB($C643,"CS_EVENT_DATEJ_N("&amp;$AB$18&amp;",1)")</f>
        <v/>
      </c>
      <c r="K643" s="282" t="str" cm="1">
        <f t="array" ref="K643">_xll.FDSB($C643,"CS_EVENT_TIME_N("&amp;$AB$18&amp;",1)")</f>
        <v/>
      </c>
      <c r="L643" s="282" t="str" cm="1">
        <f t="array" ref="L643">_xll.FDSB($C643,"CS_EVENT_DESC_N("&amp;$AB$18&amp;",1)")</f>
        <v/>
      </c>
      <c r="M643" s="300"/>
      <c r="N643" s="274" t="str" cm="1">
        <f t="array" ref="N643">_xll.FDSB($C643,"CS_EVENT_DATEJ_N("&amp;$AA$18&amp;",2)")</f>
        <v/>
      </c>
      <c r="O643" s="282" t="str" cm="1">
        <f t="array" ref="O643">_xll.FDSB($C643,"CS_EVENT_TIME_N("&amp;$AA$18&amp;",2)")</f>
        <v/>
      </c>
      <c r="P643" s="282" t="str" cm="1">
        <f t="array" ref="P643">_xll.FDSB($C643,"CS_EVENT_DESC_N("&amp;$AA$18&amp;",2)")</f>
        <v/>
      </c>
      <c r="Q643" s="282"/>
      <c r="R643" s="274" t="str" cm="1">
        <f t="array" ref="R643">_xll.FDSB($C643,"CS_EVENT_DATEJ_N("&amp;$AA$18&amp;",3)")</f>
        <v/>
      </c>
      <c r="S643" s="282" t="str" cm="1">
        <f t="array" ref="S643">_xll.FDSB($C643,"CS_EVENT_TIME_N("&amp;$AA$18&amp;",3)")</f>
        <v/>
      </c>
      <c r="T643" s="282" t="str" cm="1">
        <f t="array" ref="T643">_xll.FDSB($C643,"CS_EVENT_DESC_N("&amp;$AA$18&amp;",3)")</f>
        <v/>
      </c>
      <c r="U643" s="282"/>
      <c r="V643" s="274" t="str" cm="1">
        <f t="array" ref="V643">_xll.FDSB($C643,"CS_EVENT_DATEJ_N("&amp;$AA$18&amp;",4)")</f>
        <v/>
      </c>
      <c r="W643" s="282" t="str" cm="1">
        <f t="array" ref="W643">_xll.FDSB($C643,"CS_EVENT_TIME_N("&amp;$AA$18&amp;",4)")</f>
        <v/>
      </c>
      <c r="X643" s="282" t="str" cm="1">
        <f t="array" ref="X643">_xll.FDSB($C643,"CS_EVENT_DESC_N("&amp;$AA$18&amp;",4)")</f>
        <v/>
      </c>
    </row>
    <row r="644" spans="2:24" x14ac:dyDescent="0.15">
      <c r="B644" s="298">
        <f t="shared" si="11"/>
        <v>629</v>
      </c>
      <c r="C644" s="299"/>
      <c r="D644" s="300" t="str" cm="1">
        <f t="array" ref="D644">_xll.FDSB($C644,"FG_COMPANY_NAME")</f>
        <v/>
      </c>
      <c r="E644" s="300"/>
      <c r="F644" s="274" t="str" cm="1">
        <f t="array" ref="F644">_xll.FDSB($C644,"CS_EVENT_DATEJ_N("&amp;$AA$18&amp;",1)")</f>
        <v/>
      </c>
      <c r="G644" s="282" t="str" cm="1">
        <f t="array" ref="G644">_xll.FDSB($C644,"CS_EVENT_TIME_N("&amp;$AA$18&amp;",1)")</f>
        <v/>
      </c>
      <c r="H644" s="282" t="str" cm="1">
        <f t="array" ref="H644">_xll.FDSB($C644,"CS_EVENT_DESC_N("&amp;$AA$18&amp;",1)")</f>
        <v/>
      </c>
      <c r="I644" s="282"/>
      <c r="J644" s="274" t="str" cm="1">
        <f t="array" ref="J644">_xll.FDSB($C644,"CS_EVENT_DATEJ_N("&amp;$AB$18&amp;",1)")</f>
        <v/>
      </c>
      <c r="K644" s="282" t="str" cm="1">
        <f t="array" ref="K644">_xll.FDSB($C644,"CS_EVENT_TIME_N("&amp;$AB$18&amp;",1)")</f>
        <v/>
      </c>
      <c r="L644" s="282" t="str" cm="1">
        <f t="array" ref="L644">_xll.FDSB($C644,"CS_EVENT_DESC_N("&amp;$AB$18&amp;",1)")</f>
        <v/>
      </c>
      <c r="M644" s="300"/>
      <c r="N644" s="274" t="str" cm="1">
        <f t="array" ref="N644">_xll.FDSB($C644,"CS_EVENT_DATEJ_N("&amp;$AA$18&amp;",2)")</f>
        <v/>
      </c>
      <c r="O644" s="282" t="str" cm="1">
        <f t="array" ref="O644">_xll.FDSB($C644,"CS_EVENT_TIME_N("&amp;$AA$18&amp;",2)")</f>
        <v/>
      </c>
      <c r="P644" s="282" t="str" cm="1">
        <f t="array" ref="P644">_xll.FDSB($C644,"CS_EVENT_DESC_N("&amp;$AA$18&amp;",2)")</f>
        <v/>
      </c>
      <c r="Q644" s="282"/>
      <c r="R644" s="274" t="str" cm="1">
        <f t="array" ref="R644">_xll.FDSB($C644,"CS_EVENT_DATEJ_N("&amp;$AA$18&amp;",3)")</f>
        <v/>
      </c>
      <c r="S644" s="282" t="str" cm="1">
        <f t="array" ref="S644">_xll.FDSB($C644,"CS_EVENT_TIME_N("&amp;$AA$18&amp;",3)")</f>
        <v/>
      </c>
      <c r="T644" s="282" t="str" cm="1">
        <f t="array" ref="T644">_xll.FDSB($C644,"CS_EVENT_DESC_N("&amp;$AA$18&amp;",3)")</f>
        <v/>
      </c>
      <c r="U644" s="282"/>
      <c r="V644" s="274" t="str" cm="1">
        <f t="array" ref="V644">_xll.FDSB($C644,"CS_EVENT_DATEJ_N("&amp;$AA$18&amp;",4)")</f>
        <v/>
      </c>
      <c r="W644" s="282" t="str" cm="1">
        <f t="array" ref="W644">_xll.FDSB($C644,"CS_EVENT_TIME_N("&amp;$AA$18&amp;",4)")</f>
        <v/>
      </c>
      <c r="X644" s="282" t="str" cm="1">
        <f t="array" ref="X644">_xll.FDSB($C644,"CS_EVENT_DESC_N("&amp;$AA$18&amp;",4)")</f>
        <v/>
      </c>
    </row>
    <row r="645" spans="2:24" x14ac:dyDescent="0.15">
      <c r="B645" s="298">
        <f t="shared" si="11"/>
        <v>630</v>
      </c>
      <c r="C645" s="299"/>
      <c r="D645" s="300" t="str" cm="1">
        <f t="array" ref="D645">_xll.FDSB($C645,"FG_COMPANY_NAME")</f>
        <v/>
      </c>
      <c r="E645" s="300"/>
      <c r="F645" s="274" t="str" cm="1">
        <f t="array" ref="F645">_xll.FDSB($C645,"CS_EVENT_DATEJ_N("&amp;$AA$18&amp;",1)")</f>
        <v/>
      </c>
      <c r="G645" s="282" t="str" cm="1">
        <f t="array" ref="G645">_xll.FDSB($C645,"CS_EVENT_TIME_N("&amp;$AA$18&amp;",1)")</f>
        <v/>
      </c>
      <c r="H645" s="282" t="str" cm="1">
        <f t="array" ref="H645">_xll.FDSB($C645,"CS_EVENT_DESC_N("&amp;$AA$18&amp;",1)")</f>
        <v/>
      </c>
      <c r="I645" s="282"/>
      <c r="J645" s="274" t="str" cm="1">
        <f t="array" ref="J645">_xll.FDSB($C645,"CS_EVENT_DATEJ_N("&amp;$AB$18&amp;",1)")</f>
        <v/>
      </c>
      <c r="K645" s="282" t="str" cm="1">
        <f t="array" ref="K645">_xll.FDSB($C645,"CS_EVENT_TIME_N("&amp;$AB$18&amp;",1)")</f>
        <v/>
      </c>
      <c r="L645" s="282" t="str" cm="1">
        <f t="array" ref="L645">_xll.FDSB($C645,"CS_EVENT_DESC_N("&amp;$AB$18&amp;",1)")</f>
        <v/>
      </c>
      <c r="M645" s="300"/>
      <c r="N645" s="274" t="str" cm="1">
        <f t="array" ref="N645">_xll.FDSB($C645,"CS_EVENT_DATEJ_N("&amp;$AA$18&amp;",2)")</f>
        <v/>
      </c>
      <c r="O645" s="282" t="str" cm="1">
        <f t="array" ref="O645">_xll.FDSB($C645,"CS_EVENT_TIME_N("&amp;$AA$18&amp;",2)")</f>
        <v/>
      </c>
      <c r="P645" s="282" t="str" cm="1">
        <f t="array" ref="P645">_xll.FDSB($C645,"CS_EVENT_DESC_N("&amp;$AA$18&amp;",2)")</f>
        <v/>
      </c>
      <c r="Q645" s="282"/>
      <c r="R645" s="274" t="str" cm="1">
        <f t="array" ref="R645">_xll.FDSB($C645,"CS_EVENT_DATEJ_N("&amp;$AA$18&amp;",3)")</f>
        <v/>
      </c>
      <c r="S645" s="282" t="str" cm="1">
        <f t="array" ref="S645">_xll.FDSB($C645,"CS_EVENT_TIME_N("&amp;$AA$18&amp;",3)")</f>
        <v/>
      </c>
      <c r="T645" s="282" t="str" cm="1">
        <f t="array" ref="T645">_xll.FDSB($C645,"CS_EVENT_DESC_N("&amp;$AA$18&amp;",3)")</f>
        <v/>
      </c>
      <c r="U645" s="282"/>
      <c r="V645" s="274" t="str" cm="1">
        <f t="array" ref="V645">_xll.FDSB($C645,"CS_EVENT_DATEJ_N("&amp;$AA$18&amp;",4)")</f>
        <v/>
      </c>
      <c r="W645" s="282" t="str" cm="1">
        <f t="array" ref="W645">_xll.FDSB($C645,"CS_EVENT_TIME_N("&amp;$AA$18&amp;",4)")</f>
        <v/>
      </c>
      <c r="X645" s="282" t="str" cm="1">
        <f t="array" ref="X645">_xll.FDSB($C645,"CS_EVENT_DESC_N("&amp;$AA$18&amp;",4)")</f>
        <v/>
      </c>
    </row>
    <row r="646" spans="2:24" x14ac:dyDescent="0.15">
      <c r="B646" s="298">
        <f t="shared" si="11"/>
        <v>631</v>
      </c>
      <c r="C646" s="299"/>
      <c r="D646" s="300" t="str" cm="1">
        <f t="array" ref="D646">_xll.FDSB($C646,"FG_COMPANY_NAME")</f>
        <v/>
      </c>
      <c r="E646" s="300"/>
      <c r="F646" s="274" t="str" cm="1">
        <f t="array" ref="F646">_xll.FDSB($C646,"CS_EVENT_DATEJ_N("&amp;$AA$18&amp;",1)")</f>
        <v/>
      </c>
      <c r="G646" s="282" t="str" cm="1">
        <f t="array" ref="G646">_xll.FDSB($C646,"CS_EVENT_TIME_N("&amp;$AA$18&amp;",1)")</f>
        <v/>
      </c>
      <c r="H646" s="282" t="str" cm="1">
        <f t="array" ref="H646">_xll.FDSB($C646,"CS_EVENT_DESC_N("&amp;$AA$18&amp;",1)")</f>
        <v/>
      </c>
      <c r="I646" s="282"/>
      <c r="J646" s="274" t="str" cm="1">
        <f t="array" ref="J646">_xll.FDSB($C646,"CS_EVENT_DATEJ_N("&amp;$AB$18&amp;",1)")</f>
        <v/>
      </c>
      <c r="K646" s="282" t="str" cm="1">
        <f t="array" ref="K646">_xll.FDSB($C646,"CS_EVENT_TIME_N("&amp;$AB$18&amp;",1)")</f>
        <v/>
      </c>
      <c r="L646" s="282" t="str" cm="1">
        <f t="array" ref="L646">_xll.FDSB($C646,"CS_EVENT_DESC_N("&amp;$AB$18&amp;",1)")</f>
        <v/>
      </c>
      <c r="M646" s="300"/>
      <c r="N646" s="274" t="str" cm="1">
        <f t="array" ref="N646">_xll.FDSB($C646,"CS_EVENT_DATEJ_N("&amp;$AA$18&amp;",2)")</f>
        <v/>
      </c>
      <c r="O646" s="282" t="str" cm="1">
        <f t="array" ref="O646">_xll.FDSB($C646,"CS_EVENT_TIME_N("&amp;$AA$18&amp;",2)")</f>
        <v/>
      </c>
      <c r="P646" s="282" t="str" cm="1">
        <f t="array" ref="P646">_xll.FDSB($C646,"CS_EVENT_DESC_N("&amp;$AA$18&amp;",2)")</f>
        <v/>
      </c>
      <c r="Q646" s="282"/>
      <c r="R646" s="274" t="str" cm="1">
        <f t="array" ref="R646">_xll.FDSB($C646,"CS_EVENT_DATEJ_N("&amp;$AA$18&amp;",3)")</f>
        <v/>
      </c>
      <c r="S646" s="282" t="str" cm="1">
        <f t="array" ref="S646">_xll.FDSB($C646,"CS_EVENT_TIME_N("&amp;$AA$18&amp;",3)")</f>
        <v/>
      </c>
      <c r="T646" s="282" t="str" cm="1">
        <f t="array" ref="T646">_xll.FDSB($C646,"CS_EVENT_DESC_N("&amp;$AA$18&amp;",3)")</f>
        <v/>
      </c>
      <c r="U646" s="282"/>
      <c r="V646" s="274" t="str" cm="1">
        <f t="array" ref="V646">_xll.FDSB($C646,"CS_EVENT_DATEJ_N("&amp;$AA$18&amp;",4)")</f>
        <v/>
      </c>
      <c r="W646" s="282" t="str" cm="1">
        <f t="array" ref="W646">_xll.FDSB($C646,"CS_EVENT_TIME_N("&amp;$AA$18&amp;",4)")</f>
        <v/>
      </c>
      <c r="X646" s="282" t="str" cm="1">
        <f t="array" ref="X646">_xll.FDSB($C646,"CS_EVENT_DESC_N("&amp;$AA$18&amp;",4)")</f>
        <v/>
      </c>
    </row>
    <row r="647" spans="2:24" x14ac:dyDescent="0.15">
      <c r="B647" s="298">
        <f t="shared" si="11"/>
        <v>632</v>
      </c>
      <c r="C647" s="299"/>
      <c r="D647" s="300" t="str" cm="1">
        <f t="array" ref="D647">_xll.FDSB($C647,"FG_COMPANY_NAME")</f>
        <v/>
      </c>
      <c r="E647" s="300"/>
      <c r="F647" s="274" t="str" cm="1">
        <f t="array" ref="F647">_xll.FDSB($C647,"CS_EVENT_DATEJ_N("&amp;$AA$18&amp;",1)")</f>
        <v/>
      </c>
      <c r="G647" s="282" t="str" cm="1">
        <f t="array" ref="G647">_xll.FDSB($C647,"CS_EVENT_TIME_N("&amp;$AA$18&amp;",1)")</f>
        <v/>
      </c>
      <c r="H647" s="282" t="str" cm="1">
        <f t="array" ref="H647">_xll.FDSB($C647,"CS_EVENT_DESC_N("&amp;$AA$18&amp;",1)")</f>
        <v/>
      </c>
      <c r="I647" s="282"/>
      <c r="J647" s="274" t="str" cm="1">
        <f t="array" ref="J647">_xll.FDSB($C647,"CS_EVENT_DATEJ_N("&amp;$AB$18&amp;",1)")</f>
        <v/>
      </c>
      <c r="K647" s="282" t="str" cm="1">
        <f t="array" ref="K647">_xll.FDSB($C647,"CS_EVENT_TIME_N("&amp;$AB$18&amp;",1)")</f>
        <v/>
      </c>
      <c r="L647" s="282" t="str" cm="1">
        <f t="array" ref="L647">_xll.FDSB($C647,"CS_EVENT_DESC_N("&amp;$AB$18&amp;",1)")</f>
        <v/>
      </c>
      <c r="M647" s="300"/>
      <c r="N647" s="274" t="str" cm="1">
        <f t="array" ref="N647">_xll.FDSB($C647,"CS_EVENT_DATEJ_N("&amp;$AA$18&amp;",2)")</f>
        <v/>
      </c>
      <c r="O647" s="282" t="str" cm="1">
        <f t="array" ref="O647">_xll.FDSB($C647,"CS_EVENT_TIME_N("&amp;$AA$18&amp;",2)")</f>
        <v/>
      </c>
      <c r="P647" s="282" t="str" cm="1">
        <f t="array" ref="P647">_xll.FDSB($C647,"CS_EVENT_DESC_N("&amp;$AA$18&amp;",2)")</f>
        <v/>
      </c>
      <c r="Q647" s="282"/>
      <c r="R647" s="274" t="str" cm="1">
        <f t="array" ref="R647">_xll.FDSB($C647,"CS_EVENT_DATEJ_N("&amp;$AA$18&amp;",3)")</f>
        <v/>
      </c>
      <c r="S647" s="282" t="str" cm="1">
        <f t="array" ref="S647">_xll.FDSB($C647,"CS_EVENT_TIME_N("&amp;$AA$18&amp;",3)")</f>
        <v/>
      </c>
      <c r="T647" s="282" t="str" cm="1">
        <f t="array" ref="T647">_xll.FDSB($C647,"CS_EVENT_DESC_N("&amp;$AA$18&amp;",3)")</f>
        <v/>
      </c>
      <c r="U647" s="282"/>
      <c r="V647" s="274" t="str" cm="1">
        <f t="array" ref="V647">_xll.FDSB($C647,"CS_EVENT_DATEJ_N("&amp;$AA$18&amp;",4)")</f>
        <v/>
      </c>
      <c r="W647" s="282" t="str" cm="1">
        <f t="array" ref="W647">_xll.FDSB($C647,"CS_EVENT_TIME_N("&amp;$AA$18&amp;",4)")</f>
        <v/>
      </c>
      <c r="X647" s="282" t="str" cm="1">
        <f t="array" ref="X647">_xll.FDSB($C647,"CS_EVENT_DESC_N("&amp;$AA$18&amp;",4)")</f>
        <v/>
      </c>
    </row>
    <row r="648" spans="2:24" x14ac:dyDescent="0.15">
      <c r="B648" s="298">
        <f t="shared" si="11"/>
        <v>633</v>
      </c>
      <c r="C648" s="299"/>
      <c r="D648" s="300" t="str" cm="1">
        <f t="array" ref="D648">_xll.FDSB($C648,"FG_COMPANY_NAME")</f>
        <v/>
      </c>
      <c r="E648" s="300"/>
      <c r="F648" s="274" t="str" cm="1">
        <f t="array" ref="F648">_xll.FDSB($C648,"CS_EVENT_DATEJ_N("&amp;$AA$18&amp;",1)")</f>
        <v/>
      </c>
      <c r="G648" s="282" t="str" cm="1">
        <f t="array" ref="G648">_xll.FDSB($C648,"CS_EVENT_TIME_N("&amp;$AA$18&amp;",1)")</f>
        <v/>
      </c>
      <c r="H648" s="282" t="str" cm="1">
        <f t="array" ref="H648">_xll.FDSB($C648,"CS_EVENT_DESC_N("&amp;$AA$18&amp;",1)")</f>
        <v/>
      </c>
      <c r="I648" s="282"/>
      <c r="J648" s="274" t="str" cm="1">
        <f t="array" ref="J648">_xll.FDSB($C648,"CS_EVENT_DATEJ_N("&amp;$AB$18&amp;",1)")</f>
        <v/>
      </c>
      <c r="K648" s="282" t="str" cm="1">
        <f t="array" ref="K648">_xll.FDSB($C648,"CS_EVENT_TIME_N("&amp;$AB$18&amp;",1)")</f>
        <v/>
      </c>
      <c r="L648" s="282" t="str" cm="1">
        <f t="array" ref="L648">_xll.FDSB($C648,"CS_EVENT_DESC_N("&amp;$AB$18&amp;",1)")</f>
        <v/>
      </c>
      <c r="M648" s="300"/>
      <c r="N648" s="274" t="str" cm="1">
        <f t="array" ref="N648">_xll.FDSB($C648,"CS_EVENT_DATEJ_N("&amp;$AA$18&amp;",2)")</f>
        <v/>
      </c>
      <c r="O648" s="282" t="str" cm="1">
        <f t="array" ref="O648">_xll.FDSB($C648,"CS_EVENT_TIME_N("&amp;$AA$18&amp;",2)")</f>
        <v/>
      </c>
      <c r="P648" s="282" t="str" cm="1">
        <f t="array" ref="P648">_xll.FDSB($C648,"CS_EVENT_DESC_N("&amp;$AA$18&amp;",2)")</f>
        <v/>
      </c>
      <c r="Q648" s="282"/>
      <c r="R648" s="274" t="str" cm="1">
        <f t="array" ref="R648">_xll.FDSB($C648,"CS_EVENT_DATEJ_N("&amp;$AA$18&amp;",3)")</f>
        <v/>
      </c>
      <c r="S648" s="282" t="str" cm="1">
        <f t="array" ref="S648">_xll.FDSB($C648,"CS_EVENT_TIME_N("&amp;$AA$18&amp;",3)")</f>
        <v/>
      </c>
      <c r="T648" s="282" t="str" cm="1">
        <f t="array" ref="T648">_xll.FDSB($C648,"CS_EVENT_DESC_N("&amp;$AA$18&amp;",3)")</f>
        <v/>
      </c>
      <c r="U648" s="282"/>
      <c r="V648" s="274" t="str" cm="1">
        <f t="array" ref="V648">_xll.FDSB($C648,"CS_EVENT_DATEJ_N("&amp;$AA$18&amp;",4)")</f>
        <v/>
      </c>
      <c r="W648" s="282" t="str" cm="1">
        <f t="array" ref="W648">_xll.FDSB($C648,"CS_EVENT_TIME_N("&amp;$AA$18&amp;",4)")</f>
        <v/>
      </c>
      <c r="X648" s="282" t="str" cm="1">
        <f t="array" ref="X648">_xll.FDSB($C648,"CS_EVENT_DESC_N("&amp;$AA$18&amp;",4)")</f>
        <v/>
      </c>
    </row>
    <row r="649" spans="2:24" x14ac:dyDescent="0.15">
      <c r="B649" s="298">
        <f t="shared" si="11"/>
        <v>634</v>
      </c>
      <c r="C649" s="299"/>
      <c r="D649" s="300" t="str" cm="1">
        <f t="array" ref="D649">_xll.FDSB($C649,"FG_COMPANY_NAME")</f>
        <v/>
      </c>
      <c r="E649" s="300"/>
      <c r="F649" s="274" t="str" cm="1">
        <f t="array" ref="F649">_xll.FDSB($C649,"CS_EVENT_DATEJ_N("&amp;$AA$18&amp;",1)")</f>
        <v/>
      </c>
      <c r="G649" s="282" t="str" cm="1">
        <f t="array" ref="G649">_xll.FDSB($C649,"CS_EVENT_TIME_N("&amp;$AA$18&amp;",1)")</f>
        <v/>
      </c>
      <c r="H649" s="282" t="str" cm="1">
        <f t="array" ref="H649">_xll.FDSB($C649,"CS_EVENT_DESC_N("&amp;$AA$18&amp;",1)")</f>
        <v/>
      </c>
      <c r="I649" s="282"/>
      <c r="J649" s="274" t="str" cm="1">
        <f t="array" ref="J649">_xll.FDSB($C649,"CS_EVENT_DATEJ_N("&amp;$AB$18&amp;",1)")</f>
        <v/>
      </c>
      <c r="K649" s="282" t="str" cm="1">
        <f t="array" ref="K649">_xll.FDSB($C649,"CS_EVENT_TIME_N("&amp;$AB$18&amp;",1)")</f>
        <v/>
      </c>
      <c r="L649" s="282" t="str" cm="1">
        <f t="array" ref="L649">_xll.FDSB($C649,"CS_EVENT_DESC_N("&amp;$AB$18&amp;",1)")</f>
        <v/>
      </c>
      <c r="M649" s="300"/>
      <c r="N649" s="274" t="str" cm="1">
        <f t="array" ref="N649">_xll.FDSB($C649,"CS_EVENT_DATEJ_N("&amp;$AA$18&amp;",2)")</f>
        <v/>
      </c>
      <c r="O649" s="282" t="str" cm="1">
        <f t="array" ref="O649">_xll.FDSB($C649,"CS_EVENT_TIME_N("&amp;$AA$18&amp;",2)")</f>
        <v/>
      </c>
      <c r="P649" s="282" t="str" cm="1">
        <f t="array" ref="P649">_xll.FDSB($C649,"CS_EVENT_DESC_N("&amp;$AA$18&amp;",2)")</f>
        <v/>
      </c>
      <c r="Q649" s="282"/>
      <c r="R649" s="274" t="str" cm="1">
        <f t="array" ref="R649">_xll.FDSB($C649,"CS_EVENT_DATEJ_N("&amp;$AA$18&amp;",3)")</f>
        <v/>
      </c>
      <c r="S649" s="282" t="str" cm="1">
        <f t="array" ref="S649">_xll.FDSB($C649,"CS_EVENT_TIME_N("&amp;$AA$18&amp;",3)")</f>
        <v/>
      </c>
      <c r="T649" s="282" t="str" cm="1">
        <f t="array" ref="T649">_xll.FDSB($C649,"CS_EVENT_DESC_N("&amp;$AA$18&amp;",3)")</f>
        <v/>
      </c>
      <c r="U649" s="282"/>
      <c r="V649" s="274" t="str" cm="1">
        <f t="array" ref="V649">_xll.FDSB($C649,"CS_EVENT_DATEJ_N("&amp;$AA$18&amp;",4)")</f>
        <v/>
      </c>
      <c r="W649" s="282" t="str" cm="1">
        <f t="array" ref="W649">_xll.FDSB($C649,"CS_EVENT_TIME_N("&amp;$AA$18&amp;",4)")</f>
        <v/>
      </c>
      <c r="X649" s="282" t="str" cm="1">
        <f t="array" ref="X649">_xll.FDSB($C649,"CS_EVENT_DESC_N("&amp;$AA$18&amp;",4)")</f>
        <v/>
      </c>
    </row>
    <row r="650" spans="2:24" x14ac:dyDescent="0.15">
      <c r="B650" s="298">
        <f t="shared" si="11"/>
        <v>635</v>
      </c>
      <c r="C650" s="299"/>
      <c r="D650" s="300" t="str" cm="1">
        <f t="array" ref="D650">_xll.FDSB($C650,"FG_COMPANY_NAME")</f>
        <v/>
      </c>
      <c r="E650" s="300"/>
      <c r="F650" s="274" t="str" cm="1">
        <f t="array" ref="F650">_xll.FDSB($C650,"CS_EVENT_DATEJ_N("&amp;$AA$18&amp;",1)")</f>
        <v/>
      </c>
      <c r="G650" s="282" t="str" cm="1">
        <f t="array" ref="G650">_xll.FDSB($C650,"CS_EVENT_TIME_N("&amp;$AA$18&amp;",1)")</f>
        <v/>
      </c>
      <c r="H650" s="282" t="str" cm="1">
        <f t="array" ref="H650">_xll.FDSB($C650,"CS_EVENT_DESC_N("&amp;$AA$18&amp;",1)")</f>
        <v/>
      </c>
      <c r="I650" s="282"/>
      <c r="J650" s="274" t="str" cm="1">
        <f t="array" ref="J650">_xll.FDSB($C650,"CS_EVENT_DATEJ_N("&amp;$AB$18&amp;",1)")</f>
        <v/>
      </c>
      <c r="K650" s="282" t="str" cm="1">
        <f t="array" ref="K650">_xll.FDSB($C650,"CS_EVENT_TIME_N("&amp;$AB$18&amp;",1)")</f>
        <v/>
      </c>
      <c r="L650" s="282" t="str" cm="1">
        <f t="array" ref="L650">_xll.FDSB($C650,"CS_EVENT_DESC_N("&amp;$AB$18&amp;",1)")</f>
        <v/>
      </c>
      <c r="M650" s="300"/>
      <c r="N650" s="274" t="str" cm="1">
        <f t="array" ref="N650">_xll.FDSB($C650,"CS_EVENT_DATEJ_N("&amp;$AA$18&amp;",2)")</f>
        <v/>
      </c>
      <c r="O650" s="282" t="str" cm="1">
        <f t="array" ref="O650">_xll.FDSB($C650,"CS_EVENT_TIME_N("&amp;$AA$18&amp;",2)")</f>
        <v/>
      </c>
      <c r="P650" s="282" t="str" cm="1">
        <f t="array" ref="P650">_xll.FDSB($C650,"CS_EVENT_DESC_N("&amp;$AA$18&amp;",2)")</f>
        <v/>
      </c>
      <c r="Q650" s="282"/>
      <c r="R650" s="274" t="str" cm="1">
        <f t="array" ref="R650">_xll.FDSB($C650,"CS_EVENT_DATEJ_N("&amp;$AA$18&amp;",3)")</f>
        <v/>
      </c>
      <c r="S650" s="282" t="str" cm="1">
        <f t="array" ref="S650">_xll.FDSB($C650,"CS_EVENT_TIME_N("&amp;$AA$18&amp;",3)")</f>
        <v/>
      </c>
      <c r="T650" s="282" t="str" cm="1">
        <f t="array" ref="T650">_xll.FDSB($C650,"CS_EVENT_DESC_N("&amp;$AA$18&amp;",3)")</f>
        <v/>
      </c>
      <c r="U650" s="282"/>
      <c r="V650" s="274" t="str" cm="1">
        <f t="array" ref="V650">_xll.FDSB($C650,"CS_EVENT_DATEJ_N("&amp;$AA$18&amp;",4)")</f>
        <v/>
      </c>
      <c r="W650" s="282" t="str" cm="1">
        <f t="array" ref="W650">_xll.FDSB($C650,"CS_EVENT_TIME_N("&amp;$AA$18&amp;",4)")</f>
        <v/>
      </c>
      <c r="X650" s="282" t="str" cm="1">
        <f t="array" ref="X650">_xll.FDSB($C650,"CS_EVENT_DESC_N("&amp;$AA$18&amp;",4)")</f>
        <v/>
      </c>
    </row>
    <row r="651" spans="2:24" x14ac:dyDescent="0.15">
      <c r="B651" s="298">
        <f t="shared" si="11"/>
        <v>636</v>
      </c>
      <c r="C651" s="299"/>
      <c r="D651" s="300" t="str" cm="1">
        <f t="array" ref="D651">_xll.FDSB($C651,"FG_COMPANY_NAME")</f>
        <v/>
      </c>
      <c r="E651" s="300"/>
      <c r="F651" s="274" t="str" cm="1">
        <f t="array" ref="F651">_xll.FDSB($C651,"CS_EVENT_DATEJ_N("&amp;$AA$18&amp;",1)")</f>
        <v/>
      </c>
      <c r="G651" s="282" t="str" cm="1">
        <f t="array" ref="G651">_xll.FDSB($C651,"CS_EVENT_TIME_N("&amp;$AA$18&amp;",1)")</f>
        <v/>
      </c>
      <c r="H651" s="282" t="str" cm="1">
        <f t="array" ref="H651">_xll.FDSB($C651,"CS_EVENT_DESC_N("&amp;$AA$18&amp;",1)")</f>
        <v/>
      </c>
      <c r="I651" s="282"/>
      <c r="J651" s="274" t="str" cm="1">
        <f t="array" ref="J651">_xll.FDSB($C651,"CS_EVENT_DATEJ_N("&amp;$AB$18&amp;",1)")</f>
        <v/>
      </c>
      <c r="K651" s="282" t="str" cm="1">
        <f t="array" ref="K651">_xll.FDSB($C651,"CS_EVENT_TIME_N("&amp;$AB$18&amp;",1)")</f>
        <v/>
      </c>
      <c r="L651" s="282" t="str" cm="1">
        <f t="array" ref="L651">_xll.FDSB($C651,"CS_EVENT_DESC_N("&amp;$AB$18&amp;",1)")</f>
        <v/>
      </c>
      <c r="M651" s="300"/>
      <c r="N651" s="274" t="str" cm="1">
        <f t="array" ref="N651">_xll.FDSB($C651,"CS_EVENT_DATEJ_N("&amp;$AA$18&amp;",2)")</f>
        <v/>
      </c>
      <c r="O651" s="282" t="str" cm="1">
        <f t="array" ref="O651">_xll.FDSB($C651,"CS_EVENT_TIME_N("&amp;$AA$18&amp;",2)")</f>
        <v/>
      </c>
      <c r="P651" s="282" t="str" cm="1">
        <f t="array" ref="P651">_xll.FDSB($C651,"CS_EVENT_DESC_N("&amp;$AA$18&amp;",2)")</f>
        <v/>
      </c>
      <c r="Q651" s="282"/>
      <c r="R651" s="274" t="str" cm="1">
        <f t="array" ref="R651">_xll.FDSB($C651,"CS_EVENT_DATEJ_N("&amp;$AA$18&amp;",3)")</f>
        <v/>
      </c>
      <c r="S651" s="282" t="str" cm="1">
        <f t="array" ref="S651">_xll.FDSB($C651,"CS_EVENT_TIME_N("&amp;$AA$18&amp;",3)")</f>
        <v/>
      </c>
      <c r="T651" s="282" t="str" cm="1">
        <f t="array" ref="T651">_xll.FDSB($C651,"CS_EVENT_DESC_N("&amp;$AA$18&amp;",3)")</f>
        <v/>
      </c>
      <c r="U651" s="282"/>
      <c r="V651" s="274" t="str" cm="1">
        <f t="array" ref="V651">_xll.FDSB($C651,"CS_EVENT_DATEJ_N("&amp;$AA$18&amp;",4)")</f>
        <v/>
      </c>
      <c r="W651" s="282" t="str" cm="1">
        <f t="array" ref="W651">_xll.FDSB($C651,"CS_EVENT_TIME_N("&amp;$AA$18&amp;",4)")</f>
        <v/>
      </c>
      <c r="X651" s="282" t="str" cm="1">
        <f t="array" ref="X651">_xll.FDSB($C651,"CS_EVENT_DESC_N("&amp;$AA$18&amp;",4)")</f>
        <v/>
      </c>
    </row>
    <row r="652" spans="2:24" x14ac:dyDescent="0.15">
      <c r="B652" s="298">
        <f t="shared" si="11"/>
        <v>637</v>
      </c>
      <c r="C652" s="299"/>
      <c r="D652" s="300" t="str" cm="1">
        <f t="array" ref="D652">_xll.FDSB($C652,"FG_COMPANY_NAME")</f>
        <v/>
      </c>
      <c r="E652" s="300"/>
      <c r="F652" s="274" t="str" cm="1">
        <f t="array" ref="F652">_xll.FDSB($C652,"CS_EVENT_DATEJ_N("&amp;$AA$18&amp;",1)")</f>
        <v/>
      </c>
      <c r="G652" s="282" t="str" cm="1">
        <f t="array" ref="G652">_xll.FDSB($C652,"CS_EVENT_TIME_N("&amp;$AA$18&amp;",1)")</f>
        <v/>
      </c>
      <c r="H652" s="282" t="str" cm="1">
        <f t="array" ref="H652">_xll.FDSB($C652,"CS_EVENT_DESC_N("&amp;$AA$18&amp;",1)")</f>
        <v/>
      </c>
      <c r="I652" s="282"/>
      <c r="J652" s="274" t="str" cm="1">
        <f t="array" ref="J652">_xll.FDSB($C652,"CS_EVENT_DATEJ_N("&amp;$AB$18&amp;",1)")</f>
        <v/>
      </c>
      <c r="K652" s="282" t="str" cm="1">
        <f t="array" ref="K652">_xll.FDSB($C652,"CS_EVENT_TIME_N("&amp;$AB$18&amp;",1)")</f>
        <v/>
      </c>
      <c r="L652" s="282" t="str" cm="1">
        <f t="array" ref="L652">_xll.FDSB($C652,"CS_EVENT_DESC_N("&amp;$AB$18&amp;",1)")</f>
        <v/>
      </c>
      <c r="M652" s="300"/>
      <c r="N652" s="274" t="str" cm="1">
        <f t="array" ref="N652">_xll.FDSB($C652,"CS_EVENT_DATEJ_N("&amp;$AA$18&amp;",2)")</f>
        <v/>
      </c>
      <c r="O652" s="282" t="str" cm="1">
        <f t="array" ref="O652">_xll.FDSB($C652,"CS_EVENT_TIME_N("&amp;$AA$18&amp;",2)")</f>
        <v/>
      </c>
      <c r="P652" s="282" t="str" cm="1">
        <f t="array" ref="P652">_xll.FDSB($C652,"CS_EVENT_DESC_N("&amp;$AA$18&amp;",2)")</f>
        <v/>
      </c>
      <c r="Q652" s="282"/>
      <c r="R652" s="274" t="str" cm="1">
        <f t="array" ref="R652">_xll.FDSB($C652,"CS_EVENT_DATEJ_N("&amp;$AA$18&amp;",3)")</f>
        <v/>
      </c>
      <c r="S652" s="282" t="str" cm="1">
        <f t="array" ref="S652">_xll.FDSB($C652,"CS_EVENT_TIME_N("&amp;$AA$18&amp;",3)")</f>
        <v/>
      </c>
      <c r="T652" s="282" t="str" cm="1">
        <f t="array" ref="T652">_xll.FDSB($C652,"CS_EVENT_DESC_N("&amp;$AA$18&amp;",3)")</f>
        <v/>
      </c>
      <c r="U652" s="282"/>
      <c r="V652" s="274" t="str" cm="1">
        <f t="array" ref="V652">_xll.FDSB($C652,"CS_EVENT_DATEJ_N("&amp;$AA$18&amp;",4)")</f>
        <v/>
      </c>
      <c r="W652" s="282" t="str" cm="1">
        <f t="array" ref="W652">_xll.FDSB($C652,"CS_EVENT_TIME_N("&amp;$AA$18&amp;",4)")</f>
        <v/>
      </c>
      <c r="X652" s="282" t="str" cm="1">
        <f t="array" ref="X652">_xll.FDSB($C652,"CS_EVENT_DESC_N("&amp;$AA$18&amp;",4)")</f>
        <v/>
      </c>
    </row>
    <row r="653" spans="2:24" x14ac:dyDescent="0.15">
      <c r="B653" s="298">
        <f t="shared" si="11"/>
        <v>638</v>
      </c>
      <c r="C653" s="299"/>
      <c r="D653" s="300" t="str" cm="1">
        <f t="array" ref="D653">_xll.FDSB($C653,"FG_COMPANY_NAME")</f>
        <v/>
      </c>
      <c r="E653" s="300"/>
      <c r="F653" s="274" t="str" cm="1">
        <f t="array" ref="F653">_xll.FDSB($C653,"CS_EVENT_DATEJ_N("&amp;$AA$18&amp;",1)")</f>
        <v/>
      </c>
      <c r="G653" s="282" t="str" cm="1">
        <f t="array" ref="G653">_xll.FDSB($C653,"CS_EVENT_TIME_N("&amp;$AA$18&amp;",1)")</f>
        <v/>
      </c>
      <c r="H653" s="282" t="str" cm="1">
        <f t="array" ref="H653">_xll.FDSB($C653,"CS_EVENT_DESC_N("&amp;$AA$18&amp;",1)")</f>
        <v/>
      </c>
      <c r="I653" s="282"/>
      <c r="J653" s="274" t="str" cm="1">
        <f t="array" ref="J653">_xll.FDSB($C653,"CS_EVENT_DATEJ_N("&amp;$AB$18&amp;",1)")</f>
        <v/>
      </c>
      <c r="K653" s="282" t="str" cm="1">
        <f t="array" ref="K653">_xll.FDSB($C653,"CS_EVENT_TIME_N("&amp;$AB$18&amp;",1)")</f>
        <v/>
      </c>
      <c r="L653" s="282" t="str" cm="1">
        <f t="array" ref="L653">_xll.FDSB($C653,"CS_EVENT_DESC_N("&amp;$AB$18&amp;",1)")</f>
        <v/>
      </c>
      <c r="M653" s="300"/>
      <c r="N653" s="274" t="str" cm="1">
        <f t="array" ref="N653">_xll.FDSB($C653,"CS_EVENT_DATEJ_N("&amp;$AA$18&amp;",2)")</f>
        <v/>
      </c>
      <c r="O653" s="282" t="str" cm="1">
        <f t="array" ref="O653">_xll.FDSB($C653,"CS_EVENT_TIME_N("&amp;$AA$18&amp;",2)")</f>
        <v/>
      </c>
      <c r="P653" s="282" t="str" cm="1">
        <f t="array" ref="P653">_xll.FDSB($C653,"CS_EVENT_DESC_N("&amp;$AA$18&amp;",2)")</f>
        <v/>
      </c>
      <c r="Q653" s="282"/>
      <c r="R653" s="274" t="str" cm="1">
        <f t="array" ref="R653">_xll.FDSB($C653,"CS_EVENT_DATEJ_N("&amp;$AA$18&amp;",3)")</f>
        <v/>
      </c>
      <c r="S653" s="282" t="str" cm="1">
        <f t="array" ref="S653">_xll.FDSB($C653,"CS_EVENT_TIME_N("&amp;$AA$18&amp;",3)")</f>
        <v/>
      </c>
      <c r="T653" s="282" t="str" cm="1">
        <f t="array" ref="T653">_xll.FDSB($C653,"CS_EVENT_DESC_N("&amp;$AA$18&amp;",3)")</f>
        <v/>
      </c>
      <c r="U653" s="282"/>
      <c r="V653" s="274" t="str" cm="1">
        <f t="array" ref="V653">_xll.FDSB($C653,"CS_EVENT_DATEJ_N("&amp;$AA$18&amp;",4)")</f>
        <v/>
      </c>
      <c r="W653" s="282" t="str" cm="1">
        <f t="array" ref="W653">_xll.FDSB($C653,"CS_EVENT_TIME_N("&amp;$AA$18&amp;",4)")</f>
        <v/>
      </c>
      <c r="X653" s="282" t="str" cm="1">
        <f t="array" ref="X653">_xll.FDSB($C653,"CS_EVENT_DESC_N("&amp;$AA$18&amp;",4)")</f>
        <v/>
      </c>
    </row>
    <row r="654" spans="2:24" x14ac:dyDescent="0.15">
      <c r="B654" s="298">
        <f t="shared" si="11"/>
        <v>639</v>
      </c>
      <c r="C654" s="299"/>
      <c r="D654" s="300" t="str" cm="1">
        <f t="array" ref="D654">_xll.FDSB($C654,"FG_COMPANY_NAME")</f>
        <v/>
      </c>
      <c r="E654" s="300"/>
      <c r="F654" s="274" t="str" cm="1">
        <f t="array" ref="F654">_xll.FDSB($C654,"CS_EVENT_DATEJ_N("&amp;$AA$18&amp;",1)")</f>
        <v/>
      </c>
      <c r="G654" s="282" t="str" cm="1">
        <f t="array" ref="G654">_xll.FDSB($C654,"CS_EVENT_TIME_N("&amp;$AA$18&amp;",1)")</f>
        <v/>
      </c>
      <c r="H654" s="282" t="str" cm="1">
        <f t="array" ref="H654">_xll.FDSB($C654,"CS_EVENT_DESC_N("&amp;$AA$18&amp;",1)")</f>
        <v/>
      </c>
      <c r="I654" s="282"/>
      <c r="J654" s="274" t="str" cm="1">
        <f t="array" ref="J654">_xll.FDSB($C654,"CS_EVENT_DATEJ_N("&amp;$AB$18&amp;",1)")</f>
        <v/>
      </c>
      <c r="K654" s="282" t="str" cm="1">
        <f t="array" ref="K654">_xll.FDSB($C654,"CS_EVENT_TIME_N("&amp;$AB$18&amp;",1)")</f>
        <v/>
      </c>
      <c r="L654" s="282" t="str" cm="1">
        <f t="array" ref="L654">_xll.FDSB($C654,"CS_EVENT_DESC_N("&amp;$AB$18&amp;",1)")</f>
        <v/>
      </c>
      <c r="M654" s="300"/>
      <c r="N654" s="274" t="str" cm="1">
        <f t="array" ref="N654">_xll.FDSB($C654,"CS_EVENT_DATEJ_N("&amp;$AA$18&amp;",2)")</f>
        <v/>
      </c>
      <c r="O654" s="282" t="str" cm="1">
        <f t="array" ref="O654">_xll.FDSB($C654,"CS_EVENT_TIME_N("&amp;$AA$18&amp;",2)")</f>
        <v/>
      </c>
      <c r="P654" s="282" t="str" cm="1">
        <f t="array" ref="P654">_xll.FDSB($C654,"CS_EVENT_DESC_N("&amp;$AA$18&amp;",2)")</f>
        <v/>
      </c>
      <c r="Q654" s="282"/>
      <c r="R654" s="274" t="str" cm="1">
        <f t="array" ref="R654">_xll.FDSB($C654,"CS_EVENT_DATEJ_N("&amp;$AA$18&amp;",3)")</f>
        <v/>
      </c>
      <c r="S654" s="282" t="str" cm="1">
        <f t="array" ref="S654">_xll.FDSB($C654,"CS_EVENT_TIME_N("&amp;$AA$18&amp;",3)")</f>
        <v/>
      </c>
      <c r="T654" s="282" t="str" cm="1">
        <f t="array" ref="T654">_xll.FDSB($C654,"CS_EVENT_DESC_N("&amp;$AA$18&amp;",3)")</f>
        <v/>
      </c>
      <c r="U654" s="282"/>
      <c r="V654" s="274" t="str" cm="1">
        <f t="array" ref="V654">_xll.FDSB($C654,"CS_EVENT_DATEJ_N("&amp;$AA$18&amp;",4)")</f>
        <v/>
      </c>
      <c r="W654" s="282" t="str" cm="1">
        <f t="array" ref="W654">_xll.FDSB($C654,"CS_EVENT_TIME_N("&amp;$AA$18&amp;",4)")</f>
        <v/>
      </c>
      <c r="X654" s="282" t="str" cm="1">
        <f t="array" ref="X654">_xll.FDSB($C654,"CS_EVENT_DESC_N("&amp;$AA$18&amp;",4)")</f>
        <v/>
      </c>
    </row>
    <row r="655" spans="2:24" x14ac:dyDescent="0.15">
      <c r="B655" s="298">
        <f t="shared" si="11"/>
        <v>640</v>
      </c>
      <c r="C655" s="299"/>
      <c r="D655" s="300" t="str" cm="1">
        <f t="array" ref="D655">_xll.FDSB($C655,"FG_COMPANY_NAME")</f>
        <v/>
      </c>
      <c r="E655" s="300"/>
      <c r="F655" s="274" t="str" cm="1">
        <f t="array" ref="F655">_xll.FDSB($C655,"CS_EVENT_DATEJ_N("&amp;$AA$18&amp;",1)")</f>
        <v/>
      </c>
      <c r="G655" s="282" t="str" cm="1">
        <f t="array" ref="G655">_xll.FDSB($C655,"CS_EVENT_TIME_N("&amp;$AA$18&amp;",1)")</f>
        <v/>
      </c>
      <c r="H655" s="282" t="str" cm="1">
        <f t="array" ref="H655">_xll.FDSB($C655,"CS_EVENT_DESC_N("&amp;$AA$18&amp;",1)")</f>
        <v/>
      </c>
      <c r="I655" s="282"/>
      <c r="J655" s="274" t="str" cm="1">
        <f t="array" ref="J655">_xll.FDSB($C655,"CS_EVENT_DATEJ_N("&amp;$AB$18&amp;",1)")</f>
        <v/>
      </c>
      <c r="K655" s="282" t="str" cm="1">
        <f t="array" ref="K655">_xll.FDSB($C655,"CS_EVENT_TIME_N("&amp;$AB$18&amp;",1)")</f>
        <v/>
      </c>
      <c r="L655" s="282" t="str" cm="1">
        <f t="array" ref="L655">_xll.FDSB($C655,"CS_EVENT_DESC_N("&amp;$AB$18&amp;",1)")</f>
        <v/>
      </c>
      <c r="M655" s="300"/>
      <c r="N655" s="274" t="str" cm="1">
        <f t="array" ref="N655">_xll.FDSB($C655,"CS_EVENT_DATEJ_N("&amp;$AA$18&amp;",2)")</f>
        <v/>
      </c>
      <c r="O655" s="282" t="str" cm="1">
        <f t="array" ref="O655">_xll.FDSB($C655,"CS_EVENT_TIME_N("&amp;$AA$18&amp;",2)")</f>
        <v/>
      </c>
      <c r="P655" s="282" t="str" cm="1">
        <f t="array" ref="P655">_xll.FDSB($C655,"CS_EVENT_DESC_N("&amp;$AA$18&amp;",2)")</f>
        <v/>
      </c>
      <c r="Q655" s="282"/>
      <c r="R655" s="274" t="str" cm="1">
        <f t="array" ref="R655">_xll.FDSB($C655,"CS_EVENT_DATEJ_N("&amp;$AA$18&amp;",3)")</f>
        <v/>
      </c>
      <c r="S655" s="282" t="str" cm="1">
        <f t="array" ref="S655">_xll.FDSB($C655,"CS_EVENT_TIME_N("&amp;$AA$18&amp;",3)")</f>
        <v/>
      </c>
      <c r="T655" s="282" t="str" cm="1">
        <f t="array" ref="T655">_xll.FDSB($C655,"CS_EVENT_DESC_N("&amp;$AA$18&amp;",3)")</f>
        <v/>
      </c>
      <c r="U655" s="282"/>
      <c r="V655" s="274" t="str" cm="1">
        <f t="array" ref="V655">_xll.FDSB($C655,"CS_EVENT_DATEJ_N("&amp;$AA$18&amp;",4)")</f>
        <v/>
      </c>
      <c r="W655" s="282" t="str" cm="1">
        <f t="array" ref="W655">_xll.FDSB($C655,"CS_EVENT_TIME_N("&amp;$AA$18&amp;",4)")</f>
        <v/>
      </c>
      <c r="X655" s="282" t="str" cm="1">
        <f t="array" ref="X655">_xll.FDSB($C655,"CS_EVENT_DESC_N("&amp;$AA$18&amp;",4)")</f>
        <v/>
      </c>
    </row>
    <row r="656" spans="2:24" x14ac:dyDescent="0.15">
      <c r="B656" s="298">
        <f t="shared" si="11"/>
        <v>641</v>
      </c>
      <c r="C656" s="299"/>
      <c r="D656" s="300" t="str" cm="1">
        <f t="array" ref="D656">_xll.FDSB($C656,"FG_COMPANY_NAME")</f>
        <v/>
      </c>
      <c r="E656" s="300"/>
      <c r="F656" s="274" t="str" cm="1">
        <f t="array" ref="F656">_xll.FDSB($C656,"CS_EVENT_DATEJ_N("&amp;$AA$18&amp;",1)")</f>
        <v/>
      </c>
      <c r="G656" s="282" t="str" cm="1">
        <f t="array" ref="G656">_xll.FDSB($C656,"CS_EVENT_TIME_N("&amp;$AA$18&amp;",1)")</f>
        <v/>
      </c>
      <c r="H656" s="282" t="str" cm="1">
        <f t="array" ref="H656">_xll.FDSB($C656,"CS_EVENT_DESC_N("&amp;$AA$18&amp;",1)")</f>
        <v/>
      </c>
      <c r="I656" s="282"/>
      <c r="J656" s="274" t="str" cm="1">
        <f t="array" ref="J656">_xll.FDSB($C656,"CS_EVENT_DATEJ_N("&amp;$AB$18&amp;",1)")</f>
        <v/>
      </c>
      <c r="K656" s="282" t="str" cm="1">
        <f t="array" ref="K656">_xll.FDSB($C656,"CS_EVENT_TIME_N("&amp;$AB$18&amp;",1)")</f>
        <v/>
      </c>
      <c r="L656" s="282" t="str" cm="1">
        <f t="array" ref="L656">_xll.FDSB($C656,"CS_EVENT_DESC_N("&amp;$AB$18&amp;",1)")</f>
        <v/>
      </c>
      <c r="M656" s="300"/>
      <c r="N656" s="274" t="str" cm="1">
        <f t="array" ref="N656">_xll.FDSB($C656,"CS_EVENT_DATEJ_N("&amp;$AA$18&amp;",2)")</f>
        <v/>
      </c>
      <c r="O656" s="282" t="str" cm="1">
        <f t="array" ref="O656">_xll.FDSB($C656,"CS_EVENT_TIME_N("&amp;$AA$18&amp;",2)")</f>
        <v/>
      </c>
      <c r="P656" s="282" t="str" cm="1">
        <f t="array" ref="P656">_xll.FDSB($C656,"CS_EVENT_DESC_N("&amp;$AA$18&amp;",2)")</f>
        <v/>
      </c>
      <c r="Q656" s="282"/>
      <c r="R656" s="274" t="str" cm="1">
        <f t="array" ref="R656">_xll.FDSB($C656,"CS_EVENT_DATEJ_N("&amp;$AA$18&amp;",3)")</f>
        <v/>
      </c>
      <c r="S656" s="282" t="str" cm="1">
        <f t="array" ref="S656">_xll.FDSB($C656,"CS_EVENT_TIME_N("&amp;$AA$18&amp;",3)")</f>
        <v/>
      </c>
      <c r="T656" s="282" t="str" cm="1">
        <f t="array" ref="T656">_xll.FDSB($C656,"CS_EVENT_DESC_N("&amp;$AA$18&amp;",3)")</f>
        <v/>
      </c>
      <c r="U656" s="282"/>
      <c r="V656" s="274" t="str" cm="1">
        <f t="array" ref="V656">_xll.FDSB($C656,"CS_EVENT_DATEJ_N("&amp;$AA$18&amp;",4)")</f>
        <v/>
      </c>
      <c r="W656" s="282" t="str" cm="1">
        <f t="array" ref="W656">_xll.FDSB($C656,"CS_EVENT_TIME_N("&amp;$AA$18&amp;",4)")</f>
        <v/>
      </c>
      <c r="X656" s="282" t="str" cm="1">
        <f t="array" ref="X656">_xll.FDSB($C656,"CS_EVENT_DESC_N("&amp;$AA$18&amp;",4)")</f>
        <v/>
      </c>
    </row>
    <row r="657" spans="2:24" x14ac:dyDescent="0.15">
      <c r="B657" s="298">
        <f t="shared" si="11"/>
        <v>642</v>
      </c>
      <c r="C657" s="299"/>
      <c r="D657" s="300" t="str" cm="1">
        <f t="array" ref="D657">_xll.FDSB($C657,"FG_COMPANY_NAME")</f>
        <v/>
      </c>
      <c r="E657" s="300"/>
      <c r="F657" s="274" t="str" cm="1">
        <f t="array" ref="F657">_xll.FDSB($C657,"CS_EVENT_DATEJ_N("&amp;$AA$18&amp;",1)")</f>
        <v/>
      </c>
      <c r="G657" s="282" t="str" cm="1">
        <f t="array" ref="G657">_xll.FDSB($C657,"CS_EVENT_TIME_N("&amp;$AA$18&amp;",1)")</f>
        <v/>
      </c>
      <c r="H657" s="282" t="str" cm="1">
        <f t="array" ref="H657">_xll.FDSB($C657,"CS_EVENT_DESC_N("&amp;$AA$18&amp;",1)")</f>
        <v/>
      </c>
      <c r="I657" s="282"/>
      <c r="J657" s="274" t="str" cm="1">
        <f t="array" ref="J657">_xll.FDSB($C657,"CS_EVENT_DATEJ_N("&amp;$AB$18&amp;",1)")</f>
        <v/>
      </c>
      <c r="K657" s="282" t="str" cm="1">
        <f t="array" ref="K657">_xll.FDSB($C657,"CS_EVENT_TIME_N("&amp;$AB$18&amp;",1)")</f>
        <v/>
      </c>
      <c r="L657" s="282" t="str" cm="1">
        <f t="array" ref="L657">_xll.FDSB($C657,"CS_EVENT_DESC_N("&amp;$AB$18&amp;",1)")</f>
        <v/>
      </c>
      <c r="M657" s="300"/>
      <c r="N657" s="274" t="str" cm="1">
        <f t="array" ref="N657">_xll.FDSB($C657,"CS_EVENT_DATEJ_N("&amp;$AA$18&amp;",2)")</f>
        <v/>
      </c>
      <c r="O657" s="282" t="str" cm="1">
        <f t="array" ref="O657">_xll.FDSB($C657,"CS_EVENT_TIME_N("&amp;$AA$18&amp;",2)")</f>
        <v/>
      </c>
      <c r="P657" s="282" t="str" cm="1">
        <f t="array" ref="P657">_xll.FDSB($C657,"CS_EVENT_DESC_N("&amp;$AA$18&amp;",2)")</f>
        <v/>
      </c>
      <c r="Q657" s="282"/>
      <c r="R657" s="274" t="str" cm="1">
        <f t="array" ref="R657">_xll.FDSB($C657,"CS_EVENT_DATEJ_N("&amp;$AA$18&amp;",3)")</f>
        <v/>
      </c>
      <c r="S657" s="282" t="str" cm="1">
        <f t="array" ref="S657">_xll.FDSB($C657,"CS_EVENT_TIME_N("&amp;$AA$18&amp;",3)")</f>
        <v/>
      </c>
      <c r="T657" s="282" t="str" cm="1">
        <f t="array" ref="T657">_xll.FDSB($C657,"CS_EVENT_DESC_N("&amp;$AA$18&amp;",3)")</f>
        <v/>
      </c>
      <c r="U657" s="282"/>
      <c r="V657" s="274" t="str" cm="1">
        <f t="array" ref="V657">_xll.FDSB($C657,"CS_EVENT_DATEJ_N("&amp;$AA$18&amp;",4)")</f>
        <v/>
      </c>
      <c r="W657" s="282" t="str" cm="1">
        <f t="array" ref="W657">_xll.FDSB($C657,"CS_EVENT_TIME_N("&amp;$AA$18&amp;",4)")</f>
        <v/>
      </c>
      <c r="X657" s="282" t="str" cm="1">
        <f t="array" ref="X657">_xll.FDSB($C657,"CS_EVENT_DESC_N("&amp;$AA$18&amp;",4)")</f>
        <v/>
      </c>
    </row>
    <row r="658" spans="2:24" x14ac:dyDescent="0.15">
      <c r="B658" s="298">
        <f t="shared" ref="B658:B721" si="12">B657+1</f>
        <v>643</v>
      </c>
      <c r="C658" s="299"/>
      <c r="D658" s="300" t="str" cm="1">
        <f t="array" ref="D658">_xll.FDSB($C658,"FG_COMPANY_NAME")</f>
        <v/>
      </c>
      <c r="E658" s="300"/>
      <c r="F658" s="274" t="str" cm="1">
        <f t="array" ref="F658">_xll.FDSB($C658,"CS_EVENT_DATEJ_N("&amp;$AA$18&amp;",1)")</f>
        <v/>
      </c>
      <c r="G658" s="282" t="str" cm="1">
        <f t="array" ref="G658">_xll.FDSB($C658,"CS_EVENT_TIME_N("&amp;$AA$18&amp;",1)")</f>
        <v/>
      </c>
      <c r="H658" s="282" t="str" cm="1">
        <f t="array" ref="H658">_xll.FDSB($C658,"CS_EVENT_DESC_N("&amp;$AA$18&amp;",1)")</f>
        <v/>
      </c>
      <c r="I658" s="282"/>
      <c r="J658" s="274" t="str" cm="1">
        <f t="array" ref="J658">_xll.FDSB($C658,"CS_EVENT_DATEJ_N("&amp;$AB$18&amp;",1)")</f>
        <v/>
      </c>
      <c r="K658" s="282" t="str" cm="1">
        <f t="array" ref="K658">_xll.FDSB($C658,"CS_EVENT_TIME_N("&amp;$AB$18&amp;",1)")</f>
        <v/>
      </c>
      <c r="L658" s="282" t="str" cm="1">
        <f t="array" ref="L658">_xll.FDSB($C658,"CS_EVENT_DESC_N("&amp;$AB$18&amp;",1)")</f>
        <v/>
      </c>
      <c r="M658" s="300"/>
      <c r="N658" s="274" t="str" cm="1">
        <f t="array" ref="N658">_xll.FDSB($C658,"CS_EVENT_DATEJ_N("&amp;$AA$18&amp;",2)")</f>
        <v/>
      </c>
      <c r="O658" s="282" t="str" cm="1">
        <f t="array" ref="O658">_xll.FDSB($C658,"CS_EVENT_TIME_N("&amp;$AA$18&amp;",2)")</f>
        <v/>
      </c>
      <c r="P658" s="282" t="str" cm="1">
        <f t="array" ref="P658">_xll.FDSB($C658,"CS_EVENT_DESC_N("&amp;$AA$18&amp;",2)")</f>
        <v/>
      </c>
      <c r="Q658" s="282"/>
      <c r="R658" s="274" t="str" cm="1">
        <f t="array" ref="R658">_xll.FDSB($C658,"CS_EVENT_DATEJ_N("&amp;$AA$18&amp;",3)")</f>
        <v/>
      </c>
      <c r="S658" s="282" t="str" cm="1">
        <f t="array" ref="S658">_xll.FDSB($C658,"CS_EVENT_TIME_N("&amp;$AA$18&amp;",3)")</f>
        <v/>
      </c>
      <c r="T658" s="282" t="str" cm="1">
        <f t="array" ref="T658">_xll.FDSB($C658,"CS_EVENT_DESC_N("&amp;$AA$18&amp;",3)")</f>
        <v/>
      </c>
      <c r="U658" s="282"/>
      <c r="V658" s="274" t="str" cm="1">
        <f t="array" ref="V658">_xll.FDSB($C658,"CS_EVENT_DATEJ_N("&amp;$AA$18&amp;",4)")</f>
        <v/>
      </c>
      <c r="W658" s="282" t="str" cm="1">
        <f t="array" ref="W658">_xll.FDSB($C658,"CS_EVENT_TIME_N("&amp;$AA$18&amp;",4)")</f>
        <v/>
      </c>
      <c r="X658" s="282" t="str" cm="1">
        <f t="array" ref="X658">_xll.FDSB($C658,"CS_EVENT_DESC_N("&amp;$AA$18&amp;",4)")</f>
        <v/>
      </c>
    </row>
    <row r="659" spans="2:24" x14ac:dyDescent="0.15">
      <c r="B659" s="298">
        <f t="shared" si="12"/>
        <v>644</v>
      </c>
      <c r="C659" s="299"/>
      <c r="D659" s="300" t="str" cm="1">
        <f t="array" ref="D659">_xll.FDSB($C659,"FG_COMPANY_NAME")</f>
        <v/>
      </c>
      <c r="E659" s="300"/>
      <c r="F659" s="274" t="str" cm="1">
        <f t="array" ref="F659">_xll.FDSB($C659,"CS_EVENT_DATEJ_N("&amp;$AA$18&amp;",1)")</f>
        <v/>
      </c>
      <c r="G659" s="282" t="str" cm="1">
        <f t="array" ref="G659">_xll.FDSB($C659,"CS_EVENT_TIME_N("&amp;$AA$18&amp;",1)")</f>
        <v/>
      </c>
      <c r="H659" s="282" t="str" cm="1">
        <f t="array" ref="H659">_xll.FDSB($C659,"CS_EVENT_DESC_N("&amp;$AA$18&amp;",1)")</f>
        <v/>
      </c>
      <c r="I659" s="282"/>
      <c r="J659" s="274" t="str" cm="1">
        <f t="array" ref="J659">_xll.FDSB($C659,"CS_EVENT_DATEJ_N("&amp;$AB$18&amp;",1)")</f>
        <v/>
      </c>
      <c r="K659" s="282" t="str" cm="1">
        <f t="array" ref="K659">_xll.FDSB($C659,"CS_EVENT_TIME_N("&amp;$AB$18&amp;",1)")</f>
        <v/>
      </c>
      <c r="L659" s="282" t="str" cm="1">
        <f t="array" ref="L659">_xll.FDSB($C659,"CS_EVENT_DESC_N("&amp;$AB$18&amp;",1)")</f>
        <v/>
      </c>
      <c r="M659" s="300"/>
      <c r="N659" s="274" t="str" cm="1">
        <f t="array" ref="N659">_xll.FDSB($C659,"CS_EVENT_DATEJ_N("&amp;$AA$18&amp;",2)")</f>
        <v/>
      </c>
      <c r="O659" s="282" t="str" cm="1">
        <f t="array" ref="O659">_xll.FDSB($C659,"CS_EVENT_TIME_N("&amp;$AA$18&amp;",2)")</f>
        <v/>
      </c>
      <c r="P659" s="282" t="str" cm="1">
        <f t="array" ref="P659">_xll.FDSB($C659,"CS_EVENT_DESC_N("&amp;$AA$18&amp;",2)")</f>
        <v/>
      </c>
      <c r="Q659" s="282"/>
      <c r="R659" s="274" t="str" cm="1">
        <f t="array" ref="R659">_xll.FDSB($C659,"CS_EVENT_DATEJ_N("&amp;$AA$18&amp;",3)")</f>
        <v/>
      </c>
      <c r="S659" s="282" t="str" cm="1">
        <f t="array" ref="S659">_xll.FDSB($C659,"CS_EVENT_TIME_N("&amp;$AA$18&amp;",3)")</f>
        <v/>
      </c>
      <c r="T659" s="282" t="str" cm="1">
        <f t="array" ref="T659">_xll.FDSB($C659,"CS_EVENT_DESC_N("&amp;$AA$18&amp;",3)")</f>
        <v/>
      </c>
      <c r="U659" s="282"/>
      <c r="V659" s="274" t="str" cm="1">
        <f t="array" ref="V659">_xll.FDSB($C659,"CS_EVENT_DATEJ_N("&amp;$AA$18&amp;",4)")</f>
        <v/>
      </c>
      <c r="W659" s="282" t="str" cm="1">
        <f t="array" ref="W659">_xll.FDSB($C659,"CS_EVENT_TIME_N("&amp;$AA$18&amp;",4)")</f>
        <v/>
      </c>
      <c r="X659" s="282" t="str" cm="1">
        <f t="array" ref="X659">_xll.FDSB($C659,"CS_EVENT_DESC_N("&amp;$AA$18&amp;",4)")</f>
        <v/>
      </c>
    </row>
    <row r="660" spans="2:24" x14ac:dyDescent="0.15">
      <c r="B660" s="298">
        <f t="shared" si="12"/>
        <v>645</v>
      </c>
      <c r="C660" s="299"/>
      <c r="D660" s="300" t="str" cm="1">
        <f t="array" ref="D660">_xll.FDSB($C660,"FG_COMPANY_NAME")</f>
        <v/>
      </c>
      <c r="E660" s="300"/>
      <c r="F660" s="274" t="str" cm="1">
        <f t="array" ref="F660">_xll.FDSB($C660,"CS_EVENT_DATEJ_N("&amp;$AA$18&amp;",1)")</f>
        <v/>
      </c>
      <c r="G660" s="282" t="str" cm="1">
        <f t="array" ref="G660">_xll.FDSB($C660,"CS_EVENT_TIME_N("&amp;$AA$18&amp;",1)")</f>
        <v/>
      </c>
      <c r="H660" s="282" t="str" cm="1">
        <f t="array" ref="H660">_xll.FDSB($C660,"CS_EVENT_DESC_N("&amp;$AA$18&amp;",1)")</f>
        <v/>
      </c>
      <c r="I660" s="282"/>
      <c r="J660" s="274" t="str" cm="1">
        <f t="array" ref="J660">_xll.FDSB($C660,"CS_EVENT_DATEJ_N("&amp;$AB$18&amp;",1)")</f>
        <v/>
      </c>
      <c r="K660" s="282" t="str" cm="1">
        <f t="array" ref="K660">_xll.FDSB($C660,"CS_EVENT_TIME_N("&amp;$AB$18&amp;",1)")</f>
        <v/>
      </c>
      <c r="L660" s="282" t="str" cm="1">
        <f t="array" ref="L660">_xll.FDSB($C660,"CS_EVENT_DESC_N("&amp;$AB$18&amp;",1)")</f>
        <v/>
      </c>
      <c r="M660" s="300"/>
      <c r="N660" s="274" t="str" cm="1">
        <f t="array" ref="N660">_xll.FDSB($C660,"CS_EVENT_DATEJ_N("&amp;$AA$18&amp;",2)")</f>
        <v/>
      </c>
      <c r="O660" s="282" t="str" cm="1">
        <f t="array" ref="O660">_xll.FDSB($C660,"CS_EVENT_TIME_N("&amp;$AA$18&amp;",2)")</f>
        <v/>
      </c>
      <c r="P660" s="282" t="str" cm="1">
        <f t="array" ref="P660">_xll.FDSB($C660,"CS_EVENT_DESC_N("&amp;$AA$18&amp;",2)")</f>
        <v/>
      </c>
      <c r="Q660" s="282"/>
      <c r="R660" s="274" t="str" cm="1">
        <f t="array" ref="R660">_xll.FDSB($C660,"CS_EVENT_DATEJ_N("&amp;$AA$18&amp;",3)")</f>
        <v/>
      </c>
      <c r="S660" s="282" t="str" cm="1">
        <f t="array" ref="S660">_xll.FDSB($C660,"CS_EVENT_TIME_N("&amp;$AA$18&amp;",3)")</f>
        <v/>
      </c>
      <c r="T660" s="282" t="str" cm="1">
        <f t="array" ref="T660">_xll.FDSB($C660,"CS_EVENT_DESC_N("&amp;$AA$18&amp;",3)")</f>
        <v/>
      </c>
      <c r="U660" s="282"/>
      <c r="V660" s="274" t="str" cm="1">
        <f t="array" ref="V660">_xll.FDSB($C660,"CS_EVENT_DATEJ_N("&amp;$AA$18&amp;",4)")</f>
        <v/>
      </c>
      <c r="W660" s="282" t="str" cm="1">
        <f t="array" ref="W660">_xll.FDSB($C660,"CS_EVENT_TIME_N("&amp;$AA$18&amp;",4)")</f>
        <v/>
      </c>
      <c r="X660" s="282" t="str" cm="1">
        <f t="array" ref="X660">_xll.FDSB($C660,"CS_EVENT_DESC_N("&amp;$AA$18&amp;",4)")</f>
        <v/>
      </c>
    </row>
    <row r="661" spans="2:24" x14ac:dyDescent="0.15">
      <c r="B661" s="298">
        <f t="shared" si="12"/>
        <v>646</v>
      </c>
      <c r="C661" s="299"/>
      <c r="D661" s="300" t="str" cm="1">
        <f t="array" ref="D661">_xll.FDSB($C661,"FG_COMPANY_NAME")</f>
        <v/>
      </c>
      <c r="E661" s="300"/>
      <c r="F661" s="274" t="str" cm="1">
        <f t="array" ref="F661">_xll.FDSB($C661,"CS_EVENT_DATEJ_N("&amp;$AA$18&amp;",1)")</f>
        <v/>
      </c>
      <c r="G661" s="282" t="str" cm="1">
        <f t="array" ref="G661">_xll.FDSB($C661,"CS_EVENT_TIME_N("&amp;$AA$18&amp;",1)")</f>
        <v/>
      </c>
      <c r="H661" s="282" t="str" cm="1">
        <f t="array" ref="H661">_xll.FDSB($C661,"CS_EVENT_DESC_N("&amp;$AA$18&amp;",1)")</f>
        <v/>
      </c>
      <c r="I661" s="282"/>
      <c r="J661" s="274" t="str" cm="1">
        <f t="array" ref="J661">_xll.FDSB($C661,"CS_EVENT_DATEJ_N("&amp;$AB$18&amp;",1)")</f>
        <v/>
      </c>
      <c r="K661" s="282" t="str" cm="1">
        <f t="array" ref="K661">_xll.FDSB($C661,"CS_EVENT_TIME_N("&amp;$AB$18&amp;",1)")</f>
        <v/>
      </c>
      <c r="L661" s="282" t="str" cm="1">
        <f t="array" ref="L661">_xll.FDSB($C661,"CS_EVENT_DESC_N("&amp;$AB$18&amp;",1)")</f>
        <v/>
      </c>
      <c r="M661" s="300"/>
      <c r="N661" s="274" t="str" cm="1">
        <f t="array" ref="N661">_xll.FDSB($C661,"CS_EVENT_DATEJ_N("&amp;$AA$18&amp;",2)")</f>
        <v/>
      </c>
      <c r="O661" s="282" t="str" cm="1">
        <f t="array" ref="O661">_xll.FDSB($C661,"CS_EVENT_TIME_N("&amp;$AA$18&amp;",2)")</f>
        <v/>
      </c>
      <c r="P661" s="282" t="str" cm="1">
        <f t="array" ref="P661">_xll.FDSB($C661,"CS_EVENT_DESC_N("&amp;$AA$18&amp;",2)")</f>
        <v/>
      </c>
      <c r="Q661" s="282"/>
      <c r="R661" s="274" t="str" cm="1">
        <f t="array" ref="R661">_xll.FDSB($C661,"CS_EVENT_DATEJ_N("&amp;$AA$18&amp;",3)")</f>
        <v/>
      </c>
      <c r="S661" s="282" t="str" cm="1">
        <f t="array" ref="S661">_xll.FDSB($C661,"CS_EVENT_TIME_N("&amp;$AA$18&amp;",3)")</f>
        <v/>
      </c>
      <c r="T661" s="282" t="str" cm="1">
        <f t="array" ref="T661">_xll.FDSB($C661,"CS_EVENT_DESC_N("&amp;$AA$18&amp;",3)")</f>
        <v/>
      </c>
      <c r="U661" s="282"/>
      <c r="V661" s="274" t="str" cm="1">
        <f t="array" ref="V661">_xll.FDSB($C661,"CS_EVENT_DATEJ_N("&amp;$AA$18&amp;",4)")</f>
        <v/>
      </c>
      <c r="W661" s="282" t="str" cm="1">
        <f t="array" ref="W661">_xll.FDSB($C661,"CS_EVENT_TIME_N("&amp;$AA$18&amp;",4)")</f>
        <v/>
      </c>
      <c r="X661" s="282" t="str" cm="1">
        <f t="array" ref="X661">_xll.FDSB($C661,"CS_EVENT_DESC_N("&amp;$AA$18&amp;",4)")</f>
        <v/>
      </c>
    </row>
    <row r="662" spans="2:24" x14ac:dyDescent="0.15">
      <c r="B662" s="298">
        <f t="shared" si="12"/>
        <v>647</v>
      </c>
      <c r="C662" s="299"/>
      <c r="D662" s="300" t="str" cm="1">
        <f t="array" ref="D662">_xll.FDSB($C662,"FG_COMPANY_NAME")</f>
        <v/>
      </c>
      <c r="E662" s="300"/>
      <c r="F662" s="274" t="str" cm="1">
        <f t="array" ref="F662">_xll.FDSB($C662,"CS_EVENT_DATEJ_N("&amp;$AA$18&amp;",1)")</f>
        <v/>
      </c>
      <c r="G662" s="282" t="str" cm="1">
        <f t="array" ref="G662">_xll.FDSB($C662,"CS_EVENT_TIME_N("&amp;$AA$18&amp;",1)")</f>
        <v/>
      </c>
      <c r="H662" s="282" t="str" cm="1">
        <f t="array" ref="H662">_xll.FDSB($C662,"CS_EVENT_DESC_N("&amp;$AA$18&amp;",1)")</f>
        <v/>
      </c>
      <c r="I662" s="282"/>
      <c r="J662" s="274" t="str" cm="1">
        <f t="array" ref="J662">_xll.FDSB($C662,"CS_EVENT_DATEJ_N("&amp;$AB$18&amp;",1)")</f>
        <v/>
      </c>
      <c r="K662" s="282" t="str" cm="1">
        <f t="array" ref="K662">_xll.FDSB($C662,"CS_EVENT_TIME_N("&amp;$AB$18&amp;",1)")</f>
        <v/>
      </c>
      <c r="L662" s="282" t="str" cm="1">
        <f t="array" ref="L662">_xll.FDSB($C662,"CS_EVENT_DESC_N("&amp;$AB$18&amp;",1)")</f>
        <v/>
      </c>
      <c r="M662" s="300"/>
      <c r="N662" s="274" t="str" cm="1">
        <f t="array" ref="N662">_xll.FDSB($C662,"CS_EVENT_DATEJ_N("&amp;$AA$18&amp;",2)")</f>
        <v/>
      </c>
      <c r="O662" s="282" t="str" cm="1">
        <f t="array" ref="O662">_xll.FDSB($C662,"CS_EVENT_TIME_N("&amp;$AA$18&amp;",2)")</f>
        <v/>
      </c>
      <c r="P662" s="282" t="str" cm="1">
        <f t="array" ref="P662">_xll.FDSB($C662,"CS_EVENT_DESC_N("&amp;$AA$18&amp;",2)")</f>
        <v/>
      </c>
      <c r="Q662" s="282"/>
      <c r="R662" s="274" t="str" cm="1">
        <f t="array" ref="R662">_xll.FDSB($C662,"CS_EVENT_DATEJ_N("&amp;$AA$18&amp;",3)")</f>
        <v/>
      </c>
      <c r="S662" s="282" t="str" cm="1">
        <f t="array" ref="S662">_xll.FDSB($C662,"CS_EVENT_TIME_N("&amp;$AA$18&amp;",3)")</f>
        <v/>
      </c>
      <c r="T662" s="282" t="str" cm="1">
        <f t="array" ref="T662">_xll.FDSB($C662,"CS_EVENT_DESC_N("&amp;$AA$18&amp;",3)")</f>
        <v/>
      </c>
      <c r="U662" s="282"/>
      <c r="V662" s="274" t="str" cm="1">
        <f t="array" ref="V662">_xll.FDSB($C662,"CS_EVENT_DATEJ_N("&amp;$AA$18&amp;",4)")</f>
        <v/>
      </c>
      <c r="W662" s="282" t="str" cm="1">
        <f t="array" ref="W662">_xll.FDSB($C662,"CS_EVENT_TIME_N("&amp;$AA$18&amp;",4)")</f>
        <v/>
      </c>
      <c r="X662" s="282" t="str" cm="1">
        <f t="array" ref="X662">_xll.FDSB($C662,"CS_EVENT_DESC_N("&amp;$AA$18&amp;",4)")</f>
        <v/>
      </c>
    </row>
    <row r="663" spans="2:24" x14ac:dyDescent="0.15">
      <c r="B663" s="298">
        <f t="shared" si="12"/>
        <v>648</v>
      </c>
      <c r="C663" s="299"/>
      <c r="D663" s="300" t="str" cm="1">
        <f t="array" ref="D663">_xll.FDSB($C663,"FG_COMPANY_NAME")</f>
        <v/>
      </c>
      <c r="E663" s="300"/>
      <c r="F663" s="274" t="str" cm="1">
        <f t="array" ref="F663">_xll.FDSB($C663,"CS_EVENT_DATEJ_N("&amp;$AA$18&amp;",1)")</f>
        <v/>
      </c>
      <c r="G663" s="282" t="str" cm="1">
        <f t="array" ref="G663">_xll.FDSB($C663,"CS_EVENT_TIME_N("&amp;$AA$18&amp;",1)")</f>
        <v/>
      </c>
      <c r="H663" s="282" t="str" cm="1">
        <f t="array" ref="H663">_xll.FDSB($C663,"CS_EVENT_DESC_N("&amp;$AA$18&amp;",1)")</f>
        <v/>
      </c>
      <c r="I663" s="282"/>
      <c r="J663" s="274" t="str" cm="1">
        <f t="array" ref="J663">_xll.FDSB($C663,"CS_EVENT_DATEJ_N("&amp;$AB$18&amp;",1)")</f>
        <v/>
      </c>
      <c r="K663" s="282" t="str" cm="1">
        <f t="array" ref="K663">_xll.FDSB($C663,"CS_EVENT_TIME_N("&amp;$AB$18&amp;",1)")</f>
        <v/>
      </c>
      <c r="L663" s="282" t="str" cm="1">
        <f t="array" ref="L663">_xll.FDSB($C663,"CS_EVENT_DESC_N("&amp;$AB$18&amp;",1)")</f>
        <v/>
      </c>
      <c r="M663" s="300"/>
      <c r="N663" s="274" t="str" cm="1">
        <f t="array" ref="N663">_xll.FDSB($C663,"CS_EVENT_DATEJ_N("&amp;$AA$18&amp;",2)")</f>
        <v/>
      </c>
      <c r="O663" s="282" t="str" cm="1">
        <f t="array" ref="O663">_xll.FDSB($C663,"CS_EVENT_TIME_N("&amp;$AA$18&amp;",2)")</f>
        <v/>
      </c>
      <c r="P663" s="282" t="str" cm="1">
        <f t="array" ref="P663">_xll.FDSB($C663,"CS_EVENT_DESC_N("&amp;$AA$18&amp;",2)")</f>
        <v/>
      </c>
      <c r="Q663" s="282"/>
      <c r="R663" s="274" t="str" cm="1">
        <f t="array" ref="R663">_xll.FDSB($C663,"CS_EVENT_DATEJ_N("&amp;$AA$18&amp;",3)")</f>
        <v/>
      </c>
      <c r="S663" s="282" t="str" cm="1">
        <f t="array" ref="S663">_xll.FDSB($C663,"CS_EVENT_TIME_N("&amp;$AA$18&amp;",3)")</f>
        <v/>
      </c>
      <c r="T663" s="282" t="str" cm="1">
        <f t="array" ref="T663">_xll.FDSB($C663,"CS_EVENT_DESC_N("&amp;$AA$18&amp;",3)")</f>
        <v/>
      </c>
      <c r="U663" s="282"/>
      <c r="V663" s="274" t="str" cm="1">
        <f t="array" ref="V663">_xll.FDSB($C663,"CS_EVENT_DATEJ_N("&amp;$AA$18&amp;",4)")</f>
        <v/>
      </c>
      <c r="W663" s="282" t="str" cm="1">
        <f t="array" ref="W663">_xll.FDSB($C663,"CS_EVENT_TIME_N("&amp;$AA$18&amp;",4)")</f>
        <v/>
      </c>
      <c r="X663" s="282" t="str" cm="1">
        <f t="array" ref="X663">_xll.FDSB($C663,"CS_EVENT_DESC_N("&amp;$AA$18&amp;",4)")</f>
        <v/>
      </c>
    </row>
    <row r="664" spans="2:24" x14ac:dyDescent="0.15">
      <c r="B664" s="298">
        <f t="shared" si="12"/>
        <v>649</v>
      </c>
      <c r="C664" s="299"/>
      <c r="D664" s="300" t="str" cm="1">
        <f t="array" ref="D664">_xll.FDSB($C664,"FG_COMPANY_NAME")</f>
        <v/>
      </c>
      <c r="E664" s="300"/>
      <c r="F664" s="274" t="str" cm="1">
        <f t="array" ref="F664">_xll.FDSB($C664,"CS_EVENT_DATEJ_N("&amp;$AA$18&amp;",1)")</f>
        <v/>
      </c>
      <c r="G664" s="282" t="str" cm="1">
        <f t="array" ref="G664">_xll.FDSB($C664,"CS_EVENT_TIME_N("&amp;$AA$18&amp;",1)")</f>
        <v/>
      </c>
      <c r="H664" s="282" t="str" cm="1">
        <f t="array" ref="H664">_xll.FDSB($C664,"CS_EVENT_DESC_N("&amp;$AA$18&amp;",1)")</f>
        <v/>
      </c>
      <c r="I664" s="282"/>
      <c r="J664" s="274" t="str" cm="1">
        <f t="array" ref="J664">_xll.FDSB($C664,"CS_EVENT_DATEJ_N("&amp;$AB$18&amp;",1)")</f>
        <v/>
      </c>
      <c r="K664" s="282" t="str" cm="1">
        <f t="array" ref="K664">_xll.FDSB($C664,"CS_EVENT_TIME_N("&amp;$AB$18&amp;",1)")</f>
        <v/>
      </c>
      <c r="L664" s="282" t="str" cm="1">
        <f t="array" ref="L664">_xll.FDSB($C664,"CS_EVENT_DESC_N("&amp;$AB$18&amp;",1)")</f>
        <v/>
      </c>
      <c r="M664" s="300"/>
      <c r="N664" s="274" t="str" cm="1">
        <f t="array" ref="N664">_xll.FDSB($C664,"CS_EVENT_DATEJ_N("&amp;$AA$18&amp;",2)")</f>
        <v/>
      </c>
      <c r="O664" s="282" t="str" cm="1">
        <f t="array" ref="O664">_xll.FDSB($C664,"CS_EVENT_TIME_N("&amp;$AA$18&amp;",2)")</f>
        <v/>
      </c>
      <c r="P664" s="282" t="str" cm="1">
        <f t="array" ref="P664">_xll.FDSB($C664,"CS_EVENT_DESC_N("&amp;$AA$18&amp;",2)")</f>
        <v/>
      </c>
      <c r="Q664" s="282"/>
      <c r="R664" s="274" t="str" cm="1">
        <f t="array" ref="R664">_xll.FDSB($C664,"CS_EVENT_DATEJ_N("&amp;$AA$18&amp;",3)")</f>
        <v/>
      </c>
      <c r="S664" s="282" t="str" cm="1">
        <f t="array" ref="S664">_xll.FDSB($C664,"CS_EVENT_TIME_N("&amp;$AA$18&amp;",3)")</f>
        <v/>
      </c>
      <c r="T664" s="282" t="str" cm="1">
        <f t="array" ref="T664">_xll.FDSB($C664,"CS_EVENT_DESC_N("&amp;$AA$18&amp;",3)")</f>
        <v/>
      </c>
      <c r="U664" s="282"/>
      <c r="V664" s="274" t="str" cm="1">
        <f t="array" ref="V664">_xll.FDSB($C664,"CS_EVENT_DATEJ_N("&amp;$AA$18&amp;",4)")</f>
        <v/>
      </c>
      <c r="W664" s="282" t="str" cm="1">
        <f t="array" ref="W664">_xll.FDSB($C664,"CS_EVENT_TIME_N("&amp;$AA$18&amp;",4)")</f>
        <v/>
      </c>
      <c r="X664" s="282" t="str" cm="1">
        <f t="array" ref="X664">_xll.FDSB($C664,"CS_EVENT_DESC_N("&amp;$AA$18&amp;",4)")</f>
        <v/>
      </c>
    </row>
    <row r="665" spans="2:24" x14ac:dyDescent="0.15">
      <c r="B665" s="298">
        <f t="shared" si="12"/>
        <v>650</v>
      </c>
      <c r="C665" s="299"/>
      <c r="D665" s="300" t="str" cm="1">
        <f t="array" ref="D665">_xll.FDSB($C665,"FG_COMPANY_NAME")</f>
        <v/>
      </c>
      <c r="E665" s="300"/>
      <c r="F665" s="274" t="str" cm="1">
        <f t="array" ref="F665">_xll.FDSB($C665,"CS_EVENT_DATEJ_N("&amp;$AA$18&amp;",1)")</f>
        <v/>
      </c>
      <c r="G665" s="282" t="str" cm="1">
        <f t="array" ref="G665">_xll.FDSB($C665,"CS_EVENT_TIME_N("&amp;$AA$18&amp;",1)")</f>
        <v/>
      </c>
      <c r="H665" s="282" t="str" cm="1">
        <f t="array" ref="H665">_xll.FDSB($C665,"CS_EVENT_DESC_N("&amp;$AA$18&amp;",1)")</f>
        <v/>
      </c>
      <c r="I665" s="282"/>
      <c r="J665" s="274" t="str" cm="1">
        <f t="array" ref="J665">_xll.FDSB($C665,"CS_EVENT_DATEJ_N("&amp;$AB$18&amp;",1)")</f>
        <v/>
      </c>
      <c r="K665" s="282" t="str" cm="1">
        <f t="array" ref="K665">_xll.FDSB($C665,"CS_EVENT_TIME_N("&amp;$AB$18&amp;",1)")</f>
        <v/>
      </c>
      <c r="L665" s="282" t="str" cm="1">
        <f t="array" ref="L665">_xll.FDSB($C665,"CS_EVENT_DESC_N("&amp;$AB$18&amp;",1)")</f>
        <v/>
      </c>
      <c r="M665" s="300"/>
      <c r="N665" s="274" t="str" cm="1">
        <f t="array" ref="N665">_xll.FDSB($C665,"CS_EVENT_DATEJ_N("&amp;$AA$18&amp;",2)")</f>
        <v/>
      </c>
      <c r="O665" s="282" t="str" cm="1">
        <f t="array" ref="O665">_xll.FDSB($C665,"CS_EVENT_TIME_N("&amp;$AA$18&amp;",2)")</f>
        <v/>
      </c>
      <c r="P665" s="282" t="str" cm="1">
        <f t="array" ref="P665">_xll.FDSB($C665,"CS_EVENT_DESC_N("&amp;$AA$18&amp;",2)")</f>
        <v/>
      </c>
      <c r="Q665" s="282"/>
      <c r="R665" s="274" t="str" cm="1">
        <f t="array" ref="R665">_xll.FDSB($C665,"CS_EVENT_DATEJ_N("&amp;$AA$18&amp;",3)")</f>
        <v/>
      </c>
      <c r="S665" s="282" t="str" cm="1">
        <f t="array" ref="S665">_xll.FDSB($C665,"CS_EVENT_TIME_N("&amp;$AA$18&amp;",3)")</f>
        <v/>
      </c>
      <c r="T665" s="282" t="str" cm="1">
        <f t="array" ref="T665">_xll.FDSB($C665,"CS_EVENT_DESC_N("&amp;$AA$18&amp;",3)")</f>
        <v/>
      </c>
      <c r="U665" s="282"/>
      <c r="V665" s="274" t="str" cm="1">
        <f t="array" ref="V665">_xll.FDSB($C665,"CS_EVENT_DATEJ_N("&amp;$AA$18&amp;",4)")</f>
        <v/>
      </c>
      <c r="W665" s="282" t="str" cm="1">
        <f t="array" ref="W665">_xll.FDSB($C665,"CS_EVENT_TIME_N("&amp;$AA$18&amp;",4)")</f>
        <v/>
      </c>
      <c r="X665" s="282" t="str" cm="1">
        <f t="array" ref="X665">_xll.FDSB($C665,"CS_EVENT_DESC_N("&amp;$AA$18&amp;",4)")</f>
        <v/>
      </c>
    </row>
    <row r="666" spans="2:24" x14ac:dyDescent="0.15">
      <c r="B666" s="298">
        <f t="shared" si="12"/>
        <v>651</v>
      </c>
      <c r="C666" s="299"/>
      <c r="D666" s="300" t="str" cm="1">
        <f t="array" ref="D666">_xll.FDSB($C666,"FG_COMPANY_NAME")</f>
        <v/>
      </c>
      <c r="E666" s="300"/>
      <c r="F666" s="274" t="str" cm="1">
        <f t="array" ref="F666">_xll.FDSB($C666,"CS_EVENT_DATEJ_N("&amp;$AA$18&amp;",1)")</f>
        <v/>
      </c>
      <c r="G666" s="282" t="str" cm="1">
        <f t="array" ref="G666">_xll.FDSB($C666,"CS_EVENT_TIME_N("&amp;$AA$18&amp;",1)")</f>
        <v/>
      </c>
      <c r="H666" s="282" t="str" cm="1">
        <f t="array" ref="H666">_xll.FDSB($C666,"CS_EVENT_DESC_N("&amp;$AA$18&amp;",1)")</f>
        <v/>
      </c>
      <c r="I666" s="282"/>
      <c r="J666" s="274" t="str" cm="1">
        <f t="array" ref="J666">_xll.FDSB($C666,"CS_EVENT_DATEJ_N("&amp;$AB$18&amp;",1)")</f>
        <v/>
      </c>
      <c r="K666" s="282" t="str" cm="1">
        <f t="array" ref="K666">_xll.FDSB($C666,"CS_EVENT_TIME_N("&amp;$AB$18&amp;",1)")</f>
        <v/>
      </c>
      <c r="L666" s="282" t="str" cm="1">
        <f t="array" ref="L666">_xll.FDSB($C666,"CS_EVENT_DESC_N("&amp;$AB$18&amp;",1)")</f>
        <v/>
      </c>
      <c r="M666" s="300"/>
      <c r="N666" s="274" t="str" cm="1">
        <f t="array" ref="N666">_xll.FDSB($C666,"CS_EVENT_DATEJ_N("&amp;$AA$18&amp;",2)")</f>
        <v/>
      </c>
      <c r="O666" s="282" t="str" cm="1">
        <f t="array" ref="O666">_xll.FDSB($C666,"CS_EVENT_TIME_N("&amp;$AA$18&amp;",2)")</f>
        <v/>
      </c>
      <c r="P666" s="282" t="str" cm="1">
        <f t="array" ref="P666">_xll.FDSB($C666,"CS_EVENT_DESC_N("&amp;$AA$18&amp;",2)")</f>
        <v/>
      </c>
      <c r="Q666" s="282"/>
      <c r="R666" s="274" t="str" cm="1">
        <f t="array" ref="R666">_xll.FDSB($C666,"CS_EVENT_DATEJ_N("&amp;$AA$18&amp;",3)")</f>
        <v/>
      </c>
      <c r="S666" s="282" t="str" cm="1">
        <f t="array" ref="S666">_xll.FDSB($C666,"CS_EVENT_TIME_N("&amp;$AA$18&amp;",3)")</f>
        <v/>
      </c>
      <c r="T666" s="282" t="str" cm="1">
        <f t="array" ref="T666">_xll.FDSB($C666,"CS_EVENT_DESC_N("&amp;$AA$18&amp;",3)")</f>
        <v/>
      </c>
      <c r="U666" s="282"/>
      <c r="V666" s="274" t="str" cm="1">
        <f t="array" ref="V666">_xll.FDSB($C666,"CS_EVENT_DATEJ_N("&amp;$AA$18&amp;",4)")</f>
        <v/>
      </c>
      <c r="W666" s="282" t="str" cm="1">
        <f t="array" ref="W666">_xll.FDSB($C666,"CS_EVENT_TIME_N("&amp;$AA$18&amp;",4)")</f>
        <v/>
      </c>
      <c r="X666" s="282" t="str" cm="1">
        <f t="array" ref="X666">_xll.FDSB($C666,"CS_EVENT_DESC_N("&amp;$AA$18&amp;",4)")</f>
        <v/>
      </c>
    </row>
    <row r="667" spans="2:24" x14ac:dyDescent="0.15">
      <c r="B667" s="298">
        <f t="shared" si="12"/>
        <v>652</v>
      </c>
      <c r="C667" s="299"/>
      <c r="D667" s="300" t="str" cm="1">
        <f t="array" ref="D667">_xll.FDSB($C667,"FG_COMPANY_NAME")</f>
        <v/>
      </c>
      <c r="E667" s="300"/>
      <c r="F667" s="274" t="str" cm="1">
        <f t="array" ref="F667">_xll.FDSB($C667,"CS_EVENT_DATEJ_N("&amp;$AA$18&amp;",1)")</f>
        <v/>
      </c>
      <c r="G667" s="282" t="str" cm="1">
        <f t="array" ref="G667">_xll.FDSB($C667,"CS_EVENT_TIME_N("&amp;$AA$18&amp;",1)")</f>
        <v/>
      </c>
      <c r="H667" s="282" t="str" cm="1">
        <f t="array" ref="H667">_xll.FDSB($C667,"CS_EVENT_DESC_N("&amp;$AA$18&amp;",1)")</f>
        <v/>
      </c>
      <c r="I667" s="282"/>
      <c r="J667" s="274" t="str" cm="1">
        <f t="array" ref="J667">_xll.FDSB($C667,"CS_EVENT_DATEJ_N("&amp;$AB$18&amp;",1)")</f>
        <v/>
      </c>
      <c r="K667" s="282" t="str" cm="1">
        <f t="array" ref="K667">_xll.FDSB($C667,"CS_EVENT_TIME_N("&amp;$AB$18&amp;",1)")</f>
        <v/>
      </c>
      <c r="L667" s="282" t="str" cm="1">
        <f t="array" ref="L667">_xll.FDSB($C667,"CS_EVENT_DESC_N("&amp;$AB$18&amp;",1)")</f>
        <v/>
      </c>
      <c r="M667" s="300"/>
      <c r="N667" s="274" t="str" cm="1">
        <f t="array" ref="N667">_xll.FDSB($C667,"CS_EVENT_DATEJ_N("&amp;$AA$18&amp;",2)")</f>
        <v/>
      </c>
      <c r="O667" s="282" t="str" cm="1">
        <f t="array" ref="O667">_xll.FDSB($C667,"CS_EVENT_TIME_N("&amp;$AA$18&amp;",2)")</f>
        <v/>
      </c>
      <c r="P667" s="282" t="str" cm="1">
        <f t="array" ref="P667">_xll.FDSB($C667,"CS_EVENT_DESC_N("&amp;$AA$18&amp;",2)")</f>
        <v/>
      </c>
      <c r="Q667" s="282"/>
      <c r="R667" s="274" t="str" cm="1">
        <f t="array" ref="R667">_xll.FDSB($C667,"CS_EVENT_DATEJ_N("&amp;$AA$18&amp;",3)")</f>
        <v/>
      </c>
      <c r="S667" s="282" t="str" cm="1">
        <f t="array" ref="S667">_xll.FDSB($C667,"CS_EVENT_TIME_N("&amp;$AA$18&amp;",3)")</f>
        <v/>
      </c>
      <c r="T667" s="282" t="str" cm="1">
        <f t="array" ref="T667">_xll.FDSB($C667,"CS_EVENT_DESC_N("&amp;$AA$18&amp;",3)")</f>
        <v/>
      </c>
      <c r="U667" s="282"/>
      <c r="V667" s="274" t="str" cm="1">
        <f t="array" ref="V667">_xll.FDSB($C667,"CS_EVENT_DATEJ_N("&amp;$AA$18&amp;",4)")</f>
        <v/>
      </c>
      <c r="W667" s="282" t="str" cm="1">
        <f t="array" ref="W667">_xll.FDSB($C667,"CS_EVENT_TIME_N("&amp;$AA$18&amp;",4)")</f>
        <v/>
      </c>
      <c r="X667" s="282" t="str" cm="1">
        <f t="array" ref="X667">_xll.FDSB($C667,"CS_EVENT_DESC_N("&amp;$AA$18&amp;",4)")</f>
        <v/>
      </c>
    </row>
    <row r="668" spans="2:24" x14ac:dyDescent="0.15">
      <c r="B668" s="298">
        <f t="shared" si="12"/>
        <v>653</v>
      </c>
      <c r="C668" s="299"/>
      <c r="D668" s="300" t="str" cm="1">
        <f t="array" ref="D668">_xll.FDSB($C668,"FG_COMPANY_NAME")</f>
        <v/>
      </c>
      <c r="E668" s="300"/>
      <c r="F668" s="274" t="str" cm="1">
        <f t="array" ref="F668">_xll.FDSB($C668,"CS_EVENT_DATEJ_N("&amp;$AA$18&amp;",1)")</f>
        <v/>
      </c>
      <c r="G668" s="282" t="str" cm="1">
        <f t="array" ref="G668">_xll.FDSB($C668,"CS_EVENT_TIME_N("&amp;$AA$18&amp;",1)")</f>
        <v/>
      </c>
      <c r="H668" s="282" t="str" cm="1">
        <f t="array" ref="H668">_xll.FDSB($C668,"CS_EVENT_DESC_N("&amp;$AA$18&amp;",1)")</f>
        <v/>
      </c>
      <c r="I668" s="282"/>
      <c r="J668" s="274" t="str" cm="1">
        <f t="array" ref="J668">_xll.FDSB($C668,"CS_EVENT_DATEJ_N("&amp;$AB$18&amp;",1)")</f>
        <v/>
      </c>
      <c r="K668" s="282" t="str" cm="1">
        <f t="array" ref="K668">_xll.FDSB($C668,"CS_EVENT_TIME_N("&amp;$AB$18&amp;",1)")</f>
        <v/>
      </c>
      <c r="L668" s="282" t="str" cm="1">
        <f t="array" ref="L668">_xll.FDSB($C668,"CS_EVENT_DESC_N("&amp;$AB$18&amp;",1)")</f>
        <v/>
      </c>
      <c r="M668" s="300"/>
      <c r="N668" s="274" t="str" cm="1">
        <f t="array" ref="N668">_xll.FDSB($C668,"CS_EVENT_DATEJ_N("&amp;$AA$18&amp;",2)")</f>
        <v/>
      </c>
      <c r="O668" s="282" t="str" cm="1">
        <f t="array" ref="O668">_xll.FDSB($C668,"CS_EVENT_TIME_N("&amp;$AA$18&amp;",2)")</f>
        <v/>
      </c>
      <c r="P668" s="282" t="str" cm="1">
        <f t="array" ref="P668">_xll.FDSB($C668,"CS_EVENT_DESC_N("&amp;$AA$18&amp;",2)")</f>
        <v/>
      </c>
      <c r="Q668" s="282"/>
      <c r="R668" s="274" t="str" cm="1">
        <f t="array" ref="R668">_xll.FDSB($C668,"CS_EVENT_DATEJ_N("&amp;$AA$18&amp;",3)")</f>
        <v/>
      </c>
      <c r="S668" s="282" t="str" cm="1">
        <f t="array" ref="S668">_xll.FDSB($C668,"CS_EVENT_TIME_N("&amp;$AA$18&amp;",3)")</f>
        <v/>
      </c>
      <c r="T668" s="282" t="str" cm="1">
        <f t="array" ref="T668">_xll.FDSB($C668,"CS_EVENT_DESC_N("&amp;$AA$18&amp;",3)")</f>
        <v/>
      </c>
      <c r="U668" s="282"/>
      <c r="V668" s="274" t="str" cm="1">
        <f t="array" ref="V668">_xll.FDSB($C668,"CS_EVENT_DATEJ_N("&amp;$AA$18&amp;",4)")</f>
        <v/>
      </c>
      <c r="W668" s="282" t="str" cm="1">
        <f t="array" ref="W668">_xll.FDSB($C668,"CS_EVENT_TIME_N("&amp;$AA$18&amp;",4)")</f>
        <v/>
      </c>
      <c r="X668" s="282" t="str" cm="1">
        <f t="array" ref="X668">_xll.FDSB($C668,"CS_EVENT_DESC_N("&amp;$AA$18&amp;",4)")</f>
        <v/>
      </c>
    </row>
    <row r="669" spans="2:24" x14ac:dyDescent="0.15">
      <c r="B669" s="298">
        <f t="shared" si="12"/>
        <v>654</v>
      </c>
      <c r="C669" s="299"/>
      <c r="D669" s="300" t="str" cm="1">
        <f t="array" ref="D669">_xll.FDSB($C669,"FG_COMPANY_NAME")</f>
        <v/>
      </c>
      <c r="E669" s="300"/>
      <c r="F669" s="274" t="str" cm="1">
        <f t="array" ref="F669">_xll.FDSB($C669,"CS_EVENT_DATEJ_N("&amp;$AA$18&amp;",1)")</f>
        <v/>
      </c>
      <c r="G669" s="282" t="str" cm="1">
        <f t="array" ref="G669">_xll.FDSB($C669,"CS_EVENT_TIME_N("&amp;$AA$18&amp;",1)")</f>
        <v/>
      </c>
      <c r="H669" s="282" t="str" cm="1">
        <f t="array" ref="H669">_xll.FDSB($C669,"CS_EVENT_DESC_N("&amp;$AA$18&amp;",1)")</f>
        <v/>
      </c>
      <c r="I669" s="282"/>
      <c r="J669" s="274" t="str" cm="1">
        <f t="array" ref="J669">_xll.FDSB($C669,"CS_EVENT_DATEJ_N("&amp;$AB$18&amp;",1)")</f>
        <v/>
      </c>
      <c r="K669" s="282" t="str" cm="1">
        <f t="array" ref="K669">_xll.FDSB($C669,"CS_EVENT_TIME_N("&amp;$AB$18&amp;",1)")</f>
        <v/>
      </c>
      <c r="L669" s="282" t="str" cm="1">
        <f t="array" ref="L669">_xll.FDSB($C669,"CS_EVENT_DESC_N("&amp;$AB$18&amp;",1)")</f>
        <v/>
      </c>
      <c r="M669" s="300"/>
      <c r="N669" s="274" t="str" cm="1">
        <f t="array" ref="N669">_xll.FDSB($C669,"CS_EVENT_DATEJ_N("&amp;$AA$18&amp;",2)")</f>
        <v/>
      </c>
      <c r="O669" s="282" t="str" cm="1">
        <f t="array" ref="O669">_xll.FDSB($C669,"CS_EVENT_TIME_N("&amp;$AA$18&amp;",2)")</f>
        <v/>
      </c>
      <c r="P669" s="282" t="str" cm="1">
        <f t="array" ref="P669">_xll.FDSB($C669,"CS_EVENT_DESC_N("&amp;$AA$18&amp;",2)")</f>
        <v/>
      </c>
      <c r="Q669" s="282"/>
      <c r="R669" s="274" t="str" cm="1">
        <f t="array" ref="R669">_xll.FDSB($C669,"CS_EVENT_DATEJ_N("&amp;$AA$18&amp;",3)")</f>
        <v/>
      </c>
      <c r="S669" s="282" t="str" cm="1">
        <f t="array" ref="S669">_xll.FDSB($C669,"CS_EVENT_TIME_N("&amp;$AA$18&amp;",3)")</f>
        <v/>
      </c>
      <c r="T669" s="282" t="str" cm="1">
        <f t="array" ref="T669">_xll.FDSB($C669,"CS_EVENT_DESC_N("&amp;$AA$18&amp;",3)")</f>
        <v/>
      </c>
      <c r="U669" s="282"/>
      <c r="V669" s="274" t="str" cm="1">
        <f t="array" ref="V669">_xll.FDSB($C669,"CS_EVENT_DATEJ_N("&amp;$AA$18&amp;",4)")</f>
        <v/>
      </c>
      <c r="W669" s="282" t="str" cm="1">
        <f t="array" ref="W669">_xll.FDSB($C669,"CS_EVENT_TIME_N("&amp;$AA$18&amp;",4)")</f>
        <v/>
      </c>
      <c r="X669" s="282" t="str" cm="1">
        <f t="array" ref="X669">_xll.FDSB($C669,"CS_EVENT_DESC_N("&amp;$AA$18&amp;",4)")</f>
        <v/>
      </c>
    </row>
    <row r="670" spans="2:24" x14ac:dyDescent="0.15">
      <c r="B670" s="298">
        <f t="shared" si="12"/>
        <v>655</v>
      </c>
      <c r="C670" s="299"/>
      <c r="D670" s="300" t="str" cm="1">
        <f t="array" ref="D670">_xll.FDSB($C670,"FG_COMPANY_NAME")</f>
        <v/>
      </c>
      <c r="E670" s="300"/>
      <c r="F670" s="274" t="str" cm="1">
        <f t="array" ref="F670">_xll.FDSB($C670,"CS_EVENT_DATEJ_N("&amp;$AA$18&amp;",1)")</f>
        <v/>
      </c>
      <c r="G670" s="282" t="str" cm="1">
        <f t="array" ref="G670">_xll.FDSB($C670,"CS_EVENT_TIME_N("&amp;$AA$18&amp;",1)")</f>
        <v/>
      </c>
      <c r="H670" s="282" t="str" cm="1">
        <f t="array" ref="H670">_xll.FDSB($C670,"CS_EVENT_DESC_N("&amp;$AA$18&amp;",1)")</f>
        <v/>
      </c>
      <c r="I670" s="282"/>
      <c r="J670" s="274" t="str" cm="1">
        <f t="array" ref="J670">_xll.FDSB($C670,"CS_EVENT_DATEJ_N("&amp;$AB$18&amp;",1)")</f>
        <v/>
      </c>
      <c r="K670" s="282" t="str" cm="1">
        <f t="array" ref="K670">_xll.FDSB($C670,"CS_EVENT_TIME_N("&amp;$AB$18&amp;",1)")</f>
        <v/>
      </c>
      <c r="L670" s="282" t="str" cm="1">
        <f t="array" ref="L670">_xll.FDSB($C670,"CS_EVENT_DESC_N("&amp;$AB$18&amp;",1)")</f>
        <v/>
      </c>
      <c r="M670" s="300"/>
      <c r="N670" s="274" t="str" cm="1">
        <f t="array" ref="N670">_xll.FDSB($C670,"CS_EVENT_DATEJ_N("&amp;$AA$18&amp;",2)")</f>
        <v/>
      </c>
      <c r="O670" s="282" t="str" cm="1">
        <f t="array" ref="O670">_xll.FDSB($C670,"CS_EVENT_TIME_N("&amp;$AA$18&amp;",2)")</f>
        <v/>
      </c>
      <c r="P670" s="282" t="str" cm="1">
        <f t="array" ref="P670">_xll.FDSB($C670,"CS_EVENT_DESC_N("&amp;$AA$18&amp;",2)")</f>
        <v/>
      </c>
      <c r="Q670" s="282"/>
      <c r="R670" s="274" t="str" cm="1">
        <f t="array" ref="R670">_xll.FDSB($C670,"CS_EVENT_DATEJ_N("&amp;$AA$18&amp;",3)")</f>
        <v/>
      </c>
      <c r="S670" s="282" t="str" cm="1">
        <f t="array" ref="S670">_xll.FDSB($C670,"CS_EVENT_TIME_N("&amp;$AA$18&amp;",3)")</f>
        <v/>
      </c>
      <c r="T670" s="282" t="str" cm="1">
        <f t="array" ref="T670">_xll.FDSB($C670,"CS_EVENT_DESC_N("&amp;$AA$18&amp;",3)")</f>
        <v/>
      </c>
      <c r="U670" s="282"/>
      <c r="V670" s="274" t="str" cm="1">
        <f t="array" ref="V670">_xll.FDSB($C670,"CS_EVENT_DATEJ_N("&amp;$AA$18&amp;",4)")</f>
        <v/>
      </c>
      <c r="W670" s="282" t="str" cm="1">
        <f t="array" ref="W670">_xll.FDSB($C670,"CS_EVENT_TIME_N("&amp;$AA$18&amp;",4)")</f>
        <v/>
      </c>
      <c r="X670" s="282" t="str" cm="1">
        <f t="array" ref="X670">_xll.FDSB($C670,"CS_EVENT_DESC_N("&amp;$AA$18&amp;",4)")</f>
        <v/>
      </c>
    </row>
    <row r="671" spans="2:24" x14ac:dyDescent="0.15">
      <c r="B671" s="298">
        <f t="shared" si="12"/>
        <v>656</v>
      </c>
      <c r="C671" s="299"/>
      <c r="D671" s="300" t="str" cm="1">
        <f t="array" ref="D671">_xll.FDSB($C671,"FG_COMPANY_NAME")</f>
        <v/>
      </c>
      <c r="E671" s="300"/>
      <c r="F671" s="274" t="str" cm="1">
        <f t="array" ref="F671">_xll.FDSB($C671,"CS_EVENT_DATEJ_N("&amp;$AA$18&amp;",1)")</f>
        <v/>
      </c>
      <c r="G671" s="282" t="str" cm="1">
        <f t="array" ref="G671">_xll.FDSB($C671,"CS_EVENT_TIME_N("&amp;$AA$18&amp;",1)")</f>
        <v/>
      </c>
      <c r="H671" s="282" t="str" cm="1">
        <f t="array" ref="H671">_xll.FDSB($C671,"CS_EVENT_DESC_N("&amp;$AA$18&amp;",1)")</f>
        <v/>
      </c>
      <c r="I671" s="282"/>
      <c r="J671" s="274" t="str" cm="1">
        <f t="array" ref="J671">_xll.FDSB($C671,"CS_EVENT_DATEJ_N("&amp;$AB$18&amp;",1)")</f>
        <v/>
      </c>
      <c r="K671" s="282" t="str" cm="1">
        <f t="array" ref="K671">_xll.FDSB($C671,"CS_EVENT_TIME_N("&amp;$AB$18&amp;",1)")</f>
        <v/>
      </c>
      <c r="L671" s="282" t="str" cm="1">
        <f t="array" ref="L671">_xll.FDSB($C671,"CS_EVENT_DESC_N("&amp;$AB$18&amp;",1)")</f>
        <v/>
      </c>
      <c r="M671" s="300"/>
      <c r="N671" s="274" t="str" cm="1">
        <f t="array" ref="N671">_xll.FDSB($C671,"CS_EVENT_DATEJ_N("&amp;$AA$18&amp;",2)")</f>
        <v/>
      </c>
      <c r="O671" s="282" t="str" cm="1">
        <f t="array" ref="O671">_xll.FDSB($C671,"CS_EVENT_TIME_N("&amp;$AA$18&amp;",2)")</f>
        <v/>
      </c>
      <c r="P671" s="282" t="str" cm="1">
        <f t="array" ref="P671">_xll.FDSB($C671,"CS_EVENT_DESC_N("&amp;$AA$18&amp;",2)")</f>
        <v/>
      </c>
      <c r="Q671" s="282"/>
      <c r="R671" s="274" t="str" cm="1">
        <f t="array" ref="R671">_xll.FDSB($C671,"CS_EVENT_DATEJ_N("&amp;$AA$18&amp;",3)")</f>
        <v/>
      </c>
      <c r="S671" s="282" t="str" cm="1">
        <f t="array" ref="S671">_xll.FDSB($C671,"CS_EVENT_TIME_N("&amp;$AA$18&amp;",3)")</f>
        <v/>
      </c>
      <c r="T671" s="282" t="str" cm="1">
        <f t="array" ref="T671">_xll.FDSB($C671,"CS_EVENT_DESC_N("&amp;$AA$18&amp;",3)")</f>
        <v/>
      </c>
      <c r="U671" s="282"/>
      <c r="V671" s="274" t="str" cm="1">
        <f t="array" ref="V671">_xll.FDSB($C671,"CS_EVENT_DATEJ_N("&amp;$AA$18&amp;",4)")</f>
        <v/>
      </c>
      <c r="W671" s="282" t="str" cm="1">
        <f t="array" ref="W671">_xll.FDSB($C671,"CS_EVENT_TIME_N("&amp;$AA$18&amp;",4)")</f>
        <v/>
      </c>
      <c r="X671" s="282" t="str" cm="1">
        <f t="array" ref="X671">_xll.FDSB($C671,"CS_EVENT_DESC_N("&amp;$AA$18&amp;",4)")</f>
        <v/>
      </c>
    </row>
    <row r="672" spans="2:24" x14ac:dyDescent="0.15">
      <c r="B672" s="298">
        <f t="shared" si="12"/>
        <v>657</v>
      </c>
      <c r="C672" s="299"/>
      <c r="D672" s="300" t="str" cm="1">
        <f t="array" ref="D672">_xll.FDSB($C672,"FG_COMPANY_NAME")</f>
        <v/>
      </c>
      <c r="E672" s="300"/>
      <c r="F672" s="274" t="str" cm="1">
        <f t="array" ref="F672">_xll.FDSB($C672,"CS_EVENT_DATEJ_N("&amp;$AA$18&amp;",1)")</f>
        <v/>
      </c>
      <c r="G672" s="282" t="str" cm="1">
        <f t="array" ref="G672">_xll.FDSB($C672,"CS_EVENT_TIME_N("&amp;$AA$18&amp;",1)")</f>
        <v/>
      </c>
      <c r="H672" s="282" t="str" cm="1">
        <f t="array" ref="H672">_xll.FDSB($C672,"CS_EVENT_DESC_N("&amp;$AA$18&amp;",1)")</f>
        <v/>
      </c>
      <c r="I672" s="282"/>
      <c r="J672" s="274" t="str" cm="1">
        <f t="array" ref="J672">_xll.FDSB($C672,"CS_EVENT_DATEJ_N("&amp;$AB$18&amp;",1)")</f>
        <v/>
      </c>
      <c r="K672" s="282" t="str" cm="1">
        <f t="array" ref="K672">_xll.FDSB($C672,"CS_EVENT_TIME_N("&amp;$AB$18&amp;",1)")</f>
        <v/>
      </c>
      <c r="L672" s="282" t="str" cm="1">
        <f t="array" ref="L672">_xll.FDSB($C672,"CS_EVENT_DESC_N("&amp;$AB$18&amp;",1)")</f>
        <v/>
      </c>
      <c r="M672" s="300"/>
      <c r="N672" s="274" t="str" cm="1">
        <f t="array" ref="N672">_xll.FDSB($C672,"CS_EVENT_DATEJ_N("&amp;$AA$18&amp;",2)")</f>
        <v/>
      </c>
      <c r="O672" s="282" t="str" cm="1">
        <f t="array" ref="O672">_xll.FDSB($C672,"CS_EVENT_TIME_N("&amp;$AA$18&amp;",2)")</f>
        <v/>
      </c>
      <c r="P672" s="282" t="str" cm="1">
        <f t="array" ref="P672">_xll.FDSB($C672,"CS_EVENT_DESC_N("&amp;$AA$18&amp;",2)")</f>
        <v/>
      </c>
      <c r="Q672" s="282"/>
      <c r="R672" s="274" t="str" cm="1">
        <f t="array" ref="R672">_xll.FDSB($C672,"CS_EVENT_DATEJ_N("&amp;$AA$18&amp;",3)")</f>
        <v/>
      </c>
      <c r="S672" s="282" t="str" cm="1">
        <f t="array" ref="S672">_xll.FDSB($C672,"CS_EVENT_TIME_N("&amp;$AA$18&amp;",3)")</f>
        <v/>
      </c>
      <c r="T672" s="282" t="str" cm="1">
        <f t="array" ref="T672">_xll.FDSB($C672,"CS_EVENT_DESC_N("&amp;$AA$18&amp;",3)")</f>
        <v/>
      </c>
      <c r="U672" s="282"/>
      <c r="V672" s="274" t="str" cm="1">
        <f t="array" ref="V672">_xll.FDSB($C672,"CS_EVENT_DATEJ_N("&amp;$AA$18&amp;",4)")</f>
        <v/>
      </c>
      <c r="W672" s="282" t="str" cm="1">
        <f t="array" ref="W672">_xll.FDSB($C672,"CS_EVENT_TIME_N("&amp;$AA$18&amp;",4)")</f>
        <v/>
      </c>
      <c r="X672" s="282" t="str" cm="1">
        <f t="array" ref="X672">_xll.FDSB($C672,"CS_EVENT_DESC_N("&amp;$AA$18&amp;",4)")</f>
        <v/>
      </c>
    </row>
    <row r="673" spans="2:24" x14ac:dyDescent="0.15">
      <c r="B673" s="298">
        <f t="shared" si="12"/>
        <v>658</v>
      </c>
      <c r="C673" s="299"/>
      <c r="D673" s="300" t="str" cm="1">
        <f t="array" ref="D673">_xll.FDSB($C673,"FG_COMPANY_NAME")</f>
        <v/>
      </c>
      <c r="E673" s="300"/>
      <c r="F673" s="274" t="str" cm="1">
        <f t="array" ref="F673">_xll.FDSB($C673,"CS_EVENT_DATEJ_N("&amp;$AA$18&amp;",1)")</f>
        <v/>
      </c>
      <c r="G673" s="282" t="str" cm="1">
        <f t="array" ref="G673">_xll.FDSB($C673,"CS_EVENT_TIME_N("&amp;$AA$18&amp;",1)")</f>
        <v/>
      </c>
      <c r="H673" s="282" t="str" cm="1">
        <f t="array" ref="H673">_xll.FDSB($C673,"CS_EVENT_DESC_N("&amp;$AA$18&amp;",1)")</f>
        <v/>
      </c>
      <c r="I673" s="282"/>
      <c r="J673" s="274" t="str" cm="1">
        <f t="array" ref="J673">_xll.FDSB($C673,"CS_EVENT_DATEJ_N("&amp;$AB$18&amp;",1)")</f>
        <v/>
      </c>
      <c r="K673" s="282" t="str" cm="1">
        <f t="array" ref="K673">_xll.FDSB($C673,"CS_EVENT_TIME_N("&amp;$AB$18&amp;",1)")</f>
        <v/>
      </c>
      <c r="L673" s="282" t="str" cm="1">
        <f t="array" ref="L673">_xll.FDSB($C673,"CS_EVENT_DESC_N("&amp;$AB$18&amp;",1)")</f>
        <v/>
      </c>
      <c r="M673" s="300"/>
      <c r="N673" s="274" t="str" cm="1">
        <f t="array" ref="N673">_xll.FDSB($C673,"CS_EVENT_DATEJ_N("&amp;$AA$18&amp;",2)")</f>
        <v/>
      </c>
      <c r="O673" s="282" t="str" cm="1">
        <f t="array" ref="O673">_xll.FDSB($C673,"CS_EVENT_TIME_N("&amp;$AA$18&amp;",2)")</f>
        <v/>
      </c>
      <c r="P673" s="282" t="str" cm="1">
        <f t="array" ref="P673">_xll.FDSB($C673,"CS_EVENT_DESC_N("&amp;$AA$18&amp;",2)")</f>
        <v/>
      </c>
      <c r="Q673" s="282"/>
      <c r="R673" s="274" t="str" cm="1">
        <f t="array" ref="R673">_xll.FDSB($C673,"CS_EVENT_DATEJ_N("&amp;$AA$18&amp;",3)")</f>
        <v/>
      </c>
      <c r="S673" s="282" t="str" cm="1">
        <f t="array" ref="S673">_xll.FDSB($C673,"CS_EVENT_TIME_N("&amp;$AA$18&amp;",3)")</f>
        <v/>
      </c>
      <c r="T673" s="282" t="str" cm="1">
        <f t="array" ref="T673">_xll.FDSB($C673,"CS_EVENT_DESC_N("&amp;$AA$18&amp;",3)")</f>
        <v/>
      </c>
      <c r="U673" s="282"/>
      <c r="V673" s="274" t="str" cm="1">
        <f t="array" ref="V673">_xll.FDSB($C673,"CS_EVENT_DATEJ_N("&amp;$AA$18&amp;",4)")</f>
        <v/>
      </c>
      <c r="W673" s="282" t="str" cm="1">
        <f t="array" ref="W673">_xll.FDSB($C673,"CS_EVENT_TIME_N("&amp;$AA$18&amp;",4)")</f>
        <v/>
      </c>
      <c r="X673" s="282" t="str" cm="1">
        <f t="array" ref="X673">_xll.FDSB($C673,"CS_EVENT_DESC_N("&amp;$AA$18&amp;",4)")</f>
        <v/>
      </c>
    </row>
    <row r="674" spans="2:24" x14ac:dyDescent="0.15">
      <c r="B674" s="298">
        <f t="shared" si="12"/>
        <v>659</v>
      </c>
      <c r="C674" s="299"/>
      <c r="D674" s="300" t="str" cm="1">
        <f t="array" ref="D674">_xll.FDSB($C674,"FG_COMPANY_NAME")</f>
        <v/>
      </c>
      <c r="E674" s="300"/>
      <c r="F674" s="274" t="str" cm="1">
        <f t="array" ref="F674">_xll.FDSB($C674,"CS_EVENT_DATEJ_N("&amp;$AA$18&amp;",1)")</f>
        <v/>
      </c>
      <c r="G674" s="282" t="str" cm="1">
        <f t="array" ref="G674">_xll.FDSB($C674,"CS_EVENT_TIME_N("&amp;$AA$18&amp;",1)")</f>
        <v/>
      </c>
      <c r="H674" s="282" t="str" cm="1">
        <f t="array" ref="H674">_xll.FDSB($C674,"CS_EVENT_DESC_N("&amp;$AA$18&amp;",1)")</f>
        <v/>
      </c>
      <c r="I674" s="282"/>
      <c r="J674" s="274" t="str" cm="1">
        <f t="array" ref="J674">_xll.FDSB($C674,"CS_EVENT_DATEJ_N("&amp;$AB$18&amp;",1)")</f>
        <v/>
      </c>
      <c r="K674" s="282" t="str" cm="1">
        <f t="array" ref="K674">_xll.FDSB($C674,"CS_EVENT_TIME_N("&amp;$AB$18&amp;",1)")</f>
        <v/>
      </c>
      <c r="L674" s="282" t="str" cm="1">
        <f t="array" ref="L674">_xll.FDSB($C674,"CS_EVENT_DESC_N("&amp;$AB$18&amp;",1)")</f>
        <v/>
      </c>
      <c r="M674" s="300"/>
      <c r="N674" s="274" t="str" cm="1">
        <f t="array" ref="N674">_xll.FDSB($C674,"CS_EVENT_DATEJ_N("&amp;$AA$18&amp;",2)")</f>
        <v/>
      </c>
      <c r="O674" s="282" t="str" cm="1">
        <f t="array" ref="O674">_xll.FDSB($C674,"CS_EVENT_TIME_N("&amp;$AA$18&amp;",2)")</f>
        <v/>
      </c>
      <c r="P674" s="282" t="str" cm="1">
        <f t="array" ref="P674">_xll.FDSB($C674,"CS_EVENT_DESC_N("&amp;$AA$18&amp;",2)")</f>
        <v/>
      </c>
      <c r="Q674" s="282"/>
      <c r="R674" s="274" t="str" cm="1">
        <f t="array" ref="R674">_xll.FDSB($C674,"CS_EVENT_DATEJ_N("&amp;$AA$18&amp;",3)")</f>
        <v/>
      </c>
      <c r="S674" s="282" t="str" cm="1">
        <f t="array" ref="S674">_xll.FDSB($C674,"CS_EVENT_TIME_N("&amp;$AA$18&amp;",3)")</f>
        <v/>
      </c>
      <c r="T674" s="282" t="str" cm="1">
        <f t="array" ref="T674">_xll.FDSB($C674,"CS_EVENT_DESC_N("&amp;$AA$18&amp;",3)")</f>
        <v/>
      </c>
      <c r="U674" s="282"/>
      <c r="V674" s="274" t="str" cm="1">
        <f t="array" ref="V674">_xll.FDSB($C674,"CS_EVENT_DATEJ_N("&amp;$AA$18&amp;",4)")</f>
        <v/>
      </c>
      <c r="W674" s="282" t="str" cm="1">
        <f t="array" ref="W674">_xll.FDSB($C674,"CS_EVENT_TIME_N("&amp;$AA$18&amp;",4)")</f>
        <v/>
      </c>
      <c r="X674" s="282" t="str" cm="1">
        <f t="array" ref="X674">_xll.FDSB($C674,"CS_EVENT_DESC_N("&amp;$AA$18&amp;",4)")</f>
        <v/>
      </c>
    </row>
    <row r="675" spans="2:24" x14ac:dyDescent="0.15">
      <c r="B675" s="298">
        <f t="shared" si="12"/>
        <v>660</v>
      </c>
      <c r="C675" s="299"/>
      <c r="D675" s="300" t="str" cm="1">
        <f t="array" ref="D675">_xll.FDSB($C675,"FG_COMPANY_NAME")</f>
        <v/>
      </c>
      <c r="E675" s="300"/>
      <c r="F675" s="274" t="str" cm="1">
        <f t="array" ref="F675">_xll.FDSB($C675,"CS_EVENT_DATEJ_N("&amp;$AA$18&amp;",1)")</f>
        <v/>
      </c>
      <c r="G675" s="282" t="str" cm="1">
        <f t="array" ref="G675">_xll.FDSB($C675,"CS_EVENT_TIME_N("&amp;$AA$18&amp;",1)")</f>
        <v/>
      </c>
      <c r="H675" s="282" t="str" cm="1">
        <f t="array" ref="H675">_xll.FDSB($C675,"CS_EVENT_DESC_N("&amp;$AA$18&amp;",1)")</f>
        <v/>
      </c>
      <c r="I675" s="282"/>
      <c r="J675" s="274" t="str" cm="1">
        <f t="array" ref="J675">_xll.FDSB($C675,"CS_EVENT_DATEJ_N("&amp;$AB$18&amp;",1)")</f>
        <v/>
      </c>
      <c r="K675" s="282" t="str" cm="1">
        <f t="array" ref="K675">_xll.FDSB($C675,"CS_EVENT_TIME_N("&amp;$AB$18&amp;",1)")</f>
        <v/>
      </c>
      <c r="L675" s="282" t="str" cm="1">
        <f t="array" ref="L675">_xll.FDSB($C675,"CS_EVENT_DESC_N("&amp;$AB$18&amp;",1)")</f>
        <v/>
      </c>
      <c r="M675" s="300"/>
      <c r="N675" s="274" t="str" cm="1">
        <f t="array" ref="N675">_xll.FDSB($C675,"CS_EVENT_DATEJ_N("&amp;$AA$18&amp;",2)")</f>
        <v/>
      </c>
      <c r="O675" s="282" t="str" cm="1">
        <f t="array" ref="O675">_xll.FDSB($C675,"CS_EVENT_TIME_N("&amp;$AA$18&amp;",2)")</f>
        <v/>
      </c>
      <c r="P675" s="282" t="str" cm="1">
        <f t="array" ref="P675">_xll.FDSB($C675,"CS_EVENT_DESC_N("&amp;$AA$18&amp;",2)")</f>
        <v/>
      </c>
      <c r="Q675" s="282"/>
      <c r="R675" s="274" t="str" cm="1">
        <f t="array" ref="R675">_xll.FDSB($C675,"CS_EVENT_DATEJ_N("&amp;$AA$18&amp;",3)")</f>
        <v/>
      </c>
      <c r="S675" s="282" t="str" cm="1">
        <f t="array" ref="S675">_xll.FDSB($C675,"CS_EVENT_TIME_N("&amp;$AA$18&amp;",3)")</f>
        <v/>
      </c>
      <c r="T675" s="282" t="str" cm="1">
        <f t="array" ref="T675">_xll.FDSB($C675,"CS_EVENT_DESC_N("&amp;$AA$18&amp;",3)")</f>
        <v/>
      </c>
      <c r="U675" s="282"/>
      <c r="V675" s="274" t="str" cm="1">
        <f t="array" ref="V675">_xll.FDSB($C675,"CS_EVENT_DATEJ_N("&amp;$AA$18&amp;",4)")</f>
        <v/>
      </c>
      <c r="W675" s="282" t="str" cm="1">
        <f t="array" ref="W675">_xll.FDSB($C675,"CS_EVENT_TIME_N("&amp;$AA$18&amp;",4)")</f>
        <v/>
      </c>
      <c r="X675" s="282" t="str" cm="1">
        <f t="array" ref="X675">_xll.FDSB($C675,"CS_EVENT_DESC_N("&amp;$AA$18&amp;",4)")</f>
        <v/>
      </c>
    </row>
    <row r="676" spans="2:24" x14ac:dyDescent="0.15">
      <c r="B676" s="298">
        <f t="shared" si="12"/>
        <v>661</v>
      </c>
      <c r="C676" s="299"/>
      <c r="D676" s="300" t="str" cm="1">
        <f t="array" ref="D676">_xll.FDSB($C676,"FG_COMPANY_NAME")</f>
        <v/>
      </c>
      <c r="E676" s="300"/>
      <c r="F676" s="274" t="str" cm="1">
        <f t="array" ref="F676">_xll.FDSB($C676,"CS_EVENT_DATEJ_N("&amp;$AA$18&amp;",1)")</f>
        <v/>
      </c>
      <c r="G676" s="282" t="str" cm="1">
        <f t="array" ref="G676">_xll.FDSB($C676,"CS_EVENT_TIME_N("&amp;$AA$18&amp;",1)")</f>
        <v/>
      </c>
      <c r="H676" s="282" t="str" cm="1">
        <f t="array" ref="H676">_xll.FDSB($C676,"CS_EVENT_DESC_N("&amp;$AA$18&amp;",1)")</f>
        <v/>
      </c>
      <c r="I676" s="282"/>
      <c r="J676" s="274" t="str" cm="1">
        <f t="array" ref="J676">_xll.FDSB($C676,"CS_EVENT_DATEJ_N("&amp;$AB$18&amp;",1)")</f>
        <v/>
      </c>
      <c r="K676" s="282" t="str" cm="1">
        <f t="array" ref="K676">_xll.FDSB($C676,"CS_EVENT_TIME_N("&amp;$AB$18&amp;",1)")</f>
        <v/>
      </c>
      <c r="L676" s="282" t="str" cm="1">
        <f t="array" ref="L676">_xll.FDSB($C676,"CS_EVENT_DESC_N("&amp;$AB$18&amp;",1)")</f>
        <v/>
      </c>
      <c r="M676" s="300"/>
      <c r="N676" s="274" t="str" cm="1">
        <f t="array" ref="N676">_xll.FDSB($C676,"CS_EVENT_DATEJ_N("&amp;$AA$18&amp;",2)")</f>
        <v/>
      </c>
      <c r="O676" s="282" t="str" cm="1">
        <f t="array" ref="O676">_xll.FDSB($C676,"CS_EVENT_TIME_N("&amp;$AA$18&amp;",2)")</f>
        <v/>
      </c>
      <c r="P676" s="282" t="str" cm="1">
        <f t="array" ref="P676">_xll.FDSB($C676,"CS_EVENT_DESC_N("&amp;$AA$18&amp;",2)")</f>
        <v/>
      </c>
      <c r="Q676" s="282"/>
      <c r="R676" s="274" t="str" cm="1">
        <f t="array" ref="R676">_xll.FDSB($C676,"CS_EVENT_DATEJ_N("&amp;$AA$18&amp;",3)")</f>
        <v/>
      </c>
      <c r="S676" s="282" t="str" cm="1">
        <f t="array" ref="S676">_xll.FDSB($C676,"CS_EVENT_TIME_N("&amp;$AA$18&amp;",3)")</f>
        <v/>
      </c>
      <c r="T676" s="282" t="str" cm="1">
        <f t="array" ref="T676">_xll.FDSB($C676,"CS_EVENT_DESC_N("&amp;$AA$18&amp;",3)")</f>
        <v/>
      </c>
      <c r="U676" s="282"/>
      <c r="V676" s="274" t="str" cm="1">
        <f t="array" ref="V676">_xll.FDSB($C676,"CS_EVENT_DATEJ_N("&amp;$AA$18&amp;",4)")</f>
        <v/>
      </c>
      <c r="W676" s="282" t="str" cm="1">
        <f t="array" ref="W676">_xll.FDSB($C676,"CS_EVENT_TIME_N("&amp;$AA$18&amp;",4)")</f>
        <v/>
      </c>
      <c r="X676" s="282" t="str" cm="1">
        <f t="array" ref="X676">_xll.FDSB($C676,"CS_EVENT_DESC_N("&amp;$AA$18&amp;",4)")</f>
        <v/>
      </c>
    </row>
    <row r="677" spans="2:24" x14ac:dyDescent="0.15">
      <c r="B677" s="298">
        <f t="shared" si="12"/>
        <v>662</v>
      </c>
      <c r="C677" s="299"/>
      <c r="D677" s="300" t="str" cm="1">
        <f t="array" ref="D677">_xll.FDSB($C677,"FG_COMPANY_NAME")</f>
        <v/>
      </c>
      <c r="E677" s="300"/>
      <c r="F677" s="274" t="str" cm="1">
        <f t="array" ref="F677">_xll.FDSB($C677,"CS_EVENT_DATEJ_N("&amp;$AA$18&amp;",1)")</f>
        <v/>
      </c>
      <c r="G677" s="282" t="str" cm="1">
        <f t="array" ref="G677">_xll.FDSB($C677,"CS_EVENT_TIME_N("&amp;$AA$18&amp;",1)")</f>
        <v/>
      </c>
      <c r="H677" s="282" t="str" cm="1">
        <f t="array" ref="H677">_xll.FDSB($C677,"CS_EVENT_DESC_N("&amp;$AA$18&amp;",1)")</f>
        <v/>
      </c>
      <c r="I677" s="282"/>
      <c r="J677" s="274" t="str" cm="1">
        <f t="array" ref="J677">_xll.FDSB($C677,"CS_EVENT_DATEJ_N("&amp;$AB$18&amp;",1)")</f>
        <v/>
      </c>
      <c r="K677" s="282" t="str" cm="1">
        <f t="array" ref="K677">_xll.FDSB($C677,"CS_EVENT_TIME_N("&amp;$AB$18&amp;",1)")</f>
        <v/>
      </c>
      <c r="L677" s="282" t="str" cm="1">
        <f t="array" ref="L677">_xll.FDSB($C677,"CS_EVENT_DESC_N("&amp;$AB$18&amp;",1)")</f>
        <v/>
      </c>
      <c r="M677" s="300"/>
      <c r="N677" s="274" t="str" cm="1">
        <f t="array" ref="N677">_xll.FDSB($C677,"CS_EVENT_DATEJ_N("&amp;$AA$18&amp;",2)")</f>
        <v/>
      </c>
      <c r="O677" s="282" t="str" cm="1">
        <f t="array" ref="O677">_xll.FDSB($C677,"CS_EVENT_TIME_N("&amp;$AA$18&amp;",2)")</f>
        <v/>
      </c>
      <c r="P677" s="282" t="str" cm="1">
        <f t="array" ref="P677">_xll.FDSB($C677,"CS_EVENT_DESC_N("&amp;$AA$18&amp;",2)")</f>
        <v/>
      </c>
      <c r="Q677" s="282"/>
      <c r="R677" s="274" t="str" cm="1">
        <f t="array" ref="R677">_xll.FDSB($C677,"CS_EVENT_DATEJ_N("&amp;$AA$18&amp;",3)")</f>
        <v/>
      </c>
      <c r="S677" s="282" t="str" cm="1">
        <f t="array" ref="S677">_xll.FDSB($C677,"CS_EVENT_TIME_N("&amp;$AA$18&amp;",3)")</f>
        <v/>
      </c>
      <c r="T677" s="282" t="str" cm="1">
        <f t="array" ref="T677">_xll.FDSB($C677,"CS_EVENT_DESC_N("&amp;$AA$18&amp;",3)")</f>
        <v/>
      </c>
      <c r="U677" s="282"/>
      <c r="V677" s="274" t="str" cm="1">
        <f t="array" ref="V677">_xll.FDSB($C677,"CS_EVENT_DATEJ_N("&amp;$AA$18&amp;",4)")</f>
        <v/>
      </c>
      <c r="W677" s="282" t="str" cm="1">
        <f t="array" ref="W677">_xll.FDSB($C677,"CS_EVENT_TIME_N("&amp;$AA$18&amp;",4)")</f>
        <v/>
      </c>
      <c r="X677" s="282" t="str" cm="1">
        <f t="array" ref="X677">_xll.FDSB($C677,"CS_EVENT_DESC_N("&amp;$AA$18&amp;",4)")</f>
        <v/>
      </c>
    </row>
    <row r="678" spans="2:24" x14ac:dyDescent="0.15">
      <c r="B678" s="298">
        <f t="shared" si="12"/>
        <v>663</v>
      </c>
      <c r="C678" s="299"/>
      <c r="D678" s="300" t="str" cm="1">
        <f t="array" ref="D678">_xll.FDSB($C678,"FG_COMPANY_NAME")</f>
        <v/>
      </c>
      <c r="E678" s="300"/>
      <c r="F678" s="274" t="str" cm="1">
        <f t="array" ref="F678">_xll.FDSB($C678,"CS_EVENT_DATEJ_N("&amp;$AA$18&amp;",1)")</f>
        <v/>
      </c>
      <c r="G678" s="282" t="str" cm="1">
        <f t="array" ref="G678">_xll.FDSB($C678,"CS_EVENT_TIME_N("&amp;$AA$18&amp;",1)")</f>
        <v/>
      </c>
      <c r="H678" s="282" t="str" cm="1">
        <f t="array" ref="H678">_xll.FDSB($C678,"CS_EVENT_DESC_N("&amp;$AA$18&amp;",1)")</f>
        <v/>
      </c>
      <c r="I678" s="282"/>
      <c r="J678" s="274" t="str" cm="1">
        <f t="array" ref="J678">_xll.FDSB($C678,"CS_EVENT_DATEJ_N("&amp;$AB$18&amp;",1)")</f>
        <v/>
      </c>
      <c r="K678" s="282" t="str" cm="1">
        <f t="array" ref="K678">_xll.FDSB($C678,"CS_EVENT_TIME_N("&amp;$AB$18&amp;",1)")</f>
        <v/>
      </c>
      <c r="L678" s="282" t="str" cm="1">
        <f t="array" ref="L678">_xll.FDSB($C678,"CS_EVENT_DESC_N("&amp;$AB$18&amp;",1)")</f>
        <v/>
      </c>
      <c r="M678" s="300"/>
      <c r="N678" s="274" t="str" cm="1">
        <f t="array" ref="N678">_xll.FDSB($C678,"CS_EVENT_DATEJ_N("&amp;$AA$18&amp;",2)")</f>
        <v/>
      </c>
      <c r="O678" s="282" t="str" cm="1">
        <f t="array" ref="O678">_xll.FDSB($C678,"CS_EVENT_TIME_N("&amp;$AA$18&amp;",2)")</f>
        <v/>
      </c>
      <c r="P678" s="282" t="str" cm="1">
        <f t="array" ref="P678">_xll.FDSB($C678,"CS_EVENT_DESC_N("&amp;$AA$18&amp;",2)")</f>
        <v/>
      </c>
      <c r="Q678" s="282"/>
      <c r="R678" s="274" t="str" cm="1">
        <f t="array" ref="R678">_xll.FDSB($C678,"CS_EVENT_DATEJ_N("&amp;$AA$18&amp;",3)")</f>
        <v/>
      </c>
      <c r="S678" s="282" t="str" cm="1">
        <f t="array" ref="S678">_xll.FDSB($C678,"CS_EVENT_TIME_N("&amp;$AA$18&amp;",3)")</f>
        <v/>
      </c>
      <c r="T678" s="282" t="str" cm="1">
        <f t="array" ref="T678">_xll.FDSB($C678,"CS_EVENT_DESC_N("&amp;$AA$18&amp;",3)")</f>
        <v/>
      </c>
      <c r="U678" s="282"/>
      <c r="V678" s="274" t="str" cm="1">
        <f t="array" ref="V678">_xll.FDSB($C678,"CS_EVENT_DATEJ_N("&amp;$AA$18&amp;",4)")</f>
        <v/>
      </c>
      <c r="W678" s="282" t="str" cm="1">
        <f t="array" ref="W678">_xll.FDSB($C678,"CS_EVENT_TIME_N("&amp;$AA$18&amp;",4)")</f>
        <v/>
      </c>
      <c r="X678" s="282" t="str" cm="1">
        <f t="array" ref="X678">_xll.FDSB($C678,"CS_EVENT_DESC_N("&amp;$AA$18&amp;",4)")</f>
        <v/>
      </c>
    </row>
    <row r="679" spans="2:24" x14ac:dyDescent="0.15">
      <c r="B679" s="298">
        <f t="shared" si="12"/>
        <v>664</v>
      </c>
      <c r="C679" s="299"/>
      <c r="D679" s="300" t="str" cm="1">
        <f t="array" ref="D679">_xll.FDSB($C679,"FG_COMPANY_NAME")</f>
        <v/>
      </c>
      <c r="E679" s="300"/>
      <c r="F679" s="274" t="str" cm="1">
        <f t="array" ref="F679">_xll.FDSB($C679,"CS_EVENT_DATEJ_N("&amp;$AA$18&amp;",1)")</f>
        <v/>
      </c>
      <c r="G679" s="282" t="str" cm="1">
        <f t="array" ref="G679">_xll.FDSB($C679,"CS_EVENT_TIME_N("&amp;$AA$18&amp;",1)")</f>
        <v/>
      </c>
      <c r="H679" s="282" t="str" cm="1">
        <f t="array" ref="H679">_xll.FDSB($C679,"CS_EVENT_DESC_N("&amp;$AA$18&amp;",1)")</f>
        <v/>
      </c>
      <c r="I679" s="282"/>
      <c r="J679" s="274" t="str" cm="1">
        <f t="array" ref="J679">_xll.FDSB($C679,"CS_EVENT_DATEJ_N("&amp;$AB$18&amp;",1)")</f>
        <v/>
      </c>
      <c r="K679" s="282" t="str" cm="1">
        <f t="array" ref="K679">_xll.FDSB($C679,"CS_EVENT_TIME_N("&amp;$AB$18&amp;",1)")</f>
        <v/>
      </c>
      <c r="L679" s="282" t="str" cm="1">
        <f t="array" ref="L679">_xll.FDSB($C679,"CS_EVENT_DESC_N("&amp;$AB$18&amp;",1)")</f>
        <v/>
      </c>
      <c r="M679" s="300"/>
      <c r="N679" s="274" t="str" cm="1">
        <f t="array" ref="N679">_xll.FDSB($C679,"CS_EVENT_DATEJ_N("&amp;$AA$18&amp;",2)")</f>
        <v/>
      </c>
      <c r="O679" s="282" t="str" cm="1">
        <f t="array" ref="O679">_xll.FDSB($C679,"CS_EVENT_TIME_N("&amp;$AA$18&amp;",2)")</f>
        <v/>
      </c>
      <c r="P679" s="282" t="str" cm="1">
        <f t="array" ref="P679">_xll.FDSB($C679,"CS_EVENT_DESC_N("&amp;$AA$18&amp;",2)")</f>
        <v/>
      </c>
      <c r="Q679" s="282"/>
      <c r="R679" s="274" t="str" cm="1">
        <f t="array" ref="R679">_xll.FDSB($C679,"CS_EVENT_DATEJ_N("&amp;$AA$18&amp;",3)")</f>
        <v/>
      </c>
      <c r="S679" s="282" t="str" cm="1">
        <f t="array" ref="S679">_xll.FDSB($C679,"CS_EVENT_TIME_N("&amp;$AA$18&amp;",3)")</f>
        <v/>
      </c>
      <c r="T679" s="282" t="str" cm="1">
        <f t="array" ref="T679">_xll.FDSB($C679,"CS_EVENT_DESC_N("&amp;$AA$18&amp;",3)")</f>
        <v/>
      </c>
      <c r="U679" s="282"/>
      <c r="V679" s="274" t="str" cm="1">
        <f t="array" ref="V679">_xll.FDSB($C679,"CS_EVENT_DATEJ_N("&amp;$AA$18&amp;",4)")</f>
        <v/>
      </c>
      <c r="W679" s="282" t="str" cm="1">
        <f t="array" ref="W679">_xll.FDSB($C679,"CS_EVENT_TIME_N("&amp;$AA$18&amp;",4)")</f>
        <v/>
      </c>
      <c r="X679" s="282" t="str" cm="1">
        <f t="array" ref="X679">_xll.FDSB($C679,"CS_EVENT_DESC_N("&amp;$AA$18&amp;",4)")</f>
        <v/>
      </c>
    </row>
    <row r="680" spans="2:24" x14ac:dyDescent="0.15">
      <c r="B680" s="298">
        <f t="shared" si="12"/>
        <v>665</v>
      </c>
      <c r="C680" s="299"/>
      <c r="D680" s="300" t="str" cm="1">
        <f t="array" ref="D680">_xll.FDSB($C680,"FG_COMPANY_NAME")</f>
        <v/>
      </c>
      <c r="E680" s="300"/>
      <c r="F680" s="274" t="str" cm="1">
        <f t="array" ref="F680">_xll.FDSB($C680,"CS_EVENT_DATEJ_N("&amp;$AA$18&amp;",1)")</f>
        <v/>
      </c>
      <c r="G680" s="282" t="str" cm="1">
        <f t="array" ref="G680">_xll.FDSB($C680,"CS_EVENT_TIME_N("&amp;$AA$18&amp;",1)")</f>
        <v/>
      </c>
      <c r="H680" s="282" t="str" cm="1">
        <f t="array" ref="H680">_xll.FDSB($C680,"CS_EVENT_DESC_N("&amp;$AA$18&amp;",1)")</f>
        <v/>
      </c>
      <c r="I680" s="282"/>
      <c r="J680" s="274" t="str" cm="1">
        <f t="array" ref="J680">_xll.FDSB($C680,"CS_EVENT_DATEJ_N("&amp;$AB$18&amp;",1)")</f>
        <v/>
      </c>
      <c r="K680" s="282" t="str" cm="1">
        <f t="array" ref="K680">_xll.FDSB($C680,"CS_EVENT_TIME_N("&amp;$AB$18&amp;",1)")</f>
        <v/>
      </c>
      <c r="L680" s="282" t="str" cm="1">
        <f t="array" ref="L680">_xll.FDSB($C680,"CS_EVENT_DESC_N("&amp;$AB$18&amp;",1)")</f>
        <v/>
      </c>
      <c r="M680" s="300"/>
      <c r="N680" s="274" t="str" cm="1">
        <f t="array" ref="N680">_xll.FDSB($C680,"CS_EVENT_DATEJ_N("&amp;$AA$18&amp;",2)")</f>
        <v/>
      </c>
      <c r="O680" s="282" t="str" cm="1">
        <f t="array" ref="O680">_xll.FDSB($C680,"CS_EVENT_TIME_N("&amp;$AA$18&amp;",2)")</f>
        <v/>
      </c>
      <c r="P680" s="282" t="str" cm="1">
        <f t="array" ref="P680">_xll.FDSB($C680,"CS_EVENT_DESC_N("&amp;$AA$18&amp;",2)")</f>
        <v/>
      </c>
      <c r="Q680" s="282"/>
      <c r="R680" s="274" t="str" cm="1">
        <f t="array" ref="R680">_xll.FDSB($C680,"CS_EVENT_DATEJ_N("&amp;$AA$18&amp;",3)")</f>
        <v/>
      </c>
      <c r="S680" s="282" t="str" cm="1">
        <f t="array" ref="S680">_xll.FDSB($C680,"CS_EVENT_TIME_N("&amp;$AA$18&amp;",3)")</f>
        <v/>
      </c>
      <c r="T680" s="282" t="str" cm="1">
        <f t="array" ref="T680">_xll.FDSB($C680,"CS_EVENT_DESC_N("&amp;$AA$18&amp;",3)")</f>
        <v/>
      </c>
      <c r="U680" s="282"/>
      <c r="V680" s="274" t="str" cm="1">
        <f t="array" ref="V680">_xll.FDSB($C680,"CS_EVENT_DATEJ_N("&amp;$AA$18&amp;",4)")</f>
        <v/>
      </c>
      <c r="W680" s="282" t="str" cm="1">
        <f t="array" ref="W680">_xll.FDSB($C680,"CS_EVENT_TIME_N("&amp;$AA$18&amp;",4)")</f>
        <v/>
      </c>
      <c r="X680" s="282" t="str" cm="1">
        <f t="array" ref="X680">_xll.FDSB($C680,"CS_EVENT_DESC_N("&amp;$AA$18&amp;",4)")</f>
        <v/>
      </c>
    </row>
    <row r="681" spans="2:24" x14ac:dyDescent="0.15">
      <c r="B681" s="298">
        <f t="shared" si="12"/>
        <v>666</v>
      </c>
      <c r="C681" s="299"/>
      <c r="D681" s="300" t="str" cm="1">
        <f t="array" ref="D681">_xll.FDSB($C681,"FG_COMPANY_NAME")</f>
        <v/>
      </c>
      <c r="E681" s="300"/>
      <c r="F681" s="274" t="str" cm="1">
        <f t="array" ref="F681">_xll.FDSB($C681,"CS_EVENT_DATEJ_N("&amp;$AA$18&amp;",1)")</f>
        <v/>
      </c>
      <c r="G681" s="282" t="str" cm="1">
        <f t="array" ref="G681">_xll.FDSB($C681,"CS_EVENT_TIME_N("&amp;$AA$18&amp;",1)")</f>
        <v/>
      </c>
      <c r="H681" s="282" t="str" cm="1">
        <f t="array" ref="H681">_xll.FDSB($C681,"CS_EVENT_DESC_N("&amp;$AA$18&amp;",1)")</f>
        <v/>
      </c>
      <c r="I681" s="282"/>
      <c r="J681" s="274" t="str" cm="1">
        <f t="array" ref="J681">_xll.FDSB($C681,"CS_EVENT_DATEJ_N("&amp;$AB$18&amp;",1)")</f>
        <v/>
      </c>
      <c r="K681" s="282" t="str" cm="1">
        <f t="array" ref="K681">_xll.FDSB($C681,"CS_EVENT_TIME_N("&amp;$AB$18&amp;",1)")</f>
        <v/>
      </c>
      <c r="L681" s="282" t="str" cm="1">
        <f t="array" ref="L681">_xll.FDSB($C681,"CS_EVENT_DESC_N("&amp;$AB$18&amp;",1)")</f>
        <v/>
      </c>
      <c r="M681" s="300"/>
      <c r="N681" s="274" t="str" cm="1">
        <f t="array" ref="N681">_xll.FDSB($C681,"CS_EVENT_DATEJ_N("&amp;$AA$18&amp;",2)")</f>
        <v/>
      </c>
      <c r="O681" s="282" t="str" cm="1">
        <f t="array" ref="O681">_xll.FDSB($C681,"CS_EVENT_TIME_N("&amp;$AA$18&amp;",2)")</f>
        <v/>
      </c>
      <c r="P681" s="282" t="str" cm="1">
        <f t="array" ref="P681">_xll.FDSB($C681,"CS_EVENT_DESC_N("&amp;$AA$18&amp;",2)")</f>
        <v/>
      </c>
      <c r="Q681" s="282"/>
      <c r="R681" s="274" t="str" cm="1">
        <f t="array" ref="R681">_xll.FDSB($C681,"CS_EVENT_DATEJ_N("&amp;$AA$18&amp;",3)")</f>
        <v/>
      </c>
      <c r="S681" s="282" t="str" cm="1">
        <f t="array" ref="S681">_xll.FDSB($C681,"CS_EVENT_TIME_N("&amp;$AA$18&amp;",3)")</f>
        <v/>
      </c>
      <c r="T681" s="282" t="str" cm="1">
        <f t="array" ref="T681">_xll.FDSB($C681,"CS_EVENT_DESC_N("&amp;$AA$18&amp;",3)")</f>
        <v/>
      </c>
      <c r="U681" s="282"/>
      <c r="V681" s="274" t="str" cm="1">
        <f t="array" ref="V681">_xll.FDSB($C681,"CS_EVENT_DATEJ_N("&amp;$AA$18&amp;",4)")</f>
        <v/>
      </c>
      <c r="W681" s="282" t="str" cm="1">
        <f t="array" ref="W681">_xll.FDSB($C681,"CS_EVENT_TIME_N("&amp;$AA$18&amp;",4)")</f>
        <v/>
      </c>
      <c r="X681" s="282" t="str" cm="1">
        <f t="array" ref="X681">_xll.FDSB($C681,"CS_EVENT_DESC_N("&amp;$AA$18&amp;",4)")</f>
        <v/>
      </c>
    </row>
    <row r="682" spans="2:24" x14ac:dyDescent="0.15">
      <c r="B682" s="298">
        <f t="shared" si="12"/>
        <v>667</v>
      </c>
      <c r="C682" s="299"/>
      <c r="D682" s="300" t="str" cm="1">
        <f t="array" ref="D682">_xll.FDSB($C682,"FG_COMPANY_NAME")</f>
        <v/>
      </c>
      <c r="E682" s="300"/>
      <c r="F682" s="274" t="str" cm="1">
        <f t="array" ref="F682">_xll.FDSB($C682,"CS_EVENT_DATEJ_N("&amp;$AA$18&amp;",1)")</f>
        <v/>
      </c>
      <c r="G682" s="282" t="str" cm="1">
        <f t="array" ref="G682">_xll.FDSB($C682,"CS_EVENT_TIME_N("&amp;$AA$18&amp;",1)")</f>
        <v/>
      </c>
      <c r="H682" s="282" t="str" cm="1">
        <f t="array" ref="H682">_xll.FDSB($C682,"CS_EVENT_DESC_N("&amp;$AA$18&amp;",1)")</f>
        <v/>
      </c>
      <c r="I682" s="282"/>
      <c r="J682" s="274" t="str" cm="1">
        <f t="array" ref="J682">_xll.FDSB($C682,"CS_EVENT_DATEJ_N("&amp;$AB$18&amp;",1)")</f>
        <v/>
      </c>
      <c r="K682" s="282" t="str" cm="1">
        <f t="array" ref="K682">_xll.FDSB($C682,"CS_EVENT_TIME_N("&amp;$AB$18&amp;",1)")</f>
        <v/>
      </c>
      <c r="L682" s="282" t="str" cm="1">
        <f t="array" ref="L682">_xll.FDSB($C682,"CS_EVENT_DESC_N("&amp;$AB$18&amp;",1)")</f>
        <v/>
      </c>
      <c r="M682" s="300"/>
      <c r="N682" s="274" t="str" cm="1">
        <f t="array" ref="N682">_xll.FDSB($C682,"CS_EVENT_DATEJ_N("&amp;$AA$18&amp;",2)")</f>
        <v/>
      </c>
      <c r="O682" s="282" t="str" cm="1">
        <f t="array" ref="O682">_xll.FDSB($C682,"CS_EVENT_TIME_N("&amp;$AA$18&amp;",2)")</f>
        <v/>
      </c>
      <c r="P682" s="282" t="str" cm="1">
        <f t="array" ref="P682">_xll.FDSB($C682,"CS_EVENT_DESC_N("&amp;$AA$18&amp;",2)")</f>
        <v/>
      </c>
      <c r="Q682" s="282"/>
      <c r="R682" s="274" t="str" cm="1">
        <f t="array" ref="R682">_xll.FDSB($C682,"CS_EVENT_DATEJ_N("&amp;$AA$18&amp;",3)")</f>
        <v/>
      </c>
      <c r="S682" s="282" t="str" cm="1">
        <f t="array" ref="S682">_xll.FDSB($C682,"CS_EVENT_TIME_N("&amp;$AA$18&amp;",3)")</f>
        <v/>
      </c>
      <c r="T682" s="282" t="str" cm="1">
        <f t="array" ref="T682">_xll.FDSB($C682,"CS_EVENT_DESC_N("&amp;$AA$18&amp;",3)")</f>
        <v/>
      </c>
      <c r="U682" s="282"/>
      <c r="V682" s="274" t="str" cm="1">
        <f t="array" ref="V682">_xll.FDSB($C682,"CS_EVENT_DATEJ_N("&amp;$AA$18&amp;",4)")</f>
        <v/>
      </c>
      <c r="W682" s="282" t="str" cm="1">
        <f t="array" ref="W682">_xll.FDSB($C682,"CS_EVENT_TIME_N("&amp;$AA$18&amp;",4)")</f>
        <v/>
      </c>
      <c r="X682" s="282" t="str" cm="1">
        <f t="array" ref="X682">_xll.FDSB($C682,"CS_EVENT_DESC_N("&amp;$AA$18&amp;",4)")</f>
        <v/>
      </c>
    </row>
    <row r="683" spans="2:24" x14ac:dyDescent="0.15">
      <c r="B683" s="298">
        <f t="shared" si="12"/>
        <v>668</v>
      </c>
      <c r="C683" s="299"/>
      <c r="D683" s="300" t="str" cm="1">
        <f t="array" ref="D683">_xll.FDSB($C683,"FG_COMPANY_NAME")</f>
        <v/>
      </c>
      <c r="E683" s="300"/>
      <c r="F683" s="274" t="str" cm="1">
        <f t="array" ref="F683">_xll.FDSB($C683,"CS_EVENT_DATEJ_N("&amp;$AA$18&amp;",1)")</f>
        <v/>
      </c>
      <c r="G683" s="282" t="str" cm="1">
        <f t="array" ref="G683">_xll.FDSB($C683,"CS_EVENT_TIME_N("&amp;$AA$18&amp;",1)")</f>
        <v/>
      </c>
      <c r="H683" s="282" t="str" cm="1">
        <f t="array" ref="H683">_xll.FDSB($C683,"CS_EVENT_DESC_N("&amp;$AA$18&amp;",1)")</f>
        <v/>
      </c>
      <c r="I683" s="282"/>
      <c r="J683" s="274" t="str" cm="1">
        <f t="array" ref="J683">_xll.FDSB($C683,"CS_EVENT_DATEJ_N("&amp;$AB$18&amp;",1)")</f>
        <v/>
      </c>
      <c r="K683" s="282" t="str" cm="1">
        <f t="array" ref="K683">_xll.FDSB($C683,"CS_EVENT_TIME_N("&amp;$AB$18&amp;",1)")</f>
        <v/>
      </c>
      <c r="L683" s="282" t="str" cm="1">
        <f t="array" ref="L683">_xll.FDSB($C683,"CS_EVENT_DESC_N("&amp;$AB$18&amp;",1)")</f>
        <v/>
      </c>
      <c r="M683" s="300"/>
      <c r="N683" s="274" t="str" cm="1">
        <f t="array" ref="N683">_xll.FDSB($C683,"CS_EVENT_DATEJ_N("&amp;$AA$18&amp;",2)")</f>
        <v/>
      </c>
      <c r="O683" s="282" t="str" cm="1">
        <f t="array" ref="O683">_xll.FDSB($C683,"CS_EVENT_TIME_N("&amp;$AA$18&amp;",2)")</f>
        <v/>
      </c>
      <c r="P683" s="282" t="str" cm="1">
        <f t="array" ref="P683">_xll.FDSB($C683,"CS_EVENT_DESC_N("&amp;$AA$18&amp;",2)")</f>
        <v/>
      </c>
      <c r="Q683" s="282"/>
      <c r="R683" s="274" t="str" cm="1">
        <f t="array" ref="R683">_xll.FDSB($C683,"CS_EVENT_DATEJ_N("&amp;$AA$18&amp;",3)")</f>
        <v/>
      </c>
      <c r="S683" s="282" t="str" cm="1">
        <f t="array" ref="S683">_xll.FDSB($C683,"CS_EVENT_TIME_N("&amp;$AA$18&amp;",3)")</f>
        <v/>
      </c>
      <c r="T683" s="282" t="str" cm="1">
        <f t="array" ref="T683">_xll.FDSB($C683,"CS_EVENT_DESC_N("&amp;$AA$18&amp;",3)")</f>
        <v/>
      </c>
      <c r="U683" s="282"/>
      <c r="V683" s="274" t="str" cm="1">
        <f t="array" ref="V683">_xll.FDSB($C683,"CS_EVENT_DATEJ_N("&amp;$AA$18&amp;",4)")</f>
        <v/>
      </c>
      <c r="W683" s="282" t="str" cm="1">
        <f t="array" ref="W683">_xll.FDSB($C683,"CS_EVENT_TIME_N("&amp;$AA$18&amp;",4)")</f>
        <v/>
      </c>
      <c r="X683" s="282" t="str" cm="1">
        <f t="array" ref="X683">_xll.FDSB($C683,"CS_EVENT_DESC_N("&amp;$AA$18&amp;",4)")</f>
        <v/>
      </c>
    </row>
    <row r="684" spans="2:24" x14ac:dyDescent="0.15">
      <c r="B684" s="298">
        <f t="shared" si="12"/>
        <v>669</v>
      </c>
      <c r="C684" s="299"/>
      <c r="D684" s="300" t="str" cm="1">
        <f t="array" ref="D684">_xll.FDSB($C684,"FG_COMPANY_NAME")</f>
        <v/>
      </c>
      <c r="E684" s="300"/>
      <c r="F684" s="274" t="str" cm="1">
        <f t="array" ref="F684">_xll.FDSB($C684,"CS_EVENT_DATEJ_N("&amp;$AA$18&amp;",1)")</f>
        <v/>
      </c>
      <c r="G684" s="282" t="str" cm="1">
        <f t="array" ref="G684">_xll.FDSB($C684,"CS_EVENT_TIME_N("&amp;$AA$18&amp;",1)")</f>
        <v/>
      </c>
      <c r="H684" s="282" t="str" cm="1">
        <f t="array" ref="H684">_xll.FDSB($C684,"CS_EVENT_DESC_N("&amp;$AA$18&amp;",1)")</f>
        <v/>
      </c>
      <c r="I684" s="282"/>
      <c r="J684" s="274" t="str" cm="1">
        <f t="array" ref="J684">_xll.FDSB($C684,"CS_EVENT_DATEJ_N("&amp;$AB$18&amp;",1)")</f>
        <v/>
      </c>
      <c r="K684" s="282" t="str" cm="1">
        <f t="array" ref="K684">_xll.FDSB($C684,"CS_EVENT_TIME_N("&amp;$AB$18&amp;",1)")</f>
        <v/>
      </c>
      <c r="L684" s="282" t="str" cm="1">
        <f t="array" ref="L684">_xll.FDSB($C684,"CS_EVENT_DESC_N("&amp;$AB$18&amp;",1)")</f>
        <v/>
      </c>
      <c r="M684" s="300"/>
      <c r="N684" s="274" t="str" cm="1">
        <f t="array" ref="N684">_xll.FDSB($C684,"CS_EVENT_DATEJ_N("&amp;$AA$18&amp;",2)")</f>
        <v/>
      </c>
      <c r="O684" s="282" t="str" cm="1">
        <f t="array" ref="O684">_xll.FDSB($C684,"CS_EVENT_TIME_N("&amp;$AA$18&amp;",2)")</f>
        <v/>
      </c>
      <c r="P684" s="282" t="str" cm="1">
        <f t="array" ref="P684">_xll.FDSB($C684,"CS_EVENT_DESC_N("&amp;$AA$18&amp;",2)")</f>
        <v/>
      </c>
      <c r="Q684" s="282"/>
      <c r="R684" s="274" t="str" cm="1">
        <f t="array" ref="R684">_xll.FDSB($C684,"CS_EVENT_DATEJ_N("&amp;$AA$18&amp;",3)")</f>
        <v/>
      </c>
      <c r="S684" s="282" t="str" cm="1">
        <f t="array" ref="S684">_xll.FDSB($C684,"CS_EVENT_TIME_N("&amp;$AA$18&amp;",3)")</f>
        <v/>
      </c>
      <c r="T684" s="282" t="str" cm="1">
        <f t="array" ref="T684">_xll.FDSB($C684,"CS_EVENT_DESC_N("&amp;$AA$18&amp;",3)")</f>
        <v/>
      </c>
      <c r="U684" s="282"/>
      <c r="V684" s="274" t="str" cm="1">
        <f t="array" ref="V684">_xll.FDSB($C684,"CS_EVENT_DATEJ_N("&amp;$AA$18&amp;",4)")</f>
        <v/>
      </c>
      <c r="W684" s="282" t="str" cm="1">
        <f t="array" ref="W684">_xll.FDSB($C684,"CS_EVENT_TIME_N("&amp;$AA$18&amp;",4)")</f>
        <v/>
      </c>
      <c r="X684" s="282" t="str" cm="1">
        <f t="array" ref="X684">_xll.FDSB($C684,"CS_EVENT_DESC_N("&amp;$AA$18&amp;",4)")</f>
        <v/>
      </c>
    </row>
    <row r="685" spans="2:24" x14ac:dyDescent="0.15">
      <c r="B685" s="298">
        <f t="shared" si="12"/>
        <v>670</v>
      </c>
      <c r="C685" s="299"/>
      <c r="D685" s="300" t="str" cm="1">
        <f t="array" ref="D685">_xll.FDSB($C685,"FG_COMPANY_NAME")</f>
        <v/>
      </c>
      <c r="E685" s="300"/>
      <c r="F685" s="274" t="str" cm="1">
        <f t="array" ref="F685">_xll.FDSB($C685,"CS_EVENT_DATEJ_N("&amp;$AA$18&amp;",1)")</f>
        <v/>
      </c>
      <c r="G685" s="282" t="str" cm="1">
        <f t="array" ref="G685">_xll.FDSB($C685,"CS_EVENT_TIME_N("&amp;$AA$18&amp;",1)")</f>
        <v/>
      </c>
      <c r="H685" s="282" t="str" cm="1">
        <f t="array" ref="H685">_xll.FDSB($C685,"CS_EVENT_DESC_N("&amp;$AA$18&amp;",1)")</f>
        <v/>
      </c>
      <c r="I685" s="282"/>
      <c r="J685" s="274" t="str" cm="1">
        <f t="array" ref="J685">_xll.FDSB($C685,"CS_EVENT_DATEJ_N("&amp;$AB$18&amp;",1)")</f>
        <v/>
      </c>
      <c r="K685" s="282" t="str" cm="1">
        <f t="array" ref="K685">_xll.FDSB($C685,"CS_EVENT_TIME_N("&amp;$AB$18&amp;",1)")</f>
        <v/>
      </c>
      <c r="L685" s="282" t="str" cm="1">
        <f t="array" ref="L685">_xll.FDSB($C685,"CS_EVENT_DESC_N("&amp;$AB$18&amp;",1)")</f>
        <v/>
      </c>
      <c r="M685" s="300"/>
      <c r="N685" s="274" t="str" cm="1">
        <f t="array" ref="N685">_xll.FDSB($C685,"CS_EVENT_DATEJ_N("&amp;$AA$18&amp;",2)")</f>
        <v/>
      </c>
      <c r="O685" s="282" t="str" cm="1">
        <f t="array" ref="O685">_xll.FDSB($C685,"CS_EVENT_TIME_N("&amp;$AA$18&amp;",2)")</f>
        <v/>
      </c>
      <c r="P685" s="282" t="str" cm="1">
        <f t="array" ref="P685">_xll.FDSB($C685,"CS_EVENT_DESC_N("&amp;$AA$18&amp;",2)")</f>
        <v/>
      </c>
      <c r="Q685" s="282"/>
      <c r="R685" s="274" t="str" cm="1">
        <f t="array" ref="R685">_xll.FDSB($C685,"CS_EVENT_DATEJ_N("&amp;$AA$18&amp;",3)")</f>
        <v/>
      </c>
      <c r="S685" s="282" t="str" cm="1">
        <f t="array" ref="S685">_xll.FDSB($C685,"CS_EVENT_TIME_N("&amp;$AA$18&amp;",3)")</f>
        <v/>
      </c>
      <c r="T685" s="282" t="str" cm="1">
        <f t="array" ref="T685">_xll.FDSB($C685,"CS_EVENT_DESC_N("&amp;$AA$18&amp;",3)")</f>
        <v/>
      </c>
      <c r="U685" s="282"/>
      <c r="V685" s="274" t="str" cm="1">
        <f t="array" ref="V685">_xll.FDSB($C685,"CS_EVENT_DATEJ_N("&amp;$AA$18&amp;",4)")</f>
        <v/>
      </c>
      <c r="W685" s="282" t="str" cm="1">
        <f t="array" ref="W685">_xll.FDSB($C685,"CS_EVENT_TIME_N("&amp;$AA$18&amp;",4)")</f>
        <v/>
      </c>
      <c r="X685" s="282" t="str" cm="1">
        <f t="array" ref="X685">_xll.FDSB($C685,"CS_EVENT_DESC_N("&amp;$AA$18&amp;",4)")</f>
        <v/>
      </c>
    </row>
    <row r="686" spans="2:24" x14ac:dyDescent="0.15">
      <c r="B686" s="298">
        <f t="shared" si="12"/>
        <v>671</v>
      </c>
      <c r="C686" s="299"/>
      <c r="D686" s="300" t="str" cm="1">
        <f t="array" ref="D686">_xll.FDSB($C686,"FG_COMPANY_NAME")</f>
        <v/>
      </c>
      <c r="E686" s="300"/>
      <c r="F686" s="274" t="str" cm="1">
        <f t="array" ref="F686">_xll.FDSB($C686,"CS_EVENT_DATEJ_N("&amp;$AA$18&amp;",1)")</f>
        <v/>
      </c>
      <c r="G686" s="282" t="str" cm="1">
        <f t="array" ref="G686">_xll.FDSB($C686,"CS_EVENT_TIME_N("&amp;$AA$18&amp;",1)")</f>
        <v/>
      </c>
      <c r="H686" s="282" t="str" cm="1">
        <f t="array" ref="H686">_xll.FDSB($C686,"CS_EVENT_DESC_N("&amp;$AA$18&amp;",1)")</f>
        <v/>
      </c>
      <c r="I686" s="282"/>
      <c r="J686" s="274" t="str" cm="1">
        <f t="array" ref="J686">_xll.FDSB($C686,"CS_EVENT_DATEJ_N("&amp;$AB$18&amp;",1)")</f>
        <v/>
      </c>
      <c r="K686" s="282" t="str" cm="1">
        <f t="array" ref="K686">_xll.FDSB($C686,"CS_EVENT_TIME_N("&amp;$AB$18&amp;",1)")</f>
        <v/>
      </c>
      <c r="L686" s="282" t="str" cm="1">
        <f t="array" ref="L686">_xll.FDSB($C686,"CS_EVENT_DESC_N("&amp;$AB$18&amp;",1)")</f>
        <v/>
      </c>
      <c r="M686" s="300"/>
      <c r="N686" s="274" t="str" cm="1">
        <f t="array" ref="N686">_xll.FDSB($C686,"CS_EVENT_DATEJ_N("&amp;$AA$18&amp;",2)")</f>
        <v/>
      </c>
      <c r="O686" s="282" t="str" cm="1">
        <f t="array" ref="O686">_xll.FDSB($C686,"CS_EVENT_TIME_N("&amp;$AA$18&amp;",2)")</f>
        <v/>
      </c>
      <c r="P686" s="282" t="str" cm="1">
        <f t="array" ref="P686">_xll.FDSB($C686,"CS_EVENT_DESC_N("&amp;$AA$18&amp;",2)")</f>
        <v/>
      </c>
      <c r="Q686" s="282"/>
      <c r="R686" s="274" t="str" cm="1">
        <f t="array" ref="R686">_xll.FDSB($C686,"CS_EVENT_DATEJ_N("&amp;$AA$18&amp;",3)")</f>
        <v/>
      </c>
      <c r="S686" s="282" t="str" cm="1">
        <f t="array" ref="S686">_xll.FDSB($C686,"CS_EVENT_TIME_N("&amp;$AA$18&amp;",3)")</f>
        <v/>
      </c>
      <c r="T686" s="282" t="str" cm="1">
        <f t="array" ref="T686">_xll.FDSB($C686,"CS_EVENT_DESC_N("&amp;$AA$18&amp;",3)")</f>
        <v/>
      </c>
      <c r="U686" s="282"/>
      <c r="V686" s="274" t="str" cm="1">
        <f t="array" ref="V686">_xll.FDSB($C686,"CS_EVENT_DATEJ_N("&amp;$AA$18&amp;",4)")</f>
        <v/>
      </c>
      <c r="W686" s="282" t="str" cm="1">
        <f t="array" ref="W686">_xll.FDSB($C686,"CS_EVENT_TIME_N("&amp;$AA$18&amp;",4)")</f>
        <v/>
      </c>
      <c r="X686" s="282" t="str" cm="1">
        <f t="array" ref="X686">_xll.FDSB($C686,"CS_EVENT_DESC_N("&amp;$AA$18&amp;",4)")</f>
        <v/>
      </c>
    </row>
    <row r="687" spans="2:24" x14ac:dyDescent="0.15">
      <c r="B687" s="298">
        <f t="shared" si="12"/>
        <v>672</v>
      </c>
      <c r="C687" s="299"/>
      <c r="D687" s="300" t="str" cm="1">
        <f t="array" ref="D687">_xll.FDSB($C687,"FG_COMPANY_NAME")</f>
        <v/>
      </c>
      <c r="E687" s="300"/>
      <c r="F687" s="274" t="str" cm="1">
        <f t="array" ref="F687">_xll.FDSB($C687,"CS_EVENT_DATEJ_N("&amp;$AA$18&amp;",1)")</f>
        <v/>
      </c>
      <c r="G687" s="282" t="str" cm="1">
        <f t="array" ref="G687">_xll.FDSB($C687,"CS_EVENT_TIME_N("&amp;$AA$18&amp;",1)")</f>
        <v/>
      </c>
      <c r="H687" s="282" t="str" cm="1">
        <f t="array" ref="H687">_xll.FDSB($C687,"CS_EVENT_DESC_N("&amp;$AA$18&amp;",1)")</f>
        <v/>
      </c>
      <c r="I687" s="282"/>
      <c r="J687" s="274" t="str" cm="1">
        <f t="array" ref="J687">_xll.FDSB($C687,"CS_EVENT_DATEJ_N("&amp;$AB$18&amp;",1)")</f>
        <v/>
      </c>
      <c r="K687" s="282" t="str" cm="1">
        <f t="array" ref="K687">_xll.FDSB($C687,"CS_EVENT_TIME_N("&amp;$AB$18&amp;",1)")</f>
        <v/>
      </c>
      <c r="L687" s="282" t="str" cm="1">
        <f t="array" ref="L687">_xll.FDSB($C687,"CS_EVENT_DESC_N("&amp;$AB$18&amp;",1)")</f>
        <v/>
      </c>
      <c r="M687" s="300"/>
      <c r="N687" s="274" t="str" cm="1">
        <f t="array" ref="N687">_xll.FDSB($C687,"CS_EVENT_DATEJ_N("&amp;$AA$18&amp;",2)")</f>
        <v/>
      </c>
      <c r="O687" s="282" t="str" cm="1">
        <f t="array" ref="O687">_xll.FDSB($C687,"CS_EVENT_TIME_N("&amp;$AA$18&amp;",2)")</f>
        <v/>
      </c>
      <c r="P687" s="282" t="str" cm="1">
        <f t="array" ref="P687">_xll.FDSB($C687,"CS_EVENT_DESC_N("&amp;$AA$18&amp;",2)")</f>
        <v/>
      </c>
      <c r="Q687" s="282"/>
      <c r="R687" s="274" t="str" cm="1">
        <f t="array" ref="R687">_xll.FDSB($C687,"CS_EVENT_DATEJ_N("&amp;$AA$18&amp;",3)")</f>
        <v/>
      </c>
      <c r="S687" s="282" t="str" cm="1">
        <f t="array" ref="S687">_xll.FDSB($C687,"CS_EVENT_TIME_N("&amp;$AA$18&amp;",3)")</f>
        <v/>
      </c>
      <c r="T687" s="282" t="str" cm="1">
        <f t="array" ref="T687">_xll.FDSB($C687,"CS_EVENT_DESC_N("&amp;$AA$18&amp;",3)")</f>
        <v/>
      </c>
      <c r="U687" s="282"/>
      <c r="V687" s="274" t="str" cm="1">
        <f t="array" ref="V687">_xll.FDSB($C687,"CS_EVENT_DATEJ_N("&amp;$AA$18&amp;",4)")</f>
        <v/>
      </c>
      <c r="W687" s="282" t="str" cm="1">
        <f t="array" ref="W687">_xll.FDSB($C687,"CS_EVENT_TIME_N("&amp;$AA$18&amp;",4)")</f>
        <v/>
      </c>
      <c r="X687" s="282" t="str" cm="1">
        <f t="array" ref="X687">_xll.FDSB($C687,"CS_EVENT_DESC_N("&amp;$AA$18&amp;",4)")</f>
        <v/>
      </c>
    </row>
    <row r="688" spans="2:24" x14ac:dyDescent="0.15">
      <c r="B688" s="298">
        <f t="shared" si="12"/>
        <v>673</v>
      </c>
      <c r="C688" s="299"/>
      <c r="D688" s="300" t="str" cm="1">
        <f t="array" ref="D688">_xll.FDSB($C688,"FG_COMPANY_NAME")</f>
        <v/>
      </c>
      <c r="E688" s="300"/>
      <c r="F688" s="274" t="str" cm="1">
        <f t="array" ref="F688">_xll.FDSB($C688,"CS_EVENT_DATEJ_N("&amp;$AA$18&amp;",1)")</f>
        <v/>
      </c>
      <c r="G688" s="282" t="str" cm="1">
        <f t="array" ref="G688">_xll.FDSB($C688,"CS_EVENT_TIME_N("&amp;$AA$18&amp;",1)")</f>
        <v/>
      </c>
      <c r="H688" s="282" t="str" cm="1">
        <f t="array" ref="H688">_xll.FDSB($C688,"CS_EVENT_DESC_N("&amp;$AA$18&amp;",1)")</f>
        <v/>
      </c>
      <c r="I688" s="282"/>
      <c r="J688" s="274" t="str" cm="1">
        <f t="array" ref="J688">_xll.FDSB($C688,"CS_EVENT_DATEJ_N("&amp;$AB$18&amp;",1)")</f>
        <v/>
      </c>
      <c r="K688" s="282" t="str" cm="1">
        <f t="array" ref="K688">_xll.FDSB($C688,"CS_EVENT_TIME_N("&amp;$AB$18&amp;",1)")</f>
        <v/>
      </c>
      <c r="L688" s="282" t="str" cm="1">
        <f t="array" ref="L688">_xll.FDSB($C688,"CS_EVENT_DESC_N("&amp;$AB$18&amp;",1)")</f>
        <v/>
      </c>
      <c r="M688" s="300"/>
      <c r="N688" s="274" t="str" cm="1">
        <f t="array" ref="N688">_xll.FDSB($C688,"CS_EVENT_DATEJ_N("&amp;$AA$18&amp;",2)")</f>
        <v/>
      </c>
      <c r="O688" s="282" t="str" cm="1">
        <f t="array" ref="O688">_xll.FDSB($C688,"CS_EVENT_TIME_N("&amp;$AA$18&amp;",2)")</f>
        <v/>
      </c>
      <c r="P688" s="282" t="str" cm="1">
        <f t="array" ref="P688">_xll.FDSB($C688,"CS_EVENT_DESC_N("&amp;$AA$18&amp;",2)")</f>
        <v/>
      </c>
      <c r="Q688" s="282"/>
      <c r="R688" s="274" t="str" cm="1">
        <f t="array" ref="R688">_xll.FDSB($C688,"CS_EVENT_DATEJ_N("&amp;$AA$18&amp;",3)")</f>
        <v/>
      </c>
      <c r="S688" s="282" t="str" cm="1">
        <f t="array" ref="S688">_xll.FDSB($C688,"CS_EVENT_TIME_N("&amp;$AA$18&amp;",3)")</f>
        <v/>
      </c>
      <c r="T688" s="282" t="str" cm="1">
        <f t="array" ref="T688">_xll.FDSB($C688,"CS_EVENT_DESC_N("&amp;$AA$18&amp;",3)")</f>
        <v/>
      </c>
      <c r="U688" s="282"/>
      <c r="V688" s="274" t="str" cm="1">
        <f t="array" ref="V688">_xll.FDSB($C688,"CS_EVENT_DATEJ_N("&amp;$AA$18&amp;",4)")</f>
        <v/>
      </c>
      <c r="W688" s="282" t="str" cm="1">
        <f t="array" ref="W688">_xll.FDSB($C688,"CS_EVENT_TIME_N("&amp;$AA$18&amp;",4)")</f>
        <v/>
      </c>
      <c r="X688" s="282" t="str" cm="1">
        <f t="array" ref="X688">_xll.FDSB($C688,"CS_EVENT_DESC_N("&amp;$AA$18&amp;",4)")</f>
        <v/>
      </c>
    </row>
    <row r="689" spans="2:24" x14ac:dyDescent="0.15">
      <c r="B689" s="298">
        <f t="shared" si="12"/>
        <v>674</v>
      </c>
      <c r="C689" s="299"/>
      <c r="D689" s="300" t="str" cm="1">
        <f t="array" ref="D689">_xll.FDSB($C689,"FG_COMPANY_NAME")</f>
        <v/>
      </c>
      <c r="E689" s="300"/>
      <c r="F689" s="274" t="str" cm="1">
        <f t="array" ref="F689">_xll.FDSB($C689,"CS_EVENT_DATEJ_N("&amp;$AA$18&amp;",1)")</f>
        <v/>
      </c>
      <c r="G689" s="282" t="str" cm="1">
        <f t="array" ref="G689">_xll.FDSB($C689,"CS_EVENT_TIME_N("&amp;$AA$18&amp;",1)")</f>
        <v/>
      </c>
      <c r="H689" s="282" t="str" cm="1">
        <f t="array" ref="H689">_xll.FDSB($C689,"CS_EVENT_DESC_N("&amp;$AA$18&amp;",1)")</f>
        <v/>
      </c>
      <c r="I689" s="282"/>
      <c r="J689" s="274" t="str" cm="1">
        <f t="array" ref="J689">_xll.FDSB($C689,"CS_EVENT_DATEJ_N("&amp;$AB$18&amp;",1)")</f>
        <v/>
      </c>
      <c r="K689" s="282" t="str" cm="1">
        <f t="array" ref="K689">_xll.FDSB($C689,"CS_EVENT_TIME_N("&amp;$AB$18&amp;",1)")</f>
        <v/>
      </c>
      <c r="L689" s="282" t="str" cm="1">
        <f t="array" ref="L689">_xll.FDSB($C689,"CS_EVENT_DESC_N("&amp;$AB$18&amp;",1)")</f>
        <v/>
      </c>
      <c r="M689" s="300"/>
      <c r="N689" s="274" t="str" cm="1">
        <f t="array" ref="N689">_xll.FDSB($C689,"CS_EVENT_DATEJ_N("&amp;$AA$18&amp;",2)")</f>
        <v/>
      </c>
      <c r="O689" s="282" t="str" cm="1">
        <f t="array" ref="O689">_xll.FDSB($C689,"CS_EVENT_TIME_N("&amp;$AA$18&amp;",2)")</f>
        <v/>
      </c>
      <c r="P689" s="282" t="str" cm="1">
        <f t="array" ref="P689">_xll.FDSB($C689,"CS_EVENT_DESC_N("&amp;$AA$18&amp;",2)")</f>
        <v/>
      </c>
      <c r="Q689" s="282"/>
      <c r="R689" s="274" t="str" cm="1">
        <f t="array" ref="R689">_xll.FDSB($C689,"CS_EVENT_DATEJ_N("&amp;$AA$18&amp;",3)")</f>
        <v/>
      </c>
      <c r="S689" s="282" t="str" cm="1">
        <f t="array" ref="S689">_xll.FDSB($C689,"CS_EVENT_TIME_N("&amp;$AA$18&amp;",3)")</f>
        <v/>
      </c>
      <c r="T689" s="282" t="str" cm="1">
        <f t="array" ref="T689">_xll.FDSB($C689,"CS_EVENT_DESC_N("&amp;$AA$18&amp;",3)")</f>
        <v/>
      </c>
      <c r="U689" s="282"/>
      <c r="V689" s="274" t="str" cm="1">
        <f t="array" ref="V689">_xll.FDSB($C689,"CS_EVENT_DATEJ_N("&amp;$AA$18&amp;",4)")</f>
        <v/>
      </c>
      <c r="W689" s="282" t="str" cm="1">
        <f t="array" ref="W689">_xll.FDSB($C689,"CS_EVENT_TIME_N("&amp;$AA$18&amp;",4)")</f>
        <v/>
      </c>
      <c r="X689" s="282" t="str" cm="1">
        <f t="array" ref="X689">_xll.FDSB($C689,"CS_EVENT_DESC_N("&amp;$AA$18&amp;",4)")</f>
        <v/>
      </c>
    </row>
    <row r="690" spans="2:24" x14ac:dyDescent="0.15">
      <c r="B690" s="298">
        <f t="shared" si="12"/>
        <v>675</v>
      </c>
      <c r="C690" s="299"/>
      <c r="D690" s="300" t="str" cm="1">
        <f t="array" ref="D690">_xll.FDSB($C690,"FG_COMPANY_NAME")</f>
        <v/>
      </c>
      <c r="E690" s="300"/>
      <c r="F690" s="274" t="str" cm="1">
        <f t="array" ref="F690">_xll.FDSB($C690,"CS_EVENT_DATEJ_N("&amp;$AA$18&amp;",1)")</f>
        <v/>
      </c>
      <c r="G690" s="282" t="str" cm="1">
        <f t="array" ref="G690">_xll.FDSB($C690,"CS_EVENT_TIME_N("&amp;$AA$18&amp;",1)")</f>
        <v/>
      </c>
      <c r="H690" s="282" t="str" cm="1">
        <f t="array" ref="H690">_xll.FDSB($C690,"CS_EVENT_DESC_N("&amp;$AA$18&amp;",1)")</f>
        <v/>
      </c>
      <c r="I690" s="282"/>
      <c r="J690" s="274" t="str" cm="1">
        <f t="array" ref="J690">_xll.FDSB($C690,"CS_EVENT_DATEJ_N("&amp;$AB$18&amp;",1)")</f>
        <v/>
      </c>
      <c r="K690" s="282" t="str" cm="1">
        <f t="array" ref="K690">_xll.FDSB($C690,"CS_EVENT_TIME_N("&amp;$AB$18&amp;",1)")</f>
        <v/>
      </c>
      <c r="L690" s="282" t="str" cm="1">
        <f t="array" ref="L690">_xll.FDSB($C690,"CS_EVENT_DESC_N("&amp;$AB$18&amp;",1)")</f>
        <v/>
      </c>
      <c r="M690" s="300"/>
      <c r="N690" s="274" t="str" cm="1">
        <f t="array" ref="N690">_xll.FDSB($C690,"CS_EVENT_DATEJ_N("&amp;$AA$18&amp;",2)")</f>
        <v/>
      </c>
      <c r="O690" s="282" t="str" cm="1">
        <f t="array" ref="O690">_xll.FDSB($C690,"CS_EVENT_TIME_N("&amp;$AA$18&amp;",2)")</f>
        <v/>
      </c>
      <c r="P690" s="282" t="str" cm="1">
        <f t="array" ref="P690">_xll.FDSB($C690,"CS_EVENT_DESC_N("&amp;$AA$18&amp;",2)")</f>
        <v/>
      </c>
      <c r="Q690" s="282"/>
      <c r="R690" s="274" t="str" cm="1">
        <f t="array" ref="R690">_xll.FDSB($C690,"CS_EVENT_DATEJ_N("&amp;$AA$18&amp;",3)")</f>
        <v/>
      </c>
      <c r="S690" s="282" t="str" cm="1">
        <f t="array" ref="S690">_xll.FDSB($C690,"CS_EVENT_TIME_N("&amp;$AA$18&amp;",3)")</f>
        <v/>
      </c>
      <c r="T690" s="282" t="str" cm="1">
        <f t="array" ref="T690">_xll.FDSB($C690,"CS_EVENT_DESC_N("&amp;$AA$18&amp;",3)")</f>
        <v/>
      </c>
      <c r="U690" s="282"/>
      <c r="V690" s="274" t="str" cm="1">
        <f t="array" ref="V690">_xll.FDSB($C690,"CS_EVENT_DATEJ_N("&amp;$AA$18&amp;",4)")</f>
        <v/>
      </c>
      <c r="W690" s="282" t="str" cm="1">
        <f t="array" ref="W690">_xll.FDSB($C690,"CS_EVENT_TIME_N("&amp;$AA$18&amp;",4)")</f>
        <v/>
      </c>
      <c r="X690" s="282" t="str" cm="1">
        <f t="array" ref="X690">_xll.FDSB($C690,"CS_EVENT_DESC_N("&amp;$AA$18&amp;",4)")</f>
        <v/>
      </c>
    </row>
    <row r="691" spans="2:24" x14ac:dyDescent="0.15">
      <c r="B691" s="298">
        <f t="shared" si="12"/>
        <v>676</v>
      </c>
      <c r="C691" s="299"/>
      <c r="D691" s="300" t="str" cm="1">
        <f t="array" ref="D691">_xll.FDSB($C691,"FG_COMPANY_NAME")</f>
        <v/>
      </c>
      <c r="E691" s="300"/>
      <c r="F691" s="274" t="str" cm="1">
        <f t="array" ref="F691">_xll.FDSB($C691,"CS_EVENT_DATEJ_N("&amp;$AA$18&amp;",1)")</f>
        <v/>
      </c>
      <c r="G691" s="282" t="str" cm="1">
        <f t="array" ref="G691">_xll.FDSB($C691,"CS_EVENT_TIME_N("&amp;$AA$18&amp;",1)")</f>
        <v/>
      </c>
      <c r="H691" s="282" t="str" cm="1">
        <f t="array" ref="H691">_xll.FDSB($C691,"CS_EVENT_DESC_N("&amp;$AA$18&amp;",1)")</f>
        <v/>
      </c>
      <c r="I691" s="282"/>
      <c r="J691" s="274" t="str" cm="1">
        <f t="array" ref="J691">_xll.FDSB($C691,"CS_EVENT_DATEJ_N("&amp;$AB$18&amp;",1)")</f>
        <v/>
      </c>
      <c r="K691" s="282" t="str" cm="1">
        <f t="array" ref="K691">_xll.FDSB($C691,"CS_EVENT_TIME_N("&amp;$AB$18&amp;",1)")</f>
        <v/>
      </c>
      <c r="L691" s="282" t="str" cm="1">
        <f t="array" ref="L691">_xll.FDSB($C691,"CS_EVENT_DESC_N("&amp;$AB$18&amp;",1)")</f>
        <v/>
      </c>
      <c r="M691" s="300"/>
      <c r="N691" s="274" t="str" cm="1">
        <f t="array" ref="N691">_xll.FDSB($C691,"CS_EVENT_DATEJ_N("&amp;$AA$18&amp;",2)")</f>
        <v/>
      </c>
      <c r="O691" s="282" t="str" cm="1">
        <f t="array" ref="O691">_xll.FDSB($C691,"CS_EVENT_TIME_N("&amp;$AA$18&amp;",2)")</f>
        <v/>
      </c>
      <c r="P691" s="282" t="str" cm="1">
        <f t="array" ref="P691">_xll.FDSB($C691,"CS_EVENT_DESC_N("&amp;$AA$18&amp;",2)")</f>
        <v/>
      </c>
      <c r="Q691" s="282"/>
      <c r="R691" s="274" t="str" cm="1">
        <f t="array" ref="R691">_xll.FDSB($C691,"CS_EVENT_DATEJ_N("&amp;$AA$18&amp;",3)")</f>
        <v/>
      </c>
      <c r="S691" s="282" t="str" cm="1">
        <f t="array" ref="S691">_xll.FDSB($C691,"CS_EVENT_TIME_N("&amp;$AA$18&amp;",3)")</f>
        <v/>
      </c>
      <c r="T691" s="282" t="str" cm="1">
        <f t="array" ref="T691">_xll.FDSB($C691,"CS_EVENT_DESC_N("&amp;$AA$18&amp;",3)")</f>
        <v/>
      </c>
      <c r="U691" s="282"/>
      <c r="V691" s="274" t="str" cm="1">
        <f t="array" ref="V691">_xll.FDSB($C691,"CS_EVENT_DATEJ_N("&amp;$AA$18&amp;",4)")</f>
        <v/>
      </c>
      <c r="W691" s="282" t="str" cm="1">
        <f t="array" ref="W691">_xll.FDSB($C691,"CS_EVENT_TIME_N("&amp;$AA$18&amp;",4)")</f>
        <v/>
      </c>
      <c r="X691" s="282" t="str" cm="1">
        <f t="array" ref="X691">_xll.FDSB($C691,"CS_EVENT_DESC_N("&amp;$AA$18&amp;",4)")</f>
        <v/>
      </c>
    </row>
    <row r="692" spans="2:24" x14ac:dyDescent="0.15">
      <c r="B692" s="298">
        <f t="shared" si="12"/>
        <v>677</v>
      </c>
      <c r="C692" s="299"/>
      <c r="D692" s="300" t="str" cm="1">
        <f t="array" ref="D692">_xll.FDSB($C692,"FG_COMPANY_NAME")</f>
        <v/>
      </c>
      <c r="E692" s="300"/>
      <c r="F692" s="274" t="str" cm="1">
        <f t="array" ref="F692">_xll.FDSB($C692,"CS_EVENT_DATEJ_N("&amp;$AA$18&amp;",1)")</f>
        <v/>
      </c>
      <c r="G692" s="282" t="str" cm="1">
        <f t="array" ref="G692">_xll.FDSB($C692,"CS_EVENT_TIME_N("&amp;$AA$18&amp;",1)")</f>
        <v/>
      </c>
      <c r="H692" s="282" t="str" cm="1">
        <f t="array" ref="H692">_xll.FDSB($C692,"CS_EVENT_DESC_N("&amp;$AA$18&amp;",1)")</f>
        <v/>
      </c>
      <c r="I692" s="282"/>
      <c r="J692" s="274" t="str" cm="1">
        <f t="array" ref="J692">_xll.FDSB($C692,"CS_EVENT_DATEJ_N("&amp;$AB$18&amp;",1)")</f>
        <v/>
      </c>
      <c r="K692" s="282" t="str" cm="1">
        <f t="array" ref="K692">_xll.FDSB($C692,"CS_EVENT_TIME_N("&amp;$AB$18&amp;",1)")</f>
        <v/>
      </c>
      <c r="L692" s="282" t="str" cm="1">
        <f t="array" ref="L692">_xll.FDSB($C692,"CS_EVENT_DESC_N("&amp;$AB$18&amp;",1)")</f>
        <v/>
      </c>
      <c r="M692" s="300"/>
      <c r="N692" s="274" t="str" cm="1">
        <f t="array" ref="N692">_xll.FDSB($C692,"CS_EVENT_DATEJ_N("&amp;$AA$18&amp;",2)")</f>
        <v/>
      </c>
      <c r="O692" s="282" t="str" cm="1">
        <f t="array" ref="O692">_xll.FDSB($C692,"CS_EVENT_TIME_N("&amp;$AA$18&amp;",2)")</f>
        <v/>
      </c>
      <c r="P692" s="282" t="str" cm="1">
        <f t="array" ref="P692">_xll.FDSB($C692,"CS_EVENT_DESC_N("&amp;$AA$18&amp;",2)")</f>
        <v/>
      </c>
      <c r="Q692" s="282"/>
      <c r="R692" s="274" t="str" cm="1">
        <f t="array" ref="R692">_xll.FDSB($C692,"CS_EVENT_DATEJ_N("&amp;$AA$18&amp;",3)")</f>
        <v/>
      </c>
      <c r="S692" s="282" t="str" cm="1">
        <f t="array" ref="S692">_xll.FDSB($C692,"CS_EVENT_TIME_N("&amp;$AA$18&amp;",3)")</f>
        <v/>
      </c>
      <c r="T692" s="282" t="str" cm="1">
        <f t="array" ref="T692">_xll.FDSB($C692,"CS_EVENT_DESC_N("&amp;$AA$18&amp;",3)")</f>
        <v/>
      </c>
      <c r="U692" s="282"/>
      <c r="V692" s="274" t="str" cm="1">
        <f t="array" ref="V692">_xll.FDSB($C692,"CS_EVENT_DATEJ_N("&amp;$AA$18&amp;",4)")</f>
        <v/>
      </c>
      <c r="W692" s="282" t="str" cm="1">
        <f t="array" ref="W692">_xll.FDSB($C692,"CS_EVENT_TIME_N("&amp;$AA$18&amp;",4)")</f>
        <v/>
      </c>
      <c r="X692" s="282" t="str" cm="1">
        <f t="array" ref="X692">_xll.FDSB($C692,"CS_EVENT_DESC_N("&amp;$AA$18&amp;",4)")</f>
        <v/>
      </c>
    </row>
    <row r="693" spans="2:24" x14ac:dyDescent="0.15">
      <c r="B693" s="298">
        <f t="shared" si="12"/>
        <v>678</v>
      </c>
      <c r="C693" s="299"/>
      <c r="D693" s="300" t="str" cm="1">
        <f t="array" ref="D693">_xll.FDSB($C693,"FG_COMPANY_NAME")</f>
        <v/>
      </c>
      <c r="E693" s="300"/>
      <c r="F693" s="274" t="str" cm="1">
        <f t="array" ref="F693">_xll.FDSB($C693,"CS_EVENT_DATEJ_N("&amp;$AA$18&amp;",1)")</f>
        <v/>
      </c>
      <c r="G693" s="282" t="str" cm="1">
        <f t="array" ref="G693">_xll.FDSB($C693,"CS_EVENT_TIME_N("&amp;$AA$18&amp;",1)")</f>
        <v/>
      </c>
      <c r="H693" s="282" t="str" cm="1">
        <f t="array" ref="H693">_xll.FDSB($C693,"CS_EVENT_DESC_N("&amp;$AA$18&amp;",1)")</f>
        <v/>
      </c>
      <c r="I693" s="282"/>
      <c r="J693" s="274" t="str" cm="1">
        <f t="array" ref="J693">_xll.FDSB($C693,"CS_EVENT_DATEJ_N("&amp;$AB$18&amp;",1)")</f>
        <v/>
      </c>
      <c r="K693" s="282" t="str" cm="1">
        <f t="array" ref="K693">_xll.FDSB($C693,"CS_EVENT_TIME_N("&amp;$AB$18&amp;",1)")</f>
        <v/>
      </c>
      <c r="L693" s="282" t="str" cm="1">
        <f t="array" ref="L693">_xll.FDSB($C693,"CS_EVENT_DESC_N("&amp;$AB$18&amp;",1)")</f>
        <v/>
      </c>
      <c r="M693" s="300"/>
      <c r="N693" s="274" t="str" cm="1">
        <f t="array" ref="N693">_xll.FDSB($C693,"CS_EVENT_DATEJ_N("&amp;$AA$18&amp;",2)")</f>
        <v/>
      </c>
      <c r="O693" s="282" t="str" cm="1">
        <f t="array" ref="O693">_xll.FDSB($C693,"CS_EVENT_TIME_N("&amp;$AA$18&amp;",2)")</f>
        <v/>
      </c>
      <c r="P693" s="282" t="str" cm="1">
        <f t="array" ref="P693">_xll.FDSB($C693,"CS_EVENT_DESC_N("&amp;$AA$18&amp;",2)")</f>
        <v/>
      </c>
      <c r="Q693" s="282"/>
      <c r="R693" s="274" t="str" cm="1">
        <f t="array" ref="R693">_xll.FDSB($C693,"CS_EVENT_DATEJ_N("&amp;$AA$18&amp;",3)")</f>
        <v/>
      </c>
      <c r="S693" s="282" t="str" cm="1">
        <f t="array" ref="S693">_xll.FDSB($C693,"CS_EVENT_TIME_N("&amp;$AA$18&amp;",3)")</f>
        <v/>
      </c>
      <c r="T693" s="282" t="str" cm="1">
        <f t="array" ref="T693">_xll.FDSB($C693,"CS_EVENT_DESC_N("&amp;$AA$18&amp;",3)")</f>
        <v/>
      </c>
      <c r="U693" s="282"/>
      <c r="V693" s="274" t="str" cm="1">
        <f t="array" ref="V693">_xll.FDSB($C693,"CS_EVENT_DATEJ_N("&amp;$AA$18&amp;",4)")</f>
        <v/>
      </c>
      <c r="W693" s="282" t="str" cm="1">
        <f t="array" ref="W693">_xll.FDSB($C693,"CS_EVENT_TIME_N("&amp;$AA$18&amp;",4)")</f>
        <v/>
      </c>
      <c r="X693" s="282" t="str" cm="1">
        <f t="array" ref="X693">_xll.FDSB($C693,"CS_EVENT_DESC_N("&amp;$AA$18&amp;",4)")</f>
        <v/>
      </c>
    </row>
    <row r="694" spans="2:24" x14ac:dyDescent="0.15">
      <c r="B694" s="298">
        <f t="shared" si="12"/>
        <v>679</v>
      </c>
      <c r="C694" s="299"/>
      <c r="D694" s="300" t="str" cm="1">
        <f t="array" ref="D694">_xll.FDSB($C694,"FG_COMPANY_NAME")</f>
        <v/>
      </c>
      <c r="E694" s="300"/>
      <c r="F694" s="274" t="str" cm="1">
        <f t="array" ref="F694">_xll.FDSB($C694,"CS_EVENT_DATEJ_N("&amp;$AA$18&amp;",1)")</f>
        <v/>
      </c>
      <c r="G694" s="282" t="str" cm="1">
        <f t="array" ref="G694">_xll.FDSB($C694,"CS_EVENT_TIME_N("&amp;$AA$18&amp;",1)")</f>
        <v/>
      </c>
      <c r="H694" s="282" t="str" cm="1">
        <f t="array" ref="H694">_xll.FDSB($C694,"CS_EVENT_DESC_N("&amp;$AA$18&amp;",1)")</f>
        <v/>
      </c>
      <c r="I694" s="282"/>
      <c r="J694" s="274" t="str" cm="1">
        <f t="array" ref="J694">_xll.FDSB($C694,"CS_EVENT_DATEJ_N("&amp;$AB$18&amp;",1)")</f>
        <v/>
      </c>
      <c r="K694" s="282" t="str" cm="1">
        <f t="array" ref="K694">_xll.FDSB($C694,"CS_EVENT_TIME_N("&amp;$AB$18&amp;",1)")</f>
        <v/>
      </c>
      <c r="L694" s="282" t="str" cm="1">
        <f t="array" ref="L694">_xll.FDSB($C694,"CS_EVENT_DESC_N("&amp;$AB$18&amp;",1)")</f>
        <v/>
      </c>
      <c r="M694" s="300"/>
      <c r="N694" s="274" t="str" cm="1">
        <f t="array" ref="N694">_xll.FDSB($C694,"CS_EVENT_DATEJ_N("&amp;$AA$18&amp;",2)")</f>
        <v/>
      </c>
      <c r="O694" s="282" t="str" cm="1">
        <f t="array" ref="O694">_xll.FDSB($C694,"CS_EVENT_TIME_N("&amp;$AA$18&amp;",2)")</f>
        <v/>
      </c>
      <c r="P694" s="282" t="str" cm="1">
        <f t="array" ref="P694">_xll.FDSB($C694,"CS_EVENT_DESC_N("&amp;$AA$18&amp;",2)")</f>
        <v/>
      </c>
      <c r="Q694" s="282"/>
      <c r="R694" s="274" t="str" cm="1">
        <f t="array" ref="R694">_xll.FDSB($C694,"CS_EVENT_DATEJ_N("&amp;$AA$18&amp;",3)")</f>
        <v/>
      </c>
      <c r="S694" s="282" t="str" cm="1">
        <f t="array" ref="S694">_xll.FDSB($C694,"CS_EVENT_TIME_N("&amp;$AA$18&amp;",3)")</f>
        <v/>
      </c>
      <c r="T694" s="282" t="str" cm="1">
        <f t="array" ref="T694">_xll.FDSB($C694,"CS_EVENT_DESC_N("&amp;$AA$18&amp;",3)")</f>
        <v/>
      </c>
      <c r="U694" s="282"/>
      <c r="V694" s="274" t="str" cm="1">
        <f t="array" ref="V694">_xll.FDSB($C694,"CS_EVENT_DATEJ_N("&amp;$AA$18&amp;",4)")</f>
        <v/>
      </c>
      <c r="W694" s="282" t="str" cm="1">
        <f t="array" ref="W694">_xll.FDSB($C694,"CS_EVENT_TIME_N("&amp;$AA$18&amp;",4)")</f>
        <v/>
      </c>
      <c r="X694" s="282" t="str" cm="1">
        <f t="array" ref="X694">_xll.FDSB($C694,"CS_EVENT_DESC_N("&amp;$AA$18&amp;",4)")</f>
        <v/>
      </c>
    </row>
    <row r="695" spans="2:24" x14ac:dyDescent="0.15">
      <c r="B695" s="298">
        <f t="shared" si="12"/>
        <v>680</v>
      </c>
      <c r="C695" s="299"/>
      <c r="D695" s="300" t="str" cm="1">
        <f t="array" ref="D695">_xll.FDSB($C695,"FG_COMPANY_NAME")</f>
        <v/>
      </c>
      <c r="E695" s="300"/>
      <c r="F695" s="274" t="str" cm="1">
        <f t="array" ref="F695">_xll.FDSB($C695,"CS_EVENT_DATEJ_N("&amp;$AA$18&amp;",1)")</f>
        <v/>
      </c>
      <c r="G695" s="282" t="str" cm="1">
        <f t="array" ref="G695">_xll.FDSB($C695,"CS_EVENT_TIME_N("&amp;$AA$18&amp;",1)")</f>
        <v/>
      </c>
      <c r="H695" s="282" t="str" cm="1">
        <f t="array" ref="H695">_xll.FDSB($C695,"CS_EVENT_DESC_N("&amp;$AA$18&amp;",1)")</f>
        <v/>
      </c>
      <c r="I695" s="282"/>
      <c r="J695" s="274" t="str" cm="1">
        <f t="array" ref="J695">_xll.FDSB($C695,"CS_EVENT_DATEJ_N("&amp;$AB$18&amp;",1)")</f>
        <v/>
      </c>
      <c r="K695" s="282" t="str" cm="1">
        <f t="array" ref="K695">_xll.FDSB($C695,"CS_EVENT_TIME_N("&amp;$AB$18&amp;",1)")</f>
        <v/>
      </c>
      <c r="L695" s="282" t="str" cm="1">
        <f t="array" ref="L695">_xll.FDSB($C695,"CS_EVENT_DESC_N("&amp;$AB$18&amp;",1)")</f>
        <v/>
      </c>
      <c r="M695" s="300"/>
      <c r="N695" s="274" t="str" cm="1">
        <f t="array" ref="N695">_xll.FDSB($C695,"CS_EVENT_DATEJ_N("&amp;$AA$18&amp;",2)")</f>
        <v/>
      </c>
      <c r="O695" s="282" t="str" cm="1">
        <f t="array" ref="O695">_xll.FDSB($C695,"CS_EVENT_TIME_N("&amp;$AA$18&amp;",2)")</f>
        <v/>
      </c>
      <c r="P695" s="282" t="str" cm="1">
        <f t="array" ref="P695">_xll.FDSB($C695,"CS_EVENT_DESC_N("&amp;$AA$18&amp;",2)")</f>
        <v/>
      </c>
      <c r="Q695" s="282"/>
      <c r="R695" s="274" t="str" cm="1">
        <f t="array" ref="R695">_xll.FDSB($C695,"CS_EVENT_DATEJ_N("&amp;$AA$18&amp;",3)")</f>
        <v/>
      </c>
      <c r="S695" s="282" t="str" cm="1">
        <f t="array" ref="S695">_xll.FDSB($C695,"CS_EVENT_TIME_N("&amp;$AA$18&amp;",3)")</f>
        <v/>
      </c>
      <c r="T695" s="282" t="str" cm="1">
        <f t="array" ref="T695">_xll.FDSB($C695,"CS_EVENT_DESC_N("&amp;$AA$18&amp;",3)")</f>
        <v/>
      </c>
      <c r="U695" s="282"/>
      <c r="V695" s="274" t="str" cm="1">
        <f t="array" ref="V695">_xll.FDSB($C695,"CS_EVENT_DATEJ_N("&amp;$AA$18&amp;",4)")</f>
        <v/>
      </c>
      <c r="W695" s="282" t="str" cm="1">
        <f t="array" ref="W695">_xll.FDSB($C695,"CS_EVENT_TIME_N("&amp;$AA$18&amp;",4)")</f>
        <v/>
      </c>
      <c r="X695" s="282" t="str" cm="1">
        <f t="array" ref="X695">_xll.FDSB($C695,"CS_EVENT_DESC_N("&amp;$AA$18&amp;",4)")</f>
        <v/>
      </c>
    </row>
    <row r="696" spans="2:24" x14ac:dyDescent="0.15">
      <c r="B696" s="298">
        <f t="shared" si="12"/>
        <v>681</v>
      </c>
      <c r="C696" s="299"/>
      <c r="D696" s="300" t="str" cm="1">
        <f t="array" ref="D696">_xll.FDSB($C696,"FG_COMPANY_NAME")</f>
        <v/>
      </c>
      <c r="E696" s="300"/>
      <c r="F696" s="274" t="str" cm="1">
        <f t="array" ref="F696">_xll.FDSB($C696,"CS_EVENT_DATEJ_N("&amp;$AA$18&amp;",1)")</f>
        <v/>
      </c>
      <c r="G696" s="282" t="str" cm="1">
        <f t="array" ref="G696">_xll.FDSB($C696,"CS_EVENT_TIME_N("&amp;$AA$18&amp;",1)")</f>
        <v/>
      </c>
      <c r="H696" s="282" t="str" cm="1">
        <f t="array" ref="H696">_xll.FDSB($C696,"CS_EVENT_DESC_N("&amp;$AA$18&amp;",1)")</f>
        <v/>
      </c>
      <c r="I696" s="282"/>
      <c r="J696" s="274" t="str" cm="1">
        <f t="array" ref="J696">_xll.FDSB($C696,"CS_EVENT_DATEJ_N("&amp;$AB$18&amp;",1)")</f>
        <v/>
      </c>
      <c r="K696" s="282" t="str" cm="1">
        <f t="array" ref="K696">_xll.FDSB($C696,"CS_EVENT_TIME_N("&amp;$AB$18&amp;",1)")</f>
        <v/>
      </c>
      <c r="L696" s="282" t="str" cm="1">
        <f t="array" ref="L696">_xll.FDSB($C696,"CS_EVENT_DESC_N("&amp;$AB$18&amp;",1)")</f>
        <v/>
      </c>
      <c r="M696" s="300"/>
      <c r="N696" s="274" t="str" cm="1">
        <f t="array" ref="N696">_xll.FDSB($C696,"CS_EVENT_DATEJ_N("&amp;$AA$18&amp;",2)")</f>
        <v/>
      </c>
      <c r="O696" s="282" t="str" cm="1">
        <f t="array" ref="O696">_xll.FDSB($C696,"CS_EVENT_TIME_N("&amp;$AA$18&amp;",2)")</f>
        <v/>
      </c>
      <c r="P696" s="282" t="str" cm="1">
        <f t="array" ref="P696">_xll.FDSB($C696,"CS_EVENT_DESC_N("&amp;$AA$18&amp;",2)")</f>
        <v/>
      </c>
      <c r="Q696" s="282"/>
      <c r="R696" s="274" t="str" cm="1">
        <f t="array" ref="R696">_xll.FDSB($C696,"CS_EVENT_DATEJ_N("&amp;$AA$18&amp;",3)")</f>
        <v/>
      </c>
      <c r="S696" s="282" t="str" cm="1">
        <f t="array" ref="S696">_xll.FDSB($C696,"CS_EVENT_TIME_N("&amp;$AA$18&amp;",3)")</f>
        <v/>
      </c>
      <c r="T696" s="282" t="str" cm="1">
        <f t="array" ref="T696">_xll.FDSB($C696,"CS_EVENT_DESC_N("&amp;$AA$18&amp;",3)")</f>
        <v/>
      </c>
      <c r="U696" s="282"/>
      <c r="V696" s="274" t="str" cm="1">
        <f t="array" ref="V696">_xll.FDSB($C696,"CS_EVENT_DATEJ_N("&amp;$AA$18&amp;",4)")</f>
        <v/>
      </c>
      <c r="W696" s="282" t="str" cm="1">
        <f t="array" ref="W696">_xll.FDSB($C696,"CS_EVENT_TIME_N("&amp;$AA$18&amp;",4)")</f>
        <v/>
      </c>
      <c r="X696" s="282" t="str" cm="1">
        <f t="array" ref="X696">_xll.FDSB($C696,"CS_EVENT_DESC_N("&amp;$AA$18&amp;",4)")</f>
        <v/>
      </c>
    </row>
    <row r="697" spans="2:24" x14ac:dyDescent="0.15">
      <c r="B697" s="298">
        <f t="shared" si="12"/>
        <v>682</v>
      </c>
      <c r="C697" s="299"/>
      <c r="D697" s="300" t="str" cm="1">
        <f t="array" ref="D697">_xll.FDSB($C697,"FG_COMPANY_NAME")</f>
        <v/>
      </c>
      <c r="E697" s="300"/>
      <c r="F697" s="274" t="str" cm="1">
        <f t="array" ref="F697">_xll.FDSB($C697,"CS_EVENT_DATEJ_N("&amp;$AA$18&amp;",1)")</f>
        <v/>
      </c>
      <c r="G697" s="282" t="str" cm="1">
        <f t="array" ref="G697">_xll.FDSB($C697,"CS_EVENT_TIME_N("&amp;$AA$18&amp;",1)")</f>
        <v/>
      </c>
      <c r="H697" s="282" t="str" cm="1">
        <f t="array" ref="H697">_xll.FDSB($C697,"CS_EVENT_DESC_N("&amp;$AA$18&amp;",1)")</f>
        <v/>
      </c>
      <c r="I697" s="282"/>
      <c r="J697" s="274" t="str" cm="1">
        <f t="array" ref="J697">_xll.FDSB($C697,"CS_EVENT_DATEJ_N("&amp;$AB$18&amp;",1)")</f>
        <v/>
      </c>
      <c r="K697" s="282" t="str" cm="1">
        <f t="array" ref="K697">_xll.FDSB($C697,"CS_EVENT_TIME_N("&amp;$AB$18&amp;",1)")</f>
        <v/>
      </c>
      <c r="L697" s="282" t="str" cm="1">
        <f t="array" ref="L697">_xll.FDSB($C697,"CS_EVENT_DESC_N("&amp;$AB$18&amp;",1)")</f>
        <v/>
      </c>
      <c r="M697" s="300"/>
      <c r="N697" s="274" t="str" cm="1">
        <f t="array" ref="N697">_xll.FDSB($C697,"CS_EVENT_DATEJ_N("&amp;$AA$18&amp;",2)")</f>
        <v/>
      </c>
      <c r="O697" s="282" t="str" cm="1">
        <f t="array" ref="O697">_xll.FDSB($C697,"CS_EVENT_TIME_N("&amp;$AA$18&amp;",2)")</f>
        <v/>
      </c>
      <c r="P697" s="282" t="str" cm="1">
        <f t="array" ref="P697">_xll.FDSB($C697,"CS_EVENT_DESC_N("&amp;$AA$18&amp;",2)")</f>
        <v/>
      </c>
      <c r="Q697" s="282"/>
      <c r="R697" s="274" t="str" cm="1">
        <f t="array" ref="R697">_xll.FDSB($C697,"CS_EVENT_DATEJ_N("&amp;$AA$18&amp;",3)")</f>
        <v/>
      </c>
      <c r="S697" s="282" t="str" cm="1">
        <f t="array" ref="S697">_xll.FDSB($C697,"CS_EVENT_TIME_N("&amp;$AA$18&amp;",3)")</f>
        <v/>
      </c>
      <c r="T697" s="282" t="str" cm="1">
        <f t="array" ref="T697">_xll.FDSB($C697,"CS_EVENT_DESC_N("&amp;$AA$18&amp;",3)")</f>
        <v/>
      </c>
      <c r="U697" s="282"/>
      <c r="V697" s="274" t="str" cm="1">
        <f t="array" ref="V697">_xll.FDSB($C697,"CS_EVENT_DATEJ_N("&amp;$AA$18&amp;",4)")</f>
        <v/>
      </c>
      <c r="W697" s="282" t="str" cm="1">
        <f t="array" ref="W697">_xll.FDSB($C697,"CS_EVENT_TIME_N("&amp;$AA$18&amp;",4)")</f>
        <v/>
      </c>
      <c r="X697" s="282" t="str" cm="1">
        <f t="array" ref="X697">_xll.FDSB($C697,"CS_EVENT_DESC_N("&amp;$AA$18&amp;",4)")</f>
        <v/>
      </c>
    </row>
    <row r="698" spans="2:24" x14ac:dyDescent="0.15">
      <c r="B698" s="298">
        <f t="shared" si="12"/>
        <v>683</v>
      </c>
      <c r="C698" s="299"/>
      <c r="D698" s="300" t="str" cm="1">
        <f t="array" ref="D698">_xll.FDSB($C698,"FG_COMPANY_NAME")</f>
        <v/>
      </c>
      <c r="E698" s="300"/>
      <c r="F698" s="274" t="str" cm="1">
        <f t="array" ref="F698">_xll.FDSB($C698,"CS_EVENT_DATEJ_N("&amp;$AA$18&amp;",1)")</f>
        <v/>
      </c>
      <c r="G698" s="282" t="str" cm="1">
        <f t="array" ref="G698">_xll.FDSB($C698,"CS_EVENT_TIME_N("&amp;$AA$18&amp;",1)")</f>
        <v/>
      </c>
      <c r="H698" s="282" t="str" cm="1">
        <f t="array" ref="H698">_xll.FDSB($C698,"CS_EVENT_DESC_N("&amp;$AA$18&amp;",1)")</f>
        <v/>
      </c>
      <c r="I698" s="282"/>
      <c r="J698" s="274" t="str" cm="1">
        <f t="array" ref="J698">_xll.FDSB($C698,"CS_EVENT_DATEJ_N("&amp;$AB$18&amp;",1)")</f>
        <v/>
      </c>
      <c r="K698" s="282" t="str" cm="1">
        <f t="array" ref="K698">_xll.FDSB($C698,"CS_EVENT_TIME_N("&amp;$AB$18&amp;",1)")</f>
        <v/>
      </c>
      <c r="L698" s="282" t="str" cm="1">
        <f t="array" ref="L698">_xll.FDSB($C698,"CS_EVENT_DESC_N("&amp;$AB$18&amp;",1)")</f>
        <v/>
      </c>
      <c r="M698" s="300"/>
      <c r="N698" s="274" t="str" cm="1">
        <f t="array" ref="N698">_xll.FDSB($C698,"CS_EVENT_DATEJ_N("&amp;$AA$18&amp;",2)")</f>
        <v/>
      </c>
      <c r="O698" s="282" t="str" cm="1">
        <f t="array" ref="O698">_xll.FDSB($C698,"CS_EVENT_TIME_N("&amp;$AA$18&amp;",2)")</f>
        <v/>
      </c>
      <c r="P698" s="282" t="str" cm="1">
        <f t="array" ref="P698">_xll.FDSB($C698,"CS_EVENT_DESC_N("&amp;$AA$18&amp;",2)")</f>
        <v/>
      </c>
      <c r="Q698" s="282"/>
      <c r="R698" s="274" t="str" cm="1">
        <f t="array" ref="R698">_xll.FDSB($C698,"CS_EVENT_DATEJ_N("&amp;$AA$18&amp;",3)")</f>
        <v/>
      </c>
      <c r="S698" s="282" t="str" cm="1">
        <f t="array" ref="S698">_xll.FDSB($C698,"CS_EVENT_TIME_N("&amp;$AA$18&amp;",3)")</f>
        <v/>
      </c>
      <c r="T698" s="282" t="str" cm="1">
        <f t="array" ref="T698">_xll.FDSB($C698,"CS_EVENT_DESC_N("&amp;$AA$18&amp;",3)")</f>
        <v/>
      </c>
      <c r="U698" s="282"/>
      <c r="V698" s="274" t="str" cm="1">
        <f t="array" ref="V698">_xll.FDSB($C698,"CS_EVENT_DATEJ_N("&amp;$AA$18&amp;",4)")</f>
        <v/>
      </c>
      <c r="W698" s="282" t="str" cm="1">
        <f t="array" ref="W698">_xll.FDSB($C698,"CS_EVENT_TIME_N("&amp;$AA$18&amp;",4)")</f>
        <v/>
      </c>
      <c r="X698" s="282" t="str" cm="1">
        <f t="array" ref="X698">_xll.FDSB($C698,"CS_EVENT_DESC_N("&amp;$AA$18&amp;",4)")</f>
        <v/>
      </c>
    </row>
    <row r="699" spans="2:24" x14ac:dyDescent="0.15">
      <c r="B699" s="298">
        <f t="shared" si="12"/>
        <v>684</v>
      </c>
      <c r="C699" s="299"/>
      <c r="D699" s="300" t="str" cm="1">
        <f t="array" ref="D699">_xll.FDSB($C699,"FG_COMPANY_NAME")</f>
        <v/>
      </c>
      <c r="E699" s="300"/>
      <c r="F699" s="274" t="str" cm="1">
        <f t="array" ref="F699">_xll.FDSB($C699,"CS_EVENT_DATEJ_N("&amp;$AA$18&amp;",1)")</f>
        <v/>
      </c>
      <c r="G699" s="282" t="str" cm="1">
        <f t="array" ref="G699">_xll.FDSB($C699,"CS_EVENT_TIME_N("&amp;$AA$18&amp;",1)")</f>
        <v/>
      </c>
      <c r="H699" s="282" t="str" cm="1">
        <f t="array" ref="H699">_xll.FDSB($C699,"CS_EVENT_DESC_N("&amp;$AA$18&amp;",1)")</f>
        <v/>
      </c>
      <c r="I699" s="282"/>
      <c r="J699" s="274" t="str" cm="1">
        <f t="array" ref="J699">_xll.FDSB($C699,"CS_EVENT_DATEJ_N("&amp;$AB$18&amp;",1)")</f>
        <v/>
      </c>
      <c r="K699" s="282" t="str" cm="1">
        <f t="array" ref="K699">_xll.FDSB($C699,"CS_EVENT_TIME_N("&amp;$AB$18&amp;",1)")</f>
        <v/>
      </c>
      <c r="L699" s="282" t="str" cm="1">
        <f t="array" ref="L699">_xll.FDSB($C699,"CS_EVENT_DESC_N("&amp;$AB$18&amp;",1)")</f>
        <v/>
      </c>
      <c r="M699" s="300"/>
      <c r="N699" s="274" t="str" cm="1">
        <f t="array" ref="N699">_xll.FDSB($C699,"CS_EVENT_DATEJ_N("&amp;$AA$18&amp;",2)")</f>
        <v/>
      </c>
      <c r="O699" s="282" t="str" cm="1">
        <f t="array" ref="O699">_xll.FDSB($C699,"CS_EVENT_TIME_N("&amp;$AA$18&amp;",2)")</f>
        <v/>
      </c>
      <c r="P699" s="282" t="str" cm="1">
        <f t="array" ref="P699">_xll.FDSB($C699,"CS_EVENT_DESC_N("&amp;$AA$18&amp;",2)")</f>
        <v/>
      </c>
      <c r="Q699" s="282"/>
      <c r="R699" s="274" t="str" cm="1">
        <f t="array" ref="R699">_xll.FDSB($C699,"CS_EVENT_DATEJ_N("&amp;$AA$18&amp;",3)")</f>
        <v/>
      </c>
      <c r="S699" s="282" t="str" cm="1">
        <f t="array" ref="S699">_xll.FDSB($C699,"CS_EVENT_TIME_N("&amp;$AA$18&amp;",3)")</f>
        <v/>
      </c>
      <c r="T699" s="282" t="str" cm="1">
        <f t="array" ref="T699">_xll.FDSB($C699,"CS_EVENT_DESC_N("&amp;$AA$18&amp;",3)")</f>
        <v/>
      </c>
      <c r="U699" s="282"/>
      <c r="V699" s="274" t="str" cm="1">
        <f t="array" ref="V699">_xll.FDSB($C699,"CS_EVENT_DATEJ_N("&amp;$AA$18&amp;",4)")</f>
        <v/>
      </c>
      <c r="W699" s="282" t="str" cm="1">
        <f t="array" ref="W699">_xll.FDSB($C699,"CS_EVENT_TIME_N("&amp;$AA$18&amp;",4)")</f>
        <v/>
      </c>
      <c r="X699" s="282" t="str" cm="1">
        <f t="array" ref="X699">_xll.FDSB($C699,"CS_EVENT_DESC_N("&amp;$AA$18&amp;",4)")</f>
        <v/>
      </c>
    </row>
    <row r="700" spans="2:24" x14ac:dyDescent="0.15">
      <c r="B700" s="298">
        <f t="shared" si="12"/>
        <v>685</v>
      </c>
      <c r="C700" s="299"/>
      <c r="D700" s="300" t="str" cm="1">
        <f t="array" ref="D700">_xll.FDSB($C700,"FG_COMPANY_NAME")</f>
        <v/>
      </c>
      <c r="E700" s="300"/>
      <c r="F700" s="274" t="str" cm="1">
        <f t="array" ref="F700">_xll.FDSB($C700,"CS_EVENT_DATEJ_N("&amp;$AA$18&amp;",1)")</f>
        <v/>
      </c>
      <c r="G700" s="282" t="str" cm="1">
        <f t="array" ref="G700">_xll.FDSB($C700,"CS_EVENT_TIME_N("&amp;$AA$18&amp;",1)")</f>
        <v/>
      </c>
      <c r="H700" s="282" t="str" cm="1">
        <f t="array" ref="H700">_xll.FDSB($C700,"CS_EVENT_DESC_N("&amp;$AA$18&amp;",1)")</f>
        <v/>
      </c>
      <c r="I700" s="282"/>
      <c r="J700" s="274" t="str" cm="1">
        <f t="array" ref="J700">_xll.FDSB($C700,"CS_EVENT_DATEJ_N("&amp;$AB$18&amp;",1)")</f>
        <v/>
      </c>
      <c r="K700" s="282" t="str" cm="1">
        <f t="array" ref="K700">_xll.FDSB($C700,"CS_EVENT_TIME_N("&amp;$AB$18&amp;",1)")</f>
        <v/>
      </c>
      <c r="L700" s="282" t="str" cm="1">
        <f t="array" ref="L700">_xll.FDSB($C700,"CS_EVENT_DESC_N("&amp;$AB$18&amp;",1)")</f>
        <v/>
      </c>
      <c r="M700" s="300"/>
      <c r="N700" s="274" t="str" cm="1">
        <f t="array" ref="N700">_xll.FDSB($C700,"CS_EVENT_DATEJ_N("&amp;$AA$18&amp;",2)")</f>
        <v/>
      </c>
      <c r="O700" s="282" t="str" cm="1">
        <f t="array" ref="O700">_xll.FDSB($C700,"CS_EVENT_TIME_N("&amp;$AA$18&amp;",2)")</f>
        <v/>
      </c>
      <c r="P700" s="282" t="str" cm="1">
        <f t="array" ref="P700">_xll.FDSB($C700,"CS_EVENT_DESC_N("&amp;$AA$18&amp;",2)")</f>
        <v/>
      </c>
      <c r="Q700" s="282"/>
      <c r="R700" s="274" t="str" cm="1">
        <f t="array" ref="R700">_xll.FDSB($C700,"CS_EVENT_DATEJ_N("&amp;$AA$18&amp;",3)")</f>
        <v/>
      </c>
      <c r="S700" s="282" t="str" cm="1">
        <f t="array" ref="S700">_xll.FDSB($C700,"CS_EVENT_TIME_N("&amp;$AA$18&amp;",3)")</f>
        <v/>
      </c>
      <c r="T700" s="282" t="str" cm="1">
        <f t="array" ref="T700">_xll.FDSB($C700,"CS_EVENT_DESC_N("&amp;$AA$18&amp;",3)")</f>
        <v/>
      </c>
      <c r="U700" s="282"/>
      <c r="V700" s="274" t="str" cm="1">
        <f t="array" ref="V700">_xll.FDSB($C700,"CS_EVENT_DATEJ_N("&amp;$AA$18&amp;",4)")</f>
        <v/>
      </c>
      <c r="W700" s="282" t="str" cm="1">
        <f t="array" ref="W700">_xll.FDSB($C700,"CS_EVENT_TIME_N("&amp;$AA$18&amp;",4)")</f>
        <v/>
      </c>
      <c r="X700" s="282" t="str" cm="1">
        <f t="array" ref="X700">_xll.FDSB($C700,"CS_EVENT_DESC_N("&amp;$AA$18&amp;",4)")</f>
        <v/>
      </c>
    </row>
    <row r="701" spans="2:24" x14ac:dyDescent="0.15">
      <c r="B701" s="298">
        <f t="shared" si="12"/>
        <v>686</v>
      </c>
      <c r="C701" s="299"/>
      <c r="D701" s="300" t="str" cm="1">
        <f t="array" ref="D701">_xll.FDSB($C701,"FG_COMPANY_NAME")</f>
        <v/>
      </c>
      <c r="E701" s="300"/>
      <c r="F701" s="274" t="str" cm="1">
        <f t="array" ref="F701">_xll.FDSB($C701,"CS_EVENT_DATEJ_N("&amp;$AA$18&amp;",1)")</f>
        <v/>
      </c>
      <c r="G701" s="282" t="str" cm="1">
        <f t="array" ref="G701">_xll.FDSB($C701,"CS_EVENT_TIME_N("&amp;$AA$18&amp;",1)")</f>
        <v/>
      </c>
      <c r="H701" s="282" t="str" cm="1">
        <f t="array" ref="H701">_xll.FDSB($C701,"CS_EVENT_DESC_N("&amp;$AA$18&amp;",1)")</f>
        <v/>
      </c>
      <c r="I701" s="282"/>
      <c r="J701" s="274" t="str" cm="1">
        <f t="array" ref="J701">_xll.FDSB($C701,"CS_EVENT_DATEJ_N("&amp;$AB$18&amp;",1)")</f>
        <v/>
      </c>
      <c r="K701" s="282" t="str" cm="1">
        <f t="array" ref="K701">_xll.FDSB($C701,"CS_EVENT_TIME_N("&amp;$AB$18&amp;",1)")</f>
        <v/>
      </c>
      <c r="L701" s="282" t="str" cm="1">
        <f t="array" ref="L701">_xll.FDSB($C701,"CS_EVENT_DESC_N("&amp;$AB$18&amp;",1)")</f>
        <v/>
      </c>
      <c r="M701" s="300"/>
      <c r="N701" s="274" t="str" cm="1">
        <f t="array" ref="N701">_xll.FDSB($C701,"CS_EVENT_DATEJ_N("&amp;$AA$18&amp;",2)")</f>
        <v/>
      </c>
      <c r="O701" s="282" t="str" cm="1">
        <f t="array" ref="O701">_xll.FDSB($C701,"CS_EVENT_TIME_N("&amp;$AA$18&amp;",2)")</f>
        <v/>
      </c>
      <c r="P701" s="282" t="str" cm="1">
        <f t="array" ref="P701">_xll.FDSB($C701,"CS_EVENT_DESC_N("&amp;$AA$18&amp;",2)")</f>
        <v/>
      </c>
      <c r="Q701" s="282"/>
      <c r="R701" s="274" t="str" cm="1">
        <f t="array" ref="R701">_xll.FDSB($C701,"CS_EVENT_DATEJ_N("&amp;$AA$18&amp;",3)")</f>
        <v/>
      </c>
      <c r="S701" s="282" t="str" cm="1">
        <f t="array" ref="S701">_xll.FDSB($C701,"CS_EVENT_TIME_N("&amp;$AA$18&amp;",3)")</f>
        <v/>
      </c>
      <c r="T701" s="282" t="str" cm="1">
        <f t="array" ref="T701">_xll.FDSB($C701,"CS_EVENT_DESC_N("&amp;$AA$18&amp;",3)")</f>
        <v/>
      </c>
      <c r="U701" s="282"/>
      <c r="V701" s="274" t="str" cm="1">
        <f t="array" ref="V701">_xll.FDSB($C701,"CS_EVENT_DATEJ_N("&amp;$AA$18&amp;",4)")</f>
        <v/>
      </c>
      <c r="W701" s="282" t="str" cm="1">
        <f t="array" ref="W701">_xll.FDSB($C701,"CS_EVENT_TIME_N("&amp;$AA$18&amp;",4)")</f>
        <v/>
      </c>
      <c r="X701" s="282" t="str" cm="1">
        <f t="array" ref="X701">_xll.FDSB($C701,"CS_EVENT_DESC_N("&amp;$AA$18&amp;",4)")</f>
        <v/>
      </c>
    </row>
    <row r="702" spans="2:24" x14ac:dyDescent="0.15">
      <c r="B702" s="298">
        <f t="shared" si="12"/>
        <v>687</v>
      </c>
      <c r="C702" s="299"/>
      <c r="D702" s="300" t="str" cm="1">
        <f t="array" ref="D702">_xll.FDSB($C702,"FG_COMPANY_NAME")</f>
        <v/>
      </c>
      <c r="E702" s="300"/>
      <c r="F702" s="274" t="str" cm="1">
        <f t="array" ref="F702">_xll.FDSB($C702,"CS_EVENT_DATEJ_N("&amp;$AA$18&amp;",1)")</f>
        <v/>
      </c>
      <c r="G702" s="282" t="str" cm="1">
        <f t="array" ref="G702">_xll.FDSB($C702,"CS_EVENT_TIME_N("&amp;$AA$18&amp;",1)")</f>
        <v/>
      </c>
      <c r="H702" s="282" t="str" cm="1">
        <f t="array" ref="H702">_xll.FDSB($C702,"CS_EVENT_DESC_N("&amp;$AA$18&amp;",1)")</f>
        <v/>
      </c>
      <c r="I702" s="282"/>
      <c r="J702" s="274" t="str" cm="1">
        <f t="array" ref="J702">_xll.FDSB($C702,"CS_EVENT_DATEJ_N("&amp;$AB$18&amp;",1)")</f>
        <v/>
      </c>
      <c r="K702" s="282" t="str" cm="1">
        <f t="array" ref="K702">_xll.FDSB($C702,"CS_EVENT_TIME_N("&amp;$AB$18&amp;",1)")</f>
        <v/>
      </c>
      <c r="L702" s="282" t="str" cm="1">
        <f t="array" ref="L702">_xll.FDSB($C702,"CS_EVENT_DESC_N("&amp;$AB$18&amp;",1)")</f>
        <v/>
      </c>
      <c r="M702" s="300"/>
      <c r="N702" s="274" t="str" cm="1">
        <f t="array" ref="N702">_xll.FDSB($C702,"CS_EVENT_DATEJ_N("&amp;$AA$18&amp;",2)")</f>
        <v/>
      </c>
      <c r="O702" s="282" t="str" cm="1">
        <f t="array" ref="O702">_xll.FDSB($C702,"CS_EVENT_TIME_N("&amp;$AA$18&amp;",2)")</f>
        <v/>
      </c>
      <c r="P702" s="282" t="str" cm="1">
        <f t="array" ref="P702">_xll.FDSB($C702,"CS_EVENT_DESC_N("&amp;$AA$18&amp;",2)")</f>
        <v/>
      </c>
      <c r="Q702" s="282"/>
      <c r="R702" s="274" t="str" cm="1">
        <f t="array" ref="R702">_xll.FDSB($C702,"CS_EVENT_DATEJ_N("&amp;$AA$18&amp;",3)")</f>
        <v/>
      </c>
      <c r="S702" s="282" t="str" cm="1">
        <f t="array" ref="S702">_xll.FDSB($C702,"CS_EVENT_TIME_N("&amp;$AA$18&amp;",3)")</f>
        <v/>
      </c>
      <c r="T702" s="282" t="str" cm="1">
        <f t="array" ref="T702">_xll.FDSB($C702,"CS_EVENT_DESC_N("&amp;$AA$18&amp;",3)")</f>
        <v/>
      </c>
      <c r="U702" s="282"/>
      <c r="V702" s="274" t="str" cm="1">
        <f t="array" ref="V702">_xll.FDSB($C702,"CS_EVENT_DATEJ_N("&amp;$AA$18&amp;",4)")</f>
        <v/>
      </c>
      <c r="W702" s="282" t="str" cm="1">
        <f t="array" ref="W702">_xll.FDSB($C702,"CS_EVENT_TIME_N("&amp;$AA$18&amp;",4)")</f>
        <v/>
      </c>
      <c r="X702" s="282" t="str" cm="1">
        <f t="array" ref="X702">_xll.FDSB($C702,"CS_EVENT_DESC_N("&amp;$AA$18&amp;",4)")</f>
        <v/>
      </c>
    </row>
    <row r="703" spans="2:24" x14ac:dyDescent="0.15">
      <c r="B703" s="298">
        <f t="shared" si="12"/>
        <v>688</v>
      </c>
      <c r="C703" s="299"/>
      <c r="D703" s="300" t="str" cm="1">
        <f t="array" ref="D703">_xll.FDSB($C703,"FG_COMPANY_NAME")</f>
        <v/>
      </c>
      <c r="E703" s="300"/>
      <c r="F703" s="274" t="str" cm="1">
        <f t="array" ref="F703">_xll.FDSB($C703,"CS_EVENT_DATEJ_N("&amp;$AA$18&amp;",1)")</f>
        <v/>
      </c>
      <c r="G703" s="282" t="str" cm="1">
        <f t="array" ref="G703">_xll.FDSB($C703,"CS_EVENT_TIME_N("&amp;$AA$18&amp;",1)")</f>
        <v/>
      </c>
      <c r="H703" s="282" t="str" cm="1">
        <f t="array" ref="H703">_xll.FDSB($C703,"CS_EVENT_DESC_N("&amp;$AA$18&amp;",1)")</f>
        <v/>
      </c>
      <c r="I703" s="282"/>
      <c r="J703" s="274" t="str" cm="1">
        <f t="array" ref="J703">_xll.FDSB($C703,"CS_EVENT_DATEJ_N("&amp;$AB$18&amp;",1)")</f>
        <v/>
      </c>
      <c r="K703" s="282" t="str" cm="1">
        <f t="array" ref="K703">_xll.FDSB($C703,"CS_EVENT_TIME_N("&amp;$AB$18&amp;",1)")</f>
        <v/>
      </c>
      <c r="L703" s="282" t="str" cm="1">
        <f t="array" ref="L703">_xll.FDSB($C703,"CS_EVENT_DESC_N("&amp;$AB$18&amp;",1)")</f>
        <v/>
      </c>
      <c r="M703" s="300"/>
      <c r="N703" s="274" t="str" cm="1">
        <f t="array" ref="N703">_xll.FDSB($C703,"CS_EVENT_DATEJ_N("&amp;$AA$18&amp;",2)")</f>
        <v/>
      </c>
      <c r="O703" s="282" t="str" cm="1">
        <f t="array" ref="O703">_xll.FDSB($C703,"CS_EVENT_TIME_N("&amp;$AA$18&amp;",2)")</f>
        <v/>
      </c>
      <c r="P703" s="282" t="str" cm="1">
        <f t="array" ref="P703">_xll.FDSB($C703,"CS_EVENT_DESC_N("&amp;$AA$18&amp;",2)")</f>
        <v/>
      </c>
      <c r="Q703" s="282"/>
      <c r="R703" s="274" t="str" cm="1">
        <f t="array" ref="R703">_xll.FDSB($C703,"CS_EVENT_DATEJ_N("&amp;$AA$18&amp;",3)")</f>
        <v/>
      </c>
      <c r="S703" s="282" t="str" cm="1">
        <f t="array" ref="S703">_xll.FDSB($C703,"CS_EVENT_TIME_N("&amp;$AA$18&amp;",3)")</f>
        <v/>
      </c>
      <c r="T703" s="282" t="str" cm="1">
        <f t="array" ref="T703">_xll.FDSB($C703,"CS_EVENT_DESC_N("&amp;$AA$18&amp;",3)")</f>
        <v/>
      </c>
      <c r="U703" s="282"/>
      <c r="V703" s="274" t="str" cm="1">
        <f t="array" ref="V703">_xll.FDSB($C703,"CS_EVENT_DATEJ_N("&amp;$AA$18&amp;",4)")</f>
        <v/>
      </c>
      <c r="W703" s="282" t="str" cm="1">
        <f t="array" ref="W703">_xll.FDSB($C703,"CS_EVENT_TIME_N("&amp;$AA$18&amp;",4)")</f>
        <v/>
      </c>
      <c r="X703" s="282" t="str" cm="1">
        <f t="array" ref="X703">_xll.FDSB($C703,"CS_EVENT_DESC_N("&amp;$AA$18&amp;",4)")</f>
        <v/>
      </c>
    </row>
    <row r="704" spans="2:24" x14ac:dyDescent="0.15">
      <c r="B704" s="298">
        <f t="shared" si="12"/>
        <v>689</v>
      </c>
      <c r="C704" s="299"/>
      <c r="D704" s="300" t="str" cm="1">
        <f t="array" ref="D704">_xll.FDSB($C704,"FG_COMPANY_NAME")</f>
        <v/>
      </c>
      <c r="E704" s="300"/>
      <c r="F704" s="274" t="str" cm="1">
        <f t="array" ref="F704">_xll.FDSB($C704,"CS_EVENT_DATEJ_N("&amp;$AA$18&amp;",1)")</f>
        <v/>
      </c>
      <c r="G704" s="282" t="str" cm="1">
        <f t="array" ref="G704">_xll.FDSB($C704,"CS_EVENT_TIME_N("&amp;$AA$18&amp;",1)")</f>
        <v/>
      </c>
      <c r="H704" s="282" t="str" cm="1">
        <f t="array" ref="H704">_xll.FDSB($C704,"CS_EVENT_DESC_N("&amp;$AA$18&amp;",1)")</f>
        <v/>
      </c>
      <c r="I704" s="282"/>
      <c r="J704" s="274" t="str" cm="1">
        <f t="array" ref="J704">_xll.FDSB($C704,"CS_EVENT_DATEJ_N("&amp;$AB$18&amp;",1)")</f>
        <v/>
      </c>
      <c r="K704" s="282" t="str" cm="1">
        <f t="array" ref="K704">_xll.FDSB($C704,"CS_EVENT_TIME_N("&amp;$AB$18&amp;",1)")</f>
        <v/>
      </c>
      <c r="L704" s="282" t="str" cm="1">
        <f t="array" ref="L704">_xll.FDSB($C704,"CS_EVENT_DESC_N("&amp;$AB$18&amp;",1)")</f>
        <v/>
      </c>
      <c r="M704" s="300"/>
      <c r="N704" s="274" t="str" cm="1">
        <f t="array" ref="N704">_xll.FDSB($C704,"CS_EVENT_DATEJ_N("&amp;$AA$18&amp;",2)")</f>
        <v/>
      </c>
      <c r="O704" s="282" t="str" cm="1">
        <f t="array" ref="O704">_xll.FDSB($C704,"CS_EVENT_TIME_N("&amp;$AA$18&amp;",2)")</f>
        <v/>
      </c>
      <c r="P704" s="282" t="str" cm="1">
        <f t="array" ref="P704">_xll.FDSB($C704,"CS_EVENT_DESC_N("&amp;$AA$18&amp;",2)")</f>
        <v/>
      </c>
      <c r="Q704" s="282"/>
      <c r="R704" s="274" t="str" cm="1">
        <f t="array" ref="R704">_xll.FDSB($C704,"CS_EVENT_DATEJ_N("&amp;$AA$18&amp;",3)")</f>
        <v/>
      </c>
      <c r="S704" s="282" t="str" cm="1">
        <f t="array" ref="S704">_xll.FDSB($C704,"CS_EVENT_TIME_N("&amp;$AA$18&amp;",3)")</f>
        <v/>
      </c>
      <c r="T704" s="282" t="str" cm="1">
        <f t="array" ref="T704">_xll.FDSB($C704,"CS_EVENT_DESC_N("&amp;$AA$18&amp;",3)")</f>
        <v/>
      </c>
      <c r="U704" s="282"/>
      <c r="V704" s="274" t="str" cm="1">
        <f t="array" ref="V704">_xll.FDSB($C704,"CS_EVENT_DATEJ_N("&amp;$AA$18&amp;",4)")</f>
        <v/>
      </c>
      <c r="W704" s="282" t="str" cm="1">
        <f t="array" ref="W704">_xll.FDSB($C704,"CS_EVENT_TIME_N("&amp;$AA$18&amp;",4)")</f>
        <v/>
      </c>
      <c r="X704" s="282" t="str" cm="1">
        <f t="array" ref="X704">_xll.FDSB($C704,"CS_EVENT_DESC_N("&amp;$AA$18&amp;",4)")</f>
        <v/>
      </c>
    </row>
    <row r="705" spans="2:24" x14ac:dyDescent="0.15">
      <c r="B705" s="298">
        <f t="shared" si="12"/>
        <v>690</v>
      </c>
      <c r="C705" s="299"/>
      <c r="D705" s="300" t="str" cm="1">
        <f t="array" ref="D705">_xll.FDSB($C705,"FG_COMPANY_NAME")</f>
        <v/>
      </c>
      <c r="E705" s="300"/>
      <c r="F705" s="274" t="str" cm="1">
        <f t="array" ref="F705">_xll.FDSB($C705,"CS_EVENT_DATEJ_N("&amp;$AA$18&amp;",1)")</f>
        <v/>
      </c>
      <c r="G705" s="282" t="str" cm="1">
        <f t="array" ref="G705">_xll.FDSB($C705,"CS_EVENT_TIME_N("&amp;$AA$18&amp;",1)")</f>
        <v/>
      </c>
      <c r="H705" s="282" t="str" cm="1">
        <f t="array" ref="H705">_xll.FDSB($C705,"CS_EVENT_DESC_N("&amp;$AA$18&amp;",1)")</f>
        <v/>
      </c>
      <c r="I705" s="282"/>
      <c r="J705" s="274" t="str" cm="1">
        <f t="array" ref="J705">_xll.FDSB($C705,"CS_EVENT_DATEJ_N("&amp;$AB$18&amp;",1)")</f>
        <v/>
      </c>
      <c r="K705" s="282" t="str" cm="1">
        <f t="array" ref="K705">_xll.FDSB($C705,"CS_EVENT_TIME_N("&amp;$AB$18&amp;",1)")</f>
        <v/>
      </c>
      <c r="L705" s="282" t="str" cm="1">
        <f t="array" ref="L705">_xll.FDSB($C705,"CS_EVENT_DESC_N("&amp;$AB$18&amp;",1)")</f>
        <v/>
      </c>
      <c r="M705" s="300"/>
      <c r="N705" s="274" t="str" cm="1">
        <f t="array" ref="N705">_xll.FDSB($C705,"CS_EVENT_DATEJ_N("&amp;$AA$18&amp;",2)")</f>
        <v/>
      </c>
      <c r="O705" s="282" t="str" cm="1">
        <f t="array" ref="O705">_xll.FDSB($C705,"CS_EVENT_TIME_N("&amp;$AA$18&amp;",2)")</f>
        <v/>
      </c>
      <c r="P705" s="282" t="str" cm="1">
        <f t="array" ref="P705">_xll.FDSB($C705,"CS_EVENT_DESC_N("&amp;$AA$18&amp;",2)")</f>
        <v/>
      </c>
      <c r="Q705" s="282"/>
      <c r="R705" s="274" t="str" cm="1">
        <f t="array" ref="R705">_xll.FDSB($C705,"CS_EVENT_DATEJ_N("&amp;$AA$18&amp;",3)")</f>
        <v/>
      </c>
      <c r="S705" s="282" t="str" cm="1">
        <f t="array" ref="S705">_xll.FDSB($C705,"CS_EVENT_TIME_N("&amp;$AA$18&amp;",3)")</f>
        <v/>
      </c>
      <c r="T705" s="282" t="str" cm="1">
        <f t="array" ref="T705">_xll.FDSB($C705,"CS_EVENT_DESC_N("&amp;$AA$18&amp;",3)")</f>
        <v/>
      </c>
      <c r="U705" s="282"/>
      <c r="V705" s="274" t="str" cm="1">
        <f t="array" ref="V705">_xll.FDSB($C705,"CS_EVENT_DATEJ_N("&amp;$AA$18&amp;",4)")</f>
        <v/>
      </c>
      <c r="W705" s="282" t="str" cm="1">
        <f t="array" ref="W705">_xll.FDSB($C705,"CS_EVENT_TIME_N("&amp;$AA$18&amp;",4)")</f>
        <v/>
      </c>
      <c r="X705" s="282" t="str" cm="1">
        <f t="array" ref="X705">_xll.FDSB($C705,"CS_EVENT_DESC_N("&amp;$AA$18&amp;",4)")</f>
        <v/>
      </c>
    </row>
    <row r="706" spans="2:24" x14ac:dyDescent="0.15">
      <c r="B706" s="298">
        <f t="shared" si="12"/>
        <v>691</v>
      </c>
      <c r="C706" s="299"/>
      <c r="D706" s="300" t="str" cm="1">
        <f t="array" ref="D706">_xll.FDSB($C706,"FG_COMPANY_NAME")</f>
        <v/>
      </c>
      <c r="E706" s="300"/>
      <c r="F706" s="274" t="str" cm="1">
        <f t="array" ref="F706">_xll.FDSB($C706,"CS_EVENT_DATEJ_N("&amp;$AA$18&amp;",1)")</f>
        <v/>
      </c>
      <c r="G706" s="282" t="str" cm="1">
        <f t="array" ref="G706">_xll.FDSB($C706,"CS_EVENT_TIME_N("&amp;$AA$18&amp;",1)")</f>
        <v/>
      </c>
      <c r="H706" s="282" t="str" cm="1">
        <f t="array" ref="H706">_xll.FDSB($C706,"CS_EVENT_DESC_N("&amp;$AA$18&amp;",1)")</f>
        <v/>
      </c>
      <c r="I706" s="282"/>
      <c r="J706" s="274" t="str" cm="1">
        <f t="array" ref="J706">_xll.FDSB($C706,"CS_EVENT_DATEJ_N("&amp;$AB$18&amp;",1)")</f>
        <v/>
      </c>
      <c r="K706" s="282" t="str" cm="1">
        <f t="array" ref="K706">_xll.FDSB($C706,"CS_EVENT_TIME_N("&amp;$AB$18&amp;",1)")</f>
        <v/>
      </c>
      <c r="L706" s="282" t="str" cm="1">
        <f t="array" ref="L706">_xll.FDSB($C706,"CS_EVENT_DESC_N("&amp;$AB$18&amp;",1)")</f>
        <v/>
      </c>
      <c r="M706" s="300"/>
      <c r="N706" s="274" t="str" cm="1">
        <f t="array" ref="N706">_xll.FDSB($C706,"CS_EVENT_DATEJ_N("&amp;$AA$18&amp;",2)")</f>
        <v/>
      </c>
      <c r="O706" s="282" t="str" cm="1">
        <f t="array" ref="O706">_xll.FDSB($C706,"CS_EVENT_TIME_N("&amp;$AA$18&amp;",2)")</f>
        <v/>
      </c>
      <c r="P706" s="282" t="str" cm="1">
        <f t="array" ref="P706">_xll.FDSB($C706,"CS_EVENT_DESC_N("&amp;$AA$18&amp;",2)")</f>
        <v/>
      </c>
      <c r="Q706" s="282"/>
      <c r="R706" s="274" t="str" cm="1">
        <f t="array" ref="R706">_xll.FDSB($C706,"CS_EVENT_DATEJ_N("&amp;$AA$18&amp;",3)")</f>
        <v/>
      </c>
      <c r="S706" s="282" t="str" cm="1">
        <f t="array" ref="S706">_xll.FDSB($C706,"CS_EVENT_TIME_N("&amp;$AA$18&amp;",3)")</f>
        <v/>
      </c>
      <c r="T706" s="282" t="str" cm="1">
        <f t="array" ref="T706">_xll.FDSB($C706,"CS_EVENT_DESC_N("&amp;$AA$18&amp;",3)")</f>
        <v/>
      </c>
      <c r="U706" s="282"/>
      <c r="V706" s="274" t="str" cm="1">
        <f t="array" ref="V706">_xll.FDSB($C706,"CS_EVENT_DATEJ_N("&amp;$AA$18&amp;",4)")</f>
        <v/>
      </c>
      <c r="W706" s="282" t="str" cm="1">
        <f t="array" ref="W706">_xll.FDSB($C706,"CS_EVENT_TIME_N("&amp;$AA$18&amp;",4)")</f>
        <v/>
      </c>
      <c r="X706" s="282" t="str" cm="1">
        <f t="array" ref="X706">_xll.FDSB($C706,"CS_EVENT_DESC_N("&amp;$AA$18&amp;",4)")</f>
        <v/>
      </c>
    </row>
    <row r="707" spans="2:24" x14ac:dyDescent="0.15">
      <c r="B707" s="298">
        <f t="shared" si="12"/>
        <v>692</v>
      </c>
      <c r="C707" s="299"/>
      <c r="D707" s="300" t="str" cm="1">
        <f t="array" ref="D707">_xll.FDSB($C707,"FG_COMPANY_NAME")</f>
        <v/>
      </c>
      <c r="E707" s="300"/>
      <c r="F707" s="274" t="str" cm="1">
        <f t="array" ref="F707">_xll.FDSB($C707,"CS_EVENT_DATEJ_N("&amp;$AA$18&amp;",1)")</f>
        <v/>
      </c>
      <c r="G707" s="282" t="str" cm="1">
        <f t="array" ref="G707">_xll.FDSB($C707,"CS_EVENT_TIME_N("&amp;$AA$18&amp;",1)")</f>
        <v/>
      </c>
      <c r="H707" s="282" t="str" cm="1">
        <f t="array" ref="H707">_xll.FDSB($C707,"CS_EVENT_DESC_N("&amp;$AA$18&amp;",1)")</f>
        <v/>
      </c>
      <c r="I707" s="282"/>
      <c r="J707" s="274" t="str" cm="1">
        <f t="array" ref="J707">_xll.FDSB($C707,"CS_EVENT_DATEJ_N("&amp;$AB$18&amp;",1)")</f>
        <v/>
      </c>
      <c r="K707" s="282" t="str" cm="1">
        <f t="array" ref="K707">_xll.FDSB($C707,"CS_EVENT_TIME_N("&amp;$AB$18&amp;",1)")</f>
        <v/>
      </c>
      <c r="L707" s="282" t="str" cm="1">
        <f t="array" ref="L707">_xll.FDSB($C707,"CS_EVENT_DESC_N("&amp;$AB$18&amp;",1)")</f>
        <v/>
      </c>
      <c r="M707" s="300"/>
      <c r="N707" s="274" t="str" cm="1">
        <f t="array" ref="N707">_xll.FDSB($C707,"CS_EVENT_DATEJ_N("&amp;$AA$18&amp;",2)")</f>
        <v/>
      </c>
      <c r="O707" s="282" t="str" cm="1">
        <f t="array" ref="O707">_xll.FDSB($C707,"CS_EVENT_TIME_N("&amp;$AA$18&amp;",2)")</f>
        <v/>
      </c>
      <c r="P707" s="282" t="str" cm="1">
        <f t="array" ref="P707">_xll.FDSB($C707,"CS_EVENT_DESC_N("&amp;$AA$18&amp;",2)")</f>
        <v/>
      </c>
      <c r="Q707" s="282"/>
      <c r="R707" s="274" t="str" cm="1">
        <f t="array" ref="R707">_xll.FDSB($C707,"CS_EVENT_DATEJ_N("&amp;$AA$18&amp;",3)")</f>
        <v/>
      </c>
      <c r="S707" s="282" t="str" cm="1">
        <f t="array" ref="S707">_xll.FDSB($C707,"CS_EVENT_TIME_N("&amp;$AA$18&amp;",3)")</f>
        <v/>
      </c>
      <c r="T707" s="282" t="str" cm="1">
        <f t="array" ref="T707">_xll.FDSB($C707,"CS_EVENT_DESC_N("&amp;$AA$18&amp;",3)")</f>
        <v/>
      </c>
      <c r="U707" s="282"/>
      <c r="V707" s="274" t="str" cm="1">
        <f t="array" ref="V707">_xll.FDSB($C707,"CS_EVENT_DATEJ_N("&amp;$AA$18&amp;",4)")</f>
        <v/>
      </c>
      <c r="W707" s="282" t="str" cm="1">
        <f t="array" ref="W707">_xll.FDSB($C707,"CS_EVENT_TIME_N("&amp;$AA$18&amp;",4)")</f>
        <v/>
      </c>
      <c r="X707" s="282" t="str" cm="1">
        <f t="array" ref="X707">_xll.FDSB($C707,"CS_EVENT_DESC_N("&amp;$AA$18&amp;",4)")</f>
        <v/>
      </c>
    </row>
    <row r="708" spans="2:24" x14ac:dyDescent="0.15">
      <c r="B708" s="298">
        <f t="shared" si="12"/>
        <v>693</v>
      </c>
      <c r="C708" s="299"/>
      <c r="D708" s="300" t="str" cm="1">
        <f t="array" ref="D708">_xll.FDSB($C708,"FG_COMPANY_NAME")</f>
        <v/>
      </c>
      <c r="E708" s="300"/>
      <c r="F708" s="274" t="str" cm="1">
        <f t="array" ref="F708">_xll.FDSB($C708,"CS_EVENT_DATEJ_N("&amp;$AA$18&amp;",1)")</f>
        <v/>
      </c>
      <c r="G708" s="282" t="str" cm="1">
        <f t="array" ref="G708">_xll.FDSB($C708,"CS_EVENT_TIME_N("&amp;$AA$18&amp;",1)")</f>
        <v/>
      </c>
      <c r="H708" s="282" t="str" cm="1">
        <f t="array" ref="H708">_xll.FDSB($C708,"CS_EVENT_DESC_N("&amp;$AA$18&amp;",1)")</f>
        <v/>
      </c>
      <c r="I708" s="282"/>
      <c r="J708" s="274" t="str" cm="1">
        <f t="array" ref="J708">_xll.FDSB($C708,"CS_EVENT_DATEJ_N("&amp;$AB$18&amp;",1)")</f>
        <v/>
      </c>
      <c r="K708" s="282" t="str" cm="1">
        <f t="array" ref="K708">_xll.FDSB($C708,"CS_EVENT_TIME_N("&amp;$AB$18&amp;",1)")</f>
        <v/>
      </c>
      <c r="L708" s="282" t="str" cm="1">
        <f t="array" ref="L708">_xll.FDSB($C708,"CS_EVENT_DESC_N("&amp;$AB$18&amp;",1)")</f>
        <v/>
      </c>
      <c r="M708" s="300"/>
      <c r="N708" s="274" t="str" cm="1">
        <f t="array" ref="N708">_xll.FDSB($C708,"CS_EVENT_DATEJ_N("&amp;$AA$18&amp;",2)")</f>
        <v/>
      </c>
      <c r="O708" s="282" t="str" cm="1">
        <f t="array" ref="O708">_xll.FDSB($C708,"CS_EVENT_TIME_N("&amp;$AA$18&amp;",2)")</f>
        <v/>
      </c>
      <c r="P708" s="282" t="str" cm="1">
        <f t="array" ref="P708">_xll.FDSB($C708,"CS_EVENT_DESC_N("&amp;$AA$18&amp;",2)")</f>
        <v/>
      </c>
      <c r="Q708" s="282"/>
      <c r="R708" s="274" t="str" cm="1">
        <f t="array" ref="R708">_xll.FDSB($C708,"CS_EVENT_DATEJ_N("&amp;$AA$18&amp;",3)")</f>
        <v/>
      </c>
      <c r="S708" s="282" t="str" cm="1">
        <f t="array" ref="S708">_xll.FDSB($C708,"CS_EVENT_TIME_N("&amp;$AA$18&amp;",3)")</f>
        <v/>
      </c>
      <c r="T708" s="282" t="str" cm="1">
        <f t="array" ref="T708">_xll.FDSB($C708,"CS_EVENT_DESC_N("&amp;$AA$18&amp;",3)")</f>
        <v/>
      </c>
      <c r="U708" s="282"/>
      <c r="V708" s="274" t="str" cm="1">
        <f t="array" ref="V708">_xll.FDSB($C708,"CS_EVENT_DATEJ_N("&amp;$AA$18&amp;",4)")</f>
        <v/>
      </c>
      <c r="W708" s="282" t="str" cm="1">
        <f t="array" ref="W708">_xll.FDSB($C708,"CS_EVENT_TIME_N("&amp;$AA$18&amp;",4)")</f>
        <v/>
      </c>
      <c r="X708" s="282" t="str" cm="1">
        <f t="array" ref="X708">_xll.FDSB($C708,"CS_EVENT_DESC_N("&amp;$AA$18&amp;",4)")</f>
        <v/>
      </c>
    </row>
    <row r="709" spans="2:24" x14ac:dyDescent="0.15">
      <c r="B709" s="298">
        <f t="shared" si="12"/>
        <v>694</v>
      </c>
      <c r="C709" s="299"/>
      <c r="D709" s="300" t="str" cm="1">
        <f t="array" ref="D709">_xll.FDSB($C709,"FG_COMPANY_NAME")</f>
        <v/>
      </c>
      <c r="E709" s="300"/>
      <c r="F709" s="274" t="str" cm="1">
        <f t="array" ref="F709">_xll.FDSB($C709,"CS_EVENT_DATEJ_N("&amp;$AA$18&amp;",1)")</f>
        <v/>
      </c>
      <c r="G709" s="282" t="str" cm="1">
        <f t="array" ref="G709">_xll.FDSB($C709,"CS_EVENT_TIME_N("&amp;$AA$18&amp;",1)")</f>
        <v/>
      </c>
      <c r="H709" s="282" t="str" cm="1">
        <f t="array" ref="H709">_xll.FDSB($C709,"CS_EVENT_DESC_N("&amp;$AA$18&amp;",1)")</f>
        <v/>
      </c>
      <c r="I709" s="282"/>
      <c r="J709" s="274" t="str" cm="1">
        <f t="array" ref="J709">_xll.FDSB($C709,"CS_EVENT_DATEJ_N("&amp;$AB$18&amp;",1)")</f>
        <v/>
      </c>
      <c r="K709" s="282" t="str" cm="1">
        <f t="array" ref="K709">_xll.FDSB($C709,"CS_EVENT_TIME_N("&amp;$AB$18&amp;",1)")</f>
        <v/>
      </c>
      <c r="L709" s="282" t="str" cm="1">
        <f t="array" ref="L709">_xll.FDSB($C709,"CS_EVENT_DESC_N("&amp;$AB$18&amp;",1)")</f>
        <v/>
      </c>
      <c r="M709" s="300"/>
      <c r="N709" s="274" t="str" cm="1">
        <f t="array" ref="N709">_xll.FDSB($C709,"CS_EVENT_DATEJ_N("&amp;$AA$18&amp;",2)")</f>
        <v/>
      </c>
      <c r="O709" s="282" t="str" cm="1">
        <f t="array" ref="O709">_xll.FDSB($C709,"CS_EVENT_TIME_N("&amp;$AA$18&amp;",2)")</f>
        <v/>
      </c>
      <c r="P709" s="282" t="str" cm="1">
        <f t="array" ref="P709">_xll.FDSB($C709,"CS_EVENT_DESC_N("&amp;$AA$18&amp;",2)")</f>
        <v/>
      </c>
      <c r="Q709" s="282"/>
      <c r="R709" s="274" t="str" cm="1">
        <f t="array" ref="R709">_xll.FDSB($C709,"CS_EVENT_DATEJ_N("&amp;$AA$18&amp;",3)")</f>
        <v/>
      </c>
      <c r="S709" s="282" t="str" cm="1">
        <f t="array" ref="S709">_xll.FDSB($C709,"CS_EVENT_TIME_N("&amp;$AA$18&amp;",3)")</f>
        <v/>
      </c>
      <c r="T709" s="282" t="str" cm="1">
        <f t="array" ref="T709">_xll.FDSB($C709,"CS_EVENT_DESC_N("&amp;$AA$18&amp;",3)")</f>
        <v/>
      </c>
      <c r="U709" s="282"/>
      <c r="V709" s="274" t="str" cm="1">
        <f t="array" ref="V709">_xll.FDSB($C709,"CS_EVENT_DATEJ_N("&amp;$AA$18&amp;",4)")</f>
        <v/>
      </c>
      <c r="W709" s="282" t="str" cm="1">
        <f t="array" ref="W709">_xll.FDSB($C709,"CS_EVENT_TIME_N("&amp;$AA$18&amp;",4)")</f>
        <v/>
      </c>
      <c r="X709" s="282" t="str" cm="1">
        <f t="array" ref="X709">_xll.FDSB($C709,"CS_EVENT_DESC_N("&amp;$AA$18&amp;",4)")</f>
        <v/>
      </c>
    </row>
    <row r="710" spans="2:24" x14ac:dyDescent="0.15">
      <c r="B710" s="298">
        <f t="shared" si="12"/>
        <v>695</v>
      </c>
      <c r="C710" s="299"/>
      <c r="D710" s="300" t="str" cm="1">
        <f t="array" ref="D710">_xll.FDSB($C710,"FG_COMPANY_NAME")</f>
        <v/>
      </c>
      <c r="E710" s="300"/>
      <c r="F710" s="274" t="str" cm="1">
        <f t="array" ref="F710">_xll.FDSB($C710,"CS_EVENT_DATEJ_N("&amp;$AA$18&amp;",1)")</f>
        <v/>
      </c>
      <c r="G710" s="282" t="str" cm="1">
        <f t="array" ref="G710">_xll.FDSB($C710,"CS_EVENT_TIME_N("&amp;$AA$18&amp;",1)")</f>
        <v/>
      </c>
      <c r="H710" s="282" t="str" cm="1">
        <f t="array" ref="H710">_xll.FDSB($C710,"CS_EVENT_DESC_N("&amp;$AA$18&amp;",1)")</f>
        <v/>
      </c>
      <c r="I710" s="282"/>
      <c r="J710" s="274" t="str" cm="1">
        <f t="array" ref="J710">_xll.FDSB($C710,"CS_EVENT_DATEJ_N("&amp;$AB$18&amp;",1)")</f>
        <v/>
      </c>
      <c r="K710" s="282" t="str" cm="1">
        <f t="array" ref="K710">_xll.FDSB($C710,"CS_EVENT_TIME_N("&amp;$AB$18&amp;",1)")</f>
        <v/>
      </c>
      <c r="L710" s="282" t="str" cm="1">
        <f t="array" ref="L710">_xll.FDSB($C710,"CS_EVENT_DESC_N("&amp;$AB$18&amp;",1)")</f>
        <v/>
      </c>
      <c r="M710" s="300"/>
      <c r="N710" s="274" t="str" cm="1">
        <f t="array" ref="N710">_xll.FDSB($C710,"CS_EVENT_DATEJ_N("&amp;$AA$18&amp;",2)")</f>
        <v/>
      </c>
      <c r="O710" s="282" t="str" cm="1">
        <f t="array" ref="O710">_xll.FDSB($C710,"CS_EVENT_TIME_N("&amp;$AA$18&amp;",2)")</f>
        <v/>
      </c>
      <c r="P710" s="282" t="str" cm="1">
        <f t="array" ref="P710">_xll.FDSB($C710,"CS_EVENT_DESC_N("&amp;$AA$18&amp;",2)")</f>
        <v/>
      </c>
      <c r="Q710" s="282"/>
      <c r="R710" s="274" t="str" cm="1">
        <f t="array" ref="R710">_xll.FDSB($C710,"CS_EVENT_DATEJ_N("&amp;$AA$18&amp;",3)")</f>
        <v/>
      </c>
      <c r="S710" s="282" t="str" cm="1">
        <f t="array" ref="S710">_xll.FDSB($C710,"CS_EVENT_TIME_N("&amp;$AA$18&amp;",3)")</f>
        <v/>
      </c>
      <c r="T710" s="282" t="str" cm="1">
        <f t="array" ref="T710">_xll.FDSB($C710,"CS_EVENT_DESC_N("&amp;$AA$18&amp;",3)")</f>
        <v/>
      </c>
      <c r="U710" s="282"/>
      <c r="V710" s="274" t="str" cm="1">
        <f t="array" ref="V710">_xll.FDSB($C710,"CS_EVENT_DATEJ_N("&amp;$AA$18&amp;",4)")</f>
        <v/>
      </c>
      <c r="W710" s="282" t="str" cm="1">
        <f t="array" ref="W710">_xll.FDSB($C710,"CS_EVENT_TIME_N("&amp;$AA$18&amp;",4)")</f>
        <v/>
      </c>
      <c r="X710" s="282" t="str" cm="1">
        <f t="array" ref="X710">_xll.FDSB($C710,"CS_EVENT_DESC_N("&amp;$AA$18&amp;",4)")</f>
        <v/>
      </c>
    </row>
    <row r="711" spans="2:24" x14ac:dyDescent="0.15">
      <c r="B711" s="298">
        <f t="shared" si="12"/>
        <v>696</v>
      </c>
      <c r="C711" s="299"/>
      <c r="D711" s="300" t="str" cm="1">
        <f t="array" ref="D711">_xll.FDSB($C711,"FG_COMPANY_NAME")</f>
        <v/>
      </c>
      <c r="E711" s="300"/>
      <c r="F711" s="274" t="str" cm="1">
        <f t="array" ref="F711">_xll.FDSB($C711,"CS_EVENT_DATEJ_N("&amp;$AA$18&amp;",1)")</f>
        <v/>
      </c>
      <c r="G711" s="282" t="str" cm="1">
        <f t="array" ref="G711">_xll.FDSB($C711,"CS_EVENT_TIME_N("&amp;$AA$18&amp;",1)")</f>
        <v/>
      </c>
      <c r="H711" s="282" t="str" cm="1">
        <f t="array" ref="H711">_xll.FDSB($C711,"CS_EVENT_DESC_N("&amp;$AA$18&amp;",1)")</f>
        <v/>
      </c>
      <c r="I711" s="282"/>
      <c r="J711" s="274" t="str" cm="1">
        <f t="array" ref="J711">_xll.FDSB($C711,"CS_EVENT_DATEJ_N("&amp;$AB$18&amp;",1)")</f>
        <v/>
      </c>
      <c r="K711" s="282" t="str" cm="1">
        <f t="array" ref="K711">_xll.FDSB($C711,"CS_EVENT_TIME_N("&amp;$AB$18&amp;",1)")</f>
        <v/>
      </c>
      <c r="L711" s="282" t="str" cm="1">
        <f t="array" ref="L711">_xll.FDSB($C711,"CS_EVENT_DESC_N("&amp;$AB$18&amp;",1)")</f>
        <v/>
      </c>
      <c r="M711" s="300"/>
      <c r="N711" s="274" t="str" cm="1">
        <f t="array" ref="N711">_xll.FDSB($C711,"CS_EVENT_DATEJ_N("&amp;$AA$18&amp;",2)")</f>
        <v/>
      </c>
      <c r="O711" s="282" t="str" cm="1">
        <f t="array" ref="O711">_xll.FDSB($C711,"CS_EVENT_TIME_N("&amp;$AA$18&amp;",2)")</f>
        <v/>
      </c>
      <c r="P711" s="282" t="str" cm="1">
        <f t="array" ref="P711">_xll.FDSB($C711,"CS_EVENT_DESC_N("&amp;$AA$18&amp;",2)")</f>
        <v/>
      </c>
      <c r="Q711" s="282"/>
      <c r="R711" s="274" t="str" cm="1">
        <f t="array" ref="R711">_xll.FDSB($C711,"CS_EVENT_DATEJ_N("&amp;$AA$18&amp;",3)")</f>
        <v/>
      </c>
      <c r="S711" s="282" t="str" cm="1">
        <f t="array" ref="S711">_xll.FDSB($C711,"CS_EVENT_TIME_N("&amp;$AA$18&amp;",3)")</f>
        <v/>
      </c>
      <c r="T711" s="282" t="str" cm="1">
        <f t="array" ref="T711">_xll.FDSB($C711,"CS_EVENT_DESC_N("&amp;$AA$18&amp;",3)")</f>
        <v/>
      </c>
      <c r="U711" s="282"/>
      <c r="V711" s="274" t="str" cm="1">
        <f t="array" ref="V711">_xll.FDSB($C711,"CS_EVENT_DATEJ_N("&amp;$AA$18&amp;",4)")</f>
        <v/>
      </c>
      <c r="W711" s="282" t="str" cm="1">
        <f t="array" ref="W711">_xll.FDSB($C711,"CS_EVENT_TIME_N("&amp;$AA$18&amp;",4)")</f>
        <v/>
      </c>
      <c r="X711" s="282" t="str" cm="1">
        <f t="array" ref="X711">_xll.FDSB($C711,"CS_EVENT_DESC_N("&amp;$AA$18&amp;",4)")</f>
        <v/>
      </c>
    </row>
    <row r="712" spans="2:24" x14ac:dyDescent="0.15">
      <c r="B712" s="298">
        <f t="shared" si="12"/>
        <v>697</v>
      </c>
      <c r="C712" s="299"/>
      <c r="D712" s="300" t="str" cm="1">
        <f t="array" ref="D712">_xll.FDSB($C712,"FG_COMPANY_NAME")</f>
        <v/>
      </c>
      <c r="E712" s="300"/>
      <c r="F712" s="274" t="str" cm="1">
        <f t="array" ref="F712">_xll.FDSB($C712,"CS_EVENT_DATEJ_N("&amp;$AA$18&amp;",1)")</f>
        <v/>
      </c>
      <c r="G712" s="282" t="str" cm="1">
        <f t="array" ref="G712">_xll.FDSB($C712,"CS_EVENT_TIME_N("&amp;$AA$18&amp;",1)")</f>
        <v/>
      </c>
      <c r="H712" s="282" t="str" cm="1">
        <f t="array" ref="H712">_xll.FDSB($C712,"CS_EVENT_DESC_N("&amp;$AA$18&amp;",1)")</f>
        <v/>
      </c>
      <c r="I712" s="282"/>
      <c r="J712" s="274" t="str" cm="1">
        <f t="array" ref="J712">_xll.FDSB($C712,"CS_EVENT_DATEJ_N("&amp;$AB$18&amp;",1)")</f>
        <v/>
      </c>
      <c r="K712" s="282" t="str" cm="1">
        <f t="array" ref="K712">_xll.FDSB($C712,"CS_EVENT_TIME_N("&amp;$AB$18&amp;",1)")</f>
        <v/>
      </c>
      <c r="L712" s="282" t="str" cm="1">
        <f t="array" ref="L712">_xll.FDSB($C712,"CS_EVENT_DESC_N("&amp;$AB$18&amp;",1)")</f>
        <v/>
      </c>
      <c r="M712" s="300"/>
      <c r="N712" s="274" t="str" cm="1">
        <f t="array" ref="N712">_xll.FDSB($C712,"CS_EVENT_DATEJ_N("&amp;$AA$18&amp;",2)")</f>
        <v/>
      </c>
      <c r="O712" s="282" t="str" cm="1">
        <f t="array" ref="O712">_xll.FDSB($C712,"CS_EVENT_TIME_N("&amp;$AA$18&amp;",2)")</f>
        <v/>
      </c>
      <c r="P712" s="282" t="str" cm="1">
        <f t="array" ref="P712">_xll.FDSB($C712,"CS_EVENT_DESC_N("&amp;$AA$18&amp;",2)")</f>
        <v/>
      </c>
      <c r="Q712" s="282"/>
      <c r="R712" s="274" t="str" cm="1">
        <f t="array" ref="R712">_xll.FDSB($C712,"CS_EVENT_DATEJ_N("&amp;$AA$18&amp;",3)")</f>
        <v/>
      </c>
      <c r="S712" s="282" t="str" cm="1">
        <f t="array" ref="S712">_xll.FDSB($C712,"CS_EVENT_TIME_N("&amp;$AA$18&amp;",3)")</f>
        <v/>
      </c>
      <c r="T712" s="282" t="str" cm="1">
        <f t="array" ref="T712">_xll.FDSB($C712,"CS_EVENT_DESC_N("&amp;$AA$18&amp;",3)")</f>
        <v/>
      </c>
      <c r="U712" s="282"/>
      <c r="V712" s="274" t="str" cm="1">
        <f t="array" ref="V712">_xll.FDSB($C712,"CS_EVENT_DATEJ_N("&amp;$AA$18&amp;",4)")</f>
        <v/>
      </c>
      <c r="W712" s="282" t="str" cm="1">
        <f t="array" ref="W712">_xll.FDSB($C712,"CS_EVENT_TIME_N("&amp;$AA$18&amp;",4)")</f>
        <v/>
      </c>
      <c r="X712" s="282" t="str" cm="1">
        <f t="array" ref="X712">_xll.FDSB($C712,"CS_EVENT_DESC_N("&amp;$AA$18&amp;",4)")</f>
        <v/>
      </c>
    </row>
    <row r="713" spans="2:24" x14ac:dyDescent="0.15">
      <c r="B713" s="298">
        <f t="shared" si="12"/>
        <v>698</v>
      </c>
      <c r="C713" s="299"/>
      <c r="D713" s="300" t="str" cm="1">
        <f t="array" ref="D713">_xll.FDSB($C713,"FG_COMPANY_NAME")</f>
        <v/>
      </c>
      <c r="E713" s="300"/>
      <c r="F713" s="274" t="str" cm="1">
        <f t="array" ref="F713">_xll.FDSB($C713,"CS_EVENT_DATEJ_N("&amp;$AA$18&amp;",1)")</f>
        <v/>
      </c>
      <c r="G713" s="282" t="str" cm="1">
        <f t="array" ref="G713">_xll.FDSB($C713,"CS_EVENT_TIME_N("&amp;$AA$18&amp;",1)")</f>
        <v/>
      </c>
      <c r="H713" s="282" t="str" cm="1">
        <f t="array" ref="H713">_xll.FDSB($C713,"CS_EVENT_DESC_N("&amp;$AA$18&amp;",1)")</f>
        <v/>
      </c>
      <c r="I713" s="282"/>
      <c r="J713" s="274" t="str" cm="1">
        <f t="array" ref="J713">_xll.FDSB($C713,"CS_EVENT_DATEJ_N("&amp;$AB$18&amp;",1)")</f>
        <v/>
      </c>
      <c r="K713" s="282" t="str" cm="1">
        <f t="array" ref="K713">_xll.FDSB($C713,"CS_EVENT_TIME_N("&amp;$AB$18&amp;",1)")</f>
        <v/>
      </c>
      <c r="L713" s="282" t="str" cm="1">
        <f t="array" ref="L713">_xll.FDSB($C713,"CS_EVENT_DESC_N("&amp;$AB$18&amp;",1)")</f>
        <v/>
      </c>
      <c r="M713" s="300"/>
      <c r="N713" s="274" t="str" cm="1">
        <f t="array" ref="N713">_xll.FDSB($C713,"CS_EVENT_DATEJ_N("&amp;$AA$18&amp;",2)")</f>
        <v/>
      </c>
      <c r="O713" s="282" t="str" cm="1">
        <f t="array" ref="O713">_xll.FDSB($C713,"CS_EVENT_TIME_N("&amp;$AA$18&amp;",2)")</f>
        <v/>
      </c>
      <c r="P713" s="282" t="str" cm="1">
        <f t="array" ref="P713">_xll.FDSB($C713,"CS_EVENT_DESC_N("&amp;$AA$18&amp;",2)")</f>
        <v/>
      </c>
      <c r="Q713" s="282"/>
      <c r="R713" s="274" t="str" cm="1">
        <f t="array" ref="R713">_xll.FDSB($C713,"CS_EVENT_DATEJ_N("&amp;$AA$18&amp;",3)")</f>
        <v/>
      </c>
      <c r="S713" s="282" t="str" cm="1">
        <f t="array" ref="S713">_xll.FDSB($C713,"CS_EVENT_TIME_N("&amp;$AA$18&amp;",3)")</f>
        <v/>
      </c>
      <c r="T713" s="282" t="str" cm="1">
        <f t="array" ref="T713">_xll.FDSB($C713,"CS_EVENT_DESC_N("&amp;$AA$18&amp;",3)")</f>
        <v/>
      </c>
      <c r="U713" s="282"/>
      <c r="V713" s="274" t="str" cm="1">
        <f t="array" ref="V713">_xll.FDSB($C713,"CS_EVENT_DATEJ_N("&amp;$AA$18&amp;",4)")</f>
        <v/>
      </c>
      <c r="W713" s="282" t="str" cm="1">
        <f t="array" ref="W713">_xll.FDSB($C713,"CS_EVENT_TIME_N("&amp;$AA$18&amp;",4)")</f>
        <v/>
      </c>
      <c r="X713" s="282" t="str" cm="1">
        <f t="array" ref="X713">_xll.FDSB($C713,"CS_EVENT_DESC_N("&amp;$AA$18&amp;",4)")</f>
        <v/>
      </c>
    </row>
    <row r="714" spans="2:24" x14ac:dyDescent="0.15">
      <c r="B714" s="298">
        <f t="shared" si="12"/>
        <v>699</v>
      </c>
      <c r="C714" s="299"/>
      <c r="D714" s="300" t="str" cm="1">
        <f t="array" ref="D714">_xll.FDSB($C714,"FG_COMPANY_NAME")</f>
        <v/>
      </c>
      <c r="E714" s="300"/>
      <c r="F714" s="274" t="str" cm="1">
        <f t="array" ref="F714">_xll.FDSB($C714,"CS_EVENT_DATEJ_N("&amp;$AA$18&amp;",1)")</f>
        <v/>
      </c>
      <c r="G714" s="282" t="str" cm="1">
        <f t="array" ref="G714">_xll.FDSB($C714,"CS_EVENT_TIME_N("&amp;$AA$18&amp;",1)")</f>
        <v/>
      </c>
      <c r="H714" s="282" t="str" cm="1">
        <f t="array" ref="H714">_xll.FDSB($C714,"CS_EVENT_DESC_N("&amp;$AA$18&amp;",1)")</f>
        <v/>
      </c>
      <c r="I714" s="282"/>
      <c r="J714" s="274" t="str" cm="1">
        <f t="array" ref="J714">_xll.FDSB($C714,"CS_EVENT_DATEJ_N("&amp;$AB$18&amp;",1)")</f>
        <v/>
      </c>
      <c r="K714" s="282" t="str" cm="1">
        <f t="array" ref="K714">_xll.FDSB($C714,"CS_EVENT_TIME_N("&amp;$AB$18&amp;",1)")</f>
        <v/>
      </c>
      <c r="L714" s="282" t="str" cm="1">
        <f t="array" ref="L714">_xll.FDSB($C714,"CS_EVENT_DESC_N("&amp;$AB$18&amp;",1)")</f>
        <v/>
      </c>
      <c r="M714" s="300"/>
      <c r="N714" s="274" t="str" cm="1">
        <f t="array" ref="N714">_xll.FDSB($C714,"CS_EVENT_DATEJ_N("&amp;$AA$18&amp;",2)")</f>
        <v/>
      </c>
      <c r="O714" s="282" t="str" cm="1">
        <f t="array" ref="O714">_xll.FDSB($C714,"CS_EVENT_TIME_N("&amp;$AA$18&amp;",2)")</f>
        <v/>
      </c>
      <c r="P714" s="282" t="str" cm="1">
        <f t="array" ref="P714">_xll.FDSB($C714,"CS_EVENT_DESC_N("&amp;$AA$18&amp;",2)")</f>
        <v/>
      </c>
      <c r="Q714" s="282"/>
      <c r="R714" s="274" t="str" cm="1">
        <f t="array" ref="R714">_xll.FDSB($C714,"CS_EVENT_DATEJ_N("&amp;$AA$18&amp;",3)")</f>
        <v/>
      </c>
      <c r="S714" s="282" t="str" cm="1">
        <f t="array" ref="S714">_xll.FDSB($C714,"CS_EVENT_TIME_N("&amp;$AA$18&amp;",3)")</f>
        <v/>
      </c>
      <c r="T714" s="282" t="str" cm="1">
        <f t="array" ref="T714">_xll.FDSB($C714,"CS_EVENT_DESC_N("&amp;$AA$18&amp;",3)")</f>
        <v/>
      </c>
      <c r="U714" s="282"/>
      <c r="V714" s="274" t="str" cm="1">
        <f t="array" ref="V714">_xll.FDSB($C714,"CS_EVENT_DATEJ_N("&amp;$AA$18&amp;",4)")</f>
        <v/>
      </c>
      <c r="W714" s="282" t="str" cm="1">
        <f t="array" ref="W714">_xll.FDSB($C714,"CS_EVENT_TIME_N("&amp;$AA$18&amp;",4)")</f>
        <v/>
      </c>
      <c r="X714" s="282" t="str" cm="1">
        <f t="array" ref="X714">_xll.FDSB($C714,"CS_EVENT_DESC_N("&amp;$AA$18&amp;",4)")</f>
        <v/>
      </c>
    </row>
    <row r="715" spans="2:24" x14ac:dyDescent="0.15">
      <c r="B715" s="298">
        <f t="shared" si="12"/>
        <v>700</v>
      </c>
      <c r="C715" s="299"/>
      <c r="D715" s="300" t="str" cm="1">
        <f t="array" ref="D715">_xll.FDSB($C715,"FG_COMPANY_NAME")</f>
        <v/>
      </c>
      <c r="E715" s="300"/>
      <c r="F715" s="274" t="str" cm="1">
        <f t="array" ref="F715">_xll.FDSB($C715,"CS_EVENT_DATEJ_N("&amp;$AA$18&amp;",1)")</f>
        <v/>
      </c>
      <c r="G715" s="282" t="str" cm="1">
        <f t="array" ref="G715">_xll.FDSB($C715,"CS_EVENT_TIME_N("&amp;$AA$18&amp;",1)")</f>
        <v/>
      </c>
      <c r="H715" s="282" t="str" cm="1">
        <f t="array" ref="H715">_xll.FDSB($C715,"CS_EVENT_DESC_N("&amp;$AA$18&amp;",1)")</f>
        <v/>
      </c>
      <c r="I715" s="282"/>
      <c r="J715" s="274" t="str" cm="1">
        <f t="array" ref="J715">_xll.FDSB($C715,"CS_EVENT_DATEJ_N("&amp;$AB$18&amp;",1)")</f>
        <v/>
      </c>
      <c r="K715" s="282" t="str" cm="1">
        <f t="array" ref="K715">_xll.FDSB($C715,"CS_EVENT_TIME_N("&amp;$AB$18&amp;",1)")</f>
        <v/>
      </c>
      <c r="L715" s="282" t="str" cm="1">
        <f t="array" ref="L715">_xll.FDSB($C715,"CS_EVENT_DESC_N("&amp;$AB$18&amp;",1)")</f>
        <v/>
      </c>
      <c r="M715" s="300"/>
      <c r="N715" s="274" t="str" cm="1">
        <f t="array" ref="N715">_xll.FDSB($C715,"CS_EVENT_DATEJ_N("&amp;$AA$18&amp;",2)")</f>
        <v/>
      </c>
      <c r="O715" s="282" t="str" cm="1">
        <f t="array" ref="O715">_xll.FDSB($C715,"CS_EVENT_TIME_N("&amp;$AA$18&amp;",2)")</f>
        <v/>
      </c>
      <c r="P715" s="282" t="str" cm="1">
        <f t="array" ref="P715">_xll.FDSB($C715,"CS_EVENT_DESC_N("&amp;$AA$18&amp;",2)")</f>
        <v/>
      </c>
      <c r="Q715" s="282"/>
      <c r="R715" s="274" t="str" cm="1">
        <f t="array" ref="R715">_xll.FDSB($C715,"CS_EVENT_DATEJ_N("&amp;$AA$18&amp;",3)")</f>
        <v/>
      </c>
      <c r="S715" s="282" t="str" cm="1">
        <f t="array" ref="S715">_xll.FDSB($C715,"CS_EVENT_TIME_N("&amp;$AA$18&amp;",3)")</f>
        <v/>
      </c>
      <c r="T715" s="282" t="str" cm="1">
        <f t="array" ref="T715">_xll.FDSB($C715,"CS_EVENT_DESC_N("&amp;$AA$18&amp;",3)")</f>
        <v/>
      </c>
      <c r="U715" s="282"/>
      <c r="V715" s="274" t="str" cm="1">
        <f t="array" ref="V715">_xll.FDSB($C715,"CS_EVENT_DATEJ_N("&amp;$AA$18&amp;",4)")</f>
        <v/>
      </c>
      <c r="W715" s="282" t="str" cm="1">
        <f t="array" ref="W715">_xll.FDSB($C715,"CS_EVENT_TIME_N("&amp;$AA$18&amp;",4)")</f>
        <v/>
      </c>
      <c r="X715" s="282" t="str" cm="1">
        <f t="array" ref="X715">_xll.FDSB($C715,"CS_EVENT_DESC_N("&amp;$AA$18&amp;",4)")</f>
        <v/>
      </c>
    </row>
    <row r="716" spans="2:24" x14ac:dyDescent="0.15">
      <c r="B716" s="298">
        <f t="shared" si="12"/>
        <v>701</v>
      </c>
      <c r="C716" s="299"/>
      <c r="D716" s="300" t="str" cm="1">
        <f t="array" ref="D716">_xll.FDSB($C716,"FG_COMPANY_NAME")</f>
        <v/>
      </c>
      <c r="E716" s="300"/>
      <c r="F716" s="274" t="str" cm="1">
        <f t="array" ref="F716">_xll.FDSB($C716,"CS_EVENT_DATEJ_N("&amp;$AA$18&amp;",1)")</f>
        <v/>
      </c>
      <c r="G716" s="282" t="str" cm="1">
        <f t="array" ref="G716">_xll.FDSB($C716,"CS_EVENT_TIME_N("&amp;$AA$18&amp;",1)")</f>
        <v/>
      </c>
      <c r="H716" s="282" t="str" cm="1">
        <f t="array" ref="H716">_xll.FDSB($C716,"CS_EVENT_DESC_N("&amp;$AA$18&amp;",1)")</f>
        <v/>
      </c>
      <c r="I716" s="282"/>
      <c r="J716" s="274" t="str" cm="1">
        <f t="array" ref="J716">_xll.FDSB($C716,"CS_EVENT_DATEJ_N("&amp;$AB$18&amp;",1)")</f>
        <v/>
      </c>
      <c r="K716" s="282" t="str" cm="1">
        <f t="array" ref="K716">_xll.FDSB($C716,"CS_EVENT_TIME_N("&amp;$AB$18&amp;",1)")</f>
        <v/>
      </c>
      <c r="L716" s="282" t="str" cm="1">
        <f t="array" ref="L716">_xll.FDSB($C716,"CS_EVENT_DESC_N("&amp;$AB$18&amp;",1)")</f>
        <v/>
      </c>
      <c r="M716" s="300"/>
      <c r="N716" s="274" t="str" cm="1">
        <f t="array" ref="N716">_xll.FDSB($C716,"CS_EVENT_DATEJ_N("&amp;$AA$18&amp;",2)")</f>
        <v/>
      </c>
      <c r="O716" s="282" t="str" cm="1">
        <f t="array" ref="O716">_xll.FDSB($C716,"CS_EVENT_TIME_N("&amp;$AA$18&amp;",2)")</f>
        <v/>
      </c>
      <c r="P716" s="282" t="str" cm="1">
        <f t="array" ref="P716">_xll.FDSB($C716,"CS_EVENT_DESC_N("&amp;$AA$18&amp;",2)")</f>
        <v/>
      </c>
      <c r="Q716" s="282"/>
      <c r="R716" s="274" t="str" cm="1">
        <f t="array" ref="R716">_xll.FDSB($C716,"CS_EVENT_DATEJ_N("&amp;$AA$18&amp;",3)")</f>
        <v/>
      </c>
      <c r="S716" s="282" t="str" cm="1">
        <f t="array" ref="S716">_xll.FDSB($C716,"CS_EVENT_TIME_N("&amp;$AA$18&amp;",3)")</f>
        <v/>
      </c>
      <c r="T716" s="282" t="str" cm="1">
        <f t="array" ref="T716">_xll.FDSB($C716,"CS_EVENT_DESC_N("&amp;$AA$18&amp;",3)")</f>
        <v/>
      </c>
      <c r="U716" s="282"/>
      <c r="V716" s="274" t="str" cm="1">
        <f t="array" ref="V716">_xll.FDSB($C716,"CS_EVENT_DATEJ_N("&amp;$AA$18&amp;",4)")</f>
        <v/>
      </c>
      <c r="W716" s="282" t="str" cm="1">
        <f t="array" ref="W716">_xll.FDSB($C716,"CS_EVENT_TIME_N("&amp;$AA$18&amp;",4)")</f>
        <v/>
      </c>
      <c r="X716" s="282" t="str" cm="1">
        <f t="array" ref="X716">_xll.FDSB($C716,"CS_EVENT_DESC_N("&amp;$AA$18&amp;",4)")</f>
        <v/>
      </c>
    </row>
    <row r="717" spans="2:24" x14ac:dyDescent="0.15">
      <c r="B717" s="298">
        <f t="shared" si="12"/>
        <v>702</v>
      </c>
      <c r="C717" s="299"/>
      <c r="D717" s="300" t="str" cm="1">
        <f t="array" ref="D717">_xll.FDSB($C717,"FG_COMPANY_NAME")</f>
        <v/>
      </c>
      <c r="E717" s="300"/>
      <c r="F717" s="274" t="str" cm="1">
        <f t="array" ref="F717">_xll.FDSB($C717,"CS_EVENT_DATEJ_N("&amp;$AA$18&amp;",1)")</f>
        <v/>
      </c>
      <c r="G717" s="282" t="str" cm="1">
        <f t="array" ref="G717">_xll.FDSB($C717,"CS_EVENT_TIME_N("&amp;$AA$18&amp;",1)")</f>
        <v/>
      </c>
      <c r="H717" s="282" t="str" cm="1">
        <f t="array" ref="H717">_xll.FDSB($C717,"CS_EVENT_DESC_N("&amp;$AA$18&amp;",1)")</f>
        <v/>
      </c>
      <c r="I717" s="282"/>
      <c r="J717" s="274" t="str" cm="1">
        <f t="array" ref="J717">_xll.FDSB($C717,"CS_EVENT_DATEJ_N("&amp;$AB$18&amp;",1)")</f>
        <v/>
      </c>
      <c r="K717" s="282" t="str" cm="1">
        <f t="array" ref="K717">_xll.FDSB($C717,"CS_EVENT_TIME_N("&amp;$AB$18&amp;",1)")</f>
        <v/>
      </c>
      <c r="L717" s="282" t="str" cm="1">
        <f t="array" ref="L717">_xll.FDSB($C717,"CS_EVENT_DESC_N("&amp;$AB$18&amp;",1)")</f>
        <v/>
      </c>
      <c r="M717" s="300"/>
      <c r="N717" s="274" t="str" cm="1">
        <f t="array" ref="N717">_xll.FDSB($C717,"CS_EVENT_DATEJ_N("&amp;$AA$18&amp;",2)")</f>
        <v/>
      </c>
      <c r="O717" s="282" t="str" cm="1">
        <f t="array" ref="O717">_xll.FDSB($C717,"CS_EVENT_TIME_N("&amp;$AA$18&amp;",2)")</f>
        <v/>
      </c>
      <c r="P717" s="282" t="str" cm="1">
        <f t="array" ref="P717">_xll.FDSB($C717,"CS_EVENT_DESC_N("&amp;$AA$18&amp;",2)")</f>
        <v/>
      </c>
      <c r="Q717" s="282"/>
      <c r="R717" s="274" t="str" cm="1">
        <f t="array" ref="R717">_xll.FDSB($C717,"CS_EVENT_DATEJ_N("&amp;$AA$18&amp;",3)")</f>
        <v/>
      </c>
      <c r="S717" s="282" t="str" cm="1">
        <f t="array" ref="S717">_xll.FDSB($C717,"CS_EVENT_TIME_N("&amp;$AA$18&amp;",3)")</f>
        <v/>
      </c>
      <c r="T717" s="282" t="str" cm="1">
        <f t="array" ref="T717">_xll.FDSB($C717,"CS_EVENT_DESC_N("&amp;$AA$18&amp;",3)")</f>
        <v/>
      </c>
      <c r="U717" s="282"/>
      <c r="V717" s="274" t="str" cm="1">
        <f t="array" ref="V717">_xll.FDSB($C717,"CS_EVENT_DATEJ_N("&amp;$AA$18&amp;",4)")</f>
        <v/>
      </c>
      <c r="W717" s="282" t="str" cm="1">
        <f t="array" ref="W717">_xll.FDSB($C717,"CS_EVENT_TIME_N("&amp;$AA$18&amp;",4)")</f>
        <v/>
      </c>
      <c r="X717" s="282" t="str" cm="1">
        <f t="array" ref="X717">_xll.FDSB($C717,"CS_EVENT_DESC_N("&amp;$AA$18&amp;",4)")</f>
        <v/>
      </c>
    </row>
    <row r="718" spans="2:24" x14ac:dyDescent="0.15">
      <c r="B718" s="298">
        <f t="shared" si="12"/>
        <v>703</v>
      </c>
      <c r="C718" s="299"/>
      <c r="D718" s="300" t="str" cm="1">
        <f t="array" ref="D718">_xll.FDSB($C718,"FG_COMPANY_NAME")</f>
        <v/>
      </c>
      <c r="E718" s="300"/>
      <c r="F718" s="274" t="str" cm="1">
        <f t="array" ref="F718">_xll.FDSB($C718,"CS_EVENT_DATEJ_N("&amp;$AA$18&amp;",1)")</f>
        <v/>
      </c>
      <c r="G718" s="282" t="str" cm="1">
        <f t="array" ref="G718">_xll.FDSB($C718,"CS_EVENT_TIME_N("&amp;$AA$18&amp;",1)")</f>
        <v/>
      </c>
      <c r="H718" s="282" t="str" cm="1">
        <f t="array" ref="H718">_xll.FDSB($C718,"CS_EVENT_DESC_N("&amp;$AA$18&amp;",1)")</f>
        <v/>
      </c>
      <c r="I718" s="282"/>
      <c r="J718" s="274" t="str" cm="1">
        <f t="array" ref="J718">_xll.FDSB($C718,"CS_EVENT_DATEJ_N("&amp;$AB$18&amp;",1)")</f>
        <v/>
      </c>
      <c r="K718" s="282" t="str" cm="1">
        <f t="array" ref="K718">_xll.FDSB($C718,"CS_EVENT_TIME_N("&amp;$AB$18&amp;",1)")</f>
        <v/>
      </c>
      <c r="L718" s="282" t="str" cm="1">
        <f t="array" ref="L718">_xll.FDSB($C718,"CS_EVENT_DESC_N("&amp;$AB$18&amp;",1)")</f>
        <v/>
      </c>
      <c r="M718" s="300"/>
      <c r="N718" s="274" t="str" cm="1">
        <f t="array" ref="N718">_xll.FDSB($C718,"CS_EVENT_DATEJ_N("&amp;$AA$18&amp;",2)")</f>
        <v/>
      </c>
      <c r="O718" s="282" t="str" cm="1">
        <f t="array" ref="O718">_xll.FDSB($C718,"CS_EVENT_TIME_N("&amp;$AA$18&amp;",2)")</f>
        <v/>
      </c>
      <c r="P718" s="282" t="str" cm="1">
        <f t="array" ref="P718">_xll.FDSB($C718,"CS_EVENT_DESC_N("&amp;$AA$18&amp;",2)")</f>
        <v/>
      </c>
      <c r="Q718" s="282"/>
      <c r="R718" s="274" t="str" cm="1">
        <f t="array" ref="R718">_xll.FDSB($C718,"CS_EVENT_DATEJ_N("&amp;$AA$18&amp;",3)")</f>
        <v/>
      </c>
      <c r="S718" s="282" t="str" cm="1">
        <f t="array" ref="S718">_xll.FDSB($C718,"CS_EVENT_TIME_N("&amp;$AA$18&amp;",3)")</f>
        <v/>
      </c>
      <c r="T718" s="282" t="str" cm="1">
        <f t="array" ref="T718">_xll.FDSB($C718,"CS_EVENT_DESC_N("&amp;$AA$18&amp;",3)")</f>
        <v/>
      </c>
      <c r="U718" s="282"/>
      <c r="V718" s="274" t="str" cm="1">
        <f t="array" ref="V718">_xll.FDSB($C718,"CS_EVENT_DATEJ_N("&amp;$AA$18&amp;",4)")</f>
        <v/>
      </c>
      <c r="W718" s="282" t="str" cm="1">
        <f t="array" ref="W718">_xll.FDSB($C718,"CS_EVENT_TIME_N("&amp;$AA$18&amp;",4)")</f>
        <v/>
      </c>
      <c r="X718" s="282" t="str" cm="1">
        <f t="array" ref="X718">_xll.FDSB($C718,"CS_EVENT_DESC_N("&amp;$AA$18&amp;",4)")</f>
        <v/>
      </c>
    </row>
    <row r="719" spans="2:24" x14ac:dyDescent="0.15">
      <c r="B719" s="298">
        <f t="shared" si="12"/>
        <v>704</v>
      </c>
      <c r="C719" s="299"/>
      <c r="D719" s="300" t="str" cm="1">
        <f t="array" ref="D719">_xll.FDSB($C719,"FG_COMPANY_NAME")</f>
        <v/>
      </c>
      <c r="E719" s="300"/>
      <c r="F719" s="274" t="str" cm="1">
        <f t="array" ref="F719">_xll.FDSB($C719,"CS_EVENT_DATEJ_N("&amp;$AA$18&amp;",1)")</f>
        <v/>
      </c>
      <c r="G719" s="282" t="str" cm="1">
        <f t="array" ref="G719">_xll.FDSB($C719,"CS_EVENT_TIME_N("&amp;$AA$18&amp;",1)")</f>
        <v/>
      </c>
      <c r="H719" s="282" t="str" cm="1">
        <f t="array" ref="H719">_xll.FDSB($C719,"CS_EVENT_DESC_N("&amp;$AA$18&amp;",1)")</f>
        <v/>
      </c>
      <c r="I719" s="282"/>
      <c r="J719" s="274" t="str" cm="1">
        <f t="array" ref="J719">_xll.FDSB($C719,"CS_EVENT_DATEJ_N("&amp;$AB$18&amp;",1)")</f>
        <v/>
      </c>
      <c r="K719" s="282" t="str" cm="1">
        <f t="array" ref="K719">_xll.FDSB($C719,"CS_EVENT_TIME_N("&amp;$AB$18&amp;",1)")</f>
        <v/>
      </c>
      <c r="L719" s="282" t="str" cm="1">
        <f t="array" ref="L719">_xll.FDSB($C719,"CS_EVENT_DESC_N("&amp;$AB$18&amp;",1)")</f>
        <v/>
      </c>
      <c r="M719" s="300"/>
      <c r="N719" s="274" t="str" cm="1">
        <f t="array" ref="N719">_xll.FDSB($C719,"CS_EVENT_DATEJ_N("&amp;$AA$18&amp;",2)")</f>
        <v/>
      </c>
      <c r="O719" s="282" t="str" cm="1">
        <f t="array" ref="O719">_xll.FDSB($C719,"CS_EVENT_TIME_N("&amp;$AA$18&amp;",2)")</f>
        <v/>
      </c>
      <c r="P719" s="282" t="str" cm="1">
        <f t="array" ref="P719">_xll.FDSB($C719,"CS_EVENT_DESC_N("&amp;$AA$18&amp;",2)")</f>
        <v/>
      </c>
      <c r="Q719" s="282"/>
      <c r="R719" s="274" t="str" cm="1">
        <f t="array" ref="R719">_xll.FDSB($C719,"CS_EVENT_DATEJ_N("&amp;$AA$18&amp;",3)")</f>
        <v/>
      </c>
      <c r="S719" s="282" t="str" cm="1">
        <f t="array" ref="S719">_xll.FDSB($C719,"CS_EVENT_TIME_N("&amp;$AA$18&amp;",3)")</f>
        <v/>
      </c>
      <c r="T719" s="282" t="str" cm="1">
        <f t="array" ref="T719">_xll.FDSB($C719,"CS_EVENT_DESC_N("&amp;$AA$18&amp;",3)")</f>
        <v/>
      </c>
      <c r="U719" s="282"/>
      <c r="V719" s="274" t="str" cm="1">
        <f t="array" ref="V719">_xll.FDSB($C719,"CS_EVENT_DATEJ_N("&amp;$AA$18&amp;",4)")</f>
        <v/>
      </c>
      <c r="W719" s="282" t="str" cm="1">
        <f t="array" ref="W719">_xll.FDSB($C719,"CS_EVENT_TIME_N("&amp;$AA$18&amp;",4)")</f>
        <v/>
      </c>
      <c r="X719" s="282" t="str" cm="1">
        <f t="array" ref="X719">_xll.FDSB($C719,"CS_EVENT_DESC_N("&amp;$AA$18&amp;",4)")</f>
        <v/>
      </c>
    </row>
    <row r="720" spans="2:24" x14ac:dyDescent="0.15">
      <c r="B720" s="298">
        <f t="shared" si="12"/>
        <v>705</v>
      </c>
      <c r="C720" s="299"/>
      <c r="D720" s="300" t="str" cm="1">
        <f t="array" ref="D720">_xll.FDSB($C720,"FG_COMPANY_NAME")</f>
        <v/>
      </c>
      <c r="E720" s="300"/>
      <c r="F720" s="274" t="str" cm="1">
        <f t="array" ref="F720">_xll.FDSB($C720,"CS_EVENT_DATEJ_N("&amp;$AA$18&amp;",1)")</f>
        <v/>
      </c>
      <c r="G720" s="282" t="str" cm="1">
        <f t="array" ref="G720">_xll.FDSB($C720,"CS_EVENT_TIME_N("&amp;$AA$18&amp;",1)")</f>
        <v/>
      </c>
      <c r="H720" s="282" t="str" cm="1">
        <f t="array" ref="H720">_xll.FDSB($C720,"CS_EVENT_DESC_N("&amp;$AA$18&amp;",1)")</f>
        <v/>
      </c>
      <c r="I720" s="282"/>
      <c r="J720" s="274" t="str" cm="1">
        <f t="array" ref="J720">_xll.FDSB($C720,"CS_EVENT_DATEJ_N("&amp;$AB$18&amp;",1)")</f>
        <v/>
      </c>
      <c r="K720" s="282" t="str" cm="1">
        <f t="array" ref="K720">_xll.FDSB($C720,"CS_EVENT_TIME_N("&amp;$AB$18&amp;",1)")</f>
        <v/>
      </c>
      <c r="L720" s="282" t="str" cm="1">
        <f t="array" ref="L720">_xll.FDSB($C720,"CS_EVENT_DESC_N("&amp;$AB$18&amp;",1)")</f>
        <v/>
      </c>
      <c r="M720" s="300"/>
      <c r="N720" s="274" t="str" cm="1">
        <f t="array" ref="N720">_xll.FDSB($C720,"CS_EVENT_DATEJ_N("&amp;$AA$18&amp;",2)")</f>
        <v/>
      </c>
      <c r="O720" s="282" t="str" cm="1">
        <f t="array" ref="O720">_xll.FDSB($C720,"CS_EVENT_TIME_N("&amp;$AA$18&amp;",2)")</f>
        <v/>
      </c>
      <c r="P720" s="282" t="str" cm="1">
        <f t="array" ref="P720">_xll.FDSB($C720,"CS_EVENT_DESC_N("&amp;$AA$18&amp;",2)")</f>
        <v/>
      </c>
      <c r="Q720" s="282"/>
      <c r="R720" s="274" t="str" cm="1">
        <f t="array" ref="R720">_xll.FDSB($C720,"CS_EVENT_DATEJ_N("&amp;$AA$18&amp;",3)")</f>
        <v/>
      </c>
      <c r="S720" s="282" t="str" cm="1">
        <f t="array" ref="S720">_xll.FDSB($C720,"CS_EVENT_TIME_N("&amp;$AA$18&amp;",3)")</f>
        <v/>
      </c>
      <c r="T720" s="282" t="str" cm="1">
        <f t="array" ref="T720">_xll.FDSB($C720,"CS_EVENT_DESC_N("&amp;$AA$18&amp;",3)")</f>
        <v/>
      </c>
      <c r="U720" s="282"/>
      <c r="V720" s="274" t="str" cm="1">
        <f t="array" ref="V720">_xll.FDSB($C720,"CS_EVENT_DATEJ_N("&amp;$AA$18&amp;",4)")</f>
        <v/>
      </c>
      <c r="W720" s="282" t="str" cm="1">
        <f t="array" ref="W720">_xll.FDSB($C720,"CS_EVENT_TIME_N("&amp;$AA$18&amp;",4)")</f>
        <v/>
      </c>
      <c r="X720" s="282" t="str" cm="1">
        <f t="array" ref="X720">_xll.FDSB($C720,"CS_EVENT_DESC_N("&amp;$AA$18&amp;",4)")</f>
        <v/>
      </c>
    </row>
    <row r="721" spans="2:24" x14ac:dyDescent="0.15">
      <c r="B721" s="298">
        <f t="shared" si="12"/>
        <v>706</v>
      </c>
      <c r="C721" s="299"/>
      <c r="D721" s="300" t="str" cm="1">
        <f t="array" ref="D721">_xll.FDSB($C721,"FG_COMPANY_NAME")</f>
        <v/>
      </c>
      <c r="E721" s="300"/>
      <c r="F721" s="274" t="str" cm="1">
        <f t="array" ref="F721">_xll.FDSB($C721,"CS_EVENT_DATEJ_N("&amp;$AA$18&amp;",1)")</f>
        <v/>
      </c>
      <c r="G721" s="282" t="str" cm="1">
        <f t="array" ref="G721">_xll.FDSB($C721,"CS_EVENT_TIME_N("&amp;$AA$18&amp;",1)")</f>
        <v/>
      </c>
      <c r="H721" s="282" t="str" cm="1">
        <f t="array" ref="H721">_xll.FDSB($C721,"CS_EVENT_DESC_N("&amp;$AA$18&amp;",1)")</f>
        <v/>
      </c>
      <c r="I721" s="282"/>
      <c r="J721" s="274" t="str" cm="1">
        <f t="array" ref="J721">_xll.FDSB($C721,"CS_EVENT_DATEJ_N("&amp;$AB$18&amp;",1)")</f>
        <v/>
      </c>
      <c r="K721" s="282" t="str" cm="1">
        <f t="array" ref="K721">_xll.FDSB($C721,"CS_EVENT_TIME_N("&amp;$AB$18&amp;",1)")</f>
        <v/>
      </c>
      <c r="L721" s="282" t="str" cm="1">
        <f t="array" ref="L721">_xll.FDSB($C721,"CS_EVENT_DESC_N("&amp;$AB$18&amp;",1)")</f>
        <v/>
      </c>
      <c r="M721" s="300"/>
      <c r="N721" s="274" t="str" cm="1">
        <f t="array" ref="N721">_xll.FDSB($C721,"CS_EVENT_DATEJ_N("&amp;$AA$18&amp;",2)")</f>
        <v/>
      </c>
      <c r="O721" s="282" t="str" cm="1">
        <f t="array" ref="O721">_xll.FDSB($C721,"CS_EVENT_TIME_N("&amp;$AA$18&amp;",2)")</f>
        <v/>
      </c>
      <c r="P721" s="282" t="str" cm="1">
        <f t="array" ref="P721">_xll.FDSB($C721,"CS_EVENT_DESC_N("&amp;$AA$18&amp;",2)")</f>
        <v/>
      </c>
      <c r="Q721" s="282"/>
      <c r="R721" s="274" t="str" cm="1">
        <f t="array" ref="R721">_xll.FDSB($C721,"CS_EVENT_DATEJ_N("&amp;$AA$18&amp;",3)")</f>
        <v/>
      </c>
      <c r="S721" s="282" t="str" cm="1">
        <f t="array" ref="S721">_xll.FDSB($C721,"CS_EVENT_TIME_N("&amp;$AA$18&amp;",3)")</f>
        <v/>
      </c>
      <c r="T721" s="282" t="str" cm="1">
        <f t="array" ref="T721">_xll.FDSB($C721,"CS_EVENT_DESC_N("&amp;$AA$18&amp;",3)")</f>
        <v/>
      </c>
      <c r="U721" s="282"/>
      <c r="V721" s="274" t="str" cm="1">
        <f t="array" ref="V721">_xll.FDSB($C721,"CS_EVENT_DATEJ_N("&amp;$AA$18&amp;",4)")</f>
        <v/>
      </c>
      <c r="W721" s="282" t="str" cm="1">
        <f t="array" ref="W721">_xll.FDSB($C721,"CS_EVENT_TIME_N("&amp;$AA$18&amp;",4)")</f>
        <v/>
      </c>
      <c r="X721" s="282" t="str" cm="1">
        <f t="array" ref="X721">_xll.FDSB($C721,"CS_EVENT_DESC_N("&amp;$AA$18&amp;",4)")</f>
        <v/>
      </c>
    </row>
    <row r="722" spans="2:24" x14ac:dyDescent="0.15">
      <c r="B722" s="298">
        <f t="shared" ref="B722:B785" si="13">B721+1</f>
        <v>707</v>
      </c>
      <c r="C722" s="299"/>
      <c r="D722" s="300" t="str" cm="1">
        <f t="array" ref="D722">_xll.FDSB($C722,"FG_COMPANY_NAME")</f>
        <v/>
      </c>
      <c r="E722" s="300"/>
      <c r="F722" s="274" t="str" cm="1">
        <f t="array" ref="F722">_xll.FDSB($C722,"CS_EVENT_DATEJ_N("&amp;$AA$18&amp;",1)")</f>
        <v/>
      </c>
      <c r="G722" s="282" t="str" cm="1">
        <f t="array" ref="G722">_xll.FDSB($C722,"CS_EVENT_TIME_N("&amp;$AA$18&amp;",1)")</f>
        <v/>
      </c>
      <c r="H722" s="282" t="str" cm="1">
        <f t="array" ref="H722">_xll.FDSB($C722,"CS_EVENT_DESC_N("&amp;$AA$18&amp;",1)")</f>
        <v/>
      </c>
      <c r="I722" s="282"/>
      <c r="J722" s="274" t="str" cm="1">
        <f t="array" ref="J722">_xll.FDSB($C722,"CS_EVENT_DATEJ_N("&amp;$AB$18&amp;",1)")</f>
        <v/>
      </c>
      <c r="K722" s="282" t="str" cm="1">
        <f t="array" ref="K722">_xll.FDSB($C722,"CS_EVENT_TIME_N("&amp;$AB$18&amp;",1)")</f>
        <v/>
      </c>
      <c r="L722" s="282" t="str" cm="1">
        <f t="array" ref="L722">_xll.FDSB($C722,"CS_EVENT_DESC_N("&amp;$AB$18&amp;",1)")</f>
        <v/>
      </c>
      <c r="M722" s="300"/>
      <c r="N722" s="274" t="str" cm="1">
        <f t="array" ref="N722">_xll.FDSB($C722,"CS_EVENT_DATEJ_N("&amp;$AA$18&amp;",2)")</f>
        <v/>
      </c>
      <c r="O722" s="282" t="str" cm="1">
        <f t="array" ref="O722">_xll.FDSB($C722,"CS_EVENT_TIME_N("&amp;$AA$18&amp;",2)")</f>
        <v/>
      </c>
      <c r="P722" s="282" t="str" cm="1">
        <f t="array" ref="P722">_xll.FDSB($C722,"CS_EVENT_DESC_N("&amp;$AA$18&amp;",2)")</f>
        <v/>
      </c>
      <c r="Q722" s="282"/>
      <c r="R722" s="274" t="str" cm="1">
        <f t="array" ref="R722">_xll.FDSB($C722,"CS_EVENT_DATEJ_N("&amp;$AA$18&amp;",3)")</f>
        <v/>
      </c>
      <c r="S722" s="282" t="str" cm="1">
        <f t="array" ref="S722">_xll.FDSB($C722,"CS_EVENT_TIME_N("&amp;$AA$18&amp;",3)")</f>
        <v/>
      </c>
      <c r="T722" s="282" t="str" cm="1">
        <f t="array" ref="T722">_xll.FDSB($C722,"CS_EVENT_DESC_N("&amp;$AA$18&amp;",3)")</f>
        <v/>
      </c>
      <c r="U722" s="282"/>
      <c r="V722" s="274" t="str" cm="1">
        <f t="array" ref="V722">_xll.FDSB($C722,"CS_EVENT_DATEJ_N("&amp;$AA$18&amp;",4)")</f>
        <v/>
      </c>
      <c r="W722" s="282" t="str" cm="1">
        <f t="array" ref="W722">_xll.FDSB($C722,"CS_EVENT_TIME_N("&amp;$AA$18&amp;",4)")</f>
        <v/>
      </c>
      <c r="X722" s="282" t="str" cm="1">
        <f t="array" ref="X722">_xll.FDSB($C722,"CS_EVENT_DESC_N("&amp;$AA$18&amp;",4)")</f>
        <v/>
      </c>
    </row>
    <row r="723" spans="2:24" x14ac:dyDescent="0.15">
      <c r="B723" s="298">
        <f t="shared" si="13"/>
        <v>708</v>
      </c>
      <c r="C723" s="299"/>
      <c r="D723" s="300" t="str" cm="1">
        <f t="array" ref="D723">_xll.FDSB($C723,"FG_COMPANY_NAME")</f>
        <v/>
      </c>
      <c r="E723" s="300"/>
      <c r="F723" s="274" t="str" cm="1">
        <f t="array" ref="F723">_xll.FDSB($C723,"CS_EVENT_DATEJ_N("&amp;$AA$18&amp;",1)")</f>
        <v/>
      </c>
      <c r="G723" s="282" t="str" cm="1">
        <f t="array" ref="G723">_xll.FDSB($C723,"CS_EVENT_TIME_N("&amp;$AA$18&amp;",1)")</f>
        <v/>
      </c>
      <c r="H723" s="282" t="str" cm="1">
        <f t="array" ref="H723">_xll.FDSB($C723,"CS_EVENT_DESC_N("&amp;$AA$18&amp;",1)")</f>
        <v/>
      </c>
      <c r="I723" s="282"/>
      <c r="J723" s="274" t="str" cm="1">
        <f t="array" ref="J723">_xll.FDSB($C723,"CS_EVENT_DATEJ_N("&amp;$AB$18&amp;",1)")</f>
        <v/>
      </c>
      <c r="K723" s="282" t="str" cm="1">
        <f t="array" ref="K723">_xll.FDSB($C723,"CS_EVENT_TIME_N("&amp;$AB$18&amp;",1)")</f>
        <v/>
      </c>
      <c r="L723" s="282" t="str" cm="1">
        <f t="array" ref="L723">_xll.FDSB($C723,"CS_EVENT_DESC_N("&amp;$AB$18&amp;",1)")</f>
        <v/>
      </c>
      <c r="M723" s="300"/>
      <c r="N723" s="274" t="str" cm="1">
        <f t="array" ref="N723">_xll.FDSB($C723,"CS_EVENT_DATEJ_N("&amp;$AA$18&amp;",2)")</f>
        <v/>
      </c>
      <c r="O723" s="282" t="str" cm="1">
        <f t="array" ref="O723">_xll.FDSB($C723,"CS_EVENT_TIME_N("&amp;$AA$18&amp;",2)")</f>
        <v/>
      </c>
      <c r="P723" s="282" t="str" cm="1">
        <f t="array" ref="P723">_xll.FDSB($C723,"CS_EVENT_DESC_N("&amp;$AA$18&amp;",2)")</f>
        <v/>
      </c>
      <c r="Q723" s="282"/>
      <c r="R723" s="274" t="str" cm="1">
        <f t="array" ref="R723">_xll.FDSB($C723,"CS_EVENT_DATEJ_N("&amp;$AA$18&amp;",3)")</f>
        <v/>
      </c>
      <c r="S723" s="282" t="str" cm="1">
        <f t="array" ref="S723">_xll.FDSB($C723,"CS_EVENT_TIME_N("&amp;$AA$18&amp;",3)")</f>
        <v/>
      </c>
      <c r="T723" s="282" t="str" cm="1">
        <f t="array" ref="T723">_xll.FDSB($C723,"CS_EVENT_DESC_N("&amp;$AA$18&amp;",3)")</f>
        <v/>
      </c>
      <c r="U723" s="282"/>
      <c r="V723" s="274" t="str" cm="1">
        <f t="array" ref="V723">_xll.FDSB($C723,"CS_EVENT_DATEJ_N("&amp;$AA$18&amp;",4)")</f>
        <v/>
      </c>
      <c r="W723" s="282" t="str" cm="1">
        <f t="array" ref="W723">_xll.FDSB($C723,"CS_EVENT_TIME_N("&amp;$AA$18&amp;",4)")</f>
        <v/>
      </c>
      <c r="X723" s="282" t="str" cm="1">
        <f t="array" ref="X723">_xll.FDSB($C723,"CS_EVENT_DESC_N("&amp;$AA$18&amp;",4)")</f>
        <v/>
      </c>
    </row>
    <row r="724" spans="2:24" x14ac:dyDescent="0.15">
      <c r="B724" s="298">
        <f t="shared" si="13"/>
        <v>709</v>
      </c>
      <c r="C724" s="299"/>
      <c r="D724" s="300" t="str" cm="1">
        <f t="array" ref="D724">_xll.FDSB($C724,"FG_COMPANY_NAME")</f>
        <v/>
      </c>
      <c r="E724" s="300"/>
      <c r="F724" s="274" t="str" cm="1">
        <f t="array" ref="F724">_xll.FDSB($C724,"CS_EVENT_DATEJ_N("&amp;$AA$18&amp;",1)")</f>
        <v/>
      </c>
      <c r="G724" s="282" t="str" cm="1">
        <f t="array" ref="G724">_xll.FDSB($C724,"CS_EVENT_TIME_N("&amp;$AA$18&amp;",1)")</f>
        <v/>
      </c>
      <c r="H724" s="282" t="str" cm="1">
        <f t="array" ref="H724">_xll.FDSB($C724,"CS_EVENT_DESC_N("&amp;$AA$18&amp;",1)")</f>
        <v/>
      </c>
      <c r="I724" s="282"/>
      <c r="J724" s="274" t="str" cm="1">
        <f t="array" ref="J724">_xll.FDSB($C724,"CS_EVENT_DATEJ_N("&amp;$AB$18&amp;",1)")</f>
        <v/>
      </c>
      <c r="K724" s="282" t="str" cm="1">
        <f t="array" ref="K724">_xll.FDSB($C724,"CS_EVENT_TIME_N("&amp;$AB$18&amp;",1)")</f>
        <v/>
      </c>
      <c r="L724" s="282" t="str" cm="1">
        <f t="array" ref="L724">_xll.FDSB($C724,"CS_EVENT_DESC_N("&amp;$AB$18&amp;",1)")</f>
        <v/>
      </c>
      <c r="M724" s="300"/>
      <c r="N724" s="274" t="str" cm="1">
        <f t="array" ref="N724">_xll.FDSB($C724,"CS_EVENT_DATEJ_N("&amp;$AA$18&amp;",2)")</f>
        <v/>
      </c>
      <c r="O724" s="282" t="str" cm="1">
        <f t="array" ref="O724">_xll.FDSB($C724,"CS_EVENT_TIME_N("&amp;$AA$18&amp;",2)")</f>
        <v/>
      </c>
      <c r="P724" s="282" t="str" cm="1">
        <f t="array" ref="P724">_xll.FDSB($C724,"CS_EVENT_DESC_N("&amp;$AA$18&amp;",2)")</f>
        <v/>
      </c>
      <c r="Q724" s="282"/>
      <c r="R724" s="274" t="str" cm="1">
        <f t="array" ref="R724">_xll.FDSB($C724,"CS_EVENT_DATEJ_N("&amp;$AA$18&amp;",3)")</f>
        <v/>
      </c>
      <c r="S724" s="282" t="str" cm="1">
        <f t="array" ref="S724">_xll.FDSB($C724,"CS_EVENT_TIME_N("&amp;$AA$18&amp;",3)")</f>
        <v/>
      </c>
      <c r="T724" s="282" t="str" cm="1">
        <f t="array" ref="T724">_xll.FDSB($C724,"CS_EVENT_DESC_N("&amp;$AA$18&amp;",3)")</f>
        <v/>
      </c>
      <c r="U724" s="282"/>
      <c r="V724" s="274" t="str" cm="1">
        <f t="array" ref="V724">_xll.FDSB($C724,"CS_EVENT_DATEJ_N("&amp;$AA$18&amp;",4)")</f>
        <v/>
      </c>
      <c r="W724" s="282" t="str" cm="1">
        <f t="array" ref="W724">_xll.FDSB($C724,"CS_EVENT_TIME_N("&amp;$AA$18&amp;",4)")</f>
        <v/>
      </c>
      <c r="X724" s="282" t="str" cm="1">
        <f t="array" ref="X724">_xll.FDSB($C724,"CS_EVENT_DESC_N("&amp;$AA$18&amp;",4)")</f>
        <v/>
      </c>
    </row>
    <row r="725" spans="2:24" x14ac:dyDescent="0.15">
      <c r="B725" s="298">
        <f t="shared" si="13"/>
        <v>710</v>
      </c>
      <c r="C725" s="299"/>
      <c r="D725" s="300" t="str" cm="1">
        <f t="array" ref="D725">_xll.FDSB($C725,"FG_COMPANY_NAME")</f>
        <v/>
      </c>
      <c r="E725" s="300"/>
      <c r="F725" s="274" t="str" cm="1">
        <f t="array" ref="F725">_xll.FDSB($C725,"CS_EVENT_DATEJ_N("&amp;$AA$18&amp;",1)")</f>
        <v/>
      </c>
      <c r="G725" s="282" t="str" cm="1">
        <f t="array" ref="G725">_xll.FDSB($C725,"CS_EVENT_TIME_N("&amp;$AA$18&amp;",1)")</f>
        <v/>
      </c>
      <c r="H725" s="282" t="str" cm="1">
        <f t="array" ref="H725">_xll.FDSB($C725,"CS_EVENT_DESC_N("&amp;$AA$18&amp;",1)")</f>
        <v/>
      </c>
      <c r="I725" s="282"/>
      <c r="J725" s="274" t="str" cm="1">
        <f t="array" ref="J725">_xll.FDSB($C725,"CS_EVENT_DATEJ_N("&amp;$AB$18&amp;",1)")</f>
        <v/>
      </c>
      <c r="K725" s="282" t="str" cm="1">
        <f t="array" ref="K725">_xll.FDSB($C725,"CS_EVENT_TIME_N("&amp;$AB$18&amp;",1)")</f>
        <v/>
      </c>
      <c r="L725" s="282" t="str" cm="1">
        <f t="array" ref="L725">_xll.FDSB($C725,"CS_EVENT_DESC_N("&amp;$AB$18&amp;",1)")</f>
        <v/>
      </c>
      <c r="M725" s="300"/>
      <c r="N725" s="274" t="str" cm="1">
        <f t="array" ref="N725">_xll.FDSB($C725,"CS_EVENT_DATEJ_N("&amp;$AA$18&amp;",2)")</f>
        <v/>
      </c>
      <c r="O725" s="282" t="str" cm="1">
        <f t="array" ref="O725">_xll.FDSB($C725,"CS_EVENT_TIME_N("&amp;$AA$18&amp;",2)")</f>
        <v/>
      </c>
      <c r="P725" s="282" t="str" cm="1">
        <f t="array" ref="P725">_xll.FDSB($C725,"CS_EVENT_DESC_N("&amp;$AA$18&amp;",2)")</f>
        <v/>
      </c>
      <c r="Q725" s="282"/>
      <c r="R725" s="274" t="str" cm="1">
        <f t="array" ref="R725">_xll.FDSB($C725,"CS_EVENT_DATEJ_N("&amp;$AA$18&amp;",3)")</f>
        <v/>
      </c>
      <c r="S725" s="282" t="str" cm="1">
        <f t="array" ref="S725">_xll.FDSB($C725,"CS_EVENT_TIME_N("&amp;$AA$18&amp;",3)")</f>
        <v/>
      </c>
      <c r="T725" s="282" t="str" cm="1">
        <f t="array" ref="T725">_xll.FDSB($C725,"CS_EVENT_DESC_N("&amp;$AA$18&amp;",3)")</f>
        <v/>
      </c>
      <c r="U725" s="282"/>
      <c r="V725" s="274" t="str" cm="1">
        <f t="array" ref="V725">_xll.FDSB($C725,"CS_EVENT_DATEJ_N("&amp;$AA$18&amp;",4)")</f>
        <v/>
      </c>
      <c r="W725" s="282" t="str" cm="1">
        <f t="array" ref="W725">_xll.FDSB($C725,"CS_EVENT_TIME_N("&amp;$AA$18&amp;",4)")</f>
        <v/>
      </c>
      <c r="X725" s="282" t="str" cm="1">
        <f t="array" ref="X725">_xll.FDSB($C725,"CS_EVENT_DESC_N("&amp;$AA$18&amp;",4)")</f>
        <v/>
      </c>
    </row>
    <row r="726" spans="2:24" x14ac:dyDescent="0.15">
      <c r="B726" s="298">
        <f t="shared" si="13"/>
        <v>711</v>
      </c>
      <c r="C726" s="299"/>
      <c r="D726" s="300" t="str" cm="1">
        <f t="array" ref="D726">_xll.FDSB($C726,"FG_COMPANY_NAME")</f>
        <v/>
      </c>
      <c r="E726" s="300"/>
      <c r="F726" s="274" t="str" cm="1">
        <f t="array" ref="F726">_xll.FDSB($C726,"CS_EVENT_DATEJ_N("&amp;$AA$18&amp;",1)")</f>
        <v/>
      </c>
      <c r="G726" s="282" t="str" cm="1">
        <f t="array" ref="G726">_xll.FDSB($C726,"CS_EVENT_TIME_N("&amp;$AA$18&amp;",1)")</f>
        <v/>
      </c>
      <c r="H726" s="282" t="str" cm="1">
        <f t="array" ref="H726">_xll.FDSB($C726,"CS_EVENT_DESC_N("&amp;$AA$18&amp;",1)")</f>
        <v/>
      </c>
      <c r="I726" s="282"/>
      <c r="J726" s="274" t="str" cm="1">
        <f t="array" ref="J726">_xll.FDSB($C726,"CS_EVENT_DATEJ_N("&amp;$AB$18&amp;",1)")</f>
        <v/>
      </c>
      <c r="K726" s="282" t="str" cm="1">
        <f t="array" ref="K726">_xll.FDSB($C726,"CS_EVENT_TIME_N("&amp;$AB$18&amp;",1)")</f>
        <v/>
      </c>
      <c r="L726" s="282" t="str" cm="1">
        <f t="array" ref="L726">_xll.FDSB($C726,"CS_EVENT_DESC_N("&amp;$AB$18&amp;",1)")</f>
        <v/>
      </c>
      <c r="M726" s="300"/>
      <c r="N726" s="274" t="str" cm="1">
        <f t="array" ref="N726">_xll.FDSB($C726,"CS_EVENT_DATEJ_N("&amp;$AA$18&amp;",2)")</f>
        <v/>
      </c>
      <c r="O726" s="282" t="str" cm="1">
        <f t="array" ref="O726">_xll.FDSB($C726,"CS_EVENT_TIME_N("&amp;$AA$18&amp;",2)")</f>
        <v/>
      </c>
      <c r="P726" s="282" t="str" cm="1">
        <f t="array" ref="P726">_xll.FDSB($C726,"CS_EVENT_DESC_N("&amp;$AA$18&amp;",2)")</f>
        <v/>
      </c>
      <c r="Q726" s="282"/>
      <c r="R726" s="274" t="str" cm="1">
        <f t="array" ref="R726">_xll.FDSB($C726,"CS_EVENT_DATEJ_N("&amp;$AA$18&amp;",3)")</f>
        <v/>
      </c>
      <c r="S726" s="282" t="str" cm="1">
        <f t="array" ref="S726">_xll.FDSB($C726,"CS_EVENT_TIME_N("&amp;$AA$18&amp;",3)")</f>
        <v/>
      </c>
      <c r="T726" s="282" t="str" cm="1">
        <f t="array" ref="T726">_xll.FDSB($C726,"CS_EVENT_DESC_N("&amp;$AA$18&amp;",3)")</f>
        <v/>
      </c>
      <c r="U726" s="282"/>
      <c r="V726" s="274" t="str" cm="1">
        <f t="array" ref="V726">_xll.FDSB($C726,"CS_EVENT_DATEJ_N("&amp;$AA$18&amp;",4)")</f>
        <v/>
      </c>
      <c r="W726" s="282" t="str" cm="1">
        <f t="array" ref="W726">_xll.FDSB($C726,"CS_EVENT_TIME_N("&amp;$AA$18&amp;",4)")</f>
        <v/>
      </c>
      <c r="X726" s="282" t="str" cm="1">
        <f t="array" ref="X726">_xll.FDSB($C726,"CS_EVENT_DESC_N("&amp;$AA$18&amp;",4)")</f>
        <v/>
      </c>
    </row>
    <row r="727" spans="2:24" x14ac:dyDescent="0.15">
      <c r="B727" s="298">
        <f t="shared" si="13"/>
        <v>712</v>
      </c>
      <c r="C727" s="299"/>
      <c r="D727" s="300" t="str" cm="1">
        <f t="array" ref="D727">_xll.FDSB($C727,"FG_COMPANY_NAME")</f>
        <v/>
      </c>
      <c r="E727" s="300"/>
      <c r="F727" s="274" t="str" cm="1">
        <f t="array" ref="F727">_xll.FDSB($C727,"CS_EVENT_DATEJ_N("&amp;$AA$18&amp;",1)")</f>
        <v/>
      </c>
      <c r="G727" s="282" t="str" cm="1">
        <f t="array" ref="G727">_xll.FDSB($C727,"CS_EVENT_TIME_N("&amp;$AA$18&amp;",1)")</f>
        <v/>
      </c>
      <c r="H727" s="282" t="str" cm="1">
        <f t="array" ref="H727">_xll.FDSB($C727,"CS_EVENT_DESC_N("&amp;$AA$18&amp;",1)")</f>
        <v/>
      </c>
      <c r="I727" s="282"/>
      <c r="J727" s="274" t="str" cm="1">
        <f t="array" ref="J727">_xll.FDSB($C727,"CS_EVENT_DATEJ_N("&amp;$AB$18&amp;",1)")</f>
        <v/>
      </c>
      <c r="K727" s="282" t="str" cm="1">
        <f t="array" ref="K727">_xll.FDSB($C727,"CS_EVENT_TIME_N("&amp;$AB$18&amp;",1)")</f>
        <v/>
      </c>
      <c r="L727" s="282" t="str" cm="1">
        <f t="array" ref="L727">_xll.FDSB($C727,"CS_EVENT_DESC_N("&amp;$AB$18&amp;",1)")</f>
        <v/>
      </c>
      <c r="M727" s="300"/>
      <c r="N727" s="274" t="str" cm="1">
        <f t="array" ref="N727">_xll.FDSB($C727,"CS_EVENT_DATEJ_N("&amp;$AA$18&amp;",2)")</f>
        <v/>
      </c>
      <c r="O727" s="282" t="str" cm="1">
        <f t="array" ref="O727">_xll.FDSB($C727,"CS_EVENT_TIME_N("&amp;$AA$18&amp;",2)")</f>
        <v/>
      </c>
      <c r="P727" s="282" t="str" cm="1">
        <f t="array" ref="P727">_xll.FDSB($C727,"CS_EVENT_DESC_N("&amp;$AA$18&amp;",2)")</f>
        <v/>
      </c>
      <c r="Q727" s="282"/>
      <c r="R727" s="274" t="str" cm="1">
        <f t="array" ref="R727">_xll.FDSB($C727,"CS_EVENT_DATEJ_N("&amp;$AA$18&amp;",3)")</f>
        <v/>
      </c>
      <c r="S727" s="282" t="str" cm="1">
        <f t="array" ref="S727">_xll.FDSB($C727,"CS_EVENT_TIME_N("&amp;$AA$18&amp;",3)")</f>
        <v/>
      </c>
      <c r="T727" s="282" t="str" cm="1">
        <f t="array" ref="T727">_xll.FDSB($C727,"CS_EVENT_DESC_N("&amp;$AA$18&amp;",3)")</f>
        <v/>
      </c>
      <c r="U727" s="282"/>
      <c r="V727" s="274" t="str" cm="1">
        <f t="array" ref="V727">_xll.FDSB($C727,"CS_EVENT_DATEJ_N("&amp;$AA$18&amp;",4)")</f>
        <v/>
      </c>
      <c r="W727" s="282" t="str" cm="1">
        <f t="array" ref="W727">_xll.FDSB($C727,"CS_EVENT_TIME_N("&amp;$AA$18&amp;",4)")</f>
        <v/>
      </c>
      <c r="X727" s="282" t="str" cm="1">
        <f t="array" ref="X727">_xll.FDSB($C727,"CS_EVENT_DESC_N("&amp;$AA$18&amp;",4)")</f>
        <v/>
      </c>
    </row>
    <row r="728" spans="2:24" x14ac:dyDescent="0.15">
      <c r="B728" s="298">
        <f t="shared" si="13"/>
        <v>713</v>
      </c>
      <c r="C728" s="299"/>
      <c r="D728" s="300" t="str" cm="1">
        <f t="array" ref="D728">_xll.FDSB($C728,"FG_COMPANY_NAME")</f>
        <v/>
      </c>
      <c r="E728" s="300"/>
      <c r="F728" s="274" t="str" cm="1">
        <f t="array" ref="F728">_xll.FDSB($C728,"CS_EVENT_DATEJ_N("&amp;$AA$18&amp;",1)")</f>
        <v/>
      </c>
      <c r="G728" s="282" t="str" cm="1">
        <f t="array" ref="G728">_xll.FDSB($C728,"CS_EVENT_TIME_N("&amp;$AA$18&amp;",1)")</f>
        <v/>
      </c>
      <c r="H728" s="282" t="str" cm="1">
        <f t="array" ref="H728">_xll.FDSB($C728,"CS_EVENT_DESC_N("&amp;$AA$18&amp;",1)")</f>
        <v/>
      </c>
      <c r="I728" s="282"/>
      <c r="J728" s="274" t="str" cm="1">
        <f t="array" ref="J728">_xll.FDSB($C728,"CS_EVENT_DATEJ_N("&amp;$AB$18&amp;",1)")</f>
        <v/>
      </c>
      <c r="K728" s="282" t="str" cm="1">
        <f t="array" ref="K728">_xll.FDSB($C728,"CS_EVENT_TIME_N("&amp;$AB$18&amp;",1)")</f>
        <v/>
      </c>
      <c r="L728" s="282" t="str" cm="1">
        <f t="array" ref="L728">_xll.FDSB($C728,"CS_EVENT_DESC_N("&amp;$AB$18&amp;",1)")</f>
        <v/>
      </c>
      <c r="M728" s="300"/>
      <c r="N728" s="274" t="str" cm="1">
        <f t="array" ref="N728">_xll.FDSB($C728,"CS_EVENT_DATEJ_N("&amp;$AA$18&amp;",2)")</f>
        <v/>
      </c>
      <c r="O728" s="282" t="str" cm="1">
        <f t="array" ref="O728">_xll.FDSB($C728,"CS_EVENT_TIME_N("&amp;$AA$18&amp;",2)")</f>
        <v/>
      </c>
      <c r="P728" s="282" t="str" cm="1">
        <f t="array" ref="P728">_xll.FDSB($C728,"CS_EVENT_DESC_N("&amp;$AA$18&amp;",2)")</f>
        <v/>
      </c>
      <c r="Q728" s="282"/>
      <c r="R728" s="274" t="str" cm="1">
        <f t="array" ref="R728">_xll.FDSB($C728,"CS_EVENT_DATEJ_N("&amp;$AA$18&amp;",3)")</f>
        <v/>
      </c>
      <c r="S728" s="282" t="str" cm="1">
        <f t="array" ref="S728">_xll.FDSB($C728,"CS_EVENT_TIME_N("&amp;$AA$18&amp;",3)")</f>
        <v/>
      </c>
      <c r="T728" s="282" t="str" cm="1">
        <f t="array" ref="T728">_xll.FDSB($C728,"CS_EVENT_DESC_N("&amp;$AA$18&amp;",3)")</f>
        <v/>
      </c>
      <c r="U728" s="282"/>
      <c r="V728" s="274" t="str" cm="1">
        <f t="array" ref="V728">_xll.FDSB($C728,"CS_EVENT_DATEJ_N("&amp;$AA$18&amp;",4)")</f>
        <v/>
      </c>
      <c r="W728" s="282" t="str" cm="1">
        <f t="array" ref="W728">_xll.FDSB($C728,"CS_EVENT_TIME_N("&amp;$AA$18&amp;",4)")</f>
        <v/>
      </c>
      <c r="X728" s="282" t="str" cm="1">
        <f t="array" ref="X728">_xll.FDSB($C728,"CS_EVENT_DESC_N("&amp;$AA$18&amp;",4)")</f>
        <v/>
      </c>
    </row>
    <row r="729" spans="2:24" x14ac:dyDescent="0.15">
      <c r="B729" s="298">
        <f t="shared" si="13"/>
        <v>714</v>
      </c>
      <c r="C729" s="299"/>
      <c r="D729" s="300" t="str" cm="1">
        <f t="array" ref="D729">_xll.FDSB($C729,"FG_COMPANY_NAME")</f>
        <v/>
      </c>
      <c r="E729" s="300"/>
      <c r="F729" s="274" t="str" cm="1">
        <f t="array" ref="F729">_xll.FDSB($C729,"CS_EVENT_DATEJ_N("&amp;$AA$18&amp;",1)")</f>
        <v/>
      </c>
      <c r="G729" s="282" t="str" cm="1">
        <f t="array" ref="G729">_xll.FDSB($C729,"CS_EVENT_TIME_N("&amp;$AA$18&amp;",1)")</f>
        <v/>
      </c>
      <c r="H729" s="282" t="str" cm="1">
        <f t="array" ref="H729">_xll.FDSB($C729,"CS_EVENT_DESC_N("&amp;$AA$18&amp;",1)")</f>
        <v/>
      </c>
      <c r="I729" s="282"/>
      <c r="J729" s="274" t="str" cm="1">
        <f t="array" ref="J729">_xll.FDSB($C729,"CS_EVENT_DATEJ_N("&amp;$AB$18&amp;",1)")</f>
        <v/>
      </c>
      <c r="K729" s="282" t="str" cm="1">
        <f t="array" ref="K729">_xll.FDSB($C729,"CS_EVENT_TIME_N("&amp;$AB$18&amp;",1)")</f>
        <v/>
      </c>
      <c r="L729" s="282" t="str" cm="1">
        <f t="array" ref="L729">_xll.FDSB($C729,"CS_EVENT_DESC_N("&amp;$AB$18&amp;",1)")</f>
        <v/>
      </c>
      <c r="M729" s="300"/>
      <c r="N729" s="274" t="str" cm="1">
        <f t="array" ref="N729">_xll.FDSB($C729,"CS_EVENT_DATEJ_N("&amp;$AA$18&amp;",2)")</f>
        <v/>
      </c>
      <c r="O729" s="282" t="str" cm="1">
        <f t="array" ref="O729">_xll.FDSB($C729,"CS_EVENT_TIME_N("&amp;$AA$18&amp;",2)")</f>
        <v/>
      </c>
      <c r="P729" s="282" t="str" cm="1">
        <f t="array" ref="P729">_xll.FDSB($C729,"CS_EVENT_DESC_N("&amp;$AA$18&amp;",2)")</f>
        <v/>
      </c>
      <c r="Q729" s="282"/>
      <c r="R729" s="274" t="str" cm="1">
        <f t="array" ref="R729">_xll.FDSB($C729,"CS_EVENT_DATEJ_N("&amp;$AA$18&amp;",3)")</f>
        <v/>
      </c>
      <c r="S729" s="282" t="str" cm="1">
        <f t="array" ref="S729">_xll.FDSB($C729,"CS_EVENT_TIME_N("&amp;$AA$18&amp;",3)")</f>
        <v/>
      </c>
      <c r="T729" s="282" t="str" cm="1">
        <f t="array" ref="T729">_xll.FDSB($C729,"CS_EVENT_DESC_N("&amp;$AA$18&amp;",3)")</f>
        <v/>
      </c>
      <c r="U729" s="282"/>
      <c r="V729" s="274" t="str" cm="1">
        <f t="array" ref="V729">_xll.FDSB($C729,"CS_EVENT_DATEJ_N("&amp;$AA$18&amp;",4)")</f>
        <v/>
      </c>
      <c r="W729" s="282" t="str" cm="1">
        <f t="array" ref="W729">_xll.FDSB($C729,"CS_EVENT_TIME_N("&amp;$AA$18&amp;",4)")</f>
        <v/>
      </c>
      <c r="X729" s="282" t="str" cm="1">
        <f t="array" ref="X729">_xll.FDSB($C729,"CS_EVENT_DESC_N("&amp;$AA$18&amp;",4)")</f>
        <v/>
      </c>
    </row>
    <row r="730" spans="2:24" x14ac:dyDescent="0.15">
      <c r="B730" s="298">
        <f t="shared" si="13"/>
        <v>715</v>
      </c>
      <c r="C730" s="299"/>
      <c r="D730" s="300" t="str" cm="1">
        <f t="array" ref="D730">_xll.FDSB($C730,"FG_COMPANY_NAME")</f>
        <v/>
      </c>
      <c r="E730" s="300"/>
      <c r="F730" s="274" t="str" cm="1">
        <f t="array" ref="F730">_xll.FDSB($C730,"CS_EVENT_DATEJ_N("&amp;$AA$18&amp;",1)")</f>
        <v/>
      </c>
      <c r="G730" s="282" t="str" cm="1">
        <f t="array" ref="G730">_xll.FDSB($C730,"CS_EVENT_TIME_N("&amp;$AA$18&amp;",1)")</f>
        <v/>
      </c>
      <c r="H730" s="282" t="str" cm="1">
        <f t="array" ref="H730">_xll.FDSB($C730,"CS_EVENT_DESC_N("&amp;$AA$18&amp;",1)")</f>
        <v/>
      </c>
      <c r="I730" s="282"/>
      <c r="J730" s="274" t="str" cm="1">
        <f t="array" ref="J730">_xll.FDSB($C730,"CS_EVENT_DATEJ_N("&amp;$AB$18&amp;",1)")</f>
        <v/>
      </c>
      <c r="K730" s="282" t="str" cm="1">
        <f t="array" ref="K730">_xll.FDSB($C730,"CS_EVENT_TIME_N("&amp;$AB$18&amp;",1)")</f>
        <v/>
      </c>
      <c r="L730" s="282" t="str" cm="1">
        <f t="array" ref="L730">_xll.FDSB($C730,"CS_EVENT_DESC_N("&amp;$AB$18&amp;",1)")</f>
        <v/>
      </c>
      <c r="M730" s="300"/>
      <c r="N730" s="274" t="str" cm="1">
        <f t="array" ref="N730">_xll.FDSB($C730,"CS_EVENT_DATEJ_N("&amp;$AA$18&amp;",2)")</f>
        <v/>
      </c>
      <c r="O730" s="282" t="str" cm="1">
        <f t="array" ref="O730">_xll.FDSB($C730,"CS_EVENT_TIME_N("&amp;$AA$18&amp;",2)")</f>
        <v/>
      </c>
      <c r="P730" s="282" t="str" cm="1">
        <f t="array" ref="P730">_xll.FDSB($C730,"CS_EVENT_DESC_N("&amp;$AA$18&amp;",2)")</f>
        <v/>
      </c>
      <c r="Q730" s="282"/>
      <c r="R730" s="274" t="str" cm="1">
        <f t="array" ref="R730">_xll.FDSB($C730,"CS_EVENT_DATEJ_N("&amp;$AA$18&amp;",3)")</f>
        <v/>
      </c>
      <c r="S730" s="282" t="str" cm="1">
        <f t="array" ref="S730">_xll.FDSB($C730,"CS_EVENT_TIME_N("&amp;$AA$18&amp;",3)")</f>
        <v/>
      </c>
      <c r="T730" s="282" t="str" cm="1">
        <f t="array" ref="T730">_xll.FDSB($C730,"CS_EVENT_DESC_N("&amp;$AA$18&amp;",3)")</f>
        <v/>
      </c>
      <c r="U730" s="282"/>
      <c r="V730" s="274" t="str" cm="1">
        <f t="array" ref="V730">_xll.FDSB($C730,"CS_EVENT_DATEJ_N("&amp;$AA$18&amp;",4)")</f>
        <v/>
      </c>
      <c r="W730" s="282" t="str" cm="1">
        <f t="array" ref="W730">_xll.FDSB($C730,"CS_EVENT_TIME_N("&amp;$AA$18&amp;",4)")</f>
        <v/>
      </c>
      <c r="X730" s="282" t="str" cm="1">
        <f t="array" ref="X730">_xll.FDSB($C730,"CS_EVENT_DESC_N("&amp;$AA$18&amp;",4)")</f>
        <v/>
      </c>
    </row>
    <row r="731" spans="2:24" x14ac:dyDescent="0.15">
      <c r="B731" s="298">
        <f t="shared" si="13"/>
        <v>716</v>
      </c>
      <c r="C731" s="299"/>
      <c r="D731" s="300" t="str" cm="1">
        <f t="array" ref="D731">_xll.FDSB($C731,"FG_COMPANY_NAME")</f>
        <v/>
      </c>
      <c r="E731" s="300"/>
      <c r="F731" s="274" t="str" cm="1">
        <f t="array" ref="F731">_xll.FDSB($C731,"CS_EVENT_DATEJ_N("&amp;$AA$18&amp;",1)")</f>
        <v/>
      </c>
      <c r="G731" s="282" t="str" cm="1">
        <f t="array" ref="G731">_xll.FDSB($C731,"CS_EVENT_TIME_N("&amp;$AA$18&amp;",1)")</f>
        <v/>
      </c>
      <c r="H731" s="282" t="str" cm="1">
        <f t="array" ref="H731">_xll.FDSB($C731,"CS_EVENT_DESC_N("&amp;$AA$18&amp;",1)")</f>
        <v/>
      </c>
      <c r="I731" s="282"/>
      <c r="J731" s="274" t="str" cm="1">
        <f t="array" ref="J731">_xll.FDSB($C731,"CS_EVENT_DATEJ_N("&amp;$AB$18&amp;",1)")</f>
        <v/>
      </c>
      <c r="K731" s="282" t="str" cm="1">
        <f t="array" ref="K731">_xll.FDSB($C731,"CS_EVENT_TIME_N("&amp;$AB$18&amp;",1)")</f>
        <v/>
      </c>
      <c r="L731" s="282" t="str" cm="1">
        <f t="array" ref="L731">_xll.FDSB($C731,"CS_EVENT_DESC_N("&amp;$AB$18&amp;",1)")</f>
        <v/>
      </c>
      <c r="M731" s="300"/>
      <c r="N731" s="274" t="str" cm="1">
        <f t="array" ref="N731">_xll.FDSB($C731,"CS_EVENT_DATEJ_N("&amp;$AA$18&amp;",2)")</f>
        <v/>
      </c>
      <c r="O731" s="282" t="str" cm="1">
        <f t="array" ref="O731">_xll.FDSB($C731,"CS_EVENT_TIME_N("&amp;$AA$18&amp;",2)")</f>
        <v/>
      </c>
      <c r="P731" s="282" t="str" cm="1">
        <f t="array" ref="P731">_xll.FDSB($C731,"CS_EVENT_DESC_N("&amp;$AA$18&amp;",2)")</f>
        <v/>
      </c>
      <c r="Q731" s="282"/>
      <c r="R731" s="274" t="str" cm="1">
        <f t="array" ref="R731">_xll.FDSB($C731,"CS_EVENT_DATEJ_N("&amp;$AA$18&amp;",3)")</f>
        <v/>
      </c>
      <c r="S731" s="282" t="str" cm="1">
        <f t="array" ref="S731">_xll.FDSB($C731,"CS_EVENT_TIME_N("&amp;$AA$18&amp;",3)")</f>
        <v/>
      </c>
      <c r="T731" s="282" t="str" cm="1">
        <f t="array" ref="T731">_xll.FDSB($C731,"CS_EVENT_DESC_N("&amp;$AA$18&amp;",3)")</f>
        <v/>
      </c>
      <c r="U731" s="282"/>
      <c r="V731" s="274" t="str" cm="1">
        <f t="array" ref="V731">_xll.FDSB($C731,"CS_EVENT_DATEJ_N("&amp;$AA$18&amp;",4)")</f>
        <v/>
      </c>
      <c r="W731" s="282" t="str" cm="1">
        <f t="array" ref="W731">_xll.FDSB($C731,"CS_EVENT_TIME_N("&amp;$AA$18&amp;",4)")</f>
        <v/>
      </c>
      <c r="X731" s="282" t="str" cm="1">
        <f t="array" ref="X731">_xll.FDSB($C731,"CS_EVENT_DESC_N("&amp;$AA$18&amp;",4)")</f>
        <v/>
      </c>
    </row>
    <row r="732" spans="2:24" x14ac:dyDescent="0.15">
      <c r="B732" s="298">
        <f t="shared" si="13"/>
        <v>717</v>
      </c>
      <c r="C732" s="299"/>
      <c r="D732" s="300" t="str" cm="1">
        <f t="array" ref="D732">_xll.FDSB($C732,"FG_COMPANY_NAME")</f>
        <v/>
      </c>
      <c r="E732" s="300"/>
      <c r="F732" s="274" t="str" cm="1">
        <f t="array" ref="F732">_xll.FDSB($C732,"CS_EVENT_DATEJ_N("&amp;$AA$18&amp;",1)")</f>
        <v/>
      </c>
      <c r="G732" s="282" t="str" cm="1">
        <f t="array" ref="G732">_xll.FDSB($C732,"CS_EVENT_TIME_N("&amp;$AA$18&amp;",1)")</f>
        <v/>
      </c>
      <c r="H732" s="282" t="str" cm="1">
        <f t="array" ref="H732">_xll.FDSB($C732,"CS_EVENT_DESC_N("&amp;$AA$18&amp;",1)")</f>
        <v/>
      </c>
      <c r="I732" s="282"/>
      <c r="J732" s="274" t="str" cm="1">
        <f t="array" ref="J732">_xll.FDSB($C732,"CS_EVENT_DATEJ_N("&amp;$AB$18&amp;",1)")</f>
        <v/>
      </c>
      <c r="K732" s="282" t="str" cm="1">
        <f t="array" ref="K732">_xll.FDSB($C732,"CS_EVENT_TIME_N("&amp;$AB$18&amp;",1)")</f>
        <v/>
      </c>
      <c r="L732" s="282" t="str" cm="1">
        <f t="array" ref="L732">_xll.FDSB($C732,"CS_EVENT_DESC_N("&amp;$AB$18&amp;",1)")</f>
        <v/>
      </c>
      <c r="M732" s="300"/>
      <c r="N732" s="274" t="str" cm="1">
        <f t="array" ref="N732">_xll.FDSB($C732,"CS_EVENT_DATEJ_N("&amp;$AA$18&amp;",2)")</f>
        <v/>
      </c>
      <c r="O732" s="282" t="str" cm="1">
        <f t="array" ref="O732">_xll.FDSB($C732,"CS_EVENT_TIME_N("&amp;$AA$18&amp;",2)")</f>
        <v/>
      </c>
      <c r="P732" s="282" t="str" cm="1">
        <f t="array" ref="P732">_xll.FDSB($C732,"CS_EVENT_DESC_N("&amp;$AA$18&amp;",2)")</f>
        <v/>
      </c>
      <c r="Q732" s="282"/>
      <c r="R732" s="274" t="str" cm="1">
        <f t="array" ref="R732">_xll.FDSB($C732,"CS_EVENT_DATEJ_N("&amp;$AA$18&amp;",3)")</f>
        <v/>
      </c>
      <c r="S732" s="282" t="str" cm="1">
        <f t="array" ref="S732">_xll.FDSB($C732,"CS_EVENT_TIME_N("&amp;$AA$18&amp;",3)")</f>
        <v/>
      </c>
      <c r="T732" s="282" t="str" cm="1">
        <f t="array" ref="T732">_xll.FDSB($C732,"CS_EVENT_DESC_N("&amp;$AA$18&amp;",3)")</f>
        <v/>
      </c>
      <c r="U732" s="282"/>
      <c r="V732" s="274" t="str" cm="1">
        <f t="array" ref="V732">_xll.FDSB($C732,"CS_EVENT_DATEJ_N("&amp;$AA$18&amp;",4)")</f>
        <v/>
      </c>
      <c r="W732" s="282" t="str" cm="1">
        <f t="array" ref="W732">_xll.FDSB($C732,"CS_EVENT_TIME_N("&amp;$AA$18&amp;",4)")</f>
        <v/>
      </c>
      <c r="X732" s="282" t="str" cm="1">
        <f t="array" ref="X732">_xll.FDSB($C732,"CS_EVENT_DESC_N("&amp;$AA$18&amp;",4)")</f>
        <v/>
      </c>
    </row>
    <row r="733" spans="2:24" x14ac:dyDescent="0.15">
      <c r="B733" s="298">
        <f t="shared" si="13"/>
        <v>718</v>
      </c>
      <c r="C733" s="299"/>
      <c r="D733" s="300" t="str" cm="1">
        <f t="array" ref="D733">_xll.FDSB($C733,"FG_COMPANY_NAME")</f>
        <v/>
      </c>
      <c r="E733" s="300"/>
      <c r="F733" s="274" t="str" cm="1">
        <f t="array" ref="F733">_xll.FDSB($C733,"CS_EVENT_DATEJ_N("&amp;$AA$18&amp;",1)")</f>
        <v/>
      </c>
      <c r="G733" s="282" t="str" cm="1">
        <f t="array" ref="G733">_xll.FDSB($C733,"CS_EVENT_TIME_N("&amp;$AA$18&amp;",1)")</f>
        <v/>
      </c>
      <c r="H733" s="282" t="str" cm="1">
        <f t="array" ref="H733">_xll.FDSB($C733,"CS_EVENT_DESC_N("&amp;$AA$18&amp;",1)")</f>
        <v/>
      </c>
      <c r="I733" s="282"/>
      <c r="J733" s="274" t="str" cm="1">
        <f t="array" ref="J733">_xll.FDSB($C733,"CS_EVENT_DATEJ_N("&amp;$AB$18&amp;",1)")</f>
        <v/>
      </c>
      <c r="K733" s="282" t="str" cm="1">
        <f t="array" ref="K733">_xll.FDSB($C733,"CS_EVENT_TIME_N("&amp;$AB$18&amp;",1)")</f>
        <v/>
      </c>
      <c r="L733" s="282" t="str" cm="1">
        <f t="array" ref="L733">_xll.FDSB($C733,"CS_EVENT_DESC_N("&amp;$AB$18&amp;",1)")</f>
        <v/>
      </c>
      <c r="M733" s="300"/>
      <c r="N733" s="274" t="str" cm="1">
        <f t="array" ref="N733">_xll.FDSB($C733,"CS_EVENT_DATEJ_N("&amp;$AA$18&amp;",2)")</f>
        <v/>
      </c>
      <c r="O733" s="282" t="str" cm="1">
        <f t="array" ref="O733">_xll.FDSB($C733,"CS_EVENT_TIME_N("&amp;$AA$18&amp;",2)")</f>
        <v/>
      </c>
      <c r="P733" s="282" t="str" cm="1">
        <f t="array" ref="P733">_xll.FDSB($C733,"CS_EVENT_DESC_N("&amp;$AA$18&amp;",2)")</f>
        <v/>
      </c>
      <c r="Q733" s="282"/>
      <c r="R733" s="274" t="str" cm="1">
        <f t="array" ref="R733">_xll.FDSB($C733,"CS_EVENT_DATEJ_N("&amp;$AA$18&amp;",3)")</f>
        <v/>
      </c>
      <c r="S733" s="282" t="str" cm="1">
        <f t="array" ref="S733">_xll.FDSB($C733,"CS_EVENT_TIME_N("&amp;$AA$18&amp;",3)")</f>
        <v/>
      </c>
      <c r="T733" s="282" t="str" cm="1">
        <f t="array" ref="T733">_xll.FDSB($C733,"CS_EVENT_DESC_N("&amp;$AA$18&amp;",3)")</f>
        <v/>
      </c>
      <c r="U733" s="282"/>
      <c r="V733" s="274" t="str" cm="1">
        <f t="array" ref="V733">_xll.FDSB($C733,"CS_EVENT_DATEJ_N("&amp;$AA$18&amp;",4)")</f>
        <v/>
      </c>
      <c r="W733" s="282" t="str" cm="1">
        <f t="array" ref="W733">_xll.FDSB($C733,"CS_EVENT_TIME_N("&amp;$AA$18&amp;",4)")</f>
        <v/>
      </c>
      <c r="X733" s="282" t="str" cm="1">
        <f t="array" ref="X733">_xll.FDSB($C733,"CS_EVENT_DESC_N("&amp;$AA$18&amp;",4)")</f>
        <v/>
      </c>
    </row>
    <row r="734" spans="2:24" x14ac:dyDescent="0.15">
      <c r="B734" s="298">
        <f t="shared" si="13"/>
        <v>719</v>
      </c>
      <c r="C734" s="299"/>
      <c r="D734" s="300" t="str" cm="1">
        <f t="array" ref="D734">_xll.FDSB($C734,"FG_COMPANY_NAME")</f>
        <v/>
      </c>
      <c r="E734" s="300"/>
      <c r="F734" s="274" t="str" cm="1">
        <f t="array" ref="F734">_xll.FDSB($C734,"CS_EVENT_DATEJ_N("&amp;$AA$18&amp;",1)")</f>
        <v/>
      </c>
      <c r="G734" s="282" t="str" cm="1">
        <f t="array" ref="G734">_xll.FDSB($C734,"CS_EVENT_TIME_N("&amp;$AA$18&amp;",1)")</f>
        <v/>
      </c>
      <c r="H734" s="282" t="str" cm="1">
        <f t="array" ref="H734">_xll.FDSB($C734,"CS_EVENT_DESC_N("&amp;$AA$18&amp;",1)")</f>
        <v/>
      </c>
      <c r="I734" s="282"/>
      <c r="J734" s="274" t="str" cm="1">
        <f t="array" ref="J734">_xll.FDSB($C734,"CS_EVENT_DATEJ_N("&amp;$AB$18&amp;",1)")</f>
        <v/>
      </c>
      <c r="K734" s="282" t="str" cm="1">
        <f t="array" ref="K734">_xll.FDSB($C734,"CS_EVENT_TIME_N("&amp;$AB$18&amp;",1)")</f>
        <v/>
      </c>
      <c r="L734" s="282" t="str" cm="1">
        <f t="array" ref="L734">_xll.FDSB($C734,"CS_EVENT_DESC_N("&amp;$AB$18&amp;",1)")</f>
        <v/>
      </c>
      <c r="M734" s="300"/>
      <c r="N734" s="274" t="str" cm="1">
        <f t="array" ref="N734">_xll.FDSB($C734,"CS_EVENT_DATEJ_N("&amp;$AA$18&amp;",2)")</f>
        <v/>
      </c>
      <c r="O734" s="282" t="str" cm="1">
        <f t="array" ref="O734">_xll.FDSB($C734,"CS_EVENT_TIME_N("&amp;$AA$18&amp;",2)")</f>
        <v/>
      </c>
      <c r="P734" s="282" t="str" cm="1">
        <f t="array" ref="P734">_xll.FDSB($C734,"CS_EVENT_DESC_N("&amp;$AA$18&amp;",2)")</f>
        <v/>
      </c>
      <c r="Q734" s="282"/>
      <c r="R734" s="274" t="str" cm="1">
        <f t="array" ref="R734">_xll.FDSB($C734,"CS_EVENT_DATEJ_N("&amp;$AA$18&amp;",3)")</f>
        <v/>
      </c>
      <c r="S734" s="282" t="str" cm="1">
        <f t="array" ref="S734">_xll.FDSB($C734,"CS_EVENT_TIME_N("&amp;$AA$18&amp;",3)")</f>
        <v/>
      </c>
      <c r="T734" s="282" t="str" cm="1">
        <f t="array" ref="T734">_xll.FDSB($C734,"CS_EVENT_DESC_N("&amp;$AA$18&amp;",3)")</f>
        <v/>
      </c>
      <c r="U734" s="282"/>
      <c r="V734" s="274" t="str" cm="1">
        <f t="array" ref="V734">_xll.FDSB($C734,"CS_EVENT_DATEJ_N("&amp;$AA$18&amp;",4)")</f>
        <v/>
      </c>
      <c r="W734" s="282" t="str" cm="1">
        <f t="array" ref="W734">_xll.FDSB($C734,"CS_EVENT_TIME_N("&amp;$AA$18&amp;",4)")</f>
        <v/>
      </c>
      <c r="X734" s="282" t="str" cm="1">
        <f t="array" ref="X734">_xll.FDSB($C734,"CS_EVENT_DESC_N("&amp;$AA$18&amp;",4)")</f>
        <v/>
      </c>
    </row>
    <row r="735" spans="2:24" x14ac:dyDescent="0.15">
      <c r="B735" s="298">
        <f t="shared" si="13"/>
        <v>720</v>
      </c>
      <c r="C735" s="299"/>
      <c r="D735" s="300" t="str" cm="1">
        <f t="array" ref="D735">_xll.FDSB($C735,"FG_COMPANY_NAME")</f>
        <v/>
      </c>
      <c r="E735" s="300"/>
      <c r="F735" s="274" t="str" cm="1">
        <f t="array" ref="F735">_xll.FDSB($C735,"CS_EVENT_DATEJ_N("&amp;$AA$18&amp;",1)")</f>
        <v/>
      </c>
      <c r="G735" s="282" t="str" cm="1">
        <f t="array" ref="G735">_xll.FDSB($C735,"CS_EVENT_TIME_N("&amp;$AA$18&amp;",1)")</f>
        <v/>
      </c>
      <c r="H735" s="282" t="str" cm="1">
        <f t="array" ref="H735">_xll.FDSB($C735,"CS_EVENT_DESC_N("&amp;$AA$18&amp;",1)")</f>
        <v/>
      </c>
      <c r="I735" s="282"/>
      <c r="J735" s="274" t="str" cm="1">
        <f t="array" ref="J735">_xll.FDSB($C735,"CS_EVENT_DATEJ_N("&amp;$AB$18&amp;",1)")</f>
        <v/>
      </c>
      <c r="K735" s="282" t="str" cm="1">
        <f t="array" ref="K735">_xll.FDSB($C735,"CS_EVENT_TIME_N("&amp;$AB$18&amp;",1)")</f>
        <v/>
      </c>
      <c r="L735" s="282" t="str" cm="1">
        <f t="array" ref="L735">_xll.FDSB($C735,"CS_EVENT_DESC_N("&amp;$AB$18&amp;",1)")</f>
        <v/>
      </c>
      <c r="M735" s="300"/>
      <c r="N735" s="274" t="str" cm="1">
        <f t="array" ref="N735">_xll.FDSB($C735,"CS_EVENT_DATEJ_N("&amp;$AA$18&amp;",2)")</f>
        <v/>
      </c>
      <c r="O735" s="282" t="str" cm="1">
        <f t="array" ref="O735">_xll.FDSB($C735,"CS_EVENT_TIME_N("&amp;$AA$18&amp;",2)")</f>
        <v/>
      </c>
      <c r="P735" s="282" t="str" cm="1">
        <f t="array" ref="P735">_xll.FDSB($C735,"CS_EVENT_DESC_N("&amp;$AA$18&amp;",2)")</f>
        <v/>
      </c>
      <c r="Q735" s="282"/>
      <c r="R735" s="274" t="str" cm="1">
        <f t="array" ref="R735">_xll.FDSB($C735,"CS_EVENT_DATEJ_N("&amp;$AA$18&amp;",3)")</f>
        <v/>
      </c>
      <c r="S735" s="282" t="str" cm="1">
        <f t="array" ref="S735">_xll.FDSB($C735,"CS_EVENT_TIME_N("&amp;$AA$18&amp;",3)")</f>
        <v/>
      </c>
      <c r="T735" s="282" t="str" cm="1">
        <f t="array" ref="T735">_xll.FDSB($C735,"CS_EVENT_DESC_N("&amp;$AA$18&amp;",3)")</f>
        <v/>
      </c>
      <c r="U735" s="282"/>
      <c r="V735" s="274" t="str" cm="1">
        <f t="array" ref="V735">_xll.FDSB($C735,"CS_EVENT_DATEJ_N("&amp;$AA$18&amp;",4)")</f>
        <v/>
      </c>
      <c r="W735" s="282" t="str" cm="1">
        <f t="array" ref="W735">_xll.FDSB($C735,"CS_EVENT_TIME_N("&amp;$AA$18&amp;",4)")</f>
        <v/>
      </c>
      <c r="X735" s="282" t="str" cm="1">
        <f t="array" ref="X735">_xll.FDSB($C735,"CS_EVENT_DESC_N("&amp;$AA$18&amp;",4)")</f>
        <v/>
      </c>
    </row>
    <row r="736" spans="2:24" x14ac:dyDescent="0.15">
      <c r="B736" s="298">
        <f t="shared" si="13"/>
        <v>721</v>
      </c>
      <c r="C736" s="299"/>
      <c r="D736" s="300" t="str" cm="1">
        <f t="array" ref="D736">_xll.FDSB($C736,"FG_COMPANY_NAME")</f>
        <v/>
      </c>
      <c r="E736" s="300"/>
      <c r="F736" s="274" t="str" cm="1">
        <f t="array" ref="F736">_xll.FDSB($C736,"CS_EVENT_DATEJ_N("&amp;$AA$18&amp;",1)")</f>
        <v/>
      </c>
      <c r="G736" s="282" t="str" cm="1">
        <f t="array" ref="G736">_xll.FDSB($C736,"CS_EVENT_TIME_N("&amp;$AA$18&amp;",1)")</f>
        <v/>
      </c>
      <c r="H736" s="282" t="str" cm="1">
        <f t="array" ref="H736">_xll.FDSB($C736,"CS_EVENT_DESC_N("&amp;$AA$18&amp;",1)")</f>
        <v/>
      </c>
      <c r="I736" s="282"/>
      <c r="J736" s="274" t="str" cm="1">
        <f t="array" ref="J736">_xll.FDSB($C736,"CS_EVENT_DATEJ_N("&amp;$AB$18&amp;",1)")</f>
        <v/>
      </c>
      <c r="K736" s="282" t="str" cm="1">
        <f t="array" ref="K736">_xll.FDSB($C736,"CS_EVENT_TIME_N("&amp;$AB$18&amp;",1)")</f>
        <v/>
      </c>
      <c r="L736" s="282" t="str" cm="1">
        <f t="array" ref="L736">_xll.FDSB($C736,"CS_EVENT_DESC_N("&amp;$AB$18&amp;",1)")</f>
        <v/>
      </c>
      <c r="M736" s="300"/>
      <c r="N736" s="274" t="str" cm="1">
        <f t="array" ref="N736">_xll.FDSB($C736,"CS_EVENT_DATEJ_N("&amp;$AA$18&amp;",2)")</f>
        <v/>
      </c>
      <c r="O736" s="282" t="str" cm="1">
        <f t="array" ref="O736">_xll.FDSB($C736,"CS_EVENT_TIME_N("&amp;$AA$18&amp;",2)")</f>
        <v/>
      </c>
      <c r="P736" s="282" t="str" cm="1">
        <f t="array" ref="P736">_xll.FDSB($C736,"CS_EVENT_DESC_N("&amp;$AA$18&amp;",2)")</f>
        <v/>
      </c>
      <c r="Q736" s="282"/>
      <c r="R736" s="274" t="str" cm="1">
        <f t="array" ref="R736">_xll.FDSB($C736,"CS_EVENT_DATEJ_N("&amp;$AA$18&amp;",3)")</f>
        <v/>
      </c>
      <c r="S736" s="282" t="str" cm="1">
        <f t="array" ref="S736">_xll.FDSB($C736,"CS_EVENT_TIME_N("&amp;$AA$18&amp;",3)")</f>
        <v/>
      </c>
      <c r="T736" s="282" t="str" cm="1">
        <f t="array" ref="T736">_xll.FDSB($C736,"CS_EVENT_DESC_N("&amp;$AA$18&amp;",3)")</f>
        <v/>
      </c>
      <c r="U736" s="282"/>
      <c r="V736" s="274" t="str" cm="1">
        <f t="array" ref="V736">_xll.FDSB($C736,"CS_EVENT_DATEJ_N("&amp;$AA$18&amp;",4)")</f>
        <v/>
      </c>
      <c r="W736" s="282" t="str" cm="1">
        <f t="array" ref="W736">_xll.FDSB($C736,"CS_EVENT_TIME_N("&amp;$AA$18&amp;",4)")</f>
        <v/>
      </c>
      <c r="X736" s="282" t="str" cm="1">
        <f t="array" ref="X736">_xll.FDSB($C736,"CS_EVENT_DESC_N("&amp;$AA$18&amp;",4)")</f>
        <v/>
      </c>
    </row>
    <row r="737" spans="2:24" x14ac:dyDescent="0.15">
      <c r="B737" s="298">
        <f t="shared" si="13"/>
        <v>722</v>
      </c>
      <c r="C737" s="299"/>
      <c r="D737" s="300" t="str" cm="1">
        <f t="array" ref="D737">_xll.FDSB($C737,"FG_COMPANY_NAME")</f>
        <v/>
      </c>
      <c r="E737" s="300"/>
      <c r="F737" s="274" t="str" cm="1">
        <f t="array" ref="F737">_xll.FDSB($C737,"CS_EVENT_DATEJ_N("&amp;$AA$18&amp;",1)")</f>
        <v/>
      </c>
      <c r="G737" s="282" t="str" cm="1">
        <f t="array" ref="G737">_xll.FDSB($C737,"CS_EVENT_TIME_N("&amp;$AA$18&amp;",1)")</f>
        <v/>
      </c>
      <c r="H737" s="282" t="str" cm="1">
        <f t="array" ref="H737">_xll.FDSB($C737,"CS_EVENT_DESC_N("&amp;$AA$18&amp;",1)")</f>
        <v/>
      </c>
      <c r="I737" s="282"/>
      <c r="J737" s="274" t="str" cm="1">
        <f t="array" ref="J737">_xll.FDSB($C737,"CS_EVENT_DATEJ_N("&amp;$AB$18&amp;",1)")</f>
        <v/>
      </c>
      <c r="K737" s="282" t="str" cm="1">
        <f t="array" ref="K737">_xll.FDSB($C737,"CS_EVENT_TIME_N("&amp;$AB$18&amp;",1)")</f>
        <v/>
      </c>
      <c r="L737" s="282" t="str" cm="1">
        <f t="array" ref="L737">_xll.FDSB($C737,"CS_EVENT_DESC_N("&amp;$AB$18&amp;",1)")</f>
        <v/>
      </c>
      <c r="M737" s="300"/>
      <c r="N737" s="274" t="str" cm="1">
        <f t="array" ref="N737">_xll.FDSB($C737,"CS_EVENT_DATEJ_N("&amp;$AA$18&amp;",2)")</f>
        <v/>
      </c>
      <c r="O737" s="282" t="str" cm="1">
        <f t="array" ref="O737">_xll.FDSB($C737,"CS_EVENT_TIME_N("&amp;$AA$18&amp;",2)")</f>
        <v/>
      </c>
      <c r="P737" s="282" t="str" cm="1">
        <f t="array" ref="P737">_xll.FDSB($C737,"CS_EVENT_DESC_N("&amp;$AA$18&amp;",2)")</f>
        <v/>
      </c>
      <c r="Q737" s="282"/>
      <c r="R737" s="274" t="str" cm="1">
        <f t="array" ref="R737">_xll.FDSB($C737,"CS_EVENT_DATEJ_N("&amp;$AA$18&amp;",3)")</f>
        <v/>
      </c>
      <c r="S737" s="282" t="str" cm="1">
        <f t="array" ref="S737">_xll.FDSB($C737,"CS_EVENT_TIME_N("&amp;$AA$18&amp;",3)")</f>
        <v/>
      </c>
      <c r="T737" s="282" t="str" cm="1">
        <f t="array" ref="T737">_xll.FDSB($C737,"CS_EVENT_DESC_N("&amp;$AA$18&amp;",3)")</f>
        <v/>
      </c>
      <c r="U737" s="282"/>
      <c r="V737" s="274" t="str" cm="1">
        <f t="array" ref="V737">_xll.FDSB($C737,"CS_EVENT_DATEJ_N("&amp;$AA$18&amp;",4)")</f>
        <v/>
      </c>
      <c r="W737" s="282" t="str" cm="1">
        <f t="array" ref="W737">_xll.FDSB($C737,"CS_EVENT_TIME_N("&amp;$AA$18&amp;",4)")</f>
        <v/>
      </c>
      <c r="X737" s="282" t="str" cm="1">
        <f t="array" ref="X737">_xll.FDSB($C737,"CS_EVENT_DESC_N("&amp;$AA$18&amp;",4)")</f>
        <v/>
      </c>
    </row>
    <row r="738" spans="2:24" x14ac:dyDescent="0.15">
      <c r="B738" s="298">
        <f t="shared" si="13"/>
        <v>723</v>
      </c>
      <c r="C738" s="299"/>
      <c r="D738" s="300" t="str" cm="1">
        <f t="array" ref="D738">_xll.FDSB($C738,"FG_COMPANY_NAME")</f>
        <v/>
      </c>
      <c r="E738" s="300"/>
      <c r="F738" s="274" t="str" cm="1">
        <f t="array" ref="F738">_xll.FDSB($C738,"CS_EVENT_DATEJ_N("&amp;$AA$18&amp;",1)")</f>
        <v/>
      </c>
      <c r="G738" s="282" t="str" cm="1">
        <f t="array" ref="G738">_xll.FDSB($C738,"CS_EVENT_TIME_N("&amp;$AA$18&amp;",1)")</f>
        <v/>
      </c>
      <c r="H738" s="282" t="str" cm="1">
        <f t="array" ref="H738">_xll.FDSB($C738,"CS_EVENT_DESC_N("&amp;$AA$18&amp;",1)")</f>
        <v/>
      </c>
      <c r="I738" s="282"/>
      <c r="J738" s="274" t="str" cm="1">
        <f t="array" ref="J738">_xll.FDSB($C738,"CS_EVENT_DATEJ_N("&amp;$AB$18&amp;",1)")</f>
        <v/>
      </c>
      <c r="K738" s="282" t="str" cm="1">
        <f t="array" ref="K738">_xll.FDSB($C738,"CS_EVENT_TIME_N("&amp;$AB$18&amp;",1)")</f>
        <v/>
      </c>
      <c r="L738" s="282" t="str" cm="1">
        <f t="array" ref="L738">_xll.FDSB($C738,"CS_EVENT_DESC_N("&amp;$AB$18&amp;",1)")</f>
        <v/>
      </c>
      <c r="M738" s="300"/>
      <c r="N738" s="274" t="str" cm="1">
        <f t="array" ref="N738">_xll.FDSB($C738,"CS_EVENT_DATEJ_N("&amp;$AA$18&amp;",2)")</f>
        <v/>
      </c>
      <c r="O738" s="282" t="str" cm="1">
        <f t="array" ref="O738">_xll.FDSB($C738,"CS_EVENT_TIME_N("&amp;$AA$18&amp;",2)")</f>
        <v/>
      </c>
      <c r="P738" s="282" t="str" cm="1">
        <f t="array" ref="P738">_xll.FDSB($C738,"CS_EVENT_DESC_N("&amp;$AA$18&amp;",2)")</f>
        <v/>
      </c>
      <c r="Q738" s="282"/>
      <c r="R738" s="274" t="str" cm="1">
        <f t="array" ref="R738">_xll.FDSB($C738,"CS_EVENT_DATEJ_N("&amp;$AA$18&amp;",3)")</f>
        <v/>
      </c>
      <c r="S738" s="282" t="str" cm="1">
        <f t="array" ref="S738">_xll.FDSB($C738,"CS_EVENT_TIME_N("&amp;$AA$18&amp;",3)")</f>
        <v/>
      </c>
      <c r="T738" s="282" t="str" cm="1">
        <f t="array" ref="T738">_xll.FDSB($C738,"CS_EVENT_DESC_N("&amp;$AA$18&amp;",3)")</f>
        <v/>
      </c>
      <c r="U738" s="282"/>
      <c r="V738" s="274" t="str" cm="1">
        <f t="array" ref="V738">_xll.FDSB($C738,"CS_EVENT_DATEJ_N("&amp;$AA$18&amp;",4)")</f>
        <v/>
      </c>
      <c r="W738" s="282" t="str" cm="1">
        <f t="array" ref="W738">_xll.FDSB($C738,"CS_EVENT_TIME_N("&amp;$AA$18&amp;",4)")</f>
        <v/>
      </c>
      <c r="X738" s="282" t="str" cm="1">
        <f t="array" ref="X738">_xll.FDSB($C738,"CS_EVENT_DESC_N("&amp;$AA$18&amp;",4)")</f>
        <v/>
      </c>
    </row>
    <row r="739" spans="2:24" x14ac:dyDescent="0.15">
      <c r="B739" s="298">
        <f t="shared" si="13"/>
        <v>724</v>
      </c>
      <c r="C739" s="299"/>
      <c r="D739" s="300" t="str" cm="1">
        <f t="array" ref="D739">_xll.FDSB($C739,"FG_COMPANY_NAME")</f>
        <v/>
      </c>
      <c r="E739" s="300"/>
      <c r="F739" s="274" t="str" cm="1">
        <f t="array" ref="F739">_xll.FDSB($C739,"CS_EVENT_DATEJ_N("&amp;$AA$18&amp;",1)")</f>
        <v/>
      </c>
      <c r="G739" s="282" t="str" cm="1">
        <f t="array" ref="G739">_xll.FDSB($C739,"CS_EVENT_TIME_N("&amp;$AA$18&amp;",1)")</f>
        <v/>
      </c>
      <c r="H739" s="282" t="str" cm="1">
        <f t="array" ref="H739">_xll.FDSB($C739,"CS_EVENT_DESC_N("&amp;$AA$18&amp;",1)")</f>
        <v/>
      </c>
      <c r="I739" s="282"/>
      <c r="J739" s="274" t="str" cm="1">
        <f t="array" ref="J739">_xll.FDSB($C739,"CS_EVENT_DATEJ_N("&amp;$AB$18&amp;",1)")</f>
        <v/>
      </c>
      <c r="K739" s="282" t="str" cm="1">
        <f t="array" ref="K739">_xll.FDSB($C739,"CS_EVENT_TIME_N("&amp;$AB$18&amp;",1)")</f>
        <v/>
      </c>
      <c r="L739" s="282" t="str" cm="1">
        <f t="array" ref="L739">_xll.FDSB($C739,"CS_EVENT_DESC_N("&amp;$AB$18&amp;",1)")</f>
        <v/>
      </c>
      <c r="M739" s="300"/>
      <c r="N739" s="274" t="str" cm="1">
        <f t="array" ref="N739">_xll.FDSB($C739,"CS_EVENT_DATEJ_N("&amp;$AA$18&amp;",2)")</f>
        <v/>
      </c>
      <c r="O739" s="282" t="str" cm="1">
        <f t="array" ref="O739">_xll.FDSB($C739,"CS_EVENT_TIME_N("&amp;$AA$18&amp;",2)")</f>
        <v/>
      </c>
      <c r="P739" s="282" t="str" cm="1">
        <f t="array" ref="P739">_xll.FDSB($C739,"CS_EVENT_DESC_N("&amp;$AA$18&amp;",2)")</f>
        <v/>
      </c>
      <c r="Q739" s="282"/>
      <c r="R739" s="274" t="str" cm="1">
        <f t="array" ref="R739">_xll.FDSB($C739,"CS_EVENT_DATEJ_N("&amp;$AA$18&amp;",3)")</f>
        <v/>
      </c>
      <c r="S739" s="282" t="str" cm="1">
        <f t="array" ref="S739">_xll.FDSB($C739,"CS_EVENT_TIME_N("&amp;$AA$18&amp;",3)")</f>
        <v/>
      </c>
      <c r="T739" s="282" t="str" cm="1">
        <f t="array" ref="T739">_xll.FDSB($C739,"CS_EVENT_DESC_N("&amp;$AA$18&amp;",3)")</f>
        <v/>
      </c>
      <c r="U739" s="282"/>
      <c r="V739" s="274" t="str" cm="1">
        <f t="array" ref="V739">_xll.FDSB($C739,"CS_EVENT_DATEJ_N("&amp;$AA$18&amp;",4)")</f>
        <v/>
      </c>
      <c r="W739" s="282" t="str" cm="1">
        <f t="array" ref="W739">_xll.FDSB($C739,"CS_EVENT_TIME_N("&amp;$AA$18&amp;",4)")</f>
        <v/>
      </c>
      <c r="X739" s="282" t="str" cm="1">
        <f t="array" ref="X739">_xll.FDSB($C739,"CS_EVENT_DESC_N("&amp;$AA$18&amp;",4)")</f>
        <v/>
      </c>
    </row>
    <row r="740" spans="2:24" x14ac:dyDescent="0.15">
      <c r="B740" s="298">
        <f t="shared" si="13"/>
        <v>725</v>
      </c>
      <c r="C740" s="299"/>
      <c r="D740" s="300" t="str" cm="1">
        <f t="array" ref="D740">_xll.FDSB($C740,"FG_COMPANY_NAME")</f>
        <v/>
      </c>
      <c r="E740" s="300"/>
      <c r="F740" s="274" t="str" cm="1">
        <f t="array" ref="F740">_xll.FDSB($C740,"CS_EVENT_DATEJ_N("&amp;$AA$18&amp;",1)")</f>
        <v/>
      </c>
      <c r="G740" s="282" t="str" cm="1">
        <f t="array" ref="G740">_xll.FDSB($C740,"CS_EVENT_TIME_N("&amp;$AA$18&amp;",1)")</f>
        <v/>
      </c>
      <c r="H740" s="282" t="str" cm="1">
        <f t="array" ref="H740">_xll.FDSB($C740,"CS_EVENT_DESC_N("&amp;$AA$18&amp;",1)")</f>
        <v/>
      </c>
      <c r="I740" s="282"/>
      <c r="J740" s="274" t="str" cm="1">
        <f t="array" ref="J740">_xll.FDSB($C740,"CS_EVENT_DATEJ_N("&amp;$AB$18&amp;",1)")</f>
        <v/>
      </c>
      <c r="K740" s="282" t="str" cm="1">
        <f t="array" ref="K740">_xll.FDSB($C740,"CS_EVENT_TIME_N("&amp;$AB$18&amp;",1)")</f>
        <v/>
      </c>
      <c r="L740" s="282" t="str" cm="1">
        <f t="array" ref="L740">_xll.FDSB($C740,"CS_EVENT_DESC_N("&amp;$AB$18&amp;",1)")</f>
        <v/>
      </c>
      <c r="M740" s="300"/>
      <c r="N740" s="274" t="str" cm="1">
        <f t="array" ref="N740">_xll.FDSB($C740,"CS_EVENT_DATEJ_N("&amp;$AA$18&amp;",2)")</f>
        <v/>
      </c>
      <c r="O740" s="282" t="str" cm="1">
        <f t="array" ref="O740">_xll.FDSB($C740,"CS_EVENT_TIME_N("&amp;$AA$18&amp;",2)")</f>
        <v/>
      </c>
      <c r="P740" s="282" t="str" cm="1">
        <f t="array" ref="P740">_xll.FDSB($C740,"CS_EVENT_DESC_N("&amp;$AA$18&amp;",2)")</f>
        <v/>
      </c>
      <c r="Q740" s="282"/>
      <c r="R740" s="274" t="str" cm="1">
        <f t="array" ref="R740">_xll.FDSB($C740,"CS_EVENT_DATEJ_N("&amp;$AA$18&amp;",3)")</f>
        <v/>
      </c>
      <c r="S740" s="282" t="str" cm="1">
        <f t="array" ref="S740">_xll.FDSB($C740,"CS_EVENT_TIME_N("&amp;$AA$18&amp;",3)")</f>
        <v/>
      </c>
      <c r="T740" s="282" t="str" cm="1">
        <f t="array" ref="T740">_xll.FDSB($C740,"CS_EVENT_DESC_N("&amp;$AA$18&amp;",3)")</f>
        <v/>
      </c>
      <c r="U740" s="282"/>
      <c r="V740" s="274" t="str" cm="1">
        <f t="array" ref="V740">_xll.FDSB($C740,"CS_EVENT_DATEJ_N("&amp;$AA$18&amp;",4)")</f>
        <v/>
      </c>
      <c r="W740" s="282" t="str" cm="1">
        <f t="array" ref="W740">_xll.FDSB($C740,"CS_EVENT_TIME_N("&amp;$AA$18&amp;",4)")</f>
        <v/>
      </c>
      <c r="X740" s="282" t="str" cm="1">
        <f t="array" ref="X740">_xll.FDSB($C740,"CS_EVENT_DESC_N("&amp;$AA$18&amp;",4)")</f>
        <v/>
      </c>
    </row>
    <row r="741" spans="2:24" x14ac:dyDescent="0.15">
      <c r="B741" s="298">
        <f t="shared" si="13"/>
        <v>726</v>
      </c>
      <c r="C741" s="299"/>
      <c r="D741" s="300" t="str" cm="1">
        <f t="array" ref="D741">_xll.FDSB($C741,"FG_COMPANY_NAME")</f>
        <v/>
      </c>
      <c r="E741" s="300"/>
      <c r="F741" s="274" t="str" cm="1">
        <f t="array" ref="F741">_xll.FDSB($C741,"CS_EVENT_DATEJ_N("&amp;$AA$18&amp;",1)")</f>
        <v/>
      </c>
      <c r="G741" s="282" t="str" cm="1">
        <f t="array" ref="G741">_xll.FDSB($C741,"CS_EVENT_TIME_N("&amp;$AA$18&amp;",1)")</f>
        <v/>
      </c>
      <c r="H741" s="282" t="str" cm="1">
        <f t="array" ref="H741">_xll.FDSB($C741,"CS_EVENT_DESC_N("&amp;$AA$18&amp;",1)")</f>
        <v/>
      </c>
      <c r="I741" s="282"/>
      <c r="J741" s="274" t="str" cm="1">
        <f t="array" ref="J741">_xll.FDSB($C741,"CS_EVENT_DATEJ_N("&amp;$AB$18&amp;",1)")</f>
        <v/>
      </c>
      <c r="K741" s="282" t="str" cm="1">
        <f t="array" ref="K741">_xll.FDSB($C741,"CS_EVENT_TIME_N("&amp;$AB$18&amp;",1)")</f>
        <v/>
      </c>
      <c r="L741" s="282" t="str" cm="1">
        <f t="array" ref="L741">_xll.FDSB($C741,"CS_EVENT_DESC_N("&amp;$AB$18&amp;",1)")</f>
        <v/>
      </c>
      <c r="M741" s="300"/>
      <c r="N741" s="274" t="str" cm="1">
        <f t="array" ref="N741">_xll.FDSB($C741,"CS_EVENT_DATEJ_N("&amp;$AA$18&amp;",2)")</f>
        <v/>
      </c>
      <c r="O741" s="282" t="str" cm="1">
        <f t="array" ref="O741">_xll.FDSB($C741,"CS_EVENT_TIME_N("&amp;$AA$18&amp;",2)")</f>
        <v/>
      </c>
      <c r="P741" s="282" t="str" cm="1">
        <f t="array" ref="P741">_xll.FDSB($C741,"CS_EVENT_DESC_N("&amp;$AA$18&amp;",2)")</f>
        <v/>
      </c>
      <c r="Q741" s="282"/>
      <c r="R741" s="274" t="str" cm="1">
        <f t="array" ref="R741">_xll.FDSB($C741,"CS_EVENT_DATEJ_N("&amp;$AA$18&amp;",3)")</f>
        <v/>
      </c>
      <c r="S741" s="282" t="str" cm="1">
        <f t="array" ref="S741">_xll.FDSB($C741,"CS_EVENT_TIME_N("&amp;$AA$18&amp;",3)")</f>
        <v/>
      </c>
      <c r="T741" s="282" t="str" cm="1">
        <f t="array" ref="T741">_xll.FDSB($C741,"CS_EVENT_DESC_N("&amp;$AA$18&amp;",3)")</f>
        <v/>
      </c>
      <c r="U741" s="282"/>
      <c r="V741" s="274" t="str" cm="1">
        <f t="array" ref="V741">_xll.FDSB($C741,"CS_EVENT_DATEJ_N("&amp;$AA$18&amp;",4)")</f>
        <v/>
      </c>
      <c r="W741" s="282" t="str" cm="1">
        <f t="array" ref="W741">_xll.FDSB($C741,"CS_EVENT_TIME_N("&amp;$AA$18&amp;",4)")</f>
        <v/>
      </c>
      <c r="X741" s="282" t="str" cm="1">
        <f t="array" ref="X741">_xll.FDSB($C741,"CS_EVENT_DESC_N("&amp;$AA$18&amp;",4)")</f>
        <v/>
      </c>
    </row>
    <row r="742" spans="2:24" x14ac:dyDescent="0.15">
      <c r="B742" s="298">
        <f t="shared" si="13"/>
        <v>727</v>
      </c>
      <c r="C742" s="299"/>
      <c r="D742" s="300" t="str" cm="1">
        <f t="array" ref="D742">_xll.FDSB($C742,"FG_COMPANY_NAME")</f>
        <v/>
      </c>
      <c r="E742" s="300"/>
      <c r="F742" s="274" t="str" cm="1">
        <f t="array" ref="F742">_xll.FDSB($C742,"CS_EVENT_DATEJ_N("&amp;$AA$18&amp;",1)")</f>
        <v/>
      </c>
      <c r="G742" s="282" t="str" cm="1">
        <f t="array" ref="G742">_xll.FDSB($C742,"CS_EVENT_TIME_N("&amp;$AA$18&amp;",1)")</f>
        <v/>
      </c>
      <c r="H742" s="282" t="str" cm="1">
        <f t="array" ref="H742">_xll.FDSB($C742,"CS_EVENT_DESC_N("&amp;$AA$18&amp;",1)")</f>
        <v/>
      </c>
      <c r="I742" s="282"/>
      <c r="J742" s="274" t="str" cm="1">
        <f t="array" ref="J742">_xll.FDSB($C742,"CS_EVENT_DATEJ_N("&amp;$AB$18&amp;",1)")</f>
        <v/>
      </c>
      <c r="K742" s="282" t="str" cm="1">
        <f t="array" ref="K742">_xll.FDSB($C742,"CS_EVENT_TIME_N("&amp;$AB$18&amp;",1)")</f>
        <v/>
      </c>
      <c r="L742" s="282" t="str" cm="1">
        <f t="array" ref="L742">_xll.FDSB($C742,"CS_EVENT_DESC_N("&amp;$AB$18&amp;",1)")</f>
        <v/>
      </c>
      <c r="M742" s="300"/>
      <c r="N742" s="274" t="str" cm="1">
        <f t="array" ref="N742">_xll.FDSB($C742,"CS_EVENT_DATEJ_N("&amp;$AA$18&amp;",2)")</f>
        <v/>
      </c>
      <c r="O742" s="282" t="str" cm="1">
        <f t="array" ref="O742">_xll.FDSB($C742,"CS_EVENT_TIME_N("&amp;$AA$18&amp;",2)")</f>
        <v/>
      </c>
      <c r="P742" s="282" t="str" cm="1">
        <f t="array" ref="P742">_xll.FDSB($C742,"CS_EVENT_DESC_N("&amp;$AA$18&amp;",2)")</f>
        <v/>
      </c>
      <c r="Q742" s="282"/>
      <c r="R742" s="274" t="str" cm="1">
        <f t="array" ref="R742">_xll.FDSB($C742,"CS_EVENT_DATEJ_N("&amp;$AA$18&amp;",3)")</f>
        <v/>
      </c>
      <c r="S742" s="282" t="str" cm="1">
        <f t="array" ref="S742">_xll.FDSB($C742,"CS_EVENT_TIME_N("&amp;$AA$18&amp;",3)")</f>
        <v/>
      </c>
      <c r="T742" s="282" t="str" cm="1">
        <f t="array" ref="T742">_xll.FDSB($C742,"CS_EVENT_DESC_N("&amp;$AA$18&amp;",3)")</f>
        <v/>
      </c>
      <c r="U742" s="282"/>
      <c r="V742" s="274" t="str" cm="1">
        <f t="array" ref="V742">_xll.FDSB($C742,"CS_EVENT_DATEJ_N("&amp;$AA$18&amp;",4)")</f>
        <v/>
      </c>
      <c r="W742" s="282" t="str" cm="1">
        <f t="array" ref="W742">_xll.FDSB($C742,"CS_EVENT_TIME_N("&amp;$AA$18&amp;",4)")</f>
        <v/>
      </c>
      <c r="X742" s="282" t="str" cm="1">
        <f t="array" ref="X742">_xll.FDSB($C742,"CS_EVENT_DESC_N("&amp;$AA$18&amp;",4)")</f>
        <v/>
      </c>
    </row>
    <row r="743" spans="2:24" x14ac:dyDescent="0.15">
      <c r="B743" s="298">
        <f t="shared" si="13"/>
        <v>728</v>
      </c>
      <c r="C743" s="299"/>
      <c r="D743" s="300" t="str" cm="1">
        <f t="array" ref="D743">_xll.FDSB($C743,"FG_COMPANY_NAME")</f>
        <v/>
      </c>
      <c r="E743" s="300"/>
      <c r="F743" s="274" t="str" cm="1">
        <f t="array" ref="F743">_xll.FDSB($C743,"CS_EVENT_DATEJ_N("&amp;$AA$18&amp;",1)")</f>
        <v/>
      </c>
      <c r="G743" s="282" t="str" cm="1">
        <f t="array" ref="G743">_xll.FDSB($C743,"CS_EVENT_TIME_N("&amp;$AA$18&amp;",1)")</f>
        <v/>
      </c>
      <c r="H743" s="282" t="str" cm="1">
        <f t="array" ref="H743">_xll.FDSB($C743,"CS_EVENT_DESC_N("&amp;$AA$18&amp;",1)")</f>
        <v/>
      </c>
      <c r="I743" s="282"/>
      <c r="J743" s="274" t="str" cm="1">
        <f t="array" ref="J743">_xll.FDSB($C743,"CS_EVENT_DATEJ_N("&amp;$AB$18&amp;",1)")</f>
        <v/>
      </c>
      <c r="K743" s="282" t="str" cm="1">
        <f t="array" ref="K743">_xll.FDSB($C743,"CS_EVENT_TIME_N("&amp;$AB$18&amp;",1)")</f>
        <v/>
      </c>
      <c r="L743" s="282" t="str" cm="1">
        <f t="array" ref="L743">_xll.FDSB($C743,"CS_EVENT_DESC_N("&amp;$AB$18&amp;",1)")</f>
        <v/>
      </c>
      <c r="M743" s="300"/>
      <c r="N743" s="274" t="str" cm="1">
        <f t="array" ref="N743">_xll.FDSB($C743,"CS_EVENT_DATEJ_N("&amp;$AA$18&amp;",2)")</f>
        <v/>
      </c>
      <c r="O743" s="282" t="str" cm="1">
        <f t="array" ref="O743">_xll.FDSB($C743,"CS_EVENT_TIME_N("&amp;$AA$18&amp;",2)")</f>
        <v/>
      </c>
      <c r="P743" s="282" t="str" cm="1">
        <f t="array" ref="P743">_xll.FDSB($C743,"CS_EVENT_DESC_N("&amp;$AA$18&amp;",2)")</f>
        <v/>
      </c>
      <c r="Q743" s="282"/>
      <c r="R743" s="274" t="str" cm="1">
        <f t="array" ref="R743">_xll.FDSB($C743,"CS_EVENT_DATEJ_N("&amp;$AA$18&amp;",3)")</f>
        <v/>
      </c>
      <c r="S743" s="282" t="str" cm="1">
        <f t="array" ref="S743">_xll.FDSB($C743,"CS_EVENT_TIME_N("&amp;$AA$18&amp;",3)")</f>
        <v/>
      </c>
      <c r="T743" s="282" t="str" cm="1">
        <f t="array" ref="T743">_xll.FDSB($C743,"CS_EVENT_DESC_N("&amp;$AA$18&amp;",3)")</f>
        <v/>
      </c>
      <c r="U743" s="282"/>
      <c r="V743" s="274" t="str" cm="1">
        <f t="array" ref="V743">_xll.FDSB($C743,"CS_EVENT_DATEJ_N("&amp;$AA$18&amp;",4)")</f>
        <v/>
      </c>
      <c r="W743" s="282" t="str" cm="1">
        <f t="array" ref="W743">_xll.FDSB($C743,"CS_EVENT_TIME_N("&amp;$AA$18&amp;",4)")</f>
        <v/>
      </c>
      <c r="X743" s="282" t="str" cm="1">
        <f t="array" ref="X743">_xll.FDSB($C743,"CS_EVENT_DESC_N("&amp;$AA$18&amp;",4)")</f>
        <v/>
      </c>
    </row>
    <row r="744" spans="2:24" x14ac:dyDescent="0.15">
      <c r="B744" s="298">
        <f t="shared" si="13"/>
        <v>729</v>
      </c>
      <c r="C744" s="299"/>
      <c r="D744" s="300" t="str" cm="1">
        <f t="array" ref="D744">_xll.FDSB($C744,"FG_COMPANY_NAME")</f>
        <v/>
      </c>
      <c r="E744" s="300"/>
      <c r="F744" s="274" t="str" cm="1">
        <f t="array" ref="F744">_xll.FDSB($C744,"CS_EVENT_DATEJ_N("&amp;$AA$18&amp;",1)")</f>
        <v/>
      </c>
      <c r="G744" s="282" t="str" cm="1">
        <f t="array" ref="G744">_xll.FDSB($C744,"CS_EVENT_TIME_N("&amp;$AA$18&amp;",1)")</f>
        <v/>
      </c>
      <c r="H744" s="282" t="str" cm="1">
        <f t="array" ref="H744">_xll.FDSB($C744,"CS_EVENT_DESC_N("&amp;$AA$18&amp;",1)")</f>
        <v/>
      </c>
      <c r="I744" s="282"/>
      <c r="J744" s="274" t="str" cm="1">
        <f t="array" ref="J744">_xll.FDSB($C744,"CS_EVENT_DATEJ_N("&amp;$AB$18&amp;",1)")</f>
        <v/>
      </c>
      <c r="K744" s="282" t="str" cm="1">
        <f t="array" ref="K744">_xll.FDSB($C744,"CS_EVENT_TIME_N("&amp;$AB$18&amp;",1)")</f>
        <v/>
      </c>
      <c r="L744" s="282" t="str" cm="1">
        <f t="array" ref="L744">_xll.FDSB($C744,"CS_EVENT_DESC_N("&amp;$AB$18&amp;",1)")</f>
        <v/>
      </c>
      <c r="M744" s="300"/>
      <c r="N744" s="274" t="str" cm="1">
        <f t="array" ref="N744">_xll.FDSB($C744,"CS_EVENT_DATEJ_N("&amp;$AA$18&amp;",2)")</f>
        <v/>
      </c>
      <c r="O744" s="282" t="str" cm="1">
        <f t="array" ref="O744">_xll.FDSB($C744,"CS_EVENT_TIME_N("&amp;$AA$18&amp;",2)")</f>
        <v/>
      </c>
      <c r="P744" s="282" t="str" cm="1">
        <f t="array" ref="P744">_xll.FDSB($C744,"CS_EVENT_DESC_N("&amp;$AA$18&amp;",2)")</f>
        <v/>
      </c>
      <c r="Q744" s="282"/>
      <c r="R744" s="274" t="str" cm="1">
        <f t="array" ref="R744">_xll.FDSB($C744,"CS_EVENT_DATEJ_N("&amp;$AA$18&amp;",3)")</f>
        <v/>
      </c>
      <c r="S744" s="282" t="str" cm="1">
        <f t="array" ref="S744">_xll.FDSB($C744,"CS_EVENT_TIME_N("&amp;$AA$18&amp;",3)")</f>
        <v/>
      </c>
      <c r="T744" s="282" t="str" cm="1">
        <f t="array" ref="T744">_xll.FDSB($C744,"CS_EVENT_DESC_N("&amp;$AA$18&amp;",3)")</f>
        <v/>
      </c>
      <c r="U744" s="282"/>
      <c r="V744" s="274" t="str" cm="1">
        <f t="array" ref="V744">_xll.FDSB($C744,"CS_EVENT_DATEJ_N("&amp;$AA$18&amp;",4)")</f>
        <v/>
      </c>
      <c r="W744" s="282" t="str" cm="1">
        <f t="array" ref="W744">_xll.FDSB($C744,"CS_EVENT_TIME_N("&amp;$AA$18&amp;",4)")</f>
        <v/>
      </c>
      <c r="X744" s="282" t="str" cm="1">
        <f t="array" ref="X744">_xll.FDSB($C744,"CS_EVENT_DESC_N("&amp;$AA$18&amp;",4)")</f>
        <v/>
      </c>
    </row>
    <row r="745" spans="2:24" x14ac:dyDescent="0.15">
      <c r="B745" s="298">
        <f t="shared" si="13"/>
        <v>730</v>
      </c>
      <c r="C745" s="299"/>
      <c r="D745" s="300" t="str" cm="1">
        <f t="array" ref="D745">_xll.FDSB($C745,"FG_COMPANY_NAME")</f>
        <v/>
      </c>
      <c r="E745" s="300"/>
      <c r="F745" s="274" t="str" cm="1">
        <f t="array" ref="F745">_xll.FDSB($C745,"CS_EVENT_DATEJ_N("&amp;$AA$18&amp;",1)")</f>
        <v/>
      </c>
      <c r="G745" s="282" t="str" cm="1">
        <f t="array" ref="G745">_xll.FDSB($C745,"CS_EVENT_TIME_N("&amp;$AA$18&amp;",1)")</f>
        <v/>
      </c>
      <c r="H745" s="282" t="str" cm="1">
        <f t="array" ref="H745">_xll.FDSB($C745,"CS_EVENT_DESC_N("&amp;$AA$18&amp;",1)")</f>
        <v/>
      </c>
      <c r="I745" s="282"/>
      <c r="J745" s="274" t="str" cm="1">
        <f t="array" ref="J745">_xll.FDSB($C745,"CS_EVENT_DATEJ_N("&amp;$AB$18&amp;",1)")</f>
        <v/>
      </c>
      <c r="K745" s="282" t="str" cm="1">
        <f t="array" ref="K745">_xll.FDSB($C745,"CS_EVENT_TIME_N("&amp;$AB$18&amp;",1)")</f>
        <v/>
      </c>
      <c r="L745" s="282" t="str" cm="1">
        <f t="array" ref="L745">_xll.FDSB($C745,"CS_EVENT_DESC_N("&amp;$AB$18&amp;",1)")</f>
        <v/>
      </c>
      <c r="M745" s="300"/>
      <c r="N745" s="274" t="str" cm="1">
        <f t="array" ref="N745">_xll.FDSB($C745,"CS_EVENT_DATEJ_N("&amp;$AA$18&amp;",2)")</f>
        <v/>
      </c>
      <c r="O745" s="282" t="str" cm="1">
        <f t="array" ref="O745">_xll.FDSB($C745,"CS_EVENT_TIME_N("&amp;$AA$18&amp;",2)")</f>
        <v/>
      </c>
      <c r="P745" s="282" t="str" cm="1">
        <f t="array" ref="P745">_xll.FDSB($C745,"CS_EVENT_DESC_N("&amp;$AA$18&amp;",2)")</f>
        <v/>
      </c>
      <c r="Q745" s="282"/>
      <c r="R745" s="274" t="str" cm="1">
        <f t="array" ref="R745">_xll.FDSB($C745,"CS_EVENT_DATEJ_N("&amp;$AA$18&amp;",3)")</f>
        <v/>
      </c>
      <c r="S745" s="282" t="str" cm="1">
        <f t="array" ref="S745">_xll.FDSB($C745,"CS_EVENT_TIME_N("&amp;$AA$18&amp;",3)")</f>
        <v/>
      </c>
      <c r="T745" s="282" t="str" cm="1">
        <f t="array" ref="T745">_xll.FDSB($C745,"CS_EVENT_DESC_N("&amp;$AA$18&amp;",3)")</f>
        <v/>
      </c>
      <c r="U745" s="282"/>
      <c r="V745" s="274" t="str" cm="1">
        <f t="array" ref="V745">_xll.FDSB($C745,"CS_EVENT_DATEJ_N("&amp;$AA$18&amp;",4)")</f>
        <v/>
      </c>
      <c r="W745" s="282" t="str" cm="1">
        <f t="array" ref="W745">_xll.FDSB($C745,"CS_EVENT_TIME_N("&amp;$AA$18&amp;",4)")</f>
        <v/>
      </c>
      <c r="X745" s="282" t="str" cm="1">
        <f t="array" ref="X745">_xll.FDSB($C745,"CS_EVENT_DESC_N("&amp;$AA$18&amp;",4)")</f>
        <v/>
      </c>
    </row>
    <row r="746" spans="2:24" x14ac:dyDescent="0.15">
      <c r="B746" s="298">
        <f t="shared" si="13"/>
        <v>731</v>
      </c>
      <c r="C746" s="299"/>
      <c r="D746" s="300" t="str" cm="1">
        <f t="array" ref="D746">_xll.FDSB($C746,"FG_COMPANY_NAME")</f>
        <v/>
      </c>
      <c r="E746" s="300"/>
      <c r="F746" s="274" t="str" cm="1">
        <f t="array" ref="F746">_xll.FDSB($C746,"CS_EVENT_DATEJ_N("&amp;$AA$18&amp;",1)")</f>
        <v/>
      </c>
      <c r="G746" s="282" t="str" cm="1">
        <f t="array" ref="G746">_xll.FDSB($C746,"CS_EVENT_TIME_N("&amp;$AA$18&amp;",1)")</f>
        <v/>
      </c>
      <c r="H746" s="282" t="str" cm="1">
        <f t="array" ref="H746">_xll.FDSB($C746,"CS_EVENT_DESC_N("&amp;$AA$18&amp;",1)")</f>
        <v/>
      </c>
      <c r="I746" s="282"/>
      <c r="J746" s="274" t="str" cm="1">
        <f t="array" ref="J746">_xll.FDSB($C746,"CS_EVENT_DATEJ_N("&amp;$AB$18&amp;",1)")</f>
        <v/>
      </c>
      <c r="K746" s="282" t="str" cm="1">
        <f t="array" ref="K746">_xll.FDSB($C746,"CS_EVENT_TIME_N("&amp;$AB$18&amp;",1)")</f>
        <v/>
      </c>
      <c r="L746" s="282" t="str" cm="1">
        <f t="array" ref="L746">_xll.FDSB($C746,"CS_EVENT_DESC_N("&amp;$AB$18&amp;",1)")</f>
        <v/>
      </c>
      <c r="M746" s="300"/>
      <c r="N746" s="274" t="str" cm="1">
        <f t="array" ref="N746">_xll.FDSB($C746,"CS_EVENT_DATEJ_N("&amp;$AA$18&amp;",2)")</f>
        <v/>
      </c>
      <c r="O746" s="282" t="str" cm="1">
        <f t="array" ref="O746">_xll.FDSB($C746,"CS_EVENT_TIME_N("&amp;$AA$18&amp;",2)")</f>
        <v/>
      </c>
      <c r="P746" s="282" t="str" cm="1">
        <f t="array" ref="P746">_xll.FDSB($C746,"CS_EVENT_DESC_N("&amp;$AA$18&amp;",2)")</f>
        <v/>
      </c>
      <c r="Q746" s="282"/>
      <c r="R746" s="274" t="str" cm="1">
        <f t="array" ref="R746">_xll.FDSB($C746,"CS_EVENT_DATEJ_N("&amp;$AA$18&amp;",3)")</f>
        <v/>
      </c>
      <c r="S746" s="282" t="str" cm="1">
        <f t="array" ref="S746">_xll.FDSB($C746,"CS_EVENT_TIME_N("&amp;$AA$18&amp;",3)")</f>
        <v/>
      </c>
      <c r="T746" s="282" t="str" cm="1">
        <f t="array" ref="T746">_xll.FDSB($C746,"CS_EVENT_DESC_N("&amp;$AA$18&amp;",3)")</f>
        <v/>
      </c>
      <c r="U746" s="282"/>
      <c r="V746" s="274" t="str" cm="1">
        <f t="array" ref="V746">_xll.FDSB($C746,"CS_EVENT_DATEJ_N("&amp;$AA$18&amp;",4)")</f>
        <v/>
      </c>
      <c r="W746" s="282" t="str" cm="1">
        <f t="array" ref="W746">_xll.FDSB($C746,"CS_EVENT_TIME_N("&amp;$AA$18&amp;",4)")</f>
        <v/>
      </c>
      <c r="X746" s="282" t="str" cm="1">
        <f t="array" ref="X746">_xll.FDSB($C746,"CS_EVENT_DESC_N("&amp;$AA$18&amp;",4)")</f>
        <v/>
      </c>
    </row>
    <row r="747" spans="2:24" x14ac:dyDescent="0.15">
      <c r="B747" s="298">
        <f t="shared" si="13"/>
        <v>732</v>
      </c>
      <c r="C747" s="299"/>
      <c r="D747" s="300" t="str" cm="1">
        <f t="array" ref="D747">_xll.FDSB($C747,"FG_COMPANY_NAME")</f>
        <v/>
      </c>
      <c r="E747" s="300"/>
      <c r="F747" s="274" t="str" cm="1">
        <f t="array" ref="F747">_xll.FDSB($C747,"CS_EVENT_DATEJ_N("&amp;$AA$18&amp;",1)")</f>
        <v/>
      </c>
      <c r="G747" s="282" t="str" cm="1">
        <f t="array" ref="G747">_xll.FDSB($C747,"CS_EVENT_TIME_N("&amp;$AA$18&amp;",1)")</f>
        <v/>
      </c>
      <c r="H747" s="282" t="str" cm="1">
        <f t="array" ref="H747">_xll.FDSB($C747,"CS_EVENT_DESC_N("&amp;$AA$18&amp;",1)")</f>
        <v/>
      </c>
      <c r="I747" s="282"/>
      <c r="J747" s="274" t="str" cm="1">
        <f t="array" ref="J747">_xll.FDSB($C747,"CS_EVENT_DATEJ_N("&amp;$AB$18&amp;",1)")</f>
        <v/>
      </c>
      <c r="K747" s="282" t="str" cm="1">
        <f t="array" ref="K747">_xll.FDSB($C747,"CS_EVENT_TIME_N("&amp;$AB$18&amp;",1)")</f>
        <v/>
      </c>
      <c r="L747" s="282" t="str" cm="1">
        <f t="array" ref="L747">_xll.FDSB($C747,"CS_EVENT_DESC_N("&amp;$AB$18&amp;",1)")</f>
        <v/>
      </c>
      <c r="M747" s="300"/>
      <c r="N747" s="274" t="str" cm="1">
        <f t="array" ref="N747">_xll.FDSB($C747,"CS_EVENT_DATEJ_N("&amp;$AA$18&amp;",2)")</f>
        <v/>
      </c>
      <c r="O747" s="282" t="str" cm="1">
        <f t="array" ref="O747">_xll.FDSB($C747,"CS_EVENT_TIME_N("&amp;$AA$18&amp;",2)")</f>
        <v/>
      </c>
      <c r="P747" s="282" t="str" cm="1">
        <f t="array" ref="P747">_xll.FDSB($C747,"CS_EVENT_DESC_N("&amp;$AA$18&amp;",2)")</f>
        <v/>
      </c>
      <c r="Q747" s="282"/>
      <c r="R747" s="274" t="str" cm="1">
        <f t="array" ref="R747">_xll.FDSB($C747,"CS_EVENT_DATEJ_N("&amp;$AA$18&amp;",3)")</f>
        <v/>
      </c>
      <c r="S747" s="282" t="str" cm="1">
        <f t="array" ref="S747">_xll.FDSB($C747,"CS_EVENT_TIME_N("&amp;$AA$18&amp;",3)")</f>
        <v/>
      </c>
      <c r="T747" s="282" t="str" cm="1">
        <f t="array" ref="T747">_xll.FDSB($C747,"CS_EVENT_DESC_N("&amp;$AA$18&amp;",3)")</f>
        <v/>
      </c>
      <c r="U747" s="282"/>
      <c r="V747" s="274" t="str" cm="1">
        <f t="array" ref="V747">_xll.FDSB($C747,"CS_EVENT_DATEJ_N("&amp;$AA$18&amp;",4)")</f>
        <v/>
      </c>
      <c r="W747" s="282" t="str" cm="1">
        <f t="array" ref="W747">_xll.FDSB($C747,"CS_EVENT_TIME_N("&amp;$AA$18&amp;",4)")</f>
        <v/>
      </c>
      <c r="X747" s="282" t="str" cm="1">
        <f t="array" ref="X747">_xll.FDSB($C747,"CS_EVENT_DESC_N("&amp;$AA$18&amp;",4)")</f>
        <v/>
      </c>
    </row>
    <row r="748" spans="2:24" x14ac:dyDescent="0.15">
      <c r="B748" s="298">
        <f t="shared" si="13"/>
        <v>733</v>
      </c>
      <c r="C748" s="299"/>
      <c r="D748" s="300" t="str" cm="1">
        <f t="array" ref="D748">_xll.FDSB($C748,"FG_COMPANY_NAME")</f>
        <v/>
      </c>
      <c r="E748" s="300"/>
      <c r="F748" s="274" t="str" cm="1">
        <f t="array" ref="F748">_xll.FDSB($C748,"CS_EVENT_DATEJ_N("&amp;$AA$18&amp;",1)")</f>
        <v/>
      </c>
      <c r="G748" s="282" t="str" cm="1">
        <f t="array" ref="G748">_xll.FDSB($C748,"CS_EVENT_TIME_N("&amp;$AA$18&amp;",1)")</f>
        <v/>
      </c>
      <c r="H748" s="282" t="str" cm="1">
        <f t="array" ref="H748">_xll.FDSB($C748,"CS_EVENT_DESC_N("&amp;$AA$18&amp;",1)")</f>
        <v/>
      </c>
      <c r="I748" s="282"/>
      <c r="J748" s="274" t="str" cm="1">
        <f t="array" ref="J748">_xll.FDSB($C748,"CS_EVENT_DATEJ_N("&amp;$AB$18&amp;",1)")</f>
        <v/>
      </c>
      <c r="K748" s="282" t="str" cm="1">
        <f t="array" ref="K748">_xll.FDSB($C748,"CS_EVENT_TIME_N("&amp;$AB$18&amp;",1)")</f>
        <v/>
      </c>
      <c r="L748" s="282" t="str" cm="1">
        <f t="array" ref="L748">_xll.FDSB($C748,"CS_EVENT_DESC_N("&amp;$AB$18&amp;",1)")</f>
        <v/>
      </c>
      <c r="M748" s="300"/>
      <c r="N748" s="274" t="str" cm="1">
        <f t="array" ref="N748">_xll.FDSB($C748,"CS_EVENT_DATEJ_N("&amp;$AA$18&amp;",2)")</f>
        <v/>
      </c>
      <c r="O748" s="282" t="str" cm="1">
        <f t="array" ref="O748">_xll.FDSB($C748,"CS_EVENT_TIME_N("&amp;$AA$18&amp;",2)")</f>
        <v/>
      </c>
      <c r="P748" s="282" t="str" cm="1">
        <f t="array" ref="P748">_xll.FDSB($C748,"CS_EVENT_DESC_N("&amp;$AA$18&amp;",2)")</f>
        <v/>
      </c>
      <c r="Q748" s="282"/>
      <c r="R748" s="274" t="str" cm="1">
        <f t="array" ref="R748">_xll.FDSB($C748,"CS_EVENT_DATEJ_N("&amp;$AA$18&amp;",3)")</f>
        <v/>
      </c>
      <c r="S748" s="282" t="str" cm="1">
        <f t="array" ref="S748">_xll.FDSB($C748,"CS_EVENT_TIME_N("&amp;$AA$18&amp;",3)")</f>
        <v/>
      </c>
      <c r="T748" s="282" t="str" cm="1">
        <f t="array" ref="T748">_xll.FDSB($C748,"CS_EVENT_DESC_N("&amp;$AA$18&amp;",3)")</f>
        <v/>
      </c>
      <c r="U748" s="282"/>
      <c r="V748" s="274" t="str" cm="1">
        <f t="array" ref="V748">_xll.FDSB($C748,"CS_EVENT_DATEJ_N("&amp;$AA$18&amp;",4)")</f>
        <v/>
      </c>
      <c r="W748" s="282" t="str" cm="1">
        <f t="array" ref="W748">_xll.FDSB($C748,"CS_EVENT_TIME_N("&amp;$AA$18&amp;",4)")</f>
        <v/>
      </c>
      <c r="X748" s="282" t="str" cm="1">
        <f t="array" ref="X748">_xll.FDSB($C748,"CS_EVENT_DESC_N("&amp;$AA$18&amp;",4)")</f>
        <v/>
      </c>
    </row>
    <row r="749" spans="2:24" x14ac:dyDescent="0.15">
      <c r="B749" s="298">
        <f t="shared" si="13"/>
        <v>734</v>
      </c>
      <c r="C749" s="299"/>
      <c r="D749" s="300" t="str" cm="1">
        <f t="array" ref="D749">_xll.FDSB($C749,"FG_COMPANY_NAME")</f>
        <v/>
      </c>
      <c r="E749" s="300"/>
      <c r="F749" s="274" t="str" cm="1">
        <f t="array" ref="F749">_xll.FDSB($C749,"CS_EVENT_DATEJ_N("&amp;$AA$18&amp;",1)")</f>
        <v/>
      </c>
      <c r="G749" s="282" t="str" cm="1">
        <f t="array" ref="G749">_xll.FDSB($C749,"CS_EVENT_TIME_N("&amp;$AA$18&amp;",1)")</f>
        <v/>
      </c>
      <c r="H749" s="282" t="str" cm="1">
        <f t="array" ref="H749">_xll.FDSB($C749,"CS_EVENT_DESC_N("&amp;$AA$18&amp;",1)")</f>
        <v/>
      </c>
      <c r="I749" s="282"/>
      <c r="J749" s="274" t="str" cm="1">
        <f t="array" ref="J749">_xll.FDSB($C749,"CS_EVENT_DATEJ_N("&amp;$AB$18&amp;",1)")</f>
        <v/>
      </c>
      <c r="K749" s="282" t="str" cm="1">
        <f t="array" ref="K749">_xll.FDSB($C749,"CS_EVENT_TIME_N("&amp;$AB$18&amp;",1)")</f>
        <v/>
      </c>
      <c r="L749" s="282" t="str" cm="1">
        <f t="array" ref="L749">_xll.FDSB($C749,"CS_EVENT_DESC_N("&amp;$AB$18&amp;",1)")</f>
        <v/>
      </c>
      <c r="M749" s="300"/>
      <c r="N749" s="274" t="str" cm="1">
        <f t="array" ref="N749">_xll.FDSB($C749,"CS_EVENT_DATEJ_N("&amp;$AA$18&amp;",2)")</f>
        <v/>
      </c>
      <c r="O749" s="282" t="str" cm="1">
        <f t="array" ref="O749">_xll.FDSB($C749,"CS_EVENT_TIME_N("&amp;$AA$18&amp;",2)")</f>
        <v/>
      </c>
      <c r="P749" s="282" t="str" cm="1">
        <f t="array" ref="P749">_xll.FDSB($C749,"CS_EVENT_DESC_N("&amp;$AA$18&amp;",2)")</f>
        <v/>
      </c>
      <c r="Q749" s="282"/>
      <c r="R749" s="274" t="str" cm="1">
        <f t="array" ref="R749">_xll.FDSB($C749,"CS_EVENT_DATEJ_N("&amp;$AA$18&amp;",3)")</f>
        <v/>
      </c>
      <c r="S749" s="282" t="str" cm="1">
        <f t="array" ref="S749">_xll.FDSB($C749,"CS_EVENT_TIME_N("&amp;$AA$18&amp;",3)")</f>
        <v/>
      </c>
      <c r="T749" s="282" t="str" cm="1">
        <f t="array" ref="T749">_xll.FDSB($C749,"CS_EVENT_DESC_N("&amp;$AA$18&amp;",3)")</f>
        <v/>
      </c>
      <c r="U749" s="282"/>
      <c r="V749" s="274" t="str" cm="1">
        <f t="array" ref="V749">_xll.FDSB($C749,"CS_EVENT_DATEJ_N("&amp;$AA$18&amp;",4)")</f>
        <v/>
      </c>
      <c r="W749" s="282" t="str" cm="1">
        <f t="array" ref="W749">_xll.FDSB($C749,"CS_EVENT_TIME_N("&amp;$AA$18&amp;",4)")</f>
        <v/>
      </c>
      <c r="X749" s="282" t="str" cm="1">
        <f t="array" ref="X749">_xll.FDSB($C749,"CS_EVENT_DESC_N("&amp;$AA$18&amp;",4)")</f>
        <v/>
      </c>
    </row>
    <row r="750" spans="2:24" x14ac:dyDescent="0.15">
      <c r="B750" s="298">
        <f t="shared" si="13"/>
        <v>735</v>
      </c>
      <c r="C750" s="299"/>
      <c r="D750" s="300" t="str" cm="1">
        <f t="array" ref="D750">_xll.FDSB($C750,"FG_COMPANY_NAME")</f>
        <v/>
      </c>
      <c r="E750" s="300"/>
      <c r="F750" s="274" t="str" cm="1">
        <f t="array" ref="F750">_xll.FDSB($C750,"CS_EVENT_DATEJ_N("&amp;$AA$18&amp;",1)")</f>
        <v/>
      </c>
      <c r="G750" s="282" t="str" cm="1">
        <f t="array" ref="G750">_xll.FDSB($C750,"CS_EVENT_TIME_N("&amp;$AA$18&amp;",1)")</f>
        <v/>
      </c>
      <c r="H750" s="282" t="str" cm="1">
        <f t="array" ref="H750">_xll.FDSB($C750,"CS_EVENT_DESC_N("&amp;$AA$18&amp;",1)")</f>
        <v/>
      </c>
      <c r="I750" s="282"/>
      <c r="J750" s="274" t="str" cm="1">
        <f t="array" ref="J750">_xll.FDSB($C750,"CS_EVENT_DATEJ_N("&amp;$AB$18&amp;",1)")</f>
        <v/>
      </c>
      <c r="K750" s="282" t="str" cm="1">
        <f t="array" ref="K750">_xll.FDSB($C750,"CS_EVENT_TIME_N("&amp;$AB$18&amp;",1)")</f>
        <v/>
      </c>
      <c r="L750" s="282" t="str" cm="1">
        <f t="array" ref="L750">_xll.FDSB($C750,"CS_EVENT_DESC_N("&amp;$AB$18&amp;",1)")</f>
        <v/>
      </c>
      <c r="M750" s="300"/>
      <c r="N750" s="274" t="str" cm="1">
        <f t="array" ref="N750">_xll.FDSB($C750,"CS_EVENT_DATEJ_N("&amp;$AA$18&amp;",2)")</f>
        <v/>
      </c>
      <c r="O750" s="282" t="str" cm="1">
        <f t="array" ref="O750">_xll.FDSB($C750,"CS_EVENT_TIME_N("&amp;$AA$18&amp;",2)")</f>
        <v/>
      </c>
      <c r="P750" s="282" t="str" cm="1">
        <f t="array" ref="P750">_xll.FDSB($C750,"CS_EVENT_DESC_N("&amp;$AA$18&amp;",2)")</f>
        <v/>
      </c>
      <c r="Q750" s="282"/>
      <c r="R750" s="274" t="str" cm="1">
        <f t="array" ref="R750">_xll.FDSB($C750,"CS_EVENT_DATEJ_N("&amp;$AA$18&amp;",3)")</f>
        <v/>
      </c>
      <c r="S750" s="282" t="str" cm="1">
        <f t="array" ref="S750">_xll.FDSB($C750,"CS_EVENT_TIME_N("&amp;$AA$18&amp;",3)")</f>
        <v/>
      </c>
      <c r="T750" s="282" t="str" cm="1">
        <f t="array" ref="T750">_xll.FDSB($C750,"CS_EVENT_DESC_N("&amp;$AA$18&amp;",3)")</f>
        <v/>
      </c>
      <c r="U750" s="282"/>
      <c r="V750" s="274" t="str" cm="1">
        <f t="array" ref="V750">_xll.FDSB($C750,"CS_EVENT_DATEJ_N("&amp;$AA$18&amp;",4)")</f>
        <v/>
      </c>
      <c r="W750" s="282" t="str" cm="1">
        <f t="array" ref="W750">_xll.FDSB($C750,"CS_EVENT_TIME_N("&amp;$AA$18&amp;",4)")</f>
        <v/>
      </c>
      <c r="X750" s="282" t="str" cm="1">
        <f t="array" ref="X750">_xll.FDSB($C750,"CS_EVENT_DESC_N("&amp;$AA$18&amp;",4)")</f>
        <v/>
      </c>
    </row>
    <row r="751" spans="2:24" x14ac:dyDescent="0.15">
      <c r="B751" s="298">
        <f t="shared" si="13"/>
        <v>736</v>
      </c>
      <c r="C751" s="299"/>
      <c r="D751" s="300" t="str" cm="1">
        <f t="array" ref="D751">_xll.FDSB($C751,"FG_COMPANY_NAME")</f>
        <v/>
      </c>
      <c r="E751" s="300"/>
      <c r="F751" s="274" t="str" cm="1">
        <f t="array" ref="F751">_xll.FDSB($C751,"CS_EVENT_DATEJ_N("&amp;$AA$18&amp;",1)")</f>
        <v/>
      </c>
      <c r="G751" s="282" t="str" cm="1">
        <f t="array" ref="G751">_xll.FDSB($C751,"CS_EVENT_TIME_N("&amp;$AA$18&amp;",1)")</f>
        <v/>
      </c>
      <c r="H751" s="282" t="str" cm="1">
        <f t="array" ref="H751">_xll.FDSB($C751,"CS_EVENT_DESC_N("&amp;$AA$18&amp;",1)")</f>
        <v/>
      </c>
      <c r="I751" s="282"/>
      <c r="J751" s="274" t="str" cm="1">
        <f t="array" ref="J751">_xll.FDSB($C751,"CS_EVENT_DATEJ_N("&amp;$AB$18&amp;",1)")</f>
        <v/>
      </c>
      <c r="K751" s="282" t="str" cm="1">
        <f t="array" ref="K751">_xll.FDSB($C751,"CS_EVENT_TIME_N("&amp;$AB$18&amp;",1)")</f>
        <v/>
      </c>
      <c r="L751" s="282" t="str" cm="1">
        <f t="array" ref="L751">_xll.FDSB($C751,"CS_EVENT_DESC_N("&amp;$AB$18&amp;",1)")</f>
        <v/>
      </c>
      <c r="M751" s="300"/>
      <c r="N751" s="274" t="str" cm="1">
        <f t="array" ref="N751">_xll.FDSB($C751,"CS_EVENT_DATEJ_N("&amp;$AA$18&amp;",2)")</f>
        <v/>
      </c>
      <c r="O751" s="282" t="str" cm="1">
        <f t="array" ref="O751">_xll.FDSB($C751,"CS_EVENT_TIME_N("&amp;$AA$18&amp;",2)")</f>
        <v/>
      </c>
      <c r="P751" s="282" t="str" cm="1">
        <f t="array" ref="P751">_xll.FDSB($C751,"CS_EVENT_DESC_N("&amp;$AA$18&amp;",2)")</f>
        <v/>
      </c>
      <c r="Q751" s="282"/>
      <c r="R751" s="274" t="str" cm="1">
        <f t="array" ref="R751">_xll.FDSB($C751,"CS_EVENT_DATEJ_N("&amp;$AA$18&amp;",3)")</f>
        <v/>
      </c>
      <c r="S751" s="282" t="str" cm="1">
        <f t="array" ref="S751">_xll.FDSB($C751,"CS_EVENT_TIME_N("&amp;$AA$18&amp;",3)")</f>
        <v/>
      </c>
      <c r="T751" s="282" t="str" cm="1">
        <f t="array" ref="T751">_xll.FDSB($C751,"CS_EVENT_DESC_N("&amp;$AA$18&amp;",3)")</f>
        <v/>
      </c>
      <c r="U751" s="282"/>
      <c r="V751" s="274" t="str" cm="1">
        <f t="array" ref="V751">_xll.FDSB($C751,"CS_EVENT_DATEJ_N("&amp;$AA$18&amp;",4)")</f>
        <v/>
      </c>
      <c r="W751" s="282" t="str" cm="1">
        <f t="array" ref="W751">_xll.FDSB($C751,"CS_EVENT_TIME_N("&amp;$AA$18&amp;",4)")</f>
        <v/>
      </c>
      <c r="X751" s="282" t="str" cm="1">
        <f t="array" ref="X751">_xll.FDSB($C751,"CS_EVENT_DESC_N("&amp;$AA$18&amp;",4)")</f>
        <v/>
      </c>
    </row>
    <row r="752" spans="2:24" x14ac:dyDescent="0.15">
      <c r="B752" s="298">
        <f t="shared" si="13"/>
        <v>737</v>
      </c>
      <c r="C752" s="299"/>
      <c r="D752" s="300" t="str" cm="1">
        <f t="array" ref="D752">_xll.FDSB($C752,"FG_COMPANY_NAME")</f>
        <v/>
      </c>
      <c r="E752" s="300"/>
      <c r="F752" s="274" t="str" cm="1">
        <f t="array" ref="F752">_xll.FDSB($C752,"CS_EVENT_DATEJ_N("&amp;$AA$18&amp;",1)")</f>
        <v/>
      </c>
      <c r="G752" s="282" t="str" cm="1">
        <f t="array" ref="G752">_xll.FDSB($C752,"CS_EVENT_TIME_N("&amp;$AA$18&amp;",1)")</f>
        <v/>
      </c>
      <c r="H752" s="282" t="str" cm="1">
        <f t="array" ref="H752">_xll.FDSB($C752,"CS_EVENT_DESC_N("&amp;$AA$18&amp;",1)")</f>
        <v/>
      </c>
      <c r="I752" s="282"/>
      <c r="J752" s="274" t="str" cm="1">
        <f t="array" ref="J752">_xll.FDSB($C752,"CS_EVENT_DATEJ_N("&amp;$AB$18&amp;",1)")</f>
        <v/>
      </c>
      <c r="K752" s="282" t="str" cm="1">
        <f t="array" ref="K752">_xll.FDSB($C752,"CS_EVENT_TIME_N("&amp;$AB$18&amp;",1)")</f>
        <v/>
      </c>
      <c r="L752" s="282" t="str" cm="1">
        <f t="array" ref="L752">_xll.FDSB($C752,"CS_EVENT_DESC_N("&amp;$AB$18&amp;",1)")</f>
        <v/>
      </c>
      <c r="M752" s="300"/>
      <c r="N752" s="274" t="str" cm="1">
        <f t="array" ref="N752">_xll.FDSB($C752,"CS_EVENT_DATEJ_N("&amp;$AA$18&amp;",2)")</f>
        <v/>
      </c>
      <c r="O752" s="282" t="str" cm="1">
        <f t="array" ref="O752">_xll.FDSB($C752,"CS_EVENT_TIME_N("&amp;$AA$18&amp;",2)")</f>
        <v/>
      </c>
      <c r="P752" s="282" t="str" cm="1">
        <f t="array" ref="P752">_xll.FDSB($C752,"CS_EVENT_DESC_N("&amp;$AA$18&amp;",2)")</f>
        <v/>
      </c>
      <c r="Q752" s="282"/>
      <c r="R752" s="274" t="str" cm="1">
        <f t="array" ref="R752">_xll.FDSB($C752,"CS_EVENT_DATEJ_N("&amp;$AA$18&amp;",3)")</f>
        <v/>
      </c>
      <c r="S752" s="282" t="str" cm="1">
        <f t="array" ref="S752">_xll.FDSB($C752,"CS_EVENT_TIME_N("&amp;$AA$18&amp;",3)")</f>
        <v/>
      </c>
      <c r="T752" s="282" t="str" cm="1">
        <f t="array" ref="T752">_xll.FDSB($C752,"CS_EVENT_DESC_N("&amp;$AA$18&amp;",3)")</f>
        <v/>
      </c>
      <c r="U752" s="282"/>
      <c r="V752" s="274" t="str" cm="1">
        <f t="array" ref="V752">_xll.FDSB($C752,"CS_EVENT_DATEJ_N("&amp;$AA$18&amp;",4)")</f>
        <v/>
      </c>
      <c r="W752" s="282" t="str" cm="1">
        <f t="array" ref="W752">_xll.FDSB($C752,"CS_EVENT_TIME_N("&amp;$AA$18&amp;",4)")</f>
        <v/>
      </c>
      <c r="X752" s="282" t="str" cm="1">
        <f t="array" ref="X752">_xll.FDSB($C752,"CS_EVENT_DESC_N("&amp;$AA$18&amp;",4)")</f>
        <v/>
      </c>
    </row>
    <row r="753" spans="2:24" x14ac:dyDescent="0.15">
      <c r="B753" s="298">
        <f t="shared" si="13"/>
        <v>738</v>
      </c>
      <c r="C753" s="299"/>
      <c r="D753" s="300" t="str" cm="1">
        <f t="array" ref="D753">_xll.FDSB($C753,"FG_COMPANY_NAME")</f>
        <v/>
      </c>
      <c r="E753" s="300"/>
      <c r="F753" s="274" t="str" cm="1">
        <f t="array" ref="F753">_xll.FDSB($C753,"CS_EVENT_DATEJ_N("&amp;$AA$18&amp;",1)")</f>
        <v/>
      </c>
      <c r="G753" s="282" t="str" cm="1">
        <f t="array" ref="G753">_xll.FDSB($C753,"CS_EVENT_TIME_N("&amp;$AA$18&amp;",1)")</f>
        <v/>
      </c>
      <c r="H753" s="282" t="str" cm="1">
        <f t="array" ref="H753">_xll.FDSB($C753,"CS_EVENT_DESC_N("&amp;$AA$18&amp;",1)")</f>
        <v/>
      </c>
      <c r="I753" s="282"/>
      <c r="J753" s="274" t="str" cm="1">
        <f t="array" ref="J753">_xll.FDSB($C753,"CS_EVENT_DATEJ_N("&amp;$AB$18&amp;",1)")</f>
        <v/>
      </c>
      <c r="K753" s="282" t="str" cm="1">
        <f t="array" ref="K753">_xll.FDSB($C753,"CS_EVENT_TIME_N("&amp;$AB$18&amp;",1)")</f>
        <v/>
      </c>
      <c r="L753" s="282" t="str" cm="1">
        <f t="array" ref="L753">_xll.FDSB($C753,"CS_EVENT_DESC_N("&amp;$AB$18&amp;",1)")</f>
        <v/>
      </c>
      <c r="M753" s="300"/>
      <c r="N753" s="274" t="str" cm="1">
        <f t="array" ref="N753">_xll.FDSB($C753,"CS_EVENT_DATEJ_N("&amp;$AA$18&amp;",2)")</f>
        <v/>
      </c>
      <c r="O753" s="282" t="str" cm="1">
        <f t="array" ref="O753">_xll.FDSB($C753,"CS_EVENT_TIME_N("&amp;$AA$18&amp;",2)")</f>
        <v/>
      </c>
      <c r="P753" s="282" t="str" cm="1">
        <f t="array" ref="P753">_xll.FDSB($C753,"CS_EVENT_DESC_N("&amp;$AA$18&amp;",2)")</f>
        <v/>
      </c>
      <c r="Q753" s="282"/>
      <c r="R753" s="274" t="str" cm="1">
        <f t="array" ref="R753">_xll.FDSB($C753,"CS_EVENT_DATEJ_N("&amp;$AA$18&amp;",3)")</f>
        <v/>
      </c>
      <c r="S753" s="282" t="str" cm="1">
        <f t="array" ref="S753">_xll.FDSB($C753,"CS_EVENT_TIME_N("&amp;$AA$18&amp;",3)")</f>
        <v/>
      </c>
      <c r="T753" s="282" t="str" cm="1">
        <f t="array" ref="T753">_xll.FDSB($C753,"CS_EVENT_DESC_N("&amp;$AA$18&amp;",3)")</f>
        <v/>
      </c>
      <c r="U753" s="282"/>
      <c r="V753" s="274" t="str" cm="1">
        <f t="array" ref="V753">_xll.FDSB($C753,"CS_EVENT_DATEJ_N("&amp;$AA$18&amp;",4)")</f>
        <v/>
      </c>
      <c r="W753" s="282" t="str" cm="1">
        <f t="array" ref="W753">_xll.FDSB($C753,"CS_EVENT_TIME_N("&amp;$AA$18&amp;",4)")</f>
        <v/>
      </c>
      <c r="X753" s="282" t="str" cm="1">
        <f t="array" ref="X753">_xll.FDSB($C753,"CS_EVENT_DESC_N("&amp;$AA$18&amp;",4)")</f>
        <v/>
      </c>
    </row>
    <row r="754" spans="2:24" x14ac:dyDescent="0.15">
      <c r="B754" s="298">
        <f t="shared" si="13"/>
        <v>739</v>
      </c>
      <c r="C754" s="299"/>
      <c r="D754" s="300" t="str" cm="1">
        <f t="array" ref="D754">_xll.FDSB($C754,"FG_COMPANY_NAME")</f>
        <v/>
      </c>
      <c r="E754" s="300"/>
      <c r="F754" s="274" t="str" cm="1">
        <f t="array" ref="F754">_xll.FDSB($C754,"CS_EVENT_DATEJ_N("&amp;$AA$18&amp;",1)")</f>
        <v/>
      </c>
      <c r="G754" s="282" t="str" cm="1">
        <f t="array" ref="G754">_xll.FDSB($C754,"CS_EVENT_TIME_N("&amp;$AA$18&amp;",1)")</f>
        <v/>
      </c>
      <c r="H754" s="282" t="str" cm="1">
        <f t="array" ref="H754">_xll.FDSB($C754,"CS_EVENT_DESC_N("&amp;$AA$18&amp;",1)")</f>
        <v/>
      </c>
      <c r="I754" s="282"/>
      <c r="J754" s="274" t="str" cm="1">
        <f t="array" ref="J754">_xll.FDSB($C754,"CS_EVENT_DATEJ_N("&amp;$AB$18&amp;",1)")</f>
        <v/>
      </c>
      <c r="K754" s="282" t="str" cm="1">
        <f t="array" ref="K754">_xll.FDSB($C754,"CS_EVENT_TIME_N("&amp;$AB$18&amp;",1)")</f>
        <v/>
      </c>
      <c r="L754" s="282" t="str" cm="1">
        <f t="array" ref="L754">_xll.FDSB($C754,"CS_EVENT_DESC_N("&amp;$AB$18&amp;",1)")</f>
        <v/>
      </c>
      <c r="M754" s="300"/>
      <c r="N754" s="274" t="str" cm="1">
        <f t="array" ref="N754">_xll.FDSB($C754,"CS_EVENT_DATEJ_N("&amp;$AA$18&amp;",2)")</f>
        <v/>
      </c>
      <c r="O754" s="282" t="str" cm="1">
        <f t="array" ref="O754">_xll.FDSB($C754,"CS_EVENT_TIME_N("&amp;$AA$18&amp;",2)")</f>
        <v/>
      </c>
      <c r="P754" s="282" t="str" cm="1">
        <f t="array" ref="P754">_xll.FDSB($C754,"CS_EVENT_DESC_N("&amp;$AA$18&amp;",2)")</f>
        <v/>
      </c>
      <c r="Q754" s="282"/>
      <c r="R754" s="274" t="str" cm="1">
        <f t="array" ref="R754">_xll.FDSB($C754,"CS_EVENT_DATEJ_N("&amp;$AA$18&amp;",3)")</f>
        <v/>
      </c>
      <c r="S754" s="282" t="str" cm="1">
        <f t="array" ref="S754">_xll.FDSB($C754,"CS_EVENT_TIME_N("&amp;$AA$18&amp;",3)")</f>
        <v/>
      </c>
      <c r="T754" s="282" t="str" cm="1">
        <f t="array" ref="T754">_xll.FDSB($C754,"CS_EVENT_DESC_N("&amp;$AA$18&amp;",3)")</f>
        <v/>
      </c>
      <c r="U754" s="282"/>
      <c r="V754" s="274" t="str" cm="1">
        <f t="array" ref="V754">_xll.FDSB($C754,"CS_EVENT_DATEJ_N("&amp;$AA$18&amp;",4)")</f>
        <v/>
      </c>
      <c r="W754" s="282" t="str" cm="1">
        <f t="array" ref="W754">_xll.FDSB($C754,"CS_EVENT_TIME_N("&amp;$AA$18&amp;",4)")</f>
        <v/>
      </c>
      <c r="X754" s="282" t="str" cm="1">
        <f t="array" ref="X754">_xll.FDSB($C754,"CS_EVENT_DESC_N("&amp;$AA$18&amp;",4)")</f>
        <v/>
      </c>
    </row>
    <row r="755" spans="2:24" x14ac:dyDescent="0.15">
      <c r="B755" s="298">
        <f t="shared" si="13"/>
        <v>740</v>
      </c>
      <c r="C755" s="299"/>
      <c r="D755" s="300" t="str" cm="1">
        <f t="array" ref="D755">_xll.FDSB($C755,"FG_COMPANY_NAME")</f>
        <v/>
      </c>
      <c r="E755" s="300"/>
      <c r="F755" s="274" t="str" cm="1">
        <f t="array" ref="F755">_xll.FDSB($C755,"CS_EVENT_DATEJ_N("&amp;$AA$18&amp;",1)")</f>
        <v/>
      </c>
      <c r="G755" s="282" t="str" cm="1">
        <f t="array" ref="G755">_xll.FDSB($C755,"CS_EVENT_TIME_N("&amp;$AA$18&amp;",1)")</f>
        <v/>
      </c>
      <c r="H755" s="282" t="str" cm="1">
        <f t="array" ref="H755">_xll.FDSB($C755,"CS_EVENT_DESC_N("&amp;$AA$18&amp;",1)")</f>
        <v/>
      </c>
      <c r="I755" s="282"/>
      <c r="J755" s="274" t="str" cm="1">
        <f t="array" ref="J755">_xll.FDSB($C755,"CS_EVENT_DATEJ_N("&amp;$AB$18&amp;",1)")</f>
        <v/>
      </c>
      <c r="K755" s="282" t="str" cm="1">
        <f t="array" ref="K755">_xll.FDSB($C755,"CS_EVENT_TIME_N("&amp;$AB$18&amp;",1)")</f>
        <v/>
      </c>
      <c r="L755" s="282" t="str" cm="1">
        <f t="array" ref="L755">_xll.FDSB($C755,"CS_EVENT_DESC_N("&amp;$AB$18&amp;",1)")</f>
        <v/>
      </c>
      <c r="M755" s="300"/>
      <c r="N755" s="274" t="str" cm="1">
        <f t="array" ref="N755">_xll.FDSB($C755,"CS_EVENT_DATEJ_N("&amp;$AA$18&amp;",2)")</f>
        <v/>
      </c>
      <c r="O755" s="282" t="str" cm="1">
        <f t="array" ref="O755">_xll.FDSB($C755,"CS_EVENT_TIME_N("&amp;$AA$18&amp;",2)")</f>
        <v/>
      </c>
      <c r="P755" s="282" t="str" cm="1">
        <f t="array" ref="P755">_xll.FDSB($C755,"CS_EVENT_DESC_N("&amp;$AA$18&amp;",2)")</f>
        <v/>
      </c>
      <c r="Q755" s="282"/>
      <c r="R755" s="274" t="str" cm="1">
        <f t="array" ref="R755">_xll.FDSB($C755,"CS_EVENT_DATEJ_N("&amp;$AA$18&amp;",3)")</f>
        <v/>
      </c>
      <c r="S755" s="282" t="str" cm="1">
        <f t="array" ref="S755">_xll.FDSB($C755,"CS_EVENT_TIME_N("&amp;$AA$18&amp;",3)")</f>
        <v/>
      </c>
      <c r="T755" s="282" t="str" cm="1">
        <f t="array" ref="T755">_xll.FDSB($C755,"CS_EVENT_DESC_N("&amp;$AA$18&amp;",3)")</f>
        <v/>
      </c>
      <c r="U755" s="282"/>
      <c r="V755" s="274" t="str" cm="1">
        <f t="array" ref="V755">_xll.FDSB($C755,"CS_EVENT_DATEJ_N("&amp;$AA$18&amp;",4)")</f>
        <v/>
      </c>
      <c r="W755" s="282" t="str" cm="1">
        <f t="array" ref="W755">_xll.FDSB($C755,"CS_EVENT_TIME_N("&amp;$AA$18&amp;",4)")</f>
        <v/>
      </c>
      <c r="X755" s="282" t="str" cm="1">
        <f t="array" ref="X755">_xll.FDSB($C755,"CS_EVENT_DESC_N("&amp;$AA$18&amp;",4)")</f>
        <v/>
      </c>
    </row>
    <row r="756" spans="2:24" x14ac:dyDescent="0.15">
      <c r="B756" s="298">
        <f t="shared" si="13"/>
        <v>741</v>
      </c>
      <c r="C756" s="299"/>
      <c r="D756" s="300" t="str" cm="1">
        <f t="array" ref="D756">_xll.FDSB($C756,"FG_COMPANY_NAME")</f>
        <v/>
      </c>
      <c r="E756" s="300"/>
      <c r="F756" s="274" t="str" cm="1">
        <f t="array" ref="F756">_xll.FDSB($C756,"CS_EVENT_DATEJ_N("&amp;$AA$18&amp;",1)")</f>
        <v/>
      </c>
      <c r="G756" s="282" t="str" cm="1">
        <f t="array" ref="G756">_xll.FDSB($C756,"CS_EVENT_TIME_N("&amp;$AA$18&amp;",1)")</f>
        <v/>
      </c>
      <c r="H756" s="282" t="str" cm="1">
        <f t="array" ref="H756">_xll.FDSB($C756,"CS_EVENT_DESC_N("&amp;$AA$18&amp;",1)")</f>
        <v/>
      </c>
      <c r="I756" s="282"/>
      <c r="J756" s="274" t="str" cm="1">
        <f t="array" ref="J756">_xll.FDSB($C756,"CS_EVENT_DATEJ_N("&amp;$AB$18&amp;",1)")</f>
        <v/>
      </c>
      <c r="K756" s="282" t="str" cm="1">
        <f t="array" ref="K756">_xll.FDSB($C756,"CS_EVENT_TIME_N("&amp;$AB$18&amp;",1)")</f>
        <v/>
      </c>
      <c r="L756" s="282" t="str" cm="1">
        <f t="array" ref="L756">_xll.FDSB($C756,"CS_EVENT_DESC_N("&amp;$AB$18&amp;",1)")</f>
        <v/>
      </c>
      <c r="M756" s="300"/>
      <c r="N756" s="274" t="str" cm="1">
        <f t="array" ref="N756">_xll.FDSB($C756,"CS_EVENT_DATEJ_N("&amp;$AA$18&amp;",2)")</f>
        <v/>
      </c>
      <c r="O756" s="282" t="str" cm="1">
        <f t="array" ref="O756">_xll.FDSB($C756,"CS_EVENT_TIME_N("&amp;$AA$18&amp;",2)")</f>
        <v/>
      </c>
      <c r="P756" s="282" t="str" cm="1">
        <f t="array" ref="P756">_xll.FDSB($C756,"CS_EVENT_DESC_N("&amp;$AA$18&amp;",2)")</f>
        <v/>
      </c>
      <c r="Q756" s="282"/>
      <c r="R756" s="274" t="str" cm="1">
        <f t="array" ref="R756">_xll.FDSB($C756,"CS_EVENT_DATEJ_N("&amp;$AA$18&amp;",3)")</f>
        <v/>
      </c>
      <c r="S756" s="282" t="str" cm="1">
        <f t="array" ref="S756">_xll.FDSB($C756,"CS_EVENT_TIME_N("&amp;$AA$18&amp;",3)")</f>
        <v/>
      </c>
      <c r="T756" s="282" t="str" cm="1">
        <f t="array" ref="T756">_xll.FDSB($C756,"CS_EVENT_DESC_N("&amp;$AA$18&amp;",3)")</f>
        <v/>
      </c>
      <c r="U756" s="282"/>
      <c r="V756" s="274" t="str" cm="1">
        <f t="array" ref="V756">_xll.FDSB($C756,"CS_EVENT_DATEJ_N("&amp;$AA$18&amp;",4)")</f>
        <v/>
      </c>
      <c r="W756" s="282" t="str" cm="1">
        <f t="array" ref="W756">_xll.FDSB($C756,"CS_EVENT_TIME_N("&amp;$AA$18&amp;",4)")</f>
        <v/>
      </c>
      <c r="X756" s="282" t="str" cm="1">
        <f t="array" ref="X756">_xll.FDSB($C756,"CS_EVENT_DESC_N("&amp;$AA$18&amp;",4)")</f>
        <v/>
      </c>
    </row>
    <row r="757" spans="2:24" x14ac:dyDescent="0.15">
      <c r="B757" s="298">
        <f t="shared" si="13"/>
        <v>742</v>
      </c>
      <c r="C757" s="299"/>
      <c r="D757" s="300" t="str" cm="1">
        <f t="array" ref="D757">_xll.FDSB($C757,"FG_COMPANY_NAME")</f>
        <v/>
      </c>
      <c r="E757" s="300"/>
      <c r="F757" s="274" t="str" cm="1">
        <f t="array" ref="F757">_xll.FDSB($C757,"CS_EVENT_DATEJ_N("&amp;$AA$18&amp;",1)")</f>
        <v/>
      </c>
      <c r="G757" s="282" t="str" cm="1">
        <f t="array" ref="G757">_xll.FDSB($C757,"CS_EVENT_TIME_N("&amp;$AA$18&amp;",1)")</f>
        <v/>
      </c>
      <c r="H757" s="282" t="str" cm="1">
        <f t="array" ref="H757">_xll.FDSB($C757,"CS_EVENT_DESC_N("&amp;$AA$18&amp;",1)")</f>
        <v/>
      </c>
      <c r="I757" s="282"/>
      <c r="J757" s="274" t="str" cm="1">
        <f t="array" ref="J757">_xll.FDSB($C757,"CS_EVENT_DATEJ_N("&amp;$AB$18&amp;",1)")</f>
        <v/>
      </c>
      <c r="K757" s="282" t="str" cm="1">
        <f t="array" ref="K757">_xll.FDSB($C757,"CS_EVENT_TIME_N("&amp;$AB$18&amp;",1)")</f>
        <v/>
      </c>
      <c r="L757" s="282" t="str" cm="1">
        <f t="array" ref="L757">_xll.FDSB($C757,"CS_EVENT_DESC_N("&amp;$AB$18&amp;",1)")</f>
        <v/>
      </c>
      <c r="M757" s="300"/>
      <c r="N757" s="274" t="str" cm="1">
        <f t="array" ref="N757">_xll.FDSB($C757,"CS_EVENT_DATEJ_N("&amp;$AA$18&amp;",2)")</f>
        <v/>
      </c>
      <c r="O757" s="282" t="str" cm="1">
        <f t="array" ref="O757">_xll.FDSB($C757,"CS_EVENT_TIME_N("&amp;$AA$18&amp;",2)")</f>
        <v/>
      </c>
      <c r="P757" s="282" t="str" cm="1">
        <f t="array" ref="P757">_xll.FDSB($C757,"CS_EVENT_DESC_N("&amp;$AA$18&amp;",2)")</f>
        <v/>
      </c>
      <c r="Q757" s="282"/>
      <c r="R757" s="274" t="str" cm="1">
        <f t="array" ref="R757">_xll.FDSB($C757,"CS_EVENT_DATEJ_N("&amp;$AA$18&amp;",3)")</f>
        <v/>
      </c>
      <c r="S757" s="282" t="str" cm="1">
        <f t="array" ref="S757">_xll.FDSB($C757,"CS_EVENT_TIME_N("&amp;$AA$18&amp;",3)")</f>
        <v/>
      </c>
      <c r="T757" s="282" t="str" cm="1">
        <f t="array" ref="T757">_xll.FDSB($C757,"CS_EVENT_DESC_N("&amp;$AA$18&amp;",3)")</f>
        <v/>
      </c>
      <c r="U757" s="282"/>
      <c r="V757" s="274" t="str" cm="1">
        <f t="array" ref="V757">_xll.FDSB($C757,"CS_EVENT_DATEJ_N("&amp;$AA$18&amp;",4)")</f>
        <v/>
      </c>
      <c r="W757" s="282" t="str" cm="1">
        <f t="array" ref="W757">_xll.FDSB($C757,"CS_EVENT_TIME_N("&amp;$AA$18&amp;",4)")</f>
        <v/>
      </c>
      <c r="X757" s="282" t="str" cm="1">
        <f t="array" ref="X757">_xll.FDSB($C757,"CS_EVENT_DESC_N("&amp;$AA$18&amp;",4)")</f>
        <v/>
      </c>
    </row>
    <row r="758" spans="2:24" x14ac:dyDescent="0.15">
      <c r="B758" s="298">
        <f t="shared" si="13"/>
        <v>743</v>
      </c>
      <c r="C758" s="299"/>
      <c r="D758" s="300" t="str" cm="1">
        <f t="array" ref="D758">_xll.FDSB($C758,"FG_COMPANY_NAME")</f>
        <v/>
      </c>
      <c r="E758" s="300"/>
      <c r="F758" s="274" t="str" cm="1">
        <f t="array" ref="F758">_xll.FDSB($C758,"CS_EVENT_DATEJ_N("&amp;$AA$18&amp;",1)")</f>
        <v/>
      </c>
      <c r="G758" s="282" t="str" cm="1">
        <f t="array" ref="G758">_xll.FDSB($C758,"CS_EVENT_TIME_N("&amp;$AA$18&amp;",1)")</f>
        <v/>
      </c>
      <c r="H758" s="282" t="str" cm="1">
        <f t="array" ref="H758">_xll.FDSB($C758,"CS_EVENT_DESC_N("&amp;$AA$18&amp;",1)")</f>
        <v/>
      </c>
      <c r="I758" s="282"/>
      <c r="J758" s="274" t="str" cm="1">
        <f t="array" ref="J758">_xll.FDSB($C758,"CS_EVENT_DATEJ_N("&amp;$AB$18&amp;",1)")</f>
        <v/>
      </c>
      <c r="K758" s="282" t="str" cm="1">
        <f t="array" ref="K758">_xll.FDSB($C758,"CS_EVENT_TIME_N("&amp;$AB$18&amp;",1)")</f>
        <v/>
      </c>
      <c r="L758" s="282" t="str" cm="1">
        <f t="array" ref="L758">_xll.FDSB($C758,"CS_EVENT_DESC_N("&amp;$AB$18&amp;",1)")</f>
        <v/>
      </c>
      <c r="M758" s="300"/>
      <c r="N758" s="274" t="str" cm="1">
        <f t="array" ref="N758">_xll.FDSB($C758,"CS_EVENT_DATEJ_N("&amp;$AA$18&amp;",2)")</f>
        <v/>
      </c>
      <c r="O758" s="282" t="str" cm="1">
        <f t="array" ref="O758">_xll.FDSB($C758,"CS_EVENT_TIME_N("&amp;$AA$18&amp;",2)")</f>
        <v/>
      </c>
      <c r="P758" s="282" t="str" cm="1">
        <f t="array" ref="P758">_xll.FDSB($C758,"CS_EVENT_DESC_N("&amp;$AA$18&amp;",2)")</f>
        <v/>
      </c>
      <c r="Q758" s="282"/>
      <c r="R758" s="274" t="str" cm="1">
        <f t="array" ref="R758">_xll.FDSB($C758,"CS_EVENT_DATEJ_N("&amp;$AA$18&amp;",3)")</f>
        <v/>
      </c>
      <c r="S758" s="282" t="str" cm="1">
        <f t="array" ref="S758">_xll.FDSB($C758,"CS_EVENT_TIME_N("&amp;$AA$18&amp;",3)")</f>
        <v/>
      </c>
      <c r="T758" s="282" t="str" cm="1">
        <f t="array" ref="T758">_xll.FDSB($C758,"CS_EVENT_DESC_N("&amp;$AA$18&amp;",3)")</f>
        <v/>
      </c>
      <c r="U758" s="282"/>
      <c r="V758" s="274" t="str" cm="1">
        <f t="array" ref="V758">_xll.FDSB($C758,"CS_EVENT_DATEJ_N("&amp;$AA$18&amp;",4)")</f>
        <v/>
      </c>
      <c r="W758" s="282" t="str" cm="1">
        <f t="array" ref="W758">_xll.FDSB($C758,"CS_EVENT_TIME_N("&amp;$AA$18&amp;",4)")</f>
        <v/>
      </c>
      <c r="X758" s="282" t="str" cm="1">
        <f t="array" ref="X758">_xll.FDSB($C758,"CS_EVENT_DESC_N("&amp;$AA$18&amp;",4)")</f>
        <v/>
      </c>
    </row>
    <row r="759" spans="2:24" x14ac:dyDescent="0.15">
      <c r="B759" s="298">
        <f t="shared" si="13"/>
        <v>744</v>
      </c>
      <c r="C759" s="299"/>
      <c r="D759" s="300" t="str" cm="1">
        <f t="array" ref="D759">_xll.FDSB($C759,"FG_COMPANY_NAME")</f>
        <v/>
      </c>
      <c r="E759" s="300"/>
      <c r="F759" s="274" t="str" cm="1">
        <f t="array" ref="F759">_xll.FDSB($C759,"CS_EVENT_DATEJ_N("&amp;$AA$18&amp;",1)")</f>
        <v/>
      </c>
      <c r="G759" s="282" t="str" cm="1">
        <f t="array" ref="G759">_xll.FDSB($C759,"CS_EVENT_TIME_N("&amp;$AA$18&amp;",1)")</f>
        <v/>
      </c>
      <c r="H759" s="282" t="str" cm="1">
        <f t="array" ref="H759">_xll.FDSB($C759,"CS_EVENT_DESC_N("&amp;$AA$18&amp;",1)")</f>
        <v/>
      </c>
      <c r="I759" s="282"/>
      <c r="J759" s="274" t="str" cm="1">
        <f t="array" ref="J759">_xll.FDSB($C759,"CS_EVENT_DATEJ_N("&amp;$AB$18&amp;",1)")</f>
        <v/>
      </c>
      <c r="K759" s="282" t="str" cm="1">
        <f t="array" ref="K759">_xll.FDSB($C759,"CS_EVENT_TIME_N("&amp;$AB$18&amp;",1)")</f>
        <v/>
      </c>
      <c r="L759" s="282" t="str" cm="1">
        <f t="array" ref="L759">_xll.FDSB($C759,"CS_EVENT_DESC_N("&amp;$AB$18&amp;",1)")</f>
        <v/>
      </c>
      <c r="M759" s="300"/>
      <c r="N759" s="274" t="str" cm="1">
        <f t="array" ref="N759">_xll.FDSB($C759,"CS_EVENT_DATEJ_N("&amp;$AA$18&amp;",2)")</f>
        <v/>
      </c>
      <c r="O759" s="282" t="str" cm="1">
        <f t="array" ref="O759">_xll.FDSB($C759,"CS_EVENT_TIME_N("&amp;$AA$18&amp;",2)")</f>
        <v/>
      </c>
      <c r="P759" s="282" t="str" cm="1">
        <f t="array" ref="P759">_xll.FDSB($C759,"CS_EVENT_DESC_N("&amp;$AA$18&amp;",2)")</f>
        <v/>
      </c>
      <c r="Q759" s="282"/>
      <c r="R759" s="274" t="str" cm="1">
        <f t="array" ref="R759">_xll.FDSB($C759,"CS_EVENT_DATEJ_N("&amp;$AA$18&amp;",3)")</f>
        <v/>
      </c>
      <c r="S759" s="282" t="str" cm="1">
        <f t="array" ref="S759">_xll.FDSB($C759,"CS_EVENT_TIME_N("&amp;$AA$18&amp;",3)")</f>
        <v/>
      </c>
      <c r="T759" s="282" t="str" cm="1">
        <f t="array" ref="T759">_xll.FDSB($C759,"CS_EVENT_DESC_N("&amp;$AA$18&amp;",3)")</f>
        <v/>
      </c>
      <c r="U759" s="282"/>
      <c r="V759" s="274" t="str" cm="1">
        <f t="array" ref="V759">_xll.FDSB($C759,"CS_EVENT_DATEJ_N("&amp;$AA$18&amp;",4)")</f>
        <v/>
      </c>
      <c r="W759" s="282" t="str" cm="1">
        <f t="array" ref="W759">_xll.FDSB($C759,"CS_EVENT_TIME_N("&amp;$AA$18&amp;",4)")</f>
        <v/>
      </c>
      <c r="X759" s="282" t="str" cm="1">
        <f t="array" ref="X759">_xll.FDSB($C759,"CS_EVENT_DESC_N("&amp;$AA$18&amp;",4)")</f>
        <v/>
      </c>
    </row>
    <row r="760" spans="2:24" x14ac:dyDescent="0.15">
      <c r="B760" s="298">
        <f t="shared" si="13"/>
        <v>745</v>
      </c>
      <c r="C760" s="299"/>
      <c r="D760" s="300" t="str" cm="1">
        <f t="array" ref="D760">_xll.FDSB($C760,"FG_COMPANY_NAME")</f>
        <v/>
      </c>
      <c r="E760" s="300"/>
      <c r="F760" s="274" t="str" cm="1">
        <f t="array" ref="F760">_xll.FDSB($C760,"CS_EVENT_DATEJ_N("&amp;$AA$18&amp;",1)")</f>
        <v/>
      </c>
      <c r="G760" s="282" t="str" cm="1">
        <f t="array" ref="G760">_xll.FDSB($C760,"CS_EVENT_TIME_N("&amp;$AA$18&amp;",1)")</f>
        <v/>
      </c>
      <c r="H760" s="282" t="str" cm="1">
        <f t="array" ref="H760">_xll.FDSB($C760,"CS_EVENT_DESC_N("&amp;$AA$18&amp;",1)")</f>
        <v/>
      </c>
      <c r="I760" s="282"/>
      <c r="J760" s="274" t="str" cm="1">
        <f t="array" ref="J760">_xll.FDSB($C760,"CS_EVENT_DATEJ_N("&amp;$AB$18&amp;",1)")</f>
        <v/>
      </c>
      <c r="K760" s="282" t="str" cm="1">
        <f t="array" ref="K760">_xll.FDSB($C760,"CS_EVENT_TIME_N("&amp;$AB$18&amp;",1)")</f>
        <v/>
      </c>
      <c r="L760" s="282" t="str" cm="1">
        <f t="array" ref="L760">_xll.FDSB($C760,"CS_EVENT_DESC_N("&amp;$AB$18&amp;",1)")</f>
        <v/>
      </c>
      <c r="M760" s="300"/>
      <c r="N760" s="274" t="str" cm="1">
        <f t="array" ref="N760">_xll.FDSB($C760,"CS_EVENT_DATEJ_N("&amp;$AA$18&amp;",2)")</f>
        <v/>
      </c>
      <c r="O760" s="282" t="str" cm="1">
        <f t="array" ref="O760">_xll.FDSB($C760,"CS_EVENT_TIME_N("&amp;$AA$18&amp;",2)")</f>
        <v/>
      </c>
      <c r="P760" s="282" t="str" cm="1">
        <f t="array" ref="P760">_xll.FDSB($C760,"CS_EVENT_DESC_N("&amp;$AA$18&amp;",2)")</f>
        <v/>
      </c>
      <c r="Q760" s="282"/>
      <c r="R760" s="274" t="str" cm="1">
        <f t="array" ref="R760">_xll.FDSB($C760,"CS_EVENT_DATEJ_N("&amp;$AA$18&amp;",3)")</f>
        <v/>
      </c>
      <c r="S760" s="282" t="str" cm="1">
        <f t="array" ref="S760">_xll.FDSB($C760,"CS_EVENT_TIME_N("&amp;$AA$18&amp;",3)")</f>
        <v/>
      </c>
      <c r="T760" s="282" t="str" cm="1">
        <f t="array" ref="T760">_xll.FDSB($C760,"CS_EVENT_DESC_N("&amp;$AA$18&amp;",3)")</f>
        <v/>
      </c>
      <c r="U760" s="282"/>
      <c r="V760" s="274" t="str" cm="1">
        <f t="array" ref="V760">_xll.FDSB($C760,"CS_EVENT_DATEJ_N("&amp;$AA$18&amp;",4)")</f>
        <v/>
      </c>
      <c r="W760" s="282" t="str" cm="1">
        <f t="array" ref="W760">_xll.FDSB($C760,"CS_EVENT_TIME_N("&amp;$AA$18&amp;",4)")</f>
        <v/>
      </c>
      <c r="X760" s="282" t="str" cm="1">
        <f t="array" ref="X760">_xll.FDSB($C760,"CS_EVENT_DESC_N("&amp;$AA$18&amp;",4)")</f>
        <v/>
      </c>
    </row>
    <row r="761" spans="2:24" x14ac:dyDescent="0.15">
      <c r="B761" s="298">
        <f t="shared" si="13"/>
        <v>746</v>
      </c>
      <c r="C761" s="299"/>
      <c r="D761" s="300" t="str" cm="1">
        <f t="array" ref="D761">_xll.FDSB($C761,"FG_COMPANY_NAME")</f>
        <v/>
      </c>
      <c r="E761" s="300"/>
      <c r="F761" s="274" t="str" cm="1">
        <f t="array" ref="F761">_xll.FDSB($C761,"CS_EVENT_DATEJ_N("&amp;$AA$18&amp;",1)")</f>
        <v/>
      </c>
      <c r="G761" s="282" t="str" cm="1">
        <f t="array" ref="G761">_xll.FDSB($C761,"CS_EVENT_TIME_N("&amp;$AA$18&amp;",1)")</f>
        <v/>
      </c>
      <c r="H761" s="282" t="str" cm="1">
        <f t="array" ref="H761">_xll.FDSB($C761,"CS_EVENT_DESC_N("&amp;$AA$18&amp;",1)")</f>
        <v/>
      </c>
      <c r="I761" s="282"/>
      <c r="J761" s="274" t="str" cm="1">
        <f t="array" ref="J761">_xll.FDSB($C761,"CS_EVENT_DATEJ_N("&amp;$AB$18&amp;",1)")</f>
        <v/>
      </c>
      <c r="K761" s="282" t="str" cm="1">
        <f t="array" ref="K761">_xll.FDSB($C761,"CS_EVENT_TIME_N("&amp;$AB$18&amp;",1)")</f>
        <v/>
      </c>
      <c r="L761" s="282" t="str" cm="1">
        <f t="array" ref="L761">_xll.FDSB($C761,"CS_EVENT_DESC_N("&amp;$AB$18&amp;",1)")</f>
        <v/>
      </c>
      <c r="M761" s="300"/>
      <c r="N761" s="274" t="str" cm="1">
        <f t="array" ref="N761">_xll.FDSB($C761,"CS_EVENT_DATEJ_N("&amp;$AA$18&amp;",2)")</f>
        <v/>
      </c>
      <c r="O761" s="282" t="str" cm="1">
        <f t="array" ref="O761">_xll.FDSB($C761,"CS_EVENT_TIME_N("&amp;$AA$18&amp;",2)")</f>
        <v/>
      </c>
      <c r="P761" s="282" t="str" cm="1">
        <f t="array" ref="P761">_xll.FDSB($C761,"CS_EVENT_DESC_N("&amp;$AA$18&amp;",2)")</f>
        <v/>
      </c>
      <c r="Q761" s="282"/>
      <c r="R761" s="274" t="str" cm="1">
        <f t="array" ref="R761">_xll.FDSB($C761,"CS_EVENT_DATEJ_N("&amp;$AA$18&amp;",3)")</f>
        <v/>
      </c>
      <c r="S761" s="282" t="str" cm="1">
        <f t="array" ref="S761">_xll.FDSB($C761,"CS_EVENT_TIME_N("&amp;$AA$18&amp;",3)")</f>
        <v/>
      </c>
      <c r="T761" s="282" t="str" cm="1">
        <f t="array" ref="T761">_xll.FDSB($C761,"CS_EVENT_DESC_N("&amp;$AA$18&amp;",3)")</f>
        <v/>
      </c>
      <c r="U761" s="282"/>
      <c r="V761" s="274" t="str" cm="1">
        <f t="array" ref="V761">_xll.FDSB($C761,"CS_EVENT_DATEJ_N("&amp;$AA$18&amp;",4)")</f>
        <v/>
      </c>
      <c r="W761" s="282" t="str" cm="1">
        <f t="array" ref="W761">_xll.FDSB($C761,"CS_EVENT_TIME_N("&amp;$AA$18&amp;",4)")</f>
        <v/>
      </c>
      <c r="X761" s="282" t="str" cm="1">
        <f t="array" ref="X761">_xll.FDSB($C761,"CS_EVENT_DESC_N("&amp;$AA$18&amp;",4)")</f>
        <v/>
      </c>
    </row>
    <row r="762" spans="2:24" x14ac:dyDescent="0.15">
      <c r="B762" s="298">
        <f t="shared" si="13"/>
        <v>747</v>
      </c>
      <c r="C762" s="299"/>
      <c r="D762" s="300" t="str" cm="1">
        <f t="array" ref="D762">_xll.FDSB($C762,"FG_COMPANY_NAME")</f>
        <v/>
      </c>
      <c r="E762" s="300"/>
      <c r="F762" s="274" t="str" cm="1">
        <f t="array" ref="F762">_xll.FDSB($C762,"CS_EVENT_DATEJ_N("&amp;$AA$18&amp;",1)")</f>
        <v/>
      </c>
      <c r="G762" s="282" t="str" cm="1">
        <f t="array" ref="G762">_xll.FDSB($C762,"CS_EVENT_TIME_N("&amp;$AA$18&amp;",1)")</f>
        <v/>
      </c>
      <c r="H762" s="282" t="str" cm="1">
        <f t="array" ref="H762">_xll.FDSB($C762,"CS_EVENT_DESC_N("&amp;$AA$18&amp;",1)")</f>
        <v/>
      </c>
      <c r="I762" s="282"/>
      <c r="J762" s="274" t="str" cm="1">
        <f t="array" ref="J762">_xll.FDSB($C762,"CS_EVENT_DATEJ_N("&amp;$AB$18&amp;",1)")</f>
        <v/>
      </c>
      <c r="K762" s="282" t="str" cm="1">
        <f t="array" ref="K762">_xll.FDSB($C762,"CS_EVENT_TIME_N("&amp;$AB$18&amp;",1)")</f>
        <v/>
      </c>
      <c r="L762" s="282" t="str" cm="1">
        <f t="array" ref="L762">_xll.FDSB($C762,"CS_EVENT_DESC_N("&amp;$AB$18&amp;",1)")</f>
        <v/>
      </c>
      <c r="M762" s="300"/>
      <c r="N762" s="274" t="str" cm="1">
        <f t="array" ref="N762">_xll.FDSB($C762,"CS_EVENT_DATEJ_N("&amp;$AA$18&amp;",2)")</f>
        <v/>
      </c>
      <c r="O762" s="282" t="str" cm="1">
        <f t="array" ref="O762">_xll.FDSB($C762,"CS_EVENT_TIME_N("&amp;$AA$18&amp;",2)")</f>
        <v/>
      </c>
      <c r="P762" s="282" t="str" cm="1">
        <f t="array" ref="P762">_xll.FDSB($C762,"CS_EVENT_DESC_N("&amp;$AA$18&amp;",2)")</f>
        <v/>
      </c>
      <c r="Q762" s="282"/>
      <c r="R762" s="274" t="str" cm="1">
        <f t="array" ref="R762">_xll.FDSB($C762,"CS_EVENT_DATEJ_N("&amp;$AA$18&amp;",3)")</f>
        <v/>
      </c>
      <c r="S762" s="282" t="str" cm="1">
        <f t="array" ref="S762">_xll.FDSB($C762,"CS_EVENT_TIME_N("&amp;$AA$18&amp;",3)")</f>
        <v/>
      </c>
      <c r="T762" s="282" t="str" cm="1">
        <f t="array" ref="T762">_xll.FDSB($C762,"CS_EVENT_DESC_N("&amp;$AA$18&amp;",3)")</f>
        <v/>
      </c>
      <c r="U762" s="282"/>
      <c r="V762" s="274" t="str" cm="1">
        <f t="array" ref="V762">_xll.FDSB($C762,"CS_EVENT_DATEJ_N("&amp;$AA$18&amp;",4)")</f>
        <v/>
      </c>
      <c r="W762" s="282" t="str" cm="1">
        <f t="array" ref="W762">_xll.FDSB($C762,"CS_EVENT_TIME_N("&amp;$AA$18&amp;",4)")</f>
        <v/>
      </c>
      <c r="X762" s="282" t="str" cm="1">
        <f t="array" ref="X762">_xll.FDSB($C762,"CS_EVENT_DESC_N("&amp;$AA$18&amp;",4)")</f>
        <v/>
      </c>
    </row>
    <row r="763" spans="2:24" x14ac:dyDescent="0.15">
      <c r="B763" s="298">
        <f t="shared" si="13"/>
        <v>748</v>
      </c>
      <c r="C763" s="299"/>
      <c r="D763" s="300" t="str" cm="1">
        <f t="array" ref="D763">_xll.FDSB($C763,"FG_COMPANY_NAME")</f>
        <v/>
      </c>
      <c r="E763" s="300"/>
      <c r="F763" s="274" t="str" cm="1">
        <f t="array" ref="F763">_xll.FDSB($C763,"CS_EVENT_DATEJ_N("&amp;$AA$18&amp;",1)")</f>
        <v/>
      </c>
      <c r="G763" s="282" t="str" cm="1">
        <f t="array" ref="G763">_xll.FDSB($C763,"CS_EVENT_TIME_N("&amp;$AA$18&amp;",1)")</f>
        <v/>
      </c>
      <c r="H763" s="282" t="str" cm="1">
        <f t="array" ref="H763">_xll.FDSB($C763,"CS_EVENT_DESC_N("&amp;$AA$18&amp;",1)")</f>
        <v/>
      </c>
      <c r="I763" s="282"/>
      <c r="J763" s="274" t="str" cm="1">
        <f t="array" ref="J763">_xll.FDSB($C763,"CS_EVENT_DATEJ_N("&amp;$AB$18&amp;",1)")</f>
        <v/>
      </c>
      <c r="K763" s="282" t="str" cm="1">
        <f t="array" ref="K763">_xll.FDSB($C763,"CS_EVENT_TIME_N("&amp;$AB$18&amp;",1)")</f>
        <v/>
      </c>
      <c r="L763" s="282" t="str" cm="1">
        <f t="array" ref="L763">_xll.FDSB($C763,"CS_EVENT_DESC_N("&amp;$AB$18&amp;",1)")</f>
        <v/>
      </c>
      <c r="M763" s="300"/>
      <c r="N763" s="274" t="str" cm="1">
        <f t="array" ref="N763">_xll.FDSB($C763,"CS_EVENT_DATEJ_N("&amp;$AA$18&amp;",2)")</f>
        <v/>
      </c>
      <c r="O763" s="282" t="str" cm="1">
        <f t="array" ref="O763">_xll.FDSB($C763,"CS_EVENT_TIME_N("&amp;$AA$18&amp;",2)")</f>
        <v/>
      </c>
      <c r="P763" s="282" t="str" cm="1">
        <f t="array" ref="P763">_xll.FDSB($C763,"CS_EVENT_DESC_N("&amp;$AA$18&amp;",2)")</f>
        <v/>
      </c>
      <c r="Q763" s="282"/>
      <c r="R763" s="274" t="str" cm="1">
        <f t="array" ref="R763">_xll.FDSB($C763,"CS_EVENT_DATEJ_N("&amp;$AA$18&amp;",3)")</f>
        <v/>
      </c>
      <c r="S763" s="282" t="str" cm="1">
        <f t="array" ref="S763">_xll.FDSB($C763,"CS_EVENT_TIME_N("&amp;$AA$18&amp;",3)")</f>
        <v/>
      </c>
      <c r="T763" s="282" t="str" cm="1">
        <f t="array" ref="T763">_xll.FDSB($C763,"CS_EVENT_DESC_N("&amp;$AA$18&amp;",3)")</f>
        <v/>
      </c>
      <c r="U763" s="282"/>
      <c r="V763" s="274" t="str" cm="1">
        <f t="array" ref="V763">_xll.FDSB($C763,"CS_EVENT_DATEJ_N("&amp;$AA$18&amp;",4)")</f>
        <v/>
      </c>
      <c r="W763" s="282" t="str" cm="1">
        <f t="array" ref="W763">_xll.FDSB($C763,"CS_EVENT_TIME_N("&amp;$AA$18&amp;",4)")</f>
        <v/>
      </c>
      <c r="X763" s="282" t="str" cm="1">
        <f t="array" ref="X763">_xll.FDSB($C763,"CS_EVENT_DESC_N("&amp;$AA$18&amp;",4)")</f>
        <v/>
      </c>
    </row>
    <row r="764" spans="2:24" x14ac:dyDescent="0.15">
      <c r="B764" s="298">
        <f t="shared" si="13"/>
        <v>749</v>
      </c>
      <c r="C764" s="299"/>
      <c r="D764" s="300" t="str" cm="1">
        <f t="array" ref="D764">_xll.FDSB($C764,"FG_COMPANY_NAME")</f>
        <v/>
      </c>
      <c r="E764" s="300"/>
      <c r="F764" s="274" t="str" cm="1">
        <f t="array" ref="F764">_xll.FDSB($C764,"CS_EVENT_DATEJ_N("&amp;$AA$18&amp;",1)")</f>
        <v/>
      </c>
      <c r="G764" s="282" t="str" cm="1">
        <f t="array" ref="G764">_xll.FDSB($C764,"CS_EVENT_TIME_N("&amp;$AA$18&amp;",1)")</f>
        <v/>
      </c>
      <c r="H764" s="282" t="str" cm="1">
        <f t="array" ref="H764">_xll.FDSB($C764,"CS_EVENT_DESC_N("&amp;$AA$18&amp;",1)")</f>
        <v/>
      </c>
      <c r="I764" s="282"/>
      <c r="J764" s="274" t="str" cm="1">
        <f t="array" ref="J764">_xll.FDSB($C764,"CS_EVENT_DATEJ_N("&amp;$AB$18&amp;",1)")</f>
        <v/>
      </c>
      <c r="K764" s="282" t="str" cm="1">
        <f t="array" ref="K764">_xll.FDSB($C764,"CS_EVENT_TIME_N("&amp;$AB$18&amp;",1)")</f>
        <v/>
      </c>
      <c r="L764" s="282" t="str" cm="1">
        <f t="array" ref="L764">_xll.FDSB($C764,"CS_EVENT_DESC_N("&amp;$AB$18&amp;",1)")</f>
        <v/>
      </c>
      <c r="M764" s="300"/>
      <c r="N764" s="274" t="str" cm="1">
        <f t="array" ref="N764">_xll.FDSB($C764,"CS_EVENT_DATEJ_N("&amp;$AA$18&amp;",2)")</f>
        <v/>
      </c>
      <c r="O764" s="282" t="str" cm="1">
        <f t="array" ref="O764">_xll.FDSB($C764,"CS_EVENT_TIME_N("&amp;$AA$18&amp;",2)")</f>
        <v/>
      </c>
      <c r="P764" s="282" t="str" cm="1">
        <f t="array" ref="P764">_xll.FDSB($C764,"CS_EVENT_DESC_N("&amp;$AA$18&amp;",2)")</f>
        <v/>
      </c>
      <c r="Q764" s="282"/>
      <c r="R764" s="274" t="str" cm="1">
        <f t="array" ref="R764">_xll.FDSB($C764,"CS_EVENT_DATEJ_N("&amp;$AA$18&amp;",3)")</f>
        <v/>
      </c>
      <c r="S764" s="282" t="str" cm="1">
        <f t="array" ref="S764">_xll.FDSB($C764,"CS_EVENT_TIME_N("&amp;$AA$18&amp;",3)")</f>
        <v/>
      </c>
      <c r="T764" s="282" t="str" cm="1">
        <f t="array" ref="T764">_xll.FDSB($C764,"CS_EVENT_DESC_N("&amp;$AA$18&amp;",3)")</f>
        <v/>
      </c>
      <c r="U764" s="282"/>
      <c r="V764" s="274" t="str" cm="1">
        <f t="array" ref="V764">_xll.FDSB($C764,"CS_EVENT_DATEJ_N("&amp;$AA$18&amp;",4)")</f>
        <v/>
      </c>
      <c r="W764" s="282" t="str" cm="1">
        <f t="array" ref="W764">_xll.FDSB($C764,"CS_EVENT_TIME_N("&amp;$AA$18&amp;",4)")</f>
        <v/>
      </c>
      <c r="X764" s="282" t="str" cm="1">
        <f t="array" ref="X764">_xll.FDSB($C764,"CS_EVENT_DESC_N("&amp;$AA$18&amp;",4)")</f>
        <v/>
      </c>
    </row>
    <row r="765" spans="2:24" x14ac:dyDescent="0.15">
      <c r="B765" s="298">
        <f t="shared" si="13"/>
        <v>750</v>
      </c>
      <c r="C765" s="299"/>
      <c r="D765" s="300" t="str" cm="1">
        <f t="array" ref="D765">_xll.FDSB($C765,"FG_COMPANY_NAME")</f>
        <v/>
      </c>
      <c r="E765" s="300"/>
      <c r="F765" s="274" t="str" cm="1">
        <f t="array" ref="F765">_xll.FDSB($C765,"CS_EVENT_DATEJ_N("&amp;$AA$18&amp;",1)")</f>
        <v/>
      </c>
      <c r="G765" s="282" t="str" cm="1">
        <f t="array" ref="G765">_xll.FDSB($C765,"CS_EVENT_TIME_N("&amp;$AA$18&amp;",1)")</f>
        <v/>
      </c>
      <c r="H765" s="282" t="str" cm="1">
        <f t="array" ref="H765">_xll.FDSB($C765,"CS_EVENT_DESC_N("&amp;$AA$18&amp;",1)")</f>
        <v/>
      </c>
      <c r="I765" s="282"/>
      <c r="J765" s="274" t="str" cm="1">
        <f t="array" ref="J765">_xll.FDSB($C765,"CS_EVENT_DATEJ_N("&amp;$AB$18&amp;",1)")</f>
        <v/>
      </c>
      <c r="K765" s="282" t="str" cm="1">
        <f t="array" ref="K765">_xll.FDSB($C765,"CS_EVENT_TIME_N("&amp;$AB$18&amp;",1)")</f>
        <v/>
      </c>
      <c r="L765" s="282" t="str" cm="1">
        <f t="array" ref="L765">_xll.FDSB($C765,"CS_EVENT_DESC_N("&amp;$AB$18&amp;",1)")</f>
        <v/>
      </c>
      <c r="M765" s="300"/>
      <c r="N765" s="274" t="str" cm="1">
        <f t="array" ref="N765">_xll.FDSB($C765,"CS_EVENT_DATEJ_N("&amp;$AA$18&amp;",2)")</f>
        <v/>
      </c>
      <c r="O765" s="282" t="str" cm="1">
        <f t="array" ref="O765">_xll.FDSB($C765,"CS_EVENT_TIME_N("&amp;$AA$18&amp;",2)")</f>
        <v/>
      </c>
      <c r="P765" s="282" t="str" cm="1">
        <f t="array" ref="P765">_xll.FDSB($C765,"CS_EVENT_DESC_N("&amp;$AA$18&amp;",2)")</f>
        <v/>
      </c>
      <c r="Q765" s="282"/>
      <c r="R765" s="274" t="str" cm="1">
        <f t="array" ref="R765">_xll.FDSB($C765,"CS_EVENT_DATEJ_N("&amp;$AA$18&amp;",3)")</f>
        <v/>
      </c>
      <c r="S765" s="282" t="str" cm="1">
        <f t="array" ref="S765">_xll.FDSB($C765,"CS_EVENT_TIME_N("&amp;$AA$18&amp;",3)")</f>
        <v/>
      </c>
      <c r="T765" s="282" t="str" cm="1">
        <f t="array" ref="T765">_xll.FDSB($C765,"CS_EVENT_DESC_N("&amp;$AA$18&amp;",3)")</f>
        <v/>
      </c>
      <c r="U765" s="282"/>
      <c r="V765" s="274" t="str" cm="1">
        <f t="array" ref="V765">_xll.FDSB($C765,"CS_EVENT_DATEJ_N("&amp;$AA$18&amp;",4)")</f>
        <v/>
      </c>
      <c r="W765" s="282" t="str" cm="1">
        <f t="array" ref="W765">_xll.FDSB($C765,"CS_EVENT_TIME_N("&amp;$AA$18&amp;",4)")</f>
        <v/>
      </c>
      <c r="X765" s="282" t="str" cm="1">
        <f t="array" ref="X765">_xll.FDSB($C765,"CS_EVENT_DESC_N("&amp;$AA$18&amp;",4)")</f>
        <v/>
      </c>
    </row>
    <row r="766" spans="2:24" x14ac:dyDescent="0.15">
      <c r="B766" s="298">
        <f t="shared" si="13"/>
        <v>751</v>
      </c>
      <c r="C766" s="299"/>
      <c r="D766" s="300" t="str" cm="1">
        <f t="array" ref="D766">_xll.FDSB($C766,"FG_COMPANY_NAME")</f>
        <v/>
      </c>
      <c r="E766" s="300"/>
      <c r="F766" s="274" t="str" cm="1">
        <f t="array" ref="F766">_xll.FDSB($C766,"CS_EVENT_DATEJ_N("&amp;$AA$18&amp;",1)")</f>
        <v/>
      </c>
      <c r="G766" s="282" t="str" cm="1">
        <f t="array" ref="G766">_xll.FDSB($C766,"CS_EVENT_TIME_N("&amp;$AA$18&amp;",1)")</f>
        <v/>
      </c>
      <c r="H766" s="282" t="str" cm="1">
        <f t="array" ref="H766">_xll.FDSB($C766,"CS_EVENT_DESC_N("&amp;$AA$18&amp;",1)")</f>
        <v/>
      </c>
      <c r="I766" s="282"/>
      <c r="J766" s="274" t="str" cm="1">
        <f t="array" ref="J766">_xll.FDSB($C766,"CS_EVENT_DATEJ_N("&amp;$AB$18&amp;",1)")</f>
        <v/>
      </c>
      <c r="K766" s="282" t="str" cm="1">
        <f t="array" ref="K766">_xll.FDSB($C766,"CS_EVENT_TIME_N("&amp;$AB$18&amp;",1)")</f>
        <v/>
      </c>
      <c r="L766" s="282" t="str" cm="1">
        <f t="array" ref="L766">_xll.FDSB($C766,"CS_EVENT_DESC_N("&amp;$AB$18&amp;",1)")</f>
        <v/>
      </c>
      <c r="M766" s="300"/>
      <c r="N766" s="274" t="str" cm="1">
        <f t="array" ref="N766">_xll.FDSB($C766,"CS_EVENT_DATEJ_N("&amp;$AA$18&amp;",2)")</f>
        <v/>
      </c>
      <c r="O766" s="282" t="str" cm="1">
        <f t="array" ref="O766">_xll.FDSB($C766,"CS_EVENT_TIME_N("&amp;$AA$18&amp;",2)")</f>
        <v/>
      </c>
      <c r="P766" s="282" t="str" cm="1">
        <f t="array" ref="P766">_xll.FDSB($C766,"CS_EVENT_DESC_N("&amp;$AA$18&amp;",2)")</f>
        <v/>
      </c>
      <c r="Q766" s="282"/>
      <c r="R766" s="274" t="str" cm="1">
        <f t="array" ref="R766">_xll.FDSB($C766,"CS_EVENT_DATEJ_N("&amp;$AA$18&amp;",3)")</f>
        <v/>
      </c>
      <c r="S766" s="282" t="str" cm="1">
        <f t="array" ref="S766">_xll.FDSB($C766,"CS_EVENT_TIME_N("&amp;$AA$18&amp;",3)")</f>
        <v/>
      </c>
      <c r="T766" s="282" t="str" cm="1">
        <f t="array" ref="T766">_xll.FDSB($C766,"CS_EVENT_DESC_N("&amp;$AA$18&amp;",3)")</f>
        <v/>
      </c>
      <c r="U766" s="282"/>
      <c r="V766" s="274" t="str" cm="1">
        <f t="array" ref="V766">_xll.FDSB($C766,"CS_EVENT_DATEJ_N("&amp;$AA$18&amp;",4)")</f>
        <v/>
      </c>
      <c r="W766" s="282" t="str" cm="1">
        <f t="array" ref="W766">_xll.FDSB($C766,"CS_EVENT_TIME_N("&amp;$AA$18&amp;",4)")</f>
        <v/>
      </c>
      <c r="X766" s="282" t="str" cm="1">
        <f t="array" ref="X766">_xll.FDSB($C766,"CS_EVENT_DESC_N("&amp;$AA$18&amp;",4)")</f>
        <v/>
      </c>
    </row>
    <row r="767" spans="2:24" x14ac:dyDescent="0.15">
      <c r="B767" s="298">
        <f t="shared" si="13"/>
        <v>752</v>
      </c>
      <c r="C767" s="299"/>
      <c r="D767" s="300" t="str" cm="1">
        <f t="array" ref="D767">_xll.FDSB($C767,"FG_COMPANY_NAME")</f>
        <v/>
      </c>
      <c r="E767" s="300"/>
      <c r="F767" s="274" t="str" cm="1">
        <f t="array" ref="F767">_xll.FDSB($C767,"CS_EVENT_DATEJ_N("&amp;$AA$18&amp;",1)")</f>
        <v/>
      </c>
      <c r="G767" s="282" t="str" cm="1">
        <f t="array" ref="G767">_xll.FDSB($C767,"CS_EVENT_TIME_N("&amp;$AA$18&amp;",1)")</f>
        <v/>
      </c>
      <c r="H767" s="282" t="str" cm="1">
        <f t="array" ref="H767">_xll.FDSB($C767,"CS_EVENT_DESC_N("&amp;$AA$18&amp;",1)")</f>
        <v/>
      </c>
      <c r="I767" s="282"/>
      <c r="J767" s="274" t="str" cm="1">
        <f t="array" ref="J767">_xll.FDSB($C767,"CS_EVENT_DATEJ_N("&amp;$AB$18&amp;",1)")</f>
        <v/>
      </c>
      <c r="K767" s="282" t="str" cm="1">
        <f t="array" ref="K767">_xll.FDSB($C767,"CS_EVENT_TIME_N("&amp;$AB$18&amp;",1)")</f>
        <v/>
      </c>
      <c r="L767" s="282" t="str" cm="1">
        <f t="array" ref="L767">_xll.FDSB($C767,"CS_EVENT_DESC_N("&amp;$AB$18&amp;",1)")</f>
        <v/>
      </c>
      <c r="M767" s="300"/>
      <c r="N767" s="274" t="str" cm="1">
        <f t="array" ref="N767">_xll.FDSB($C767,"CS_EVENT_DATEJ_N("&amp;$AA$18&amp;",2)")</f>
        <v/>
      </c>
      <c r="O767" s="282" t="str" cm="1">
        <f t="array" ref="O767">_xll.FDSB($C767,"CS_EVENT_TIME_N("&amp;$AA$18&amp;",2)")</f>
        <v/>
      </c>
      <c r="P767" s="282" t="str" cm="1">
        <f t="array" ref="P767">_xll.FDSB($C767,"CS_EVENT_DESC_N("&amp;$AA$18&amp;",2)")</f>
        <v/>
      </c>
      <c r="Q767" s="282"/>
      <c r="R767" s="274" t="str" cm="1">
        <f t="array" ref="R767">_xll.FDSB($C767,"CS_EVENT_DATEJ_N("&amp;$AA$18&amp;",3)")</f>
        <v/>
      </c>
      <c r="S767" s="282" t="str" cm="1">
        <f t="array" ref="S767">_xll.FDSB($C767,"CS_EVENT_TIME_N("&amp;$AA$18&amp;",3)")</f>
        <v/>
      </c>
      <c r="T767" s="282" t="str" cm="1">
        <f t="array" ref="T767">_xll.FDSB($C767,"CS_EVENT_DESC_N("&amp;$AA$18&amp;",3)")</f>
        <v/>
      </c>
      <c r="U767" s="282"/>
      <c r="V767" s="274" t="str" cm="1">
        <f t="array" ref="V767">_xll.FDSB($C767,"CS_EVENT_DATEJ_N("&amp;$AA$18&amp;",4)")</f>
        <v/>
      </c>
      <c r="W767" s="282" t="str" cm="1">
        <f t="array" ref="W767">_xll.FDSB($C767,"CS_EVENT_TIME_N("&amp;$AA$18&amp;",4)")</f>
        <v/>
      </c>
      <c r="X767" s="282" t="str" cm="1">
        <f t="array" ref="X767">_xll.FDSB($C767,"CS_EVENT_DESC_N("&amp;$AA$18&amp;",4)")</f>
        <v/>
      </c>
    </row>
    <row r="768" spans="2:24" x14ac:dyDescent="0.15">
      <c r="B768" s="298">
        <f t="shared" si="13"/>
        <v>753</v>
      </c>
      <c r="C768" s="299"/>
      <c r="D768" s="300" t="str" cm="1">
        <f t="array" ref="D768">_xll.FDSB($C768,"FG_COMPANY_NAME")</f>
        <v/>
      </c>
      <c r="E768" s="300"/>
      <c r="F768" s="274" t="str" cm="1">
        <f t="array" ref="F768">_xll.FDSB($C768,"CS_EVENT_DATEJ_N("&amp;$AA$18&amp;",1)")</f>
        <v/>
      </c>
      <c r="G768" s="282" t="str" cm="1">
        <f t="array" ref="G768">_xll.FDSB($C768,"CS_EVENT_TIME_N("&amp;$AA$18&amp;",1)")</f>
        <v/>
      </c>
      <c r="H768" s="282" t="str" cm="1">
        <f t="array" ref="H768">_xll.FDSB($C768,"CS_EVENT_DESC_N("&amp;$AA$18&amp;",1)")</f>
        <v/>
      </c>
      <c r="I768" s="282"/>
      <c r="J768" s="274" t="str" cm="1">
        <f t="array" ref="J768">_xll.FDSB($C768,"CS_EVENT_DATEJ_N("&amp;$AB$18&amp;",1)")</f>
        <v/>
      </c>
      <c r="K768" s="282" t="str" cm="1">
        <f t="array" ref="K768">_xll.FDSB($C768,"CS_EVENT_TIME_N("&amp;$AB$18&amp;",1)")</f>
        <v/>
      </c>
      <c r="L768" s="282" t="str" cm="1">
        <f t="array" ref="L768">_xll.FDSB($C768,"CS_EVENT_DESC_N("&amp;$AB$18&amp;",1)")</f>
        <v/>
      </c>
      <c r="M768" s="300"/>
      <c r="N768" s="274" t="str" cm="1">
        <f t="array" ref="N768">_xll.FDSB($C768,"CS_EVENT_DATEJ_N("&amp;$AA$18&amp;",2)")</f>
        <v/>
      </c>
      <c r="O768" s="282" t="str" cm="1">
        <f t="array" ref="O768">_xll.FDSB($C768,"CS_EVENT_TIME_N("&amp;$AA$18&amp;",2)")</f>
        <v/>
      </c>
      <c r="P768" s="282" t="str" cm="1">
        <f t="array" ref="P768">_xll.FDSB($C768,"CS_EVENT_DESC_N("&amp;$AA$18&amp;",2)")</f>
        <v/>
      </c>
      <c r="Q768" s="282"/>
      <c r="R768" s="274" t="str" cm="1">
        <f t="array" ref="R768">_xll.FDSB($C768,"CS_EVENT_DATEJ_N("&amp;$AA$18&amp;",3)")</f>
        <v/>
      </c>
      <c r="S768" s="282" t="str" cm="1">
        <f t="array" ref="S768">_xll.FDSB($C768,"CS_EVENT_TIME_N("&amp;$AA$18&amp;",3)")</f>
        <v/>
      </c>
      <c r="T768" s="282" t="str" cm="1">
        <f t="array" ref="T768">_xll.FDSB($C768,"CS_EVENT_DESC_N("&amp;$AA$18&amp;",3)")</f>
        <v/>
      </c>
      <c r="U768" s="282"/>
      <c r="V768" s="274" t="str" cm="1">
        <f t="array" ref="V768">_xll.FDSB($C768,"CS_EVENT_DATEJ_N("&amp;$AA$18&amp;",4)")</f>
        <v/>
      </c>
      <c r="W768" s="282" t="str" cm="1">
        <f t="array" ref="W768">_xll.FDSB($C768,"CS_EVENT_TIME_N("&amp;$AA$18&amp;",4)")</f>
        <v/>
      </c>
      <c r="X768" s="282" t="str" cm="1">
        <f t="array" ref="X768">_xll.FDSB($C768,"CS_EVENT_DESC_N("&amp;$AA$18&amp;",4)")</f>
        <v/>
      </c>
    </row>
    <row r="769" spans="2:24" x14ac:dyDescent="0.15">
      <c r="B769" s="298">
        <f t="shared" si="13"/>
        <v>754</v>
      </c>
      <c r="C769" s="299"/>
      <c r="D769" s="300" t="str" cm="1">
        <f t="array" ref="D769">_xll.FDSB($C769,"FG_COMPANY_NAME")</f>
        <v/>
      </c>
      <c r="E769" s="300"/>
      <c r="F769" s="274" t="str" cm="1">
        <f t="array" ref="F769">_xll.FDSB($C769,"CS_EVENT_DATEJ_N("&amp;$AA$18&amp;",1)")</f>
        <v/>
      </c>
      <c r="G769" s="282" t="str" cm="1">
        <f t="array" ref="G769">_xll.FDSB($C769,"CS_EVENT_TIME_N("&amp;$AA$18&amp;",1)")</f>
        <v/>
      </c>
      <c r="H769" s="282" t="str" cm="1">
        <f t="array" ref="H769">_xll.FDSB($C769,"CS_EVENT_DESC_N("&amp;$AA$18&amp;",1)")</f>
        <v/>
      </c>
      <c r="I769" s="282"/>
      <c r="J769" s="274" t="str" cm="1">
        <f t="array" ref="J769">_xll.FDSB($C769,"CS_EVENT_DATEJ_N("&amp;$AB$18&amp;",1)")</f>
        <v/>
      </c>
      <c r="K769" s="282" t="str" cm="1">
        <f t="array" ref="K769">_xll.FDSB($C769,"CS_EVENT_TIME_N("&amp;$AB$18&amp;",1)")</f>
        <v/>
      </c>
      <c r="L769" s="282" t="str" cm="1">
        <f t="array" ref="L769">_xll.FDSB($C769,"CS_EVENT_DESC_N("&amp;$AB$18&amp;",1)")</f>
        <v/>
      </c>
      <c r="M769" s="300"/>
      <c r="N769" s="274" t="str" cm="1">
        <f t="array" ref="N769">_xll.FDSB($C769,"CS_EVENT_DATEJ_N("&amp;$AA$18&amp;",2)")</f>
        <v/>
      </c>
      <c r="O769" s="282" t="str" cm="1">
        <f t="array" ref="O769">_xll.FDSB($C769,"CS_EVENT_TIME_N("&amp;$AA$18&amp;",2)")</f>
        <v/>
      </c>
      <c r="P769" s="282" t="str" cm="1">
        <f t="array" ref="P769">_xll.FDSB($C769,"CS_EVENT_DESC_N("&amp;$AA$18&amp;",2)")</f>
        <v/>
      </c>
      <c r="Q769" s="282"/>
      <c r="R769" s="274" t="str" cm="1">
        <f t="array" ref="R769">_xll.FDSB($C769,"CS_EVENT_DATEJ_N("&amp;$AA$18&amp;",3)")</f>
        <v/>
      </c>
      <c r="S769" s="282" t="str" cm="1">
        <f t="array" ref="S769">_xll.FDSB($C769,"CS_EVENT_TIME_N("&amp;$AA$18&amp;",3)")</f>
        <v/>
      </c>
      <c r="T769" s="282" t="str" cm="1">
        <f t="array" ref="T769">_xll.FDSB($C769,"CS_EVENT_DESC_N("&amp;$AA$18&amp;",3)")</f>
        <v/>
      </c>
      <c r="U769" s="282"/>
      <c r="V769" s="274" t="str" cm="1">
        <f t="array" ref="V769">_xll.FDSB($C769,"CS_EVENT_DATEJ_N("&amp;$AA$18&amp;",4)")</f>
        <v/>
      </c>
      <c r="W769" s="282" t="str" cm="1">
        <f t="array" ref="W769">_xll.FDSB($C769,"CS_EVENT_TIME_N("&amp;$AA$18&amp;",4)")</f>
        <v/>
      </c>
      <c r="X769" s="282" t="str" cm="1">
        <f t="array" ref="X769">_xll.FDSB($C769,"CS_EVENT_DESC_N("&amp;$AA$18&amp;",4)")</f>
        <v/>
      </c>
    </row>
    <row r="770" spans="2:24" x14ac:dyDescent="0.15">
      <c r="B770" s="298">
        <f t="shared" si="13"/>
        <v>755</v>
      </c>
      <c r="C770" s="299"/>
      <c r="D770" s="300" t="str" cm="1">
        <f t="array" ref="D770">_xll.FDSB($C770,"FG_COMPANY_NAME")</f>
        <v/>
      </c>
      <c r="E770" s="300"/>
      <c r="F770" s="274" t="str" cm="1">
        <f t="array" ref="F770">_xll.FDSB($C770,"CS_EVENT_DATEJ_N("&amp;$AA$18&amp;",1)")</f>
        <v/>
      </c>
      <c r="G770" s="282" t="str" cm="1">
        <f t="array" ref="G770">_xll.FDSB($C770,"CS_EVENT_TIME_N("&amp;$AA$18&amp;",1)")</f>
        <v/>
      </c>
      <c r="H770" s="282" t="str" cm="1">
        <f t="array" ref="H770">_xll.FDSB($C770,"CS_EVENT_DESC_N("&amp;$AA$18&amp;",1)")</f>
        <v/>
      </c>
      <c r="I770" s="282"/>
      <c r="J770" s="274" t="str" cm="1">
        <f t="array" ref="J770">_xll.FDSB($C770,"CS_EVENT_DATEJ_N("&amp;$AB$18&amp;",1)")</f>
        <v/>
      </c>
      <c r="K770" s="282" t="str" cm="1">
        <f t="array" ref="K770">_xll.FDSB($C770,"CS_EVENT_TIME_N("&amp;$AB$18&amp;",1)")</f>
        <v/>
      </c>
      <c r="L770" s="282" t="str" cm="1">
        <f t="array" ref="L770">_xll.FDSB($C770,"CS_EVENT_DESC_N("&amp;$AB$18&amp;",1)")</f>
        <v/>
      </c>
      <c r="M770" s="300"/>
      <c r="N770" s="274" t="str" cm="1">
        <f t="array" ref="N770">_xll.FDSB($C770,"CS_EVENT_DATEJ_N("&amp;$AA$18&amp;",2)")</f>
        <v/>
      </c>
      <c r="O770" s="282" t="str" cm="1">
        <f t="array" ref="O770">_xll.FDSB($C770,"CS_EVENT_TIME_N("&amp;$AA$18&amp;",2)")</f>
        <v/>
      </c>
      <c r="P770" s="282" t="str" cm="1">
        <f t="array" ref="P770">_xll.FDSB($C770,"CS_EVENT_DESC_N("&amp;$AA$18&amp;",2)")</f>
        <v/>
      </c>
      <c r="Q770" s="282"/>
      <c r="R770" s="274" t="str" cm="1">
        <f t="array" ref="R770">_xll.FDSB($C770,"CS_EVENT_DATEJ_N("&amp;$AA$18&amp;",3)")</f>
        <v/>
      </c>
      <c r="S770" s="282" t="str" cm="1">
        <f t="array" ref="S770">_xll.FDSB($C770,"CS_EVENT_TIME_N("&amp;$AA$18&amp;",3)")</f>
        <v/>
      </c>
      <c r="T770" s="282" t="str" cm="1">
        <f t="array" ref="T770">_xll.FDSB($C770,"CS_EVENT_DESC_N("&amp;$AA$18&amp;",3)")</f>
        <v/>
      </c>
      <c r="U770" s="282"/>
      <c r="V770" s="274" t="str" cm="1">
        <f t="array" ref="V770">_xll.FDSB($C770,"CS_EVENT_DATEJ_N("&amp;$AA$18&amp;",4)")</f>
        <v/>
      </c>
      <c r="W770" s="282" t="str" cm="1">
        <f t="array" ref="W770">_xll.FDSB($C770,"CS_EVENT_TIME_N("&amp;$AA$18&amp;",4)")</f>
        <v/>
      </c>
      <c r="X770" s="282" t="str" cm="1">
        <f t="array" ref="X770">_xll.FDSB($C770,"CS_EVENT_DESC_N("&amp;$AA$18&amp;",4)")</f>
        <v/>
      </c>
    </row>
    <row r="771" spans="2:24" x14ac:dyDescent="0.15">
      <c r="B771" s="298">
        <f t="shared" si="13"/>
        <v>756</v>
      </c>
      <c r="C771" s="299"/>
      <c r="D771" s="300" t="str" cm="1">
        <f t="array" ref="D771">_xll.FDSB($C771,"FG_COMPANY_NAME")</f>
        <v/>
      </c>
      <c r="E771" s="300"/>
      <c r="F771" s="274" t="str" cm="1">
        <f t="array" ref="F771">_xll.FDSB($C771,"CS_EVENT_DATEJ_N("&amp;$AA$18&amp;",1)")</f>
        <v/>
      </c>
      <c r="G771" s="282" t="str" cm="1">
        <f t="array" ref="G771">_xll.FDSB($C771,"CS_EVENT_TIME_N("&amp;$AA$18&amp;",1)")</f>
        <v/>
      </c>
      <c r="H771" s="282" t="str" cm="1">
        <f t="array" ref="H771">_xll.FDSB($C771,"CS_EVENT_DESC_N("&amp;$AA$18&amp;",1)")</f>
        <v/>
      </c>
      <c r="I771" s="282"/>
      <c r="J771" s="274" t="str" cm="1">
        <f t="array" ref="J771">_xll.FDSB($C771,"CS_EVENT_DATEJ_N("&amp;$AB$18&amp;",1)")</f>
        <v/>
      </c>
      <c r="K771" s="282" t="str" cm="1">
        <f t="array" ref="K771">_xll.FDSB($C771,"CS_EVENT_TIME_N("&amp;$AB$18&amp;",1)")</f>
        <v/>
      </c>
      <c r="L771" s="282" t="str" cm="1">
        <f t="array" ref="L771">_xll.FDSB($C771,"CS_EVENT_DESC_N("&amp;$AB$18&amp;",1)")</f>
        <v/>
      </c>
      <c r="M771" s="300"/>
      <c r="N771" s="274" t="str" cm="1">
        <f t="array" ref="N771">_xll.FDSB($C771,"CS_EVENT_DATEJ_N("&amp;$AA$18&amp;",2)")</f>
        <v/>
      </c>
      <c r="O771" s="282" t="str" cm="1">
        <f t="array" ref="O771">_xll.FDSB($C771,"CS_EVENT_TIME_N("&amp;$AA$18&amp;",2)")</f>
        <v/>
      </c>
      <c r="P771" s="282" t="str" cm="1">
        <f t="array" ref="P771">_xll.FDSB($C771,"CS_EVENT_DESC_N("&amp;$AA$18&amp;",2)")</f>
        <v/>
      </c>
      <c r="Q771" s="282"/>
      <c r="R771" s="274" t="str" cm="1">
        <f t="array" ref="R771">_xll.FDSB($C771,"CS_EVENT_DATEJ_N("&amp;$AA$18&amp;",3)")</f>
        <v/>
      </c>
      <c r="S771" s="282" t="str" cm="1">
        <f t="array" ref="S771">_xll.FDSB($C771,"CS_EVENT_TIME_N("&amp;$AA$18&amp;",3)")</f>
        <v/>
      </c>
      <c r="T771" s="282" t="str" cm="1">
        <f t="array" ref="T771">_xll.FDSB($C771,"CS_EVENT_DESC_N("&amp;$AA$18&amp;",3)")</f>
        <v/>
      </c>
      <c r="U771" s="282"/>
      <c r="V771" s="274" t="str" cm="1">
        <f t="array" ref="V771">_xll.FDSB($C771,"CS_EVENT_DATEJ_N("&amp;$AA$18&amp;",4)")</f>
        <v/>
      </c>
      <c r="W771" s="282" t="str" cm="1">
        <f t="array" ref="W771">_xll.FDSB($C771,"CS_EVENT_TIME_N("&amp;$AA$18&amp;",4)")</f>
        <v/>
      </c>
      <c r="X771" s="282" t="str" cm="1">
        <f t="array" ref="X771">_xll.FDSB($C771,"CS_EVENT_DESC_N("&amp;$AA$18&amp;",4)")</f>
        <v/>
      </c>
    </row>
    <row r="772" spans="2:24" x14ac:dyDescent="0.15">
      <c r="B772" s="298">
        <f t="shared" si="13"/>
        <v>757</v>
      </c>
      <c r="C772" s="299"/>
      <c r="D772" s="300" t="str" cm="1">
        <f t="array" ref="D772">_xll.FDSB($C772,"FG_COMPANY_NAME")</f>
        <v/>
      </c>
      <c r="E772" s="300"/>
      <c r="F772" s="274" t="str" cm="1">
        <f t="array" ref="F772">_xll.FDSB($C772,"CS_EVENT_DATEJ_N("&amp;$AA$18&amp;",1)")</f>
        <v/>
      </c>
      <c r="G772" s="282" t="str" cm="1">
        <f t="array" ref="G772">_xll.FDSB($C772,"CS_EVENT_TIME_N("&amp;$AA$18&amp;",1)")</f>
        <v/>
      </c>
      <c r="H772" s="282" t="str" cm="1">
        <f t="array" ref="H772">_xll.FDSB($C772,"CS_EVENT_DESC_N("&amp;$AA$18&amp;",1)")</f>
        <v/>
      </c>
      <c r="I772" s="282"/>
      <c r="J772" s="274" t="str" cm="1">
        <f t="array" ref="J772">_xll.FDSB($C772,"CS_EVENT_DATEJ_N("&amp;$AB$18&amp;",1)")</f>
        <v/>
      </c>
      <c r="K772" s="282" t="str" cm="1">
        <f t="array" ref="K772">_xll.FDSB($C772,"CS_EVENT_TIME_N("&amp;$AB$18&amp;",1)")</f>
        <v/>
      </c>
      <c r="L772" s="282" t="str" cm="1">
        <f t="array" ref="L772">_xll.FDSB($C772,"CS_EVENT_DESC_N("&amp;$AB$18&amp;",1)")</f>
        <v/>
      </c>
      <c r="M772" s="300"/>
      <c r="N772" s="274" t="str" cm="1">
        <f t="array" ref="N772">_xll.FDSB($C772,"CS_EVENT_DATEJ_N("&amp;$AA$18&amp;",2)")</f>
        <v/>
      </c>
      <c r="O772" s="282" t="str" cm="1">
        <f t="array" ref="O772">_xll.FDSB($C772,"CS_EVENT_TIME_N("&amp;$AA$18&amp;",2)")</f>
        <v/>
      </c>
      <c r="P772" s="282" t="str" cm="1">
        <f t="array" ref="P772">_xll.FDSB($C772,"CS_EVENT_DESC_N("&amp;$AA$18&amp;",2)")</f>
        <v/>
      </c>
      <c r="Q772" s="282"/>
      <c r="R772" s="274" t="str" cm="1">
        <f t="array" ref="R772">_xll.FDSB($C772,"CS_EVENT_DATEJ_N("&amp;$AA$18&amp;",3)")</f>
        <v/>
      </c>
      <c r="S772" s="282" t="str" cm="1">
        <f t="array" ref="S772">_xll.FDSB($C772,"CS_EVENT_TIME_N("&amp;$AA$18&amp;",3)")</f>
        <v/>
      </c>
      <c r="T772" s="282" t="str" cm="1">
        <f t="array" ref="T772">_xll.FDSB($C772,"CS_EVENT_DESC_N("&amp;$AA$18&amp;",3)")</f>
        <v/>
      </c>
      <c r="U772" s="282"/>
      <c r="V772" s="274" t="str" cm="1">
        <f t="array" ref="V772">_xll.FDSB($C772,"CS_EVENT_DATEJ_N("&amp;$AA$18&amp;",4)")</f>
        <v/>
      </c>
      <c r="W772" s="282" t="str" cm="1">
        <f t="array" ref="W772">_xll.FDSB($C772,"CS_EVENT_TIME_N("&amp;$AA$18&amp;",4)")</f>
        <v/>
      </c>
      <c r="X772" s="282" t="str" cm="1">
        <f t="array" ref="X772">_xll.FDSB($C772,"CS_EVENT_DESC_N("&amp;$AA$18&amp;",4)")</f>
        <v/>
      </c>
    </row>
    <row r="773" spans="2:24" x14ac:dyDescent="0.15">
      <c r="B773" s="298">
        <f t="shared" si="13"/>
        <v>758</v>
      </c>
      <c r="C773" s="299"/>
      <c r="D773" s="300" t="str" cm="1">
        <f t="array" ref="D773">_xll.FDSB($C773,"FG_COMPANY_NAME")</f>
        <v/>
      </c>
      <c r="E773" s="300"/>
      <c r="F773" s="274" t="str" cm="1">
        <f t="array" ref="F773">_xll.FDSB($C773,"CS_EVENT_DATEJ_N("&amp;$AA$18&amp;",1)")</f>
        <v/>
      </c>
      <c r="G773" s="282" t="str" cm="1">
        <f t="array" ref="G773">_xll.FDSB($C773,"CS_EVENT_TIME_N("&amp;$AA$18&amp;",1)")</f>
        <v/>
      </c>
      <c r="H773" s="282" t="str" cm="1">
        <f t="array" ref="H773">_xll.FDSB($C773,"CS_EVENT_DESC_N("&amp;$AA$18&amp;",1)")</f>
        <v/>
      </c>
      <c r="I773" s="282"/>
      <c r="J773" s="274" t="str" cm="1">
        <f t="array" ref="J773">_xll.FDSB($C773,"CS_EVENT_DATEJ_N("&amp;$AB$18&amp;",1)")</f>
        <v/>
      </c>
      <c r="K773" s="282" t="str" cm="1">
        <f t="array" ref="K773">_xll.FDSB($C773,"CS_EVENT_TIME_N("&amp;$AB$18&amp;",1)")</f>
        <v/>
      </c>
      <c r="L773" s="282" t="str" cm="1">
        <f t="array" ref="L773">_xll.FDSB($C773,"CS_EVENT_DESC_N("&amp;$AB$18&amp;",1)")</f>
        <v/>
      </c>
      <c r="M773" s="300"/>
      <c r="N773" s="274" t="str" cm="1">
        <f t="array" ref="N773">_xll.FDSB($C773,"CS_EVENT_DATEJ_N("&amp;$AA$18&amp;",2)")</f>
        <v/>
      </c>
      <c r="O773" s="282" t="str" cm="1">
        <f t="array" ref="O773">_xll.FDSB($C773,"CS_EVENT_TIME_N("&amp;$AA$18&amp;",2)")</f>
        <v/>
      </c>
      <c r="P773" s="282" t="str" cm="1">
        <f t="array" ref="P773">_xll.FDSB($C773,"CS_EVENT_DESC_N("&amp;$AA$18&amp;",2)")</f>
        <v/>
      </c>
      <c r="Q773" s="282"/>
      <c r="R773" s="274" t="str" cm="1">
        <f t="array" ref="R773">_xll.FDSB($C773,"CS_EVENT_DATEJ_N("&amp;$AA$18&amp;",3)")</f>
        <v/>
      </c>
      <c r="S773" s="282" t="str" cm="1">
        <f t="array" ref="S773">_xll.FDSB($C773,"CS_EVENT_TIME_N("&amp;$AA$18&amp;",3)")</f>
        <v/>
      </c>
      <c r="T773" s="282" t="str" cm="1">
        <f t="array" ref="T773">_xll.FDSB($C773,"CS_EVENT_DESC_N("&amp;$AA$18&amp;",3)")</f>
        <v/>
      </c>
      <c r="U773" s="282"/>
      <c r="V773" s="274" t="str" cm="1">
        <f t="array" ref="V773">_xll.FDSB($C773,"CS_EVENT_DATEJ_N("&amp;$AA$18&amp;",4)")</f>
        <v/>
      </c>
      <c r="W773" s="282" t="str" cm="1">
        <f t="array" ref="W773">_xll.FDSB($C773,"CS_EVENT_TIME_N("&amp;$AA$18&amp;",4)")</f>
        <v/>
      </c>
      <c r="X773" s="282" t="str" cm="1">
        <f t="array" ref="X773">_xll.FDSB($C773,"CS_EVENT_DESC_N("&amp;$AA$18&amp;",4)")</f>
        <v/>
      </c>
    </row>
    <row r="774" spans="2:24" x14ac:dyDescent="0.15">
      <c r="B774" s="298">
        <f t="shared" si="13"/>
        <v>759</v>
      </c>
      <c r="C774" s="299"/>
      <c r="D774" s="300" t="str" cm="1">
        <f t="array" ref="D774">_xll.FDSB($C774,"FG_COMPANY_NAME")</f>
        <v/>
      </c>
      <c r="E774" s="300"/>
      <c r="F774" s="274" t="str" cm="1">
        <f t="array" ref="F774">_xll.FDSB($C774,"CS_EVENT_DATEJ_N("&amp;$AA$18&amp;",1)")</f>
        <v/>
      </c>
      <c r="G774" s="282" t="str" cm="1">
        <f t="array" ref="G774">_xll.FDSB($C774,"CS_EVENT_TIME_N("&amp;$AA$18&amp;",1)")</f>
        <v/>
      </c>
      <c r="H774" s="282" t="str" cm="1">
        <f t="array" ref="H774">_xll.FDSB($C774,"CS_EVENT_DESC_N("&amp;$AA$18&amp;",1)")</f>
        <v/>
      </c>
      <c r="I774" s="282"/>
      <c r="J774" s="274" t="str" cm="1">
        <f t="array" ref="J774">_xll.FDSB($C774,"CS_EVENT_DATEJ_N("&amp;$AB$18&amp;",1)")</f>
        <v/>
      </c>
      <c r="K774" s="282" t="str" cm="1">
        <f t="array" ref="K774">_xll.FDSB($C774,"CS_EVENT_TIME_N("&amp;$AB$18&amp;",1)")</f>
        <v/>
      </c>
      <c r="L774" s="282" t="str" cm="1">
        <f t="array" ref="L774">_xll.FDSB($C774,"CS_EVENT_DESC_N("&amp;$AB$18&amp;",1)")</f>
        <v/>
      </c>
      <c r="M774" s="300"/>
      <c r="N774" s="274" t="str" cm="1">
        <f t="array" ref="N774">_xll.FDSB($C774,"CS_EVENT_DATEJ_N("&amp;$AA$18&amp;",2)")</f>
        <v/>
      </c>
      <c r="O774" s="282" t="str" cm="1">
        <f t="array" ref="O774">_xll.FDSB($C774,"CS_EVENT_TIME_N("&amp;$AA$18&amp;",2)")</f>
        <v/>
      </c>
      <c r="P774" s="282" t="str" cm="1">
        <f t="array" ref="P774">_xll.FDSB($C774,"CS_EVENT_DESC_N("&amp;$AA$18&amp;",2)")</f>
        <v/>
      </c>
      <c r="Q774" s="282"/>
      <c r="R774" s="274" t="str" cm="1">
        <f t="array" ref="R774">_xll.FDSB($C774,"CS_EVENT_DATEJ_N("&amp;$AA$18&amp;",3)")</f>
        <v/>
      </c>
      <c r="S774" s="282" t="str" cm="1">
        <f t="array" ref="S774">_xll.FDSB($C774,"CS_EVENT_TIME_N("&amp;$AA$18&amp;",3)")</f>
        <v/>
      </c>
      <c r="T774" s="282" t="str" cm="1">
        <f t="array" ref="T774">_xll.FDSB($C774,"CS_EVENT_DESC_N("&amp;$AA$18&amp;",3)")</f>
        <v/>
      </c>
      <c r="U774" s="282"/>
      <c r="V774" s="274" t="str" cm="1">
        <f t="array" ref="V774">_xll.FDSB($C774,"CS_EVENT_DATEJ_N("&amp;$AA$18&amp;",4)")</f>
        <v/>
      </c>
      <c r="W774" s="282" t="str" cm="1">
        <f t="array" ref="W774">_xll.FDSB($C774,"CS_EVENT_TIME_N("&amp;$AA$18&amp;",4)")</f>
        <v/>
      </c>
      <c r="X774" s="282" t="str" cm="1">
        <f t="array" ref="X774">_xll.FDSB($C774,"CS_EVENT_DESC_N("&amp;$AA$18&amp;",4)")</f>
        <v/>
      </c>
    </row>
    <row r="775" spans="2:24" x14ac:dyDescent="0.15">
      <c r="B775" s="298">
        <f t="shared" si="13"/>
        <v>760</v>
      </c>
      <c r="C775" s="299"/>
      <c r="D775" s="300" t="str" cm="1">
        <f t="array" ref="D775">_xll.FDSB($C775,"FG_COMPANY_NAME")</f>
        <v/>
      </c>
      <c r="E775" s="300"/>
      <c r="F775" s="274" t="str" cm="1">
        <f t="array" ref="F775">_xll.FDSB($C775,"CS_EVENT_DATEJ_N("&amp;$AA$18&amp;",1)")</f>
        <v/>
      </c>
      <c r="G775" s="282" t="str" cm="1">
        <f t="array" ref="G775">_xll.FDSB($C775,"CS_EVENT_TIME_N("&amp;$AA$18&amp;",1)")</f>
        <v/>
      </c>
      <c r="H775" s="282" t="str" cm="1">
        <f t="array" ref="H775">_xll.FDSB($C775,"CS_EVENT_DESC_N("&amp;$AA$18&amp;",1)")</f>
        <v/>
      </c>
      <c r="I775" s="282"/>
      <c r="J775" s="274" t="str" cm="1">
        <f t="array" ref="J775">_xll.FDSB($C775,"CS_EVENT_DATEJ_N("&amp;$AB$18&amp;",1)")</f>
        <v/>
      </c>
      <c r="K775" s="282" t="str" cm="1">
        <f t="array" ref="K775">_xll.FDSB($C775,"CS_EVENT_TIME_N("&amp;$AB$18&amp;",1)")</f>
        <v/>
      </c>
      <c r="L775" s="282" t="str" cm="1">
        <f t="array" ref="L775">_xll.FDSB($C775,"CS_EVENT_DESC_N("&amp;$AB$18&amp;",1)")</f>
        <v/>
      </c>
      <c r="M775" s="300"/>
      <c r="N775" s="274" t="str" cm="1">
        <f t="array" ref="N775">_xll.FDSB($C775,"CS_EVENT_DATEJ_N("&amp;$AA$18&amp;",2)")</f>
        <v/>
      </c>
      <c r="O775" s="282" t="str" cm="1">
        <f t="array" ref="O775">_xll.FDSB($C775,"CS_EVENT_TIME_N("&amp;$AA$18&amp;",2)")</f>
        <v/>
      </c>
      <c r="P775" s="282" t="str" cm="1">
        <f t="array" ref="P775">_xll.FDSB($C775,"CS_EVENT_DESC_N("&amp;$AA$18&amp;",2)")</f>
        <v/>
      </c>
      <c r="Q775" s="282"/>
      <c r="R775" s="274" t="str" cm="1">
        <f t="array" ref="R775">_xll.FDSB($C775,"CS_EVENT_DATEJ_N("&amp;$AA$18&amp;",3)")</f>
        <v/>
      </c>
      <c r="S775" s="282" t="str" cm="1">
        <f t="array" ref="S775">_xll.FDSB($C775,"CS_EVENT_TIME_N("&amp;$AA$18&amp;",3)")</f>
        <v/>
      </c>
      <c r="T775" s="282" t="str" cm="1">
        <f t="array" ref="T775">_xll.FDSB($C775,"CS_EVENT_DESC_N("&amp;$AA$18&amp;",3)")</f>
        <v/>
      </c>
      <c r="U775" s="282"/>
      <c r="V775" s="274" t="str" cm="1">
        <f t="array" ref="V775">_xll.FDSB($C775,"CS_EVENT_DATEJ_N("&amp;$AA$18&amp;",4)")</f>
        <v/>
      </c>
      <c r="W775" s="282" t="str" cm="1">
        <f t="array" ref="W775">_xll.FDSB($C775,"CS_EVENT_TIME_N("&amp;$AA$18&amp;",4)")</f>
        <v/>
      </c>
      <c r="X775" s="282" t="str" cm="1">
        <f t="array" ref="X775">_xll.FDSB($C775,"CS_EVENT_DESC_N("&amp;$AA$18&amp;",4)")</f>
        <v/>
      </c>
    </row>
    <row r="776" spans="2:24" x14ac:dyDescent="0.15">
      <c r="B776" s="298">
        <f t="shared" si="13"/>
        <v>761</v>
      </c>
      <c r="C776" s="299"/>
      <c r="D776" s="300" t="str" cm="1">
        <f t="array" ref="D776">_xll.FDSB($C776,"FG_COMPANY_NAME")</f>
        <v/>
      </c>
      <c r="E776" s="300"/>
      <c r="F776" s="274" t="str" cm="1">
        <f t="array" ref="F776">_xll.FDSB($C776,"CS_EVENT_DATEJ_N("&amp;$AA$18&amp;",1)")</f>
        <v/>
      </c>
      <c r="G776" s="282" t="str" cm="1">
        <f t="array" ref="G776">_xll.FDSB($C776,"CS_EVENT_TIME_N("&amp;$AA$18&amp;",1)")</f>
        <v/>
      </c>
      <c r="H776" s="282" t="str" cm="1">
        <f t="array" ref="H776">_xll.FDSB($C776,"CS_EVENT_DESC_N("&amp;$AA$18&amp;",1)")</f>
        <v/>
      </c>
      <c r="I776" s="282"/>
      <c r="J776" s="274" t="str" cm="1">
        <f t="array" ref="J776">_xll.FDSB($C776,"CS_EVENT_DATEJ_N("&amp;$AB$18&amp;",1)")</f>
        <v/>
      </c>
      <c r="K776" s="282" t="str" cm="1">
        <f t="array" ref="K776">_xll.FDSB($C776,"CS_EVENT_TIME_N("&amp;$AB$18&amp;",1)")</f>
        <v/>
      </c>
      <c r="L776" s="282" t="str" cm="1">
        <f t="array" ref="L776">_xll.FDSB($C776,"CS_EVENT_DESC_N("&amp;$AB$18&amp;",1)")</f>
        <v/>
      </c>
      <c r="M776" s="300"/>
      <c r="N776" s="274" t="str" cm="1">
        <f t="array" ref="N776">_xll.FDSB($C776,"CS_EVENT_DATEJ_N("&amp;$AA$18&amp;",2)")</f>
        <v/>
      </c>
      <c r="O776" s="282" t="str" cm="1">
        <f t="array" ref="O776">_xll.FDSB($C776,"CS_EVENT_TIME_N("&amp;$AA$18&amp;",2)")</f>
        <v/>
      </c>
      <c r="P776" s="282" t="str" cm="1">
        <f t="array" ref="P776">_xll.FDSB($C776,"CS_EVENT_DESC_N("&amp;$AA$18&amp;",2)")</f>
        <v/>
      </c>
      <c r="Q776" s="282"/>
      <c r="R776" s="274" t="str" cm="1">
        <f t="array" ref="R776">_xll.FDSB($C776,"CS_EVENT_DATEJ_N("&amp;$AA$18&amp;",3)")</f>
        <v/>
      </c>
      <c r="S776" s="282" t="str" cm="1">
        <f t="array" ref="S776">_xll.FDSB($C776,"CS_EVENT_TIME_N("&amp;$AA$18&amp;",3)")</f>
        <v/>
      </c>
      <c r="T776" s="282" t="str" cm="1">
        <f t="array" ref="T776">_xll.FDSB($C776,"CS_EVENT_DESC_N("&amp;$AA$18&amp;",3)")</f>
        <v/>
      </c>
      <c r="U776" s="282"/>
      <c r="V776" s="274" t="str" cm="1">
        <f t="array" ref="V776">_xll.FDSB($C776,"CS_EVENT_DATEJ_N("&amp;$AA$18&amp;",4)")</f>
        <v/>
      </c>
      <c r="W776" s="282" t="str" cm="1">
        <f t="array" ref="W776">_xll.FDSB($C776,"CS_EVENT_TIME_N("&amp;$AA$18&amp;",4)")</f>
        <v/>
      </c>
      <c r="X776" s="282" t="str" cm="1">
        <f t="array" ref="X776">_xll.FDSB($C776,"CS_EVENT_DESC_N("&amp;$AA$18&amp;",4)")</f>
        <v/>
      </c>
    </row>
    <row r="777" spans="2:24" x14ac:dyDescent="0.15">
      <c r="B777" s="298">
        <f t="shared" si="13"/>
        <v>762</v>
      </c>
      <c r="C777" s="299"/>
      <c r="D777" s="300" t="str" cm="1">
        <f t="array" ref="D777">_xll.FDSB($C777,"FG_COMPANY_NAME")</f>
        <v/>
      </c>
      <c r="E777" s="300"/>
      <c r="F777" s="274" t="str" cm="1">
        <f t="array" ref="F777">_xll.FDSB($C777,"CS_EVENT_DATEJ_N("&amp;$AA$18&amp;",1)")</f>
        <v/>
      </c>
      <c r="G777" s="282" t="str" cm="1">
        <f t="array" ref="G777">_xll.FDSB($C777,"CS_EVENT_TIME_N("&amp;$AA$18&amp;",1)")</f>
        <v/>
      </c>
      <c r="H777" s="282" t="str" cm="1">
        <f t="array" ref="H777">_xll.FDSB($C777,"CS_EVENT_DESC_N("&amp;$AA$18&amp;",1)")</f>
        <v/>
      </c>
      <c r="I777" s="282"/>
      <c r="J777" s="274" t="str" cm="1">
        <f t="array" ref="J777">_xll.FDSB($C777,"CS_EVENT_DATEJ_N("&amp;$AB$18&amp;",1)")</f>
        <v/>
      </c>
      <c r="K777" s="282" t="str" cm="1">
        <f t="array" ref="K777">_xll.FDSB($C777,"CS_EVENT_TIME_N("&amp;$AB$18&amp;",1)")</f>
        <v/>
      </c>
      <c r="L777" s="282" t="str" cm="1">
        <f t="array" ref="L777">_xll.FDSB($C777,"CS_EVENT_DESC_N("&amp;$AB$18&amp;",1)")</f>
        <v/>
      </c>
      <c r="M777" s="300"/>
      <c r="N777" s="274" t="str" cm="1">
        <f t="array" ref="N777">_xll.FDSB($C777,"CS_EVENT_DATEJ_N("&amp;$AA$18&amp;",2)")</f>
        <v/>
      </c>
      <c r="O777" s="282" t="str" cm="1">
        <f t="array" ref="O777">_xll.FDSB($C777,"CS_EVENT_TIME_N("&amp;$AA$18&amp;",2)")</f>
        <v/>
      </c>
      <c r="P777" s="282" t="str" cm="1">
        <f t="array" ref="P777">_xll.FDSB($C777,"CS_EVENT_DESC_N("&amp;$AA$18&amp;",2)")</f>
        <v/>
      </c>
      <c r="Q777" s="282"/>
      <c r="R777" s="274" t="str" cm="1">
        <f t="array" ref="R777">_xll.FDSB($C777,"CS_EVENT_DATEJ_N("&amp;$AA$18&amp;",3)")</f>
        <v/>
      </c>
      <c r="S777" s="282" t="str" cm="1">
        <f t="array" ref="S777">_xll.FDSB($C777,"CS_EVENT_TIME_N("&amp;$AA$18&amp;",3)")</f>
        <v/>
      </c>
      <c r="T777" s="282" t="str" cm="1">
        <f t="array" ref="T777">_xll.FDSB($C777,"CS_EVENT_DESC_N("&amp;$AA$18&amp;",3)")</f>
        <v/>
      </c>
      <c r="U777" s="282"/>
      <c r="V777" s="274" t="str" cm="1">
        <f t="array" ref="V777">_xll.FDSB($C777,"CS_EVENT_DATEJ_N("&amp;$AA$18&amp;",4)")</f>
        <v/>
      </c>
      <c r="W777" s="282" t="str" cm="1">
        <f t="array" ref="W777">_xll.FDSB($C777,"CS_EVENT_TIME_N("&amp;$AA$18&amp;",4)")</f>
        <v/>
      </c>
      <c r="X777" s="282" t="str" cm="1">
        <f t="array" ref="X777">_xll.FDSB($C777,"CS_EVENT_DESC_N("&amp;$AA$18&amp;",4)")</f>
        <v/>
      </c>
    </row>
    <row r="778" spans="2:24" x14ac:dyDescent="0.15">
      <c r="B778" s="298">
        <f t="shared" si="13"/>
        <v>763</v>
      </c>
      <c r="C778" s="299"/>
      <c r="D778" s="300" t="str" cm="1">
        <f t="array" ref="D778">_xll.FDSB($C778,"FG_COMPANY_NAME")</f>
        <v/>
      </c>
      <c r="E778" s="300"/>
      <c r="F778" s="274" t="str" cm="1">
        <f t="array" ref="F778">_xll.FDSB($C778,"CS_EVENT_DATEJ_N("&amp;$AA$18&amp;",1)")</f>
        <v/>
      </c>
      <c r="G778" s="282" t="str" cm="1">
        <f t="array" ref="G778">_xll.FDSB($C778,"CS_EVENT_TIME_N("&amp;$AA$18&amp;",1)")</f>
        <v/>
      </c>
      <c r="H778" s="282" t="str" cm="1">
        <f t="array" ref="H778">_xll.FDSB($C778,"CS_EVENT_DESC_N("&amp;$AA$18&amp;",1)")</f>
        <v/>
      </c>
      <c r="I778" s="282"/>
      <c r="J778" s="274" t="str" cm="1">
        <f t="array" ref="J778">_xll.FDSB($C778,"CS_EVENT_DATEJ_N("&amp;$AB$18&amp;",1)")</f>
        <v/>
      </c>
      <c r="K778" s="282" t="str" cm="1">
        <f t="array" ref="K778">_xll.FDSB($C778,"CS_EVENT_TIME_N("&amp;$AB$18&amp;",1)")</f>
        <v/>
      </c>
      <c r="L778" s="282" t="str" cm="1">
        <f t="array" ref="L778">_xll.FDSB($C778,"CS_EVENT_DESC_N("&amp;$AB$18&amp;",1)")</f>
        <v/>
      </c>
      <c r="M778" s="300"/>
      <c r="N778" s="274" t="str" cm="1">
        <f t="array" ref="N778">_xll.FDSB($C778,"CS_EVENT_DATEJ_N("&amp;$AA$18&amp;",2)")</f>
        <v/>
      </c>
      <c r="O778" s="282" t="str" cm="1">
        <f t="array" ref="O778">_xll.FDSB($C778,"CS_EVENT_TIME_N("&amp;$AA$18&amp;",2)")</f>
        <v/>
      </c>
      <c r="P778" s="282" t="str" cm="1">
        <f t="array" ref="P778">_xll.FDSB($C778,"CS_EVENT_DESC_N("&amp;$AA$18&amp;",2)")</f>
        <v/>
      </c>
      <c r="Q778" s="282"/>
      <c r="R778" s="274" t="str" cm="1">
        <f t="array" ref="R778">_xll.FDSB($C778,"CS_EVENT_DATEJ_N("&amp;$AA$18&amp;",3)")</f>
        <v/>
      </c>
      <c r="S778" s="282" t="str" cm="1">
        <f t="array" ref="S778">_xll.FDSB($C778,"CS_EVENT_TIME_N("&amp;$AA$18&amp;",3)")</f>
        <v/>
      </c>
      <c r="T778" s="282" t="str" cm="1">
        <f t="array" ref="T778">_xll.FDSB($C778,"CS_EVENT_DESC_N("&amp;$AA$18&amp;",3)")</f>
        <v/>
      </c>
      <c r="U778" s="282"/>
      <c r="V778" s="274" t="str" cm="1">
        <f t="array" ref="V778">_xll.FDSB($C778,"CS_EVENT_DATEJ_N("&amp;$AA$18&amp;",4)")</f>
        <v/>
      </c>
      <c r="W778" s="282" t="str" cm="1">
        <f t="array" ref="W778">_xll.FDSB($C778,"CS_EVENT_TIME_N("&amp;$AA$18&amp;",4)")</f>
        <v/>
      </c>
      <c r="X778" s="282" t="str" cm="1">
        <f t="array" ref="X778">_xll.FDSB($C778,"CS_EVENT_DESC_N("&amp;$AA$18&amp;",4)")</f>
        <v/>
      </c>
    </row>
    <row r="779" spans="2:24" x14ac:dyDescent="0.15">
      <c r="B779" s="298">
        <f t="shared" si="13"/>
        <v>764</v>
      </c>
      <c r="C779" s="299"/>
      <c r="D779" s="300" t="str" cm="1">
        <f t="array" ref="D779">_xll.FDSB($C779,"FG_COMPANY_NAME")</f>
        <v/>
      </c>
      <c r="E779" s="300"/>
      <c r="F779" s="274" t="str" cm="1">
        <f t="array" ref="F779">_xll.FDSB($C779,"CS_EVENT_DATEJ_N("&amp;$AA$18&amp;",1)")</f>
        <v/>
      </c>
      <c r="G779" s="282" t="str" cm="1">
        <f t="array" ref="G779">_xll.FDSB($C779,"CS_EVENT_TIME_N("&amp;$AA$18&amp;",1)")</f>
        <v/>
      </c>
      <c r="H779" s="282" t="str" cm="1">
        <f t="array" ref="H779">_xll.FDSB($C779,"CS_EVENT_DESC_N("&amp;$AA$18&amp;",1)")</f>
        <v/>
      </c>
      <c r="I779" s="282"/>
      <c r="J779" s="274" t="str" cm="1">
        <f t="array" ref="J779">_xll.FDSB($C779,"CS_EVENT_DATEJ_N("&amp;$AB$18&amp;",1)")</f>
        <v/>
      </c>
      <c r="K779" s="282" t="str" cm="1">
        <f t="array" ref="K779">_xll.FDSB($C779,"CS_EVENT_TIME_N("&amp;$AB$18&amp;",1)")</f>
        <v/>
      </c>
      <c r="L779" s="282" t="str" cm="1">
        <f t="array" ref="L779">_xll.FDSB($C779,"CS_EVENT_DESC_N("&amp;$AB$18&amp;",1)")</f>
        <v/>
      </c>
      <c r="M779" s="300"/>
      <c r="N779" s="274" t="str" cm="1">
        <f t="array" ref="N779">_xll.FDSB($C779,"CS_EVENT_DATEJ_N("&amp;$AA$18&amp;",2)")</f>
        <v/>
      </c>
      <c r="O779" s="282" t="str" cm="1">
        <f t="array" ref="O779">_xll.FDSB($C779,"CS_EVENT_TIME_N("&amp;$AA$18&amp;",2)")</f>
        <v/>
      </c>
      <c r="P779" s="282" t="str" cm="1">
        <f t="array" ref="P779">_xll.FDSB($C779,"CS_EVENT_DESC_N("&amp;$AA$18&amp;",2)")</f>
        <v/>
      </c>
      <c r="Q779" s="282"/>
      <c r="R779" s="274" t="str" cm="1">
        <f t="array" ref="R779">_xll.FDSB($C779,"CS_EVENT_DATEJ_N("&amp;$AA$18&amp;",3)")</f>
        <v/>
      </c>
      <c r="S779" s="282" t="str" cm="1">
        <f t="array" ref="S779">_xll.FDSB($C779,"CS_EVENT_TIME_N("&amp;$AA$18&amp;",3)")</f>
        <v/>
      </c>
      <c r="T779" s="282" t="str" cm="1">
        <f t="array" ref="T779">_xll.FDSB($C779,"CS_EVENT_DESC_N("&amp;$AA$18&amp;",3)")</f>
        <v/>
      </c>
      <c r="U779" s="282"/>
      <c r="V779" s="274" t="str" cm="1">
        <f t="array" ref="V779">_xll.FDSB($C779,"CS_EVENT_DATEJ_N("&amp;$AA$18&amp;",4)")</f>
        <v/>
      </c>
      <c r="W779" s="282" t="str" cm="1">
        <f t="array" ref="W779">_xll.FDSB($C779,"CS_EVENT_TIME_N("&amp;$AA$18&amp;",4)")</f>
        <v/>
      </c>
      <c r="X779" s="282" t="str" cm="1">
        <f t="array" ref="X779">_xll.FDSB($C779,"CS_EVENT_DESC_N("&amp;$AA$18&amp;",4)")</f>
        <v/>
      </c>
    </row>
    <row r="780" spans="2:24" x14ac:dyDescent="0.15">
      <c r="B780" s="298">
        <f t="shared" si="13"/>
        <v>765</v>
      </c>
      <c r="C780" s="299"/>
      <c r="D780" s="300" t="str" cm="1">
        <f t="array" ref="D780">_xll.FDSB($C780,"FG_COMPANY_NAME")</f>
        <v/>
      </c>
      <c r="E780" s="300"/>
      <c r="F780" s="274" t="str" cm="1">
        <f t="array" ref="F780">_xll.FDSB($C780,"CS_EVENT_DATEJ_N("&amp;$AA$18&amp;",1)")</f>
        <v/>
      </c>
      <c r="G780" s="282" t="str" cm="1">
        <f t="array" ref="G780">_xll.FDSB($C780,"CS_EVENT_TIME_N("&amp;$AA$18&amp;",1)")</f>
        <v/>
      </c>
      <c r="H780" s="282" t="str" cm="1">
        <f t="array" ref="H780">_xll.FDSB($C780,"CS_EVENT_DESC_N("&amp;$AA$18&amp;",1)")</f>
        <v/>
      </c>
      <c r="I780" s="282"/>
      <c r="J780" s="274" t="str" cm="1">
        <f t="array" ref="J780">_xll.FDSB($C780,"CS_EVENT_DATEJ_N("&amp;$AB$18&amp;",1)")</f>
        <v/>
      </c>
      <c r="K780" s="282" t="str" cm="1">
        <f t="array" ref="K780">_xll.FDSB($C780,"CS_EVENT_TIME_N("&amp;$AB$18&amp;",1)")</f>
        <v/>
      </c>
      <c r="L780" s="282" t="str" cm="1">
        <f t="array" ref="L780">_xll.FDSB($C780,"CS_EVENT_DESC_N("&amp;$AB$18&amp;",1)")</f>
        <v/>
      </c>
      <c r="M780" s="300"/>
      <c r="N780" s="274" t="str" cm="1">
        <f t="array" ref="N780">_xll.FDSB($C780,"CS_EVENT_DATEJ_N("&amp;$AA$18&amp;",2)")</f>
        <v/>
      </c>
      <c r="O780" s="282" t="str" cm="1">
        <f t="array" ref="O780">_xll.FDSB($C780,"CS_EVENT_TIME_N("&amp;$AA$18&amp;",2)")</f>
        <v/>
      </c>
      <c r="P780" s="282" t="str" cm="1">
        <f t="array" ref="P780">_xll.FDSB($C780,"CS_EVENT_DESC_N("&amp;$AA$18&amp;",2)")</f>
        <v/>
      </c>
      <c r="Q780" s="282"/>
      <c r="R780" s="274" t="str" cm="1">
        <f t="array" ref="R780">_xll.FDSB($C780,"CS_EVENT_DATEJ_N("&amp;$AA$18&amp;",3)")</f>
        <v/>
      </c>
      <c r="S780" s="282" t="str" cm="1">
        <f t="array" ref="S780">_xll.FDSB($C780,"CS_EVENT_TIME_N("&amp;$AA$18&amp;",3)")</f>
        <v/>
      </c>
      <c r="T780" s="282" t="str" cm="1">
        <f t="array" ref="T780">_xll.FDSB($C780,"CS_EVENT_DESC_N("&amp;$AA$18&amp;",3)")</f>
        <v/>
      </c>
      <c r="U780" s="282"/>
      <c r="V780" s="274" t="str" cm="1">
        <f t="array" ref="V780">_xll.FDSB($C780,"CS_EVENT_DATEJ_N("&amp;$AA$18&amp;",4)")</f>
        <v/>
      </c>
      <c r="W780" s="282" t="str" cm="1">
        <f t="array" ref="W780">_xll.FDSB($C780,"CS_EVENT_TIME_N("&amp;$AA$18&amp;",4)")</f>
        <v/>
      </c>
      <c r="X780" s="282" t="str" cm="1">
        <f t="array" ref="X780">_xll.FDSB($C780,"CS_EVENT_DESC_N("&amp;$AA$18&amp;",4)")</f>
        <v/>
      </c>
    </row>
    <row r="781" spans="2:24" x14ac:dyDescent="0.15">
      <c r="B781" s="298">
        <f t="shared" si="13"/>
        <v>766</v>
      </c>
      <c r="C781" s="299"/>
      <c r="D781" s="300" t="str" cm="1">
        <f t="array" ref="D781">_xll.FDSB($C781,"FG_COMPANY_NAME")</f>
        <v/>
      </c>
      <c r="E781" s="300"/>
      <c r="F781" s="274" t="str" cm="1">
        <f t="array" ref="F781">_xll.FDSB($C781,"CS_EVENT_DATEJ_N("&amp;$AA$18&amp;",1)")</f>
        <v/>
      </c>
      <c r="G781" s="282" t="str" cm="1">
        <f t="array" ref="G781">_xll.FDSB($C781,"CS_EVENT_TIME_N("&amp;$AA$18&amp;",1)")</f>
        <v/>
      </c>
      <c r="H781" s="282" t="str" cm="1">
        <f t="array" ref="H781">_xll.FDSB($C781,"CS_EVENT_DESC_N("&amp;$AA$18&amp;",1)")</f>
        <v/>
      </c>
      <c r="I781" s="282"/>
      <c r="J781" s="274" t="str" cm="1">
        <f t="array" ref="J781">_xll.FDSB($C781,"CS_EVENT_DATEJ_N("&amp;$AB$18&amp;",1)")</f>
        <v/>
      </c>
      <c r="K781" s="282" t="str" cm="1">
        <f t="array" ref="K781">_xll.FDSB($C781,"CS_EVENT_TIME_N("&amp;$AB$18&amp;",1)")</f>
        <v/>
      </c>
      <c r="L781" s="282" t="str" cm="1">
        <f t="array" ref="L781">_xll.FDSB($C781,"CS_EVENT_DESC_N("&amp;$AB$18&amp;",1)")</f>
        <v/>
      </c>
      <c r="M781" s="300"/>
      <c r="N781" s="274" t="str" cm="1">
        <f t="array" ref="N781">_xll.FDSB($C781,"CS_EVENT_DATEJ_N("&amp;$AA$18&amp;",2)")</f>
        <v/>
      </c>
      <c r="O781" s="282" t="str" cm="1">
        <f t="array" ref="O781">_xll.FDSB($C781,"CS_EVENT_TIME_N("&amp;$AA$18&amp;",2)")</f>
        <v/>
      </c>
      <c r="P781" s="282" t="str" cm="1">
        <f t="array" ref="P781">_xll.FDSB($C781,"CS_EVENT_DESC_N("&amp;$AA$18&amp;",2)")</f>
        <v/>
      </c>
      <c r="Q781" s="282"/>
      <c r="R781" s="274" t="str" cm="1">
        <f t="array" ref="R781">_xll.FDSB($C781,"CS_EVENT_DATEJ_N("&amp;$AA$18&amp;",3)")</f>
        <v/>
      </c>
      <c r="S781" s="282" t="str" cm="1">
        <f t="array" ref="S781">_xll.FDSB($C781,"CS_EVENT_TIME_N("&amp;$AA$18&amp;",3)")</f>
        <v/>
      </c>
      <c r="T781" s="282" t="str" cm="1">
        <f t="array" ref="T781">_xll.FDSB($C781,"CS_EVENT_DESC_N("&amp;$AA$18&amp;",3)")</f>
        <v/>
      </c>
      <c r="U781" s="282"/>
      <c r="V781" s="274" t="str" cm="1">
        <f t="array" ref="V781">_xll.FDSB($C781,"CS_EVENT_DATEJ_N("&amp;$AA$18&amp;",4)")</f>
        <v/>
      </c>
      <c r="W781" s="282" t="str" cm="1">
        <f t="array" ref="W781">_xll.FDSB($C781,"CS_EVENT_TIME_N("&amp;$AA$18&amp;",4)")</f>
        <v/>
      </c>
      <c r="X781" s="282" t="str" cm="1">
        <f t="array" ref="X781">_xll.FDSB($C781,"CS_EVENT_DESC_N("&amp;$AA$18&amp;",4)")</f>
        <v/>
      </c>
    </row>
    <row r="782" spans="2:24" x14ac:dyDescent="0.15">
      <c r="B782" s="298">
        <f t="shared" si="13"/>
        <v>767</v>
      </c>
      <c r="C782" s="299"/>
      <c r="D782" s="300" t="str" cm="1">
        <f t="array" ref="D782">_xll.FDSB($C782,"FG_COMPANY_NAME")</f>
        <v/>
      </c>
      <c r="E782" s="300"/>
      <c r="F782" s="274" t="str" cm="1">
        <f t="array" ref="F782">_xll.FDSB($C782,"CS_EVENT_DATEJ_N("&amp;$AA$18&amp;",1)")</f>
        <v/>
      </c>
      <c r="G782" s="282" t="str" cm="1">
        <f t="array" ref="G782">_xll.FDSB($C782,"CS_EVENT_TIME_N("&amp;$AA$18&amp;",1)")</f>
        <v/>
      </c>
      <c r="H782" s="282" t="str" cm="1">
        <f t="array" ref="H782">_xll.FDSB($C782,"CS_EVENT_DESC_N("&amp;$AA$18&amp;",1)")</f>
        <v/>
      </c>
      <c r="I782" s="282"/>
      <c r="J782" s="274" t="str" cm="1">
        <f t="array" ref="J782">_xll.FDSB($C782,"CS_EVENT_DATEJ_N("&amp;$AB$18&amp;",1)")</f>
        <v/>
      </c>
      <c r="K782" s="282" t="str" cm="1">
        <f t="array" ref="K782">_xll.FDSB($C782,"CS_EVENT_TIME_N("&amp;$AB$18&amp;",1)")</f>
        <v/>
      </c>
      <c r="L782" s="282" t="str" cm="1">
        <f t="array" ref="L782">_xll.FDSB($C782,"CS_EVENT_DESC_N("&amp;$AB$18&amp;",1)")</f>
        <v/>
      </c>
      <c r="M782" s="300"/>
      <c r="N782" s="274" t="str" cm="1">
        <f t="array" ref="N782">_xll.FDSB($C782,"CS_EVENT_DATEJ_N("&amp;$AA$18&amp;",2)")</f>
        <v/>
      </c>
      <c r="O782" s="282" t="str" cm="1">
        <f t="array" ref="O782">_xll.FDSB($C782,"CS_EVENT_TIME_N("&amp;$AA$18&amp;",2)")</f>
        <v/>
      </c>
      <c r="P782" s="282" t="str" cm="1">
        <f t="array" ref="P782">_xll.FDSB($C782,"CS_EVENT_DESC_N("&amp;$AA$18&amp;",2)")</f>
        <v/>
      </c>
      <c r="Q782" s="282"/>
      <c r="R782" s="274" t="str" cm="1">
        <f t="array" ref="R782">_xll.FDSB($C782,"CS_EVENT_DATEJ_N("&amp;$AA$18&amp;",3)")</f>
        <v/>
      </c>
      <c r="S782" s="282" t="str" cm="1">
        <f t="array" ref="S782">_xll.FDSB($C782,"CS_EVENT_TIME_N("&amp;$AA$18&amp;",3)")</f>
        <v/>
      </c>
      <c r="T782" s="282" t="str" cm="1">
        <f t="array" ref="T782">_xll.FDSB($C782,"CS_EVENT_DESC_N("&amp;$AA$18&amp;",3)")</f>
        <v/>
      </c>
      <c r="U782" s="282"/>
      <c r="V782" s="274" t="str" cm="1">
        <f t="array" ref="V782">_xll.FDSB($C782,"CS_EVENT_DATEJ_N("&amp;$AA$18&amp;",4)")</f>
        <v/>
      </c>
      <c r="W782" s="282" t="str" cm="1">
        <f t="array" ref="W782">_xll.FDSB($C782,"CS_EVENT_TIME_N("&amp;$AA$18&amp;",4)")</f>
        <v/>
      </c>
      <c r="X782" s="282" t="str" cm="1">
        <f t="array" ref="X782">_xll.FDSB($C782,"CS_EVENT_DESC_N("&amp;$AA$18&amp;",4)")</f>
        <v/>
      </c>
    </row>
    <row r="783" spans="2:24" x14ac:dyDescent="0.15">
      <c r="B783" s="298">
        <f t="shared" si="13"/>
        <v>768</v>
      </c>
      <c r="C783" s="299"/>
      <c r="D783" s="300" t="str" cm="1">
        <f t="array" ref="D783">_xll.FDSB($C783,"FG_COMPANY_NAME")</f>
        <v/>
      </c>
      <c r="E783" s="300"/>
      <c r="F783" s="274" t="str" cm="1">
        <f t="array" ref="F783">_xll.FDSB($C783,"CS_EVENT_DATEJ_N("&amp;$AA$18&amp;",1)")</f>
        <v/>
      </c>
      <c r="G783" s="282" t="str" cm="1">
        <f t="array" ref="G783">_xll.FDSB($C783,"CS_EVENT_TIME_N("&amp;$AA$18&amp;",1)")</f>
        <v/>
      </c>
      <c r="H783" s="282" t="str" cm="1">
        <f t="array" ref="H783">_xll.FDSB($C783,"CS_EVENT_DESC_N("&amp;$AA$18&amp;",1)")</f>
        <v/>
      </c>
      <c r="I783" s="282"/>
      <c r="J783" s="274" t="str" cm="1">
        <f t="array" ref="J783">_xll.FDSB($C783,"CS_EVENT_DATEJ_N("&amp;$AB$18&amp;",1)")</f>
        <v/>
      </c>
      <c r="K783" s="282" t="str" cm="1">
        <f t="array" ref="K783">_xll.FDSB($C783,"CS_EVENT_TIME_N("&amp;$AB$18&amp;",1)")</f>
        <v/>
      </c>
      <c r="L783" s="282" t="str" cm="1">
        <f t="array" ref="L783">_xll.FDSB($C783,"CS_EVENT_DESC_N("&amp;$AB$18&amp;",1)")</f>
        <v/>
      </c>
      <c r="M783" s="300"/>
      <c r="N783" s="274" t="str" cm="1">
        <f t="array" ref="N783">_xll.FDSB($C783,"CS_EVENT_DATEJ_N("&amp;$AA$18&amp;",2)")</f>
        <v/>
      </c>
      <c r="O783" s="282" t="str" cm="1">
        <f t="array" ref="O783">_xll.FDSB($C783,"CS_EVENT_TIME_N("&amp;$AA$18&amp;",2)")</f>
        <v/>
      </c>
      <c r="P783" s="282" t="str" cm="1">
        <f t="array" ref="P783">_xll.FDSB($C783,"CS_EVENT_DESC_N("&amp;$AA$18&amp;",2)")</f>
        <v/>
      </c>
      <c r="Q783" s="282"/>
      <c r="R783" s="274" t="str" cm="1">
        <f t="array" ref="R783">_xll.FDSB($C783,"CS_EVENT_DATEJ_N("&amp;$AA$18&amp;",3)")</f>
        <v/>
      </c>
      <c r="S783" s="282" t="str" cm="1">
        <f t="array" ref="S783">_xll.FDSB($C783,"CS_EVENT_TIME_N("&amp;$AA$18&amp;",3)")</f>
        <v/>
      </c>
      <c r="T783" s="282" t="str" cm="1">
        <f t="array" ref="T783">_xll.FDSB($C783,"CS_EVENT_DESC_N("&amp;$AA$18&amp;",3)")</f>
        <v/>
      </c>
      <c r="U783" s="282"/>
      <c r="V783" s="274" t="str" cm="1">
        <f t="array" ref="V783">_xll.FDSB($C783,"CS_EVENT_DATEJ_N("&amp;$AA$18&amp;",4)")</f>
        <v/>
      </c>
      <c r="W783" s="282" t="str" cm="1">
        <f t="array" ref="W783">_xll.FDSB($C783,"CS_EVENT_TIME_N("&amp;$AA$18&amp;",4)")</f>
        <v/>
      </c>
      <c r="X783" s="282" t="str" cm="1">
        <f t="array" ref="X783">_xll.FDSB($C783,"CS_EVENT_DESC_N("&amp;$AA$18&amp;",4)")</f>
        <v/>
      </c>
    </row>
    <row r="784" spans="2:24" x14ac:dyDescent="0.15">
      <c r="B784" s="298">
        <f t="shared" si="13"/>
        <v>769</v>
      </c>
      <c r="C784" s="299"/>
      <c r="D784" s="300" t="str" cm="1">
        <f t="array" ref="D784">_xll.FDSB($C784,"FG_COMPANY_NAME")</f>
        <v/>
      </c>
      <c r="E784" s="300"/>
      <c r="F784" s="274" t="str" cm="1">
        <f t="array" ref="F784">_xll.FDSB($C784,"CS_EVENT_DATEJ_N("&amp;$AA$18&amp;",1)")</f>
        <v/>
      </c>
      <c r="G784" s="282" t="str" cm="1">
        <f t="array" ref="G784">_xll.FDSB($C784,"CS_EVENT_TIME_N("&amp;$AA$18&amp;",1)")</f>
        <v/>
      </c>
      <c r="H784" s="282" t="str" cm="1">
        <f t="array" ref="H784">_xll.FDSB($C784,"CS_EVENT_DESC_N("&amp;$AA$18&amp;",1)")</f>
        <v/>
      </c>
      <c r="I784" s="282"/>
      <c r="J784" s="274" t="str" cm="1">
        <f t="array" ref="J784">_xll.FDSB($C784,"CS_EVENT_DATEJ_N("&amp;$AB$18&amp;",1)")</f>
        <v/>
      </c>
      <c r="K784" s="282" t="str" cm="1">
        <f t="array" ref="K784">_xll.FDSB($C784,"CS_EVENT_TIME_N("&amp;$AB$18&amp;",1)")</f>
        <v/>
      </c>
      <c r="L784" s="282" t="str" cm="1">
        <f t="array" ref="L784">_xll.FDSB($C784,"CS_EVENT_DESC_N("&amp;$AB$18&amp;",1)")</f>
        <v/>
      </c>
      <c r="M784" s="300"/>
      <c r="N784" s="274" t="str" cm="1">
        <f t="array" ref="N784">_xll.FDSB($C784,"CS_EVENT_DATEJ_N("&amp;$AA$18&amp;",2)")</f>
        <v/>
      </c>
      <c r="O784" s="282" t="str" cm="1">
        <f t="array" ref="O784">_xll.FDSB($C784,"CS_EVENT_TIME_N("&amp;$AA$18&amp;",2)")</f>
        <v/>
      </c>
      <c r="P784" s="282" t="str" cm="1">
        <f t="array" ref="P784">_xll.FDSB($C784,"CS_EVENT_DESC_N("&amp;$AA$18&amp;",2)")</f>
        <v/>
      </c>
      <c r="Q784" s="282"/>
      <c r="R784" s="274" t="str" cm="1">
        <f t="array" ref="R784">_xll.FDSB($C784,"CS_EVENT_DATEJ_N("&amp;$AA$18&amp;",3)")</f>
        <v/>
      </c>
      <c r="S784" s="282" t="str" cm="1">
        <f t="array" ref="S784">_xll.FDSB($C784,"CS_EVENT_TIME_N("&amp;$AA$18&amp;",3)")</f>
        <v/>
      </c>
      <c r="T784" s="282" t="str" cm="1">
        <f t="array" ref="T784">_xll.FDSB($C784,"CS_EVENT_DESC_N("&amp;$AA$18&amp;",3)")</f>
        <v/>
      </c>
      <c r="U784" s="282"/>
      <c r="V784" s="274" t="str" cm="1">
        <f t="array" ref="V784">_xll.FDSB($C784,"CS_EVENT_DATEJ_N("&amp;$AA$18&amp;",4)")</f>
        <v/>
      </c>
      <c r="W784" s="282" t="str" cm="1">
        <f t="array" ref="W784">_xll.FDSB($C784,"CS_EVENT_TIME_N("&amp;$AA$18&amp;",4)")</f>
        <v/>
      </c>
      <c r="X784" s="282" t="str" cm="1">
        <f t="array" ref="X784">_xll.FDSB($C784,"CS_EVENT_DESC_N("&amp;$AA$18&amp;",4)")</f>
        <v/>
      </c>
    </row>
    <row r="785" spans="2:24" x14ac:dyDescent="0.15">
      <c r="B785" s="298">
        <f t="shared" si="13"/>
        <v>770</v>
      </c>
      <c r="C785" s="299"/>
      <c r="D785" s="300" t="str" cm="1">
        <f t="array" ref="D785">_xll.FDSB($C785,"FG_COMPANY_NAME")</f>
        <v/>
      </c>
      <c r="E785" s="300"/>
      <c r="F785" s="274" t="str" cm="1">
        <f t="array" ref="F785">_xll.FDSB($C785,"CS_EVENT_DATEJ_N("&amp;$AA$18&amp;",1)")</f>
        <v/>
      </c>
      <c r="G785" s="282" t="str" cm="1">
        <f t="array" ref="G785">_xll.FDSB($C785,"CS_EVENT_TIME_N("&amp;$AA$18&amp;",1)")</f>
        <v/>
      </c>
      <c r="H785" s="282" t="str" cm="1">
        <f t="array" ref="H785">_xll.FDSB($C785,"CS_EVENT_DESC_N("&amp;$AA$18&amp;",1)")</f>
        <v/>
      </c>
      <c r="I785" s="282"/>
      <c r="J785" s="274" t="str" cm="1">
        <f t="array" ref="J785">_xll.FDSB($C785,"CS_EVENT_DATEJ_N("&amp;$AB$18&amp;",1)")</f>
        <v/>
      </c>
      <c r="K785" s="282" t="str" cm="1">
        <f t="array" ref="K785">_xll.FDSB($C785,"CS_EVENT_TIME_N("&amp;$AB$18&amp;",1)")</f>
        <v/>
      </c>
      <c r="L785" s="282" t="str" cm="1">
        <f t="array" ref="L785">_xll.FDSB($C785,"CS_EVENT_DESC_N("&amp;$AB$18&amp;",1)")</f>
        <v/>
      </c>
      <c r="M785" s="300"/>
      <c r="N785" s="274" t="str" cm="1">
        <f t="array" ref="N785">_xll.FDSB($C785,"CS_EVENT_DATEJ_N("&amp;$AA$18&amp;",2)")</f>
        <v/>
      </c>
      <c r="O785" s="282" t="str" cm="1">
        <f t="array" ref="O785">_xll.FDSB($C785,"CS_EVENT_TIME_N("&amp;$AA$18&amp;",2)")</f>
        <v/>
      </c>
      <c r="P785" s="282" t="str" cm="1">
        <f t="array" ref="P785">_xll.FDSB($C785,"CS_EVENT_DESC_N("&amp;$AA$18&amp;",2)")</f>
        <v/>
      </c>
      <c r="Q785" s="282"/>
      <c r="R785" s="274" t="str" cm="1">
        <f t="array" ref="R785">_xll.FDSB($C785,"CS_EVENT_DATEJ_N("&amp;$AA$18&amp;",3)")</f>
        <v/>
      </c>
      <c r="S785" s="282" t="str" cm="1">
        <f t="array" ref="S785">_xll.FDSB($C785,"CS_EVENT_TIME_N("&amp;$AA$18&amp;",3)")</f>
        <v/>
      </c>
      <c r="T785" s="282" t="str" cm="1">
        <f t="array" ref="T785">_xll.FDSB($C785,"CS_EVENT_DESC_N("&amp;$AA$18&amp;",3)")</f>
        <v/>
      </c>
      <c r="U785" s="282"/>
      <c r="V785" s="274" t="str" cm="1">
        <f t="array" ref="V785">_xll.FDSB($C785,"CS_EVENT_DATEJ_N("&amp;$AA$18&amp;",4)")</f>
        <v/>
      </c>
      <c r="W785" s="282" t="str" cm="1">
        <f t="array" ref="W785">_xll.FDSB($C785,"CS_EVENT_TIME_N("&amp;$AA$18&amp;",4)")</f>
        <v/>
      </c>
      <c r="X785" s="282" t="str" cm="1">
        <f t="array" ref="X785">_xll.FDSB($C785,"CS_EVENT_DESC_N("&amp;$AA$18&amp;",4)")</f>
        <v/>
      </c>
    </row>
    <row r="786" spans="2:24" x14ac:dyDescent="0.15">
      <c r="B786" s="298">
        <f t="shared" ref="B786:B849" si="14">B785+1</f>
        <v>771</v>
      </c>
      <c r="C786" s="299"/>
      <c r="D786" s="300" t="str" cm="1">
        <f t="array" ref="D786">_xll.FDSB($C786,"FG_COMPANY_NAME")</f>
        <v/>
      </c>
      <c r="E786" s="300"/>
      <c r="F786" s="274" t="str" cm="1">
        <f t="array" ref="F786">_xll.FDSB($C786,"CS_EVENT_DATEJ_N("&amp;$AA$18&amp;",1)")</f>
        <v/>
      </c>
      <c r="G786" s="282" t="str" cm="1">
        <f t="array" ref="G786">_xll.FDSB($C786,"CS_EVENT_TIME_N("&amp;$AA$18&amp;",1)")</f>
        <v/>
      </c>
      <c r="H786" s="282" t="str" cm="1">
        <f t="array" ref="H786">_xll.FDSB($C786,"CS_EVENT_DESC_N("&amp;$AA$18&amp;",1)")</f>
        <v/>
      </c>
      <c r="I786" s="282"/>
      <c r="J786" s="274" t="str" cm="1">
        <f t="array" ref="J786">_xll.FDSB($C786,"CS_EVENT_DATEJ_N("&amp;$AB$18&amp;",1)")</f>
        <v/>
      </c>
      <c r="K786" s="282" t="str" cm="1">
        <f t="array" ref="K786">_xll.FDSB($C786,"CS_EVENT_TIME_N("&amp;$AB$18&amp;",1)")</f>
        <v/>
      </c>
      <c r="L786" s="282" t="str" cm="1">
        <f t="array" ref="L786">_xll.FDSB($C786,"CS_EVENT_DESC_N("&amp;$AB$18&amp;",1)")</f>
        <v/>
      </c>
      <c r="M786" s="300"/>
      <c r="N786" s="274" t="str" cm="1">
        <f t="array" ref="N786">_xll.FDSB($C786,"CS_EVENT_DATEJ_N("&amp;$AA$18&amp;",2)")</f>
        <v/>
      </c>
      <c r="O786" s="282" t="str" cm="1">
        <f t="array" ref="O786">_xll.FDSB($C786,"CS_EVENT_TIME_N("&amp;$AA$18&amp;",2)")</f>
        <v/>
      </c>
      <c r="P786" s="282" t="str" cm="1">
        <f t="array" ref="P786">_xll.FDSB($C786,"CS_EVENT_DESC_N("&amp;$AA$18&amp;",2)")</f>
        <v/>
      </c>
      <c r="Q786" s="282"/>
      <c r="R786" s="274" t="str" cm="1">
        <f t="array" ref="R786">_xll.FDSB($C786,"CS_EVENT_DATEJ_N("&amp;$AA$18&amp;",3)")</f>
        <v/>
      </c>
      <c r="S786" s="282" t="str" cm="1">
        <f t="array" ref="S786">_xll.FDSB($C786,"CS_EVENT_TIME_N("&amp;$AA$18&amp;",3)")</f>
        <v/>
      </c>
      <c r="T786" s="282" t="str" cm="1">
        <f t="array" ref="T786">_xll.FDSB($C786,"CS_EVENT_DESC_N("&amp;$AA$18&amp;",3)")</f>
        <v/>
      </c>
      <c r="U786" s="282"/>
      <c r="V786" s="274" t="str" cm="1">
        <f t="array" ref="V786">_xll.FDSB($C786,"CS_EVENT_DATEJ_N("&amp;$AA$18&amp;",4)")</f>
        <v/>
      </c>
      <c r="W786" s="282" t="str" cm="1">
        <f t="array" ref="W786">_xll.FDSB($C786,"CS_EVENT_TIME_N("&amp;$AA$18&amp;",4)")</f>
        <v/>
      </c>
      <c r="X786" s="282" t="str" cm="1">
        <f t="array" ref="X786">_xll.FDSB($C786,"CS_EVENT_DESC_N("&amp;$AA$18&amp;",4)")</f>
        <v/>
      </c>
    </row>
    <row r="787" spans="2:24" x14ac:dyDescent="0.15">
      <c r="B787" s="298">
        <f t="shared" si="14"/>
        <v>772</v>
      </c>
      <c r="C787" s="299"/>
      <c r="D787" s="300" t="str" cm="1">
        <f t="array" ref="D787">_xll.FDSB($C787,"FG_COMPANY_NAME")</f>
        <v/>
      </c>
      <c r="E787" s="300"/>
      <c r="F787" s="274" t="str" cm="1">
        <f t="array" ref="F787">_xll.FDSB($C787,"CS_EVENT_DATEJ_N("&amp;$AA$18&amp;",1)")</f>
        <v/>
      </c>
      <c r="G787" s="282" t="str" cm="1">
        <f t="array" ref="G787">_xll.FDSB($C787,"CS_EVENT_TIME_N("&amp;$AA$18&amp;",1)")</f>
        <v/>
      </c>
      <c r="H787" s="282" t="str" cm="1">
        <f t="array" ref="H787">_xll.FDSB($C787,"CS_EVENT_DESC_N("&amp;$AA$18&amp;",1)")</f>
        <v/>
      </c>
      <c r="I787" s="282"/>
      <c r="J787" s="274" t="str" cm="1">
        <f t="array" ref="J787">_xll.FDSB($C787,"CS_EVENT_DATEJ_N("&amp;$AB$18&amp;",1)")</f>
        <v/>
      </c>
      <c r="K787" s="282" t="str" cm="1">
        <f t="array" ref="K787">_xll.FDSB($C787,"CS_EVENT_TIME_N("&amp;$AB$18&amp;",1)")</f>
        <v/>
      </c>
      <c r="L787" s="282" t="str" cm="1">
        <f t="array" ref="L787">_xll.FDSB($C787,"CS_EVENT_DESC_N("&amp;$AB$18&amp;",1)")</f>
        <v/>
      </c>
      <c r="M787" s="300"/>
      <c r="N787" s="274" t="str" cm="1">
        <f t="array" ref="N787">_xll.FDSB($C787,"CS_EVENT_DATEJ_N("&amp;$AA$18&amp;",2)")</f>
        <v/>
      </c>
      <c r="O787" s="282" t="str" cm="1">
        <f t="array" ref="O787">_xll.FDSB($C787,"CS_EVENT_TIME_N("&amp;$AA$18&amp;",2)")</f>
        <v/>
      </c>
      <c r="P787" s="282" t="str" cm="1">
        <f t="array" ref="P787">_xll.FDSB($C787,"CS_EVENT_DESC_N("&amp;$AA$18&amp;",2)")</f>
        <v/>
      </c>
      <c r="Q787" s="282"/>
      <c r="R787" s="274" t="str" cm="1">
        <f t="array" ref="R787">_xll.FDSB($C787,"CS_EVENT_DATEJ_N("&amp;$AA$18&amp;",3)")</f>
        <v/>
      </c>
      <c r="S787" s="282" t="str" cm="1">
        <f t="array" ref="S787">_xll.FDSB($C787,"CS_EVENT_TIME_N("&amp;$AA$18&amp;",3)")</f>
        <v/>
      </c>
      <c r="T787" s="282" t="str" cm="1">
        <f t="array" ref="T787">_xll.FDSB($C787,"CS_EVENT_DESC_N("&amp;$AA$18&amp;",3)")</f>
        <v/>
      </c>
      <c r="U787" s="282"/>
      <c r="V787" s="274" t="str" cm="1">
        <f t="array" ref="V787">_xll.FDSB($C787,"CS_EVENT_DATEJ_N("&amp;$AA$18&amp;",4)")</f>
        <v/>
      </c>
      <c r="W787" s="282" t="str" cm="1">
        <f t="array" ref="W787">_xll.FDSB($C787,"CS_EVENT_TIME_N("&amp;$AA$18&amp;",4)")</f>
        <v/>
      </c>
      <c r="X787" s="282" t="str" cm="1">
        <f t="array" ref="X787">_xll.FDSB($C787,"CS_EVENT_DESC_N("&amp;$AA$18&amp;",4)")</f>
        <v/>
      </c>
    </row>
    <row r="788" spans="2:24" x14ac:dyDescent="0.15">
      <c r="B788" s="298">
        <f t="shared" si="14"/>
        <v>773</v>
      </c>
      <c r="C788" s="299"/>
      <c r="D788" s="300" t="str" cm="1">
        <f t="array" ref="D788">_xll.FDSB($C788,"FG_COMPANY_NAME")</f>
        <v/>
      </c>
      <c r="E788" s="300"/>
      <c r="F788" s="274" t="str" cm="1">
        <f t="array" ref="F788">_xll.FDSB($C788,"CS_EVENT_DATEJ_N("&amp;$AA$18&amp;",1)")</f>
        <v/>
      </c>
      <c r="G788" s="282" t="str" cm="1">
        <f t="array" ref="G788">_xll.FDSB($C788,"CS_EVENT_TIME_N("&amp;$AA$18&amp;",1)")</f>
        <v/>
      </c>
      <c r="H788" s="282" t="str" cm="1">
        <f t="array" ref="H788">_xll.FDSB($C788,"CS_EVENT_DESC_N("&amp;$AA$18&amp;",1)")</f>
        <v/>
      </c>
      <c r="I788" s="282"/>
      <c r="J788" s="274" t="str" cm="1">
        <f t="array" ref="J788">_xll.FDSB($C788,"CS_EVENT_DATEJ_N("&amp;$AB$18&amp;",1)")</f>
        <v/>
      </c>
      <c r="K788" s="282" t="str" cm="1">
        <f t="array" ref="K788">_xll.FDSB($C788,"CS_EVENT_TIME_N("&amp;$AB$18&amp;",1)")</f>
        <v/>
      </c>
      <c r="L788" s="282" t="str" cm="1">
        <f t="array" ref="L788">_xll.FDSB($C788,"CS_EVENT_DESC_N("&amp;$AB$18&amp;",1)")</f>
        <v/>
      </c>
      <c r="M788" s="300"/>
      <c r="N788" s="274" t="str" cm="1">
        <f t="array" ref="N788">_xll.FDSB($C788,"CS_EVENT_DATEJ_N("&amp;$AA$18&amp;",2)")</f>
        <v/>
      </c>
      <c r="O788" s="282" t="str" cm="1">
        <f t="array" ref="O788">_xll.FDSB($C788,"CS_EVENT_TIME_N("&amp;$AA$18&amp;",2)")</f>
        <v/>
      </c>
      <c r="P788" s="282" t="str" cm="1">
        <f t="array" ref="P788">_xll.FDSB($C788,"CS_EVENT_DESC_N("&amp;$AA$18&amp;",2)")</f>
        <v/>
      </c>
      <c r="Q788" s="282"/>
      <c r="R788" s="274" t="str" cm="1">
        <f t="array" ref="R788">_xll.FDSB($C788,"CS_EVENT_DATEJ_N("&amp;$AA$18&amp;",3)")</f>
        <v/>
      </c>
      <c r="S788" s="282" t="str" cm="1">
        <f t="array" ref="S788">_xll.FDSB($C788,"CS_EVENT_TIME_N("&amp;$AA$18&amp;",3)")</f>
        <v/>
      </c>
      <c r="T788" s="282" t="str" cm="1">
        <f t="array" ref="T788">_xll.FDSB($C788,"CS_EVENT_DESC_N("&amp;$AA$18&amp;",3)")</f>
        <v/>
      </c>
      <c r="U788" s="282"/>
      <c r="V788" s="274" t="str" cm="1">
        <f t="array" ref="V788">_xll.FDSB($C788,"CS_EVENT_DATEJ_N("&amp;$AA$18&amp;",4)")</f>
        <v/>
      </c>
      <c r="W788" s="282" t="str" cm="1">
        <f t="array" ref="W788">_xll.FDSB($C788,"CS_EVENT_TIME_N("&amp;$AA$18&amp;",4)")</f>
        <v/>
      </c>
      <c r="X788" s="282" t="str" cm="1">
        <f t="array" ref="X788">_xll.FDSB($C788,"CS_EVENT_DESC_N("&amp;$AA$18&amp;",4)")</f>
        <v/>
      </c>
    </row>
    <row r="789" spans="2:24" x14ac:dyDescent="0.15">
      <c r="B789" s="298">
        <f t="shared" si="14"/>
        <v>774</v>
      </c>
      <c r="C789" s="299"/>
      <c r="D789" s="300" t="str" cm="1">
        <f t="array" ref="D789">_xll.FDSB($C789,"FG_COMPANY_NAME")</f>
        <v/>
      </c>
      <c r="E789" s="300"/>
      <c r="F789" s="274" t="str" cm="1">
        <f t="array" ref="F789">_xll.FDSB($C789,"CS_EVENT_DATEJ_N("&amp;$AA$18&amp;",1)")</f>
        <v/>
      </c>
      <c r="G789" s="282" t="str" cm="1">
        <f t="array" ref="G789">_xll.FDSB($C789,"CS_EVENT_TIME_N("&amp;$AA$18&amp;",1)")</f>
        <v/>
      </c>
      <c r="H789" s="282" t="str" cm="1">
        <f t="array" ref="H789">_xll.FDSB($C789,"CS_EVENT_DESC_N("&amp;$AA$18&amp;",1)")</f>
        <v/>
      </c>
      <c r="I789" s="282"/>
      <c r="J789" s="274" t="str" cm="1">
        <f t="array" ref="J789">_xll.FDSB($C789,"CS_EVENT_DATEJ_N("&amp;$AB$18&amp;",1)")</f>
        <v/>
      </c>
      <c r="K789" s="282" t="str" cm="1">
        <f t="array" ref="K789">_xll.FDSB($C789,"CS_EVENT_TIME_N("&amp;$AB$18&amp;",1)")</f>
        <v/>
      </c>
      <c r="L789" s="282" t="str" cm="1">
        <f t="array" ref="L789">_xll.FDSB($C789,"CS_EVENT_DESC_N("&amp;$AB$18&amp;",1)")</f>
        <v/>
      </c>
      <c r="M789" s="300"/>
      <c r="N789" s="274" t="str" cm="1">
        <f t="array" ref="N789">_xll.FDSB($C789,"CS_EVENT_DATEJ_N("&amp;$AA$18&amp;",2)")</f>
        <v/>
      </c>
      <c r="O789" s="282" t="str" cm="1">
        <f t="array" ref="O789">_xll.FDSB($C789,"CS_EVENT_TIME_N("&amp;$AA$18&amp;",2)")</f>
        <v/>
      </c>
      <c r="P789" s="282" t="str" cm="1">
        <f t="array" ref="P789">_xll.FDSB($C789,"CS_EVENT_DESC_N("&amp;$AA$18&amp;",2)")</f>
        <v/>
      </c>
      <c r="Q789" s="282"/>
      <c r="R789" s="274" t="str" cm="1">
        <f t="array" ref="R789">_xll.FDSB($C789,"CS_EVENT_DATEJ_N("&amp;$AA$18&amp;",3)")</f>
        <v/>
      </c>
      <c r="S789" s="282" t="str" cm="1">
        <f t="array" ref="S789">_xll.FDSB($C789,"CS_EVENT_TIME_N("&amp;$AA$18&amp;",3)")</f>
        <v/>
      </c>
      <c r="T789" s="282" t="str" cm="1">
        <f t="array" ref="T789">_xll.FDSB($C789,"CS_EVENT_DESC_N("&amp;$AA$18&amp;",3)")</f>
        <v/>
      </c>
      <c r="U789" s="282"/>
      <c r="V789" s="274" t="str" cm="1">
        <f t="array" ref="V789">_xll.FDSB($C789,"CS_EVENT_DATEJ_N("&amp;$AA$18&amp;",4)")</f>
        <v/>
      </c>
      <c r="W789" s="282" t="str" cm="1">
        <f t="array" ref="W789">_xll.FDSB($C789,"CS_EVENT_TIME_N("&amp;$AA$18&amp;",4)")</f>
        <v/>
      </c>
      <c r="X789" s="282" t="str" cm="1">
        <f t="array" ref="X789">_xll.FDSB($C789,"CS_EVENT_DESC_N("&amp;$AA$18&amp;",4)")</f>
        <v/>
      </c>
    </row>
    <row r="790" spans="2:24" x14ac:dyDescent="0.15">
      <c r="B790" s="298">
        <f t="shared" si="14"/>
        <v>775</v>
      </c>
      <c r="C790" s="299"/>
      <c r="D790" s="300" t="str" cm="1">
        <f t="array" ref="D790">_xll.FDSB($C790,"FG_COMPANY_NAME")</f>
        <v/>
      </c>
      <c r="E790" s="300"/>
      <c r="F790" s="274" t="str" cm="1">
        <f t="array" ref="F790">_xll.FDSB($C790,"CS_EVENT_DATEJ_N("&amp;$AA$18&amp;",1)")</f>
        <v/>
      </c>
      <c r="G790" s="282" t="str" cm="1">
        <f t="array" ref="G790">_xll.FDSB($C790,"CS_EVENT_TIME_N("&amp;$AA$18&amp;",1)")</f>
        <v/>
      </c>
      <c r="H790" s="282" t="str" cm="1">
        <f t="array" ref="H790">_xll.FDSB($C790,"CS_EVENT_DESC_N("&amp;$AA$18&amp;",1)")</f>
        <v/>
      </c>
      <c r="I790" s="282"/>
      <c r="J790" s="274" t="str" cm="1">
        <f t="array" ref="J790">_xll.FDSB($C790,"CS_EVENT_DATEJ_N("&amp;$AB$18&amp;",1)")</f>
        <v/>
      </c>
      <c r="K790" s="282" t="str" cm="1">
        <f t="array" ref="K790">_xll.FDSB($C790,"CS_EVENT_TIME_N("&amp;$AB$18&amp;",1)")</f>
        <v/>
      </c>
      <c r="L790" s="282" t="str" cm="1">
        <f t="array" ref="L790">_xll.FDSB($C790,"CS_EVENT_DESC_N("&amp;$AB$18&amp;",1)")</f>
        <v/>
      </c>
      <c r="M790" s="300"/>
      <c r="N790" s="274" t="str" cm="1">
        <f t="array" ref="N790">_xll.FDSB($C790,"CS_EVENT_DATEJ_N("&amp;$AA$18&amp;",2)")</f>
        <v/>
      </c>
      <c r="O790" s="282" t="str" cm="1">
        <f t="array" ref="O790">_xll.FDSB($C790,"CS_EVENT_TIME_N("&amp;$AA$18&amp;",2)")</f>
        <v/>
      </c>
      <c r="P790" s="282" t="str" cm="1">
        <f t="array" ref="P790">_xll.FDSB($C790,"CS_EVENT_DESC_N("&amp;$AA$18&amp;",2)")</f>
        <v/>
      </c>
      <c r="Q790" s="282"/>
      <c r="R790" s="274" t="str" cm="1">
        <f t="array" ref="R790">_xll.FDSB($C790,"CS_EVENT_DATEJ_N("&amp;$AA$18&amp;",3)")</f>
        <v/>
      </c>
      <c r="S790" s="282" t="str" cm="1">
        <f t="array" ref="S790">_xll.FDSB($C790,"CS_EVENT_TIME_N("&amp;$AA$18&amp;",3)")</f>
        <v/>
      </c>
      <c r="T790" s="282" t="str" cm="1">
        <f t="array" ref="T790">_xll.FDSB($C790,"CS_EVENT_DESC_N("&amp;$AA$18&amp;",3)")</f>
        <v/>
      </c>
      <c r="U790" s="282"/>
      <c r="V790" s="274" t="str" cm="1">
        <f t="array" ref="V790">_xll.FDSB($C790,"CS_EVENT_DATEJ_N("&amp;$AA$18&amp;",4)")</f>
        <v/>
      </c>
      <c r="W790" s="282" t="str" cm="1">
        <f t="array" ref="W790">_xll.FDSB($C790,"CS_EVENT_TIME_N("&amp;$AA$18&amp;",4)")</f>
        <v/>
      </c>
      <c r="X790" s="282" t="str" cm="1">
        <f t="array" ref="X790">_xll.FDSB($C790,"CS_EVENT_DESC_N("&amp;$AA$18&amp;",4)")</f>
        <v/>
      </c>
    </row>
    <row r="791" spans="2:24" x14ac:dyDescent="0.15">
      <c r="B791" s="298">
        <f t="shared" si="14"/>
        <v>776</v>
      </c>
      <c r="C791" s="299"/>
      <c r="D791" s="300" t="str" cm="1">
        <f t="array" ref="D791">_xll.FDSB($C791,"FG_COMPANY_NAME")</f>
        <v/>
      </c>
      <c r="E791" s="300"/>
      <c r="F791" s="274" t="str" cm="1">
        <f t="array" ref="F791">_xll.FDSB($C791,"CS_EVENT_DATEJ_N("&amp;$AA$18&amp;",1)")</f>
        <v/>
      </c>
      <c r="G791" s="282" t="str" cm="1">
        <f t="array" ref="G791">_xll.FDSB($C791,"CS_EVENT_TIME_N("&amp;$AA$18&amp;",1)")</f>
        <v/>
      </c>
      <c r="H791" s="282" t="str" cm="1">
        <f t="array" ref="H791">_xll.FDSB($C791,"CS_EVENT_DESC_N("&amp;$AA$18&amp;",1)")</f>
        <v/>
      </c>
      <c r="I791" s="282"/>
      <c r="J791" s="274" t="str" cm="1">
        <f t="array" ref="J791">_xll.FDSB($C791,"CS_EVENT_DATEJ_N("&amp;$AB$18&amp;",1)")</f>
        <v/>
      </c>
      <c r="K791" s="282" t="str" cm="1">
        <f t="array" ref="K791">_xll.FDSB($C791,"CS_EVENT_TIME_N("&amp;$AB$18&amp;",1)")</f>
        <v/>
      </c>
      <c r="L791" s="282" t="str" cm="1">
        <f t="array" ref="L791">_xll.FDSB($C791,"CS_EVENT_DESC_N("&amp;$AB$18&amp;",1)")</f>
        <v/>
      </c>
      <c r="M791" s="300"/>
      <c r="N791" s="274" t="str" cm="1">
        <f t="array" ref="N791">_xll.FDSB($C791,"CS_EVENT_DATEJ_N("&amp;$AA$18&amp;",2)")</f>
        <v/>
      </c>
      <c r="O791" s="282" t="str" cm="1">
        <f t="array" ref="O791">_xll.FDSB($C791,"CS_EVENT_TIME_N("&amp;$AA$18&amp;",2)")</f>
        <v/>
      </c>
      <c r="P791" s="282" t="str" cm="1">
        <f t="array" ref="P791">_xll.FDSB($C791,"CS_EVENT_DESC_N("&amp;$AA$18&amp;",2)")</f>
        <v/>
      </c>
      <c r="Q791" s="282"/>
      <c r="R791" s="274" t="str" cm="1">
        <f t="array" ref="R791">_xll.FDSB($C791,"CS_EVENT_DATEJ_N("&amp;$AA$18&amp;",3)")</f>
        <v/>
      </c>
      <c r="S791" s="282" t="str" cm="1">
        <f t="array" ref="S791">_xll.FDSB($C791,"CS_EVENT_TIME_N("&amp;$AA$18&amp;",3)")</f>
        <v/>
      </c>
      <c r="T791" s="282" t="str" cm="1">
        <f t="array" ref="T791">_xll.FDSB($C791,"CS_EVENT_DESC_N("&amp;$AA$18&amp;",3)")</f>
        <v/>
      </c>
      <c r="U791" s="282"/>
      <c r="V791" s="274" t="str" cm="1">
        <f t="array" ref="V791">_xll.FDSB($C791,"CS_EVENT_DATEJ_N("&amp;$AA$18&amp;",4)")</f>
        <v/>
      </c>
      <c r="W791" s="282" t="str" cm="1">
        <f t="array" ref="W791">_xll.FDSB($C791,"CS_EVENT_TIME_N("&amp;$AA$18&amp;",4)")</f>
        <v/>
      </c>
      <c r="X791" s="282" t="str" cm="1">
        <f t="array" ref="X791">_xll.FDSB($C791,"CS_EVENT_DESC_N("&amp;$AA$18&amp;",4)")</f>
        <v/>
      </c>
    </row>
    <row r="792" spans="2:24" x14ac:dyDescent="0.15">
      <c r="B792" s="298">
        <f t="shared" si="14"/>
        <v>777</v>
      </c>
      <c r="C792" s="299"/>
      <c r="D792" s="300" t="str" cm="1">
        <f t="array" ref="D792">_xll.FDSB($C792,"FG_COMPANY_NAME")</f>
        <v/>
      </c>
      <c r="E792" s="300"/>
      <c r="F792" s="274" t="str" cm="1">
        <f t="array" ref="F792">_xll.FDSB($C792,"CS_EVENT_DATEJ_N("&amp;$AA$18&amp;",1)")</f>
        <v/>
      </c>
      <c r="G792" s="282" t="str" cm="1">
        <f t="array" ref="G792">_xll.FDSB($C792,"CS_EVENT_TIME_N("&amp;$AA$18&amp;",1)")</f>
        <v/>
      </c>
      <c r="H792" s="282" t="str" cm="1">
        <f t="array" ref="H792">_xll.FDSB($C792,"CS_EVENT_DESC_N("&amp;$AA$18&amp;",1)")</f>
        <v/>
      </c>
      <c r="I792" s="282"/>
      <c r="J792" s="274" t="str" cm="1">
        <f t="array" ref="J792">_xll.FDSB($C792,"CS_EVENT_DATEJ_N("&amp;$AB$18&amp;",1)")</f>
        <v/>
      </c>
      <c r="K792" s="282" t="str" cm="1">
        <f t="array" ref="K792">_xll.FDSB($C792,"CS_EVENT_TIME_N("&amp;$AB$18&amp;",1)")</f>
        <v/>
      </c>
      <c r="L792" s="282" t="str" cm="1">
        <f t="array" ref="L792">_xll.FDSB($C792,"CS_EVENT_DESC_N("&amp;$AB$18&amp;",1)")</f>
        <v/>
      </c>
      <c r="M792" s="300"/>
      <c r="N792" s="274" t="str" cm="1">
        <f t="array" ref="N792">_xll.FDSB($C792,"CS_EVENT_DATEJ_N("&amp;$AA$18&amp;",2)")</f>
        <v/>
      </c>
      <c r="O792" s="282" t="str" cm="1">
        <f t="array" ref="O792">_xll.FDSB($C792,"CS_EVENT_TIME_N("&amp;$AA$18&amp;",2)")</f>
        <v/>
      </c>
      <c r="P792" s="282" t="str" cm="1">
        <f t="array" ref="P792">_xll.FDSB($C792,"CS_EVENT_DESC_N("&amp;$AA$18&amp;",2)")</f>
        <v/>
      </c>
      <c r="Q792" s="282"/>
      <c r="R792" s="274" t="str" cm="1">
        <f t="array" ref="R792">_xll.FDSB($C792,"CS_EVENT_DATEJ_N("&amp;$AA$18&amp;",3)")</f>
        <v/>
      </c>
      <c r="S792" s="282" t="str" cm="1">
        <f t="array" ref="S792">_xll.FDSB($C792,"CS_EVENT_TIME_N("&amp;$AA$18&amp;",3)")</f>
        <v/>
      </c>
      <c r="T792" s="282" t="str" cm="1">
        <f t="array" ref="T792">_xll.FDSB($C792,"CS_EVENT_DESC_N("&amp;$AA$18&amp;",3)")</f>
        <v/>
      </c>
      <c r="U792" s="282"/>
      <c r="V792" s="274" t="str" cm="1">
        <f t="array" ref="V792">_xll.FDSB($C792,"CS_EVENT_DATEJ_N("&amp;$AA$18&amp;",4)")</f>
        <v/>
      </c>
      <c r="W792" s="282" t="str" cm="1">
        <f t="array" ref="W792">_xll.FDSB($C792,"CS_EVENT_TIME_N("&amp;$AA$18&amp;",4)")</f>
        <v/>
      </c>
      <c r="X792" s="282" t="str" cm="1">
        <f t="array" ref="X792">_xll.FDSB($C792,"CS_EVENT_DESC_N("&amp;$AA$18&amp;",4)")</f>
        <v/>
      </c>
    </row>
    <row r="793" spans="2:24" x14ac:dyDescent="0.15">
      <c r="B793" s="298">
        <f t="shared" si="14"/>
        <v>778</v>
      </c>
      <c r="C793" s="299"/>
      <c r="D793" s="300" t="str" cm="1">
        <f t="array" ref="D793">_xll.FDSB($C793,"FG_COMPANY_NAME")</f>
        <v/>
      </c>
      <c r="E793" s="300"/>
      <c r="F793" s="274" t="str" cm="1">
        <f t="array" ref="F793">_xll.FDSB($C793,"CS_EVENT_DATEJ_N("&amp;$AA$18&amp;",1)")</f>
        <v/>
      </c>
      <c r="G793" s="282" t="str" cm="1">
        <f t="array" ref="G793">_xll.FDSB($C793,"CS_EVENT_TIME_N("&amp;$AA$18&amp;",1)")</f>
        <v/>
      </c>
      <c r="H793" s="282" t="str" cm="1">
        <f t="array" ref="H793">_xll.FDSB($C793,"CS_EVENT_DESC_N("&amp;$AA$18&amp;",1)")</f>
        <v/>
      </c>
      <c r="I793" s="282"/>
      <c r="J793" s="274" t="str" cm="1">
        <f t="array" ref="J793">_xll.FDSB($C793,"CS_EVENT_DATEJ_N("&amp;$AB$18&amp;",1)")</f>
        <v/>
      </c>
      <c r="K793" s="282" t="str" cm="1">
        <f t="array" ref="K793">_xll.FDSB($C793,"CS_EVENT_TIME_N("&amp;$AB$18&amp;",1)")</f>
        <v/>
      </c>
      <c r="L793" s="282" t="str" cm="1">
        <f t="array" ref="L793">_xll.FDSB($C793,"CS_EVENT_DESC_N("&amp;$AB$18&amp;",1)")</f>
        <v/>
      </c>
      <c r="M793" s="300"/>
      <c r="N793" s="274" t="str" cm="1">
        <f t="array" ref="N793">_xll.FDSB($C793,"CS_EVENT_DATEJ_N("&amp;$AA$18&amp;",2)")</f>
        <v/>
      </c>
      <c r="O793" s="282" t="str" cm="1">
        <f t="array" ref="O793">_xll.FDSB($C793,"CS_EVENT_TIME_N("&amp;$AA$18&amp;",2)")</f>
        <v/>
      </c>
      <c r="P793" s="282" t="str" cm="1">
        <f t="array" ref="P793">_xll.FDSB($C793,"CS_EVENT_DESC_N("&amp;$AA$18&amp;",2)")</f>
        <v/>
      </c>
      <c r="Q793" s="282"/>
      <c r="R793" s="274" t="str" cm="1">
        <f t="array" ref="R793">_xll.FDSB($C793,"CS_EVENT_DATEJ_N("&amp;$AA$18&amp;",3)")</f>
        <v/>
      </c>
      <c r="S793" s="282" t="str" cm="1">
        <f t="array" ref="S793">_xll.FDSB($C793,"CS_EVENT_TIME_N("&amp;$AA$18&amp;",3)")</f>
        <v/>
      </c>
      <c r="T793" s="282" t="str" cm="1">
        <f t="array" ref="T793">_xll.FDSB($C793,"CS_EVENT_DESC_N("&amp;$AA$18&amp;",3)")</f>
        <v/>
      </c>
      <c r="U793" s="282"/>
      <c r="V793" s="274" t="str" cm="1">
        <f t="array" ref="V793">_xll.FDSB($C793,"CS_EVENT_DATEJ_N("&amp;$AA$18&amp;",4)")</f>
        <v/>
      </c>
      <c r="W793" s="282" t="str" cm="1">
        <f t="array" ref="W793">_xll.FDSB($C793,"CS_EVENT_TIME_N("&amp;$AA$18&amp;",4)")</f>
        <v/>
      </c>
      <c r="X793" s="282" t="str" cm="1">
        <f t="array" ref="X793">_xll.FDSB($C793,"CS_EVENT_DESC_N("&amp;$AA$18&amp;",4)")</f>
        <v/>
      </c>
    </row>
    <row r="794" spans="2:24" x14ac:dyDescent="0.15">
      <c r="B794" s="298">
        <f t="shared" si="14"/>
        <v>779</v>
      </c>
      <c r="C794" s="299"/>
      <c r="D794" s="300" t="str" cm="1">
        <f t="array" ref="D794">_xll.FDSB($C794,"FG_COMPANY_NAME")</f>
        <v/>
      </c>
      <c r="E794" s="300"/>
      <c r="F794" s="274" t="str" cm="1">
        <f t="array" ref="F794">_xll.FDSB($C794,"CS_EVENT_DATEJ_N("&amp;$AA$18&amp;",1)")</f>
        <v/>
      </c>
      <c r="G794" s="282" t="str" cm="1">
        <f t="array" ref="G794">_xll.FDSB($C794,"CS_EVENT_TIME_N("&amp;$AA$18&amp;",1)")</f>
        <v/>
      </c>
      <c r="H794" s="282" t="str" cm="1">
        <f t="array" ref="H794">_xll.FDSB($C794,"CS_EVENT_DESC_N("&amp;$AA$18&amp;",1)")</f>
        <v/>
      </c>
      <c r="I794" s="282"/>
      <c r="J794" s="274" t="str" cm="1">
        <f t="array" ref="J794">_xll.FDSB($C794,"CS_EVENT_DATEJ_N("&amp;$AB$18&amp;",1)")</f>
        <v/>
      </c>
      <c r="K794" s="282" t="str" cm="1">
        <f t="array" ref="K794">_xll.FDSB($C794,"CS_EVENT_TIME_N("&amp;$AB$18&amp;",1)")</f>
        <v/>
      </c>
      <c r="L794" s="282" t="str" cm="1">
        <f t="array" ref="L794">_xll.FDSB($C794,"CS_EVENT_DESC_N("&amp;$AB$18&amp;",1)")</f>
        <v/>
      </c>
      <c r="M794" s="300"/>
      <c r="N794" s="274" t="str" cm="1">
        <f t="array" ref="N794">_xll.FDSB($C794,"CS_EVENT_DATEJ_N("&amp;$AA$18&amp;",2)")</f>
        <v/>
      </c>
      <c r="O794" s="282" t="str" cm="1">
        <f t="array" ref="O794">_xll.FDSB($C794,"CS_EVENT_TIME_N("&amp;$AA$18&amp;",2)")</f>
        <v/>
      </c>
      <c r="P794" s="282" t="str" cm="1">
        <f t="array" ref="P794">_xll.FDSB($C794,"CS_EVENT_DESC_N("&amp;$AA$18&amp;",2)")</f>
        <v/>
      </c>
      <c r="Q794" s="282"/>
      <c r="R794" s="274" t="str" cm="1">
        <f t="array" ref="R794">_xll.FDSB($C794,"CS_EVENT_DATEJ_N("&amp;$AA$18&amp;",3)")</f>
        <v/>
      </c>
      <c r="S794" s="282" t="str" cm="1">
        <f t="array" ref="S794">_xll.FDSB($C794,"CS_EVENT_TIME_N("&amp;$AA$18&amp;",3)")</f>
        <v/>
      </c>
      <c r="T794" s="282" t="str" cm="1">
        <f t="array" ref="T794">_xll.FDSB($C794,"CS_EVENT_DESC_N("&amp;$AA$18&amp;",3)")</f>
        <v/>
      </c>
      <c r="U794" s="282"/>
      <c r="V794" s="274" t="str" cm="1">
        <f t="array" ref="V794">_xll.FDSB($C794,"CS_EVENT_DATEJ_N("&amp;$AA$18&amp;",4)")</f>
        <v/>
      </c>
      <c r="W794" s="282" t="str" cm="1">
        <f t="array" ref="W794">_xll.FDSB($C794,"CS_EVENT_TIME_N("&amp;$AA$18&amp;",4)")</f>
        <v/>
      </c>
      <c r="X794" s="282" t="str" cm="1">
        <f t="array" ref="X794">_xll.FDSB($C794,"CS_EVENT_DESC_N("&amp;$AA$18&amp;",4)")</f>
        <v/>
      </c>
    </row>
    <row r="795" spans="2:24" x14ac:dyDescent="0.15">
      <c r="B795" s="298">
        <f t="shared" si="14"/>
        <v>780</v>
      </c>
      <c r="C795" s="299"/>
      <c r="D795" s="300" t="str" cm="1">
        <f t="array" ref="D795">_xll.FDSB($C795,"FG_COMPANY_NAME")</f>
        <v/>
      </c>
      <c r="E795" s="300"/>
      <c r="F795" s="274" t="str" cm="1">
        <f t="array" ref="F795">_xll.FDSB($C795,"CS_EVENT_DATEJ_N("&amp;$AA$18&amp;",1)")</f>
        <v/>
      </c>
      <c r="G795" s="282" t="str" cm="1">
        <f t="array" ref="G795">_xll.FDSB($C795,"CS_EVENT_TIME_N("&amp;$AA$18&amp;",1)")</f>
        <v/>
      </c>
      <c r="H795" s="282" t="str" cm="1">
        <f t="array" ref="H795">_xll.FDSB($C795,"CS_EVENT_DESC_N("&amp;$AA$18&amp;",1)")</f>
        <v/>
      </c>
      <c r="I795" s="282"/>
      <c r="J795" s="274" t="str" cm="1">
        <f t="array" ref="J795">_xll.FDSB($C795,"CS_EVENT_DATEJ_N("&amp;$AB$18&amp;",1)")</f>
        <v/>
      </c>
      <c r="K795" s="282" t="str" cm="1">
        <f t="array" ref="K795">_xll.FDSB($C795,"CS_EVENT_TIME_N("&amp;$AB$18&amp;",1)")</f>
        <v/>
      </c>
      <c r="L795" s="282" t="str" cm="1">
        <f t="array" ref="L795">_xll.FDSB($C795,"CS_EVENT_DESC_N("&amp;$AB$18&amp;",1)")</f>
        <v/>
      </c>
      <c r="M795" s="300"/>
      <c r="N795" s="274" t="str" cm="1">
        <f t="array" ref="N795">_xll.FDSB($C795,"CS_EVENT_DATEJ_N("&amp;$AA$18&amp;",2)")</f>
        <v/>
      </c>
      <c r="O795" s="282" t="str" cm="1">
        <f t="array" ref="O795">_xll.FDSB($C795,"CS_EVENT_TIME_N("&amp;$AA$18&amp;",2)")</f>
        <v/>
      </c>
      <c r="P795" s="282" t="str" cm="1">
        <f t="array" ref="P795">_xll.FDSB($C795,"CS_EVENT_DESC_N("&amp;$AA$18&amp;",2)")</f>
        <v/>
      </c>
      <c r="Q795" s="282"/>
      <c r="R795" s="274" t="str" cm="1">
        <f t="array" ref="R795">_xll.FDSB($C795,"CS_EVENT_DATEJ_N("&amp;$AA$18&amp;",3)")</f>
        <v/>
      </c>
      <c r="S795" s="282" t="str" cm="1">
        <f t="array" ref="S795">_xll.FDSB($C795,"CS_EVENT_TIME_N("&amp;$AA$18&amp;",3)")</f>
        <v/>
      </c>
      <c r="T795" s="282" t="str" cm="1">
        <f t="array" ref="T795">_xll.FDSB($C795,"CS_EVENT_DESC_N("&amp;$AA$18&amp;",3)")</f>
        <v/>
      </c>
      <c r="U795" s="282"/>
      <c r="V795" s="274" t="str" cm="1">
        <f t="array" ref="V795">_xll.FDSB($C795,"CS_EVENT_DATEJ_N("&amp;$AA$18&amp;",4)")</f>
        <v/>
      </c>
      <c r="W795" s="282" t="str" cm="1">
        <f t="array" ref="W795">_xll.FDSB($C795,"CS_EVENT_TIME_N("&amp;$AA$18&amp;",4)")</f>
        <v/>
      </c>
      <c r="X795" s="282" t="str" cm="1">
        <f t="array" ref="X795">_xll.FDSB($C795,"CS_EVENT_DESC_N("&amp;$AA$18&amp;",4)")</f>
        <v/>
      </c>
    </row>
    <row r="796" spans="2:24" x14ac:dyDescent="0.15">
      <c r="B796" s="298">
        <f t="shared" si="14"/>
        <v>781</v>
      </c>
      <c r="C796" s="299"/>
      <c r="D796" s="300" t="str" cm="1">
        <f t="array" ref="D796">_xll.FDSB($C796,"FG_COMPANY_NAME")</f>
        <v/>
      </c>
      <c r="E796" s="300"/>
      <c r="F796" s="274" t="str" cm="1">
        <f t="array" ref="F796">_xll.FDSB($C796,"CS_EVENT_DATEJ_N("&amp;$AA$18&amp;",1)")</f>
        <v/>
      </c>
      <c r="G796" s="282" t="str" cm="1">
        <f t="array" ref="G796">_xll.FDSB($C796,"CS_EVENT_TIME_N("&amp;$AA$18&amp;",1)")</f>
        <v/>
      </c>
      <c r="H796" s="282" t="str" cm="1">
        <f t="array" ref="H796">_xll.FDSB($C796,"CS_EVENT_DESC_N("&amp;$AA$18&amp;",1)")</f>
        <v/>
      </c>
      <c r="I796" s="282"/>
      <c r="J796" s="274" t="str" cm="1">
        <f t="array" ref="J796">_xll.FDSB($C796,"CS_EVENT_DATEJ_N("&amp;$AB$18&amp;",1)")</f>
        <v/>
      </c>
      <c r="K796" s="282" t="str" cm="1">
        <f t="array" ref="K796">_xll.FDSB($C796,"CS_EVENT_TIME_N("&amp;$AB$18&amp;",1)")</f>
        <v/>
      </c>
      <c r="L796" s="282" t="str" cm="1">
        <f t="array" ref="L796">_xll.FDSB($C796,"CS_EVENT_DESC_N("&amp;$AB$18&amp;",1)")</f>
        <v/>
      </c>
      <c r="M796" s="300"/>
      <c r="N796" s="274" t="str" cm="1">
        <f t="array" ref="N796">_xll.FDSB($C796,"CS_EVENT_DATEJ_N("&amp;$AA$18&amp;",2)")</f>
        <v/>
      </c>
      <c r="O796" s="282" t="str" cm="1">
        <f t="array" ref="O796">_xll.FDSB($C796,"CS_EVENT_TIME_N("&amp;$AA$18&amp;",2)")</f>
        <v/>
      </c>
      <c r="P796" s="282" t="str" cm="1">
        <f t="array" ref="P796">_xll.FDSB($C796,"CS_EVENT_DESC_N("&amp;$AA$18&amp;",2)")</f>
        <v/>
      </c>
      <c r="Q796" s="282"/>
      <c r="R796" s="274" t="str" cm="1">
        <f t="array" ref="R796">_xll.FDSB($C796,"CS_EVENT_DATEJ_N("&amp;$AA$18&amp;",3)")</f>
        <v/>
      </c>
      <c r="S796" s="282" t="str" cm="1">
        <f t="array" ref="S796">_xll.FDSB($C796,"CS_EVENT_TIME_N("&amp;$AA$18&amp;",3)")</f>
        <v/>
      </c>
      <c r="T796" s="282" t="str" cm="1">
        <f t="array" ref="T796">_xll.FDSB($C796,"CS_EVENT_DESC_N("&amp;$AA$18&amp;",3)")</f>
        <v/>
      </c>
      <c r="U796" s="282"/>
      <c r="V796" s="274" t="str" cm="1">
        <f t="array" ref="V796">_xll.FDSB($C796,"CS_EVENT_DATEJ_N("&amp;$AA$18&amp;",4)")</f>
        <v/>
      </c>
      <c r="W796" s="282" t="str" cm="1">
        <f t="array" ref="W796">_xll.FDSB($C796,"CS_EVENT_TIME_N("&amp;$AA$18&amp;",4)")</f>
        <v/>
      </c>
      <c r="X796" s="282" t="str" cm="1">
        <f t="array" ref="X796">_xll.FDSB($C796,"CS_EVENT_DESC_N("&amp;$AA$18&amp;",4)")</f>
        <v/>
      </c>
    </row>
    <row r="797" spans="2:24" x14ac:dyDescent="0.15">
      <c r="B797" s="298">
        <f t="shared" si="14"/>
        <v>782</v>
      </c>
      <c r="C797" s="299"/>
      <c r="D797" s="300" t="str" cm="1">
        <f t="array" ref="D797">_xll.FDSB($C797,"FG_COMPANY_NAME")</f>
        <v/>
      </c>
      <c r="E797" s="300"/>
      <c r="F797" s="274" t="str" cm="1">
        <f t="array" ref="F797">_xll.FDSB($C797,"CS_EVENT_DATEJ_N("&amp;$AA$18&amp;",1)")</f>
        <v/>
      </c>
      <c r="G797" s="282" t="str" cm="1">
        <f t="array" ref="G797">_xll.FDSB($C797,"CS_EVENT_TIME_N("&amp;$AA$18&amp;",1)")</f>
        <v/>
      </c>
      <c r="H797" s="282" t="str" cm="1">
        <f t="array" ref="H797">_xll.FDSB($C797,"CS_EVENT_DESC_N("&amp;$AA$18&amp;",1)")</f>
        <v/>
      </c>
      <c r="I797" s="282"/>
      <c r="J797" s="274" t="str" cm="1">
        <f t="array" ref="J797">_xll.FDSB($C797,"CS_EVENT_DATEJ_N("&amp;$AB$18&amp;",1)")</f>
        <v/>
      </c>
      <c r="K797" s="282" t="str" cm="1">
        <f t="array" ref="K797">_xll.FDSB($C797,"CS_EVENT_TIME_N("&amp;$AB$18&amp;",1)")</f>
        <v/>
      </c>
      <c r="L797" s="282" t="str" cm="1">
        <f t="array" ref="L797">_xll.FDSB($C797,"CS_EVENT_DESC_N("&amp;$AB$18&amp;",1)")</f>
        <v/>
      </c>
      <c r="M797" s="300"/>
      <c r="N797" s="274" t="str" cm="1">
        <f t="array" ref="N797">_xll.FDSB($C797,"CS_EVENT_DATEJ_N("&amp;$AA$18&amp;",2)")</f>
        <v/>
      </c>
      <c r="O797" s="282" t="str" cm="1">
        <f t="array" ref="O797">_xll.FDSB($C797,"CS_EVENT_TIME_N("&amp;$AA$18&amp;",2)")</f>
        <v/>
      </c>
      <c r="P797" s="282" t="str" cm="1">
        <f t="array" ref="P797">_xll.FDSB($C797,"CS_EVENT_DESC_N("&amp;$AA$18&amp;",2)")</f>
        <v/>
      </c>
      <c r="Q797" s="282"/>
      <c r="R797" s="274" t="str" cm="1">
        <f t="array" ref="R797">_xll.FDSB($C797,"CS_EVENT_DATEJ_N("&amp;$AA$18&amp;",3)")</f>
        <v/>
      </c>
      <c r="S797" s="282" t="str" cm="1">
        <f t="array" ref="S797">_xll.FDSB($C797,"CS_EVENT_TIME_N("&amp;$AA$18&amp;",3)")</f>
        <v/>
      </c>
      <c r="T797" s="282" t="str" cm="1">
        <f t="array" ref="T797">_xll.FDSB($C797,"CS_EVENT_DESC_N("&amp;$AA$18&amp;",3)")</f>
        <v/>
      </c>
      <c r="U797" s="282"/>
      <c r="V797" s="274" t="str" cm="1">
        <f t="array" ref="V797">_xll.FDSB($C797,"CS_EVENT_DATEJ_N("&amp;$AA$18&amp;",4)")</f>
        <v/>
      </c>
      <c r="W797" s="282" t="str" cm="1">
        <f t="array" ref="W797">_xll.FDSB($C797,"CS_EVENT_TIME_N("&amp;$AA$18&amp;",4)")</f>
        <v/>
      </c>
      <c r="X797" s="282" t="str" cm="1">
        <f t="array" ref="X797">_xll.FDSB($C797,"CS_EVENT_DESC_N("&amp;$AA$18&amp;",4)")</f>
        <v/>
      </c>
    </row>
    <row r="798" spans="2:24" x14ac:dyDescent="0.15">
      <c r="B798" s="298">
        <f t="shared" si="14"/>
        <v>783</v>
      </c>
      <c r="C798" s="299"/>
      <c r="D798" s="300" t="str" cm="1">
        <f t="array" ref="D798">_xll.FDSB($C798,"FG_COMPANY_NAME")</f>
        <v/>
      </c>
      <c r="E798" s="300"/>
      <c r="F798" s="274" t="str" cm="1">
        <f t="array" ref="F798">_xll.FDSB($C798,"CS_EVENT_DATEJ_N("&amp;$AA$18&amp;",1)")</f>
        <v/>
      </c>
      <c r="G798" s="282" t="str" cm="1">
        <f t="array" ref="G798">_xll.FDSB($C798,"CS_EVENT_TIME_N("&amp;$AA$18&amp;",1)")</f>
        <v/>
      </c>
      <c r="H798" s="282" t="str" cm="1">
        <f t="array" ref="H798">_xll.FDSB($C798,"CS_EVENT_DESC_N("&amp;$AA$18&amp;",1)")</f>
        <v/>
      </c>
      <c r="I798" s="282"/>
      <c r="J798" s="274" t="str" cm="1">
        <f t="array" ref="J798">_xll.FDSB($C798,"CS_EVENT_DATEJ_N("&amp;$AB$18&amp;",1)")</f>
        <v/>
      </c>
      <c r="K798" s="282" t="str" cm="1">
        <f t="array" ref="K798">_xll.FDSB($C798,"CS_EVENT_TIME_N("&amp;$AB$18&amp;",1)")</f>
        <v/>
      </c>
      <c r="L798" s="282" t="str" cm="1">
        <f t="array" ref="L798">_xll.FDSB($C798,"CS_EVENT_DESC_N("&amp;$AB$18&amp;",1)")</f>
        <v/>
      </c>
      <c r="M798" s="300"/>
      <c r="N798" s="274" t="str" cm="1">
        <f t="array" ref="N798">_xll.FDSB($C798,"CS_EVENT_DATEJ_N("&amp;$AA$18&amp;",2)")</f>
        <v/>
      </c>
      <c r="O798" s="282" t="str" cm="1">
        <f t="array" ref="O798">_xll.FDSB($C798,"CS_EVENT_TIME_N("&amp;$AA$18&amp;",2)")</f>
        <v/>
      </c>
      <c r="P798" s="282" t="str" cm="1">
        <f t="array" ref="P798">_xll.FDSB($C798,"CS_EVENT_DESC_N("&amp;$AA$18&amp;",2)")</f>
        <v/>
      </c>
      <c r="Q798" s="282"/>
      <c r="R798" s="274" t="str" cm="1">
        <f t="array" ref="R798">_xll.FDSB($C798,"CS_EVENT_DATEJ_N("&amp;$AA$18&amp;",3)")</f>
        <v/>
      </c>
      <c r="S798" s="282" t="str" cm="1">
        <f t="array" ref="S798">_xll.FDSB($C798,"CS_EVENT_TIME_N("&amp;$AA$18&amp;",3)")</f>
        <v/>
      </c>
      <c r="T798" s="282" t="str" cm="1">
        <f t="array" ref="T798">_xll.FDSB($C798,"CS_EVENT_DESC_N("&amp;$AA$18&amp;",3)")</f>
        <v/>
      </c>
      <c r="U798" s="282"/>
      <c r="V798" s="274" t="str" cm="1">
        <f t="array" ref="V798">_xll.FDSB($C798,"CS_EVENT_DATEJ_N("&amp;$AA$18&amp;",4)")</f>
        <v/>
      </c>
      <c r="W798" s="282" t="str" cm="1">
        <f t="array" ref="W798">_xll.FDSB($C798,"CS_EVENT_TIME_N("&amp;$AA$18&amp;",4)")</f>
        <v/>
      </c>
      <c r="X798" s="282" t="str" cm="1">
        <f t="array" ref="X798">_xll.FDSB($C798,"CS_EVENT_DESC_N("&amp;$AA$18&amp;",4)")</f>
        <v/>
      </c>
    </row>
    <row r="799" spans="2:24" x14ac:dyDescent="0.15">
      <c r="B799" s="298">
        <f t="shared" si="14"/>
        <v>784</v>
      </c>
      <c r="C799" s="299"/>
      <c r="D799" s="300" t="str" cm="1">
        <f t="array" ref="D799">_xll.FDSB($C799,"FG_COMPANY_NAME")</f>
        <v/>
      </c>
      <c r="E799" s="300"/>
      <c r="F799" s="274" t="str" cm="1">
        <f t="array" ref="F799">_xll.FDSB($C799,"CS_EVENT_DATEJ_N("&amp;$AA$18&amp;",1)")</f>
        <v/>
      </c>
      <c r="G799" s="282" t="str" cm="1">
        <f t="array" ref="G799">_xll.FDSB($C799,"CS_EVENT_TIME_N("&amp;$AA$18&amp;",1)")</f>
        <v/>
      </c>
      <c r="H799" s="282" t="str" cm="1">
        <f t="array" ref="H799">_xll.FDSB($C799,"CS_EVENT_DESC_N("&amp;$AA$18&amp;",1)")</f>
        <v/>
      </c>
      <c r="I799" s="282"/>
      <c r="J799" s="274" t="str" cm="1">
        <f t="array" ref="J799">_xll.FDSB($C799,"CS_EVENT_DATEJ_N("&amp;$AB$18&amp;",1)")</f>
        <v/>
      </c>
      <c r="K799" s="282" t="str" cm="1">
        <f t="array" ref="K799">_xll.FDSB($C799,"CS_EVENT_TIME_N("&amp;$AB$18&amp;",1)")</f>
        <v/>
      </c>
      <c r="L799" s="282" t="str" cm="1">
        <f t="array" ref="L799">_xll.FDSB($C799,"CS_EVENT_DESC_N("&amp;$AB$18&amp;",1)")</f>
        <v/>
      </c>
      <c r="M799" s="300"/>
      <c r="N799" s="274" t="str" cm="1">
        <f t="array" ref="N799">_xll.FDSB($C799,"CS_EVENT_DATEJ_N("&amp;$AA$18&amp;",2)")</f>
        <v/>
      </c>
      <c r="O799" s="282" t="str" cm="1">
        <f t="array" ref="O799">_xll.FDSB($C799,"CS_EVENT_TIME_N("&amp;$AA$18&amp;",2)")</f>
        <v/>
      </c>
      <c r="P799" s="282" t="str" cm="1">
        <f t="array" ref="P799">_xll.FDSB($C799,"CS_EVENT_DESC_N("&amp;$AA$18&amp;",2)")</f>
        <v/>
      </c>
      <c r="Q799" s="282"/>
      <c r="R799" s="274" t="str" cm="1">
        <f t="array" ref="R799">_xll.FDSB($C799,"CS_EVENT_DATEJ_N("&amp;$AA$18&amp;",3)")</f>
        <v/>
      </c>
      <c r="S799" s="282" t="str" cm="1">
        <f t="array" ref="S799">_xll.FDSB($C799,"CS_EVENT_TIME_N("&amp;$AA$18&amp;",3)")</f>
        <v/>
      </c>
      <c r="T799" s="282" t="str" cm="1">
        <f t="array" ref="T799">_xll.FDSB($C799,"CS_EVENT_DESC_N("&amp;$AA$18&amp;",3)")</f>
        <v/>
      </c>
      <c r="U799" s="282"/>
      <c r="V799" s="274" t="str" cm="1">
        <f t="array" ref="V799">_xll.FDSB($C799,"CS_EVENT_DATEJ_N("&amp;$AA$18&amp;",4)")</f>
        <v/>
      </c>
      <c r="W799" s="282" t="str" cm="1">
        <f t="array" ref="W799">_xll.FDSB($C799,"CS_EVENT_TIME_N("&amp;$AA$18&amp;",4)")</f>
        <v/>
      </c>
      <c r="X799" s="282" t="str" cm="1">
        <f t="array" ref="X799">_xll.FDSB($C799,"CS_EVENT_DESC_N("&amp;$AA$18&amp;",4)")</f>
        <v/>
      </c>
    </row>
    <row r="800" spans="2:24" x14ac:dyDescent="0.15">
      <c r="B800" s="298">
        <f t="shared" si="14"/>
        <v>785</v>
      </c>
      <c r="C800" s="299"/>
      <c r="D800" s="300" t="str" cm="1">
        <f t="array" ref="D800">_xll.FDSB($C800,"FG_COMPANY_NAME")</f>
        <v/>
      </c>
      <c r="E800" s="300"/>
      <c r="F800" s="274" t="str" cm="1">
        <f t="array" ref="F800">_xll.FDSB($C800,"CS_EVENT_DATEJ_N("&amp;$AA$18&amp;",1)")</f>
        <v/>
      </c>
      <c r="G800" s="282" t="str" cm="1">
        <f t="array" ref="G800">_xll.FDSB($C800,"CS_EVENT_TIME_N("&amp;$AA$18&amp;",1)")</f>
        <v/>
      </c>
      <c r="H800" s="282" t="str" cm="1">
        <f t="array" ref="H800">_xll.FDSB($C800,"CS_EVENT_DESC_N("&amp;$AA$18&amp;",1)")</f>
        <v/>
      </c>
      <c r="I800" s="282"/>
      <c r="J800" s="274" t="str" cm="1">
        <f t="array" ref="J800">_xll.FDSB($C800,"CS_EVENT_DATEJ_N("&amp;$AB$18&amp;",1)")</f>
        <v/>
      </c>
      <c r="K800" s="282" t="str" cm="1">
        <f t="array" ref="K800">_xll.FDSB($C800,"CS_EVENT_TIME_N("&amp;$AB$18&amp;",1)")</f>
        <v/>
      </c>
      <c r="L800" s="282" t="str" cm="1">
        <f t="array" ref="L800">_xll.FDSB($C800,"CS_EVENT_DESC_N("&amp;$AB$18&amp;",1)")</f>
        <v/>
      </c>
      <c r="M800" s="300"/>
      <c r="N800" s="274" t="str" cm="1">
        <f t="array" ref="N800">_xll.FDSB($C800,"CS_EVENT_DATEJ_N("&amp;$AA$18&amp;",2)")</f>
        <v/>
      </c>
      <c r="O800" s="282" t="str" cm="1">
        <f t="array" ref="O800">_xll.FDSB($C800,"CS_EVENT_TIME_N("&amp;$AA$18&amp;",2)")</f>
        <v/>
      </c>
      <c r="P800" s="282" t="str" cm="1">
        <f t="array" ref="P800">_xll.FDSB($C800,"CS_EVENT_DESC_N("&amp;$AA$18&amp;",2)")</f>
        <v/>
      </c>
      <c r="Q800" s="282"/>
      <c r="R800" s="274" t="str" cm="1">
        <f t="array" ref="R800">_xll.FDSB($C800,"CS_EVENT_DATEJ_N("&amp;$AA$18&amp;",3)")</f>
        <v/>
      </c>
      <c r="S800" s="282" t="str" cm="1">
        <f t="array" ref="S800">_xll.FDSB($C800,"CS_EVENT_TIME_N("&amp;$AA$18&amp;",3)")</f>
        <v/>
      </c>
      <c r="T800" s="282" t="str" cm="1">
        <f t="array" ref="T800">_xll.FDSB($C800,"CS_EVENT_DESC_N("&amp;$AA$18&amp;",3)")</f>
        <v/>
      </c>
      <c r="U800" s="282"/>
      <c r="V800" s="274" t="str" cm="1">
        <f t="array" ref="V800">_xll.FDSB($C800,"CS_EVENT_DATEJ_N("&amp;$AA$18&amp;",4)")</f>
        <v/>
      </c>
      <c r="W800" s="282" t="str" cm="1">
        <f t="array" ref="W800">_xll.FDSB($C800,"CS_EVENT_TIME_N("&amp;$AA$18&amp;",4)")</f>
        <v/>
      </c>
      <c r="X800" s="282" t="str" cm="1">
        <f t="array" ref="X800">_xll.FDSB($C800,"CS_EVENT_DESC_N("&amp;$AA$18&amp;",4)")</f>
        <v/>
      </c>
    </row>
    <row r="801" spans="2:24" x14ac:dyDescent="0.15">
      <c r="B801" s="298">
        <f t="shared" si="14"/>
        <v>786</v>
      </c>
      <c r="C801" s="299"/>
      <c r="D801" s="300" t="str" cm="1">
        <f t="array" ref="D801">_xll.FDSB($C801,"FG_COMPANY_NAME")</f>
        <v/>
      </c>
      <c r="E801" s="300"/>
      <c r="F801" s="274" t="str" cm="1">
        <f t="array" ref="F801">_xll.FDSB($C801,"CS_EVENT_DATEJ_N("&amp;$AA$18&amp;",1)")</f>
        <v/>
      </c>
      <c r="G801" s="282" t="str" cm="1">
        <f t="array" ref="G801">_xll.FDSB($C801,"CS_EVENT_TIME_N("&amp;$AA$18&amp;",1)")</f>
        <v/>
      </c>
      <c r="H801" s="282" t="str" cm="1">
        <f t="array" ref="H801">_xll.FDSB($C801,"CS_EVENT_DESC_N("&amp;$AA$18&amp;",1)")</f>
        <v/>
      </c>
      <c r="I801" s="282"/>
      <c r="J801" s="274" t="str" cm="1">
        <f t="array" ref="J801">_xll.FDSB($C801,"CS_EVENT_DATEJ_N("&amp;$AB$18&amp;",1)")</f>
        <v/>
      </c>
      <c r="K801" s="282" t="str" cm="1">
        <f t="array" ref="K801">_xll.FDSB($C801,"CS_EVENT_TIME_N("&amp;$AB$18&amp;",1)")</f>
        <v/>
      </c>
      <c r="L801" s="282" t="str" cm="1">
        <f t="array" ref="L801">_xll.FDSB($C801,"CS_EVENT_DESC_N("&amp;$AB$18&amp;",1)")</f>
        <v/>
      </c>
      <c r="M801" s="300"/>
      <c r="N801" s="274" t="str" cm="1">
        <f t="array" ref="N801">_xll.FDSB($C801,"CS_EVENT_DATEJ_N("&amp;$AA$18&amp;",2)")</f>
        <v/>
      </c>
      <c r="O801" s="282" t="str" cm="1">
        <f t="array" ref="O801">_xll.FDSB($C801,"CS_EVENT_TIME_N("&amp;$AA$18&amp;",2)")</f>
        <v/>
      </c>
      <c r="P801" s="282" t="str" cm="1">
        <f t="array" ref="P801">_xll.FDSB($C801,"CS_EVENT_DESC_N("&amp;$AA$18&amp;",2)")</f>
        <v/>
      </c>
      <c r="Q801" s="282"/>
      <c r="R801" s="274" t="str" cm="1">
        <f t="array" ref="R801">_xll.FDSB($C801,"CS_EVENT_DATEJ_N("&amp;$AA$18&amp;",3)")</f>
        <v/>
      </c>
      <c r="S801" s="282" t="str" cm="1">
        <f t="array" ref="S801">_xll.FDSB($C801,"CS_EVENT_TIME_N("&amp;$AA$18&amp;",3)")</f>
        <v/>
      </c>
      <c r="T801" s="282" t="str" cm="1">
        <f t="array" ref="T801">_xll.FDSB($C801,"CS_EVENT_DESC_N("&amp;$AA$18&amp;",3)")</f>
        <v/>
      </c>
      <c r="U801" s="282"/>
      <c r="V801" s="274" t="str" cm="1">
        <f t="array" ref="V801">_xll.FDSB($C801,"CS_EVENT_DATEJ_N("&amp;$AA$18&amp;",4)")</f>
        <v/>
      </c>
      <c r="W801" s="282" t="str" cm="1">
        <f t="array" ref="W801">_xll.FDSB($C801,"CS_EVENT_TIME_N("&amp;$AA$18&amp;",4)")</f>
        <v/>
      </c>
      <c r="X801" s="282" t="str" cm="1">
        <f t="array" ref="X801">_xll.FDSB($C801,"CS_EVENT_DESC_N("&amp;$AA$18&amp;",4)")</f>
        <v/>
      </c>
    </row>
    <row r="802" spans="2:24" x14ac:dyDescent="0.15">
      <c r="B802" s="298">
        <f t="shared" si="14"/>
        <v>787</v>
      </c>
      <c r="C802" s="299"/>
      <c r="D802" s="300" t="str" cm="1">
        <f t="array" ref="D802">_xll.FDSB($C802,"FG_COMPANY_NAME")</f>
        <v/>
      </c>
      <c r="E802" s="300"/>
      <c r="F802" s="274" t="str" cm="1">
        <f t="array" ref="F802">_xll.FDSB($C802,"CS_EVENT_DATEJ_N("&amp;$AA$18&amp;",1)")</f>
        <v/>
      </c>
      <c r="G802" s="282" t="str" cm="1">
        <f t="array" ref="G802">_xll.FDSB($C802,"CS_EVENT_TIME_N("&amp;$AA$18&amp;",1)")</f>
        <v/>
      </c>
      <c r="H802" s="282" t="str" cm="1">
        <f t="array" ref="H802">_xll.FDSB($C802,"CS_EVENT_DESC_N("&amp;$AA$18&amp;",1)")</f>
        <v/>
      </c>
      <c r="I802" s="282"/>
      <c r="J802" s="274" t="str" cm="1">
        <f t="array" ref="J802">_xll.FDSB($C802,"CS_EVENT_DATEJ_N("&amp;$AB$18&amp;",1)")</f>
        <v/>
      </c>
      <c r="K802" s="282" t="str" cm="1">
        <f t="array" ref="K802">_xll.FDSB($C802,"CS_EVENT_TIME_N("&amp;$AB$18&amp;",1)")</f>
        <v/>
      </c>
      <c r="L802" s="282" t="str" cm="1">
        <f t="array" ref="L802">_xll.FDSB($C802,"CS_EVENT_DESC_N("&amp;$AB$18&amp;",1)")</f>
        <v/>
      </c>
      <c r="M802" s="300"/>
      <c r="N802" s="274" t="str" cm="1">
        <f t="array" ref="N802">_xll.FDSB($C802,"CS_EVENT_DATEJ_N("&amp;$AA$18&amp;",2)")</f>
        <v/>
      </c>
      <c r="O802" s="282" t="str" cm="1">
        <f t="array" ref="O802">_xll.FDSB($C802,"CS_EVENT_TIME_N("&amp;$AA$18&amp;",2)")</f>
        <v/>
      </c>
      <c r="P802" s="282" t="str" cm="1">
        <f t="array" ref="P802">_xll.FDSB($C802,"CS_EVENT_DESC_N("&amp;$AA$18&amp;",2)")</f>
        <v/>
      </c>
      <c r="Q802" s="282"/>
      <c r="R802" s="274" t="str" cm="1">
        <f t="array" ref="R802">_xll.FDSB($C802,"CS_EVENT_DATEJ_N("&amp;$AA$18&amp;",3)")</f>
        <v/>
      </c>
      <c r="S802" s="282" t="str" cm="1">
        <f t="array" ref="S802">_xll.FDSB($C802,"CS_EVENT_TIME_N("&amp;$AA$18&amp;",3)")</f>
        <v/>
      </c>
      <c r="T802" s="282" t="str" cm="1">
        <f t="array" ref="T802">_xll.FDSB($C802,"CS_EVENT_DESC_N("&amp;$AA$18&amp;",3)")</f>
        <v/>
      </c>
      <c r="U802" s="282"/>
      <c r="V802" s="274" t="str" cm="1">
        <f t="array" ref="V802">_xll.FDSB($C802,"CS_EVENT_DATEJ_N("&amp;$AA$18&amp;",4)")</f>
        <v/>
      </c>
      <c r="W802" s="282" t="str" cm="1">
        <f t="array" ref="W802">_xll.FDSB($C802,"CS_EVENT_TIME_N("&amp;$AA$18&amp;",4)")</f>
        <v/>
      </c>
      <c r="X802" s="282" t="str" cm="1">
        <f t="array" ref="X802">_xll.FDSB($C802,"CS_EVENT_DESC_N("&amp;$AA$18&amp;",4)")</f>
        <v/>
      </c>
    </row>
    <row r="803" spans="2:24" x14ac:dyDescent="0.15">
      <c r="B803" s="298">
        <f t="shared" si="14"/>
        <v>788</v>
      </c>
      <c r="C803" s="299"/>
      <c r="D803" s="300" t="str" cm="1">
        <f t="array" ref="D803">_xll.FDSB($C803,"FG_COMPANY_NAME")</f>
        <v/>
      </c>
      <c r="E803" s="300"/>
      <c r="F803" s="274" t="str" cm="1">
        <f t="array" ref="F803">_xll.FDSB($C803,"CS_EVENT_DATEJ_N("&amp;$AA$18&amp;",1)")</f>
        <v/>
      </c>
      <c r="G803" s="282" t="str" cm="1">
        <f t="array" ref="G803">_xll.FDSB($C803,"CS_EVENT_TIME_N("&amp;$AA$18&amp;",1)")</f>
        <v/>
      </c>
      <c r="H803" s="282" t="str" cm="1">
        <f t="array" ref="H803">_xll.FDSB($C803,"CS_EVENT_DESC_N("&amp;$AA$18&amp;",1)")</f>
        <v/>
      </c>
      <c r="I803" s="282"/>
      <c r="J803" s="274" t="str" cm="1">
        <f t="array" ref="J803">_xll.FDSB($C803,"CS_EVENT_DATEJ_N("&amp;$AB$18&amp;",1)")</f>
        <v/>
      </c>
      <c r="K803" s="282" t="str" cm="1">
        <f t="array" ref="K803">_xll.FDSB($C803,"CS_EVENT_TIME_N("&amp;$AB$18&amp;",1)")</f>
        <v/>
      </c>
      <c r="L803" s="282" t="str" cm="1">
        <f t="array" ref="L803">_xll.FDSB($C803,"CS_EVENT_DESC_N("&amp;$AB$18&amp;",1)")</f>
        <v/>
      </c>
      <c r="M803" s="300"/>
      <c r="N803" s="274" t="str" cm="1">
        <f t="array" ref="N803">_xll.FDSB($C803,"CS_EVENT_DATEJ_N("&amp;$AA$18&amp;",2)")</f>
        <v/>
      </c>
      <c r="O803" s="282" t="str" cm="1">
        <f t="array" ref="O803">_xll.FDSB($C803,"CS_EVENT_TIME_N("&amp;$AA$18&amp;",2)")</f>
        <v/>
      </c>
      <c r="P803" s="282" t="str" cm="1">
        <f t="array" ref="P803">_xll.FDSB($C803,"CS_EVENT_DESC_N("&amp;$AA$18&amp;",2)")</f>
        <v/>
      </c>
      <c r="Q803" s="282"/>
      <c r="R803" s="274" t="str" cm="1">
        <f t="array" ref="R803">_xll.FDSB($C803,"CS_EVENT_DATEJ_N("&amp;$AA$18&amp;",3)")</f>
        <v/>
      </c>
      <c r="S803" s="282" t="str" cm="1">
        <f t="array" ref="S803">_xll.FDSB($C803,"CS_EVENT_TIME_N("&amp;$AA$18&amp;",3)")</f>
        <v/>
      </c>
      <c r="T803" s="282" t="str" cm="1">
        <f t="array" ref="T803">_xll.FDSB($C803,"CS_EVENT_DESC_N("&amp;$AA$18&amp;",3)")</f>
        <v/>
      </c>
      <c r="U803" s="282"/>
      <c r="V803" s="274" t="str" cm="1">
        <f t="array" ref="V803">_xll.FDSB($C803,"CS_EVENT_DATEJ_N("&amp;$AA$18&amp;",4)")</f>
        <v/>
      </c>
      <c r="W803" s="282" t="str" cm="1">
        <f t="array" ref="W803">_xll.FDSB($C803,"CS_EVENT_TIME_N("&amp;$AA$18&amp;",4)")</f>
        <v/>
      </c>
      <c r="X803" s="282" t="str" cm="1">
        <f t="array" ref="X803">_xll.FDSB($C803,"CS_EVENT_DESC_N("&amp;$AA$18&amp;",4)")</f>
        <v/>
      </c>
    </row>
    <row r="804" spans="2:24" x14ac:dyDescent="0.15">
      <c r="B804" s="298">
        <f t="shared" si="14"/>
        <v>789</v>
      </c>
      <c r="C804" s="299"/>
      <c r="D804" s="300" t="str" cm="1">
        <f t="array" ref="D804">_xll.FDSB($C804,"FG_COMPANY_NAME")</f>
        <v/>
      </c>
      <c r="E804" s="300"/>
      <c r="F804" s="274" t="str" cm="1">
        <f t="array" ref="F804">_xll.FDSB($C804,"CS_EVENT_DATEJ_N("&amp;$AA$18&amp;",1)")</f>
        <v/>
      </c>
      <c r="G804" s="282" t="str" cm="1">
        <f t="array" ref="G804">_xll.FDSB($C804,"CS_EVENT_TIME_N("&amp;$AA$18&amp;",1)")</f>
        <v/>
      </c>
      <c r="H804" s="282" t="str" cm="1">
        <f t="array" ref="H804">_xll.FDSB($C804,"CS_EVENT_DESC_N("&amp;$AA$18&amp;",1)")</f>
        <v/>
      </c>
      <c r="I804" s="282"/>
      <c r="J804" s="274" t="str" cm="1">
        <f t="array" ref="J804">_xll.FDSB($C804,"CS_EVENT_DATEJ_N("&amp;$AB$18&amp;",1)")</f>
        <v/>
      </c>
      <c r="K804" s="282" t="str" cm="1">
        <f t="array" ref="K804">_xll.FDSB($C804,"CS_EVENT_TIME_N("&amp;$AB$18&amp;",1)")</f>
        <v/>
      </c>
      <c r="L804" s="282" t="str" cm="1">
        <f t="array" ref="L804">_xll.FDSB($C804,"CS_EVENT_DESC_N("&amp;$AB$18&amp;",1)")</f>
        <v/>
      </c>
      <c r="M804" s="300"/>
      <c r="N804" s="274" t="str" cm="1">
        <f t="array" ref="N804">_xll.FDSB($C804,"CS_EVENT_DATEJ_N("&amp;$AA$18&amp;",2)")</f>
        <v/>
      </c>
      <c r="O804" s="282" t="str" cm="1">
        <f t="array" ref="O804">_xll.FDSB($C804,"CS_EVENT_TIME_N("&amp;$AA$18&amp;",2)")</f>
        <v/>
      </c>
      <c r="P804" s="282" t="str" cm="1">
        <f t="array" ref="P804">_xll.FDSB($C804,"CS_EVENT_DESC_N("&amp;$AA$18&amp;",2)")</f>
        <v/>
      </c>
      <c r="Q804" s="282"/>
      <c r="R804" s="274" t="str" cm="1">
        <f t="array" ref="R804">_xll.FDSB($C804,"CS_EVENT_DATEJ_N("&amp;$AA$18&amp;",3)")</f>
        <v/>
      </c>
      <c r="S804" s="282" t="str" cm="1">
        <f t="array" ref="S804">_xll.FDSB($C804,"CS_EVENT_TIME_N("&amp;$AA$18&amp;",3)")</f>
        <v/>
      </c>
      <c r="T804" s="282" t="str" cm="1">
        <f t="array" ref="T804">_xll.FDSB($C804,"CS_EVENT_DESC_N("&amp;$AA$18&amp;",3)")</f>
        <v/>
      </c>
      <c r="U804" s="282"/>
      <c r="V804" s="274" t="str" cm="1">
        <f t="array" ref="V804">_xll.FDSB($C804,"CS_EVENT_DATEJ_N("&amp;$AA$18&amp;",4)")</f>
        <v/>
      </c>
      <c r="W804" s="282" t="str" cm="1">
        <f t="array" ref="W804">_xll.FDSB($C804,"CS_EVENT_TIME_N("&amp;$AA$18&amp;",4)")</f>
        <v/>
      </c>
      <c r="X804" s="282" t="str" cm="1">
        <f t="array" ref="X804">_xll.FDSB($C804,"CS_EVENT_DESC_N("&amp;$AA$18&amp;",4)")</f>
        <v/>
      </c>
    </row>
    <row r="805" spans="2:24" x14ac:dyDescent="0.15">
      <c r="B805" s="298">
        <f t="shared" si="14"/>
        <v>790</v>
      </c>
      <c r="C805" s="299"/>
      <c r="D805" s="300" t="str" cm="1">
        <f t="array" ref="D805">_xll.FDSB($C805,"FG_COMPANY_NAME")</f>
        <v/>
      </c>
      <c r="E805" s="300"/>
      <c r="F805" s="274" t="str" cm="1">
        <f t="array" ref="F805">_xll.FDSB($C805,"CS_EVENT_DATEJ_N("&amp;$AA$18&amp;",1)")</f>
        <v/>
      </c>
      <c r="G805" s="282" t="str" cm="1">
        <f t="array" ref="G805">_xll.FDSB($C805,"CS_EVENT_TIME_N("&amp;$AA$18&amp;",1)")</f>
        <v/>
      </c>
      <c r="H805" s="282" t="str" cm="1">
        <f t="array" ref="H805">_xll.FDSB($C805,"CS_EVENT_DESC_N("&amp;$AA$18&amp;",1)")</f>
        <v/>
      </c>
      <c r="I805" s="282"/>
      <c r="J805" s="274" t="str" cm="1">
        <f t="array" ref="J805">_xll.FDSB($C805,"CS_EVENT_DATEJ_N("&amp;$AB$18&amp;",1)")</f>
        <v/>
      </c>
      <c r="K805" s="282" t="str" cm="1">
        <f t="array" ref="K805">_xll.FDSB($C805,"CS_EVENT_TIME_N("&amp;$AB$18&amp;",1)")</f>
        <v/>
      </c>
      <c r="L805" s="282" t="str" cm="1">
        <f t="array" ref="L805">_xll.FDSB($C805,"CS_EVENT_DESC_N("&amp;$AB$18&amp;",1)")</f>
        <v/>
      </c>
      <c r="M805" s="300"/>
      <c r="N805" s="274" t="str" cm="1">
        <f t="array" ref="N805">_xll.FDSB($C805,"CS_EVENT_DATEJ_N("&amp;$AA$18&amp;",2)")</f>
        <v/>
      </c>
      <c r="O805" s="282" t="str" cm="1">
        <f t="array" ref="O805">_xll.FDSB($C805,"CS_EVENT_TIME_N("&amp;$AA$18&amp;",2)")</f>
        <v/>
      </c>
      <c r="P805" s="282" t="str" cm="1">
        <f t="array" ref="P805">_xll.FDSB($C805,"CS_EVENT_DESC_N("&amp;$AA$18&amp;",2)")</f>
        <v/>
      </c>
      <c r="Q805" s="282"/>
      <c r="R805" s="274" t="str" cm="1">
        <f t="array" ref="R805">_xll.FDSB($C805,"CS_EVENT_DATEJ_N("&amp;$AA$18&amp;",3)")</f>
        <v/>
      </c>
      <c r="S805" s="282" t="str" cm="1">
        <f t="array" ref="S805">_xll.FDSB($C805,"CS_EVENT_TIME_N("&amp;$AA$18&amp;",3)")</f>
        <v/>
      </c>
      <c r="T805" s="282" t="str" cm="1">
        <f t="array" ref="T805">_xll.FDSB($C805,"CS_EVENT_DESC_N("&amp;$AA$18&amp;",3)")</f>
        <v/>
      </c>
      <c r="U805" s="282"/>
      <c r="V805" s="274" t="str" cm="1">
        <f t="array" ref="V805">_xll.FDSB($C805,"CS_EVENT_DATEJ_N("&amp;$AA$18&amp;",4)")</f>
        <v/>
      </c>
      <c r="W805" s="282" t="str" cm="1">
        <f t="array" ref="W805">_xll.FDSB($C805,"CS_EVENT_TIME_N("&amp;$AA$18&amp;",4)")</f>
        <v/>
      </c>
      <c r="X805" s="282" t="str" cm="1">
        <f t="array" ref="X805">_xll.FDSB($C805,"CS_EVENT_DESC_N("&amp;$AA$18&amp;",4)")</f>
        <v/>
      </c>
    </row>
    <row r="806" spans="2:24" x14ac:dyDescent="0.15">
      <c r="B806" s="298">
        <f t="shared" si="14"/>
        <v>791</v>
      </c>
      <c r="C806" s="299"/>
      <c r="D806" s="300" t="str" cm="1">
        <f t="array" ref="D806">_xll.FDSB($C806,"FG_COMPANY_NAME")</f>
        <v/>
      </c>
      <c r="E806" s="300"/>
      <c r="F806" s="274" t="str" cm="1">
        <f t="array" ref="F806">_xll.FDSB($C806,"CS_EVENT_DATEJ_N("&amp;$AA$18&amp;",1)")</f>
        <v/>
      </c>
      <c r="G806" s="282" t="str" cm="1">
        <f t="array" ref="G806">_xll.FDSB($C806,"CS_EVENT_TIME_N("&amp;$AA$18&amp;",1)")</f>
        <v/>
      </c>
      <c r="H806" s="282" t="str" cm="1">
        <f t="array" ref="H806">_xll.FDSB($C806,"CS_EVENT_DESC_N("&amp;$AA$18&amp;",1)")</f>
        <v/>
      </c>
      <c r="I806" s="282"/>
      <c r="J806" s="274" t="str" cm="1">
        <f t="array" ref="J806">_xll.FDSB($C806,"CS_EVENT_DATEJ_N("&amp;$AB$18&amp;",1)")</f>
        <v/>
      </c>
      <c r="K806" s="282" t="str" cm="1">
        <f t="array" ref="K806">_xll.FDSB($C806,"CS_EVENT_TIME_N("&amp;$AB$18&amp;",1)")</f>
        <v/>
      </c>
      <c r="L806" s="282" t="str" cm="1">
        <f t="array" ref="L806">_xll.FDSB($C806,"CS_EVENT_DESC_N("&amp;$AB$18&amp;",1)")</f>
        <v/>
      </c>
      <c r="M806" s="300"/>
      <c r="N806" s="274" t="str" cm="1">
        <f t="array" ref="N806">_xll.FDSB($C806,"CS_EVENT_DATEJ_N("&amp;$AA$18&amp;",2)")</f>
        <v/>
      </c>
      <c r="O806" s="282" t="str" cm="1">
        <f t="array" ref="O806">_xll.FDSB($C806,"CS_EVENT_TIME_N("&amp;$AA$18&amp;",2)")</f>
        <v/>
      </c>
      <c r="P806" s="282" t="str" cm="1">
        <f t="array" ref="P806">_xll.FDSB($C806,"CS_EVENT_DESC_N("&amp;$AA$18&amp;",2)")</f>
        <v/>
      </c>
      <c r="Q806" s="282"/>
      <c r="R806" s="274" t="str" cm="1">
        <f t="array" ref="R806">_xll.FDSB($C806,"CS_EVENT_DATEJ_N("&amp;$AA$18&amp;",3)")</f>
        <v/>
      </c>
      <c r="S806" s="282" t="str" cm="1">
        <f t="array" ref="S806">_xll.FDSB($C806,"CS_EVENT_TIME_N("&amp;$AA$18&amp;",3)")</f>
        <v/>
      </c>
      <c r="T806" s="282" t="str" cm="1">
        <f t="array" ref="T806">_xll.FDSB($C806,"CS_EVENT_DESC_N("&amp;$AA$18&amp;",3)")</f>
        <v/>
      </c>
      <c r="U806" s="282"/>
      <c r="V806" s="274" t="str" cm="1">
        <f t="array" ref="V806">_xll.FDSB($C806,"CS_EVENT_DATEJ_N("&amp;$AA$18&amp;",4)")</f>
        <v/>
      </c>
      <c r="W806" s="282" t="str" cm="1">
        <f t="array" ref="W806">_xll.FDSB($C806,"CS_EVENT_TIME_N("&amp;$AA$18&amp;",4)")</f>
        <v/>
      </c>
      <c r="X806" s="282" t="str" cm="1">
        <f t="array" ref="X806">_xll.FDSB($C806,"CS_EVENT_DESC_N("&amp;$AA$18&amp;",4)")</f>
        <v/>
      </c>
    </row>
    <row r="807" spans="2:24" x14ac:dyDescent="0.15">
      <c r="B807" s="298">
        <f t="shared" si="14"/>
        <v>792</v>
      </c>
      <c r="C807" s="299"/>
      <c r="D807" s="300" t="str" cm="1">
        <f t="array" ref="D807">_xll.FDSB($C807,"FG_COMPANY_NAME")</f>
        <v/>
      </c>
      <c r="E807" s="300"/>
      <c r="F807" s="274" t="str" cm="1">
        <f t="array" ref="F807">_xll.FDSB($C807,"CS_EVENT_DATEJ_N("&amp;$AA$18&amp;",1)")</f>
        <v/>
      </c>
      <c r="G807" s="282" t="str" cm="1">
        <f t="array" ref="G807">_xll.FDSB($C807,"CS_EVENT_TIME_N("&amp;$AA$18&amp;",1)")</f>
        <v/>
      </c>
      <c r="H807" s="282" t="str" cm="1">
        <f t="array" ref="H807">_xll.FDSB($C807,"CS_EVENT_DESC_N("&amp;$AA$18&amp;",1)")</f>
        <v/>
      </c>
      <c r="I807" s="282"/>
      <c r="J807" s="274" t="str" cm="1">
        <f t="array" ref="J807">_xll.FDSB($C807,"CS_EVENT_DATEJ_N("&amp;$AB$18&amp;",1)")</f>
        <v/>
      </c>
      <c r="K807" s="282" t="str" cm="1">
        <f t="array" ref="K807">_xll.FDSB($C807,"CS_EVENT_TIME_N("&amp;$AB$18&amp;",1)")</f>
        <v/>
      </c>
      <c r="L807" s="282" t="str" cm="1">
        <f t="array" ref="L807">_xll.FDSB($C807,"CS_EVENT_DESC_N("&amp;$AB$18&amp;",1)")</f>
        <v/>
      </c>
      <c r="M807" s="300"/>
      <c r="N807" s="274" t="str" cm="1">
        <f t="array" ref="N807">_xll.FDSB($C807,"CS_EVENT_DATEJ_N("&amp;$AA$18&amp;",2)")</f>
        <v/>
      </c>
      <c r="O807" s="282" t="str" cm="1">
        <f t="array" ref="O807">_xll.FDSB($C807,"CS_EVENT_TIME_N("&amp;$AA$18&amp;",2)")</f>
        <v/>
      </c>
      <c r="P807" s="282" t="str" cm="1">
        <f t="array" ref="P807">_xll.FDSB($C807,"CS_EVENT_DESC_N("&amp;$AA$18&amp;",2)")</f>
        <v/>
      </c>
      <c r="Q807" s="282"/>
      <c r="R807" s="274" t="str" cm="1">
        <f t="array" ref="R807">_xll.FDSB($C807,"CS_EVENT_DATEJ_N("&amp;$AA$18&amp;",3)")</f>
        <v/>
      </c>
      <c r="S807" s="282" t="str" cm="1">
        <f t="array" ref="S807">_xll.FDSB($C807,"CS_EVENT_TIME_N("&amp;$AA$18&amp;",3)")</f>
        <v/>
      </c>
      <c r="T807" s="282" t="str" cm="1">
        <f t="array" ref="T807">_xll.FDSB($C807,"CS_EVENT_DESC_N("&amp;$AA$18&amp;",3)")</f>
        <v/>
      </c>
      <c r="U807" s="282"/>
      <c r="V807" s="274" t="str" cm="1">
        <f t="array" ref="V807">_xll.FDSB($C807,"CS_EVENT_DATEJ_N("&amp;$AA$18&amp;",4)")</f>
        <v/>
      </c>
      <c r="W807" s="282" t="str" cm="1">
        <f t="array" ref="W807">_xll.FDSB($C807,"CS_EVENT_TIME_N("&amp;$AA$18&amp;",4)")</f>
        <v/>
      </c>
      <c r="X807" s="282" t="str" cm="1">
        <f t="array" ref="X807">_xll.FDSB($C807,"CS_EVENT_DESC_N("&amp;$AA$18&amp;",4)")</f>
        <v/>
      </c>
    </row>
    <row r="808" spans="2:24" x14ac:dyDescent="0.15">
      <c r="B808" s="298">
        <f t="shared" si="14"/>
        <v>793</v>
      </c>
      <c r="C808" s="299"/>
      <c r="D808" s="300" t="str" cm="1">
        <f t="array" ref="D808">_xll.FDSB($C808,"FG_COMPANY_NAME")</f>
        <v/>
      </c>
      <c r="E808" s="300"/>
      <c r="F808" s="274" t="str" cm="1">
        <f t="array" ref="F808">_xll.FDSB($C808,"CS_EVENT_DATEJ_N("&amp;$AA$18&amp;",1)")</f>
        <v/>
      </c>
      <c r="G808" s="282" t="str" cm="1">
        <f t="array" ref="G808">_xll.FDSB($C808,"CS_EVENT_TIME_N("&amp;$AA$18&amp;",1)")</f>
        <v/>
      </c>
      <c r="H808" s="282" t="str" cm="1">
        <f t="array" ref="H808">_xll.FDSB($C808,"CS_EVENT_DESC_N("&amp;$AA$18&amp;",1)")</f>
        <v/>
      </c>
      <c r="I808" s="282"/>
      <c r="J808" s="274" t="str" cm="1">
        <f t="array" ref="J808">_xll.FDSB($C808,"CS_EVENT_DATEJ_N("&amp;$AB$18&amp;",1)")</f>
        <v/>
      </c>
      <c r="K808" s="282" t="str" cm="1">
        <f t="array" ref="K808">_xll.FDSB($C808,"CS_EVENT_TIME_N("&amp;$AB$18&amp;",1)")</f>
        <v/>
      </c>
      <c r="L808" s="282" t="str" cm="1">
        <f t="array" ref="L808">_xll.FDSB($C808,"CS_EVENT_DESC_N("&amp;$AB$18&amp;",1)")</f>
        <v/>
      </c>
      <c r="M808" s="300"/>
      <c r="N808" s="274" t="str" cm="1">
        <f t="array" ref="N808">_xll.FDSB($C808,"CS_EVENT_DATEJ_N("&amp;$AA$18&amp;",2)")</f>
        <v/>
      </c>
      <c r="O808" s="282" t="str" cm="1">
        <f t="array" ref="O808">_xll.FDSB($C808,"CS_EVENT_TIME_N("&amp;$AA$18&amp;",2)")</f>
        <v/>
      </c>
      <c r="P808" s="282" t="str" cm="1">
        <f t="array" ref="P808">_xll.FDSB($C808,"CS_EVENT_DESC_N("&amp;$AA$18&amp;",2)")</f>
        <v/>
      </c>
      <c r="Q808" s="282"/>
      <c r="R808" s="274" t="str" cm="1">
        <f t="array" ref="R808">_xll.FDSB($C808,"CS_EVENT_DATEJ_N("&amp;$AA$18&amp;",3)")</f>
        <v/>
      </c>
      <c r="S808" s="282" t="str" cm="1">
        <f t="array" ref="S808">_xll.FDSB($C808,"CS_EVENT_TIME_N("&amp;$AA$18&amp;",3)")</f>
        <v/>
      </c>
      <c r="T808" s="282" t="str" cm="1">
        <f t="array" ref="T808">_xll.FDSB($C808,"CS_EVENT_DESC_N("&amp;$AA$18&amp;",3)")</f>
        <v/>
      </c>
      <c r="U808" s="282"/>
      <c r="V808" s="274" t="str" cm="1">
        <f t="array" ref="V808">_xll.FDSB($C808,"CS_EVENT_DATEJ_N("&amp;$AA$18&amp;",4)")</f>
        <v/>
      </c>
      <c r="W808" s="282" t="str" cm="1">
        <f t="array" ref="W808">_xll.FDSB($C808,"CS_EVENT_TIME_N("&amp;$AA$18&amp;",4)")</f>
        <v/>
      </c>
      <c r="X808" s="282" t="str" cm="1">
        <f t="array" ref="X808">_xll.FDSB($C808,"CS_EVENT_DESC_N("&amp;$AA$18&amp;",4)")</f>
        <v/>
      </c>
    </row>
    <row r="809" spans="2:24" x14ac:dyDescent="0.15">
      <c r="B809" s="298">
        <f t="shared" si="14"/>
        <v>794</v>
      </c>
      <c r="C809" s="299"/>
      <c r="D809" s="300" t="str" cm="1">
        <f t="array" ref="D809">_xll.FDSB($C809,"FG_COMPANY_NAME")</f>
        <v/>
      </c>
      <c r="E809" s="300"/>
      <c r="F809" s="274" t="str" cm="1">
        <f t="array" ref="F809">_xll.FDSB($C809,"CS_EVENT_DATEJ_N("&amp;$AA$18&amp;",1)")</f>
        <v/>
      </c>
      <c r="G809" s="282" t="str" cm="1">
        <f t="array" ref="G809">_xll.FDSB($C809,"CS_EVENT_TIME_N("&amp;$AA$18&amp;",1)")</f>
        <v/>
      </c>
      <c r="H809" s="282" t="str" cm="1">
        <f t="array" ref="H809">_xll.FDSB($C809,"CS_EVENT_DESC_N("&amp;$AA$18&amp;",1)")</f>
        <v/>
      </c>
      <c r="I809" s="282"/>
      <c r="J809" s="274" t="str" cm="1">
        <f t="array" ref="J809">_xll.FDSB($C809,"CS_EVENT_DATEJ_N("&amp;$AB$18&amp;",1)")</f>
        <v/>
      </c>
      <c r="K809" s="282" t="str" cm="1">
        <f t="array" ref="K809">_xll.FDSB($C809,"CS_EVENT_TIME_N("&amp;$AB$18&amp;",1)")</f>
        <v/>
      </c>
      <c r="L809" s="282" t="str" cm="1">
        <f t="array" ref="L809">_xll.FDSB($C809,"CS_EVENT_DESC_N("&amp;$AB$18&amp;",1)")</f>
        <v/>
      </c>
      <c r="M809" s="300"/>
      <c r="N809" s="274" t="str" cm="1">
        <f t="array" ref="N809">_xll.FDSB($C809,"CS_EVENT_DATEJ_N("&amp;$AA$18&amp;",2)")</f>
        <v/>
      </c>
      <c r="O809" s="282" t="str" cm="1">
        <f t="array" ref="O809">_xll.FDSB($C809,"CS_EVENT_TIME_N("&amp;$AA$18&amp;",2)")</f>
        <v/>
      </c>
      <c r="P809" s="282" t="str" cm="1">
        <f t="array" ref="P809">_xll.FDSB($C809,"CS_EVENT_DESC_N("&amp;$AA$18&amp;",2)")</f>
        <v/>
      </c>
      <c r="Q809" s="282"/>
      <c r="R809" s="274" t="str" cm="1">
        <f t="array" ref="R809">_xll.FDSB($C809,"CS_EVENT_DATEJ_N("&amp;$AA$18&amp;",3)")</f>
        <v/>
      </c>
      <c r="S809" s="282" t="str" cm="1">
        <f t="array" ref="S809">_xll.FDSB($C809,"CS_EVENT_TIME_N("&amp;$AA$18&amp;",3)")</f>
        <v/>
      </c>
      <c r="T809" s="282" t="str" cm="1">
        <f t="array" ref="T809">_xll.FDSB($C809,"CS_EVENT_DESC_N("&amp;$AA$18&amp;",3)")</f>
        <v/>
      </c>
      <c r="U809" s="282"/>
      <c r="V809" s="274" t="str" cm="1">
        <f t="array" ref="V809">_xll.FDSB($C809,"CS_EVENT_DATEJ_N("&amp;$AA$18&amp;",4)")</f>
        <v/>
      </c>
      <c r="W809" s="282" t="str" cm="1">
        <f t="array" ref="W809">_xll.FDSB($C809,"CS_EVENT_TIME_N("&amp;$AA$18&amp;",4)")</f>
        <v/>
      </c>
      <c r="X809" s="282" t="str" cm="1">
        <f t="array" ref="X809">_xll.FDSB($C809,"CS_EVENT_DESC_N("&amp;$AA$18&amp;",4)")</f>
        <v/>
      </c>
    </row>
    <row r="810" spans="2:24" x14ac:dyDescent="0.15">
      <c r="B810" s="298">
        <f t="shared" si="14"/>
        <v>795</v>
      </c>
      <c r="C810" s="299"/>
      <c r="D810" s="300" t="str" cm="1">
        <f t="array" ref="D810">_xll.FDSB($C810,"FG_COMPANY_NAME")</f>
        <v/>
      </c>
      <c r="E810" s="300"/>
      <c r="F810" s="274" t="str" cm="1">
        <f t="array" ref="F810">_xll.FDSB($C810,"CS_EVENT_DATEJ_N("&amp;$AA$18&amp;",1)")</f>
        <v/>
      </c>
      <c r="G810" s="282" t="str" cm="1">
        <f t="array" ref="G810">_xll.FDSB($C810,"CS_EVENT_TIME_N("&amp;$AA$18&amp;",1)")</f>
        <v/>
      </c>
      <c r="H810" s="282" t="str" cm="1">
        <f t="array" ref="H810">_xll.FDSB($C810,"CS_EVENT_DESC_N("&amp;$AA$18&amp;",1)")</f>
        <v/>
      </c>
      <c r="I810" s="282"/>
      <c r="J810" s="274" t="str" cm="1">
        <f t="array" ref="J810">_xll.FDSB($C810,"CS_EVENT_DATEJ_N("&amp;$AB$18&amp;",1)")</f>
        <v/>
      </c>
      <c r="K810" s="282" t="str" cm="1">
        <f t="array" ref="K810">_xll.FDSB($C810,"CS_EVENT_TIME_N("&amp;$AB$18&amp;",1)")</f>
        <v/>
      </c>
      <c r="L810" s="282" t="str" cm="1">
        <f t="array" ref="L810">_xll.FDSB($C810,"CS_EVENT_DESC_N("&amp;$AB$18&amp;",1)")</f>
        <v/>
      </c>
      <c r="M810" s="300"/>
      <c r="N810" s="274" t="str" cm="1">
        <f t="array" ref="N810">_xll.FDSB($C810,"CS_EVENT_DATEJ_N("&amp;$AA$18&amp;",2)")</f>
        <v/>
      </c>
      <c r="O810" s="282" t="str" cm="1">
        <f t="array" ref="O810">_xll.FDSB($C810,"CS_EVENT_TIME_N("&amp;$AA$18&amp;",2)")</f>
        <v/>
      </c>
      <c r="P810" s="282" t="str" cm="1">
        <f t="array" ref="P810">_xll.FDSB($C810,"CS_EVENT_DESC_N("&amp;$AA$18&amp;",2)")</f>
        <v/>
      </c>
      <c r="Q810" s="282"/>
      <c r="R810" s="274" t="str" cm="1">
        <f t="array" ref="R810">_xll.FDSB($C810,"CS_EVENT_DATEJ_N("&amp;$AA$18&amp;",3)")</f>
        <v/>
      </c>
      <c r="S810" s="282" t="str" cm="1">
        <f t="array" ref="S810">_xll.FDSB($C810,"CS_EVENT_TIME_N("&amp;$AA$18&amp;",3)")</f>
        <v/>
      </c>
      <c r="T810" s="282" t="str" cm="1">
        <f t="array" ref="T810">_xll.FDSB($C810,"CS_EVENT_DESC_N("&amp;$AA$18&amp;",3)")</f>
        <v/>
      </c>
      <c r="U810" s="282"/>
      <c r="V810" s="274" t="str" cm="1">
        <f t="array" ref="V810">_xll.FDSB($C810,"CS_EVENT_DATEJ_N("&amp;$AA$18&amp;",4)")</f>
        <v/>
      </c>
      <c r="W810" s="282" t="str" cm="1">
        <f t="array" ref="W810">_xll.FDSB($C810,"CS_EVENT_TIME_N("&amp;$AA$18&amp;",4)")</f>
        <v/>
      </c>
      <c r="X810" s="282" t="str" cm="1">
        <f t="array" ref="X810">_xll.FDSB($C810,"CS_EVENT_DESC_N("&amp;$AA$18&amp;",4)")</f>
        <v/>
      </c>
    </row>
    <row r="811" spans="2:24" x14ac:dyDescent="0.15">
      <c r="B811" s="298">
        <f t="shared" si="14"/>
        <v>796</v>
      </c>
      <c r="C811" s="299"/>
      <c r="D811" s="300" t="str" cm="1">
        <f t="array" ref="D811">_xll.FDSB($C811,"FG_COMPANY_NAME")</f>
        <v/>
      </c>
      <c r="E811" s="300"/>
      <c r="F811" s="274" t="str" cm="1">
        <f t="array" ref="F811">_xll.FDSB($C811,"CS_EVENT_DATEJ_N("&amp;$AA$18&amp;",1)")</f>
        <v/>
      </c>
      <c r="G811" s="282" t="str" cm="1">
        <f t="array" ref="G811">_xll.FDSB($C811,"CS_EVENT_TIME_N("&amp;$AA$18&amp;",1)")</f>
        <v/>
      </c>
      <c r="H811" s="282" t="str" cm="1">
        <f t="array" ref="H811">_xll.FDSB($C811,"CS_EVENT_DESC_N("&amp;$AA$18&amp;",1)")</f>
        <v/>
      </c>
      <c r="I811" s="282"/>
      <c r="J811" s="274" t="str" cm="1">
        <f t="array" ref="J811">_xll.FDSB($C811,"CS_EVENT_DATEJ_N("&amp;$AB$18&amp;",1)")</f>
        <v/>
      </c>
      <c r="K811" s="282" t="str" cm="1">
        <f t="array" ref="K811">_xll.FDSB($C811,"CS_EVENT_TIME_N("&amp;$AB$18&amp;",1)")</f>
        <v/>
      </c>
      <c r="L811" s="282" t="str" cm="1">
        <f t="array" ref="L811">_xll.FDSB($C811,"CS_EVENT_DESC_N("&amp;$AB$18&amp;",1)")</f>
        <v/>
      </c>
      <c r="M811" s="300"/>
      <c r="N811" s="274" t="str" cm="1">
        <f t="array" ref="N811">_xll.FDSB($C811,"CS_EVENT_DATEJ_N("&amp;$AA$18&amp;",2)")</f>
        <v/>
      </c>
      <c r="O811" s="282" t="str" cm="1">
        <f t="array" ref="O811">_xll.FDSB($C811,"CS_EVENT_TIME_N("&amp;$AA$18&amp;",2)")</f>
        <v/>
      </c>
      <c r="P811" s="282" t="str" cm="1">
        <f t="array" ref="P811">_xll.FDSB($C811,"CS_EVENT_DESC_N("&amp;$AA$18&amp;",2)")</f>
        <v/>
      </c>
      <c r="Q811" s="282"/>
      <c r="R811" s="274" t="str" cm="1">
        <f t="array" ref="R811">_xll.FDSB($C811,"CS_EVENT_DATEJ_N("&amp;$AA$18&amp;",3)")</f>
        <v/>
      </c>
      <c r="S811" s="282" t="str" cm="1">
        <f t="array" ref="S811">_xll.FDSB($C811,"CS_EVENT_TIME_N("&amp;$AA$18&amp;",3)")</f>
        <v/>
      </c>
      <c r="T811" s="282" t="str" cm="1">
        <f t="array" ref="T811">_xll.FDSB($C811,"CS_EVENT_DESC_N("&amp;$AA$18&amp;",3)")</f>
        <v/>
      </c>
      <c r="U811" s="282"/>
      <c r="V811" s="274" t="str" cm="1">
        <f t="array" ref="V811">_xll.FDSB($C811,"CS_EVENT_DATEJ_N("&amp;$AA$18&amp;",4)")</f>
        <v/>
      </c>
      <c r="W811" s="282" t="str" cm="1">
        <f t="array" ref="W811">_xll.FDSB($C811,"CS_EVENT_TIME_N("&amp;$AA$18&amp;",4)")</f>
        <v/>
      </c>
      <c r="X811" s="282" t="str" cm="1">
        <f t="array" ref="X811">_xll.FDSB($C811,"CS_EVENT_DESC_N("&amp;$AA$18&amp;",4)")</f>
        <v/>
      </c>
    </row>
    <row r="812" spans="2:24" x14ac:dyDescent="0.15">
      <c r="B812" s="298">
        <f t="shared" si="14"/>
        <v>797</v>
      </c>
      <c r="C812" s="299"/>
      <c r="D812" s="300" t="str" cm="1">
        <f t="array" ref="D812">_xll.FDSB($C812,"FG_COMPANY_NAME")</f>
        <v/>
      </c>
      <c r="E812" s="300"/>
      <c r="F812" s="274" t="str" cm="1">
        <f t="array" ref="F812">_xll.FDSB($C812,"CS_EVENT_DATEJ_N("&amp;$AA$18&amp;",1)")</f>
        <v/>
      </c>
      <c r="G812" s="282" t="str" cm="1">
        <f t="array" ref="G812">_xll.FDSB($C812,"CS_EVENT_TIME_N("&amp;$AA$18&amp;",1)")</f>
        <v/>
      </c>
      <c r="H812" s="282" t="str" cm="1">
        <f t="array" ref="H812">_xll.FDSB($C812,"CS_EVENT_DESC_N("&amp;$AA$18&amp;",1)")</f>
        <v/>
      </c>
      <c r="I812" s="282"/>
      <c r="J812" s="274" t="str" cm="1">
        <f t="array" ref="J812">_xll.FDSB($C812,"CS_EVENT_DATEJ_N("&amp;$AB$18&amp;",1)")</f>
        <v/>
      </c>
      <c r="K812" s="282" t="str" cm="1">
        <f t="array" ref="K812">_xll.FDSB($C812,"CS_EVENT_TIME_N("&amp;$AB$18&amp;",1)")</f>
        <v/>
      </c>
      <c r="L812" s="282" t="str" cm="1">
        <f t="array" ref="L812">_xll.FDSB($C812,"CS_EVENT_DESC_N("&amp;$AB$18&amp;",1)")</f>
        <v/>
      </c>
      <c r="M812" s="300"/>
      <c r="N812" s="274" t="str" cm="1">
        <f t="array" ref="N812">_xll.FDSB($C812,"CS_EVENT_DATEJ_N("&amp;$AA$18&amp;",2)")</f>
        <v/>
      </c>
      <c r="O812" s="282" t="str" cm="1">
        <f t="array" ref="O812">_xll.FDSB($C812,"CS_EVENT_TIME_N("&amp;$AA$18&amp;",2)")</f>
        <v/>
      </c>
      <c r="P812" s="282" t="str" cm="1">
        <f t="array" ref="P812">_xll.FDSB($C812,"CS_EVENT_DESC_N("&amp;$AA$18&amp;",2)")</f>
        <v/>
      </c>
      <c r="Q812" s="282"/>
      <c r="R812" s="274" t="str" cm="1">
        <f t="array" ref="R812">_xll.FDSB($C812,"CS_EVENT_DATEJ_N("&amp;$AA$18&amp;",3)")</f>
        <v/>
      </c>
      <c r="S812" s="282" t="str" cm="1">
        <f t="array" ref="S812">_xll.FDSB($C812,"CS_EVENT_TIME_N("&amp;$AA$18&amp;",3)")</f>
        <v/>
      </c>
      <c r="T812" s="282" t="str" cm="1">
        <f t="array" ref="T812">_xll.FDSB($C812,"CS_EVENT_DESC_N("&amp;$AA$18&amp;",3)")</f>
        <v/>
      </c>
      <c r="U812" s="282"/>
      <c r="V812" s="274" t="str" cm="1">
        <f t="array" ref="V812">_xll.FDSB($C812,"CS_EVENT_DATEJ_N("&amp;$AA$18&amp;",4)")</f>
        <v/>
      </c>
      <c r="W812" s="282" t="str" cm="1">
        <f t="array" ref="W812">_xll.FDSB($C812,"CS_EVENT_TIME_N("&amp;$AA$18&amp;",4)")</f>
        <v/>
      </c>
      <c r="X812" s="282" t="str" cm="1">
        <f t="array" ref="X812">_xll.FDSB($C812,"CS_EVENT_DESC_N("&amp;$AA$18&amp;",4)")</f>
        <v/>
      </c>
    </row>
    <row r="813" spans="2:24" x14ac:dyDescent="0.15">
      <c r="B813" s="298">
        <f t="shared" si="14"/>
        <v>798</v>
      </c>
      <c r="C813" s="299"/>
      <c r="D813" s="300" t="str" cm="1">
        <f t="array" ref="D813">_xll.FDSB($C813,"FG_COMPANY_NAME")</f>
        <v/>
      </c>
      <c r="E813" s="300"/>
      <c r="F813" s="274" t="str" cm="1">
        <f t="array" ref="F813">_xll.FDSB($C813,"CS_EVENT_DATEJ_N("&amp;$AA$18&amp;",1)")</f>
        <v/>
      </c>
      <c r="G813" s="282" t="str" cm="1">
        <f t="array" ref="G813">_xll.FDSB($C813,"CS_EVENT_TIME_N("&amp;$AA$18&amp;",1)")</f>
        <v/>
      </c>
      <c r="H813" s="282" t="str" cm="1">
        <f t="array" ref="H813">_xll.FDSB($C813,"CS_EVENT_DESC_N("&amp;$AA$18&amp;",1)")</f>
        <v/>
      </c>
      <c r="I813" s="282"/>
      <c r="J813" s="274" t="str" cm="1">
        <f t="array" ref="J813">_xll.FDSB($C813,"CS_EVENT_DATEJ_N("&amp;$AB$18&amp;",1)")</f>
        <v/>
      </c>
      <c r="K813" s="282" t="str" cm="1">
        <f t="array" ref="K813">_xll.FDSB($C813,"CS_EVENT_TIME_N("&amp;$AB$18&amp;",1)")</f>
        <v/>
      </c>
      <c r="L813" s="282" t="str" cm="1">
        <f t="array" ref="L813">_xll.FDSB($C813,"CS_EVENT_DESC_N("&amp;$AB$18&amp;",1)")</f>
        <v/>
      </c>
      <c r="M813" s="300"/>
      <c r="N813" s="274" t="str" cm="1">
        <f t="array" ref="N813">_xll.FDSB($C813,"CS_EVENT_DATEJ_N("&amp;$AA$18&amp;",2)")</f>
        <v/>
      </c>
      <c r="O813" s="282" t="str" cm="1">
        <f t="array" ref="O813">_xll.FDSB($C813,"CS_EVENT_TIME_N("&amp;$AA$18&amp;",2)")</f>
        <v/>
      </c>
      <c r="P813" s="282" t="str" cm="1">
        <f t="array" ref="P813">_xll.FDSB($C813,"CS_EVENT_DESC_N("&amp;$AA$18&amp;",2)")</f>
        <v/>
      </c>
      <c r="Q813" s="282"/>
      <c r="R813" s="274" t="str" cm="1">
        <f t="array" ref="R813">_xll.FDSB($C813,"CS_EVENT_DATEJ_N("&amp;$AA$18&amp;",3)")</f>
        <v/>
      </c>
      <c r="S813" s="282" t="str" cm="1">
        <f t="array" ref="S813">_xll.FDSB($C813,"CS_EVENT_TIME_N("&amp;$AA$18&amp;",3)")</f>
        <v/>
      </c>
      <c r="T813" s="282" t="str" cm="1">
        <f t="array" ref="T813">_xll.FDSB($C813,"CS_EVENT_DESC_N("&amp;$AA$18&amp;",3)")</f>
        <v/>
      </c>
      <c r="U813" s="282"/>
      <c r="V813" s="274" t="str" cm="1">
        <f t="array" ref="V813">_xll.FDSB($C813,"CS_EVENT_DATEJ_N("&amp;$AA$18&amp;",4)")</f>
        <v/>
      </c>
      <c r="W813" s="282" t="str" cm="1">
        <f t="array" ref="W813">_xll.FDSB($C813,"CS_EVENT_TIME_N("&amp;$AA$18&amp;",4)")</f>
        <v/>
      </c>
      <c r="X813" s="282" t="str" cm="1">
        <f t="array" ref="X813">_xll.FDSB($C813,"CS_EVENT_DESC_N("&amp;$AA$18&amp;",4)")</f>
        <v/>
      </c>
    </row>
    <row r="814" spans="2:24" x14ac:dyDescent="0.15">
      <c r="B814" s="298">
        <f t="shared" si="14"/>
        <v>799</v>
      </c>
      <c r="C814" s="299"/>
      <c r="D814" s="300" t="str" cm="1">
        <f t="array" ref="D814">_xll.FDSB($C814,"FG_COMPANY_NAME")</f>
        <v/>
      </c>
      <c r="E814" s="300"/>
      <c r="F814" s="274" t="str" cm="1">
        <f t="array" ref="F814">_xll.FDSB($C814,"CS_EVENT_DATEJ_N("&amp;$AA$18&amp;",1)")</f>
        <v/>
      </c>
      <c r="G814" s="282" t="str" cm="1">
        <f t="array" ref="G814">_xll.FDSB($C814,"CS_EVENT_TIME_N("&amp;$AA$18&amp;",1)")</f>
        <v/>
      </c>
      <c r="H814" s="282" t="str" cm="1">
        <f t="array" ref="H814">_xll.FDSB($C814,"CS_EVENT_DESC_N("&amp;$AA$18&amp;",1)")</f>
        <v/>
      </c>
      <c r="I814" s="282"/>
      <c r="J814" s="274" t="str" cm="1">
        <f t="array" ref="J814">_xll.FDSB($C814,"CS_EVENT_DATEJ_N("&amp;$AB$18&amp;",1)")</f>
        <v/>
      </c>
      <c r="K814" s="282" t="str" cm="1">
        <f t="array" ref="K814">_xll.FDSB($C814,"CS_EVENT_TIME_N("&amp;$AB$18&amp;",1)")</f>
        <v/>
      </c>
      <c r="L814" s="282" t="str" cm="1">
        <f t="array" ref="L814">_xll.FDSB($C814,"CS_EVENT_DESC_N("&amp;$AB$18&amp;",1)")</f>
        <v/>
      </c>
      <c r="M814" s="300"/>
      <c r="N814" s="274" t="str" cm="1">
        <f t="array" ref="N814">_xll.FDSB($C814,"CS_EVENT_DATEJ_N("&amp;$AA$18&amp;",2)")</f>
        <v/>
      </c>
      <c r="O814" s="282" t="str" cm="1">
        <f t="array" ref="O814">_xll.FDSB($C814,"CS_EVENT_TIME_N("&amp;$AA$18&amp;",2)")</f>
        <v/>
      </c>
      <c r="P814" s="282" t="str" cm="1">
        <f t="array" ref="P814">_xll.FDSB($C814,"CS_EVENT_DESC_N("&amp;$AA$18&amp;",2)")</f>
        <v/>
      </c>
      <c r="Q814" s="282"/>
      <c r="R814" s="274" t="str" cm="1">
        <f t="array" ref="R814">_xll.FDSB($C814,"CS_EVENT_DATEJ_N("&amp;$AA$18&amp;",3)")</f>
        <v/>
      </c>
      <c r="S814" s="282" t="str" cm="1">
        <f t="array" ref="S814">_xll.FDSB($C814,"CS_EVENT_TIME_N("&amp;$AA$18&amp;",3)")</f>
        <v/>
      </c>
      <c r="T814" s="282" t="str" cm="1">
        <f t="array" ref="T814">_xll.FDSB($C814,"CS_EVENT_DESC_N("&amp;$AA$18&amp;",3)")</f>
        <v/>
      </c>
      <c r="U814" s="282"/>
      <c r="V814" s="274" t="str" cm="1">
        <f t="array" ref="V814">_xll.FDSB($C814,"CS_EVENT_DATEJ_N("&amp;$AA$18&amp;",4)")</f>
        <v/>
      </c>
      <c r="W814" s="282" t="str" cm="1">
        <f t="array" ref="W814">_xll.FDSB($C814,"CS_EVENT_TIME_N("&amp;$AA$18&amp;",4)")</f>
        <v/>
      </c>
      <c r="X814" s="282" t="str" cm="1">
        <f t="array" ref="X814">_xll.FDSB($C814,"CS_EVENT_DESC_N("&amp;$AA$18&amp;",4)")</f>
        <v/>
      </c>
    </row>
    <row r="815" spans="2:24" x14ac:dyDescent="0.15">
      <c r="B815" s="298">
        <f t="shared" si="14"/>
        <v>800</v>
      </c>
      <c r="C815" s="299"/>
      <c r="D815" s="300" t="str" cm="1">
        <f t="array" ref="D815">_xll.FDSB($C815,"FG_COMPANY_NAME")</f>
        <v/>
      </c>
      <c r="E815" s="300"/>
      <c r="F815" s="274" t="str" cm="1">
        <f t="array" ref="F815">_xll.FDSB($C815,"CS_EVENT_DATEJ_N("&amp;$AA$18&amp;",1)")</f>
        <v/>
      </c>
      <c r="G815" s="282" t="str" cm="1">
        <f t="array" ref="G815">_xll.FDSB($C815,"CS_EVENT_TIME_N("&amp;$AA$18&amp;",1)")</f>
        <v/>
      </c>
      <c r="H815" s="282" t="str" cm="1">
        <f t="array" ref="H815">_xll.FDSB($C815,"CS_EVENT_DESC_N("&amp;$AA$18&amp;",1)")</f>
        <v/>
      </c>
      <c r="I815" s="282"/>
      <c r="J815" s="274" t="str" cm="1">
        <f t="array" ref="J815">_xll.FDSB($C815,"CS_EVENT_DATEJ_N("&amp;$AB$18&amp;",1)")</f>
        <v/>
      </c>
      <c r="K815" s="282" t="str" cm="1">
        <f t="array" ref="K815">_xll.FDSB($C815,"CS_EVENT_TIME_N("&amp;$AB$18&amp;",1)")</f>
        <v/>
      </c>
      <c r="L815" s="282" t="str" cm="1">
        <f t="array" ref="L815">_xll.FDSB($C815,"CS_EVENT_DESC_N("&amp;$AB$18&amp;",1)")</f>
        <v/>
      </c>
      <c r="M815" s="300"/>
      <c r="N815" s="274" t="str" cm="1">
        <f t="array" ref="N815">_xll.FDSB($C815,"CS_EVENT_DATEJ_N("&amp;$AA$18&amp;",2)")</f>
        <v/>
      </c>
      <c r="O815" s="282" t="str" cm="1">
        <f t="array" ref="O815">_xll.FDSB($C815,"CS_EVENT_TIME_N("&amp;$AA$18&amp;",2)")</f>
        <v/>
      </c>
      <c r="P815" s="282" t="str" cm="1">
        <f t="array" ref="P815">_xll.FDSB($C815,"CS_EVENT_DESC_N("&amp;$AA$18&amp;",2)")</f>
        <v/>
      </c>
      <c r="Q815" s="282"/>
      <c r="R815" s="274" t="str" cm="1">
        <f t="array" ref="R815">_xll.FDSB($C815,"CS_EVENT_DATEJ_N("&amp;$AA$18&amp;",3)")</f>
        <v/>
      </c>
      <c r="S815" s="282" t="str" cm="1">
        <f t="array" ref="S815">_xll.FDSB($C815,"CS_EVENT_TIME_N("&amp;$AA$18&amp;",3)")</f>
        <v/>
      </c>
      <c r="T815" s="282" t="str" cm="1">
        <f t="array" ref="T815">_xll.FDSB($C815,"CS_EVENT_DESC_N("&amp;$AA$18&amp;",3)")</f>
        <v/>
      </c>
      <c r="U815" s="282"/>
      <c r="V815" s="274" t="str" cm="1">
        <f t="array" ref="V815">_xll.FDSB($C815,"CS_EVENT_DATEJ_N("&amp;$AA$18&amp;",4)")</f>
        <v/>
      </c>
      <c r="W815" s="282" t="str" cm="1">
        <f t="array" ref="W815">_xll.FDSB($C815,"CS_EVENT_TIME_N("&amp;$AA$18&amp;",4)")</f>
        <v/>
      </c>
      <c r="X815" s="282" t="str" cm="1">
        <f t="array" ref="X815">_xll.FDSB($C815,"CS_EVENT_DESC_N("&amp;$AA$18&amp;",4)")</f>
        <v/>
      </c>
    </row>
    <row r="816" spans="2:24" x14ac:dyDescent="0.15">
      <c r="B816" s="298">
        <f t="shared" si="14"/>
        <v>801</v>
      </c>
      <c r="C816" s="299"/>
      <c r="D816" s="300" t="str" cm="1">
        <f t="array" ref="D816">_xll.FDSB($C816,"FG_COMPANY_NAME")</f>
        <v/>
      </c>
      <c r="E816" s="300"/>
      <c r="F816" s="274" t="str" cm="1">
        <f t="array" ref="F816">_xll.FDSB($C816,"CS_EVENT_DATEJ_N("&amp;$AA$18&amp;",1)")</f>
        <v/>
      </c>
      <c r="G816" s="282" t="str" cm="1">
        <f t="array" ref="G816">_xll.FDSB($C816,"CS_EVENT_TIME_N("&amp;$AA$18&amp;",1)")</f>
        <v/>
      </c>
      <c r="H816" s="282" t="str" cm="1">
        <f t="array" ref="H816">_xll.FDSB($C816,"CS_EVENT_DESC_N("&amp;$AA$18&amp;",1)")</f>
        <v/>
      </c>
      <c r="I816" s="282"/>
      <c r="J816" s="274" t="str" cm="1">
        <f t="array" ref="J816">_xll.FDSB($C816,"CS_EVENT_DATEJ_N("&amp;$AB$18&amp;",1)")</f>
        <v/>
      </c>
      <c r="K816" s="282" t="str" cm="1">
        <f t="array" ref="K816">_xll.FDSB($C816,"CS_EVENT_TIME_N("&amp;$AB$18&amp;",1)")</f>
        <v/>
      </c>
      <c r="L816" s="282" t="str" cm="1">
        <f t="array" ref="L816">_xll.FDSB($C816,"CS_EVENT_DESC_N("&amp;$AB$18&amp;",1)")</f>
        <v/>
      </c>
      <c r="M816" s="300"/>
      <c r="N816" s="274" t="str" cm="1">
        <f t="array" ref="N816">_xll.FDSB($C816,"CS_EVENT_DATEJ_N("&amp;$AA$18&amp;",2)")</f>
        <v/>
      </c>
      <c r="O816" s="282" t="str" cm="1">
        <f t="array" ref="O816">_xll.FDSB($C816,"CS_EVENT_TIME_N("&amp;$AA$18&amp;",2)")</f>
        <v/>
      </c>
      <c r="P816" s="282" t="str" cm="1">
        <f t="array" ref="P816">_xll.FDSB($C816,"CS_EVENT_DESC_N("&amp;$AA$18&amp;",2)")</f>
        <v/>
      </c>
      <c r="Q816" s="282"/>
      <c r="R816" s="274" t="str" cm="1">
        <f t="array" ref="R816">_xll.FDSB($C816,"CS_EVENT_DATEJ_N("&amp;$AA$18&amp;",3)")</f>
        <v/>
      </c>
      <c r="S816" s="282" t="str" cm="1">
        <f t="array" ref="S816">_xll.FDSB($C816,"CS_EVENT_TIME_N("&amp;$AA$18&amp;",3)")</f>
        <v/>
      </c>
      <c r="T816" s="282" t="str" cm="1">
        <f t="array" ref="T816">_xll.FDSB($C816,"CS_EVENT_DESC_N("&amp;$AA$18&amp;",3)")</f>
        <v/>
      </c>
      <c r="U816" s="282"/>
      <c r="V816" s="274" t="str" cm="1">
        <f t="array" ref="V816">_xll.FDSB($C816,"CS_EVENT_DATEJ_N("&amp;$AA$18&amp;",4)")</f>
        <v/>
      </c>
      <c r="W816" s="282" t="str" cm="1">
        <f t="array" ref="W816">_xll.FDSB($C816,"CS_EVENT_TIME_N("&amp;$AA$18&amp;",4)")</f>
        <v/>
      </c>
      <c r="X816" s="282" t="str" cm="1">
        <f t="array" ref="X816">_xll.FDSB($C816,"CS_EVENT_DESC_N("&amp;$AA$18&amp;",4)")</f>
        <v/>
      </c>
    </row>
    <row r="817" spans="2:24" x14ac:dyDescent="0.15">
      <c r="B817" s="298">
        <f t="shared" si="14"/>
        <v>802</v>
      </c>
      <c r="C817" s="299"/>
      <c r="D817" s="300" t="str" cm="1">
        <f t="array" ref="D817">_xll.FDSB($C817,"FG_COMPANY_NAME")</f>
        <v/>
      </c>
      <c r="E817" s="300"/>
      <c r="F817" s="274" t="str" cm="1">
        <f t="array" ref="F817">_xll.FDSB($C817,"CS_EVENT_DATEJ_N("&amp;$AA$18&amp;",1)")</f>
        <v/>
      </c>
      <c r="G817" s="282" t="str" cm="1">
        <f t="array" ref="G817">_xll.FDSB($C817,"CS_EVENT_TIME_N("&amp;$AA$18&amp;",1)")</f>
        <v/>
      </c>
      <c r="H817" s="282" t="str" cm="1">
        <f t="array" ref="H817">_xll.FDSB($C817,"CS_EVENT_DESC_N("&amp;$AA$18&amp;",1)")</f>
        <v/>
      </c>
      <c r="I817" s="282"/>
      <c r="J817" s="274" t="str" cm="1">
        <f t="array" ref="J817">_xll.FDSB($C817,"CS_EVENT_DATEJ_N("&amp;$AB$18&amp;",1)")</f>
        <v/>
      </c>
      <c r="K817" s="282" t="str" cm="1">
        <f t="array" ref="K817">_xll.FDSB($C817,"CS_EVENT_TIME_N("&amp;$AB$18&amp;",1)")</f>
        <v/>
      </c>
      <c r="L817" s="282" t="str" cm="1">
        <f t="array" ref="L817">_xll.FDSB($C817,"CS_EVENT_DESC_N("&amp;$AB$18&amp;",1)")</f>
        <v/>
      </c>
      <c r="M817" s="300"/>
      <c r="N817" s="274" t="str" cm="1">
        <f t="array" ref="N817">_xll.FDSB($C817,"CS_EVENT_DATEJ_N("&amp;$AA$18&amp;",2)")</f>
        <v/>
      </c>
      <c r="O817" s="282" t="str" cm="1">
        <f t="array" ref="O817">_xll.FDSB($C817,"CS_EVENT_TIME_N("&amp;$AA$18&amp;",2)")</f>
        <v/>
      </c>
      <c r="P817" s="282" t="str" cm="1">
        <f t="array" ref="P817">_xll.FDSB($C817,"CS_EVENT_DESC_N("&amp;$AA$18&amp;",2)")</f>
        <v/>
      </c>
      <c r="Q817" s="282"/>
      <c r="R817" s="274" t="str" cm="1">
        <f t="array" ref="R817">_xll.FDSB($C817,"CS_EVENT_DATEJ_N("&amp;$AA$18&amp;",3)")</f>
        <v/>
      </c>
      <c r="S817" s="282" t="str" cm="1">
        <f t="array" ref="S817">_xll.FDSB($C817,"CS_EVENT_TIME_N("&amp;$AA$18&amp;",3)")</f>
        <v/>
      </c>
      <c r="T817" s="282" t="str" cm="1">
        <f t="array" ref="T817">_xll.FDSB($C817,"CS_EVENT_DESC_N("&amp;$AA$18&amp;",3)")</f>
        <v/>
      </c>
      <c r="U817" s="282"/>
      <c r="V817" s="274" t="str" cm="1">
        <f t="array" ref="V817">_xll.FDSB($C817,"CS_EVENT_DATEJ_N("&amp;$AA$18&amp;",4)")</f>
        <v/>
      </c>
      <c r="W817" s="282" t="str" cm="1">
        <f t="array" ref="W817">_xll.FDSB($C817,"CS_EVENT_TIME_N("&amp;$AA$18&amp;",4)")</f>
        <v/>
      </c>
      <c r="X817" s="282" t="str" cm="1">
        <f t="array" ref="X817">_xll.FDSB($C817,"CS_EVENT_DESC_N("&amp;$AA$18&amp;",4)")</f>
        <v/>
      </c>
    </row>
    <row r="818" spans="2:24" x14ac:dyDescent="0.15">
      <c r="B818" s="298">
        <f t="shared" si="14"/>
        <v>803</v>
      </c>
      <c r="C818" s="299"/>
      <c r="D818" s="300" t="str" cm="1">
        <f t="array" ref="D818">_xll.FDSB($C818,"FG_COMPANY_NAME")</f>
        <v/>
      </c>
      <c r="E818" s="300"/>
      <c r="F818" s="274" t="str" cm="1">
        <f t="array" ref="F818">_xll.FDSB($C818,"CS_EVENT_DATEJ_N("&amp;$AA$18&amp;",1)")</f>
        <v/>
      </c>
      <c r="G818" s="282" t="str" cm="1">
        <f t="array" ref="G818">_xll.FDSB($C818,"CS_EVENT_TIME_N("&amp;$AA$18&amp;",1)")</f>
        <v/>
      </c>
      <c r="H818" s="282" t="str" cm="1">
        <f t="array" ref="H818">_xll.FDSB($C818,"CS_EVENT_DESC_N("&amp;$AA$18&amp;",1)")</f>
        <v/>
      </c>
      <c r="I818" s="282"/>
      <c r="J818" s="274" t="str" cm="1">
        <f t="array" ref="J818">_xll.FDSB($C818,"CS_EVENT_DATEJ_N("&amp;$AB$18&amp;",1)")</f>
        <v/>
      </c>
      <c r="K818" s="282" t="str" cm="1">
        <f t="array" ref="K818">_xll.FDSB($C818,"CS_EVENT_TIME_N("&amp;$AB$18&amp;",1)")</f>
        <v/>
      </c>
      <c r="L818" s="282" t="str" cm="1">
        <f t="array" ref="L818">_xll.FDSB($C818,"CS_EVENT_DESC_N("&amp;$AB$18&amp;",1)")</f>
        <v/>
      </c>
      <c r="M818" s="300"/>
      <c r="N818" s="274" t="str" cm="1">
        <f t="array" ref="N818">_xll.FDSB($C818,"CS_EVENT_DATEJ_N("&amp;$AA$18&amp;",2)")</f>
        <v/>
      </c>
      <c r="O818" s="282" t="str" cm="1">
        <f t="array" ref="O818">_xll.FDSB($C818,"CS_EVENT_TIME_N("&amp;$AA$18&amp;",2)")</f>
        <v/>
      </c>
      <c r="P818" s="282" t="str" cm="1">
        <f t="array" ref="P818">_xll.FDSB($C818,"CS_EVENT_DESC_N("&amp;$AA$18&amp;",2)")</f>
        <v/>
      </c>
      <c r="Q818" s="282"/>
      <c r="R818" s="274" t="str" cm="1">
        <f t="array" ref="R818">_xll.FDSB($C818,"CS_EVENT_DATEJ_N("&amp;$AA$18&amp;",3)")</f>
        <v/>
      </c>
      <c r="S818" s="282" t="str" cm="1">
        <f t="array" ref="S818">_xll.FDSB($C818,"CS_EVENT_TIME_N("&amp;$AA$18&amp;",3)")</f>
        <v/>
      </c>
      <c r="T818" s="282" t="str" cm="1">
        <f t="array" ref="T818">_xll.FDSB($C818,"CS_EVENT_DESC_N("&amp;$AA$18&amp;",3)")</f>
        <v/>
      </c>
      <c r="U818" s="282"/>
      <c r="V818" s="274" t="str" cm="1">
        <f t="array" ref="V818">_xll.FDSB($C818,"CS_EVENT_DATEJ_N("&amp;$AA$18&amp;",4)")</f>
        <v/>
      </c>
      <c r="W818" s="282" t="str" cm="1">
        <f t="array" ref="W818">_xll.FDSB($C818,"CS_EVENT_TIME_N("&amp;$AA$18&amp;",4)")</f>
        <v/>
      </c>
      <c r="X818" s="282" t="str" cm="1">
        <f t="array" ref="X818">_xll.FDSB($C818,"CS_EVENT_DESC_N("&amp;$AA$18&amp;",4)")</f>
        <v/>
      </c>
    </row>
    <row r="819" spans="2:24" x14ac:dyDescent="0.15">
      <c r="B819" s="298">
        <f t="shared" si="14"/>
        <v>804</v>
      </c>
      <c r="C819" s="299"/>
      <c r="D819" s="300" t="str" cm="1">
        <f t="array" ref="D819">_xll.FDSB($C819,"FG_COMPANY_NAME")</f>
        <v/>
      </c>
      <c r="E819" s="300"/>
      <c r="F819" s="274" t="str" cm="1">
        <f t="array" ref="F819">_xll.FDSB($C819,"CS_EVENT_DATEJ_N("&amp;$AA$18&amp;",1)")</f>
        <v/>
      </c>
      <c r="G819" s="282" t="str" cm="1">
        <f t="array" ref="G819">_xll.FDSB($C819,"CS_EVENT_TIME_N("&amp;$AA$18&amp;",1)")</f>
        <v/>
      </c>
      <c r="H819" s="282" t="str" cm="1">
        <f t="array" ref="H819">_xll.FDSB($C819,"CS_EVENT_DESC_N("&amp;$AA$18&amp;",1)")</f>
        <v/>
      </c>
      <c r="I819" s="282"/>
      <c r="J819" s="274" t="str" cm="1">
        <f t="array" ref="J819">_xll.FDSB($C819,"CS_EVENT_DATEJ_N("&amp;$AB$18&amp;",1)")</f>
        <v/>
      </c>
      <c r="K819" s="282" t="str" cm="1">
        <f t="array" ref="K819">_xll.FDSB($C819,"CS_EVENT_TIME_N("&amp;$AB$18&amp;",1)")</f>
        <v/>
      </c>
      <c r="L819" s="282" t="str" cm="1">
        <f t="array" ref="L819">_xll.FDSB($C819,"CS_EVENT_DESC_N("&amp;$AB$18&amp;",1)")</f>
        <v/>
      </c>
      <c r="M819" s="300"/>
      <c r="N819" s="274" t="str" cm="1">
        <f t="array" ref="N819">_xll.FDSB($C819,"CS_EVENT_DATEJ_N("&amp;$AA$18&amp;",2)")</f>
        <v/>
      </c>
      <c r="O819" s="282" t="str" cm="1">
        <f t="array" ref="O819">_xll.FDSB($C819,"CS_EVENT_TIME_N("&amp;$AA$18&amp;",2)")</f>
        <v/>
      </c>
      <c r="P819" s="282" t="str" cm="1">
        <f t="array" ref="P819">_xll.FDSB($C819,"CS_EVENT_DESC_N("&amp;$AA$18&amp;",2)")</f>
        <v/>
      </c>
      <c r="Q819" s="282"/>
      <c r="R819" s="274" t="str" cm="1">
        <f t="array" ref="R819">_xll.FDSB($C819,"CS_EVENT_DATEJ_N("&amp;$AA$18&amp;",3)")</f>
        <v/>
      </c>
      <c r="S819" s="282" t="str" cm="1">
        <f t="array" ref="S819">_xll.FDSB($C819,"CS_EVENT_TIME_N("&amp;$AA$18&amp;",3)")</f>
        <v/>
      </c>
      <c r="T819" s="282" t="str" cm="1">
        <f t="array" ref="T819">_xll.FDSB($C819,"CS_EVENT_DESC_N("&amp;$AA$18&amp;",3)")</f>
        <v/>
      </c>
      <c r="U819" s="282"/>
      <c r="V819" s="274" t="str" cm="1">
        <f t="array" ref="V819">_xll.FDSB($C819,"CS_EVENT_DATEJ_N("&amp;$AA$18&amp;",4)")</f>
        <v/>
      </c>
      <c r="W819" s="282" t="str" cm="1">
        <f t="array" ref="W819">_xll.FDSB($C819,"CS_EVENT_TIME_N("&amp;$AA$18&amp;",4)")</f>
        <v/>
      </c>
      <c r="X819" s="282" t="str" cm="1">
        <f t="array" ref="X819">_xll.FDSB($C819,"CS_EVENT_DESC_N("&amp;$AA$18&amp;",4)")</f>
        <v/>
      </c>
    </row>
    <row r="820" spans="2:24" x14ac:dyDescent="0.15">
      <c r="B820" s="298">
        <f t="shared" si="14"/>
        <v>805</v>
      </c>
      <c r="C820" s="299"/>
      <c r="D820" s="300" t="str" cm="1">
        <f t="array" ref="D820">_xll.FDSB($C820,"FG_COMPANY_NAME")</f>
        <v/>
      </c>
      <c r="E820" s="300"/>
      <c r="F820" s="274" t="str" cm="1">
        <f t="array" ref="F820">_xll.FDSB($C820,"CS_EVENT_DATEJ_N("&amp;$AA$18&amp;",1)")</f>
        <v/>
      </c>
      <c r="G820" s="282" t="str" cm="1">
        <f t="array" ref="G820">_xll.FDSB($C820,"CS_EVENT_TIME_N("&amp;$AA$18&amp;",1)")</f>
        <v/>
      </c>
      <c r="H820" s="282" t="str" cm="1">
        <f t="array" ref="H820">_xll.FDSB($C820,"CS_EVENT_DESC_N("&amp;$AA$18&amp;",1)")</f>
        <v/>
      </c>
      <c r="I820" s="282"/>
      <c r="J820" s="274" t="str" cm="1">
        <f t="array" ref="J820">_xll.FDSB($C820,"CS_EVENT_DATEJ_N("&amp;$AB$18&amp;",1)")</f>
        <v/>
      </c>
      <c r="K820" s="282" t="str" cm="1">
        <f t="array" ref="K820">_xll.FDSB($C820,"CS_EVENT_TIME_N("&amp;$AB$18&amp;",1)")</f>
        <v/>
      </c>
      <c r="L820" s="282" t="str" cm="1">
        <f t="array" ref="L820">_xll.FDSB($C820,"CS_EVENT_DESC_N("&amp;$AB$18&amp;",1)")</f>
        <v/>
      </c>
      <c r="M820" s="300"/>
      <c r="N820" s="274" t="str" cm="1">
        <f t="array" ref="N820">_xll.FDSB($C820,"CS_EVENT_DATEJ_N("&amp;$AA$18&amp;",2)")</f>
        <v/>
      </c>
      <c r="O820" s="282" t="str" cm="1">
        <f t="array" ref="O820">_xll.FDSB($C820,"CS_EVENT_TIME_N("&amp;$AA$18&amp;",2)")</f>
        <v/>
      </c>
      <c r="P820" s="282" t="str" cm="1">
        <f t="array" ref="P820">_xll.FDSB($C820,"CS_EVENT_DESC_N("&amp;$AA$18&amp;",2)")</f>
        <v/>
      </c>
      <c r="Q820" s="282"/>
      <c r="R820" s="274" t="str" cm="1">
        <f t="array" ref="R820">_xll.FDSB($C820,"CS_EVENT_DATEJ_N("&amp;$AA$18&amp;",3)")</f>
        <v/>
      </c>
      <c r="S820" s="282" t="str" cm="1">
        <f t="array" ref="S820">_xll.FDSB($C820,"CS_EVENT_TIME_N("&amp;$AA$18&amp;",3)")</f>
        <v/>
      </c>
      <c r="T820" s="282" t="str" cm="1">
        <f t="array" ref="T820">_xll.FDSB($C820,"CS_EVENT_DESC_N("&amp;$AA$18&amp;",3)")</f>
        <v/>
      </c>
      <c r="U820" s="282"/>
      <c r="V820" s="274" t="str" cm="1">
        <f t="array" ref="V820">_xll.FDSB($C820,"CS_EVENT_DATEJ_N("&amp;$AA$18&amp;",4)")</f>
        <v/>
      </c>
      <c r="W820" s="282" t="str" cm="1">
        <f t="array" ref="W820">_xll.FDSB($C820,"CS_EVENT_TIME_N("&amp;$AA$18&amp;",4)")</f>
        <v/>
      </c>
      <c r="X820" s="282" t="str" cm="1">
        <f t="array" ref="X820">_xll.FDSB($C820,"CS_EVENT_DESC_N("&amp;$AA$18&amp;",4)")</f>
        <v/>
      </c>
    </row>
    <row r="821" spans="2:24" x14ac:dyDescent="0.15">
      <c r="B821" s="298">
        <f t="shared" si="14"/>
        <v>806</v>
      </c>
      <c r="C821" s="299"/>
      <c r="D821" s="300" t="str" cm="1">
        <f t="array" ref="D821">_xll.FDSB($C821,"FG_COMPANY_NAME")</f>
        <v/>
      </c>
      <c r="E821" s="300"/>
      <c r="F821" s="274" t="str" cm="1">
        <f t="array" ref="F821">_xll.FDSB($C821,"CS_EVENT_DATEJ_N("&amp;$AA$18&amp;",1)")</f>
        <v/>
      </c>
      <c r="G821" s="282" t="str" cm="1">
        <f t="array" ref="G821">_xll.FDSB($C821,"CS_EVENT_TIME_N("&amp;$AA$18&amp;",1)")</f>
        <v/>
      </c>
      <c r="H821" s="282" t="str" cm="1">
        <f t="array" ref="H821">_xll.FDSB($C821,"CS_EVENT_DESC_N("&amp;$AA$18&amp;",1)")</f>
        <v/>
      </c>
      <c r="I821" s="282"/>
      <c r="J821" s="274" t="str" cm="1">
        <f t="array" ref="J821">_xll.FDSB($C821,"CS_EVENT_DATEJ_N("&amp;$AB$18&amp;",1)")</f>
        <v/>
      </c>
      <c r="K821" s="282" t="str" cm="1">
        <f t="array" ref="K821">_xll.FDSB($C821,"CS_EVENT_TIME_N("&amp;$AB$18&amp;",1)")</f>
        <v/>
      </c>
      <c r="L821" s="282" t="str" cm="1">
        <f t="array" ref="L821">_xll.FDSB($C821,"CS_EVENT_DESC_N("&amp;$AB$18&amp;",1)")</f>
        <v/>
      </c>
      <c r="M821" s="300"/>
      <c r="N821" s="274" t="str" cm="1">
        <f t="array" ref="N821">_xll.FDSB($C821,"CS_EVENT_DATEJ_N("&amp;$AA$18&amp;",2)")</f>
        <v/>
      </c>
      <c r="O821" s="282" t="str" cm="1">
        <f t="array" ref="O821">_xll.FDSB($C821,"CS_EVENT_TIME_N("&amp;$AA$18&amp;",2)")</f>
        <v/>
      </c>
      <c r="P821" s="282" t="str" cm="1">
        <f t="array" ref="P821">_xll.FDSB($C821,"CS_EVENT_DESC_N("&amp;$AA$18&amp;",2)")</f>
        <v/>
      </c>
      <c r="Q821" s="282"/>
      <c r="R821" s="274" t="str" cm="1">
        <f t="array" ref="R821">_xll.FDSB($C821,"CS_EVENT_DATEJ_N("&amp;$AA$18&amp;",3)")</f>
        <v/>
      </c>
      <c r="S821" s="282" t="str" cm="1">
        <f t="array" ref="S821">_xll.FDSB($C821,"CS_EVENT_TIME_N("&amp;$AA$18&amp;",3)")</f>
        <v/>
      </c>
      <c r="T821" s="282" t="str" cm="1">
        <f t="array" ref="T821">_xll.FDSB($C821,"CS_EVENT_DESC_N("&amp;$AA$18&amp;",3)")</f>
        <v/>
      </c>
      <c r="U821" s="282"/>
      <c r="V821" s="274" t="str" cm="1">
        <f t="array" ref="V821">_xll.FDSB($C821,"CS_EVENT_DATEJ_N("&amp;$AA$18&amp;",4)")</f>
        <v/>
      </c>
      <c r="W821" s="282" t="str" cm="1">
        <f t="array" ref="W821">_xll.FDSB($C821,"CS_EVENT_TIME_N("&amp;$AA$18&amp;",4)")</f>
        <v/>
      </c>
      <c r="X821" s="282" t="str" cm="1">
        <f t="array" ref="X821">_xll.FDSB($C821,"CS_EVENT_DESC_N("&amp;$AA$18&amp;",4)")</f>
        <v/>
      </c>
    </row>
    <row r="822" spans="2:24" x14ac:dyDescent="0.15">
      <c r="B822" s="298">
        <f t="shared" si="14"/>
        <v>807</v>
      </c>
      <c r="C822" s="299"/>
      <c r="D822" s="300" t="str" cm="1">
        <f t="array" ref="D822">_xll.FDSB($C822,"FG_COMPANY_NAME")</f>
        <v/>
      </c>
      <c r="E822" s="300"/>
      <c r="F822" s="274" t="str" cm="1">
        <f t="array" ref="F822">_xll.FDSB($C822,"CS_EVENT_DATEJ_N("&amp;$AA$18&amp;",1)")</f>
        <v/>
      </c>
      <c r="G822" s="282" t="str" cm="1">
        <f t="array" ref="G822">_xll.FDSB($C822,"CS_EVENT_TIME_N("&amp;$AA$18&amp;",1)")</f>
        <v/>
      </c>
      <c r="H822" s="282" t="str" cm="1">
        <f t="array" ref="H822">_xll.FDSB($C822,"CS_EVENT_DESC_N("&amp;$AA$18&amp;",1)")</f>
        <v/>
      </c>
      <c r="I822" s="282"/>
      <c r="J822" s="274" t="str" cm="1">
        <f t="array" ref="J822">_xll.FDSB($C822,"CS_EVENT_DATEJ_N("&amp;$AB$18&amp;",1)")</f>
        <v/>
      </c>
      <c r="K822" s="282" t="str" cm="1">
        <f t="array" ref="K822">_xll.FDSB($C822,"CS_EVENT_TIME_N("&amp;$AB$18&amp;",1)")</f>
        <v/>
      </c>
      <c r="L822" s="282" t="str" cm="1">
        <f t="array" ref="L822">_xll.FDSB($C822,"CS_EVENT_DESC_N("&amp;$AB$18&amp;",1)")</f>
        <v/>
      </c>
      <c r="M822" s="300"/>
      <c r="N822" s="274" t="str" cm="1">
        <f t="array" ref="N822">_xll.FDSB($C822,"CS_EVENT_DATEJ_N("&amp;$AA$18&amp;",2)")</f>
        <v/>
      </c>
      <c r="O822" s="282" t="str" cm="1">
        <f t="array" ref="O822">_xll.FDSB($C822,"CS_EVENT_TIME_N("&amp;$AA$18&amp;",2)")</f>
        <v/>
      </c>
      <c r="P822" s="282" t="str" cm="1">
        <f t="array" ref="P822">_xll.FDSB($C822,"CS_EVENT_DESC_N("&amp;$AA$18&amp;",2)")</f>
        <v/>
      </c>
      <c r="Q822" s="282"/>
      <c r="R822" s="274" t="str" cm="1">
        <f t="array" ref="R822">_xll.FDSB($C822,"CS_EVENT_DATEJ_N("&amp;$AA$18&amp;",3)")</f>
        <v/>
      </c>
      <c r="S822" s="282" t="str" cm="1">
        <f t="array" ref="S822">_xll.FDSB($C822,"CS_EVENT_TIME_N("&amp;$AA$18&amp;",3)")</f>
        <v/>
      </c>
      <c r="T822" s="282" t="str" cm="1">
        <f t="array" ref="T822">_xll.FDSB($C822,"CS_EVENT_DESC_N("&amp;$AA$18&amp;",3)")</f>
        <v/>
      </c>
      <c r="U822" s="282"/>
      <c r="V822" s="274" t="str" cm="1">
        <f t="array" ref="V822">_xll.FDSB($C822,"CS_EVENT_DATEJ_N("&amp;$AA$18&amp;",4)")</f>
        <v/>
      </c>
      <c r="W822" s="282" t="str" cm="1">
        <f t="array" ref="W822">_xll.FDSB($C822,"CS_EVENT_TIME_N("&amp;$AA$18&amp;",4)")</f>
        <v/>
      </c>
      <c r="X822" s="282" t="str" cm="1">
        <f t="array" ref="X822">_xll.FDSB($C822,"CS_EVENT_DESC_N("&amp;$AA$18&amp;",4)")</f>
        <v/>
      </c>
    </row>
    <row r="823" spans="2:24" x14ac:dyDescent="0.15">
      <c r="B823" s="298">
        <f t="shared" si="14"/>
        <v>808</v>
      </c>
      <c r="C823" s="299"/>
      <c r="D823" s="300" t="str" cm="1">
        <f t="array" ref="D823">_xll.FDSB($C823,"FG_COMPANY_NAME")</f>
        <v/>
      </c>
      <c r="E823" s="300"/>
      <c r="F823" s="274" t="str" cm="1">
        <f t="array" ref="F823">_xll.FDSB($C823,"CS_EVENT_DATEJ_N("&amp;$AA$18&amp;",1)")</f>
        <v/>
      </c>
      <c r="G823" s="282" t="str" cm="1">
        <f t="array" ref="G823">_xll.FDSB($C823,"CS_EVENT_TIME_N("&amp;$AA$18&amp;",1)")</f>
        <v/>
      </c>
      <c r="H823" s="282" t="str" cm="1">
        <f t="array" ref="H823">_xll.FDSB($C823,"CS_EVENT_DESC_N("&amp;$AA$18&amp;",1)")</f>
        <v/>
      </c>
      <c r="I823" s="282"/>
      <c r="J823" s="274" t="str" cm="1">
        <f t="array" ref="J823">_xll.FDSB($C823,"CS_EVENT_DATEJ_N("&amp;$AB$18&amp;",1)")</f>
        <v/>
      </c>
      <c r="K823" s="282" t="str" cm="1">
        <f t="array" ref="K823">_xll.FDSB($C823,"CS_EVENT_TIME_N("&amp;$AB$18&amp;",1)")</f>
        <v/>
      </c>
      <c r="L823" s="282" t="str" cm="1">
        <f t="array" ref="L823">_xll.FDSB($C823,"CS_EVENT_DESC_N("&amp;$AB$18&amp;",1)")</f>
        <v/>
      </c>
      <c r="M823" s="300"/>
      <c r="N823" s="274" t="str" cm="1">
        <f t="array" ref="N823">_xll.FDSB($C823,"CS_EVENT_DATEJ_N("&amp;$AA$18&amp;",2)")</f>
        <v/>
      </c>
      <c r="O823" s="282" t="str" cm="1">
        <f t="array" ref="O823">_xll.FDSB($C823,"CS_EVENT_TIME_N("&amp;$AA$18&amp;",2)")</f>
        <v/>
      </c>
      <c r="P823" s="282" t="str" cm="1">
        <f t="array" ref="P823">_xll.FDSB($C823,"CS_EVENT_DESC_N("&amp;$AA$18&amp;",2)")</f>
        <v/>
      </c>
      <c r="Q823" s="282"/>
      <c r="R823" s="274" t="str" cm="1">
        <f t="array" ref="R823">_xll.FDSB($C823,"CS_EVENT_DATEJ_N("&amp;$AA$18&amp;",3)")</f>
        <v/>
      </c>
      <c r="S823" s="282" t="str" cm="1">
        <f t="array" ref="S823">_xll.FDSB($C823,"CS_EVENT_TIME_N("&amp;$AA$18&amp;",3)")</f>
        <v/>
      </c>
      <c r="T823" s="282" t="str" cm="1">
        <f t="array" ref="T823">_xll.FDSB($C823,"CS_EVENT_DESC_N("&amp;$AA$18&amp;",3)")</f>
        <v/>
      </c>
      <c r="U823" s="282"/>
      <c r="V823" s="274" t="str" cm="1">
        <f t="array" ref="V823">_xll.FDSB($C823,"CS_EVENT_DATEJ_N("&amp;$AA$18&amp;",4)")</f>
        <v/>
      </c>
      <c r="W823" s="282" t="str" cm="1">
        <f t="array" ref="W823">_xll.FDSB($C823,"CS_EVENT_TIME_N("&amp;$AA$18&amp;",4)")</f>
        <v/>
      </c>
      <c r="X823" s="282" t="str" cm="1">
        <f t="array" ref="X823">_xll.FDSB($C823,"CS_EVENT_DESC_N("&amp;$AA$18&amp;",4)")</f>
        <v/>
      </c>
    </row>
    <row r="824" spans="2:24" x14ac:dyDescent="0.15">
      <c r="B824" s="298">
        <f t="shared" si="14"/>
        <v>809</v>
      </c>
      <c r="C824" s="299"/>
      <c r="D824" s="300" t="str" cm="1">
        <f t="array" ref="D824">_xll.FDSB($C824,"FG_COMPANY_NAME")</f>
        <v/>
      </c>
      <c r="E824" s="300"/>
      <c r="F824" s="274" t="str" cm="1">
        <f t="array" ref="F824">_xll.FDSB($C824,"CS_EVENT_DATEJ_N("&amp;$AA$18&amp;",1)")</f>
        <v/>
      </c>
      <c r="G824" s="282" t="str" cm="1">
        <f t="array" ref="G824">_xll.FDSB($C824,"CS_EVENT_TIME_N("&amp;$AA$18&amp;",1)")</f>
        <v/>
      </c>
      <c r="H824" s="282" t="str" cm="1">
        <f t="array" ref="H824">_xll.FDSB($C824,"CS_EVENT_DESC_N("&amp;$AA$18&amp;",1)")</f>
        <v/>
      </c>
      <c r="I824" s="282"/>
      <c r="J824" s="274" t="str" cm="1">
        <f t="array" ref="J824">_xll.FDSB($C824,"CS_EVENT_DATEJ_N("&amp;$AB$18&amp;",1)")</f>
        <v/>
      </c>
      <c r="K824" s="282" t="str" cm="1">
        <f t="array" ref="K824">_xll.FDSB($C824,"CS_EVENT_TIME_N("&amp;$AB$18&amp;",1)")</f>
        <v/>
      </c>
      <c r="L824" s="282" t="str" cm="1">
        <f t="array" ref="L824">_xll.FDSB($C824,"CS_EVENT_DESC_N("&amp;$AB$18&amp;",1)")</f>
        <v/>
      </c>
      <c r="M824" s="300"/>
      <c r="N824" s="274" t="str" cm="1">
        <f t="array" ref="N824">_xll.FDSB($C824,"CS_EVENT_DATEJ_N("&amp;$AA$18&amp;",2)")</f>
        <v/>
      </c>
      <c r="O824" s="282" t="str" cm="1">
        <f t="array" ref="O824">_xll.FDSB($C824,"CS_EVENT_TIME_N("&amp;$AA$18&amp;",2)")</f>
        <v/>
      </c>
      <c r="P824" s="282" t="str" cm="1">
        <f t="array" ref="P824">_xll.FDSB($C824,"CS_EVENT_DESC_N("&amp;$AA$18&amp;",2)")</f>
        <v/>
      </c>
      <c r="Q824" s="282"/>
      <c r="R824" s="274" t="str" cm="1">
        <f t="array" ref="R824">_xll.FDSB($C824,"CS_EVENT_DATEJ_N("&amp;$AA$18&amp;",3)")</f>
        <v/>
      </c>
      <c r="S824" s="282" t="str" cm="1">
        <f t="array" ref="S824">_xll.FDSB($C824,"CS_EVENT_TIME_N("&amp;$AA$18&amp;",3)")</f>
        <v/>
      </c>
      <c r="T824" s="282" t="str" cm="1">
        <f t="array" ref="T824">_xll.FDSB($C824,"CS_EVENT_DESC_N("&amp;$AA$18&amp;",3)")</f>
        <v/>
      </c>
      <c r="U824" s="282"/>
      <c r="V824" s="274" t="str" cm="1">
        <f t="array" ref="V824">_xll.FDSB($C824,"CS_EVENT_DATEJ_N("&amp;$AA$18&amp;",4)")</f>
        <v/>
      </c>
      <c r="W824" s="282" t="str" cm="1">
        <f t="array" ref="W824">_xll.FDSB($C824,"CS_EVENT_TIME_N("&amp;$AA$18&amp;",4)")</f>
        <v/>
      </c>
      <c r="X824" s="282" t="str" cm="1">
        <f t="array" ref="X824">_xll.FDSB($C824,"CS_EVENT_DESC_N("&amp;$AA$18&amp;",4)")</f>
        <v/>
      </c>
    </row>
    <row r="825" spans="2:24" x14ac:dyDescent="0.15">
      <c r="B825" s="298">
        <f t="shared" si="14"/>
        <v>810</v>
      </c>
      <c r="C825" s="299"/>
      <c r="D825" s="300" t="str" cm="1">
        <f t="array" ref="D825">_xll.FDSB($C825,"FG_COMPANY_NAME")</f>
        <v/>
      </c>
      <c r="E825" s="300"/>
      <c r="F825" s="274" t="str" cm="1">
        <f t="array" ref="F825">_xll.FDSB($C825,"CS_EVENT_DATEJ_N("&amp;$AA$18&amp;",1)")</f>
        <v/>
      </c>
      <c r="G825" s="282" t="str" cm="1">
        <f t="array" ref="G825">_xll.FDSB($C825,"CS_EVENT_TIME_N("&amp;$AA$18&amp;",1)")</f>
        <v/>
      </c>
      <c r="H825" s="282" t="str" cm="1">
        <f t="array" ref="H825">_xll.FDSB($C825,"CS_EVENT_DESC_N("&amp;$AA$18&amp;",1)")</f>
        <v/>
      </c>
      <c r="I825" s="282"/>
      <c r="J825" s="274" t="str" cm="1">
        <f t="array" ref="J825">_xll.FDSB($C825,"CS_EVENT_DATEJ_N("&amp;$AB$18&amp;",1)")</f>
        <v/>
      </c>
      <c r="K825" s="282" t="str" cm="1">
        <f t="array" ref="K825">_xll.FDSB($C825,"CS_EVENT_TIME_N("&amp;$AB$18&amp;",1)")</f>
        <v/>
      </c>
      <c r="L825" s="282" t="str" cm="1">
        <f t="array" ref="L825">_xll.FDSB($C825,"CS_EVENT_DESC_N("&amp;$AB$18&amp;",1)")</f>
        <v/>
      </c>
      <c r="M825" s="300"/>
      <c r="N825" s="274" t="str" cm="1">
        <f t="array" ref="N825">_xll.FDSB($C825,"CS_EVENT_DATEJ_N("&amp;$AA$18&amp;",2)")</f>
        <v/>
      </c>
      <c r="O825" s="282" t="str" cm="1">
        <f t="array" ref="O825">_xll.FDSB($C825,"CS_EVENT_TIME_N("&amp;$AA$18&amp;",2)")</f>
        <v/>
      </c>
      <c r="P825" s="282" t="str" cm="1">
        <f t="array" ref="P825">_xll.FDSB($C825,"CS_EVENT_DESC_N("&amp;$AA$18&amp;",2)")</f>
        <v/>
      </c>
      <c r="Q825" s="282"/>
      <c r="R825" s="274" t="str" cm="1">
        <f t="array" ref="R825">_xll.FDSB($C825,"CS_EVENT_DATEJ_N("&amp;$AA$18&amp;",3)")</f>
        <v/>
      </c>
      <c r="S825" s="282" t="str" cm="1">
        <f t="array" ref="S825">_xll.FDSB($C825,"CS_EVENT_TIME_N("&amp;$AA$18&amp;",3)")</f>
        <v/>
      </c>
      <c r="T825" s="282" t="str" cm="1">
        <f t="array" ref="T825">_xll.FDSB($C825,"CS_EVENT_DESC_N("&amp;$AA$18&amp;",3)")</f>
        <v/>
      </c>
      <c r="U825" s="282"/>
      <c r="V825" s="274" t="str" cm="1">
        <f t="array" ref="V825">_xll.FDSB($C825,"CS_EVENT_DATEJ_N("&amp;$AA$18&amp;",4)")</f>
        <v/>
      </c>
      <c r="W825" s="282" t="str" cm="1">
        <f t="array" ref="W825">_xll.FDSB($C825,"CS_EVENT_TIME_N("&amp;$AA$18&amp;",4)")</f>
        <v/>
      </c>
      <c r="X825" s="282" t="str" cm="1">
        <f t="array" ref="X825">_xll.FDSB($C825,"CS_EVENT_DESC_N("&amp;$AA$18&amp;",4)")</f>
        <v/>
      </c>
    </row>
    <row r="826" spans="2:24" x14ac:dyDescent="0.15">
      <c r="B826" s="298">
        <f t="shared" si="14"/>
        <v>811</v>
      </c>
      <c r="C826" s="299"/>
      <c r="D826" s="300" t="str" cm="1">
        <f t="array" ref="D826">_xll.FDSB($C826,"FG_COMPANY_NAME")</f>
        <v/>
      </c>
      <c r="E826" s="300"/>
      <c r="F826" s="274" t="str" cm="1">
        <f t="array" ref="F826">_xll.FDSB($C826,"CS_EVENT_DATEJ_N("&amp;$AA$18&amp;",1)")</f>
        <v/>
      </c>
      <c r="G826" s="282" t="str" cm="1">
        <f t="array" ref="G826">_xll.FDSB($C826,"CS_EVENT_TIME_N("&amp;$AA$18&amp;",1)")</f>
        <v/>
      </c>
      <c r="H826" s="282" t="str" cm="1">
        <f t="array" ref="H826">_xll.FDSB($C826,"CS_EVENT_DESC_N("&amp;$AA$18&amp;",1)")</f>
        <v/>
      </c>
      <c r="I826" s="282"/>
      <c r="J826" s="274" t="str" cm="1">
        <f t="array" ref="J826">_xll.FDSB($C826,"CS_EVENT_DATEJ_N("&amp;$AB$18&amp;",1)")</f>
        <v/>
      </c>
      <c r="K826" s="282" t="str" cm="1">
        <f t="array" ref="K826">_xll.FDSB($C826,"CS_EVENT_TIME_N("&amp;$AB$18&amp;",1)")</f>
        <v/>
      </c>
      <c r="L826" s="282" t="str" cm="1">
        <f t="array" ref="L826">_xll.FDSB($C826,"CS_EVENT_DESC_N("&amp;$AB$18&amp;",1)")</f>
        <v/>
      </c>
      <c r="M826" s="300"/>
      <c r="N826" s="274" t="str" cm="1">
        <f t="array" ref="N826">_xll.FDSB($C826,"CS_EVENT_DATEJ_N("&amp;$AA$18&amp;",2)")</f>
        <v/>
      </c>
      <c r="O826" s="282" t="str" cm="1">
        <f t="array" ref="O826">_xll.FDSB($C826,"CS_EVENT_TIME_N("&amp;$AA$18&amp;",2)")</f>
        <v/>
      </c>
      <c r="P826" s="282" t="str" cm="1">
        <f t="array" ref="P826">_xll.FDSB($C826,"CS_EVENT_DESC_N("&amp;$AA$18&amp;",2)")</f>
        <v/>
      </c>
      <c r="Q826" s="282"/>
      <c r="R826" s="274" t="str" cm="1">
        <f t="array" ref="R826">_xll.FDSB($C826,"CS_EVENT_DATEJ_N("&amp;$AA$18&amp;",3)")</f>
        <v/>
      </c>
      <c r="S826" s="282" t="str" cm="1">
        <f t="array" ref="S826">_xll.FDSB($C826,"CS_EVENT_TIME_N("&amp;$AA$18&amp;",3)")</f>
        <v/>
      </c>
      <c r="T826" s="282" t="str" cm="1">
        <f t="array" ref="T826">_xll.FDSB($C826,"CS_EVENT_DESC_N("&amp;$AA$18&amp;",3)")</f>
        <v/>
      </c>
      <c r="U826" s="282"/>
      <c r="V826" s="274" t="str" cm="1">
        <f t="array" ref="V826">_xll.FDSB($C826,"CS_EVENT_DATEJ_N("&amp;$AA$18&amp;",4)")</f>
        <v/>
      </c>
      <c r="W826" s="282" t="str" cm="1">
        <f t="array" ref="W826">_xll.FDSB($C826,"CS_EVENT_TIME_N("&amp;$AA$18&amp;",4)")</f>
        <v/>
      </c>
      <c r="X826" s="282" t="str" cm="1">
        <f t="array" ref="X826">_xll.FDSB($C826,"CS_EVENT_DESC_N("&amp;$AA$18&amp;",4)")</f>
        <v/>
      </c>
    </row>
    <row r="827" spans="2:24" x14ac:dyDescent="0.15">
      <c r="B827" s="298">
        <f t="shared" si="14"/>
        <v>812</v>
      </c>
      <c r="C827" s="299"/>
      <c r="D827" s="300" t="str" cm="1">
        <f t="array" ref="D827">_xll.FDSB($C827,"FG_COMPANY_NAME")</f>
        <v/>
      </c>
      <c r="E827" s="300"/>
      <c r="F827" s="274" t="str" cm="1">
        <f t="array" ref="F827">_xll.FDSB($C827,"CS_EVENT_DATEJ_N("&amp;$AA$18&amp;",1)")</f>
        <v/>
      </c>
      <c r="G827" s="282" t="str" cm="1">
        <f t="array" ref="G827">_xll.FDSB($C827,"CS_EVENT_TIME_N("&amp;$AA$18&amp;",1)")</f>
        <v/>
      </c>
      <c r="H827" s="282" t="str" cm="1">
        <f t="array" ref="H827">_xll.FDSB($C827,"CS_EVENT_DESC_N("&amp;$AA$18&amp;",1)")</f>
        <v/>
      </c>
      <c r="I827" s="282"/>
      <c r="J827" s="274" t="str" cm="1">
        <f t="array" ref="J827">_xll.FDSB($C827,"CS_EVENT_DATEJ_N("&amp;$AB$18&amp;",1)")</f>
        <v/>
      </c>
      <c r="K827" s="282" t="str" cm="1">
        <f t="array" ref="K827">_xll.FDSB($C827,"CS_EVENT_TIME_N("&amp;$AB$18&amp;",1)")</f>
        <v/>
      </c>
      <c r="L827" s="282" t="str" cm="1">
        <f t="array" ref="L827">_xll.FDSB($C827,"CS_EVENT_DESC_N("&amp;$AB$18&amp;",1)")</f>
        <v/>
      </c>
      <c r="M827" s="300"/>
      <c r="N827" s="274" t="str" cm="1">
        <f t="array" ref="N827">_xll.FDSB($C827,"CS_EVENT_DATEJ_N("&amp;$AA$18&amp;",2)")</f>
        <v/>
      </c>
      <c r="O827" s="282" t="str" cm="1">
        <f t="array" ref="O827">_xll.FDSB($C827,"CS_EVENT_TIME_N("&amp;$AA$18&amp;",2)")</f>
        <v/>
      </c>
      <c r="P827" s="282" t="str" cm="1">
        <f t="array" ref="P827">_xll.FDSB($C827,"CS_EVENT_DESC_N("&amp;$AA$18&amp;",2)")</f>
        <v/>
      </c>
      <c r="Q827" s="282"/>
      <c r="R827" s="274" t="str" cm="1">
        <f t="array" ref="R827">_xll.FDSB($C827,"CS_EVENT_DATEJ_N("&amp;$AA$18&amp;",3)")</f>
        <v/>
      </c>
      <c r="S827" s="282" t="str" cm="1">
        <f t="array" ref="S827">_xll.FDSB($C827,"CS_EVENT_TIME_N("&amp;$AA$18&amp;",3)")</f>
        <v/>
      </c>
      <c r="T827" s="282" t="str" cm="1">
        <f t="array" ref="T827">_xll.FDSB($C827,"CS_EVENT_DESC_N("&amp;$AA$18&amp;",3)")</f>
        <v/>
      </c>
      <c r="U827" s="282"/>
      <c r="V827" s="274" t="str" cm="1">
        <f t="array" ref="V827">_xll.FDSB($C827,"CS_EVENT_DATEJ_N("&amp;$AA$18&amp;",4)")</f>
        <v/>
      </c>
      <c r="W827" s="282" t="str" cm="1">
        <f t="array" ref="W827">_xll.FDSB($C827,"CS_EVENT_TIME_N("&amp;$AA$18&amp;",4)")</f>
        <v/>
      </c>
      <c r="X827" s="282" t="str" cm="1">
        <f t="array" ref="X827">_xll.FDSB($C827,"CS_EVENT_DESC_N("&amp;$AA$18&amp;",4)")</f>
        <v/>
      </c>
    </row>
    <row r="828" spans="2:24" x14ac:dyDescent="0.15">
      <c r="B828" s="298">
        <f t="shared" si="14"/>
        <v>813</v>
      </c>
      <c r="C828" s="299"/>
      <c r="D828" s="300" t="str" cm="1">
        <f t="array" ref="D828">_xll.FDSB($C828,"FG_COMPANY_NAME")</f>
        <v/>
      </c>
      <c r="E828" s="300"/>
      <c r="F828" s="274" t="str" cm="1">
        <f t="array" ref="F828">_xll.FDSB($C828,"CS_EVENT_DATEJ_N("&amp;$AA$18&amp;",1)")</f>
        <v/>
      </c>
      <c r="G828" s="282" t="str" cm="1">
        <f t="array" ref="G828">_xll.FDSB($C828,"CS_EVENT_TIME_N("&amp;$AA$18&amp;",1)")</f>
        <v/>
      </c>
      <c r="H828" s="282" t="str" cm="1">
        <f t="array" ref="H828">_xll.FDSB($C828,"CS_EVENT_DESC_N("&amp;$AA$18&amp;",1)")</f>
        <v/>
      </c>
      <c r="I828" s="282"/>
      <c r="J828" s="274" t="str" cm="1">
        <f t="array" ref="J828">_xll.FDSB($C828,"CS_EVENT_DATEJ_N("&amp;$AB$18&amp;",1)")</f>
        <v/>
      </c>
      <c r="K828" s="282" t="str" cm="1">
        <f t="array" ref="K828">_xll.FDSB($C828,"CS_EVENT_TIME_N("&amp;$AB$18&amp;",1)")</f>
        <v/>
      </c>
      <c r="L828" s="282" t="str" cm="1">
        <f t="array" ref="L828">_xll.FDSB($C828,"CS_EVENT_DESC_N("&amp;$AB$18&amp;",1)")</f>
        <v/>
      </c>
      <c r="M828" s="300"/>
      <c r="N828" s="274" t="str" cm="1">
        <f t="array" ref="N828">_xll.FDSB($C828,"CS_EVENT_DATEJ_N("&amp;$AA$18&amp;",2)")</f>
        <v/>
      </c>
      <c r="O828" s="282" t="str" cm="1">
        <f t="array" ref="O828">_xll.FDSB($C828,"CS_EVENT_TIME_N("&amp;$AA$18&amp;",2)")</f>
        <v/>
      </c>
      <c r="P828" s="282" t="str" cm="1">
        <f t="array" ref="P828">_xll.FDSB($C828,"CS_EVENT_DESC_N("&amp;$AA$18&amp;",2)")</f>
        <v/>
      </c>
      <c r="Q828" s="282"/>
      <c r="R828" s="274" t="str" cm="1">
        <f t="array" ref="R828">_xll.FDSB($C828,"CS_EVENT_DATEJ_N("&amp;$AA$18&amp;",3)")</f>
        <v/>
      </c>
      <c r="S828" s="282" t="str" cm="1">
        <f t="array" ref="S828">_xll.FDSB($C828,"CS_EVENT_TIME_N("&amp;$AA$18&amp;",3)")</f>
        <v/>
      </c>
      <c r="T828" s="282" t="str" cm="1">
        <f t="array" ref="T828">_xll.FDSB($C828,"CS_EVENT_DESC_N("&amp;$AA$18&amp;",3)")</f>
        <v/>
      </c>
      <c r="U828" s="282"/>
      <c r="V828" s="274" t="str" cm="1">
        <f t="array" ref="V828">_xll.FDSB($C828,"CS_EVENT_DATEJ_N("&amp;$AA$18&amp;",4)")</f>
        <v/>
      </c>
      <c r="W828" s="282" t="str" cm="1">
        <f t="array" ref="W828">_xll.FDSB($C828,"CS_EVENT_TIME_N("&amp;$AA$18&amp;",4)")</f>
        <v/>
      </c>
      <c r="X828" s="282" t="str" cm="1">
        <f t="array" ref="X828">_xll.FDSB($C828,"CS_EVENT_DESC_N("&amp;$AA$18&amp;",4)")</f>
        <v/>
      </c>
    </row>
    <row r="829" spans="2:24" x14ac:dyDescent="0.15">
      <c r="B829" s="298">
        <f t="shared" si="14"/>
        <v>814</v>
      </c>
      <c r="C829" s="299"/>
      <c r="D829" s="300" t="str" cm="1">
        <f t="array" ref="D829">_xll.FDSB($C829,"FG_COMPANY_NAME")</f>
        <v/>
      </c>
      <c r="E829" s="300"/>
      <c r="F829" s="274" t="str" cm="1">
        <f t="array" ref="F829">_xll.FDSB($C829,"CS_EVENT_DATEJ_N("&amp;$AA$18&amp;",1)")</f>
        <v/>
      </c>
      <c r="G829" s="282" t="str" cm="1">
        <f t="array" ref="G829">_xll.FDSB($C829,"CS_EVENT_TIME_N("&amp;$AA$18&amp;",1)")</f>
        <v/>
      </c>
      <c r="H829" s="282" t="str" cm="1">
        <f t="array" ref="H829">_xll.FDSB($C829,"CS_EVENT_DESC_N("&amp;$AA$18&amp;",1)")</f>
        <v/>
      </c>
      <c r="I829" s="282"/>
      <c r="J829" s="274" t="str" cm="1">
        <f t="array" ref="J829">_xll.FDSB($C829,"CS_EVENT_DATEJ_N("&amp;$AB$18&amp;",1)")</f>
        <v/>
      </c>
      <c r="K829" s="282" t="str" cm="1">
        <f t="array" ref="K829">_xll.FDSB($C829,"CS_EVENT_TIME_N("&amp;$AB$18&amp;",1)")</f>
        <v/>
      </c>
      <c r="L829" s="282" t="str" cm="1">
        <f t="array" ref="L829">_xll.FDSB($C829,"CS_EVENT_DESC_N("&amp;$AB$18&amp;",1)")</f>
        <v/>
      </c>
      <c r="M829" s="300"/>
      <c r="N829" s="274" t="str" cm="1">
        <f t="array" ref="N829">_xll.FDSB($C829,"CS_EVENT_DATEJ_N("&amp;$AA$18&amp;",2)")</f>
        <v/>
      </c>
      <c r="O829" s="282" t="str" cm="1">
        <f t="array" ref="O829">_xll.FDSB($C829,"CS_EVENT_TIME_N("&amp;$AA$18&amp;",2)")</f>
        <v/>
      </c>
      <c r="P829" s="282" t="str" cm="1">
        <f t="array" ref="P829">_xll.FDSB($C829,"CS_EVENT_DESC_N("&amp;$AA$18&amp;",2)")</f>
        <v/>
      </c>
      <c r="Q829" s="282"/>
      <c r="R829" s="274" t="str" cm="1">
        <f t="array" ref="R829">_xll.FDSB($C829,"CS_EVENT_DATEJ_N("&amp;$AA$18&amp;",3)")</f>
        <v/>
      </c>
      <c r="S829" s="282" t="str" cm="1">
        <f t="array" ref="S829">_xll.FDSB($C829,"CS_EVENT_TIME_N("&amp;$AA$18&amp;",3)")</f>
        <v/>
      </c>
      <c r="T829" s="282" t="str" cm="1">
        <f t="array" ref="T829">_xll.FDSB($C829,"CS_EVENT_DESC_N("&amp;$AA$18&amp;",3)")</f>
        <v/>
      </c>
      <c r="U829" s="282"/>
      <c r="V829" s="274" t="str" cm="1">
        <f t="array" ref="V829">_xll.FDSB($C829,"CS_EVENT_DATEJ_N("&amp;$AA$18&amp;",4)")</f>
        <v/>
      </c>
      <c r="W829" s="282" t="str" cm="1">
        <f t="array" ref="W829">_xll.FDSB($C829,"CS_EVENT_TIME_N("&amp;$AA$18&amp;",4)")</f>
        <v/>
      </c>
      <c r="X829" s="282" t="str" cm="1">
        <f t="array" ref="X829">_xll.FDSB($C829,"CS_EVENT_DESC_N("&amp;$AA$18&amp;",4)")</f>
        <v/>
      </c>
    </row>
    <row r="830" spans="2:24" x14ac:dyDescent="0.15">
      <c r="B830" s="298">
        <f t="shared" si="14"/>
        <v>815</v>
      </c>
      <c r="C830" s="299"/>
      <c r="D830" s="300" t="str" cm="1">
        <f t="array" ref="D830">_xll.FDSB($C830,"FG_COMPANY_NAME")</f>
        <v/>
      </c>
      <c r="E830" s="300"/>
      <c r="F830" s="274" t="str" cm="1">
        <f t="array" ref="F830">_xll.FDSB($C830,"CS_EVENT_DATEJ_N("&amp;$AA$18&amp;",1)")</f>
        <v/>
      </c>
      <c r="G830" s="282" t="str" cm="1">
        <f t="array" ref="G830">_xll.FDSB($C830,"CS_EVENT_TIME_N("&amp;$AA$18&amp;",1)")</f>
        <v/>
      </c>
      <c r="H830" s="282" t="str" cm="1">
        <f t="array" ref="H830">_xll.FDSB($C830,"CS_EVENT_DESC_N("&amp;$AA$18&amp;",1)")</f>
        <v/>
      </c>
      <c r="I830" s="282"/>
      <c r="J830" s="274" t="str" cm="1">
        <f t="array" ref="J830">_xll.FDSB($C830,"CS_EVENT_DATEJ_N("&amp;$AB$18&amp;",1)")</f>
        <v/>
      </c>
      <c r="K830" s="282" t="str" cm="1">
        <f t="array" ref="K830">_xll.FDSB($C830,"CS_EVENT_TIME_N("&amp;$AB$18&amp;",1)")</f>
        <v/>
      </c>
      <c r="L830" s="282" t="str" cm="1">
        <f t="array" ref="L830">_xll.FDSB($C830,"CS_EVENT_DESC_N("&amp;$AB$18&amp;",1)")</f>
        <v/>
      </c>
      <c r="M830" s="300"/>
      <c r="N830" s="274" t="str" cm="1">
        <f t="array" ref="N830">_xll.FDSB($C830,"CS_EVENT_DATEJ_N("&amp;$AA$18&amp;",2)")</f>
        <v/>
      </c>
      <c r="O830" s="282" t="str" cm="1">
        <f t="array" ref="O830">_xll.FDSB($C830,"CS_EVENT_TIME_N("&amp;$AA$18&amp;",2)")</f>
        <v/>
      </c>
      <c r="P830" s="282" t="str" cm="1">
        <f t="array" ref="P830">_xll.FDSB($C830,"CS_EVENT_DESC_N("&amp;$AA$18&amp;",2)")</f>
        <v/>
      </c>
      <c r="Q830" s="282"/>
      <c r="R830" s="274" t="str" cm="1">
        <f t="array" ref="R830">_xll.FDSB($C830,"CS_EVENT_DATEJ_N("&amp;$AA$18&amp;",3)")</f>
        <v/>
      </c>
      <c r="S830" s="282" t="str" cm="1">
        <f t="array" ref="S830">_xll.FDSB($C830,"CS_EVENT_TIME_N("&amp;$AA$18&amp;",3)")</f>
        <v/>
      </c>
      <c r="T830" s="282" t="str" cm="1">
        <f t="array" ref="T830">_xll.FDSB($C830,"CS_EVENT_DESC_N("&amp;$AA$18&amp;",3)")</f>
        <v/>
      </c>
      <c r="U830" s="282"/>
      <c r="V830" s="274" t="str" cm="1">
        <f t="array" ref="V830">_xll.FDSB($C830,"CS_EVENT_DATEJ_N("&amp;$AA$18&amp;",4)")</f>
        <v/>
      </c>
      <c r="W830" s="282" t="str" cm="1">
        <f t="array" ref="W830">_xll.FDSB($C830,"CS_EVENT_TIME_N("&amp;$AA$18&amp;",4)")</f>
        <v/>
      </c>
      <c r="X830" s="282" t="str" cm="1">
        <f t="array" ref="X830">_xll.FDSB($C830,"CS_EVENT_DESC_N("&amp;$AA$18&amp;",4)")</f>
        <v/>
      </c>
    </row>
    <row r="831" spans="2:24" x14ac:dyDescent="0.15">
      <c r="B831" s="298">
        <f t="shared" si="14"/>
        <v>816</v>
      </c>
      <c r="C831" s="299"/>
      <c r="D831" s="300" t="str" cm="1">
        <f t="array" ref="D831">_xll.FDSB($C831,"FG_COMPANY_NAME")</f>
        <v/>
      </c>
      <c r="E831" s="300"/>
      <c r="F831" s="274" t="str" cm="1">
        <f t="array" ref="F831">_xll.FDSB($C831,"CS_EVENT_DATEJ_N("&amp;$AA$18&amp;",1)")</f>
        <v/>
      </c>
      <c r="G831" s="282" t="str" cm="1">
        <f t="array" ref="G831">_xll.FDSB($C831,"CS_EVENT_TIME_N("&amp;$AA$18&amp;",1)")</f>
        <v/>
      </c>
      <c r="H831" s="282" t="str" cm="1">
        <f t="array" ref="H831">_xll.FDSB($C831,"CS_EVENT_DESC_N("&amp;$AA$18&amp;",1)")</f>
        <v/>
      </c>
      <c r="I831" s="282"/>
      <c r="J831" s="274" t="str" cm="1">
        <f t="array" ref="J831">_xll.FDSB($C831,"CS_EVENT_DATEJ_N("&amp;$AB$18&amp;",1)")</f>
        <v/>
      </c>
      <c r="K831" s="282" t="str" cm="1">
        <f t="array" ref="K831">_xll.FDSB($C831,"CS_EVENT_TIME_N("&amp;$AB$18&amp;",1)")</f>
        <v/>
      </c>
      <c r="L831" s="282" t="str" cm="1">
        <f t="array" ref="L831">_xll.FDSB($C831,"CS_EVENT_DESC_N("&amp;$AB$18&amp;",1)")</f>
        <v/>
      </c>
      <c r="M831" s="300"/>
      <c r="N831" s="274" t="str" cm="1">
        <f t="array" ref="N831">_xll.FDSB($C831,"CS_EVENT_DATEJ_N("&amp;$AA$18&amp;",2)")</f>
        <v/>
      </c>
      <c r="O831" s="282" t="str" cm="1">
        <f t="array" ref="O831">_xll.FDSB($C831,"CS_EVENT_TIME_N("&amp;$AA$18&amp;",2)")</f>
        <v/>
      </c>
      <c r="P831" s="282" t="str" cm="1">
        <f t="array" ref="P831">_xll.FDSB($C831,"CS_EVENT_DESC_N("&amp;$AA$18&amp;",2)")</f>
        <v/>
      </c>
      <c r="Q831" s="282"/>
      <c r="R831" s="274" t="str" cm="1">
        <f t="array" ref="R831">_xll.FDSB($C831,"CS_EVENT_DATEJ_N("&amp;$AA$18&amp;",3)")</f>
        <v/>
      </c>
      <c r="S831" s="282" t="str" cm="1">
        <f t="array" ref="S831">_xll.FDSB($C831,"CS_EVENT_TIME_N("&amp;$AA$18&amp;",3)")</f>
        <v/>
      </c>
      <c r="T831" s="282" t="str" cm="1">
        <f t="array" ref="T831">_xll.FDSB($C831,"CS_EVENT_DESC_N("&amp;$AA$18&amp;",3)")</f>
        <v/>
      </c>
      <c r="U831" s="282"/>
      <c r="V831" s="274" t="str" cm="1">
        <f t="array" ref="V831">_xll.FDSB($C831,"CS_EVENT_DATEJ_N("&amp;$AA$18&amp;",4)")</f>
        <v/>
      </c>
      <c r="W831" s="282" t="str" cm="1">
        <f t="array" ref="W831">_xll.FDSB($C831,"CS_EVENT_TIME_N("&amp;$AA$18&amp;",4)")</f>
        <v/>
      </c>
      <c r="X831" s="282" t="str" cm="1">
        <f t="array" ref="X831">_xll.FDSB($C831,"CS_EVENT_DESC_N("&amp;$AA$18&amp;",4)")</f>
        <v/>
      </c>
    </row>
    <row r="832" spans="2:24" x14ac:dyDescent="0.15">
      <c r="B832" s="298">
        <f t="shared" si="14"/>
        <v>817</v>
      </c>
      <c r="C832" s="299"/>
      <c r="D832" s="300" t="str" cm="1">
        <f t="array" ref="D832">_xll.FDSB($C832,"FG_COMPANY_NAME")</f>
        <v/>
      </c>
      <c r="E832" s="300"/>
      <c r="F832" s="274" t="str" cm="1">
        <f t="array" ref="F832">_xll.FDSB($C832,"CS_EVENT_DATEJ_N("&amp;$AA$18&amp;",1)")</f>
        <v/>
      </c>
      <c r="G832" s="282" t="str" cm="1">
        <f t="array" ref="G832">_xll.FDSB($C832,"CS_EVENT_TIME_N("&amp;$AA$18&amp;",1)")</f>
        <v/>
      </c>
      <c r="H832" s="282" t="str" cm="1">
        <f t="array" ref="H832">_xll.FDSB($C832,"CS_EVENT_DESC_N("&amp;$AA$18&amp;",1)")</f>
        <v/>
      </c>
      <c r="I832" s="282"/>
      <c r="J832" s="274" t="str" cm="1">
        <f t="array" ref="J832">_xll.FDSB($C832,"CS_EVENT_DATEJ_N("&amp;$AB$18&amp;",1)")</f>
        <v/>
      </c>
      <c r="K832" s="282" t="str" cm="1">
        <f t="array" ref="K832">_xll.FDSB($C832,"CS_EVENT_TIME_N("&amp;$AB$18&amp;",1)")</f>
        <v/>
      </c>
      <c r="L832" s="282" t="str" cm="1">
        <f t="array" ref="L832">_xll.FDSB($C832,"CS_EVENT_DESC_N("&amp;$AB$18&amp;",1)")</f>
        <v/>
      </c>
      <c r="M832" s="300"/>
      <c r="N832" s="274" t="str" cm="1">
        <f t="array" ref="N832">_xll.FDSB($C832,"CS_EVENT_DATEJ_N("&amp;$AA$18&amp;",2)")</f>
        <v/>
      </c>
      <c r="O832" s="282" t="str" cm="1">
        <f t="array" ref="O832">_xll.FDSB($C832,"CS_EVENT_TIME_N("&amp;$AA$18&amp;",2)")</f>
        <v/>
      </c>
      <c r="P832" s="282" t="str" cm="1">
        <f t="array" ref="P832">_xll.FDSB($C832,"CS_EVENT_DESC_N("&amp;$AA$18&amp;",2)")</f>
        <v/>
      </c>
      <c r="Q832" s="282"/>
      <c r="R832" s="274" t="str" cm="1">
        <f t="array" ref="R832">_xll.FDSB($C832,"CS_EVENT_DATEJ_N("&amp;$AA$18&amp;",3)")</f>
        <v/>
      </c>
      <c r="S832" s="282" t="str" cm="1">
        <f t="array" ref="S832">_xll.FDSB($C832,"CS_EVENT_TIME_N("&amp;$AA$18&amp;",3)")</f>
        <v/>
      </c>
      <c r="T832" s="282" t="str" cm="1">
        <f t="array" ref="T832">_xll.FDSB($C832,"CS_EVENT_DESC_N("&amp;$AA$18&amp;",3)")</f>
        <v/>
      </c>
      <c r="U832" s="282"/>
      <c r="V832" s="274" t="str" cm="1">
        <f t="array" ref="V832">_xll.FDSB($C832,"CS_EVENT_DATEJ_N("&amp;$AA$18&amp;",4)")</f>
        <v/>
      </c>
      <c r="W832" s="282" t="str" cm="1">
        <f t="array" ref="W832">_xll.FDSB($C832,"CS_EVENT_TIME_N("&amp;$AA$18&amp;",4)")</f>
        <v/>
      </c>
      <c r="X832" s="282" t="str" cm="1">
        <f t="array" ref="X832">_xll.FDSB($C832,"CS_EVENT_DESC_N("&amp;$AA$18&amp;",4)")</f>
        <v/>
      </c>
    </row>
    <row r="833" spans="2:24" x14ac:dyDescent="0.15">
      <c r="B833" s="298">
        <f t="shared" si="14"/>
        <v>818</v>
      </c>
      <c r="C833" s="299"/>
      <c r="D833" s="300" t="str" cm="1">
        <f t="array" ref="D833">_xll.FDSB($C833,"FG_COMPANY_NAME")</f>
        <v/>
      </c>
      <c r="E833" s="300"/>
      <c r="F833" s="274" t="str" cm="1">
        <f t="array" ref="F833">_xll.FDSB($C833,"CS_EVENT_DATEJ_N("&amp;$AA$18&amp;",1)")</f>
        <v/>
      </c>
      <c r="G833" s="282" t="str" cm="1">
        <f t="array" ref="G833">_xll.FDSB($C833,"CS_EVENT_TIME_N("&amp;$AA$18&amp;",1)")</f>
        <v/>
      </c>
      <c r="H833" s="282" t="str" cm="1">
        <f t="array" ref="H833">_xll.FDSB($C833,"CS_EVENT_DESC_N("&amp;$AA$18&amp;",1)")</f>
        <v/>
      </c>
      <c r="I833" s="282"/>
      <c r="J833" s="274" t="str" cm="1">
        <f t="array" ref="J833">_xll.FDSB($C833,"CS_EVENT_DATEJ_N("&amp;$AB$18&amp;",1)")</f>
        <v/>
      </c>
      <c r="K833" s="282" t="str" cm="1">
        <f t="array" ref="K833">_xll.FDSB($C833,"CS_EVENT_TIME_N("&amp;$AB$18&amp;",1)")</f>
        <v/>
      </c>
      <c r="L833" s="282" t="str" cm="1">
        <f t="array" ref="L833">_xll.FDSB($C833,"CS_EVENT_DESC_N("&amp;$AB$18&amp;",1)")</f>
        <v/>
      </c>
      <c r="M833" s="300"/>
      <c r="N833" s="274" t="str" cm="1">
        <f t="array" ref="N833">_xll.FDSB($C833,"CS_EVENT_DATEJ_N("&amp;$AA$18&amp;",2)")</f>
        <v/>
      </c>
      <c r="O833" s="282" t="str" cm="1">
        <f t="array" ref="O833">_xll.FDSB($C833,"CS_EVENT_TIME_N("&amp;$AA$18&amp;",2)")</f>
        <v/>
      </c>
      <c r="P833" s="282" t="str" cm="1">
        <f t="array" ref="P833">_xll.FDSB($C833,"CS_EVENT_DESC_N("&amp;$AA$18&amp;",2)")</f>
        <v/>
      </c>
      <c r="Q833" s="282"/>
      <c r="R833" s="274" t="str" cm="1">
        <f t="array" ref="R833">_xll.FDSB($C833,"CS_EVENT_DATEJ_N("&amp;$AA$18&amp;",3)")</f>
        <v/>
      </c>
      <c r="S833" s="282" t="str" cm="1">
        <f t="array" ref="S833">_xll.FDSB($C833,"CS_EVENT_TIME_N("&amp;$AA$18&amp;",3)")</f>
        <v/>
      </c>
      <c r="T833" s="282" t="str" cm="1">
        <f t="array" ref="T833">_xll.FDSB($C833,"CS_EVENT_DESC_N("&amp;$AA$18&amp;",3)")</f>
        <v/>
      </c>
      <c r="U833" s="282"/>
      <c r="V833" s="274" t="str" cm="1">
        <f t="array" ref="V833">_xll.FDSB($C833,"CS_EVENT_DATEJ_N("&amp;$AA$18&amp;",4)")</f>
        <v/>
      </c>
      <c r="W833" s="282" t="str" cm="1">
        <f t="array" ref="W833">_xll.FDSB($C833,"CS_EVENT_TIME_N("&amp;$AA$18&amp;",4)")</f>
        <v/>
      </c>
      <c r="X833" s="282" t="str" cm="1">
        <f t="array" ref="X833">_xll.FDSB($C833,"CS_EVENT_DESC_N("&amp;$AA$18&amp;",4)")</f>
        <v/>
      </c>
    </row>
    <row r="834" spans="2:24" x14ac:dyDescent="0.15">
      <c r="B834" s="298">
        <f t="shared" si="14"/>
        <v>819</v>
      </c>
      <c r="C834" s="299"/>
      <c r="D834" s="300" t="str" cm="1">
        <f t="array" ref="D834">_xll.FDSB($C834,"FG_COMPANY_NAME")</f>
        <v/>
      </c>
      <c r="E834" s="300"/>
      <c r="F834" s="274" t="str" cm="1">
        <f t="array" ref="F834">_xll.FDSB($C834,"CS_EVENT_DATEJ_N("&amp;$AA$18&amp;",1)")</f>
        <v/>
      </c>
      <c r="G834" s="282" t="str" cm="1">
        <f t="array" ref="G834">_xll.FDSB($C834,"CS_EVENT_TIME_N("&amp;$AA$18&amp;",1)")</f>
        <v/>
      </c>
      <c r="H834" s="282" t="str" cm="1">
        <f t="array" ref="H834">_xll.FDSB($C834,"CS_EVENT_DESC_N("&amp;$AA$18&amp;",1)")</f>
        <v/>
      </c>
      <c r="I834" s="282"/>
      <c r="J834" s="274" t="str" cm="1">
        <f t="array" ref="J834">_xll.FDSB($C834,"CS_EVENT_DATEJ_N("&amp;$AB$18&amp;",1)")</f>
        <v/>
      </c>
      <c r="K834" s="282" t="str" cm="1">
        <f t="array" ref="K834">_xll.FDSB($C834,"CS_EVENT_TIME_N("&amp;$AB$18&amp;",1)")</f>
        <v/>
      </c>
      <c r="L834" s="282" t="str" cm="1">
        <f t="array" ref="L834">_xll.FDSB($C834,"CS_EVENT_DESC_N("&amp;$AB$18&amp;",1)")</f>
        <v/>
      </c>
      <c r="M834" s="300"/>
      <c r="N834" s="274" t="str" cm="1">
        <f t="array" ref="N834">_xll.FDSB($C834,"CS_EVENT_DATEJ_N("&amp;$AA$18&amp;",2)")</f>
        <v/>
      </c>
      <c r="O834" s="282" t="str" cm="1">
        <f t="array" ref="O834">_xll.FDSB($C834,"CS_EVENT_TIME_N("&amp;$AA$18&amp;",2)")</f>
        <v/>
      </c>
      <c r="P834" s="282" t="str" cm="1">
        <f t="array" ref="P834">_xll.FDSB($C834,"CS_EVENT_DESC_N("&amp;$AA$18&amp;",2)")</f>
        <v/>
      </c>
      <c r="Q834" s="282"/>
      <c r="R834" s="274" t="str" cm="1">
        <f t="array" ref="R834">_xll.FDSB($C834,"CS_EVENT_DATEJ_N("&amp;$AA$18&amp;",3)")</f>
        <v/>
      </c>
      <c r="S834" s="282" t="str" cm="1">
        <f t="array" ref="S834">_xll.FDSB($C834,"CS_EVENT_TIME_N("&amp;$AA$18&amp;",3)")</f>
        <v/>
      </c>
      <c r="T834" s="282" t="str" cm="1">
        <f t="array" ref="T834">_xll.FDSB($C834,"CS_EVENT_DESC_N("&amp;$AA$18&amp;",3)")</f>
        <v/>
      </c>
      <c r="U834" s="282"/>
      <c r="V834" s="274" t="str" cm="1">
        <f t="array" ref="V834">_xll.FDSB($C834,"CS_EVENT_DATEJ_N("&amp;$AA$18&amp;",4)")</f>
        <v/>
      </c>
      <c r="W834" s="282" t="str" cm="1">
        <f t="array" ref="W834">_xll.FDSB($C834,"CS_EVENT_TIME_N("&amp;$AA$18&amp;",4)")</f>
        <v/>
      </c>
      <c r="X834" s="282" t="str" cm="1">
        <f t="array" ref="X834">_xll.FDSB($C834,"CS_EVENT_DESC_N("&amp;$AA$18&amp;",4)")</f>
        <v/>
      </c>
    </row>
    <row r="835" spans="2:24" x14ac:dyDescent="0.15">
      <c r="B835" s="298">
        <f t="shared" si="14"/>
        <v>820</v>
      </c>
      <c r="C835" s="299"/>
      <c r="D835" s="300" t="str" cm="1">
        <f t="array" ref="D835">_xll.FDSB($C835,"FG_COMPANY_NAME")</f>
        <v/>
      </c>
      <c r="E835" s="300"/>
      <c r="F835" s="274" t="str" cm="1">
        <f t="array" ref="F835">_xll.FDSB($C835,"CS_EVENT_DATEJ_N("&amp;$AA$18&amp;",1)")</f>
        <v/>
      </c>
      <c r="G835" s="282" t="str" cm="1">
        <f t="array" ref="G835">_xll.FDSB($C835,"CS_EVENT_TIME_N("&amp;$AA$18&amp;",1)")</f>
        <v/>
      </c>
      <c r="H835" s="282" t="str" cm="1">
        <f t="array" ref="H835">_xll.FDSB($C835,"CS_EVENT_DESC_N("&amp;$AA$18&amp;",1)")</f>
        <v/>
      </c>
      <c r="I835" s="282"/>
      <c r="J835" s="274" t="str" cm="1">
        <f t="array" ref="J835">_xll.FDSB($C835,"CS_EVENT_DATEJ_N("&amp;$AB$18&amp;",1)")</f>
        <v/>
      </c>
      <c r="K835" s="282" t="str" cm="1">
        <f t="array" ref="K835">_xll.FDSB($C835,"CS_EVENT_TIME_N("&amp;$AB$18&amp;",1)")</f>
        <v/>
      </c>
      <c r="L835" s="282" t="str" cm="1">
        <f t="array" ref="L835">_xll.FDSB($C835,"CS_EVENT_DESC_N("&amp;$AB$18&amp;",1)")</f>
        <v/>
      </c>
      <c r="M835" s="300"/>
      <c r="N835" s="274" t="str" cm="1">
        <f t="array" ref="N835">_xll.FDSB($C835,"CS_EVENT_DATEJ_N("&amp;$AA$18&amp;",2)")</f>
        <v/>
      </c>
      <c r="O835" s="282" t="str" cm="1">
        <f t="array" ref="O835">_xll.FDSB($C835,"CS_EVENT_TIME_N("&amp;$AA$18&amp;",2)")</f>
        <v/>
      </c>
      <c r="P835" s="282" t="str" cm="1">
        <f t="array" ref="P835">_xll.FDSB($C835,"CS_EVENT_DESC_N("&amp;$AA$18&amp;",2)")</f>
        <v/>
      </c>
      <c r="Q835" s="282"/>
      <c r="R835" s="274" t="str" cm="1">
        <f t="array" ref="R835">_xll.FDSB($C835,"CS_EVENT_DATEJ_N("&amp;$AA$18&amp;",3)")</f>
        <v/>
      </c>
      <c r="S835" s="282" t="str" cm="1">
        <f t="array" ref="S835">_xll.FDSB($C835,"CS_EVENT_TIME_N("&amp;$AA$18&amp;",3)")</f>
        <v/>
      </c>
      <c r="T835" s="282" t="str" cm="1">
        <f t="array" ref="T835">_xll.FDSB($C835,"CS_EVENT_DESC_N("&amp;$AA$18&amp;",3)")</f>
        <v/>
      </c>
      <c r="U835" s="282"/>
      <c r="V835" s="274" t="str" cm="1">
        <f t="array" ref="V835">_xll.FDSB($C835,"CS_EVENT_DATEJ_N("&amp;$AA$18&amp;",4)")</f>
        <v/>
      </c>
      <c r="W835" s="282" t="str" cm="1">
        <f t="array" ref="W835">_xll.FDSB($C835,"CS_EVENT_TIME_N("&amp;$AA$18&amp;",4)")</f>
        <v/>
      </c>
      <c r="X835" s="282" t="str" cm="1">
        <f t="array" ref="X835">_xll.FDSB($C835,"CS_EVENT_DESC_N("&amp;$AA$18&amp;",4)")</f>
        <v/>
      </c>
    </row>
    <row r="836" spans="2:24" x14ac:dyDescent="0.15">
      <c r="B836" s="298">
        <f t="shared" si="14"/>
        <v>821</v>
      </c>
      <c r="C836" s="299"/>
      <c r="D836" s="300" t="str" cm="1">
        <f t="array" ref="D836">_xll.FDSB($C836,"FG_COMPANY_NAME")</f>
        <v/>
      </c>
      <c r="E836" s="300"/>
      <c r="F836" s="274" t="str" cm="1">
        <f t="array" ref="F836">_xll.FDSB($C836,"CS_EVENT_DATEJ_N("&amp;$AA$18&amp;",1)")</f>
        <v/>
      </c>
      <c r="G836" s="282" t="str" cm="1">
        <f t="array" ref="G836">_xll.FDSB($C836,"CS_EVENT_TIME_N("&amp;$AA$18&amp;",1)")</f>
        <v/>
      </c>
      <c r="H836" s="282" t="str" cm="1">
        <f t="array" ref="H836">_xll.FDSB($C836,"CS_EVENT_DESC_N("&amp;$AA$18&amp;",1)")</f>
        <v/>
      </c>
      <c r="I836" s="282"/>
      <c r="J836" s="274" t="str" cm="1">
        <f t="array" ref="J836">_xll.FDSB($C836,"CS_EVENT_DATEJ_N("&amp;$AB$18&amp;",1)")</f>
        <v/>
      </c>
      <c r="K836" s="282" t="str" cm="1">
        <f t="array" ref="K836">_xll.FDSB($C836,"CS_EVENT_TIME_N("&amp;$AB$18&amp;",1)")</f>
        <v/>
      </c>
      <c r="L836" s="282" t="str" cm="1">
        <f t="array" ref="L836">_xll.FDSB($C836,"CS_EVENT_DESC_N("&amp;$AB$18&amp;",1)")</f>
        <v/>
      </c>
      <c r="M836" s="300"/>
      <c r="N836" s="274" t="str" cm="1">
        <f t="array" ref="N836">_xll.FDSB($C836,"CS_EVENT_DATEJ_N("&amp;$AA$18&amp;",2)")</f>
        <v/>
      </c>
      <c r="O836" s="282" t="str" cm="1">
        <f t="array" ref="O836">_xll.FDSB($C836,"CS_EVENT_TIME_N("&amp;$AA$18&amp;",2)")</f>
        <v/>
      </c>
      <c r="P836" s="282" t="str" cm="1">
        <f t="array" ref="P836">_xll.FDSB($C836,"CS_EVENT_DESC_N("&amp;$AA$18&amp;",2)")</f>
        <v/>
      </c>
      <c r="Q836" s="282"/>
      <c r="R836" s="274" t="str" cm="1">
        <f t="array" ref="R836">_xll.FDSB($C836,"CS_EVENT_DATEJ_N("&amp;$AA$18&amp;",3)")</f>
        <v/>
      </c>
      <c r="S836" s="282" t="str" cm="1">
        <f t="array" ref="S836">_xll.FDSB($C836,"CS_EVENT_TIME_N("&amp;$AA$18&amp;",3)")</f>
        <v/>
      </c>
      <c r="T836" s="282" t="str" cm="1">
        <f t="array" ref="T836">_xll.FDSB($C836,"CS_EVENT_DESC_N("&amp;$AA$18&amp;",3)")</f>
        <v/>
      </c>
      <c r="U836" s="282"/>
      <c r="V836" s="274" t="str" cm="1">
        <f t="array" ref="V836">_xll.FDSB($C836,"CS_EVENT_DATEJ_N("&amp;$AA$18&amp;",4)")</f>
        <v/>
      </c>
      <c r="W836" s="282" t="str" cm="1">
        <f t="array" ref="W836">_xll.FDSB($C836,"CS_EVENT_TIME_N("&amp;$AA$18&amp;",4)")</f>
        <v/>
      </c>
      <c r="X836" s="282" t="str" cm="1">
        <f t="array" ref="X836">_xll.FDSB($C836,"CS_EVENT_DESC_N("&amp;$AA$18&amp;",4)")</f>
        <v/>
      </c>
    </row>
    <row r="837" spans="2:24" x14ac:dyDescent="0.15">
      <c r="B837" s="298">
        <f t="shared" si="14"/>
        <v>822</v>
      </c>
      <c r="C837" s="299"/>
      <c r="D837" s="300" t="str" cm="1">
        <f t="array" ref="D837">_xll.FDSB($C837,"FG_COMPANY_NAME")</f>
        <v/>
      </c>
      <c r="E837" s="300"/>
      <c r="F837" s="274" t="str" cm="1">
        <f t="array" ref="F837">_xll.FDSB($C837,"CS_EVENT_DATEJ_N("&amp;$AA$18&amp;",1)")</f>
        <v/>
      </c>
      <c r="G837" s="282" t="str" cm="1">
        <f t="array" ref="G837">_xll.FDSB($C837,"CS_EVENT_TIME_N("&amp;$AA$18&amp;",1)")</f>
        <v/>
      </c>
      <c r="H837" s="282" t="str" cm="1">
        <f t="array" ref="H837">_xll.FDSB($C837,"CS_EVENT_DESC_N("&amp;$AA$18&amp;",1)")</f>
        <v/>
      </c>
      <c r="I837" s="282"/>
      <c r="J837" s="274" t="str" cm="1">
        <f t="array" ref="J837">_xll.FDSB($C837,"CS_EVENT_DATEJ_N("&amp;$AB$18&amp;",1)")</f>
        <v/>
      </c>
      <c r="K837" s="282" t="str" cm="1">
        <f t="array" ref="K837">_xll.FDSB($C837,"CS_EVENT_TIME_N("&amp;$AB$18&amp;",1)")</f>
        <v/>
      </c>
      <c r="L837" s="282" t="str" cm="1">
        <f t="array" ref="L837">_xll.FDSB($C837,"CS_EVENT_DESC_N("&amp;$AB$18&amp;",1)")</f>
        <v/>
      </c>
      <c r="M837" s="300"/>
      <c r="N837" s="274" t="str" cm="1">
        <f t="array" ref="N837">_xll.FDSB($C837,"CS_EVENT_DATEJ_N("&amp;$AA$18&amp;",2)")</f>
        <v/>
      </c>
      <c r="O837" s="282" t="str" cm="1">
        <f t="array" ref="O837">_xll.FDSB($C837,"CS_EVENT_TIME_N("&amp;$AA$18&amp;",2)")</f>
        <v/>
      </c>
      <c r="P837" s="282" t="str" cm="1">
        <f t="array" ref="P837">_xll.FDSB($C837,"CS_EVENT_DESC_N("&amp;$AA$18&amp;",2)")</f>
        <v/>
      </c>
      <c r="Q837" s="282"/>
      <c r="R837" s="274" t="str" cm="1">
        <f t="array" ref="R837">_xll.FDSB($C837,"CS_EVENT_DATEJ_N("&amp;$AA$18&amp;",3)")</f>
        <v/>
      </c>
      <c r="S837" s="282" t="str" cm="1">
        <f t="array" ref="S837">_xll.FDSB($C837,"CS_EVENT_TIME_N("&amp;$AA$18&amp;",3)")</f>
        <v/>
      </c>
      <c r="T837" s="282" t="str" cm="1">
        <f t="array" ref="T837">_xll.FDSB($C837,"CS_EVENT_DESC_N("&amp;$AA$18&amp;",3)")</f>
        <v/>
      </c>
      <c r="U837" s="282"/>
      <c r="V837" s="274" t="str" cm="1">
        <f t="array" ref="V837">_xll.FDSB($C837,"CS_EVENT_DATEJ_N("&amp;$AA$18&amp;",4)")</f>
        <v/>
      </c>
      <c r="W837" s="282" t="str" cm="1">
        <f t="array" ref="W837">_xll.FDSB($C837,"CS_EVENT_TIME_N("&amp;$AA$18&amp;",4)")</f>
        <v/>
      </c>
      <c r="X837" s="282" t="str" cm="1">
        <f t="array" ref="X837">_xll.FDSB($C837,"CS_EVENT_DESC_N("&amp;$AA$18&amp;",4)")</f>
        <v/>
      </c>
    </row>
    <row r="838" spans="2:24" x14ac:dyDescent="0.15">
      <c r="B838" s="298">
        <f t="shared" si="14"/>
        <v>823</v>
      </c>
      <c r="C838" s="299"/>
      <c r="D838" s="300" t="str" cm="1">
        <f t="array" ref="D838">_xll.FDSB($C838,"FG_COMPANY_NAME")</f>
        <v/>
      </c>
      <c r="E838" s="300"/>
      <c r="F838" s="274" t="str" cm="1">
        <f t="array" ref="F838">_xll.FDSB($C838,"CS_EVENT_DATEJ_N("&amp;$AA$18&amp;",1)")</f>
        <v/>
      </c>
      <c r="G838" s="282" t="str" cm="1">
        <f t="array" ref="G838">_xll.FDSB($C838,"CS_EVENT_TIME_N("&amp;$AA$18&amp;",1)")</f>
        <v/>
      </c>
      <c r="H838" s="282" t="str" cm="1">
        <f t="array" ref="H838">_xll.FDSB($C838,"CS_EVENT_DESC_N("&amp;$AA$18&amp;",1)")</f>
        <v/>
      </c>
      <c r="I838" s="282"/>
      <c r="J838" s="274" t="str" cm="1">
        <f t="array" ref="J838">_xll.FDSB($C838,"CS_EVENT_DATEJ_N("&amp;$AB$18&amp;",1)")</f>
        <v/>
      </c>
      <c r="K838" s="282" t="str" cm="1">
        <f t="array" ref="K838">_xll.FDSB($C838,"CS_EVENT_TIME_N("&amp;$AB$18&amp;",1)")</f>
        <v/>
      </c>
      <c r="L838" s="282" t="str" cm="1">
        <f t="array" ref="L838">_xll.FDSB($C838,"CS_EVENT_DESC_N("&amp;$AB$18&amp;",1)")</f>
        <v/>
      </c>
      <c r="M838" s="300"/>
      <c r="N838" s="274" t="str" cm="1">
        <f t="array" ref="N838">_xll.FDSB($C838,"CS_EVENT_DATEJ_N("&amp;$AA$18&amp;",2)")</f>
        <v/>
      </c>
      <c r="O838" s="282" t="str" cm="1">
        <f t="array" ref="O838">_xll.FDSB($C838,"CS_EVENT_TIME_N("&amp;$AA$18&amp;",2)")</f>
        <v/>
      </c>
      <c r="P838" s="282" t="str" cm="1">
        <f t="array" ref="P838">_xll.FDSB($C838,"CS_EVENT_DESC_N("&amp;$AA$18&amp;",2)")</f>
        <v/>
      </c>
      <c r="Q838" s="282"/>
      <c r="R838" s="274" t="str" cm="1">
        <f t="array" ref="R838">_xll.FDSB($C838,"CS_EVENT_DATEJ_N("&amp;$AA$18&amp;",3)")</f>
        <v/>
      </c>
      <c r="S838" s="282" t="str" cm="1">
        <f t="array" ref="S838">_xll.FDSB($C838,"CS_EVENT_TIME_N("&amp;$AA$18&amp;",3)")</f>
        <v/>
      </c>
      <c r="T838" s="282" t="str" cm="1">
        <f t="array" ref="T838">_xll.FDSB($C838,"CS_EVENT_DESC_N("&amp;$AA$18&amp;",3)")</f>
        <v/>
      </c>
      <c r="U838" s="282"/>
      <c r="V838" s="274" t="str" cm="1">
        <f t="array" ref="V838">_xll.FDSB($C838,"CS_EVENT_DATEJ_N("&amp;$AA$18&amp;",4)")</f>
        <v/>
      </c>
      <c r="W838" s="282" t="str" cm="1">
        <f t="array" ref="W838">_xll.FDSB($C838,"CS_EVENT_TIME_N("&amp;$AA$18&amp;",4)")</f>
        <v/>
      </c>
      <c r="X838" s="282" t="str" cm="1">
        <f t="array" ref="X838">_xll.FDSB($C838,"CS_EVENT_DESC_N("&amp;$AA$18&amp;",4)")</f>
        <v/>
      </c>
    </row>
    <row r="839" spans="2:24" x14ac:dyDescent="0.15">
      <c r="B839" s="298">
        <f t="shared" si="14"/>
        <v>824</v>
      </c>
      <c r="C839" s="299"/>
      <c r="D839" s="300" t="str" cm="1">
        <f t="array" ref="D839">_xll.FDSB($C839,"FG_COMPANY_NAME")</f>
        <v/>
      </c>
      <c r="E839" s="300"/>
      <c r="F839" s="274" t="str" cm="1">
        <f t="array" ref="F839">_xll.FDSB($C839,"CS_EVENT_DATEJ_N("&amp;$AA$18&amp;",1)")</f>
        <v/>
      </c>
      <c r="G839" s="282" t="str" cm="1">
        <f t="array" ref="G839">_xll.FDSB($C839,"CS_EVENT_TIME_N("&amp;$AA$18&amp;",1)")</f>
        <v/>
      </c>
      <c r="H839" s="282" t="str" cm="1">
        <f t="array" ref="H839">_xll.FDSB($C839,"CS_EVENT_DESC_N("&amp;$AA$18&amp;",1)")</f>
        <v/>
      </c>
      <c r="I839" s="282"/>
      <c r="J839" s="274" t="str" cm="1">
        <f t="array" ref="J839">_xll.FDSB($C839,"CS_EVENT_DATEJ_N("&amp;$AB$18&amp;",1)")</f>
        <v/>
      </c>
      <c r="K839" s="282" t="str" cm="1">
        <f t="array" ref="K839">_xll.FDSB($C839,"CS_EVENT_TIME_N("&amp;$AB$18&amp;",1)")</f>
        <v/>
      </c>
      <c r="L839" s="282" t="str" cm="1">
        <f t="array" ref="L839">_xll.FDSB($C839,"CS_EVENT_DESC_N("&amp;$AB$18&amp;",1)")</f>
        <v/>
      </c>
      <c r="M839" s="300"/>
      <c r="N839" s="274" t="str" cm="1">
        <f t="array" ref="N839">_xll.FDSB($C839,"CS_EVENT_DATEJ_N("&amp;$AA$18&amp;",2)")</f>
        <v/>
      </c>
      <c r="O839" s="282" t="str" cm="1">
        <f t="array" ref="O839">_xll.FDSB($C839,"CS_EVENT_TIME_N("&amp;$AA$18&amp;",2)")</f>
        <v/>
      </c>
      <c r="P839" s="282" t="str" cm="1">
        <f t="array" ref="P839">_xll.FDSB($C839,"CS_EVENT_DESC_N("&amp;$AA$18&amp;",2)")</f>
        <v/>
      </c>
      <c r="Q839" s="282"/>
      <c r="R839" s="274" t="str" cm="1">
        <f t="array" ref="R839">_xll.FDSB($C839,"CS_EVENT_DATEJ_N("&amp;$AA$18&amp;",3)")</f>
        <v/>
      </c>
      <c r="S839" s="282" t="str" cm="1">
        <f t="array" ref="S839">_xll.FDSB($C839,"CS_EVENT_TIME_N("&amp;$AA$18&amp;",3)")</f>
        <v/>
      </c>
      <c r="T839" s="282" t="str" cm="1">
        <f t="array" ref="T839">_xll.FDSB($C839,"CS_EVENT_DESC_N("&amp;$AA$18&amp;",3)")</f>
        <v/>
      </c>
      <c r="U839" s="282"/>
      <c r="V839" s="274" t="str" cm="1">
        <f t="array" ref="V839">_xll.FDSB($C839,"CS_EVENT_DATEJ_N("&amp;$AA$18&amp;",4)")</f>
        <v/>
      </c>
      <c r="W839" s="282" t="str" cm="1">
        <f t="array" ref="W839">_xll.FDSB($C839,"CS_EVENT_TIME_N("&amp;$AA$18&amp;",4)")</f>
        <v/>
      </c>
      <c r="X839" s="282" t="str" cm="1">
        <f t="array" ref="X839">_xll.FDSB($C839,"CS_EVENT_DESC_N("&amp;$AA$18&amp;",4)")</f>
        <v/>
      </c>
    </row>
    <row r="840" spans="2:24" x14ac:dyDescent="0.15">
      <c r="B840" s="298">
        <f t="shared" si="14"/>
        <v>825</v>
      </c>
      <c r="C840" s="299"/>
      <c r="D840" s="300" t="str" cm="1">
        <f t="array" ref="D840">_xll.FDSB($C840,"FG_COMPANY_NAME")</f>
        <v/>
      </c>
      <c r="E840" s="300"/>
      <c r="F840" s="274" t="str" cm="1">
        <f t="array" ref="F840">_xll.FDSB($C840,"CS_EVENT_DATEJ_N("&amp;$AA$18&amp;",1)")</f>
        <v/>
      </c>
      <c r="G840" s="282" t="str" cm="1">
        <f t="array" ref="G840">_xll.FDSB($C840,"CS_EVENT_TIME_N("&amp;$AA$18&amp;",1)")</f>
        <v/>
      </c>
      <c r="H840" s="282" t="str" cm="1">
        <f t="array" ref="H840">_xll.FDSB($C840,"CS_EVENT_DESC_N("&amp;$AA$18&amp;",1)")</f>
        <v/>
      </c>
      <c r="I840" s="282"/>
      <c r="J840" s="274" t="str" cm="1">
        <f t="array" ref="J840">_xll.FDSB($C840,"CS_EVENT_DATEJ_N("&amp;$AB$18&amp;",1)")</f>
        <v/>
      </c>
      <c r="K840" s="282" t="str" cm="1">
        <f t="array" ref="K840">_xll.FDSB($C840,"CS_EVENT_TIME_N("&amp;$AB$18&amp;",1)")</f>
        <v/>
      </c>
      <c r="L840" s="282" t="str" cm="1">
        <f t="array" ref="L840">_xll.FDSB($C840,"CS_EVENT_DESC_N("&amp;$AB$18&amp;",1)")</f>
        <v/>
      </c>
      <c r="M840" s="300"/>
      <c r="N840" s="274" t="str" cm="1">
        <f t="array" ref="N840">_xll.FDSB($C840,"CS_EVENT_DATEJ_N("&amp;$AA$18&amp;",2)")</f>
        <v/>
      </c>
      <c r="O840" s="282" t="str" cm="1">
        <f t="array" ref="O840">_xll.FDSB($C840,"CS_EVENT_TIME_N("&amp;$AA$18&amp;",2)")</f>
        <v/>
      </c>
      <c r="P840" s="282" t="str" cm="1">
        <f t="array" ref="P840">_xll.FDSB($C840,"CS_EVENT_DESC_N("&amp;$AA$18&amp;",2)")</f>
        <v/>
      </c>
      <c r="Q840" s="282"/>
      <c r="R840" s="274" t="str" cm="1">
        <f t="array" ref="R840">_xll.FDSB($C840,"CS_EVENT_DATEJ_N("&amp;$AA$18&amp;",3)")</f>
        <v/>
      </c>
      <c r="S840" s="282" t="str" cm="1">
        <f t="array" ref="S840">_xll.FDSB($C840,"CS_EVENT_TIME_N("&amp;$AA$18&amp;",3)")</f>
        <v/>
      </c>
      <c r="T840" s="282" t="str" cm="1">
        <f t="array" ref="T840">_xll.FDSB($C840,"CS_EVENT_DESC_N("&amp;$AA$18&amp;",3)")</f>
        <v/>
      </c>
      <c r="U840" s="282"/>
      <c r="V840" s="274" t="str" cm="1">
        <f t="array" ref="V840">_xll.FDSB($C840,"CS_EVENT_DATEJ_N("&amp;$AA$18&amp;",4)")</f>
        <v/>
      </c>
      <c r="W840" s="282" t="str" cm="1">
        <f t="array" ref="W840">_xll.FDSB($C840,"CS_EVENT_TIME_N("&amp;$AA$18&amp;",4)")</f>
        <v/>
      </c>
      <c r="X840" s="282" t="str" cm="1">
        <f t="array" ref="X840">_xll.FDSB($C840,"CS_EVENT_DESC_N("&amp;$AA$18&amp;",4)")</f>
        <v/>
      </c>
    </row>
    <row r="841" spans="2:24" x14ac:dyDescent="0.15">
      <c r="B841" s="298">
        <f t="shared" si="14"/>
        <v>826</v>
      </c>
      <c r="C841" s="299"/>
      <c r="D841" s="300" t="str" cm="1">
        <f t="array" ref="D841">_xll.FDSB($C841,"FG_COMPANY_NAME")</f>
        <v/>
      </c>
      <c r="E841" s="300"/>
      <c r="F841" s="274" t="str" cm="1">
        <f t="array" ref="F841">_xll.FDSB($C841,"CS_EVENT_DATEJ_N("&amp;$AA$18&amp;",1)")</f>
        <v/>
      </c>
      <c r="G841" s="282" t="str" cm="1">
        <f t="array" ref="G841">_xll.FDSB($C841,"CS_EVENT_TIME_N("&amp;$AA$18&amp;",1)")</f>
        <v/>
      </c>
      <c r="H841" s="282" t="str" cm="1">
        <f t="array" ref="H841">_xll.FDSB($C841,"CS_EVENT_DESC_N("&amp;$AA$18&amp;",1)")</f>
        <v/>
      </c>
      <c r="I841" s="282"/>
      <c r="J841" s="274" t="str" cm="1">
        <f t="array" ref="J841">_xll.FDSB($C841,"CS_EVENT_DATEJ_N("&amp;$AB$18&amp;",1)")</f>
        <v/>
      </c>
      <c r="K841" s="282" t="str" cm="1">
        <f t="array" ref="K841">_xll.FDSB($C841,"CS_EVENT_TIME_N("&amp;$AB$18&amp;",1)")</f>
        <v/>
      </c>
      <c r="L841" s="282" t="str" cm="1">
        <f t="array" ref="L841">_xll.FDSB($C841,"CS_EVENT_DESC_N("&amp;$AB$18&amp;",1)")</f>
        <v/>
      </c>
      <c r="M841" s="300"/>
      <c r="N841" s="274" t="str" cm="1">
        <f t="array" ref="N841">_xll.FDSB($C841,"CS_EVENT_DATEJ_N("&amp;$AA$18&amp;",2)")</f>
        <v/>
      </c>
      <c r="O841" s="282" t="str" cm="1">
        <f t="array" ref="O841">_xll.FDSB($C841,"CS_EVENT_TIME_N("&amp;$AA$18&amp;",2)")</f>
        <v/>
      </c>
      <c r="P841" s="282" t="str" cm="1">
        <f t="array" ref="P841">_xll.FDSB($C841,"CS_EVENT_DESC_N("&amp;$AA$18&amp;",2)")</f>
        <v/>
      </c>
      <c r="Q841" s="282"/>
      <c r="R841" s="274" t="str" cm="1">
        <f t="array" ref="R841">_xll.FDSB($C841,"CS_EVENT_DATEJ_N("&amp;$AA$18&amp;",3)")</f>
        <v/>
      </c>
      <c r="S841" s="282" t="str" cm="1">
        <f t="array" ref="S841">_xll.FDSB($C841,"CS_EVENT_TIME_N("&amp;$AA$18&amp;",3)")</f>
        <v/>
      </c>
      <c r="T841" s="282" t="str" cm="1">
        <f t="array" ref="T841">_xll.FDSB($C841,"CS_EVENT_DESC_N("&amp;$AA$18&amp;",3)")</f>
        <v/>
      </c>
      <c r="U841" s="282"/>
      <c r="V841" s="274" t="str" cm="1">
        <f t="array" ref="V841">_xll.FDSB($C841,"CS_EVENT_DATEJ_N("&amp;$AA$18&amp;",4)")</f>
        <v/>
      </c>
      <c r="W841" s="282" t="str" cm="1">
        <f t="array" ref="W841">_xll.FDSB($C841,"CS_EVENT_TIME_N("&amp;$AA$18&amp;",4)")</f>
        <v/>
      </c>
      <c r="X841" s="282" t="str" cm="1">
        <f t="array" ref="X841">_xll.FDSB($C841,"CS_EVENT_DESC_N("&amp;$AA$18&amp;",4)")</f>
        <v/>
      </c>
    </row>
    <row r="842" spans="2:24" x14ac:dyDescent="0.15">
      <c r="B842" s="298">
        <f t="shared" si="14"/>
        <v>827</v>
      </c>
      <c r="C842" s="299"/>
      <c r="D842" s="300" t="str" cm="1">
        <f t="array" ref="D842">_xll.FDSB($C842,"FG_COMPANY_NAME")</f>
        <v/>
      </c>
      <c r="E842" s="300"/>
      <c r="F842" s="274" t="str" cm="1">
        <f t="array" ref="F842">_xll.FDSB($C842,"CS_EVENT_DATEJ_N("&amp;$AA$18&amp;",1)")</f>
        <v/>
      </c>
      <c r="G842" s="282" t="str" cm="1">
        <f t="array" ref="G842">_xll.FDSB($C842,"CS_EVENT_TIME_N("&amp;$AA$18&amp;",1)")</f>
        <v/>
      </c>
      <c r="H842" s="282" t="str" cm="1">
        <f t="array" ref="H842">_xll.FDSB($C842,"CS_EVENT_DESC_N("&amp;$AA$18&amp;",1)")</f>
        <v/>
      </c>
      <c r="I842" s="282"/>
      <c r="J842" s="274" t="str" cm="1">
        <f t="array" ref="J842">_xll.FDSB($C842,"CS_EVENT_DATEJ_N("&amp;$AB$18&amp;",1)")</f>
        <v/>
      </c>
      <c r="K842" s="282" t="str" cm="1">
        <f t="array" ref="K842">_xll.FDSB($C842,"CS_EVENT_TIME_N("&amp;$AB$18&amp;",1)")</f>
        <v/>
      </c>
      <c r="L842" s="282" t="str" cm="1">
        <f t="array" ref="L842">_xll.FDSB($C842,"CS_EVENT_DESC_N("&amp;$AB$18&amp;",1)")</f>
        <v/>
      </c>
      <c r="M842" s="300"/>
      <c r="N842" s="274" t="str" cm="1">
        <f t="array" ref="N842">_xll.FDSB($C842,"CS_EVENT_DATEJ_N("&amp;$AA$18&amp;",2)")</f>
        <v/>
      </c>
      <c r="O842" s="282" t="str" cm="1">
        <f t="array" ref="O842">_xll.FDSB($C842,"CS_EVENT_TIME_N("&amp;$AA$18&amp;",2)")</f>
        <v/>
      </c>
      <c r="P842" s="282" t="str" cm="1">
        <f t="array" ref="P842">_xll.FDSB($C842,"CS_EVENT_DESC_N("&amp;$AA$18&amp;",2)")</f>
        <v/>
      </c>
      <c r="Q842" s="282"/>
      <c r="R842" s="274" t="str" cm="1">
        <f t="array" ref="R842">_xll.FDSB($C842,"CS_EVENT_DATEJ_N("&amp;$AA$18&amp;",3)")</f>
        <v/>
      </c>
      <c r="S842" s="282" t="str" cm="1">
        <f t="array" ref="S842">_xll.FDSB($C842,"CS_EVENT_TIME_N("&amp;$AA$18&amp;",3)")</f>
        <v/>
      </c>
      <c r="T842" s="282" t="str" cm="1">
        <f t="array" ref="T842">_xll.FDSB($C842,"CS_EVENT_DESC_N("&amp;$AA$18&amp;",3)")</f>
        <v/>
      </c>
      <c r="U842" s="282"/>
      <c r="V842" s="274" t="str" cm="1">
        <f t="array" ref="V842">_xll.FDSB($C842,"CS_EVENT_DATEJ_N("&amp;$AA$18&amp;",4)")</f>
        <v/>
      </c>
      <c r="W842" s="282" t="str" cm="1">
        <f t="array" ref="W842">_xll.FDSB($C842,"CS_EVENT_TIME_N("&amp;$AA$18&amp;",4)")</f>
        <v/>
      </c>
      <c r="X842" s="282" t="str" cm="1">
        <f t="array" ref="X842">_xll.FDSB($C842,"CS_EVENT_DESC_N("&amp;$AA$18&amp;",4)")</f>
        <v/>
      </c>
    </row>
    <row r="843" spans="2:24" x14ac:dyDescent="0.15">
      <c r="B843" s="298">
        <f t="shared" si="14"/>
        <v>828</v>
      </c>
      <c r="C843" s="299"/>
      <c r="D843" s="300" t="str" cm="1">
        <f t="array" ref="D843">_xll.FDSB($C843,"FG_COMPANY_NAME")</f>
        <v/>
      </c>
      <c r="E843" s="300"/>
      <c r="F843" s="274" t="str" cm="1">
        <f t="array" ref="F843">_xll.FDSB($C843,"CS_EVENT_DATEJ_N("&amp;$AA$18&amp;",1)")</f>
        <v/>
      </c>
      <c r="G843" s="282" t="str" cm="1">
        <f t="array" ref="G843">_xll.FDSB($C843,"CS_EVENT_TIME_N("&amp;$AA$18&amp;",1)")</f>
        <v/>
      </c>
      <c r="H843" s="282" t="str" cm="1">
        <f t="array" ref="H843">_xll.FDSB($C843,"CS_EVENT_DESC_N("&amp;$AA$18&amp;",1)")</f>
        <v/>
      </c>
      <c r="I843" s="282"/>
      <c r="J843" s="274" t="str" cm="1">
        <f t="array" ref="J843">_xll.FDSB($C843,"CS_EVENT_DATEJ_N("&amp;$AB$18&amp;",1)")</f>
        <v/>
      </c>
      <c r="K843" s="282" t="str" cm="1">
        <f t="array" ref="K843">_xll.FDSB($C843,"CS_EVENT_TIME_N("&amp;$AB$18&amp;",1)")</f>
        <v/>
      </c>
      <c r="L843" s="282" t="str" cm="1">
        <f t="array" ref="L843">_xll.FDSB($C843,"CS_EVENT_DESC_N("&amp;$AB$18&amp;",1)")</f>
        <v/>
      </c>
      <c r="M843" s="300"/>
      <c r="N843" s="274" t="str" cm="1">
        <f t="array" ref="N843">_xll.FDSB($C843,"CS_EVENT_DATEJ_N("&amp;$AA$18&amp;",2)")</f>
        <v/>
      </c>
      <c r="O843" s="282" t="str" cm="1">
        <f t="array" ref="O843">_xll.FDSB($C843,"CS_EVENT_TIME_N("&amp;$AA$18&amp;",2)")</f>
        <v/>
      </c>
      <c r="P843" s="282" t="str" cm="1">
        <f t="array" ref="P843">_xll.FDSB($C843,"CS_EVENT_DESC_N("&amp;$AA$18&amp;",2)")</f>
        <v/>
      </c>
      <c r="Q843" s="282"/>
      <c r="R843" s="274" t="str" cm="1">
        <f t="array" ref="R843">_xll.FDSB($C843,"CS_EVENT_DATEJ_N("&amp;$AA$18&amp;",3)")</f>
        <v/>
      </c>
      <c r="S843" s="282" t="str" cm="1">
        <f t="array" ref="S843">_xll.FDSB($C843,"CS_EVENT_TIME_N("&amp;$AA$18&amp;",3)")</f>
        <v/>
      </c>
      <c r="T843" s="282" t="str" cm="1">
        <f t="array" ref="T843">_xll.FDSB($C843,"CS_EVENT_DESC_N("&amp;$AA$18&amp;",3)")</f>
        <v/>
      </c>
      <c r="U843" s="282"/>
      <c r="V843" s="274" t="str" cm="1">
        <f t="array" ref="V843">_xll.FDSB($C843,"CS_EVENT_DATEJ_N("&amp;$AA$18&amp;",4)")</f>
        <v/>
      </c>
      <c r="W843" s="282" t="str" cm="1">
        <f t="array" ref="W843">_xll.FDSB($C843,"CS_EVENT_TIME_N("&amp;$AA$18&amp;",4)")</f>
        <v/>
      </c>
      <c r="X843" s="282" t="str" cm="1">
        <f t="array" ref="X843">_xll.FDSB($C843,"CS_EVENT_DESC_N("&amp;$AA$18&amp;",4)")</f>
        <v/>
      </c>
    </row>
    <row r="844" spans="2:24" x14ac:dyDescent="0.15">
      <c r="B844" s="298">
        <f t="shared" si="14"/>
        <v>829</v>
      </c>
      <c r="C844" s="299"/>
      <c r="D844" s="300" t="str" cm="1">
        <f t="array" ref="D844">_xll.FDSB($C844,"FG_COMPANY_NAME")</f>
        <v/>
      </c>
      <c r="E844" s="300"/>
      <c r="F844" s="274" t="str" cm="1">
        <f t="array" ref="F844">_xll.FDSB($C844,"CS_EVENT_DATEJ_N("&amp;$AA$18&amp;",1)")</f>
        <v/>
      </c>
      <c r="G844" s="282" t="str" cm="1">
        <f t="array" ref="G844">_xll.FDSB($C844,"CS_EVENT_TIME_N("&amp;$AA$18&amp;",1)")</f>
        <v/>
      </c>
      <c r="H844" s="282" t="str" cm="1">
        <f t="array" ref="H844">_xll.FDSB($C844,"CS_EVENT_DESC_N("&amp;$AA$18&amp;",1)")</f>
        <v/>
      </c>
      <c r="I844" s="282"/>
      <c r="J844" s="274" t="str" cm="1">
        <f t="array" ref="J844">_xll.FDSB($C844,"CS_EVENT_DATEJ_N("&amp;$AB$18&amp;",1)")</f>
        <v/>
      </c>
      <c r="K844" s="282" t="str" cm="1">
        <f t="array" ref="K844">_xll.FDSB($C844,"CS_EVENT_TIME_N("&amp;$AB$18&amp;",1)")</f>
        <v/>
      </c>
      <c r="L844" s="282" t="str" cm="1">
        <f t="array" ref="L844">_xll.FDSB($C844,"CS_EVENT_DESC_N("&amp;$AB$18&amp;",1)")</f>
        <v/>
      </c>
      <c r="M844" s="300"/>
      <c r="N844" s="274" t="str" cm="1">
        <f t="array" ref="N844">_xll.FDSB($C844,"CS_EVENT_DATEJ_N("&amp;$AA$18&amp;",2)")</f>
        <v/>
      </c>
      <c r="O844" s="282" t="str" cm="1">
        <f t="array" ref="O844">_xll.FDSB($C844,"CS_EVENT_TIME_N("&amp;$AA$18&amp;",2)")</f>
        <v/>
      </c>
      <c r="P844" s="282" t="str" cm="1">
        <f t="array" ref="P844">_xll.FDSB($C844,"CS_EVENT_DESC_N("&amp;$AA$18&amp;",2)")</f>
        <v/>
      </c>
      <c r="Q844" s="282"/>
      <c r="R844" s="274" t="str" cm="1">
        <f t="array" ref="R844">_xll.FDSB($C844,"CS_EVENT_DATEJ_N("&amp;$AA$18&amp;",3)")</f>
        <v/>
      </c>
      <c r="S844" s="282" t="str" cm="1">
        <f t="array" ref="S844">_xll.FDSB($C844,"CS_EVENT_TIME_N("&amp;$AA$18&amp;",3)")</f>
        <v/>
      </c>
      <c r="T844" s="282" t="str" cm="1">
        <f t="array" ref="T844">_xll.FDSB($C844,"CS_EVENT_DESC_N("&amp;$AA$18&amp;",3)")</f>
        <v/>
      </c>
      <c r="U844" s="282"/>
      <c r="V844" s="274" t="str" cm="1">
        <f t="array" ref="V844">_xll.FDSB($C844,"CS_EVENT_DATEJ_N("&amp;$AA$18&amp;",4)")</f>
        <v/>
      </c>
      <c r="W844" s="282" t="str" cm="1">
        <f t="array" ref="W844">_xll.FDSB($C844,"CS_EVENT_TIME_N("&amp;$AA$18&amp;",4)")</f>
        <v/>
      </c>
      <c r="X844" s="282" t="str" cm="1">
        <f t="array" ref="X844">_xll.FDSB($C844,"CS_EVENT_DESC_N("&amp;$AA$18&amp;",4)")</f>
        <v/>
      </c>
    </row>
    <row r="845" spans="2:24" x14ac:dyDescent="0.15">
      <c r="B845" s="298">
        <f t="shared" si="14"/>
        <v>830</v>
      </c>
      <c r="C845" s="299"/>
      <c r="D845" s="300" t="str" cm="1">
        <f t="array" ref="D845">_xll.FDSB($C845,"FG_COMPANY_NAME")</f>
        <v/>
      </c>
      <c r="E845" s="300"/>
      <c r="F845" s="274" t="str" cm="1">
        <f t="array" ref="F845">_xll.FDSB($C845,"CS_EVENT_DATEJ_N("&amp;$AA$18&amp;",1)")</f>
        <v/>
      </c>
      <c r="G845" s="282" t="str" cm="1">
        <f t="array" ref="G845">_xll.FDSB($C845,"CS_EVENT_TIME_N("&amp;$AA$18&amp;",1)")</f>
        <v/>
      </c>
      <c r="H845" s="282" t="str" cm="1">
        <f t="array" ref="H845">_xll.FDSB($C845,"CS_EVENT_DESC_N("&amp;$AA$18&amp;",1)")</f>
        <v/>
      </c>
      <c r="I845" s="282"/>
      <c r="J845" s="274" t="str" cm="1">
        <f t="array" ref="J845">_xll.FDSB($C845,"CS_EVENT_DATEJ_N("&amp;$AB$18&amp;",1)")</f>
        <v/>
      </c>
      <c r="K845" s="282" t="str" cm="1">
        <f t="array" ref="K845">_xll.FDSB($C845,"CS_EVENT_TIME_N("&amp;$AB$18&amp;",1)")</f>
        <v/>
      </c>
      <c r="L845" s="282" t="str" cm="1">
        <f t="array" ref="L845">_xll.FDSB($C845,"CS_EVENT_DESC_N("&amp;$AB$18&amp;",1)")</f>
        <v/>
      </c>
      <c r="M845" s="300"/>
      <c r="N845" s="274" t="str" cm="1">
        <f t="array" ref="N845">_xll.FDSB($C845,"CS_EVENT_DATEJ_N("&amp;$AA$18&amp;",2)")</f>
        <v/>
      </c>
      <c r="O845" s="282" t="str" cm="1">
        <f t="array" ref="O845">_xll.FDSB($C845,"CS_EVENT_TIME_N("&amp;$AA$18&amp;",2)")</f>
        <v/>
      </c>
      <c r="P845" s="282" t="str" cm="1">
        <f t="array" ref="P845">_xll.FDSB($C845,"CS_EVENT_DESC_N("&amp;$AA$18&amp;",2)")</f>
        <v/>
      </c>
      <c r="Q845" s="282"/>
      <c r="R845" s="274" t="str" cm="1">
        <f t="array" ref="R845">_xll.FDSB($C845,"CS_EVENT_DATEJ_N("&amp;$AA$18&amp;",3)")</f>
        <v/>
      </c>
      <c r="S845" s="282" t="str" cm="1">
        <f t="array" ref="S845">_xll.FDSB($C845,"CS_EVENT_TIME_N("&amp;$AA$18&amp;",3)")</f>
        <v/>
      </c>
      <c r="T845" s="282" t="str" cm="1">
        <f t="array" ref="T845">_xll.FDSB($C845,"CS_EVENT_DESC_N("&amp;$AA$18&amp;",3)")</f>
        <v/>
      </c>
      <c r="U845" s="282"/>
      <c r="V845" s="274" t="str" cm="1">
        <f t="array" ref="V845">_xll.FDSB($C845,"CS_EVENT_DATEJ_N("&amp;$AA$18&amp;",4)")</f>
        <v/>
      </c>
      <c r="W845" s="282" t="str" cm="1">
        <f t="array" ref="W845">_xll.FDSB($C845,"CS_EVENT_TIME_N("&amp;$AA$18&amp;",4)")</f>
        <v/>
      </c>
      <c r="X845" s="282" t="str" cm="1">
        <f t="array" ref="X845">_xll.FDSB($C845,"CS_EVENT_DESC_N("&amp;$AA$18&amp;",4)")</f>
        <v/>
      </c>
    </row>
    <row r="846" spans="2:24" x14ac:dyDescent="0.15">
      <c r="B846" s="298">
        <f t="shared" si="14"/>
        <v>831</v>
      </c>
      <c r="C846" s="299"/>
      <c r="D846" s="300" t="str" cm="1">
        <f t="array" ref="D846">_xll.FDSB($C846,"FG_COMPANY_NAME")</f>
        <v/>
      </c>
      <c r="E846" s="300"/>
      <c r="F846" s="274" t="str" cm="1">
        <f t="array" ref="F846">_xll.FDSB($C846,"CS_EVENT_DATEJ_N("&amp;$AA$18&amp;",1)")</f>
        <v/>
      </c>
      <c r="G846" s="282" t="str" cm="1">
        <f t="array" ref="G846">_xll.FDSB($C846,"CS_EVENT_TIME_N("&amp;$AA$18&amp;",1)")</f>
        <v/>
      </c>
      <c r="H846" s="282" t="str" cm="1">
        <f t="array" ref="H846">_xll.FDSB($C846,"CS_EVENT_DESC_N("&amp;$AA$18&amp;",1)")</f>
        <v/>
      </c>
      <c r="I846" s="282"/>
      <c r="J846" s="274" t="str" cm="1">
        <f t="array" ref="J846">_xll.FDSB($C846,"CS_EVENT_DATEJ_N("&amp;$AB$18&amp;",1)")</f>
        <v/>
      </c>
      <c r="K846" s="282" t="str" cm="1">
        <f t="array" ref="K846">_xll.FDSB($C846,"CS_EVENT_TIME_N("&amp;$AB$18&amp;",1)")</f>
        <v/>
      </c>
      <c r="L846" s="282" t="str" cm="1">
        <f t="array" ref="L846">_xll.FDSB($C846,"CS_EVENT_DESC_N("&amp;$AB$18&amp;",1)")</f>
        <v/>
      </c>
      <c r="M846" s="300"/>
      <c r="N846" s="274" t="str" cm="1">
        <f t="array" ref="N846">_xll.FDSB($C846,"CS_EVENT_DATEJ_N("&amp;$AA$18&amp;",2)")</f>
        <v/>
      </c>
      <c r="O846" s="282" t="str" cm="1">
        <f t="array" ref="O846">_xll.FDSB($C846,"CS_EVENT_TIME_N("&amp;$AA$18&amp;",2)")</f>
        <v/>
      </c>
      <c r="P846" s="282" t="str" cm="1">
        <f t="array" ref="P846">_xll.FDSB($C846,"CS_EVENT_DESC_N("&amp;$AA$18&amp;",2)")</f>
        <v/>
      </c>
      <c r="Q846" s="282"/>
      <c r="R846" s="274" t="str" cm="1">
        <f t="array" ref="R846">_xll.FDSB($C846,"CS_EVENT_DATEJ_N("&amp;$AA$18&amp;",3)")</f>
        <v/>
      </c>
      <c r="S846" s="282" t="str" cm="1">
        <f t="array" ref="S846">_xll.FDSB($C846,"CS_EVENT_TIME_N("&amp;$AA$18&amp;",3)")</f>
        <v/>
      </c>
      <c r="T846" s="282" t="str" cm="1">
        <f t="array" ref="T846">_xll.FDSB($C846,"CS_EVENT_DESC_N("&amp;$AA$18&amp;",3)")</f>
        <v/>
      </c>
      <c r="U846" s="282"/>
      <c r="V846" s="274" t="str" cm="1">
        <f t="array" ref="V846">_xll.FDSB($C846,"CS_EVENT_DATEJ_N("&amp;$AA$18&amp;",4)")</f>
        <v/>
      </c>
      <c r="W846" s="282" t="str" cm="1">
        <f t="array" ref="W846">_xll.FDSB($C846,"CS_EVENT_TIME_N("&amp;$AA$18&amp;",4)")</f>
        <v/>
      </c>
      <c r="X846" s="282" t="str" cm="1">
        <f t="array" ref="X846">_xll.FDSB($C846,"CS_EVENT_DESC_N("&amp;$AA$18&amp;",4)")</f>
        <v/>
      </c>
    </row>
    <row r="847" spans="2:24" x14ac:dyDescent="0.15">
      <c r="B847" s="298">
        <f t="shared" si="14"/>
        <v>832</v>
      </c>
      <c r="C847" s="299"/>
      <c r="D847" s="300" t="str" cm="1">
        <f t="array" ref="D847">_xll.FDSB($C847,"FG_COMPANY_NAME")</f>
        <v/>
      </c>
      <c r="E847" s="300"/>
      <c r="F847" s="274" t="str" cm="1">
        <f t="array" ref="F847">_xll.FDSB($C847,"CS_EVENT_DATEJ_N("&amp;$AA$18&amp;",1)")</f>
        <v/>
      </c>
      <c r="G847" s="282" t="str" cm="1">
        <f t="array" ref="G847">_xll.FDSB($C847,"CS_EVENT_TIME_N("&amp;$AA$18&amp;",1)")</f>
        <v/>
      </c>
      <c r="H847" s="282" t="str" cm="1">
        <f t="array" ref="H847">_xll.FDSB($C847,"CS_EVENT_DESC_N("&amp;$AA$18&amp;",1)")</f>
        <v/>
      </c>
      <c r="I847" s="282"/>
      <c r="J847" s="274" t="str" cm="1">
        <f t="array" ref="J847">_xll.FDSB($C847,"CS_EVENT_DATEJ_N("&amp;$AB$18&amp;",1)")</f>
        <v/>
      </c>
      <c r="K847" s="282" t="str" cm="1">
        <f t="array" ref="K847">_xll.FDSB($C847,"CS_EVENT_TIME_N("&amp;$AB$18&amp;",1)")</f>
        <v/>
      </c>
      <c r="L847" s="282" t="str" cm="1">
        <f t="array" ref="L847">_xll.FDSB($C847,"CS_EVENT_DESC_N("&amp;$AB$18&amp;",1)")</f>
        <v/>
      </c>
      <c r="M847" s="300"/>
      <c r="N847" s="274" t="str" cm="1">
        <f t="array" ref="N847">_xll.FDSB($C847,"CS_EVENT_DATEJ_N("&amp;$AA$18&amp;",2)")</f>
        <v/>
      </c>
      <c r="O847" s="282" t="str" cm="1">
        <f t="array" ref="O847">_xll.FDSB($C847,"CS_EVENT_TIME_N("&amp;$AA$18&amp;",2)")</f>
        <v/>
      </c>
      <c r="P847" s="282" t="str" cm="1">
        <f t="array" ref="P847">_xll.FDSB($C847,"CS_EVENT_DESC_N("&amp;$AA$18&amp;",2)")</f>
        <v/>
      </c>
      <c r="Q847" s="282"/>
      <c r="R847" s="274" t="str" cm="1">
        <f t="array" ref="R847">_xll.FDSB($C847,"CS_EVENT_DATEJ_N("&amp;$AA$18&amp;",3)")</f>
        <v/>
      </c>
      <c r="S847" s="282" t="str" cm="1">
        <f t="array" ref="S847">_xll.FDSB($C847,"CS_EVENT_TIME_N("&amp;$AA$18&amp;",3)")</f>
        <v/>
      </c>
      <c r="T847" s="282" t="str" cm="1">
        <f t="array" ref="T847">_xll.FDSB($C847,"CS_EVENT_DESC_N("&amp;$AA$18&amp;",3)")</f>
        <v/>
      </c>
      <c r="U847" s="282"/>
      <c r="V847" s="274" t="str" cm="1">
        <f t="array" ref="V847">_xll.FDSB($C847,"CS_EVENT_DATEJ_N("&amp;$AA$18&amp;",4)")</f>
        <v/>
      </c>
      <c r="W847" s="282" t="str" cm="1">
        <f t="array" ref="W847">_xll.FDSB($C847,"CS_EVENT_TIME_N("&amp;$AA$18&amp;",4)")</f>
        <v/>
      </c>
      <c r="X847" s="282" t="str" cm="1">
        <f t="array" ref="X847">_xll.FDSB($C847,"CS_EVENT_DESC_N("&amp;$AA$18&amp;",4)")</f>
        <v/>
      </c>
    </row>
    <row r="848" spans="2:24" x14ac:dyDescent="0.15">
      <c r="B848" s="298">
        <f t="shared" si="14"/>
        <v>833</v>
      </c>
      <c r="C848" s="299"/>
      <c r="D848" s="300" t="str" cm="1">
        <f t="array" ref="D848">_xll.FDSB($C848,"FG_COMPANY_NAME")</f>
        <v/>
      </c>
      <c r="E848" s="300"/>
      <c r="F848" s="274" t="str" cm="1">
        <f t="array" ref="F848">_xll.FDSB($C848,"CS_EVENT_DATEJ_N("&amp;$AA$18&amp;",1)")</f>
        <v/>
      </c>
      <c r="G848" s="282" t="str" cm="1">
        <f t="array" ref="G848">_xll.FDSB($C848,"CS_EVENT_TIME_N("&amp;$AA$18&amp;",1)")</f>
        <v/>
      </c>
      <c r="H848" s="282" t="str" cm="1">
        <f t="array" ref="H848">_xll.FDSB($C848,"CS_EVENT_DESC_N("&amp;$AA$18&amp;",1)")</f>
        <v/>
      </c>
      <c r="I848" s="282"/>
      <c r="J848" s="274" t="str" cm="1">
        <f t="array" ref="J848">_xll.FDSB($C848,"CS_EVENT_DATEJ_N("&amp;$AB$18&amp;",1)")</f>
        <v/>
      </c>
      <c r="K848" s="282" t="str" cm="1">
        <f t="array" ref="K848">_xll.FDSB($C848,"CS_EVENT_TIME_N("&amp;$AB$18&amp;",1)")</f>
        <v/>
      </c>
      <c r="L848" s="282" t="str" cm="1">
        <f t="array" ref="L848">_xll.FDSB($C848,"CS_EVENT_DESC_N("&amp;$AB$18&amp;",1)")</f>
        <v/>
      </c>
      <c r="M848" s="300"/>
      <c r="N848" s="274" t="str" cm="1">
        <f t="array" ref="N848">_xll.FDSB($C848,"CS_EVENT_DATEJ_N("&amp;$AA$18&amp;",2)")</f>
        <v/>
      </c>
      <c r="O848" s="282" t="str" cm="1">
        <f t="array" ref="O848">_xll.FDSB($C848,"CS_EVENT_TIME_N("&amp;$AA$18&amp;",2)")</f>
        <v/>
      </c>
      <c r="P848" s="282" t="str" cm="1">
        <f t="array" ref="P848">_xll.FDSB($C848,"CS_EVENT_DESC_N("&amp;$AA$18&amp;",2)")</f>
        <v/>
      </c>
      <c r="Q848" s="282"/>
      <c r="R848" s="274" t="str" cm="1">
        <f t="array" ref="R848">_xll.FDSB($C848,"CS_EVENT_DATEJ_N("&amp;$AA$18&amp;",3)")</f>
        <v/>
      </c>
      <c r="S848" s="282" t="str" cm="1">
        <f t="array" ref="S848">_xll.FDSB($C848,"CS_EVENT_TIME_N("&amp;$AA$18&amp;",3)")</f>
        <v/>
      </c>
      <c r="T848" s="282" t="str" cm="1">
        <f t="array" ref="T848">_xll.FDSB($C848,"CS_EVENT_DESC_N("&amp;$AA$18&amp;",3)")</f>
        <v/>
      </c>
      <c r="U848" s="282"/>
      <c r="V848" s="274" t="str" cm="1">
        <f t="array" ref="V848">_xll.FDSB($C848,"CS_EVENT_DATEJ_N("&amp;$AA$18&amp;",4)")</f>
        <v/>
      </c>
      <c r="W848" s="282" t="str" cm="1">
        <f t="array" ref="W848">_xll.FDSB($C848,"CS_EVENT_TIME_N("&amp;$AA$18&amp;",4)")</f>
        <v/>
      </c>
      <c r="X848" s="282" t="str" cm="1">
        <f t="array" ref="X848">_xll.FDSB($C848,"CS_EVENT_DESC_N("&amp;$AA$18&amp;",4)")</f>
        <v/>
      </c>
    </row>
    <row r="849" spans="2:24" x14ac:dyDescent="0.15">
      <c r="B849" s="298">
        <f t="shared" si="14"/>
        <v>834</v>
      </c>
      <c r="C849" s="299"/>
      <c r="D849" s="300" t="str" cm="1">
        <f t="array" ref="D849">_xll.FDSB($C849,"FG_COMPANY_NAME")</f>
        <v/>
      </c>
      <c r="E849" s="300"/>
      <c r="F849" s="274" t="str" cm="1">
        <f t="array" ref="F849">_xll.FDSB($C849,"CS_EVENT_DATEJ_N("&amp;$AA$18&amp;",1)")</f>
        <v/>
      </c>
      <c r="G849" s="282" t="str" cm="1">
        <f t="array" ref="G849">_xll.FDSB($C849,"CS_EVENT_TIME_N("&amp;$AA$18&amp;",1)")</f>
        <v/>
      </c>
      <c r="H849" s="282" t="str" cm="1">
        <f t="array" ref="H849">_xll.FDSB($C849,"CS_EVENT_DESC_N("&amp;$AA$18&amp;",1)")</f>
        <v/>
      </c>
      <c r="I849" s="282"/>
      <c r="J849" s="274" t="str" cm="1">
        <f t="array" ref="J849">_xll.FDSB($C849,"CS_EVENT_DATEJ_N("&amp;$AB$18&amp;",1)")</f>
        <v/>
      </c>
      <c r="K849" s="282" t="str" cm="1">
        <f t="array" ref="K849">_xll.FDSB($C849,"CS_EVENT_TIME_N("&amp;$AB$18&amp;",1)")</f>
        <v/>
      </c>
      <c r="L849" s="282" t="str" cm="1">
        <f t="array" ref="L849">_xll.FDSB($C849,"CS_EVENT_DESC_N("&amp;$AB$18&amp;",1)")</f>
        <v/>
      </c>
      <c r="M849" s="300"/>
      <c r="N849" s="274" t="str" cm="1">
        <f t="array" ref="N849">_xll.FDSB($C849,"CS_EVENT_DATEJ_N("&amp;$AA$18&amp;",2)")</f>
        <v/>
      </c>
      <c r="O849" s="282" t="str" cm="1">
        <f t="array" ref="O849">_xll.FDSB($C849,"CS_EVENT_TIME_N("&amp;$AA$18&amp;",2)")</f>
        <v/>
      </c>
      <c r="P849" s="282" t="str" cm="1">
        <f t="array" ref="P849">_xll.FDSB($C849,"CS_EVENT_DESC_N("&amp;$AA$18&amp;",2)")</f>
        <v/>
      </c>
      <c r="Q849" s="282"/>
      <c r="R849" s="274" t="str" cm="1">
        <f t="array" ref="R849">_xll.FDSB($C849,"CS_EVENT_DATEJ_N("&amp;$AA$18&amp;",3)")</f>
        <v/>
      </c>
      <c r="S849" s="282" t="str" cm="1">
        <f t="array" ref="S849">_xll.FDSB($C849,"CS_EVENT_TIME_N("&amp;$AA$18&amp;",3)")</f>
        <v/>
      </c>
      <c r="T849" s="282" t="str" cm="1">
        <f t="array" ref="T849">_xll.FDSB($C849,"CS_EVENT_DESC_N("&amp;$AA$18&amp;",3)")</f>
        <v/>
      </c>
      <c r="U849" s="282"/>
      <c r="V849" s="274" t="str" cm="1">
        <f t="array" ref="V849">_xll.FDSB($C849,"CS_EVENT_DATEJ_N("&amp;$AA$18&amp;",4)")</f>
        <v/>
      </c>
      <c r="W849" s="282" t="str" cm="1">
        <f t="array" ref="W849">_xll.FDSB($C849,"CS_EVENT_TIME_N("&amp;$AA$18&amp;",4)")</f>
        <v/>
      </c>
      <c r="X849" s="282" t="str" cm="1">
        <f t="array" ref="X849">_xll.FDSB($C849,"CS_EVENT_DESC_N("&amp;$AA$18&amp;",4)")</f>
        <v/>
      </c>
    </row>
    <row r="850" spans="2:24" x14ac:dyDescent="0.15">
      <c r="B850" s="298">
        <f t="shared" ref="B850:B913" si="15">B849+1</f>
        <v>835</v>
      </c>
      <c r="C850" s="299"/>
      <c r="D850" s="300" t="str" cm="1">
        <f t="array" ref="D850">_xll.FDSB($C850,"FG_COMPANY_NAME")</f>
        <v/>
      </c>
      <c r="E850" s="300"/>
      <c r="F850" s="274" t="str" cm="1">
        <f t="array" ref="F850">_xll.FDSB($C850,"CS_EVENT_DATEJ_N("&amp;$AA$18&amp;",1)")</f>
        <v/>
      </c>
      <c r="G850" s="282" t="str" cm="1">
        <f t="array" ref="G850">_xll.FDSB($C850,"CS_EVENT_TIME_N("&amp;$AA$18&amp;",1)")</f>
        <v/>
      </c>
      <c r="H850" s="282" t="str" cm="1">
        <f t="array" ref="H850">_xll.FDSB($C850,"CS_EVENT_DESC_N("&amp;$AA$18&amp;",1)")</f>
        <v/>
      </c>
      <c r="I850" s="282"/>
      <c r="J850" s="274" t="str" cm="1">
        <f t="array" ref="J850">_xll.FDSB($C850,"CS_EVENT_DATEJ_N("&amp;$AB$18&amp;",1)")</f>
        <v/>
      </c>
      <c r="K850" s="282" t="str" cm="1">
        <f t="array" ref="K850">_xll.FDSB($C850,"CS_EVENT_TIME_N("&amp;$AB$18&amp;",1)")</f>
        <v/>
      </c>
      <c r="L850" s="282" t="str" cm="1">
        <f t="array" ref="L850">_xll.FDSB($C850,"CS_EVENT_DESC_N("&amp;$AB$18&amp;",1)")</f>
        <v/>
      </c>
      <c r="M850" s="300"/>
      <c r="N850" s="274" t="str" cm="1">
        <f t="array" ref="N850">_xll.FDSB($C850,"CS_EVENT_DATEJ_N("&amp;$AA$18&amp;",2)")</f>
        <v/>
      </c>
      <c r="O850" s="282" t="str" cm="1">
        <f t="array" ref="O850">_xll.FDSB($C850,"CS_EVENT_TIME_N("&amp;$AA$18&amp;",2)")</f>
        <v/>
      </c>
      <c r="P850" s="282" t="str" cm="1">
        <f t="array" ref="P850">_xll.FDSB($C850,"CS_EVENT_DESC_N("&amp;$AA$18&amp;",2)")</f>
        <v/>
      </c>
      <c r="Q850" s="282"/>
      <c r="R850" s="274" t="str" cm="1">
        <f t="array" ref="R850">_xll.FDSB($C850,"CS_EVENT_DATEJ_N("&amp;$AA$18&amp;",3)")</f>
        <v/>
      </c>
      <c r="S850" s="282" t="str" cm="1">
        <f t="array" ref="S850">_xll.FDSB($C850,"CS_EVENT_TIME_N("&amp;$AA$18&amp;",3)")</f>
        <v/>
      </c>
      <c r="T850" s="282" t="str" cm="1">
        <f t="array" ref="T850">_xll.FDSB($C850,"CS_EVENT_DESC_N("&amp;$AA$18&amp;",3)")</f>
        <v/>
      </c>
      <c r="U850" s="282"/>
      <c r="V850" s="274" t="str" cm="1">
        <f t="array" ref="V850">_xll.FDSB($C850,"CS_EVENT_DATEJ_N("&amp;$AA$18&amp;",4)")</f>
        <v/>
      </c>
      <c r="W850" s="282" t="str" cm="1">
        <f t="array" ref="W850">_xll.FDSB($C850,"CS_EVENT_TIME_N("&amp;$AA$18&amp;",4)")</f>
        <v/>
      </c>
      <c r="X850" s="282" t="str" cm="1">
        <f t="array" ref="X850">_xll.FDSB($C850,"CS_EVENT_DESC_N("&amp;$AA$18&amp;",4)")</f>
        <v/>
      </c>
    </row>
    <row r="851" spans="2:24" x14ac:dyDescent="0.15">
      <c r="B851" s="298">
        <f t="shared" si="15"/>
        <v>836</v>
      </c>
      <c r="C851" s="299"/>
      <c r="D851" s="300" t="str" cm="1">
        <f t="array" ref="D851">_xll.FDSB($C851,"FG_COMPANY_NAME")</f>
        <v/>
      </c>
      <c r="E851" s="300"/>
      <c r="F851" s="274" t="str" cm="1">
        <f t="array" ref="F851">_xll.FDSB($C851,"CS_EVENT_DATEJ_N("&amp;$AA$18&amp;",1)")</f>
        <v/>
      </c>
      <c r="G851" s="282" t="str" cm="1">
        <f t="array" ref="G851">_xll.FDSB($C851,"CS_EVENT_TIME_N("&amp;$AA$18&amp;",1)")</f>
        <v/>
      </c>
      <c r="H851" s="282" t="str" cm="1">
        <f t="array" ref="H851">_xll.FDSB($C851,"CS_EVENT_DESC_N("&amp;$AA$18&amp;",1)")</f>
        <v/>
      </c>
      <c r="I851" s="282"/>
      <c r="J851" s="274" t="str" cm="1">
        <f t="array" ref="J851">_xll.FDSB($C851,"CS_EVENT_DATEJ_N("&amp;$AB$18&amp;",1)")</f>
        <v/>
      </c>
      <c r="K851" s="282" t="str" cm="1">
        <f t="array" ref="K851">_xll.FDSB($C851,"CS_EVENT_TIME_N("&amp;$AB$18&amp;",1)")</f>
        <v/>
      </c>
      <c r="L851" s="282" t="str" cm="1">
        <f t="array" ref="L851">_xll.FDSB($C851,"CS_EVENT_DESC_N("&amp;$AB$18&amp;",1)")</f>
        <v/>
      </c>
      <c r="M851" s="300"/>
      <c r="N851" s="274" t="str" cm="1">
        <f t="array" ref="N851">_xll.FDSB($C851,"CS_EVENT_DATEJ_N("&amp;$AA$18&amp;",2)")</f>
        <v/>
      </c>
      <c r="O851" s="282" t="str" cm="1">
        <f t="array" ref="O851">_xll.FDSB($C851,"CS_EVENT_TIME_N("&amp;$AA$18&amp;",2)")</f>
        <v/>
      </c>
      <c r="P851" s="282" t="str" cm="1">
        <f t="array" ref="P851">_xll.FDSB($C851,"CS_EVENT_DESC_N("&amp;$AA$18&amp;",2)")</f>
        <v/>
      </c>
      <c r="Q851" s="282"/>
      <c r="R851" s="274" t="str" cm="1">
        <f t="array" ref="R851">_xll.FDSB($C851,"CS_EVENT_DATEJ_N("&amp;$AA$18&amp;",3)")</f>
        <v/>
      </c>
      <c r="S851" s="282" t="str" cm="1">
        <f t="array" ref="S851">_xll.FDSB($C851,"CS_EVENT_TIME_N("&amp;$AA$18&amp;",3)")</f>
        <v/>
      </c>
      <c r="T851" s="282" t="str" cm="1">
        <f t="array" ref="T851">_xll.FDSB($C851,"CS_EVENT_DESC_N("&amp;$AA$18&amp;",3)")</f>
        <v/>
      </c>
      <c r="U851" s="282"/>
      <c r="V851" s="274" t="str" cm="1">
        <f t="array" ref="V851">_xll.FDSB($C851,"CS_EVENT_DATEJ_N("&amp;$AA$18&amp;",4)")</f>
        <v/>
      </c>
      <c r="W851" s="282" t="str" cm="1">
        <f t="array" ref="W851">_xll.FDSB($C851,"CS_EVENT_TIME_N("&amp;$AA$18&amp;",4)")</f>
        <v/>
      </c>
      <c r="X851" s="282" t="str" cm="1">
        <f t="array" ref="X851">_xll.FDSB($C851,"CS_EVENT_DESC_N("&amp;$AA$18&amp;",4)")</f>
        <v/>
      </c>
    </row>
    <row r="852" spans="2:24" x14ac:dyDescent="0.15">
      <c r="B852" s="298">
        <f t="shared" si="15"/>
        <v>837</v>
      </c>
      <c r="C852" s="299"/>
      <c r="D852" s="300" t="str" cm="1">
        <f t="array" ref="D852">_xll.FDSB($C852,"FG_COMPANY_NAME")</f>
        <v/>
      </c>
      <c r="E852" s="300"/>
      <c r="F852" s="274" t="str" cm="1">
        <f t="array" ref="F852">_xll.FDSB($C852,"CS_EVENT_DATEJ_N("&amp;$AA$18&amp;",1)")</f>
        <v/>
      </c>
      <c r="G852" s="282" t="str" cm="1">
        <f t="array" ref="G852">_xll.FDSB($C852,"CS_EVENT_TIME_N("&amp;$AA$18&amp;",1)")</f>
        <v/>
      </c>
      <c r="H852" s="282" t="str" cm="1">
        <f t="array" ref="H852">_xll.FDSB($C852,"CS_EVENT_DESC_N("&amp;$AA$18&amp;",1)")</f>
        <v/>
      </c>
      <c r="I852" s="282"/>
      <c r="J852" s="274" t="str" cm="1">
        <f t="array" ref="J852">_xll.FDSB($C852,"CS_EVENT_DATEJ_N("&amp;$AB$18&amp;",1)")</f>
        <v/>
      </c>
      <c r="K852" s="282" t="str" cm="1">
        <f t="array" ref="K852">_xll.FDSB($C852,"CS_EVENT_TIME_N("&amp;$AB$18&amp;",1)")</f>
        <v/>
      </c>
      <c r="L852" s="282" t="str" cm="1">
        <f t="array" ref="L852">_xll.FDSB($C852,"CS_EVENT_DESC_N("&amp;$AB$18&amp;",1)")</f>
        <v/>
      </c>
      <c r="M852" s="300"/>
      <c r="N852" s="274" t="str" cm="1">
        <f t="array" ref="N852">_xll.FDSB($C852,"CS_EVENT_DATEJ_N("&amp;$AA$18&amp;",2)")</f>
        <v/>
      </c>
      <c r="O852" s="282" t="str" cm="1">
        <f t="array" ref="O852">_xll.FDSB($C852,"CS_EVENT_TIME_N("&amp;$AA$18&amp;",2)")</f>
        <v/>
      </c>
      <c r="P852" s="282" t="str" cm="1">
        <f t="array" ref="P852">_xll.FDSB($C852,"CS_EVENT_DESC_N("&amp;$AA$18&amp;",2)")</f>
        <v/>
      </c>
      <c r="Q852" s="282"/>
      <c r="R852" s="274" t="str" cm="1">
        <f t="array" ref="R852">_xll.FDSB($C852,"CS_EVENT_DATEJ_N("&amp;$AA$18&amp;",3)")</f>
        <v/>
      </c>
      <c r="S852" s="282" t="str" cm="1">
        <f t="array" ref="S852">_xll.FDSB($C852,"CS_EVENT_TIME_N("&amp;$AA$18&amp;",3)")</f>
        <v/>
      </c>
      <c r="T852" s="282" t="str" cm="1">
        <f t="array" ref="T852">_xll.FDSB($C852,"CS_EVENT_DESC_N("&amp;$AA$18&amp;",3)")</f>
        <v/>
      </c>
      <c r="U852" s="282"/>
      <c r="V852" s="274" t="str" cm="1">
        <f t="array" ref="V852">_xll.FDSB($C852,"CS_EVENT_DATEJ_N("&amp;$AA$18&amp;",4)")</f>
        <v/>
      </c>
      <c r="W852" s="282" t="str" cm="1">
        <f t="array" ref="W852">_xll.FDSB($C852,"CS_EVENT_TIME_N("&amp;$AA$18&amp;",4)")</f>
        <v/>
      </c>
      <c r="X852" s="282" t="str" cm="1">
        <f t="array" ref="X852">_xll.FDSB($C852,"CS_EVENT_DESC_N("&amp;$AA$18&amp;",4)")</f>
        <v/>
      </c>
    </row>
    <row r="853" spans="2:24" x14ac:dyDescent="0.15">
      <c r="B853" s="298">
        <f t="shared" si="15"/>
        <v>838</v>
      </c>
      <c r="C853" s="299"/>
      <c r="D853" s="300" t="str" cm="1">
        <f t="array" ref="D853">_xll.FDSB($C853,"FG_COMPANY_NAME")</f>
        <v/>
      </c>
      <c r="E853" s="300"/>
      <c r="F853" s="274" t="str" cm="1">
        <f t="array" ref="F853">_xll.FDSB($C853,"CS_EVENT_DATEJ_N("&amp;$AA$18&amp;",1)")</f>
        <v/>
      </c>
      <c r="G853" s="282" t="str" cm="1">
        <f t="array" ref="G853">_xll.FDSB($C853,"CS_EVENT_TIME_N("&amp;$AA$18&amp;",1)")</f>
        <v/>
      </c>
      <c r="H853" s="282" t="str" cm="1">
        <f t="array" ref="H853">_xll.FDSB($C853,"CS_EVENT_DESC_N("&amp;$AA$18&amp;",1)")</f>
        <v/>
      </c>
      <c r="I853" s="282"/>
      <c r="J853" s="274" t="str" cm="1">
        <f t="array" ref="J853">_xll.FDSB($C853,"CS_EVENT_DATEJ_N("&amp;$AB$18&amp;",1)")</f>
        <v/>
      </c>
      <c r="K853" s="282" t="str" cm="1">
        <f t="array" ref="K853">_xll.FDSB($C853,"CS_EVENT_TIME_N("&amp;$AB$18&amp;",1)")</f>
        <v/>
      </c>
      <c r="L853" s="282" t="str" cm="1">
        <f t="array" ref="L853">_xll.FDSB($C853,"CS_EVENT_DESC_N("&amp;$AB$18&amp;",1)")</f>
        <v/>
      </c>
      <c r="M853" s="300"/>
      <c r="N853" s="274" t="str" cm="1">
        <f t="array" ref="N853">_xll.FDSB($C853,"CS_EVENT_DATEJ_N("&amp;$AA$18&amp;",2)")</f>
        <v/>
      </c>
      <c r="O853" s="282" t="str" cm="1">
        <f t="array" ref="O853">_xll.FDSB($C853,"CS_EVENT_TIME_N("&amp;$AA$18&amp;",2)")</f>
        <v/>
      </c>
      <c r="P853" s="282" t="str" cm="1">
        <f t="array" ref="P853">_xll.FDSB($C853,"CS_EVENT_DESC_N("&amp;$AA$18&amp;",2)")</f>
        <v/>
      </c>
      <c r="Q853" s="282"/>
      <c r="R853" s="274" t="str" cm="1">
        <f t="array" ref="R853">_xll.FDSB($C853,"CS_EVENT_DATEJ_N("&amp;$AA$18&amp;",3)")</f>
        <v/>
      </c>
      <c r="S853" s="282" t="str" cm="1">
        <f t="array" ref="S853">_xll.FDSB($C853,"CS_EVENT_TIME_N("&amp;$AA$18&amp;",3)")</f>
        <v/>
      </c>
      <c r="T853" s="282" t="str" cm="1">
        <f t="array" ref="T853">_xll.FDSB($C853,"CS_EVENT_DESC_N("&amp;$AA$18&amp;",3)")</f>
        <v/>
      </c>
      <c r="U853" s="282"/>
      <c r="V853" s="274" t="str" cm="1">
        <f t="array" ref="V853">_xll.FDSB($C853,"CS_EVENT_DATEJ_N("&amp;$AA$18&amp;",4)")</f>
        <v/>
      </c>
      <c r="W853" s="282" t="str" cm="1">
        <f t="array" ref="W853">_xll.FDSB($C853,"CS_EVENT_TIME_N("&amp;$AA$18&amp;",4)")</f>
        <v/>
      </c>
      <c r="X853" s="282" t="str" cm="1">
        <f t="array" ref="X853">_xll.FDSB($C853,"CS_EVENT_DESC_N("&amp;$AA$18&amp;",4)")</f>
        <v/>
      </c>
    </row>
    <row r="854" spans="2:24" x14ac:dyDescent="0.15">
      <c r="B854" s="298">
        <f t="shared" si="15"/>
        <v>839</v>
      </c>
      <c r="C854" s="299"/>
      <c r="D854" s="300" t="str" cm="1">
        <f t="array" ref="D854">_xll.FDSB($C854,"FG_COMPANY_NAME")</f>
        <v/>
      </c>
      <c r="E854" s="300"/>
      <c r="F854" s="274" t="str" cm="1">
        <f t="array" ref="F854">_xll.FDSB($C854,"CS_EVENT_DATEJ_N("&amp;$AA$18&amp;",1)")</f>
        <v/>
      </c>
      <c r="G854" s="282" t="str" cm="1">
        <f t="array" ref="G854">_xll.FDSB($C854,"CS_EVENT_TIME_N("&amp;$AA$18&amp;",1)")</f>
        <v/>
      </c>
      <c r="H854" s="282" t="str" cm="1">
        <f t="array" ref="H854">_xll.FDSB($C854,"CS_EVENT_DESC_N("&amp;$AA$18&amp;",1)")</f>
        <v/>
      </c>
      <c r="I854" s="282"/>
      <c r="J854" s="274" t="str" cm="1">
        <f t="array" ref="J854">_xll.FDSB($C854,"CS_EVENT_DATEJ_N("&amp;$AB$18&amp;",1)")</f>
        <v/>
      </c>
      <c r="K854" s="282" t="str" cm="1">
        <f t="array" ref="K854">_xll.FDSB($C854,"CS_EVENT_TIME_N("&amp;$AB$18&amp;",1)")</f>
        <v/>
      </c>
      <c r="L854" s="282" t="str" cm="1">
        <f t="array" ref="L854">_xll.FDSB($C854,"CS_EVENT_DESC_N("&amp;$AB$18&amp;",1)")</f>
        <v/>
      </c>
      <c r="M854" s="300"/>
      <c r="N854" s="274" t="str" cm="1">
        <f t="array" ref="N854">_xll.FDSB($C854,"CS_EVENT_DATEJ_N("&amp;$AA$18&amp;",2)")</f>
        <v/>
      </c>
      <c r="O854" s="282" t="str" cm="1">
        <f t="array" ref="O854">_xll.FDSB($C854,"CS_EVENT_TIME_N("&amp;$AA$18&amp;",2)")</f>
        <v/>
      </c>
      <c r="P854" s="282" t="str" cm="1">
        <f t="array" ref="P854">_xll.FDSB($C854,"CS_EVENT_DESC_N("&amp;$AA$18&amp;",2)")</f>
        <v/>
      </c>
      <c r="Q854" s="282"/>
      <c r="R854" s="274" t="str" cm="1">
        <f t="array" ref="R854">_xll.FDSB($C854,"CS_EVENT_DATEJ_N("&amp;$AA$18&amp;",3)")</f>
        <v/>
      </c>
      <c r="S854" s="282" t="str" cm="1">
        <f t="array" ref="S854">_xll.FDSB($C854,"CS_EVENT_TIME_N("&amp;$AA$18&amp;",3)")</f>
        <v/>
      </c>
      <c r="T854" s="282" t="str" cm="1">
        <f t="array" ref="T854">_xll.FDSB($C854,"CS_EVENT_DESC_N("&amp;$AA$18&amp;",3)")</f>
        <v/>
      </c>
      <c r="U854" s="282"/>
      <c r="V854" s="274" t="str" cm="1">
        <f t="array" ref="V854">_xll.FDSB($C854,"CS_EVENT_DATEJ_N("&amp;$AA$18&amp;",4)")</f>
        <v/>
      </c>
      <c r="W854" s="282" t="str" cm="1">
        <f t="array" ref="W854">_xll.FDSB($C854,"CS_EVENT_TIME_N("&amp;$AA$18&amp;",4)")</f>
        <v/>
      </c>
      <c r="X854" s="282" t="str" cm="1">
        <f t="array" ref="X854">_xll.FDSB($C854,"CS_EVENT_DESC_N("&amp;$AA$18&amp;",4)")</f>
        <v/>
      </c>
    </row>
    <row r="855" spans="2:24" x14ac:dyDescent="0.15">
      <c r="B855" s="298">
        <f t="shared" si="15"/>
        <v>840</v>
      </c>
      <c r="C855" s="299"/>
      <c r="D855" s="300" t="str" cm="1">
        <f t="array" ref="D855">_xll.FDSB($C855,"FG_COMPANY_NAME")</f>
        <v/>
      </c>
      <c r="E855" s="300"/>
      <c r="F855" s="274" t="str" cm="1">
        <f t="array" ref="F855">_xll.FDSB($C855,"CS_EVENT_DATEJ_N("&amp;$AA$18&amp;",1)")</f>
        <v/>
      </c>
      <c r="G855" s="282" t="str" cm="1">
        <f t="array" ref="G855">_xll.FDSB($C855,"CS_EVENT_TIME_N("&amp;$AA$18&amp;",1)")</f>
        <v/>
      </c>
      <c r="H855" s="282" t="str" cm="1">
        <f t="array" ref="H855">_xll.FDSB($C855,"CS_EVENT_DESC_N("&amp;$AA$18&amp;",1)")</f>
        <v/>
      </c>
      <c r="I855" s="282"/>
      <c r="J855" s="274" t="str" cm="1">
        <f t="array" ref="J855">_xll.FDSB($C855,"CS_EVENT_DATEJ_N("&amp;$AB$18&amp;",1)")</f>
        <v/>
      </c>
      <c r="K855" s="282" t="str" cm="1">
        <f t="array" ref="K855">_xll.FDSB($C855,"CS_EVENT_TIME_N("&amp;$AB$18&amp;",1)")</f>
        <v/>
      </c>
      <c r="L855" s="282" t="str" cm="1">
        <f t="array" ref="L855">_xll.FDSB($C855,"CS_EVENT_DESC_N("&amp;$AB$18&amp;",1)")</f>
        <v/>
      </c>
      <c r="M855" s="300"/>
      <c r="N855" s="274" t="str" cm="1">
        <f t="array" ref="N855">_xll.FDSB($C855,"CS_EVENT_DATEJ_N("&amp;$AA$18&amp;",2)")</f>
        <v/>
      </c>
      <c r="O855" s="282" t="str" cm="1">
        <f t="array" ref="O855">_xll.FDSB($C855,"CS_EVENT_TIME_N("&amp;$AA$18&amp;",2)")</f>
        <v/>
      </c>
      <c r="P855" s="282" t="str" cm="1">
        <f t="array" ref="P855">_xll.FDSB($C855,"CS_EVENT_DESC_N("&amp;$AA$18&amp;",2)")</f>
        <v/>
      </c>
      <c r="Q855" s="282"/>
      <c r="R855" s="274" t="str" cm="1">
        <f t="array" ref="R855">_xll.FDSB($C855,"CS_EVENT_DATEJ_N("&amp;$AA$18&amp;",3)")</f>
        <v/>
      </c>
      <c r="S855" s="282" t="str" cm="1">
        <f t="array" ref="S855">_xll.FDSB($C855,"CS_EVENT_TIME_N("&amp;$AA$18&amp;",3)")</f>
        <v/>
      </c>
      <c r="T855" s="282" t="str" cm="1">
        <f t="array" ref="T855">_xll.FDSB($C855,"CS_EVENT_DESC_N("&amp;$AA$18&amp;",3)")</f>
        <v/>
      </c>
      <c r="U855" s="282"/>
      <c r="V855" s="274" t="str" cm="1">
        <f t="array" ref="V855">_xll.FDSB($C855,"CS_EVENT_DATEJ_N("&amp;$AA$18&amp;",4)")</f>
        <v/>
      </c>
      <c r="W855" s="282" t="str" cm="1">
        <f t="array" ref="W855">_xll.FDSB($C855,"CS_EVENT_TIME_N("&amp;$AA$18&amp;",4)")</f>
        <v/>
      </c>
      <c r="X855" s="282" t="str" cm="1">
        <f t="array" ref="X855">_xll.FDSB($C855,"CS_EVENT_DESC_N("&amp;$AA$18&amp;",4)")</f>
        <v/>
      </c>
    </row>
    <row r="856" spans="2:24" x14ac:dyDescent="0.15">
      <c r="B856" s="298">
        <f t="shared" si="15"/>
        <v>841</v>
      </c>
      <c r="C856" s="299"/>
      <c r="D856" s="300" t="str" cm="1">
        <f t="array" ref="D856">_xll.FDSB($C856,"FG_COMPANY_NAME")</f>
        <v/>
      </c>
      <c r="E856" s="300"/>
      <c r="F856" s="274" t="str" cm="1">
        <f t="array" ref="F856">_xll.FDSB($C856,"CS_EVENT_DATEJ_N("&amp;$AA$18&amp;",1)")</f>
        <v/>
      </c>
      <c r="G856" s="282" t="str" cm="1">
        <f t="array" ref="G856">_xll.FDSB($C856,"CS_EVENT_TIME_N("&amp;$AA$18&amp;",1)")</f>
        <v/>
      </c>
      <c r="H856" s="282" t="str" cm="1">
        <f t="array" ref="H856">_xll.FDSB($C856,"CS_EVENT_DESC_N("&amp;$AA$18&amp;",1)")</f>
        <v/>
      </c>
      <c r="I856" s="282"/>
      <c r="J856" s="274" t="str" cm="1">
        <f t="array" ref="J856">_xll.FDSB($C856,"CS_EVENT_DATEJ_N("&amp;$AB$18&amp;",1)")</f>
        <v/>
      </c>
      <c r="K856" s="282" t="str" cm="1">
        <f t="array" ref="K856">_xll.FDSB($C856,"CS_EVENT_TIME_N("&amp;$AB$18&amp;",1)")</f>
        <v/>
      </c>
      <c r="L856" s="282" t="str" cm="1">
        <f t="array" ref="L856">_xll.FDSB($C856,"CS_EVENT_DESC_N("&amp;$AB$18&amp;",1)")</f>
        <v/>
      </c>
      <c r="M856" s="300"/>
      <c r="N856" s="274" t="str" cm="1">
        <f t="array" ref="N856">_xll.FDSB($C856,"CS_EVENT_DATEJ_N("&amp;$AA$18&amp;",2)")</f>
        <v/>
      </c>
      <c r="O856" s="282" t="str" cm="1">
        <f t="array" ref="O856">_xll.FDSB($C856,"CS_EVENT_TIME_N("&amp;$AA$18&amp;",2)")</f>
        <v/>
      </c>
      <c r="P856" s="282" t="str" cm="1">
        <f t="array" ref="P856">_xll.FDSB($C856,"CS_EVENT_DESC_N("&amp;$AA$18&amp;",2)")</f>
        <v/>
      </c>
      <c r="Q856" s="282"/>
      <c r="R856" s="274" t="str" cm="1">
        <f t="array" ref="R856">_xll.FDSB($C856,"CS_EVENT_DATEJ_N("&amp;$AA$18&amp;",3)")</f>
        <v/>
      </c>
      <c r="S856" s="282" t="str" cm="1">
        <f t="array" ref="S856">_xll.FDSB($C856,"CS_EVENT_TIME_N("&amp;$AA$18&amp;",3)")</f>
        <v/>
      </c>
      <c r="T856" s="282" t="str" cm="1">
        <f t="array" ref="T856">_xll.FDSB($C856,"CS_EVENT_DESC_N("&amp;$AA$18&amp;",3)")</f>
        <v/>
      </c>
      <c r="U856" s="282"/>
      <c r="V856" s="274" t="str" cm="1">
        <f t="array" ref="V856">_xll.FDSB($C856,"CS_EVENT_DATEJ_N("&amp;$AA$18&amp;",4)")</f>
        <v/>
      </c>
      <c r="W856" s="282" t="str" cm="1">
        <f t="array" ref="W856">_xll.FDSB($C856,"CS_EVENT_TIME_N("&amp;$AA$18&amp;",4)")</f>
        <v/>
      </c>
      <c r="X856" s="282" t="str" cm="1">
        <f t="array" ref="X856">_xll.FDSB($C856,"CS_EVENT_DESC_N("&amp;$AA$18&amp;",4)")</f>
        <v/>
      </c>
    </row>
    <row r="857" spans="2:24" x14ac:dyDescent="0.15">
      <c r="B857" s="298">
        <f t="shared" si="15"/>
        <v>842</v>
      </c>
      <c r="C857" s="299"/>
      <c r="D857" s="300" t="str" cm="1">
        <f t="array" ref="D857">_xll.FDSB($C857,"FG_COMPANY_NAME")</f>
        <v/>
      </c>
      <c r="E857" s="300"/>
      <c r="F857" s="274" t="str" cm="1">
        <f t="array" ref="F857">_xll.FDSB($C857,"CS_EVENT_DATEJ_N("&amp;$AA$18&amp;",1)")</f>
        <v/>
      </c>
      <c r="G857" s="282" t="str" cm="1">
        <f t="array" ref="G857">_xll.FDSB($C857,"CS_EVENT_TIME_N("&amp;$AA$18&amp;",1)")</f>
        <v/>
      </c>
      <c r="H857" s="282" t="str" cm="1">
        <f t="array" ref="H857">_xll.FDSB($C857,"CS_EVENT_DESC_N("&amp;$AA$18&amp;",1)")</f>
        <v/>
      </c>
      <c r="I857" s="282"/>
      <c r="J857" s="274" t="str" cm="1">
        <f t="array" ref="J857">_xll.FDSB($C857,"CS_EVENT_DATEJ_N("&amp;$AB$18&amp;",1)")</f>
        <v/>
      </c>
      <c r="K857" s="282" t="str" cm="1">
        <f t="array" ref="K857">_xll.FDSB($C857,"CS_EVENT_TIME_N("&amp;$AB$18&amp;",1)")</f>
        <v/>
      </c>
      <c r="L857" s="282" t="str" cm="1">
        <f t="array" ref="L857">_xll.FDSB($C857,"CS_EVENT_DESC_N("&amp;$AB$18&amp;",1)")</f>
        <v/>
      </c>
      <c r="M857" s="300"/>
      <c r="N857" s="274" t="str" cm="1">
        <f t="array" ref="N857">_xll.FDSB($C857,"CS_EVENT_DATEJ_N("&amp;$AA$18&amp;",2)")</f>
        <v/>
      </c>
      <c r="O857" s="282" t="str" cm="1">
        <f t="array" ref="O857">_xll.FDSB($C857,"CS_EVENT_TIME_N("&amp;$AA$18&amp;",2)")</f>
        <v/>
      </c>
      <c r="P857" s="282" t="str" cm="1">
        <f t="array" ref="P857">_xll.FDSB($C857,"CS_EVENT_DESC_N("&amp;$AA$18&amp;",2)")</f>
        <v/>
      </c>
      <c r="Q857" s="282"/>
      <c r="R857" s="274" t="str" cm="1">
        <f t="array" ref="R857">_xll.FDSB($C857,"CS_EVENT_DATEJ_N("&amp;$AA$18&amp;",3)")</f>
        <v/>
      </c>
      <c r="S857" s="282" t="str" cm="1">
        <f t="array" ref="S857">_xll.FDSB($C857,"CS_EVENT_TIME_N("&amp;$AA$18&amp;",3)")</f>
        <v/>
      </c>
      <c r="T857" s="282" t="str" cm="1">
        <f t="array" ref="T857">_xll.FDSB($C857,"CS_EVENT_DESC_N("&amp;$AA$18&amp;",3)")</f>
        <v/>
      </c>
      <c r="U857" s="282"/>
      <c r="V857" s="274" t="str" cm="1">
        <f t="array" ref="V857">_xll.FDSB($C857,"CS_EVENT_DATEJ_N("&amp;$AA$18&amp;",4)")</f>
        <v/>
      </c>
      <c r="W857" s="282" t="str" cm="1">
        <f t="array" ref="W857">_xll.FDSB($C857,"CS_EVENT_TIME_N("&amp;$AA$18&amp;",4)")</f>
        <v/>
      </c>
      <c r="X857" s="282" t="str" cm="1">
        <f t="array" ref="X857">_xll.FDSB($C857,"CS_EVENT_DESC_N("&amp;$AA$18&amp;",4)")</f>
        <v/>
      </c>
    </row>
    <row r="858" spans="2:24" x14ac:dyDescent="0.15">
      <c r="B858" s="298">
        <f t="shared" si="15"/>
        <v>843</v>
      </c>
      <c r="C858" s="299"/>
      <c r="D858" s="300" t="str" cm="1">
        <f t="array" ref="D858">_xll.FDSB($C858,"FG_COMPANY_NAME")</f>
        <v/>
      </c>
      <c r="E858" s="300"/>
      <c r="F858" s="274" t="str" cm="1">
        <f t="array" ref="F858">_xll.FDSB($C858,"CS_EVENT_DATEJ_N("&amp;$AA$18&amp;",1)")</f>
        <v/>
      </c>
      <c r="G858" s="282" t="str" cm="1">
        <f t="array" ref="G858">_xll.FDSB($C858,"CS_EVENT_TIME_N("&amp;$AA$18&amp;",1)")</f>
        <v/>
      </c>
      <c r="H858" s="282" t="str" cm="1">
        <f t="array" ref="H858">_xll.FDSB($C858,"CS_EVENT_DESC_N("&amp;$AA$18&amp;",1)")</f>
        <v/>
      </c>
      <c r="I858" s="282"/>
      <c r="J858" s="274" t="str" cm="1">
        <f t="array" ref="J858">_xll.FDSB($C858,"CS_EVENT_DATEJ_N("&amp;$AB$18&amp;",1)")</f>
        <v/>
      </c>
      <c r="K858" s="282" t="str" cm="1">
        <f t="array" ref="K858">_xll.FDSB($C858,"CS_EVENT_TIME_N("&amp;$AB$18&amp;",1)")</f>
        <v/>
      </c>
      <c r="L858" s="282" t="str" cm="1">
        <f t="array" ref="L858">_xll.FDSB($C858,"CS_EVENT_DESC_N("&amp;$AB$18&amp;",1)")</f>
        <v/>
      </c>
      <c r="M858" s="300"/>
      <c r="N858" s="274" t="str" cm="1">
        <f t="array" ref="N858">_xll.FDSB($C858,"CS_EVENT_DATEJ_N("&amp;$AA$18&amp;",2)")</f>
        <v/>
      </c>
      <c r="O858" s="282" t="str" cm="1">
        <f t="array" ref="O858">_xll.FDSB($C858,"CS_EVENT_TIME_N("&amp;$AA$18&amp;",2)")</f>
        <v/>
      </c>
      <c r="P858" s="282" t="str" cm="1">
        <f t="array" ref="P858">_xll.FDSB($C858,"CS_EVENT_DESC_N("&amp;$AA$18&amp;",2)")</f>
        <v/>
      </c>
      <c r="Q858" s="282"/>
      <c r="R858" s="274" t="str" cm="1">
        <f t="array" ref="R858">_xll.FDSB($C858,"CS_EVENT_DATEJ_N("&amp;$AA$18&amp;",3)")</f>
        <v/>
      </c>
      <c r="S858" s="282" t="str" cm="1">
        <f t="array" ref="S858">_xll.FDSB($C858,"CS_EVENT_TIME_N("&amp;$AA$18&amp;",3)")</f>
        <v/>
      </c>
      <c r="T858" s="282" t="str" cm="1">
        <f t="array" ref="T858">_xll.FDSB($C858,"CS_EVENT_DESC_N("&amp;$AA$18&amp;",3)")</f>
        <v/>
      </c>
      <c r="U858" s="282"/>
      <c r="V858" s="274" t="str" cm="1">
        <f t="array" ref="V858">_xll.FDSB($C858,"CS_EVENT_DATEJ_N("&amp;$AA$18&amp;",4)")</f>
        <v/>
      </c>
      <c r="W858" s="282" t="str" cm="1">
        <f t="array" ref="W858">_xll.FDSB($C858,"CS_EVENT_TIME_N("&amp;$AA$18&amp;",4)")</f>
        <v/>
      </c>
      <c r="X858" s="282" t="str" cm="1">
        <f t="array" ref="X858">_xll.FDSB($C858,"CS_EVENT_DESC_N("&amp;$AA$18&amp;",4)")</f>
        <v/>
      </c>
    </row>
    <row r="859" spans="2:24" x14ac:dyDescent="0.15">
      <c r="B859" s="298">
        <f t="shared" si="15"/>
        <v>844</v>
      </c>
      <c r="C859" s="299"/>
      <c r="D859" s="300" t="str" cm="1">
        <f t="array" ref="D859">_xll.FDSB($C859,"FG_COMPANY_NAME")</f>
        <v/>
      </c>
      <c r="E859" s="300"/>
      <c r="F859" s="274" t="str" cm="1">
        <f t="array" ref="F859">_xll.FDSB($C859,"CS_EVENT_DATEJ_N("&amp;$AA$18&amp;",1)")</f>
        <v/>
      </c>
      <c r="G859" s="282" t="str" cm="1">
        <f t="array" ref="G859">_xll.FDSB($C859,"CS_EVENT_TIME_N("&amp;$AA$18&amp;",1)")</f>
        <v/>
      </c>
      <c r="H859" s="282" t="str" cm="1">
        <f t="array" ref="H859">_xll.FDSB($C859,"CS_EVENT_DESC_N("&amp;$AA$18&amp;",1)")</f>
        <v/>
      </c>
      <c r="I859" s="282"/>
      <c r="J859" s="274" t="str" cm="1">
        <f t="array" ref="J859">_xll.FDSB($C859,"CS_EVENT_DATEJ_N("&amp;$AB$18&amp;",1)")</f>
        <v/>
      </c>
      <c r="K859" s="282" t="str" cm="1">
        <f t="array" ref="K859">_xll.FDSB($C859,"CS_EVENT_TIME_N("&amp;$AB$18&amp;",1)")</f>
        <v/>
      </c>
      <c r="L859" s="282" t="str" cm="1">
        <f t="array" ref="L859">_xll.FDSB($C859,"CS_EVENT_DESC_N("&amp;$AB$18&amp;",1)")</f>
        <v/>
      </c>
      <c r="M859" s="300"/>
      <c r="N859" s="274" t="str" cm="1">
        <f t="array" ref="N859">_xll.FDSB($C859,"CS_EVENT_DATEJ_N("&amp;$AA$18&amp;",2)")</f>
        <v/>
      </c>
      <c r="O859" s="282" t="str" cm="1">
        <f t="array" ref="O859">_xll.FDSB($C859,"CS_EVENT_TIME_N("&amp;$AA$18&amp;",2)")</f>
        <v/>
      </c>
      <c r="P859" s="282" t="str" cm="1">
        <f t="array" ref="P859">_xll.FDSB($C859,"CS_EVENT_DESC_N("&amp;$AA$18&amp;",2)")</f>
        <v/>
      </c>
      <c r="Q859" s="282"/>
      <c r="R859" s="274" t="str" cm="1">
        <f t="array" ref="R859">_xll.FDSB($C859,"CS_EVENT_DATEJ_N("&amp;$AA$18&amp;",3)")</f>
        <v/>
      </c>
      <c r="S859" s="282" t="str" cm="1">
        <f t="array" ref="S859">_xll.FDSB($C859,"CS_EVENT_TIME_N("&amp;$AA$18&amp;",3)")</f>
        <v/>
      </c>
      <c r="T859" s="282" t="str" cm="1">
        <f t="array" ref="T859">_xll.FDSB($C859,"CS_EVENT_DESC_N("&amp;$AA$18&amp;",3)")</f>
        <v/>
      </c>
      <c r="U859" s="282"/>
      <c r="V859" s="274" t="str" cm="1">
        <f t="array" ref="V859">_xll.FDSB($C859,"CS_EVENT_DATEJ_N("&amp;$AA$18&amp;",4)")</f>
        <v/>
      </c>
      <c r="W859" s="282" t="str" cm="1">
        <f t="array" ref="W859">_xll.FDSB($C859,"CS_EVENT_TIME_N("&amp;$AA$18&amp;",4)")</f>
        <v/>
      </c>
      <c r="X859" s="282" t="str" cm="1">
        <f t="array" ref="X859">_xll.FDSB($C859,"CS_EVENT_DESC_N("&amp;$AA$18&amp;",4)")</f>
        <v/>
      </c>
    </row>
    <row r="860" spans="2:24" x14ac:dyDescent="0.15">
      <c r="B860" s="298">
        <f t="shared" si="15"/>
        <v>845</v>
      </c>
      <c r="C860" s="299"/>
      <c r="D860" s="300" t="str" cm="1">
        <f t="array" ref="D860">_xll.FDSB($C860,"FG_COMPANY_NAME")</f>
        <v/>
      </c>
      <c r="E860" s="300"/>
      <c r="F860" s="274" t="str" cm="1">
        <f t="array" ref="F860">_xll.FDSB($C860,"CS_EVENT_DATEJ_N("&amp;$AA$18&amp;",1)")</f>
        <v/>
      </c>
      <c r="G860" s="282" t="str" cm="1">
        <f t="array" ref="G860">_xll.FDSB($C860,"CS_EVENT_TIME_N("&amp;$AA$18&amp;",1)")</f>
        <v/>
      </c>
      <c r="H860" s="282" t="str" cm="1">
        <f t="array" ref="H860">_xll.FDSB($C860,"CS_EVENT_DESC_N("&amp;$AA$18&amp;",1)")</f>
        <v/>
      </c>
      <c r="I860" s="282"/>
      <c r="J860" s="274" t="str" cm="1">
        <f t="array" ref="J860">_xll.FDSB($C860,"CS_EVENT_DATEJ_N("&amp;$AB$18&amp;",1)")</f>
        <v/>
      </c>
      <c r="K860" s="282" t="str" cm="1">
        <f t="array" ref="K860">_xll.FDSB($C860,"CS_EVENT_TIME_N("&amp;$AB$18&amp;",1)")</f>
        <v/>
      </c>
      <c r="L860" s="282" t="str" cm="1">
        <f t="array" ref="L860">_xll.FDSB($C860,"CS_EVENT_DESC_N("&amp;$AB$18&amp;",1)")</f>
        <v/>
      </c>
      <c r="M860" s="300"/>
      <c r="N860" s="274" t="str" cm="1">
        <f t="array" ref="N860">_xll.FDSB($C860,"CS_EVENT_DATEJ_N("&amp;$AA$18&amp;",2)")</f>
        <v/>
      </c>
      <c r="O860" s="282" t="str" cm="1">
        <f t="array" ref="O860">_xll.FDSB($C860,"CS_EVENT_TIME_N("&amp;$AA$18&amp;",2)")</f>
        <v/>
      </c>
      <c r="P860" s="282" t="str" cm="1">
        <f t="array" ref="P860">_xll.FDSB($C860,"CS_EVENT_DESC_N("&amp;$AA$18&amp;",2)")</f>
        <v/>
      </c>
      <c r="Q860" s="282"/>
      <c r="R860" s="274" t="str" cm="1">
        <f t="array" ref="R860">_xll.FDSB($C860,"CS_EVENT_DATEJ_N("&amp;$AA$18&amp;",3)")</f>
        <v/>
      </c>
      <c r="S860" s="282" t="str" cm="1">
        <f t="array" ref="S860">_xll.FDSB($C860,"CS_EVENT_TIME_N("&amp;$AA$18&amp;",3)")</f>
        <v/>
      </c>
      <c r="T860" s="282" t="str" cm="1">
        <f t="array" ref="T860">_xll.FDSB($C860,"CS_EVENT_DESC_N("&amp;$AA$18&amp;",3)")</f>
        <v/>
      </c>
      <c r="U860" s="282"/>
      <c r="V860" s="274" t="str" cm="1">
        <f t="array" ref="V860">_xll.FDSB($C860,"CS_EVENT_DATEJ_N("&amp;$AA$18&amp;",4)")</f>
        <v/>
      </c>
      <c r="W860" s="282" t="str" cm="1">
        <f t="array" ref="W860">_xll.FDSB($C860,"CS_EVENT_TIME_N("&amp;$AA$18&amp;",4)")</f>
        <v/>
      </c>
      <c r="X860" s="282" t="str" cm="1">
        <f t="array" ref="X860">_xll.FDSB($C860,"CS_EVENT_DESC_N("&amp;$AA$18&amp;",4)")</f>
        <v/>
      </c>
    </row>
    <row r="861" spans="2:24" x14ac:dyDescent="0.15">
      <c r="B861" s="298">
        <f t="shared" si="15"/>
        <v>846</v>
      </c>
      <c r="C861" s="299"/>
      <c r="D861" s="300" t="str" cm="1">
        <f t="array" ref="D861">_xll.FDSB($C861,"FG_COMPANY_NAME")</f>
        <v/>
      </c>
      <c r="E861" s="300"/>
      <c r="F861" s="274" t="str" cm="1">
        <f t="array" ref="F861">_xll.FDSB($C861,"CS_EVENT_DATEJ_N("&amp;$AA$18&amp;",1)")</f>
        <v/>
      </c>
      <c r="G861" s="282" t="str" cm="1">
        <f t="array" ref="G861">_xll.FDSB($C861,"CS_EVENT_TIME_N("&amp;$AA$18&amp;",1)")</f>
        <v/>
      </c>
      <c r="H861" s="282" t="str" cm="1">
        <f t="array" ref="H861">_xll.FDSB($C861,"CS_EVENT_DESC_N("&amp;$AA$18&amp;",1)")</f>
        <v/>
      </c>
      <c r="I861" s="282"/>
      <c r="J861" s="274" t="str" cm="1">
        <f t="array" ref="J861">_xll.FDSB($C861,"CS_EVENT_DATEJ_N("&amp;$AB$18&amp;",1)")</f>
        <v/>
      </c>
      <c r="K861" s="282" t="str" cm="1">
        <f t="array" ref="K861">_xll.FDSB($C861,"CS_EVENT_TIME_N("&amp;$AB$18&amp;",1)")</f>
        <v/>
      </c>
      <c r="L861" s="282" t="str" cm="1">
        <f t="array" ref="L861">_xll.FDSB($C861,"CS_EVENT_DESC_N("&amp;$AB$18&amp;",1)")</f>
        <v/>
      </c>
      <c r="M861" s="300"/>
      <c r="N861" s="274" t="str" cm="1">
        <f t="array" ref="N861">_xll.FDSB($C861,"CS_EVENT_DATEJ_N("&amp;$AA$18&amp;",2)")</f>
        <v/>
      </c>
      <c r="O861" s="282" t="str" cm="1">
        <f t="array" ref="O861">_xll.FDSB($C861,"CS_EVENT_TIME_N("&amp;$AA$18&amp;",2)")</f>
        <v/>
      </c>
      <c r="P861" s="282" t="str" cm="1">
        <f t="array" ref="P861">_xll.FDSB($C861,"CS_EVENT_DESC_N("&amp;$AA$18&amp;",2)")</f>
        <v/>
      </c>
      <c r="Q861" s="282"/>
      <c r="R861" s="274" t="str" cm="1">
        <f t="array" ref="R861">_xll.FDSB($C861,"CS_EVENT_DATEJ_N("&amp;$AA$18&amp;",3)")</f>
        <v/>
      </c>
      <c r="S861" s="282" t="str" cm="1">
        <f t="array" ref="S861">_xll.FDSB($C861,"CS_EVENT_TIME_N("&amp;$AA$18&amp;",3)")</f>
        <v/>
      </c>
      <c r="T861" s="282" t="str" cm="1">
        <f t="array" ref="T861">_xll.FDSB($C861,"CS_EVENT_DESC_N("&amp;$AA$18&amp;",3)")</f>
        <v/>
      </c>
      <c r="U861" s="282"/>
      <c r="V861" s="274" t="str" cm="1">
        <f t="array" ref="V861">_xll.FDSB($C861,"CS_EVENT_DATEJ_N("&amp;$AA$18&amp;",4)")</f>
        <v/>
      </c>
      <c r="W861" s="282" t="str" cm="1">
        <f t="array" ref="W861">_xll.FDSB($C861,"CS_EVENT_TIME_N("&amp;$AA$18&amp;",4)")</f>
        <v/>
      </c>
      <c r="X861" s="282" t="str" cm="1">
        <f t="array" ref="X861">_xll.FDSB($C861,"CS_EVENT_DESC_N("&amp;$AA$18&amp;",4)")</f>
        <v/>
      </c>
    </row>
    <row r="862" spans="2:24" x14ac:dyDescent="0.15">
      <c r="B862" s="298">
        <f t="shared" si="15"/>
        <v>847</v>
      </c>
      <c r="C862" s="299"/>
      <c r="D862" s="300" t="str" cm="1">
        <f t="array" ref="D862">_xll.FDSB($C862,"FG_COMPANY_NAME")</f>
        <v/>
      </c>
      <c r="E862" s="300"/>
      <c r="F862" s="274" t="str" cm="1">
        <f t="array" ref="F862">_xll.FDSB($C862,"CS_EVENT_DATEJ_N("&amp;$AA$18&amp;",1)")</f>
        <v/>
      </c>
      <c r="G862" s="282" t="str" cm="1">
        <f t="array" ref="G862">_xll.FDSB($C862,"CS_EVENT_TIME_N("&amp;$AA$18&amp;",1)")</f>
        <v/>
      </c>
      <c r="H862" s="282" t="str" cm="1">
        <f t="array" ref="H862">_xll.FDSB($C862,"CS_EVENT_DESC_N("&amp;$AA$18&amp;",1)")</f>
        <v/>
      </c>
      <c r="I862" s="282"/>
      <c r="J862" s="274" t="str" cm="1">
        <f t="array" ref="J862">_xll.FDSB($C862,"CS_EVENT_DATEJ_N("&amp;$AB$18&amp;",1)")</f>
        <v/>
      </c>
      <c r="K862" s="282" t="str" cm="1">
        <f t="array" ref="K862">_xll.FDSB($C862,"CS_EVENT_TIME_N("&amp;$AB$18&amp;",1)")</f>
        <v/>
      </c>
      <c r="L862" s="282" t="str" cm="1">
        <f t="array" ref="L862">_xll.FDSB($C862,"CS_EVENT_DESC_N("&amp;$AB$18&amp;",1)")</f>
        <v/>
      </c>
      <c r="M862" s="300"/>
      <c r="N862" s="274" t="str" cm="1">
        <f t="array" ref="N862">_xll.FDSB($C862,"CS_EVENT_DATEJ_N("&amp;$AA$18&amp;",2)")</f>
        <v/>
      </c>
      <c r="O862" s="282" t="str" cm="1">
        <f t="array" ref="O862">_xll.FDSB($C862,"CS_EVENT_TIME_N("&amp;$AA$18&amp;",2)")</f>
        <v/>
      </c>
      <c r="P862" s="282" t="str" cm="1">
        <f t="array" ref="P862">_xll.FDSB($C862,"CS_EVENT_DESC_N("&amp;$AA$18&amp;",2)")</f>
        <v/>
      </c>
      <c r="Q862" s="282"/>
      <c r="R862" s="274" t="str" cm="1">
        <f t="array" ref="R862">_xll.FDSB($C862,"CS_EVENT_DATEJ_N("&amp;$AA$18&amp;",3)")</f>
        <v/>
      </c>
      <c r="S862" s="282" t="str" cm="1">
        <f t="array" ref="S862">_xll.FDSB($C862,"CS_EVENT_TIME_N("&amp;$AA$18&amp;",3)")</f>
        <v/>
      </c>
      <c r="T862" s="282" t="str" cm="1">
        <f t="array" ref="T862">_xll.FDSB($C862,"CS_EVENT_DESC_N("&amp;$AA$18&amp;",3)")</f>
        <v/>
      </c>
      <c r="U862" s="282"/>
      <c r="V862" s="274" t="str" cm="1">
        <f t="array" ref="V862">_xll.FDSB($C862,"CS_EVENT_DATEJ_N("&amp;$AA$18&amp;",4)")</f>
        <v/>
      </c>
      <c r="W862" s="282" t="str" cm="1">
        <f t="array" ref="W862">_xll.FDSB($C862,"CS_EVENT_TIME_N("&amp;$AA$18&amp;",4)")</f>
        <v/>
      </c>
      <c r="X862" s="282" t="str" cm="1">
        <f t="array" ref="X862">_xll.FDSB($C862,"CS_EVENT_DESC_N("&amp;$AA$18&amp;",4)")</f>
        <v/>
      </c>
    </row>
    <row r="863" spans="2:24" x14ac:dyDescent="0.15">
      <c r="B863" s="298">
        <f t="shared" si="15"/>
        <v>848</v>
      </c>
      <c r="C863" s="299"/>
      <c r="D863" s="300" t="str" cm="1">
        <f t="array" ref="D863">_xll.FDSB($C863,"FG_COMPANY_NAME")</f>
        <v/>
      </c>
      <c r="E863" s="300"/>
      <c r="F863" s="274" t="str" cm="1">
        <f t="array" ref="F863">_xll.FDSB($C863,"CS_EVENT_DATEJ_N("&amp;$AA$18&amp;",1)")</f>
        <v/>
      </c>
      <c r="G863" s="282" t="str" cm="1">
        <f t="array" ref="G863">_xll.FDSB($C863,"CS_EVENT_TIME_N("&amp;$AA$18&amp;",1)")</f>
        <v/>
      </c>
      <c r="H863" s="282" t="str" cm="1">
        <f t="array" ref="H863">_xll.FDSB($C863,"CS_EVENT_DESC_N("&amp;$AA$18&amp;",1)")</f>
        <v/>
      </c>
      <c r="I863" s="282"/>
      <c r="J863" s="274" t="str" cm="1">
        <f t="array" ref="J863">_xll.FDSB($C863,"CS_EVENT_DATEJ_N("&amp;$AB$18&amp;",1)")</f>
        <v/>
      </c>
      <c r="K863" s="282" t="str" cm="1">
        <f t="array" ref="K863">_xll.FDSB($C863,"CS_EVENT_TIME_N("&amp;$AB$18&amp;",1)")</f>
        <v/>
      </c>
      <c r="L863" s="282" t="str" cm="1">
        <f t="array" ref="L863">_xll.FDSB($C863,"CS_EVENT_DESC_N("&amp;$AB$18&amp;",1)")</f>
        <v/>
      </c>
      <c r="M863" s="300"/>
      <c r="N863" s="274" t="str" cm="1">
        <f t="array" ref="N863">_xll.FDSB($C863,"CS_EVENT_DATEJ_N("&amp;$AA$18&amp;",2)")</f>
        <v/>
      </c>
      <c r="O863" s="282" t="str" cm="1">
        <f t="array" ref="O863">_xll.FDSB($C863,"CS_EVENT_TIME_N("&amp;$AA$18&amp;",2)")</f>
        <v/>
      </c>
      <c r="P863" s="282" t="str" cm="1">
        <f t="array" ref="P863">_xll.FDSB($C863,"CS_EVENT_DESC_N("&amp;$AA$18&amp;",2)")</f>
        <v/>
      </c>
      <c r="Q863" s="282"/>
      <c r="R863" s="274" t="str" cm="1">
        <f t="array" ref="R863">_xll.FDSB($C863,"CS_EVENT_DATEJ_N("&amp;$AA$18&amp;",3)")</f>
        <v/>
      </c>
      <c r="S863" s="282" t="str" cm="1">
        <f t="array" ref="S863">_xll.FDSB($C863,"CS_EVENT_TIME_N("&amp;$AA$18&amp;",3)")</f>
        <v/>
      </c>
      <c r="T863" s="282" t="str" cm="1">
        <f t="array" ref="T863">_xll.FDSB($C863,"CS_EVENT_DESC_N("&amp;$AA$18&amp;",3)")</f>
        <v/>
      </c>
      <c r="U863" s="282"/>
      <c r="V863" s="274" t="str" cm="1">
        <f t="array" ref="V863">_xll.FDSB($C863,"CS_EVENT_DATEJ_N("&amp;$AA$18&amp;",4)")</f>
        <v/>
      </c>
      <c r="W863" s="282" t="str" cm="1">
        <f t="array" ref="W863">_xll.FDSB($C863,"CS_EVENT_TIME_N("&amp;$AA$18&amp;",4)")</f>
        <v/>
      </c>
      <c r="X863" s="282" t="str" cm="1">
        <f t="array" ref="X863">_xll.FDSB($C863,"CS_EVENT_DESC_N("&amp;$AA$18&amp;",4)")</f>
        <v/>
      </c>
    </row>
    <row r="864" spans="2:24" x14ac:dyDescent="0.15">
      <c r="B864" s="298">
        <f t="shared" si="15"/>
        <v>849</v>
      </c>
      <c r="C864" s="299"/>
      <c r="D864" s="300" t="str" cm="1">
        <f t="array" ref="D864">_xll.FDSB($C864,"FG_COMPANY_NAME")</f>
        <v/>
      </c>
      <c r="E864" s="300"/>
      <c r="F864" s="274" t="str" cm="1">
        <f t="array" ref="F864">_xll.FDSB($C864,"CS_EVENT_DATEJ_N("&amp;$AA$18&amp;",1)")</f>
        <v/>
      </c>
      <c r="G864" s="282" t="str" cm="1">
        <f t="array" ref="G864">_xll.FDSB($C864,"CS_EVENT_TIME_N("&amp;$AA$18&amp;",1)")</f>
        <v/>
      </c>
      <c r="H864" s="282" t="str" cm="1">
        <f t="array" ref="H864">_xll.FDSB($C864,"CS_EVENT_DESC_N("&amp;$AA$18&amp;",1)")</f>
        <v/>
      </c>
      <c r="I864" s="282"/>
      <c r="J864" s="274" t="str" cm="1">
        <f t="array" ref="J864">_xll.FDSB($C864,"CS_EVENT_DATEJ_N("&amp;$AB$18&amp;",1)")</f>
        <v/>
      </c>
      <c r="K864" s="282" t="str" cm="1">
        <f t="array" ref="K864">_xll.FDSB($C864,"CS_EVENT_TIME_N("&amp;$AB$18&amp;",1)")</f>
        <v/>
      </c>
      <c r="L864" s="282" t="str" cm="1">
        <f t="array" ref="L864">_xll.FDSB($C864,"CS_EVENT_DESC_N("&amp;$AB$18&amp;",1)")</f>
        <v/>
      </c>
      <c r="M864" s="300"/>
      <c r="N864" s="274" t="str" cm="1">
        <f t="array" ref="N864">_xll.FDSB($C864,"CS_EVENT_DATEJ_N("&amp;$AA$18&amp;",2)")</f>
        <v/>
      </c>
      <c r="O864" s="282" t="str" cm="1">
        <f t="array" ref="O864">_xll.FDSB($C864,"CS_EVENT_TIME_N("&amp;$AA$18&amp;",2)")</f>
        <v/>
      </c>
      <c r="P864" s="282" t="str" cm="1">
        <f t="array" ref="P864">_xll.FDSB($C864,"CS_EVENT_DESC_N("&amp;$AA$18&amp;",2)")</f>
        <v/>
      </c>
      <c r="Q864" s="282"/>
      <c r="R864" s="274" t="str" cm="1">
        <f t="array" ref="R864">_xll.FDSB($C864,"CS_EVENT_DATEJ_N("&amp;$AA$18&amp;",3)")</f>
        <v/>
      </c>
      <c r="S864" s="282" t="str" cm="1">
        <f t="array" ref="S864">_xll.FDSB($C864,"CS_EVENT_TIME_N("&amp;$AA$18&amp;",3)")</f>
        <v/>
      </c>
      <c r="T864" s="282" t="str" cm="1">
        <f t="array" ref="T864">_xll.FDSB($C864,"CS_EVENT_DESC_N("&amp;$AA$18&amp;",3)")</f>
        <v/>
      </c>
      <c r="U864" s="282"/>
      <c r="V864" s="274" t="str" cm="1">
        <f t="array" ref="V864">_xll.FDSB($C864,"CS_EVENT_DATEJ_N("&amp;$AA$18&amp;",4)")</f>
        <v/>
      </c>
      <c r="W864" s="282" t="str" cm="1">
        <f t="array" ref="W864">_xll.FDSB($C864,"CS_EVENT_TIME_N("&amp;$AA$18&amp;",4)")</f>
        <v/>
      </c>
      <c r="X864" s="282" t="str" cm="1">
        <f t="array" ref="X864">_xll.FDSB($C864,"CS_EVENT_DESC_N("&amp;$AA$18&amp;",4)")</f>
        <v/>
      </c>
    </row>
    <row r="865" spans="2:24" x14ac:dyDescent="0.15">
      <c r="B865" s="298">
        <f t="shared" si="15"/>
        <v>850</v>
      </c>
      <c r="C865" s="299"/>
      <c r="D865" s="300" t="str" cm="1">
        <f t="array" ref="D865">_xll.FDSB($C865,"FG_COMPANY_NAME")</f>
        <v/>
      </c>
      <c r="E865" s="300"/>
      <c r="F865" s="274" t="str" cm="1">
        <f t="array" ref="F865">_xll.FDSB($C865,"CS_EVENT_DATEJ_N("&amp;$AA$18&amp;",1)")</f>
        <v/>
      </c>
      <c r="G865" s="282" t="str" cm="1">
        <f t="array" ref="G865">_xll.FDSB($C865,"CS_EVENT_TIME_N("&amp;$AA$18&amp;",1)")</f>
        <v/>
      </c>
      <c r="H865" s="282" t="str" cm="1">
        <f t="array" ref="H865">_xll.FDSB($C865,"CS_EVENT_DESC_N("&amp;$AA$18&amp;",1)")</f>
        <v/>
      </c>
      <c r="I865" s="282"/>
      <c r="J865" s="274" t="str" cm="1">
        <f t="array" ref="J865">_xll.FDSB($C865,"CS_EVENT_DATEJ_N("&amp;$AB$18&amp;",1)")</f>
        <v/>
      </c>
      <c r="K865" s="282" t="str" cm="1">
        <f t="array" ref="K865">_xll.FDSB($C865,"CS_EVENT_TIME_N("&amp;$AB$18&amp;",1)")</f>
        <v/>
      </c>
      <c r="L865" s="282" t="str" cm="1">
        <f t="array" ref="L865">_xll.FDSB($C865,"CS_EVENT_DESC_N("&amp;$AB$18&amp;",1)")</f>
        <v/>
      </c>
      <c r="M865" s="300"/>
      <c r="N865" s="274" t="str" cm="1">
        <f t="array" ref="N865">_xll.FDSB($C865,"CS_EVENT_DATEJ_N("&amp;$AA$18&amp;",2)")</f>
        <v/>
      </c>
      <c r="O865" s="282" t="str" cm="1">
        <f t="array" ref="O865">_xll.FDSB($C865,"CS_EVENT_TIME_N("&amp;$AA$18&amp;",2)")</f>
        <v/>
      </c>
      <c r="P865" s="282" t="str" cm="1">
        <f t="array" ref="P865">_xll.FDSB($C865,"CS_EVENT_DESC_N("&amp;$AA$18&amp;",2)")</f>
        <v/>
      </c>
      <c r="Q865" s="282"/>
      <c r="R865" s="274" t="str" cm="1">
        <f t="array" ref="R865">_xll.FDSB($C865,"CS_EVENT_DATEJ_N("&amp;$AA$18&amp;",3)")</f>
        <v/>
      </c>
      <c r="S865" s="282" t="str" cm="1">
        <f t="array" ref="S865">_xll.FDSB($C865,"CS_EVENT_TIME_N("&amp;$AA$18&amp;",3)")</f>
        <v/>
      </c>
      <c r="T865" s="282" t="str" cm="1">
        <f t="array" ref="T865">_xll.FDSB($C865,"CS_EVENT_DESC_N("&amp;$AA$18&amp;",3)")</f>
        <v/>
      </c>
      <c r="U865" s="282"/>
      <c r="V865" s="274" t="str" cm="1">
        <f t="array" ref="V865">_xll.FDSB($C865,"CS_EVENT_DATEJ_N("&amp;$AA$18&amp;",4)")</f>
        <v/>
      </c>
      <c r="W865" s="282" t="str" cm="1">
        <f t="array" ref="W865">_xll.FDSB($C865,"CS_EVENT_TIME_N("&amp;$AA$18&amp;",4)")</f>
        <v/>
      </c>
      <c r="X865" s="282" t="str" cm="1">
        <f t="array" ref="X865">_xll.FDSB($C865,"CS_EVENT_DESC_N("&amp;$AA$18&amp;",4)")</f>
        <v/>
      </c>
    </row>
    <row r="866" spans="2:24" x14ac:dyDescent="0.15">
      <c r="B866" s="298">
        <f t="shared" si="15"/>
        <v>851</v>
      </c>
      <c r="C866" s="299"/>
      <c r="D866" s="300" t="str" cm="1">
        <f t="array" ref="D866">_xll.FDSB($C866,"FG_COMPANY_NAME")</f>
        <v/>
      </c>
      <c r="E866" s="300"/>
      <c r="F866" s="274" t="str" cm="1">
        <f t="array" ref="F866">_xll.FDSB($C866,"CS_EVENT_DATEJ_N("&amp;$AA$18&amp;",1)")</f>
        <v/>
      </c>
      <c r="G866" s="282" t="str" cm="1">
        <f t="array" ref="G866">_xll.FDSB($C866,"CS_EVENT_TIME_N("&amp;$AA$18&amp;",1)")</f>
        <v/>
      </c>
      <c r="H866" s="282" t="str" cm="1">
        <f t="array" ref="H866">_xll.FDSB($C866,"CS_EVENT_DESC_N("&amp;$AA$18&amp;",1)")</f>
        <v/>
      </c>
      <c r="I866" s="282"/>
      <c r="J866" s="274" t="str" cm="1">
        <f t="array" ref="J866">_xll.FDSB($C866,"CS_EVENT_DATEJ_N("&amp;$AB$18&amp;",1)")</f>
        <v/>
      </c>
      <c r="K866" s="282" t="str" cm="1">
        <f t="array" ref="K866">_xll.FDSB($C866,"CS_EVENT_TIME_N("&amp;$AB$18&amp;",1)")</f>
        <v/>
      </c>
      <c r="L866" s="282" t="str" cm="1">
        <f t="array" ref="L866">_xll.FDSB($C866,"CS_EVENT_DESC_N("&amp;$AB$18&amp;",1)")</f>
        <v/>
      </c>
      <c r="M866" s="300"/>
      <c r="N866" s="274" t="str" cm="1">
        <f t="array" ref="N866">_xll.FDSB($C866,"CS_EVENT_DATEJ_N("&amp;$AA$18&amp;",2)")</f>
        <v/>
      </c>
      <c r="O866" s="282" t="str" cm="1">
        <f t="array" ref="O866">_xll.FDSB($C866,"CS_EVENT_TIME_N("&amp;$AA$18&amp;",2)")</f>
        <v/>
      </c>
      <c r="P866" s="282" t="str" cm="1">
        <f t="array" ref="P866">_xll.FDSB($C866,"CS_EVENT_DESC_N("&amp;$AA$18&amp;",2)")</f>
        <v/>
      </c>
      <c r="Q866" s="282"/>
      <c r="R866" s="274" t="str" cm="1">
        <f t="array" ref="R866">_xll.FDSB($C866,"CS_EVENT_DATEJ_N("&amp;$AA$18&amp;",3)")</f>
        <v/>
      </c>
      <c r="S866" s="282" t="str" cm="1">
        <f t="array" ref="S866">_xll.FDSB($C866,"CS_EVENT_TIME_N("&amp;$AA$18&amp;",3)")</f>
        <v/>
      </c>
      <c r="T866" s="282" t="str" cm="1">
        <f t="array" ref="T866">_xll.FDSB($C866,"CS_EVENT_DESC_N("&amp;$AA$18&amp;",3)")</f>
        <v/>
      </c>
      <c r="U866" s="282"/>
      <c r="V866" s="274" t="str" cm="1">
        <f t="array" ref="V866">_xll.FDSB($C866,"CS_EVENT_DATEJ_N("&amp;$AA$18&amp;",4)")</f>
        <v/>
      </c>
      <c r="W866" s="282" t="str" cm="1">
        <f t="array" ref="W866">_xll.FDSB($C866,"CS_EVENT_TIME_N("&amp;$AA$18&amp;",4)")</f>
        <v/>
      </c>
      <c r="X866" s="282" t="str" cm="1">
        <f t="array" ref="X866">_xll.FDSB($C866,"CS_EVENT_DESC_N("&amp;$AA$18&amp;",4)")</f>
        <v/>
      </c>
    </row>
    <row r="867" spans="2:24" x14ac:dyDescent="0.15">
      <c r="B867" s="298">
        <f t="shared" si="15"/>
        <v>852</v>
      </c>
      <c r="C867" s="299"/>
      <c r="D867" s="300" t="str" cm="1">
        <f t="array" ref="D867">_xll.FDSB($C867,"FG_COMPANY_NAME")</f>
        <v/>
      </c>
      <c r="E867" s="300"/>
      <c r="F867" s="274" t="str" cm="1">
        <f t="array" ref="F867">_xll.FDSB($C867,"CS_EVENT_DATEJ_N("&amp;$AA$18&amp;",1)")</f>
        <v/>
      </c>
      <c r="G867" s="282" t="str" cm="1">
        <f t="array" ref="G867">_xll.FDSB($C867,"CS_EVENT_TIME_N("&amp;$AA$18&amp;",1)")</f>
        <v/>
      </c>
      <c r="H867" s="282" t="str" cm="1">
        <f t="array" ref="H867">_xll.FDSB($C867,"CS_EVENT_DESC_N("&amp;$AA$18&amp;",1)")</f>
        <v/>
      </c>
      <c r="I867" s="282"/>
      <c r="J867" s="274" t="str" cm="1">
        <f t="array" ref="J867">_xll.FDSB($C867,"CS_EVENT_DATEJ_N("&amp;$AB$18&amp;",1)")</f>
        <v/>
      </c>
      <c r="K867" s="282" t="str" cm="1">
        <f t="array" ref="K867">_xll.FDSB($C867,"CS_EVENT_TIME_N("&amp;$AB$18&amp;",1)")</f>
        <v/>
      </c>
      <c r="L867" s="282" t="str" cm="1">
        <f t="array" ref="L867">_xll.FDSB($C867,"CS_EVENT_DESC_N("&amp;$AB$18&amp;",1)")</f>
        <v/>
      </c>
      <c r="M867" s="300"/>
      <c r="N867" s="274" t="str" cm="1">
        <f t="array" ref="N867">_xll.FDSB($C867,"CS_EVENT_DATEJ_N("&amp;$AA$18&amp;",2)")</f>
        <v/>
      </c>
      <c r="O867" s="282" t="str" cm="1">
        <f t="array" ref="O867">_xll.FDSB($C867,"CS_EVENT_TIME_N("&amp;$AA$18&amp;",2)")</f>
        <v/>
      </c>
      <c r="P867" s="282" t="str" cm="1">
        <f t="array" ref="P867">_xll.FDSB($C867,"CS_EVENT_DESC_N("&amp;$AA$18&amp;",2)")</f>
        <v/>
      </c>
      <c r="Q867" s="282"/>
      <c r="R867" s="274" t="str" cm="1">
        <f t="array" ref="R867">_xll.FDSB($C867,"CS_EVENT_DATEJ_N("&amp;$AA$18&amp;",3)")</f>
        <v/>
      </c>
      <c r="S867" s="282" t="str" cm="1">
        <f t="array" ref="S867">_xll.FDSB($C867,"CS_EVENT_TIME_N("&amp;$AA$18&amp;",3)")</f>
        <v/>
      </c>
      <c r="T867" s="282" t="str" cm="1">
        <f t="array" ref="T867">_xll.FDSB($C867,"CS_EVENT_DESC_N("&amp;$AA$18&amp;",3)")</f>
        <v/>
      </c>
      <c r="U867" s="282"/>
      <c r="V867" s="274" t="str" cm="1">
        <f t="array" ref="V867">_xll.FDSB($C867,"CS_EVENT_DATEJ_N("&amp;$AA$18&amp;",4)")</f>
        <v/>
      </c>
      <c r="W867" s="282" t="str" cm="1">
        <f t="array" ref="W867">_xll.FDSB($C867,"CS_EVENT_TIME_N("&amp;$AA$18&amp;",4)")</f>
        <v/>
      </c>
      <c r="X867" s="282" t="str" cm="1">
        <f t="array" ref="X867">_xll.FDSB($C867,"CS_EVENT_DESC_N("&amp;$AA$18&amp;",4)")</f>
        <v/>
      </c>
    </row>
    <row r="868" spans="2:24" x14ac:dyDescent="0.15">
      <c r="B868" s="298">
        <f t="shared" si="15"/>
        <v>853</v>
      </c>
      <c r="C868" s="299"/>
      <c r="D868" s="300" t="str" cm="1">
        <f t="array" ref="D868">_xll.FDSB($C868,"FG_COMPANY_NAME")</f>
        <v/>
      </c>
      <c r="E868" s="300"/>
      <c r="F868" s="274" t="str" cm="1">
        <f t="array" ref="F868">_xll.FDSB($C868,"CS_EVENT_DATEJ_N("&amp;$AA$18&amp;",1)")</f>
        <v/>
      </c>
      <c r="G868" s="282" t="str" cm="1">
        <f t="array" ref="G868">_xll.FDSB($C868,"CS_EVENT_TIME_N("&amp;$AA$18&amp;",1)")</f>
        <v/>
      </c>
      <c r="H868" s="282" t="str" cm="1">
        <f t="array" ref="H868">_xll.FDSB($C868,"CS_EVENT_DESC_N("&amp;$AA$18&amp;",1)")</f>
        <v/>
      </c>
      <c r="I868" s="282"/>
      <c r="J868" s="274" t="str" cm="1">
        <f t="array" ref="J868">_xll.FDSB($C868,"CS_EVENT_DATEJ_N("&amp;$AB$18&amp;",1)")</f>
        <v/>
      </c>
      <c r="K868" s="282" t="str" cm="1">
        <f t="array" ref="K868">_xll.FDSB($C868,"CS_EVENT_TIME_N("&amp;$AB$18&amp;",1)")</f>
        <v/>
      </c>
      <c r="L868" s="282" t="str" cm="1">
        <f t="array" ref="L868">_xll.FDSB($C868,"CS_EVENT_DESC_N("&amp;$AB$18&amp;",1)")</f>
        <v/>
      </c>
      <c r="M868" s="300"/>
      <c r="N868" s="274" t="str" cm="1">
        <f t="array" ref="N868">_xll.FDSB($C868,"CS_EVENT_DATEJ_N("&amp;$AA$18&amp;",2)")</f>
        <v/>
      </c>
      <c r="O868" s="282" t="str" cm="1">
        <f t="array" ref="O868">_xll.FDSB($C868,"CS_EVENT_TIME_N("&amp;$AA$18&amp;",2)")</f>
        <v/>
      </c>
      <c r="P868" s="282" t="str" cm="1">
        <f t="array" ref="P868">_xll.FDSB($C868,"CS_EVENT_DESC_N("&amp;$AA$18&amp;",2)")</f>
        <v/>
      </c>
      <c r="Q868" s="282"/>
      <c r="R868" s="274" t="str" cm="1">
        <f t="array" ref="R868">_xll.FDSB($C868,"CS_EVENT_DATEJ_N("&amp;$AA$18&amp;",3)")</f>
        <v/>
      </c>
      <c r="S868" s="282" t="str" cm="1">
        <f t="array" ref="S868">_xll.FDSB($C868,"CS_EVENT_TIME_N("&amp;$AA$18&amp;",3)")</f>
        <v/>
      </c>
      <c r="T868" s="282" t="str" cm="1">
        <f t="array" ref="T868">_xll.FDSB($C868,"CS_EVENT_DESC_N("&amp;$AA$18&amp;",3)")</f>
        <v/>
      </c>
      <c r="U868" s="282"/>
      <c r="V868" s="274" t="str" cm="1">
        <f t="array" ref="V868">_xll.FDSB($C868,"CS_EVENT_DATEJ_N("&amp;$AA$18&amp;",4)")</f>
        <v/>
      </c>
      <c r="W868" s="282" t="str" cm="1">
        <f t="array" ref="W868">_xll.FDSB($C868,"CS_EVENT_TIME_N("&amp;$AA$18&amp;",4)")</f>
        <v/>
      </c>
      <c r="X868" s="282" t="str" cm="1">
        <f t="array" ref="X868">_xll.FDSB($C868,"CS_EVENT_DESC_N("&amp;$AA$18&amp;",4)")</f>
        <v/>
      </c>
    </row>
    <row r="869" spans="2:24" x14ac:dyDescent="0.15">
      <c r="B869" s="298">
        <f t="shared" si="15"/>
        <v>854</v>
      </c>
      <c r="C869" s="299"/>
      <c r="D869" s="300" t="str" cm="1">
        <f t="array" ref="D869">_xll.FDSB($C869,"FG_COMPANY_NAME")</f>
        <v/>
      </c>
      <c r="E869" s="300"/>
      <c r="F869" s="274" t="str" cm="1">
        <f t="array" ref="F869">_xll.FDSB($C869,"CS_EVENT_DATEJ_N("&amp;$AA$18&amp;",1)")</f>
        <v/>
      </c>
      <c r="G869" s="282" t="str" cm="1">
        <f t="array" ref="G869">_xll.FDSB($C869,"CS_EVENT_TIME_N("&amp;$AA$18&amp;",1)")</f>
        <v/>
      </c>
      <c r="H869" s="282" t="str" cm="1">
        <f t="array" ref="H869">_xll.FDSB($C869,"CS_EVENT_DESC_N("&amp;$AA$18&amp;",1)")</f>
        <v/>
      </c>
      <c r="I869" s="282"/>
      <c r="J869" s="274" t="str" cm="1">
        <f t="array" ref="J869">_xll.FDSB($C869,"CS_EVENT_DATEJ_N("&amp;$AB$18&amp;",1)")</f>
        <v/>
      </c>
      <c r="K869" s="282" t="str" cm="1">
        <f t="array" ref="K869">_xll.FDSB($C869,"CS_EVENT_TIME_N("&amp;$AB$18&amp;",1)")</f>
        <v/>
      </c>
      <c r="L869" s="282" t="str" cm="1">
        <f t="array" ref="L869">_xll.FDSB($C869,"CS_EVENT_DESC_N("&amp;$AB$18&amp;",1)")</f>
        <v/>
      </c>
      <c r="M869" s="300"/>
      <c r="N869" s="274" t="str" cm="1">
        <f t="array" ref="N869">_xll.FDSB($C869,"CS_EVENT_DATEJ_N("&amp;$AA$18&amp;",2)")</f>
        <v/>
      </c>
      <c r="O869" s="282" t="str" cm="1">
        <f t="array" ref="O869">_xll.FDSB($C869,"CS_EVENT_TIME_N("&amp;$AA$18&amp;",2)")</f>
        <v/>
      </c>
      <c r="P869" s="282" t="str" cm="1">
        <f t="array" ref="P869">_xll.FDSB($C869,"CS_EVENT_DESC_N("&amp;$AA$18&amp;",2)")</f>
        <v/>
      </c>
      <c r="Q869" s="282"/>
      <c r="R869" s="274" t="str" cm="1">
        <f t="array" ref="R869">_xll.FDSB($C869,"CS_EVENT_DATEJ_N("&amp;$AA$18&amp;",3)")</f>
        <v/>
      </c>
      <c r="S869" s="282" t="str" cm="1">
        <f t="array" ref="S869">_xll.FDSB($C869,"CS_EVENT_TIME_N("&amp;$AA$18&amp;",3)")</f>
        <v/>
      </c>
      <c r="T869" s="282" t="str" cm="1">
        <f t="array" ref="T869">_xll.FDSB($C869,"CS_EVENT_DESC_N("&amp;$AA$18&amp;",3)")</f>
        <v/>
      </c>
      <c r="U869" s="282"/>
      <c r="V869" s="274" t="str" cm="1">
        <f t="array" ref="V869">_xll.FDSB($C869,"CS_EVENT_DATEJ_N("&amp;$AA$18&amp;",4)")</f>
        <v/>
      </c>
      <c r="W869" s="282" t="str" cm="1">
        <f t="array" ref="W869">_xll.FDSB($C869,"CS_EVENT_TIME_N("&amp;$AA$18&amp;",4)")</f>
        <v/>
      </c>
      <c r="X869" s="282" t="str" cm="1">
        <f t="array" ref="X869">_xll.FDSB($C869,"CS_EVENT_DESC_N("&amp;$AA$18&amp;",4)")</f>
        <v/>
      </c>
    </row>
    <row r="870" spans="2:24" x14ac:dyDescent="0.15">
      <c r="B870" s="298">
        <f t="shared" si="15"/>
        <v>855</v>
      </c>
      <c r="C870" s="299"/>
      <c r="D870" s="300" t="str" cm="1">
        <f t="array" ref="D870">_xll.FDSB($C870,"FG_COMPANY_NAME")</f>
        <v/>
      </c>
      <c r="E870" s="300"/>
      <c r="F870" s="274" t="str" cm="1">
        <f t="array" ref="F870">_xll.FDSB($C870,"CS_EVENT_DATEJ_N("&amp;$AA$18&amp;",1)")</f>
        <v/>
      </c>
      <c r="G870" s="282" t="str" cm="1">
        <f t="array" ref="G870">_xll.FDSB($C870,"CS_EVENT_TIME_N("&amp;$AA$18&amp;",1)")</f>
        <v/>
      </c>
      <c r="H870" s="282" t="str" cm="1">
        <f t="array" ref="H870">_xll.FDSB($C870,"CS_EVENT_DESC_N("&amp;$AA$18&amp;",1)")</f>
        <v/>
      </c>
      <c r="I870" s="282"/>
      <c r="J870" s="274" t="str" cm="1">
        <f t="array" ref="J870">_xll.FDSB($C870,"CS_EVENT_DATEJ_N("&amp;$AB$18&amp;",1)")</f>
        <v/>
      </c>
      <c r="K870" s="282" t="str" cm="1">
        <f t="array" ref="K870">_xll.FDSB($C870,"CS_EVENT_TIME_N("&amp;$AB$18&amp;",1)")</f>
        <v/>
      </c>
      <c r="L870" s="282" t="str" cm="1">
        <f t="array" ref="L870">_xll.FDSB($C870,"CS_EVENT_DESC_N("&amp;$AB$18&amp;",1)")</f>
        <v/>
      </c>
      <c r="M870" s="300"/>
      <c r="N870" s="274" t="str" cm="1">
        <f t="array" ref="N870">_xll.FDSB($C870,"CS_EVENT_DATEJ_N("&amp;$AA$18&amp;",2)")</f>
        <v/>
      </c>
      <c r="O870" s="282" t="str" cm="1">
        <f t="array" ref="O870">_xll.FDSB($C870,"CS_EVENT_TIME_N("&amp;$AA$18&amp;",2)")</f>
        <v/>
      </c>
      <c r="P870" s="282" t="str" cm="1">
        <f t="array" ref="P870">_xll.FDSB($C870,"CS_EVENT_DESC_N("&amp;$AA$18&amp;",2)")</f>
        <v/>
      </c>
      <c r="Q870" s="282"/>
      <c r="R870" s="274" t="str" cm="1">
        <f t="array" ref="R870">_xll.FDSB($C870,"CS_EVENT_DATEJ_N("&amp;$AA$18&amp;",3)")</f>
        <v/>
      </c>
      <c r="S870" s="282" t="str" cm="1">
        <f t="array" ref="S870">_xll.FDSB($C870,"CS_EVENT_TIME_N("&amp;$AA$18&amp;",3)")</f>
        <v/>
      </c>
      <c r="T870" s="282" t="str" cm="1">
        <f t="array" ref="T870">_xll.FDSB($C870,"CS_EVENT_DESC_N("&amp;$AA$18&amp;",3)")</f>
        <v/>
      </c>
      <c r="U870" s="282"/>
      <c r="V870" s="274" t="str" cm="1">
        <f t="array" ref="V870">_xll.FDSB($C870,"CS_EVENT_DATEJ_N("&amp;$AA$18&amp;",4)")</f>
        <v/>
      </c>
      <c r="W870" s="282" t="str" cm="1">
        <f t="array" ref="W870">_xll.FDSB($C870,"CS_EVENT_TIME_N("&amp;$AA$18&amp;",4)")</f>
        <v/>
      </c>
      <c r="X870" s="282" t="str" cm="1">
        <f t="array" ref="X870">_xll.FDSB($C870,"CS_EVENT_DESC_N("&amp;$AA$18&amp;",4)")</f>
        <v/>
      </c>
    </row>
    <row r="871" spans="2:24" x14ac:dyDescent="0.15">
      <c r="B871" s="298">
        <f t="shared" si="15"/>
        <v>856</v>
      </c>
      <c r="C871" s="299"/>
      <c r="D871" s="300" t="str" cm="1">
        <f t="array" ref="D871">_xll.FDSB($C871,"FG_COMPANY_NAME")</f>
        <v/>
      </c>
      <c r="E871" s="300"/>
      <c r="F871" s="274" t="str" cm="1">
        <f t="array" ref="F871">_xll.FDSB($C871,"CS_EVENT_DATEJ_N("&amp;$AA$18&amp;",1)")</f>
        <v/>
      </c>
      <c r="G871" s="282" t="str" cm="1">
        <f t="array" ref="G871">_xll.FDSB($C871,"CS_EVENT_TIME_N("&amp;$AA$18&amp;",1)")</f>
        <v/>
      </c>
      <c r="H871" s="282" t="str" cm="1">
        <f t="array" ref="H871">_xll.FDSB($C871,"CS_EVENT_DESC_N("&amp;$AA$18&amp;",1)")</f>
        <v/>
      </c>
      <c r="I871" s="282"/>
      <c r="J871" s="274" t="str" cm="1">
        <f t="array" ref="J871">_xll.FDSB($C871,"CS_EVENT_DATEJ_N("&amp;$AB$18&amp;",1)")</f>
        <v/>
      </c>
      <c r="K871" s="282" t="str" cm="1">
        <f t="array" ref="K871">_xll.FDSB($C871,"CS_EVENT_TIME_N("&amp;$AB$18&amp;",1)")</f>
        <v/>
      </c>
      <c r="L871" s="282" t="str" cm="1">
        <f t="array" ref="L871">_xll.FDSB($C871,"CS_EVENT_DESC_N("&amp;$AB$18&amp;",1)")</f>
        <v/>
      </c>
      <c r="M871" s="300"/>
      <c r="N871" s="274" t="str" cm="1">
        <f t="array" ref="N871">_xll.FDSB($C871,"CS_EVENT_DATEJ_N("&amp;$AA$18&amp;",2)")</f>
        <v/>
      </c>
      <c r="O871" s="282" t="str" cm="1">
        <f t="array" ref="O871">_xll.FDSB($C871,"CS_EVENT_TIME_N("&amp;$AA$18&amp;",2)")</f>
        <v/>
      </c>
      <c r="P871" s="282" t="str" cm="1">
        <f t="array" ref="P871">_xll.FDSB($C871,"CS_EVENT_DESC_N("&amp;$AA$18&amp;",2)")</f>
        <v/>
      </c>
      <c r="Q871" s="282"/>
      <c r="R871" s="274" t="str" cm="1">
        <f t="array" ref="R871">_xll.FDSB($C871,"CS_EVENT_DATEJ_N("&amp;$AA$18&amp;",3)")</f>
        <v/>
      </c>
      <c r="S871" s="282" t="str" cm="1">
        <f t="array" ref="S871">_xll.FDSB($C871,"CS_EVENT_TIME_N("&amp;$AA$18&amp;",3)")</f>
        <v/>
      </c>
      <c r="T871" s="282" t="str" cm="1">
        <f t="array" ref="T871">_xll.FDSB($C871,"CS_EVENT_DESC_N("&amp;$AA$18&amp;",3)")</f>
        <v/>
      </c>
      <c r="U871" s="282"/>
      <c r="V871" s="274" t="str" cm="1">
        <f t="array" ref="V871">_xll.FDSB($C871,"CS_EVENT_DATEJ_N("&amp;$AA$18&amp;",4)")</f>
        <v/>
      </c>
      <c r="W871" s="282" t="str" cm="1">
        <f t="array" ref="W871">_xll.FDSB($C871,"CS_EVENT_TIME_N("&amp;$AA$18&amp;",4)")</f>
        <v/>
      </c>
      <c r="X871" s="282" t="str" cm="1">
        <f t="array" ref="X871">_xll.FDSB($C871,"CS_EVENT_DESC_N("&amp;$AA$18&amp;",4)")</f>
        <v/>
      </c>
    </row>
    <row r="872" spans="2:24" x14ac:dyDescent="0.15">
      <c r="B872" s="298">
        <f t="shared" si="15"/>
        <v>857</v>
      </c>
      <c r="C872" s="299"/>
      <c r="D872" s="300" t="str" cm="1">
        <f t="array" ref="D872">_xll.FDSB($C872,"FG_COMPANY_NAME")</f>
        <v/>
      </c>
      <c r="E872" s="300"/>
      <c r="F872" s="274" t="str" cm="1">
        <f t="array" ref="F872">_xll.FDSB($C872,"CS_EVENT_DATEJ_N("&amp;$AA$18&amp;",1)")</f>
        <v/>
      </c>
      <c r="G872" s="282" t="str" cm="1">
        <f t="array" ref="G872">_xll.FDSB($C872,"CS_EVENT_TIME_N("&amp;$AA$18&amp;",1)")</f>
        <v/>
      </c>
      <c r="H872" s="282" t="str" cm="1">
        <f t="array" ref="H872">_xll.FDSB($C872,"CS_EVENT_DESC_N("&amp;$AA$18&amp;",1)")</f>
        <v/>
      </c>
      <c r="I872" s="282"/>
      <c r="J872" s="274" t="str" cm="1">
        <f t="array" ref="J872">_xll.FDSB($C872,"CS_EVENT_DATEJ_N("&amp;$AB$18&amp;",1)")</f>
        <v/>
      </c>
      <c r="K872" s="282" t="str" cm="1">
        <f t="array" ref="K872">_xll.FDSB($C872,"CS_EVENT_TIME_N("&amp;$AB$18&amp;",1)")</f>
        <v/>
      </c>
      <c r="L872" s="282" t="str" cm="1">
        <f t="array" ref="L872">_xll.FDSB($C872,"CS_EVENT_DESC_N("&amp;$AB$18&amp;",1)")</f>
        <v/>
      </c>
      <c r="M872" s="300"/>
      <c r="N872" s="274" t="str" cm="1">
        <f t="array" ref="N872">_xll.FDSB($C872,"CS_EVENT_DATEJ_N("&amp;$AA$18&amp;",2)")</f>
        <v/>
      </c>
      <c r="O872" s="282" t="str" cm="1">
        <f t="array" ref="O872">_xll.FDSB($C872,"CS_EVENT_TIME_N("&amp;$AA$18&amp;",2)")</f>
        <v/>
      </c>
      <c r="P872" s="282" t="str" cm="1">
        <f t="array" ref="P872">_xll.FDSB($C872,"CS_EVENT_DESC_N("&amp;$AA$18&amp;",2)")</f>
        <v/>
      </c>
      <c r="Q872" s="282"/>
      <c r="R872" s="274" t="str" cm="1">
        <f t="array" ref="R872">_xll.FDSB($C872,"CS_EVENT_DATEJ_N("&amp;$AA$18&amp;",3)")</f>
        <v/>
      </c>
      <c r="S872" s="282" t="str" cm="1">
        <f t="array" ref="S872">_xll.FDSB($C872,"CS_EVENT_TIME_N("&amp;$AA$18&amp;",3)")</f>
        <v/>
      </c>
      <c r="T872" s="282" t="str" cm="1">
        <f t="array" ref="T872">_xll.FDSB($C872,"CS_EVENT_DESC_N("&amp;$AA$18&amp;",3)")</f>
        <v/>
      </c>
      <c r="U872" s="282"/>
      <c r="V872" s="274" t="str" cm="1">
        <f t="array" ref="V872">_xll.FDSB($C872,"CS_EVENT_DATEJ_N("&amp;$AA$18&amp;",4)")</f>
        <v/>
      </c>
      <c r="W872" s="282" t="str" cm="1">
        <f t="array" ref="W872">_xll.FDSB($C872,"CS_EVENT_TIME_N("&amp;$AA$18&amp;",4)")</f>
        <v/>
      </c>
      <c r="X872" s="282" t="str" cm="1">
        <f t="array" ref="X872">_xll.FDSB($C872,"CS_EVENT_DESC_N("&amp;$AA$18&amp;",4)")</f>
        <v/>
      </c>
    </row>
    <row r="873" spans="2:24" x14ac:dyDescent="0.15">
      <c r="B873" s="298">
        <f t="shared" si="15"/>
        <v>858</v>
      </c>
      <c r="C873" s="299"/>
      <c r="D873" s="300" t="str" cm="1">
        <f t="array" ref="D873">_xll.FDSB($C873,"FG_COMPANY_NAME")</f>
        <v/>
      </c>
      <c r="E873" s="300"/>
      <c r="F873" s="274" t="str" cm="1">
        <f t="array" ref="F873">_xll.FDSB($C873,"CS_EVENT_DATEJ_N("&amp;$AA$18&amp;",1)")</f>
        <v/>
      </c>
      <c r="G873" s="282" t="str" cm="1">
        <f t="array" ref="G873">_xll.FDSB($C873,"CS_EVENT_TIME_N("&amp;$AA$18&amp;",1)")</f>
        <v/>
      </c>
      <c r="H873" s="282" t="str" cm="1">
        <f t="array" ref="H873">_xll.FDSB($C873,"CS_EVENT_DESC_N("&amp;$AA$18&amp;",1)")</f>
        <v/>
      </c>
      <c r="I873" s="282"/>
      <c r="J873" s="274" t="str" cm="1">
        <f t="array" ref="J873">_xll.FDSB($C873,"CS_EVENT_DATEJ_N("&amp;$AB$18&amp;",1)")</f>
        <v/>
      </c>
      <c r="K873" s="282" t="str" cm="1">
        <f t="array" ref="K873">_xll.FDSB($C873,"CS_EVENT_TIME_N("&amp;$AB$18&amp;",1)")</f>
        <v/>
      </c>
      <c r="L873" s="282" t="str" cm="1">
        <f t="array" ref="L873">_xll.FDSB($C873,"CS_EVENT_DESC_N("&amp;$AB$18&amp;",1)")</f>
        <v/>
      </c>
      <c r="M873" s="300"/>
      <c r="N873" s="274" t="str" cm="1">
        <f t="array" ref="N873">_xll.FDSB($C873,"CS_EVENT_DATEJ_N("&amp;$AA$18&amp;",2)")</f>
        <v/>
      </c>
      <c r="O873" s="282" t="str" cm="1">
        <f t="array" ref="O873">_xll.FDSB($C873,"CS_EVENT_TIME_N("&amp;$AA$18&amp;",2)")</f>
        <v/>
      </c>
      <c r="P873" s="282" t="str" cm="1">
        <f t="array" ref="P873">_xll.FDSB($C873,"CS_EVENT_DESC_N("&amp;$AA$18&amp;",2)")</f>
        <v/>
      </c>
      <c r="Q873" s="282"/>
      <c r="R873" s="274" t="str" cm="1">
        <f t="array" ref="R873">_xll.FDSB($C873,"CS_EVENT_DATEJ_N("&amp;$AA$18&amp;",3)")</f>
        <v/>
      </c>
      <c r="S873" s="282" t="str" cm="1">
        <f t="array" ref="S873">_xll.FDSB($C873,"CS_EVENT_TIME_N("&amp;$AA$18&amp;",3)")</f>
        <v/>
      </c>
      <c r="T873" s="282" t="str" cm="1">
        <f t="array" ref="T873">_xll.FDSB($C873,"CS_EVENT_DESC_N("&amp;$AA$18&amp;",3)")</f>
        <v/>
      </c>
      <c r="U873" s="282"/>
      <c r="V873" s="274" t="str" cm="1">
        <f t="array" ref="V873">_xll.FDSB($C873,"CS_EVENT_DATEJ_N("&amp;$AA$18&amp;",4)")</f>
        <v/>
      </c>
      <c r="W873" s="282" t="str" cm="1">
        <f t="array" ref="W873">_xll.FDSB($C873,"CS_EVENT_TIME_N("&amp;$AA$18&amp;",4)")</f>
        <v/>
      </c>
      <c r="X873" s="282" t="str" cm="1">
        <f t="array" ref="X873">_xll.FDSB($C873,"CS_EVENT_DESC_N("&amp;$AA$18&amp;",4)")</f>
        <v/>
      </c>
    </row>
    <row r="874" spans="2:24" x14ac:dyDescent="0.15">
      <c r="B874" s="298">
        <f t="shared" si="15"/>
        <v>859</v>
      </c>
      <c r="C874" s="299"/>
      <c r="D874" s="300" t="str" cm="1">
        <f t="array" ref="D874">_xll.FDSB($C874,"FG_COMPANY_NAME")</f>
        <v/>
      </c>
      <c r="E874" s="300"/>
      <c r="F874" s="274" t="str" cm="1">
        <f t="array" ref="F874">_xll.FDSB($C874,"CS_EVENT_DATEJ_N("&amp;$AA$18&amp;",1)")</f>
        <v/>
      </c>
      <c r="G874" s="282" t="str" cm="1">
        <f t="array" ref="G874">_xll.FDSB($C874,"CS_EVENT_TIME_N("&amp;$AA$18&amp;",1)")</f>
        <v/>
      </c>
      <c r="H874" s="282" t="str" cm="1">
        <f t="array" ref="H874">_xll.FDSB($C874,"CS_EVENT_DESC_N("&amp;$AA$18&amp;",1)")</f>
        <v/>
      </c>
      <c r="I874" s="282"/>
      <c r="J874" s="274" t="str" cm="1">
        <f t="array" ref="J874">_xll.FDSB($C874,"CS_EVENT_DATEJ_N("&amp;$AB$18&amp;",1)")</f>
        <v/>
      </c>
      <c r="K874" s="282" t="str" cm="1">
        <f t="array" ref="K874">_xll.FDSB($C874,"CS_EVENT_TIME_N("&amp;$AB$18&amp;",1)")</f>
        <v/>
      </c>
      <c r="L874" s="282" t="str" cm="1">
        <f t="array" ref="L874">_xll.FDSB($C874,"CS_EVENT_DESC_N("&amp;$AB$18&amp;",1)")</f>
        <v/>
      </c>
      <c r="M874" s="300"/>
      <c r="N874" s="274" t="str" cm="1">
        <f t="array" ref="N874">_xll.FDSB($C874,"CS_EVENT_DATEJ_N("&amp;$AA$18&amp;",2)")</f>
        <v/>
      </c>
      <c r="O874" s="282" t="str" cm="1">
        <f t="array" ref="O874">_xll.FDSB($C874,"CS_EVENT_TIME_N("&amp;$AA$18&amp;",2)")</f>
        <v/>
      </c>
      <c r="P874" s="282" t="str" cm="1">
        <f t="array" ref="P874">_xll.FDSB($C874,"CS_EVENT_DESC_N("&amp;$AA$18&amp;",2)")</f>
        <v/>
      </c>
      <c r="Q874" s="282"/>
      <c r="R874" s="274" t="str" cm="1">
        <f t="array" ref="R874">_xll.FDSB($C874,"CS_EVENT_DATEJ_N("&amp;$AA$18&amp;",3)")</f>
        <v/>
      </c>
      <c r="S874" s="282" t="str" cm="1">
        <f t="array" ref="S874">_xll.FDSB($C874,"CS_EVENT_TIME_N("&amp;$AA$18&amp;",3)")</f>
        <v/>
      </c>
      <c r="T874" s="282" t="str" cm="1">
        <f t="array" ref="T874">_xll.FDSB($C874,"CS_EVENT_DESC_N("&amp;$AA$18&amp;",3)")</f>
        <v/>
      </c>
      <c r="U874" s="282"/>
      <c r="V874" s="274" t="str" cm="1">
        <f t="array" ref="V874">_xll.FDSB($C874,"CS_EVENT_DATEJ_N("&amp;$AA$18&amp;",4)")</f>
        <v/>
      </c>
      <c r="W874" s="282" t="str" cm="1">
        <f t="array" ref="W874">_xll.FDSB($C874,"CS_EVENT_TIME_N("&amp;$AA$18&amp;",4)")</f>
        <v/>
      </c>
      <c r="X874" s="282" t="str" cm="1">
        <f t="array" ref="X874">_xll.FDSB($C874,"CS_EVENT_DESC_N("&amp;$AA$18&amp;",4)")</f>
        <v/>
      </c>
    </row>
    <row r="875" spans="2:24" x14ac:dyDescent="0.15">
      <c r="B875" s="298">
        <f t="shared" si="15"/>
        <v>860</v>
      </c>
      <c r="C875" s="299"/>
      <c r="D875" s="300" t="str" cm="1">
        <f t="array" ref="D875">_xll.FDSB($C875,"FG_COMPANY_NAME")</f>
        <v/>
      </c>
      <c r="E875" s="300"/>
      <c r="F875" s="274" t="str" cm="1">
        <f t="array" ref="F875">_xll.FDSB($C875,"CS_EVENT_DATEJ_N("&amp;$AA$18&amp;",1)")</f>
        <v/>
      </c>
      <c r="G875" s="282" t="str" cm="1">
        <f t="array" ref="G875">_xll.FDSB($C875,"CS_EVENT_TIME_N("&amp;$AA$18&amp;",1)")</f>
        <v/>
      </c>
      <c r="H875" s="282" t="str" cm="1">
        <f t="array" ref="H875">_xll.FDSB($C875,"CS_EVENT_DESC_N("&amp;$AA$18&amp;",1)")</f>
        <v/>
      </c>
      <c r="I875" s="282"/>
      <c r="J875" s="274" t="str" cm="1">
        <f t="array" ref="J875">_xll.FDSB($C875,"CS_EVENT_DATEJ_N("&amp;$AB$18&amp;",1)")</f>
        <v/>
      </c>
      <c r="K875" s="282" t="str" cm="1">
        <f t="array" ref="K875">_xll.FDSB($C875,"CS_EVENT_TIME_N("&amp;$AB$18&amp;",1)")</f>
        <v/>
      </c>
      <c r="L875" s="282" t="str" cm="1">
        <f t="array" ref="L875">_xll.FDSB($C875,"CS_EVENT_DESC_N("&amp;$AB$18&amp;",1)")</f>
        <v/>
      </c>
      <c r="M875" s="300"/>
      <c r="N875" s="274" t="str" cm="1">
        <f t="array" ref="N875">_xll.FDSB($C875,"CS_EVENT_DATEJ_N("&amp;$AA$18&amp;",2)")</f>
        <v/>
      </c>
      <c r="O875" s="282" t="str" cm="1">
        <f t="array" ref="O875">_xll.FDSB($C875,"CS_EVENT_TIME_N("&amp;$AA$18&amp;",2)")</f>
        <v/>
      </c>
      <c r="P875" s="282" t="str" cm="1">
        <f t="array" ref="P875">_xll.FDSB($C875,"CS_EVENT_DESC_N("&amp;$AA$18&amp;",2)")</f>
        <v/>
      </c>
      <c r="Q875" s="282"/>
      <c r="R875" s="274" t="str" cm="1">
        <f t="array" ref="R875">_xll.FDSB($C875,"CS_EVENT_DATEJ_N("&amp;$AA$18&amp;",3)")</f>
        <v/>
      </c>
      <c r="S875" s="282" t="str" cm="1">
        <f t="array" ref="S875">_xll.FDSB($C875,"CS_EVENT_TIME_N("&amp;$AA$18&amp;",3)")</f>
        <v/>
      </c>
      <c r="T875" s="282" t="str" cm="1">
        <f t="array" ref="T875">_xll.FDSB($C875,"CS_EVENT_DESC_N("&amp;$AA$18&amp;",3)")</f>
        <v/>
      </c>
      <c r="U875" s="282"/>
      <c r="V875" s="274" t="str" cm="1">
        <f t="array" ref="V875">_xll.FDSB($C875,"CS_EVENT_DATEJ_N("&amp;$AA$18&amp;",4)")</f>
        <v/>
      </c>
      <c r="W875" s="282" t="str" cm="1">
        <f t="array" ref="W875">_xll.FDSB($C875,"CS_EVENT_TIME_N("&amp;$AA$18&amp;",4)")</f>
        <v/>
      </c>
      <c r="X875" s="282" t="str" cm="1">
        <f t="array" ref="X875">_xll.FDSB($C875,"CS_EVENT_DESC_N("&amp;$AA$18&amp;",4)")</f>
        <v/>
      </c>
    </row>
    <row r="876" spans="2:24" x14ac:dyDescent="0.15">
      <c r="B876" s="298">
        <f t="shared" si="15"/>
        <v>861</v>
      </c>
      <c r="C876" s="299"/>
      <c r="D876" s="300" t="str" cm="1">
        <f t="array" ref="D876">_xll.FDSB($C876,"FG_COMPANY_NAME")</f>
        <v/>
      </c>
      <c r="E876" s="300"/>
      <c r="F876" s="274" t="str" cm="1">
        <f t="array" ref="F876">_xll.FDSB($C876,"CS_EVENT_DATEJ_N("&amp;$AA$18&amp;",1)")</f>
        <v/>
      </c>
      <c r="G876" s="282" t="str" cm="1">
        <f t="array" ref="G876">_xll.FDSB($C876,"CS_EVENT_TIME_N("&amp;$AA$18&amp;",1)")</f>
        <v/>
      </c>
      <c r="H876" s="282" t="str" cm="1">
        <f t="array" ref="H876">_xll.FDSB($C876,"CS_EVENT_DESC_N("&amp;$AA$18&amp;",1)")</f>
        <v/>
      </c>
      <c r="I876" s="282"/>
      <c r="J876" s="274" t="str" cm="1">
        <f t="array" ref="J876">_xll.FDSB($C876,"CS_EVENT_DATEJ_N("&amp;$AB$18&amp;",1)")</f>
        <v/>
      </c>
      <c r="K876" s="282" t="str" cm="1">
        <f t="array" ref="K876">_xll.FDSB($C876,"CS_EVENT_TIME_N("&amp;$AB$18&amp;",1)")</f>
        <v/>
      </c>
      <c r="L876" s="282" t="str" cm="1">
        <f t="array" ref="L876">_xll.FDSB($C876,"CS_EVENT_DESC_N("&amp;$AB$18&amp;",1)")</f>
        <v/>
      </c>
      <c r="M876" s="300"/>
      <c r="N876" s="274" t="str" cm="1">
        <f t="array" ref="N876">_xll.FDSB($C876,"CS_EVENT_DATEJ_N("&amp;$AA$18&amp;",2)")</f>
        <v/>
      </c>
      <c r="O876" s="282" t="str" cm="1">
        <f t="array" ref="O876">_xll.FDSB($C876,"CS_EVENT_TIME_N("&amp;$AA$18&amp;",2)")</f>
        <v/>
      </c>
      <c r="P876" s="282" t="str" cm="1">
        <f t="array" ref="P876">_xll.FDSB($C876,"CS_EVENT_DESC_N("&amp;$AA$18&amp;",2)")</f>
        <v/>
      </c>
      <c r="Q876" s="282"/>
      <c r="R876" s="274" t="str" cm="1">
        <f t="array" ref="R876">_xll.FDSB($C876,"CS_EVENT_DATEJ_N("&amp;$AA$18&amp;",3)")</f>
        <v/>
      </c>
      <c r="S876" s="282" t="str" cm="1">
        <f t="array" ref="S876">_xll.FDSB($C876,"CS_EVENT_TIME_N("&amp;$AA$18&amp;",3)")</f>
        <v/>
      </c>
      <c r="T876" s="282" t="str" cm="1">
        <f t="array" ref="T876">_xll.FDSB($C876,"CS_EVENT_DESC_N("&amp;$AA$18&amp;",3)")</f>
        <v/>
      </c>
      <c r="U876" s="282"/>
      <c r="V876" s="274" t="str" cm="1">
        <f t="array" ref="V876">_xll.FDSB($C876,"CS_EVENT_DATEJ_N("&amp;$AA$18&amp;",4)")</f>
        <v/>
      </c>
      <c r="W876" s="282" t="str" cm="1">
        <f t="array" ref="W876">_xll.FDSB($C876,"CS_EVENT_TIME_N("&amp;$AA$18&amp;",4)")</f>
        <v/>
      </c>
      <c r="X876" s="282" t="str" cm="1">
        <f t="array" ref="X876">_xll.FDSB($C876,"CS_EVENT_DESC_N("&amp;$AA$18&amp;",4)")</f>
        <v/>
      </c>
    </row>
    <row r="877" spans="2:24" x14ac:dyDescent="0.15">
      <c r="B877" s="298">
        <f t="shared" si="15"/>
        <v>862</v>
      </c>
      <c r="C877" s="299"/>
      <c r="D877" s="300" t="str" cm="1">
        <f t="array" ref="D877">_xll.FDSB($C877,"FG_COMPANY_NAME")</f>
        <v/>
      </c>
      <c r="E877" s="300"/>
      <c r="F877" s="274" t="str" cm="1">
        <f t="array" ref="F877">_xll.FDSB($C877,"CS_EVENT_DATEJ_N("&amp;$AA$18&amp;",1)")</f>
        <v/>
      </c>
      <c r="G877" s="282" t="str" cm="1">
        <f t="array" ref="G877">_xll.FDSB($C877,"CS_EVENT_TIME_N("&amp;$AA$18&amp;",1)")</f>
        <v/>
      </c>
      <c r="H877" s="282" t="str" cm="1">
        <f t="array" ref="H877">_xll.FDSB($C877,"CS_EVENT_DESC_N("&amp;$AA$18&amp;",1)")</f>
        <v/>
      </c>
      <c r="I877" s="282"/>
      <c r="J877" s="274" t="str" cm="1">
        <f t="array" ref="J877">_xll.FDSB($C877,"CS_EVENT_DATEJ_N("&amp;$AB$18&amp;",1)")</f>
        <v/>
      </c>
      <c r="K877" s="282" t="str" cm="1">
        <f t="array" ref="K877">_xll.FDSB($C877,"CS_EVENT_TIME_N("&amp;$AB$18&amp;",1)")</f>
        <v/>
      </c>
      <c r="L877" s="282" t="str" cm="1">
        <f t="array" ref="L877">_xll.FDSB($C877,"CS_EVENT_DESC_N("&amp;$AB$18&amp;",1)")</f>
        <v/>
      </c>
      <c r="M877" s="300"/>
      <c r="N877" s="274" t="str" cm="1">
        <f t="array" ref="N877">_xll.FDSB($C877,"CS_EVENT_DATEJ_N("&amp;$AA$18&amp;",2)")</f>
        <v/>
      </c>
      <c r="O877" s="282" t="str" cm="1">
        <f t="array" ref="O877">_xll.FDSB($C877,"CS_EVENT_TIME_N("&amp;$AA$18&amp;",2)")</f>
        <v/>
      </c>
      <c r="P877" s="282" t="str" cm="1">
        <f t="array" ref="P877">_xll.FDSB($C877,"CS_EVENT_DESC_N("&amp;$AA$18&amp;",2)")</f>
        <v/>
      </c>
      <c r="Q877" s="282"/>
      <c r="R877" s="274" t="str" cm="1">
        <f t="array" ref="R877">_xll.FDSB($C877,"CS_EVENT_DATEJ_N("&amp;$AA$18&amp;",3)")</f>
        <v/>
      </c>
      <c r="S877" s="282" t="str" cm="1">
        <f t="array" ref="S877">_xll.FDSB($C877,"CS_EVENT_TIME_N("&amp;$AA$18&amp;",3)")</f>
        <v/>
      </c>
      <c r="T877" s="282" t="str" cm="1">
        <f t="array" ref="T877">_xll.FDSB($C877,"CS_EVENT_DESC_N("&amp;$AA$18&amp;",3)")</f>
        <v/>
      </c>
      <c r="U877" s="282"/>
      <c r="V877" s="274" t="str" cm="1">
        <f t="array" ref="V877">_xll.FDSB($C877,"CS_EVENT_DATEJ_N("&amp;$AA$18&amp;",4)")</f>
        <v/>
      </c>
      <c r="W877" s="282" t="str" cm="1">
        <f t="array" ref="W877">_xll.FDSB($C877,"CS_EVENT_TIME_N("&amp;$AA$18&amp;",4)")</f>
        <v/>
      </c>
      <c r="X877" s="282" t="str" cm="1">
        <f t="array" ref="X877">_xll.FDSB($C877,"CS_EVENT_DESC_N("&amp;$AA$18&amp;",4)")</f>
        <v/>
      </c>
    </row>
    <row r="878" spans="2:24" x14ac:dyDescent="0.15">
      <c r="B878" s="298">
        <f t="shared" si="15"/>
        <v>863</v>
      </c>
      <c r="C878" s="299"/>
      <c r="D878" s="300" t="str" cm="1">
        <f t="array" ref="D878">_xll.FDSB($C878,"FG_COMPANY_NAME")</f>
        <v/>
      </c>
      <c r="E878" s="300"/>
      <c r="F878" s="274" t="str" cm="1">
        <f t="array" ref="F878">_xll.FDSB($C878,"CS_EVENT_DATEJ_N("&amp;$AA$18&amp;",1)")</f>
        <v/>
      </c>
      <c r="G878" s="282" t="str" cm="1">
        <f t="array" ref="G878">_xll.FDSB($C878,"CS_EVENT_TIME_N("&amp;$AA$18&amp;",1)")</f>
        <v/>
      </c>
      <c r="H878" s="282" t="str" cm="1">
        <f t="array" ref="H878">_xll.FDSB($C878,"CS_EVENT_DESC_N("&amp;$AA$18&amp;",1)")</f>
        <v/>
      </c>
      <c r="I878" s="282"/>
      <c r="J878" s="274" t="str" cm="1">
        <f t="array" ref="J878">_xll.FDSB($C878,"CS_EVENT_DATEJ_N("&amp;$AB$18&amp;",1)")</f>
        <v/>
      </c>
      <c r="K878" s="282" t="str" cm="1">
        <f t="array" ref="K878">_xll.FDSB($C878,"CS_EVENT_TIME_N("&amp;$AB$18&amp;",1)")</f>
        <v/>
      </c>
      <c r="L878" s="282" t="str" cm="1">
        <f t="array" ref="L878">_xll.FDSB($C878,"CS_EVENT_DESC_N("&amp;$AB$18&amp;",1)")</f>
        <v/>
      </c>
      <c r="M878" s="300"/>
      <c r="N878" s="274" t="str" cm="1">
        <f t="array" ref="N878">_xll.FDSB($C878,"CS_EVENT_DATEJ_N("&amp;$AA$18&amp;",2)")</f>
        <v/>
      </c>
      <c r="O878" s="282" t="str" cm="1">
        <f t="array" ref="O878">_xll.FDSB($C878,"CS_EVENT_TIME_N("&amp;$AA$18&amp;",2)")</f>
        <v/>
      </c>
      <c r="P878" s="282" t="str" cm="1">
        <f t="array" ref="P878">_xll.FDSB($C878,"CS_EVENT_DESC_N("&amp;$AA$18&amp;",2)")</f>
        <v/>
      </c>
      <c r="Q878" s="282"/>
      <c r="R878" s="274" t="str" cm="1">
        <f t="array" ref="R878">_xll.FDSB($C878,"CS_EVENT_DATEJ_N("&amp;$AA$18&amp;",3)")</f>
        <v/>
      </c>
      <c r="S878" s="282" t="str" cm="1">
        <f t="array" ref="S878">_xll.FDSB($C878,"CS_EVENT_TIME_N("&amp;$AA$18&amp;",3)")</f>
        <v/>
      </c>
      <c r="T878" s="282" t="str" cm="1">
        <f t="array" ref="T878">_xll.FDSB($C878,"CS_EVENT_DESC_N("&amp;$AA$18&amp;",3)")</f>
        <v/>
      </c>
      <c r="U878" s="282"/>
      <c r="V878" s="274" t="str" cm="1">
        <f t="array" ref="V878">_xll.FDSB($C878,"CS_EVENT_DATEJ_N("&amp;$AA$18&amp;",4)")</f>
        <v/>
      </c>
      <c r="W878" s="282" t="str" cm="1">
        <f t="array" ref="W878">_xll.FDSB($C878,"CS_EVENT_TIME_N("&amp;$AA$18&amp;",4)")</f>
        <v/>
      </c>
      <c r="X878" s="282" t="str" cm="1">
        <f t="array" ref="X878">_xll.FDSB($C878,"CS_EVENT_DESC_N("&amp;$AA$18&amp;",4)")</f>
        <v/>
      </c>
    </row>
    <row r="879" spans="2:24" x14ac:dyDescent="0.15">
      <c r="B879" s="298">
        <f t="shared" si="15"/>
        <v>864</v>
      </c>
      <c r="C879" s="299"/>
      <c r="D879" s="300" t="str" cm="1">
        <f t="array" ref="D879">_xll.FDSB($C879,"FG_COMPANY_NAME")</f>
        <v/>
      </c>
      <c r="E879" s="300"/>
      <c r="F879" s="274" t="str" cm="1">
        <f t="array" ref="F879">_xll.FDSB($C879,"CS_EVENT_DATEJ_N("&amp;$AA$18&amp;",1)")</f>
        <v/>
      </c>
      <c r="G879" s="282" t="str" cm="1">
        <f t="array" ref="G879">_xll.FDSB($C879,"CS_EVENT_TIME_N("&amp;$AA$18&amp;",1)")</f>
        <v/>
      </c>
      <c r="H879" s="282" t="str" cm="1">
        <f t="array" ref="H879">_xll.FDSB($C879,"CS_EVENT_DESC_N("&amp;$AA$18&amp;",1)")</f>
        <v/>
      </c>
      <c r="I879" s="282"/>
      <c r="J879" s="274" t="str" cm="1">
        <f t="array" ref="J879">_xll.FDSB($C879,"CS_EVENT_DATEJ_N("&amp;$AB$18&amp;",1)")</f>
        <v/>
      </c>
      <c r="K879" s="282" t="str" cm="1">
        <f t="array" ref="K879">_xll.FDSB($C879,"CS_EVENT_TIME_N("&amp;$AB$18&amp;",1)")</f>
        <v/>
      </c>
      <c r="L879" s="282" t="str" cm="1">
        <f t="array" ref="L879">_xll.FDSB($C879,"CS_EVENT_DESC_N("&amp;$AB$18&amp;",1)")</f>
        <v/>
      </c>
      <c r="M879" s="300"/>
      <c r="N879" s="274" t="str" cm="1">
        <f t="array" ref="N879">_xll.FDSB($C879,"CS_EVENT_DATEJ_N("&amp;$AA$18&amp;",2)")</f>
        <v/>
      </c>
      <c r="O879" s="282" t="str" cm="1">
        <f t="array" ref="O879">_xll.FDSB($C879,"CS_EVENT_TIME_N("&amp;$AA$18&amp;",2)")</f>
        <v/>
      </c>
      <c r="P879" s="282" t="str" cm="1">
        <f t="array" ref="P879">_xll.FDSB($C879,"CS_EVENT_DESC_N("&amp;$AA$18&amp;",2)")</f>
        <v/>
      </c>
      <c r="Q879" s="282"/>
      <c r="R879" s="274" t="str" cm="1">
        <f t="array" ref="R879">_xll.FDSB($C879,"CS_EVENT_DATEJ_N("&amp;$AA$18&amp;",3)")</f>
        <v/>
      </c>
      <c r="S879" s="282" t="str" cm="1">
        <f t="array" ref="S879">_xll.FDSB($C879,"CS_EVENT_TIME_N("&amp;$AA$18&amp;",3)")</f>
        <v/>
      </c>
      <c r="T879" s="282" t="str" cm="1">
        <f t="array" ref="T879">_xll.FDSB($C879,"CS_EVENT_DESC_N("&amp;$AA$18&amp;",3)")</f>
        <v/>
      </c>
      <c r="U879" s="282"/>
      <c r="V879" s="274" t="str" cm="1">
        <f t="array" ref="V879">_xll.FDSB($C879,"CS_EVENT_DATEJ_N("&amp;$AA$18&amp;",4)")</f>
        <v/>
      </c>
      <c r="W879" s="282" t="str" cm="1">
        <f t="array" ref="W879">_xll.FDSB($C879,"CS_EVENT_TIME_N("&amp;$AA$18&amp;",4)")</f>
        <v/>
      </c>
      <c r="X879" s="282" t="str" cm="1">
        <f t="array" ref="X879">_xll.FDSB($C879,"CS_EVENT_DESC_N("&amp;$AA$18&amp;",4)")</f>
        <v/>
      </c>
    </row>
    <row r="880" spans="2:24" x14ac:dyDescent="0.15">
      <c r="B880" s="298">
        <f t="shared" si="15"/>
        <v>865</v>
      </c>
      <c r="C880" s="299"/>
      <c r="D880" s="300" t="str" cm="1">
        <f t="array" ref="D880">_xll.FDSB($C880,"FG_COMPANY_NAME")</f>
        <v/>
      </c>
      <c r="E880" s="300"/>
      <c r="F880" s="274" t="str" cm="1">
        <f t="array" ref="F880">_xll.FDSB($C880,"CS_EVENT_DATEJ_N("&amp;$AA$18&amp;",1)")</f>
        <v/>
      </c>
      <c r="G880" s="282" t="str" cm="1">
        <f t="array" ref="G880">_xll.FDSB($C880,"CS_EVENT_TIME_N("&amp;$AA$18&amp;",1)")</f>
        <v/>
      </c>
      <c r="H880" s="282" t="str" cm="1">
        <f t="array" ref="H880">_xll.FDSB($C880,"CS_EVENT_DESC_N("&amp;$AA$18&amp;",1)")</f>
        <v/>
      </c>
      <c r="I880" s="282"/>
      <c r="J880" s="274" t="str" cm="1">
        <f t="array" ref="J880">_xll.FDSB($C880,"CS_EVENT_DATEJ_N("&amp;$AB$18&amp;",1)")</f>
        <v/>
      </c>
      <c r="K880" s="282" t="str" cm="1">
        <f t="array" ref="K880">_xll.FDSB($C880,"CS_EVENT_TIME_N("&amp;$AB$18&amp;",1)")</f>
        <v/>
      </c>
      <c r="L880" s="282" t="str" cm="1">
        <f t="array" ref="L880">_xll.FDSB($C880,"CS_EVENT_DESC_N("&amp;$AB$18&amp;",1)")</f>
        <v/>
      </c>
      <c r="M880" s="300"/>
      <c r="N880" s="274" t="str" cm="1">
        <f t="array" ref="N880">_xll.FDSB($C880,"CS_EVENT_DATEJ_N("&amp;$AA$18&amp;",2)")</f>
        <v/>
      </c>
      <c r="O880" s="282" t="str" cm="1">
        <f t="array" ref="O880">_xll.FDSB($C880,"CS_EVENT_TIME_N("&amp;$AA$18&amp;",2)")</f>
        <v/>
      </c>
      <c r="P880" s="282" t="str" cm="1">
        <f t="array" ref="P880">_xll.FDSB($C880,"CS_EVENT_DESC_N("&amp;$AA$18&amp;",2)")</f>
        <v/>
      </c>
      <c r="Q880" s="282"/>
      <c r="R880" s="274" t="str" cm="1">
        <f t="array" ref="R880">_xll.FDSB($C880,"CS_EVENT_DATEJ_N("&amp;$AA$18&amp;",3)")</f>
        <v/>
      </c>
      <c r="S880" s="282" t="str" cm="1">
        <f t="array" ref="S880">_xll.FDSB($C880,"CS_EVENT_TIME_N("&amp;$AA$18&amp;",3)")</f>
        <v/>
      </c>
      <c r="T880" s="282" t="str" cm="1">
        <f t="array" ref="T880">_xll.FDSB($C880,"CS_EVENT_DESC_N("&amp;$AA$18&amp;",3)")</f>
        <v/>
      </c>
      <c r="U880" s="282"/>
      <c r="V880" s="274" t="str" cm="1">
        <f t="array" ref="V880">_xll.FDSB($C880,"CS_EVENT_DATEJ_N("&amp;$AA$18&amp;",4)")</f>
        <v/>
      </c>
      <c r="W880" s="282" t="str" cm="1">
        <f t="array" ref="W880">_xll.FDSB($C880,"CS_EVENT_TIME_N("&amp;$AA$18&amp;",4)")</f>
        <v/>
      </c>
      <c r="X880" s="282" t="str" cm="1">
        <f t="array" ref="X880">_xll.FDSB($C880,"CS_EVENT_DESC_N("&amp;$AA$18&amp;",4)")</f>
        <v/>
      </c>
    </row>
    <row r="881" spans="2:24" x14ac:dyDescent="0.15">
      <c r="B881" s="298">
        <f t="shared" si="15"/>
        <v>866</v>
      </c>
      <c r="C881" s="299"/>
      <c r="D881" s="300" t="str" cm="1">
        <f t="array" ref="D881">_xll.FDSB($C881,"FG_COMPANY_NAME")</f>
        <v/>
      </c>
      <c r="E881" s="300"/>
      <c r="F881" s="274" t="str" cm="1">
        <f t="array" ref="F881">_xll.FDSB($C881,"CS_EVENT_DATEJ_N("&amp;$AA$18&amp;",1)")</f>
        <v/>
      </c>
      <c r="G881" s="282" t="str" cm="1">
        <f t="array" ref="G881">_xll.FDSB($C881,"CS_EVENT_TIME_N("&amp;$AA$18&amp;",1)")</f>
        <v/>
      </c>
      <c r="H881" s="282" t="str" cm="1">
        <f t="array" ref="H881">_xll.FDSB($C881,"CS_EVENT_DESC_N("&amp;$AA$18&amp;",1)")</f>
        <v/>
      </c>
      <c r="I881" s="282"/>
      <c r="J881" s="274" t="str" cm="1">
        <f t="array" ref="J881">_xll.FDSB($C881,"CS_EVENT_DATEJ_N("&amp;$AB$18&amp;",1)")</f>
        <v/>
      </c>
      <c r="K881" s="282" t="str" cm="1">
        <f t="array" ref="K881">_xll.FDSB($C881,"CS_EVENT_TIME_N("&amp;$AB$18&amp;",1)")</f>
        <v/>
      </c>
      <c r="L881" s="282" t="str" cm="1">
        <f t="array" ref="L881">_xll.FDSB($C881,"CS_EVENT_DESC_N("&amp;$AB$18&amp;",1)")</f>
        <v/>
      </c>
      <c r="M881" s="300"/>
      <c r="N881" s="274" t="str" cm="1">
        <f t="array" ref="N881">_xll.FDSB($C881,"CS_EVENT_DATEJ_N("&amp;$AA$18&amp;",2)")</f>
        <v/>
      </c>
      <c r="O881" s="282" t="str" cm="1">
        <f t="array" ref="O881">_xll.FDSB($C881,"CS_EVENT_TIME_N("&amp;$AA$18&amp;",2)")</f>
        <v/>
      </c>
      <c r="P881" s="282" t="str" cm="1">
        <f t="array" ref="P881">_xll.FDSB($C881,"CS_EVENT_DESC_N("&amp;$AA$18&amp;",2)")</f>
        <v/>
      </c>
      <c r="Q881" s="282"/>
      <c r="R881" s="274" t="str" cm="1">
        <f t="array" ref="R881">_xll.FDSB($C881,"CS_EVENT_DATEJ_N("&amp;$AA$18&amp;",3)")</f>
        <v/>
      </c>
      <c r="S881" s="282" t="str" cm="1">
        <f t="array" ref="S881">_xll.FDSB($C881,"CS_EVENT_TIME_N("&amp;$AA$18&amp;",3)")</f>
        <v/>
      </c>
      <c r="T881" s="282" t="str" cm="1">
        <f t="array" ref="T881">_xll.FDSB($C881,"CS_EVENT_DESC_N("&amp;$AA$18&amp;",3)")</f>
        <v/>
      </c>
      <c r="U881" s="282"/>
      <c r="V881" s="274" t="str" cm="1">
        <f t="array" ref="V881">_xll.FDSB($C881,"CS_EVENT_DATEJ_N("&amp;$AA$18&amp;",4)")</f>
        <v/>
      </c>
      <c r="W881" s="282" t="str" cm="1">
        <f t="array" ref="W881">_xll.FDSB($C881,"CS_EVENT_TIME_N("&amp;$AA$18&amp;",4)")</f>
        <v/>
      </c>
      <c r="X881" s="282" t="str" cm="1">
        <f t="array" ref="X881">_xll.FDSB($C881,"CS_EVENT_DESC_N("&amp;$AA$18&amp;",4)")</f>
        <v/>
      </c>
    </row>
    <row r="882" spans="2:24" x14ac:dyDescent="0.15">
      <c r="B882" s="298">
        <f t="shared" si="15"/>
        <v>867</v>
      </c>
      <c r="C882" s="299"/>
      <c r="D882" s="300" t="str" cm="1">
        <f t="array" ref="D882">_xll.FDSB($C882,"FG_COMPANY_NAME")</f>
        <v/>
      </c>
      <c r="E882" s="300"/>
      <c r="F882" s="274" t="str" cm="1">
        <f t="array" ref="F882">_xll.FDSB($C882,"CS_EVENT_DATEJ_N("&amp;$AA$18&amp;",1)")</f>
        <v/>
      </c>
      <c r="G882" s="282" t="str" cm="1">
        <f t="array" ref="G882">_xll.FDSB($C882,"CS_EVENT_TIME_N("&amp;$AA$18&amp;",1)")</f>
        <v/>
      </c>
      <c r="H882" s="282" t="str" cm="1">
        <f t="array" ref="H882">_xll.FDSB($C882,"CS_EVENT_DESC_N("&amp;$AA$18&amp;",1)")</f>
        <v/>
      </c>
      <c r="I882" s="282"/>
      <c r="J882" s="274" t="str" cm="1">
        <f t="array" ref="J882">_xll.FDSB($C882,"CS_EVENT_DATEJ_N("&amp;$AB$18&amp;",1)")</f>
        <v/>
      </c>
      <c r="K882" s="282" t="str" cm="1">
        <f t="array" ref="K882">_xll.FDSB($C882,"CS_EVENT_TIME_N("&amp;$AB$18&amp;",1)")</f>
        <v/>
      </c>
      <c r="L882" s="282" t="str" cm="1">
        <f t="array" ref="L882">_xll.FDSB($C882,"CS_EVENT_DESC_N("&amp;$AB$18&amp;",1)")</f>
        <v/>
      </c>
      <c r="M882" s="300"/>
      <c r="N882" s="274" t="str" cm="1">
        <f t="array" ref="N882">_xll.FDSB($C882,"CS_EVENT_DATEJ_N("&amp;$AA$18&amp;",2)")</f>
        <v/>
      </c>
      <c r="O882" s="282" t="str" cm="1">
        <f t="array" ref="O882">_xll.FDSB($C882,"CS_EVENT_TIME_N("&amp;$AA$18&amp;",2)")</f>
        <v/>
      </c>
      <c r="P882" s="282" t="str" cm="1">
        <f t="array" ref="P882">_xll.FDSB($C882,"CS_EVENT_DESC_N("&amp;$AA$18&amp;",2)")</f>
        <v/>
      </c>
      <c r="Q882" s="282"/>
      <c r="R882" s="274" t="str" cm="1">
        <f t="array" ref="R882">_xll.FDSB($C882,"CS_EVENT_DATEJ_N("&amp;$AA$18&amp;",3)")</f>
        <v/>
      </c>
      <c r="S882" s="282" t="str" cm="1">
        <f t="array" ref="S882">_xll.FDSB($C882,"CS_EVENT_TIME_N("&amp;$AA$18&amp;",3)")</f>
        <v/>
      </c>
      <c r="T882" s="282" t="str" cm="1">
        <f t="array" ref="T882">_xll.FDSB($C882,"CS_EVENT_DESC_N("&amp;$AA$18&amp;",3)")</f>
        <v/>
      </c>
      <c r="U882" s="282"/>
      <c r="V882" s="274" t="str" cm="1">
        <f t="array" ref="V882">_xll.FDSB($C882,"CS_EVENT_DATEJ_N("&amp;$AA$18&amp;",4)")</f>
        <v/>
      </c>
      <c r="W882" s="282" t="str" cm="1">
        <f t="array" ref="W882">_xll.FDSB($C882,"CS_EVENT_TIME_N("&amp;$AA$18&amp;",4)")</f>
        <v/>
      </c>
      <c r="X882" s="282" t="str" cm="1">
        <f t="array" ref="X882">_xll.FDSB($C882,"CS_EVENT_DESC_N("&amp;$AA$18&amp;",4)")</f>
        <v/>
      </c>
    </row>
    <row r="883" spans="2:24" x14ac:dyDescent="0.15">
      <c r="B883" s="298">
        <f t="shared" si="15"/>
        <v>868</v>
      </c>
      <c r="C883" s="299"/>
      <c r="D883" s="300" t="str" cm="1">
        <f t="array" ref="D883">_xll.FDSB($C883,"FG_COMPANY_NAME")</f>
        <v/>
      </c>
      <c r="E883" s="300"/>
      <c r="F883" s="274" t="str" cm="1">
        <f t="array" ref="F883">_xll.FDSB($C883,"CS_EVENT_DATEJ_N("&amp;$AA$18&amp;",1)")</f>
        <v/>
      </c>
      <c r="G883" s="282" t="str" cm="1">
        <f t="array" ref="G883">_xll.FDSB($C883,"CS_EVENT_TIME_N("&amp;$AA$18&amp;",1)")</f>
        <v/>
      </c>
      <c r="H883" s="282" t="str" cm="1">
        <f t="array" ref="H883">_xll.FDSB($C883,"CS_EVENT_DESC_N("&amp;$AA$18&amp;",1)")</f>
        <v/>
      </c>
      <c r="I883" s="282"/>
      <c r="J883" s="274" t="str" cm="1">
        <f t="array" ref="J883">_xll.FDSB($C883,"CS_EVENT_DATEJ_N("&amp;$AB$18&amp;",1)")</f>
        <v/>
      </c>
      <c r="K883" s="282" t="str" cm="1">
        <f t="array" ref="K883">_xll.FDSB($C883,"CS_EVENT_TIME_N("&amp;$AB$18&amp;",1)")</f>
        <v/>
      </c>
      <c r="L883" s="282" t="str" cm="1">
        <f t="array" ref="L883">_xll.FDSB($C883,"CS_EVENT_DESC_N("&amp;$AB$18&amp;",1)")</f>
        <v/>
      </c>
      <c r="M883" s="300"/>
      <c r="N883" s="274" t="str" cm="1">
        <f t="array" ref="N883">_xll.FDSB($C883,"CS_EVENT_DATEJ_N("&amp;$AA$18&amp;",2)")</f>
        <v/>
      </c>
      <c r="O883" s="282" t="str" cm="1">
        <f t="array" ref="O883">_xll.FDSB($C883,"CS_EVENT_TIME_N("&amp;$AA$18&amp;",2)")</f>
        <v/>
      </c>
      <c r="P883" s="282" t="str" cm="1">
        <f t="array" ref="P883">_xll.FDSB($C883,"CS_EVENT_DESC_N("&amp;$AA$18&amp;",2)")</f>
        <v/>
      </c>
      <c r="Q883" s="282"/>
      <c r="R883" s="274" t="str" cm="1">
        <f t="array" ref="R883">_xll.FDSB($C883,"CS_EVENT_DATEJ_N("&amp;$AA$18&amp;",3)")</f>
        <v/>
      </c>
      <c r="S883" s="282" t="str" cm="1">
        <f t="array" ref="S883">_xll.FDSB($C883,"CS_EVENT_TIME_N("&amp;$AA$18&amp;",3)")</f>
        <v/>
      </c>
      <c r="T883" s="282" t="str" cm="1">
        <f t="array" ref="T883">_xll.FDSB($C883,"CS_EVENT_DESC_N("&amp;$AA$18&amp;",3)")</f>
        <v/>
      </c>
      <c r="U883" s="282"/>
      <c r="V883" s="274" t="str" cm="1">
        <f t="array" ref="V883">_xll.FDSB($C883,"CS_EVENT_DATEJ_N("&amp;$AA$18&amp;",4)")</f>
        <v/>
      </c>
      <c r="W883" s="282" t="str" cm="1">
        <f t="array" ref="W883">_xll.FDSB($C883,"CS_EVENT_TIME_N("&amp;$AA$18&amp;",4)")</f>
        <v/>
      </c>
      <c r="X883" s="282" t="str" cm="1">
        <f t="array" ref="X883">_xll.FDSB($C883,"CS_EVENT_DESC_N("&amp;$AA$18&amp;",4)")</f>
        <v/>
      </c>
    </row>
    <row r="884" spans="2:24" x14ac:dyDescent="0.15">
      <c r="B884" s="298">
        <f t="shared" si="15"/>
        <v>869</v>
      </c>
      <c r="C884" s="299"/>
      <c r="D884" s="300" t="str" cm="1">
        <f t="array" ref="D884">_xll.FDSB($C884,"FG_COMPANY_NAME")</f>
        <v/>
      </c>
      <c r="E884" s="300"/>
      <c r="F884" s="274" t="str" cm="1">
        <f t="array" ref="F884">_xll.FDSB($C884,"CS_EVENT_DATEJ_N("&amp;$AA$18&amp;",1)")</f>
        <v/>
      </c>
      <c r="G884" s="282" t="str" cm="1">
        <f t="array" ref="G884">_xll.FDSB($C884,"CS_EVENT_TIME_N("&amp;$AA$18&amp;",1)")</f>
        <v/>
      </c>
      <c r="H884" s="282" t="str" cm="1">
        <f t="array" ref="H884">_xll.FDSB($C884,"CS_EVENT_DESC_N("&amp;$AA$18&amp;",1)")</f>
        <v/>
      </c>
      <c r="I884" s="282"/>
      <c r="J884" s="274" t="str" cm="1">
        <f t="array" ref="J884">_xll.FDSB($C884,"CS_EVENT_DATEJ_N("&amp;$AB$18&amp;",1)")</f>
        <v/>
      </c>
      <c r="K884" s="282" t="str" cm="1">
        <f t="array" ref="K884">_xll.FDSB($C884,"CS_EVENT_TIME_N("&amp;$AB$18&amp;",1)")</f>
        <v/>
      </c>
      <c r="L884" s="282" t="str" cm="1">
        <f t="array" ref="L884">_xll.FDSB($C884,"CS_EVENT_DESC_N("&amp;$AB$18&amp;",1)")</f>
        <v/>
      </c>
      <c r="M884" s="300"/>
      <c r="N884" s="274" t="str" cm="1">
        <f t="array" ref="N884">_xll.FDSB($C884,"CS_EVENT_DATEJ_N("&amp;$AA$18&amp;",2)")</f>
        <v/>
      </c>
      <c r="O884" s="282" t="str" cm="1">
        <f t="array" ref="O884">_xll.FDSB($C884,"CS_EVENT_TIME_N("&amp;$AA$18&amp;",2)")</f>
        <v/>
      </c>
      <c r="P884" s="282" t="str" cm="1">
        <f t="array" ref="P884">_xll.FDSB($C884,"CS_EVENT_DESC_N("&amp;$AA$18&amp;",2)")</f>
        <v/>
      </c>
      <c r="Q884" s="282"/>
      <c r="R884" s="274" t="str" cm="1">
        <f t="array" ref="R884">_xll.FDSB($C884,"CS_EVENT_DATEJ_N("&amp;$AA$18&amp;",3)")</f>
        <v/>
      </c>
      <c r="S884" s="282" t="str" cm="1">
        <f t="array" ref="S884">_xll.FDSB($C884,"CS_EVENT_TIME_N("&amp;$AA$18&amp;",3)")</f>
        <v/>
      </c>
      <c r="T884" s="282" t="str" cm="1">
        <f t="array" ref="T884">_xll.FDSB($C884,"CS_EVENT_DESC_N("&amp;$AA$18&amp;",3)")</f>
        <v/>
      </c>
      <c r="U884" s="282"/>
      <c r="V884" s="274" t="str" cm="1">
        <f t="array" ref="V884">_xll.FDSB($C884,"CS_EVENT_DATEJ_N("&amp;$AA$18&amp;",4)")</f>
        <v/>
      </c>
      <c r="W884" s="282" t="str" cm="1">
        <f t="array" ref="W884">_xll.FDSB($C884,"CS_EVENT_TIME_N("&amp;$AA$18&amp;",4)")</f>
        <v/>
      </c>
      <c r="X884" s="282" t="str" cm="1">
        <f t="array" ref="X884">_xll.FDSB($C884,"CS_EVENT_DESC_N("&amp;$AA$18&amp;",4)")</f>
        <v/>
      </c>
    </row>
    <row r="885" spans="2:24" x14ac:dyDescent="0.15">
      <c r="B885" s="298">
        <f t="shared" si="15"/>
        <v>870</v>
      </c>
      <c r="C885" s="299"/>
      <c r="D885" s="300" t="str" cm="1">
        <f t="array" ref="D885">_xll.FDSB($C885,"FG_COMPANY_NAME")</f>
        <v/>
      </c>
      <c r="E885" s="300"/>
      <c r="F885" s="274" t="str" cm="1">
        <f t="array" ref="F885">_xll.FDSB($C885,"CS_EVENT_DATEJ_N("&amp;$AA$18&amp;",1)")</f>
        <v/>
      </c>
      <c r="G885" s="282" t="str" cm="1">
        <f t="array" ref="G885">_xll.FDSB($C885,"CS_EVENT_TIME_N("&amp;$AA$18&amp;",1)")</f>
        <v/>
      </c>
      <c r="H885" s="282" t="str" cm="1">
        <f t="array" ref="H885">_xll.FDSB($C885,"CS_EVENT_DESC_N("&amp;$AA$18&amp;",1)")</f>
        <v/>
      </c>
      <c r="I885" s="282"/>
      <c r="J885" s="274" t="str" cm="1">
        <f t="array" ref="J885">_xll.FDSB($C885,"CS_EVENT_DATEJ_N("&amp;$AB$18&amp;",1)")</f>
        <v/>
      </c>
      <c r="K885" s="282" t="str" cm="1">
        <f t="array" ref="K885">_xll.FDSB($C885,"CS_EVENT_TIME_N("&amp;$AB$18&amp;",1)")</f>
        <v/>
      </c>
      <c r="L885" s="282" t="str" cm="1">
        <f t="array" ref="L885">_xll.FDSB($C885,"CS_EVENT_DESC_N("&amp;$AB$18&amp;",1)")</f>
        <v/>
      </c>
      <c r="M885" s="300"/>
      <c r="N885" s="274" t="str" cm="1">
        <f t="array" ref="N885">_xll.FDSB($C885,"CS_EVENT_DATEJ_N("&amp;$AA$18&amp;",2)")</f>
        <v/>
      </c>
      <c r="O885" s="282" t="str" cm="1">
        <f t="array" ref="O885">_xll.FDSB($C885,"CS_EVENT_TIME_N("&amp;$AA$18&amp;",2)")</f>
        <v/>
      </c>
      <c r="P885" s="282" t="str" cm="1">
        <f t="array" ref="P885">_xll.FDSB($C885,"CS_EVENT_DESC_N("&amp;$AA$18&amp;",2)")</f>
        <v/>
      </c>
      <c r="Q885" s="282"/>
      <c r="R885" s="274" t="str" cm="1">
        <f t="array" ref="R885">_xll.FDSB($C885,"CS_EVENT_DATEJ_N("&amp;$AA$18&amp;",3)")</f>
        <v/>
      </c>
      <c r="S885" s="282" t="str" cm="1">
        <f t="array" ref="S885">_xll.FDSB($C885,"CS_EVENT_TIME_N("&amp;$AA$18&amp;",3)")</f>
        <v/>
      </c>
      <c r="T885" s="282" t="str" cm="1">
        <f t="array" ref="T885">_xll.FDSB($C885,"CS_EVENT_DESC_N("&amp;$AA$18&amp;",3)")</f>
        <v/>
      </c>
      <c r="U885" s="282"/>
      <c r="V885" s="274" t="str" cm="1">
        <f t="array" ref="V885">_xll.FDSB($C885,"CS_EVENT_DATEJ_N("&amp;$AA$18&amp;",4)")</f>
        <v/>
      </c>
      <c r="W885" s="282" t="str" cm="1">
        <f t="array" ref="W885">_xll.FDSB($C885,"CS_EVENT_TIME_N("&amp;$AA$18&amp;",4)")</f>
        <v/>
      </c>
      <c r="X885" s="282" t="str" cm="1">
        <f t="array" ref="X885">_xll.FDSB($C885,"CS_EVENT_DESC_N("&amp;$AA$18&amp;",4)")</f>
        <v/>
      </c>
    </row>
    <row r="886" spans="2:24" x14ac:dyDescent="0.15">
      <c r="B886" s="298">
        <f t="shared" si="15"/>
        <v>871</v>
      </c>
      <c r="C886" s="299"/>
      <c r="D886" s="300" t="str" cm="1">
        <f t="array" ref="D886">_xll.FDSB($C886,"FG_COMPANY_NAME")</f>
        <v/>
      </c>
      <c r="E886" s="300"/>
      <c r="F886" s="274" t="str" cm="1">
        <f t="array" ref="F886">_xll.FDSB($C886,"CS_EVENT_DATEJ_N("&amp;$AA$18&amp;",1)")</f>
        <v/>
      </c>
      <c r="G886" s="282" t="str" cm="1">
        <f t="array" ref="G886">_xll.FDSB($C886,"CS_EVENT_TIME_N("&amp;$AA$18&amp;",1)")</f>
        <v/>
      </c>
      <c r="H886" s="282" t="str" cm="1">
        <f t="array" ref="H886">_xll.FDSB($C886,"CS_EVENT_DESC_N("&amp;$AA$18&amp;",1)")</f>
        <v/>
      </c>
      <c r="I886" s="282"/>
      <c r="J886" s="274" t="str" cm="1">
        <f t="array" ref="J886">_xll.FDSB($C886,"CS_EVENT_DATEJ_N("&amp;$AB$18&amp;",1)")</f>
        <v/>
      </c>
      <c r="K886" s="282" t="str" cm="1">
        <f t="array" ref="K886">_xll.FDSB($C886,"CS_EVENT_TIME_N("&amp;$AB$18&amp;",1)")</f>
        <v/>
      </c>
      <c r="L886" s="282" t="str" cm="1">
        <f t="array" ref="L886">_xll.FDSB($C886,"CS_EVENT_DESC_N("&amp;$AB$18&amp;",1)")</f>
        <v/>
      </c>
      <c r="M886" s="300"/>
      <c r="N886" s="274" t="str" cm="1">
        <f t="array" ref="N886">_xll.FDSB($C886,"CS_EVENT_DATEJ_N("&amp;$AA$18&amp;",2)")</f>
        <v/>
      </c>
      <c r="O886" s="282" t="str" cm="1">
        <f t="array" ref="O886">_xll.FDSB($C886,"CS_EVENT_TIME_N("&amp;$AA$18&amp;",2)")</f>
        <v/>
      </c>
      <c r="P886" s="282" t="str" cm="1">
        <f t="array" ref="P886">_xll.FDSB($C886,"CS_EVENT_DESC_N("&amp;$AA$18&amp;",2)")</f>
        <v/>
      </c>
      <c r="Q886" s="282"/>
      <c r="R886" s="274" t="str" cm="1">
        <f t="array" ref="R886">_xll.FDSB($C886,"CS_EVENT_DATEJ_N("&amp;$AA$18&amp;",3)")</f>
        <v/>
      </c>
      <c r="S886" s="282" t="str" cm="1">
        <f t="array" ref="S886">_xll.FDSB($C886,"CS_EVENT_TIME_N("&amp;$AA$18&amp;",3)")</f>
        <v/>
      </c>
      <c r="T886" s="282" t="str" cm="1">
        <f t="array" ref="T886">_xll.FDSB($C886,"CS_EVENT_DESC_N("&amp;$AA$18&amp;",3)")</f>
        <v/>
      </c>
      <c r="U886" s="282"/>
      <c r="V886" s="274" t="str" cm="1">
        <f t="array" ref="V886">_xll.FDSB($C886,"CS_EVENT_DATEJ_N("&amp;$AA$18&amp;",4)")</f>
        <v/>
      </c>
      <c r="W886" s="282" t="str" cm="1">
        <f t="array" ref="W886">_xll.FDSB($C886,"CS_EVENT_TIME_N("&amp;$AA$18&amp;",4)")</f>
        <v/>
      </c>
      <c r="X886" s="282" t="str" cm="1">
        <f t="array" ref="X886">_xll.FDSB($C886,"CS_EVENT_DESC_N("&amp;$AA$18&amp;",4)")</f>
        <v/>
      </c>
    </row>
    <row r="887" spans="2:24" x14ac:dyDescent="0.15">
      <c r="B887" s="298">
        <f t="shared" si="15"/>
        <v>872</v>
      </c>
      <c r="C887" s="299"/>
      <c r="D887" s="300" t="str" cm="1">
        <f t="array" ref="D887">_xll.FDSB($C887,"FG_COMPANY_NAME")</f>
        <v/>
      </c>
      <c r="E887" s="300"/>
      <c r="F887" s="274" t="str" cm="1">
        <f t="array" ref="F887">_xll.FDSB($C887,"CS_EVENT_DATEJ_N("&amp;$AA$18&amp;",1)")</f>
        <v/>
      </c>
      <c r="G887" s="282" t="str" cm="1">
        <f t="array" ref="G887">_xll.FDSB($C887,"CS_EVENT_TIME_N("&amp;$AA$18&amp;",1)")</f>
        <v/>
      </c>
      <c r="H887" s="282" t="str" cm="1">
        <f t="array" ref="H887">_xll.FDSB($C887,"CS_EVENT_DESC_N("&amp;$AA$18&amp;",1)")</f>
        <v/>
      </c>
      <c r="I887" s="282"/>
      <c r="J887" s="274" t="str" cm="1">
        <f t="array" ref="J887">_xll.FDSB($C887,"CS_EVENT_DATEJ_N("&amp;$AB$18&amp;",1)")</f>
        <v/>
      </c>
      <c r="K887" s="282" t="str" cm="1">
        <f t="array" ref="K887">_xll.FDSB($C887,"CS_EVENT_TIME_N("&amp;$AB$18&amp;",1)")</f>
        <v/>
      </c>
      <c r="L887" s="282" t="str" cm="1">
        <f t="array" ref="L887">_xll.FDSB($C887,"CS_EVENT_DESC_N("&amp;$AB$18&amp;",1)")</f>
        <v/>
      </c>
      <c r="M887" s="300"/>
      <c r="N887" s="274" t="str" cm="1">
        <f t="array" ref="N887">_xll.FDSB($C887,"CS_EVENT_DATEJ_N("&amp;$AA$18&amp;",2)")</f>
        <v/>
      </c>
      <c r="O887" s="282" t="str" cm="1">
        <f t="array" ref="O887">_xll.FDSB($C887,"CS_EVENT_TIME_N("&amp;$AA$18&amp;",2)")</f>
        <v/>
      </c>
      <c r="P887" s="282" t="str" cm="1">
        <f t="array" ref="P887">_xll.FDSB($C887,"CS_EVENT_DESC_N("&amp;$AA$18&amp;",2)")</f>
        <v/>
      </c>
      <c r="Q887" s="282"/>
      <c r="R887" s="274" t="str" cm="1">
        <f t="array" ref="R887">_xll.FDSB($C887,"CS_EVENT_DATEJ_N("&amp;$AA$18&amp;",3)")</f>
        <v/>
      </c>
      <c r="S887" s="282" t="str" cm="1">
        <f t="array" ref="S887">_xll.FDSB($C887,"CS_EVENT_TIME_N("&amp;$AA$18&amp;",3)")</f>
        <v/>
      </c>
      <c r="T887" s="282" t="str" cm="1">
        <f t="array" ref="T887">_xll.FDSB($C887,"CS_EVENT_DESC_N("&amp;$AA$18&amp;",3)")</f>
        <v/>
      </c>
      <c r="U887" s="282"/>
      <c r="V887" s="274" t="str" cm="1">
        <f t="array" ref="V887">_xll.FDSB($C887,"CS_EVENT_DATEJ_N("&amp;$AA$18&amp;",4)")</f>
        <v/>
      </c>
      <c r="W887" s="282" t="str" cm="1">
        <f t="array" ref="W887">_xll.FDSB($C887,"CS_EVENT_TIME_N("&amp;$AA$18&amp;",4)")</f>
        <v/>
      </c>
      <c r="X887" s="282" t="str" cm="1">
        <f t="array" ref="X887">_xll.FDSB($C887,"CS_EVENT_DESC_N("&amp;$AA$18&amp;",4)")</f>
        <v/>
      </c>
    </row>
    <row r="888" spans="2:24" x14ac:dyDescent="0.15">
      <c r="B888" s="298">
        <f t="shared" si="15"/>
        <v>873</v>
      </c>
      <c r="C888" s="299"/>
      <c r="D888" s="300" t="str" cm="1">
        <f t="array" ref="D888">_xll.FDSB($C888,"FG_COMPANY_NAME")</f>
        <v/>
      </c>
      <c r="E888" s="300"/>
      <c r="F888" s="274" t="str" cm="1">
        <f t="array" ref="F888">_xll.FDSB($C888,"CS_EVENT_DATEJ_N("&amp;$AA$18&amp;",1)")</f>
        <v/>
      </c>
      <c r="G888" s="282" t="str" cm="1">
        <f t="array" ref="G888">_xll.FDSB($C888,"CS_EVENT_TIME_N("&amp;$AA$18&amp;",1)")</f>
        <v/>
      </c>
      <c r="H888" s="282" t="str" cm="1">
        <f t="array" ref="H888">_xll.FDSB($C888,"CS_EVENT_DESC_N("&amp;$AA$18&amp;",1)")</f>
        <v/>
      </c>
      <c r="I888" s="282"/>
      <c r="J888" s="274" t="str" cm="1">
        <f t="array" ref="J888">_xll.FDSB($C888,"CS_EVENT_DATEJ_N("&amp;$AB$18&amp;",1)")</f>
        <v/>
      </c>
      <c r="K888" s="282" t="str" cm="1">
        <f t="array" ref="K888">_xll.FDSB($C888,"CS_EVENT_TIME_N("&amp;$AB$18&amp;",1)")</f>
        <v/>
      </c>
      <c r="L888" s="282" t="str" cm="1">
        <f t="array" ref="L888">_xll.FDSB($C888,"CS_EVENT_DESC_N("&amp;$AB$18&amp;",1)")</f>
        <v/>
      </c>
      <c r="M888" s="300"/>
      <c r="N888" s="274" t="str" cm="1">
        <f t="array" ref="N888">_xll.FDSB($C888,"CS_EVENT_DATEJ_N("&amp;$AA$18&amp;",2)")</f>
        <v/>
      </c>
      <c r="O888" s="282" t="str" cm="1">
        <f t="array" ref="O888">_xll.FDSB($C888,"CS_EVENT_TIME_N("&amp;$AA$18&amp;",2)")</f>
        <v/>
      </c>
      <c r="P888" s="282" t="str" cm="1">
        <f t="array" ref="P888">_xll.FDSB($C888,"CS_EVENT_DESC_N("&amp;$AA$18&amp;",2)")</f>
        <v/>
      </c>
      <c r="Q888" s="282"/>
      <c r="R888" s="274" t="str" cm="1">
        <f t="array" ref="R888">_xll.FDSB($C888,"CS_EVENT_DATEJ_N("&amp;$AA$18&amp;",3)")</f>
        <v/>
      </c>
      <c r="S888" s="282" t="str" cm="1">
        <f t="array" ref="S888">_xll.FDSB($C888,"CS_EVENT_TIME_N("&amp;$AA$18&amp;",3)")</f>
        <v/>
      </c>
      <c r="T888" s="282" t="str" cm="1">
        <f t="array" ref="T888">_xll.FDSB($C888,"CS_EVENT_DESC_N("&amp;$AA$18&amp;",3)")</f>
        <v/>
      </c>
      <c r="U888" s="282"/>
      <c r="V888" s="274" t="str" cm="1">
        <f t="array" ref="V888">_xll.FDSB($C888,"CS_EVENT_DATEJ_N("&amp;$AA$18&amp;",4)")</f>
        <v/>
      </c>
      <c r="W888" s="282" t="str" cm="1">
        <f t="array" ref="W888">_xll.FDSB($C888,"CS_EVENT_TIME_N("&amp;$AA$18&amp;",4)")</f>
        <v/>
      </c>
      <c r="X888" s="282" t="str" cm="1">
        <f t="array" ref="X888">_xll.FDSB($C888,"CS_EVENT_DESC_N("&amp;$AA$18&amp;",4)")</f>
        <v/>
      </c>
    </row>
    <row r="889" spans="2:24" x14ac:dyDescent="0.15">
      <c r="B889" s="298">
        <f t="shared" si="15"/>
        <v>874</v>
      </c>
      <c r="C889" s="299"/>
      <c r="D889" s="300" t="str" cm="1">
        <f t="array" ref="D889">_xll.FDSB($C889,"FG_COMPANY_NAME")</f>
        <v/>
      </c>
      <c r="E889" s="300"/>
      <c r="F889" s="274" t="str" cm="1">
        <f t="array" ref="F889">_xll.FDSB($C889,"CS_EVENT_DATEJ_N("&amp;$AA$18&amp;",1)")</f>
        <v/>
      </c>
      <c r="G889" s="282" t="str" cm="1">
        <f t="array" ref="G889">_xll.FDSB($C889,"CS_EVENT_TIME_N("&amp;$AA$18&amp;",1)")</f>
        <v/>
      </c>
      <c r="H889" s="282" t="str" cm="1">
        <f t="array" ref="H889">_xll.FDSB($C889,"CS_EVENT_DESC_N("&amp;$AA$18&amp;",1)")</f>
        <v/>
      </c>
      <c r="I889" s="282"/>
      <c r="J889" s="274" t="str" cm="1">
        <f t="array" ref="J889">_xll.FDSB($C889,"CS_EVENT_DATEJ_N("&amp;$AB$18&amp;",1)")</f>
        <v/>
      </c>
      <c r="K889" s="282" t="str" cm="1">
        <f t="array" ref="K889">_xll.FDSB($C889,"CS_EVENT_TIME_N("&amp;$AB$18&amp;",1)")</f>
        <v/>
      </c>
      <c r="L889" s="282" t="str" cm="1">
        <f t="array" ref="L889">_xll.FDSB($C889,"CS_EVENT_DESC_N("&amp;$AB$18&amp;",1)")</f>
        <v/>
      </c>
      <c r="M889" s="300"/>
      <c r="N889" s="274" t="str" cm="1">
        <f t="array" ref="N889">_xll.FDSB($C889,"CS_EVENT_DATEJ_N("&amp;$AA$18&amp;",2)")</f>
        <v/>
      </c>
      <c r="O889" s="282" t="str" cm="1">
        <f t="array" ref="O889">_xll.FDSB($C889,"CS_EVENT_TIME_N("&amp;$AA$18&amp;",2)")</f>
        <v/>
      </c>
      <c r="P889" s="282" t="str" cm="1">
        <f t="array" ref="P889">_xll.FDSB($C889,"CS_EVENT_DESC_N("&amp;$AA$18&amp;",2)")</f>
        <v/>
      </c>
      <c r="Q889" s="282"/>
      <c r="R889" s="274" t="str" cm="1">
        <f t="array" ref="R889">_xll.FDSB($C889,"CS_EVENT_DATEJ_N("&amp;$AA$18&amp;",3)")</f>
        <v/>
      </c>
      <c r="S889" s="282" t="str" cm="1">
        <f t="array" ref="S889">_xll.FDSB($C889,"CS_EVENT_TIME_N("&amp;$AA$18&amp;",3)")</f>
        <v/>
      </c>
      <c r="T889" s="282" t="str" cm="1">
        <f t="array" ref="T889">_xll.FDSB($C889,"CS_EVENT_DESC_N("&amp;$AA$18&amp;",3)")</f>
        <v/>
      </c>
      <c r="U889" s="282"/>
      <c r="V889" s="274" t="str" cm="1">
        <f t="array" ref="V889">_xll.FDSB($C889,"CS_EVENT_DATEJ_N("&amp;$AA$18&amp;",4)")</f>
        <v/>
      </c>
      <c r="W889" s="282" t="str" cm="1">
        <f t="array" ref="W889">_xll.FDSB($C889,"CS_EVENT_TIME_N("&amp;$AA$18&amp;",4)")</f>
        <v/>
      </c>
      <c r="X889" s="282" t="str" cm="1">
        <f t="array" ref="X889">_xll.FDSB($C889,"CS_EVENT_DESC_N("&amp;$AA$18&amp;",4)")</f>
        <v/>
      </c>
    </row>
    <row r="890" spans="2:24" x14ac:dyDescent="0.15">
      <c r="B890" s="298">
        <f t="shared" si="15"/>
        <v>875</v>
      </c>
      <c r="C890" s="299"/>
      <c r="D890" s="300" t="str" cm="1">
        <f t="array" ref="D890">_xll.FDSB($C890,"FG_COMPANY_NAME")</f>
        <v/>
      </c>
      <c r="E890" s="300"/>
      <c r="F890" s="274" t="str" cm="1">
        <f t="array" ref="F890">_xll.FDSB($C890,"CS_EVENT_DATEJ_N("&amp;$AA$18&amp;",1)")</f>
        <v/>
      </c>
      <c r="G890" s="282" t="str" cm="1">
        <f t="array" ref="G890">_xll.FDSB($C890,"CS_EVENT_TIME_N("&amp;$AA$18&amp;",1)")</f>
        <v/>
      </c>
      <c r="H890" s="282" t="str" cm="1">
        <f t="array" ref="H890">_xll.FDSB($C890,"CS_EVENT_DESC_N("&amp;$AA$18&amp;",1)")</f>
        <v/>
      </c>
      <c r="I890" s="282"/>
      <c r="J890" s="274" t="str" cm="1">
        <f t="array" ref="J890">_xll.FDSB($C890,"CS_EVENT_DATEJ_N("&amp;$AB$18&amp;",1)")</f>
        <v/>
      </c>
      <c r="K890" s="282" t="str" cm="1">
        <f t="array" ref="K890">_xll.FDSB($C890,"CS_EVENT_TIME_N("&amp;$AB$18&amp;",1)")</f>
        <v/>
      </c>
      <c r="L890" s="282" t="str" cm="1">
        <f t="array" ref="L890">_xll.FDSB($C890,"CS_EVENT_DESC_N("&amp;$AB$18&amp;",1)")</f>
        <v/>
      </c>
      <c r="M890" s="300"/>
      <c r="N890" s="274" t="str" cm="1">
        <f t="array" ref="N890">_xll.FDSB($C890,"CS_EVENT_DATEJ_N("&amp;$AA$18&amp;",2)")</f>
        <v/>
      </c>
      <c r="O890" s="282" t="str" cm="1">
        <f t="array" ref="O890">_xll.FDSB($C890,"CS_EVENT_TIME_N("&amp;$AA$18&amp;",2)")</f>
        <v/>
      </c>
      <c r="P890" s="282" t="str" cm="1">
        <f t="array" ref="P890">_xll.FDSB($C890,"CS_EVENT_DESC_N("&amp;$AA$18&amp;",2)")</f>
        <v/>
      </c>
      <c r="Q890" s="282"/>
      <c r="R890" s="274" t="str" cm="1">
        <f t="array" ref="R890">_xll.FDSB($C890,"CS_EVENT_DATEJ_N("&amp;$AA$18&amp;",3)")</f>
        <v/>
      </c>
      <c r="S890" s="282" t="str" cm="1">
        <f t="array" ref="S890">_xll.FDSB($C890,"CS_EVENT_TIME_N("&amp;$AA$18&amp;",3)")</f>
        <v/>
      </c>
      <c r="T890" s="282" t="str" cm="1">
        <f t="array" ref="T890">_xll.FDSB($C890,"CS_EVENT_DESC_N("&amp;$AA$18&amp;",3)")</f>
        <v/>
      </c>
      <c r="U890" s="282"/>
      <c r="V890" s="274" t="str" cm="1">
        <f t="array" ref="V890">_xll.FDSB($C890,"CS_EVENT_DATEJ_N("&amp;$AA$18&amp;",4)")</f>
        <v/>
      </c>
      <c r="W890" s="282" t="str" cm="1">
        <f t="array" ref="W890">_xll.FDSB($C890,"CS_EVENT_TIME_N("&amp;$AA$18&amp;",4)")</f>
        <v/>
      </c>
      <c r="X890" s="282" t="str" cm="1">
        <f t="array" ref="X890">_xll.FDSB($C890,"CS_EVENT_DESC_N("&amp;$AA$18&amp;",4)")</f>
        <v/>
      </c>
    </row>
    <row r="891" spans="2:24" x14ac:dyDescent="0.15">
      <c r="B891" s="298">
        <f t="shared" si="15"/>
        <v>876</v>
      </c>
      <c r="C891" s="299"/>
      <c r="D891" s="300" t="str" cm="1">
        <f t="array" ref="D891">_xll.FDSB($C891,"FG_COMPANY_NAME")</f>
        <v/>
      </c>
      <c r="E891" s="300"/>
      <c r="F891" s="274" t="str" cm="1">
        <f t="array" ref="F891">_xll.FDSB($C891,"CS_EVENT_DATEJ_N("&amp;$AA$18&amp;",1)")</f>
        <v/>
      </c>
      <c r="G891" s="282" t="str" cm="1">
        <f t="array" ref="G891">_xll.FDSB($C891,"CS_EVENT_TIME_N("&amp;$AA$18&amp;",1)")</f>
        <v/>
      </c>
      <c r="H891" s="282" t="str" cm="1">
        <f t="array" ref="H891">_xll.FDSB($C891,"CS_EVENT_DESC_N("&amp;$AA$18&amp;",1)")</f>
        <v/>
      </c>
      <c r="I891" s="282"/>
      <c r="J891" s="274" t="str" cm="1">
        <f t="array" ref="J891">_xll.FDSB($C891,"CS_EVENT_DATEJ_N("&amp;$AB$18&amp;",1)")</f>
        <v/>
      </c>
      <c r="K891" s="282" t="str" cm="1">
        <f t="array" ref="K891">_xll.FDSB($C891,"CS_EVENT_TIME_N("&amp;$AB$18&amp;",1)")</f>
        <v/>
      </c>
      <c r="L891" s="282" t="str" cm="1">
        <f t="array" ref="L891">_xll.FDSB($C891,"CS_EVENT_DESC_N("&amp;$AB$18&amp;",1)")</f>
        <v/>
      </c>
      <c r="M891" s="300"/>
      <c r="N891" s="274" t="str" cm="1">
        <f t="array" ref="N891">_xll.FDSB($C891,"CS_EVENT_DATEJ_N("&amp;$AA$18&amp;",2)")</f>
        <v/>
      </c>
      <c r="O891" s="282" t="str" cm="1">
        <f t="array" ref="O891">_xll.FDSB($C891,"CS_EVENT_TIME_N("&amp;$AA$18&amp;",2)")</f>
        <v/>
      </c>
      <c r="P891" s="282" t="str" cm="1">
        <f t="array" ref="P891">_xll.FDSB($C891,"CS_EVENT_DESC_N("&amp;$AA$18&amp;",2)")</f>
        <v/>
      </c>
      <c r="Q891" s="282"/>
      <c r="R891" s="274" t="str" cm="1">
        <f t="array" ref="R891">_xll.FDSB($C891,"CS_EVENT_DATEJ_N("&amp;$AA$18&amp;",3)")</f>
        <v/>
      </c>
      <c r="S891" s="282" t="str" cm="1">
        <f t="array" ref="S891">_xll.FDSB($C891,"CS_EVENT_TIME_N("&amp;$AA$18&amp;",3)")</f>
        <v/>
      </c>
      <c r="T891" s="282" t="str" cm="1">
        <f t="array" ref="T891">_xll.FDSB($C891,"CS_EVENT_DESC_N("&amp;$AA$18&amp;",3)")</f>
        <v/>
      </c>
      <c r="U891" s="282"/>
      <c r="V891" s="274" t="str" cm="1">
        <f t="array" ref="V891">_xll.FDSB($C891,"CS_EVENT_DATEJ_N("&amp;$AA$18&amp;",4)")</f>
        <v/>
      </c>
      <c r="W891" s="282" t="str" cm="1">
        <f t="array" ref="W891">_xll.FDSB($C891,"CS_EVENT_TIME_N("&amp;$AA$18&amp;",4)")</f>
        <v/>
      </c>
      <c r="X891" s="282" t="str" cm="1">
        <f t="array" ref="X891">_xll.FDSB($C891,"CS_EVENT_DESC_N("&amp;$AA$18&amp;",4)")</f>
        <v/>
      </c>
    </row>
    <row r="892" spans="2:24" x14ac:dyDescent="0.15">
      <c r="B892" s="298">
        <f t="shared" si="15"/>
        <v>877</v>
      </c>
      <c r="C892" s="299"/>
      <c r="D892" s="300" t="str" cm="1">
        <f t="array" ref="D892">_xll.FDSB($C892,"FG_COMPANY_NAME")</f>
        <v/>
      </c>
      <c r="E892" s="300"/>
      <c r="F892" s="274" t="str" cm="1">
        <f t="array" ref="F892">_xll.FDSB($C892,"CS_EVENT_DATEJ_N("&amp;$AA$18&amp;",1)")</f>
        <v/>
      </c>
      <c r="G892" s="282" t="str" cm="1">
        <f t="array" ref="G892">_xll.FDSB($C892,"CS_EVENT_TIME_N("&amp;$AA$18&amp;",1)")</f>
        <v/>
      </c>
      <c r="H892" s="282" t="str" cm="1">
        <f t="array" ref="H892">_xll.FDSB($C892,"CS_EVENT_DESC_N("&amp;$AA$18&amp;",1)")</f>
        <v/>
      </c>
      <c r="I892" s="282"/>
      <c r="J892" s="274" t="str" cm="1">
        <f t="array" ref="J892">_xll.FDSB($C892,"CS_EVENT_DATEJ_N("&amp;$AB$18&amp;",1)")</f>
        <v/>
      </c>
      <c r="K892" s="282" t="str" cm="1">
        <f t="array" ref="K892">_xll.FDSB($C892,"CS_EVENT_TIME_N("&amp;$AB$18&amp;",1)")</f>
        <v/>
      </c>
      <c r="L892" s="282" t="str" cm="1">
        <f t="array" ref="L892">_xll.FDSB($C892,"CS_EVENT_DESC_N("&amp;$AB$18&amp;",1)")</f>
        <v/>
      </c>
      <c r="M892" s="300"/>
      <c r="N892" s="274" t="str" cm="1">
        <f t="array" ref="N892">_xll.FDSB($C892,"CS_EVENT_DATEJ_N("&amp;$AA$18&amp;",2)")</f>
        <v/>
      </c>
      <c r="O892" s="282" t="str" cm="1">
        <f t="array" ref="O892">_xll.FDSB($C892,"CS_EVENT_TIME_N("&amp;$AA$18&amp;",2)")</f>
        <v/>
      </c>
      <c r="P892" s="282" t="str" cm="1">
        <f t="array" ref="P892">_xll.FDSB($C892,"CS_EVENT_DESC_N("&amp;$AA$18&amp;",2)")</f>
        <v/>
      </c>
      <c r="Q892" s="282"/>
      <c r="R892" s="274" t="str" cm="1">
        <f t="array" ref="R892">_xll.FDSB($C892,"CS_EVENT_DATEJ_N("&amp;$AA$18&amp;",3)")</f>
        <v/>
      </c>
      <c r="S892" s="282" t="str" cm="1">
        <f t="array" ref="S892">_xll.FDSB($C892,"CS_EVENT_TIME_N("&amp;$AA$18&amp;",3)")</f>
        <v/>
      </c>
      <c r="T892" s="282" t="str" cm="1">
        <f t="array" ref="T892">_xll.FDSB($C892,"CS_EVENT_DESC_N("&amp;$AA$18&amp;",3)")</f>
        <v/>
      </c>
      <c r="U892" s="282"/>
      <c r="V892" s="274" t="str" cm="1">
        <f t="array" ref="V892">_xll.FDSB($C892,"CS_EVENT_DATEJ_N("&amp;$AA$18&amp;",4)")</f>
        <v/>
      </c>
      <c r="W892" s="282" t="str" cm="1">
        <f t="array" ref="W892">_xll.FDSB($C892,"CS_EVENT_TIME_N("&amp;$AA$18&amp;",4)")</f>
        <v/>
      </c>
      <c r="X892" s="282" t="str" cm="1">
        <f t="array" ref="X892">_xll.FDSB($C892,"CS_EVENT_DESC_N("&amp;$AA$18&amp;",4)")</f>
        <v/>
      </c>
    </row>
    <row r="893" spans="2:24" x14ac:dyDescent="0.15">
      <c r="B893" s="298">
        <f t="shared" si="15"/>
        <v>878</v>
      </c>
      <c r="C893" s="299"/>
      <c r="D893" s="300" t="str" cm="1">
        <f t="array" ref="D893">_xll.FDSB($C893,"FG_COMPANY_NAME")</f>
        <v/>
      </c>
      <c r="E893" s="300"/>
      <c r="F893" s="274" t="str" cm="1">
        <f t="array" ref="F893">_xll.FDSB($C893,"CS_EVENT_DATEJ_N("&amp;$AA$18&amp;",1)")</f>
        <v/>
      </c>
      <c r="G893" s="282" t="str" cm="1">
        <f t="array" ref="G893">_xll.FDSB($C893,"CS_EVENT_TIME_N("&amp;$AA$18&amp;",1)")</f>
        <v/>
      </c>
      <c r="H893" s="282" t="str" cm="1">
        <f t="array" ref="H893">_xll.FDSB($C893,"CS_EVENT_DESC_N("&amp;$AA$18&amp;",1)")</f>
        <v/>
      </c>
      <c r="I893" s="282"/>
      <c r="J893" s="274" t="str" cm="1">
        <f t="array" ref="J893">_xll.FDSB($C893,"CS_EVENT_DATEJ_N("&amp;$AB$18&amp;",1)")</f>
        <v/>
      </c>
      <c r="K893" s="282" t="str" cm="1">
        <f t="array" ref="K893">_xll.FDSB($C893,"CS_EVENT_TIME_N("&amp;$AB$18&amp;",1)")</f>
        <v/>
      </c>
      <c r="L893" s="282" t="str" cm="1">
        <f t="array" ref="L893">_xll.FDSB($C893,"CS_EVENT_DESC_N("&amp;$AB$18&amp;",1)")</f>
        <v/>
      </c>
      <c r="M893" s="300"/>
      <c r="N893" s="274" t="str" cm="1">
        <f t="array" ref="N893">_xll.FDSB($C893,"CS_EVENT_DATEJ_N("&amp;$AA$18&amp;",2)")</f>
        <v/>
      </c>
      <c r="O893" s="282" t="str" cm="1">
        <f t="array" ref="O893">_xll.FDSB($C893,"CS_EVENT_TIME_N("&amp;$AA$18&amp;",2)")</f>
        <v/>
      </c>
      <c r="P893" s="282" t="str" cm="1">
        <f t="array" ref="P893">_xll.FDSB($C893,"CS_EVENT_DESC_N("&amp;$AA$18&amp;",2)")</f>
        <v/>
      </c>
      <c r="Q893" s="282"/>
      <c r="R893" s="274" t="str" cm="1">
        <f t="array" ref="R893">_xll.FDSB($C893,"CS_EVENT_DATEJ_N("&amp;$AA$18&amp;",3)")</f>
        <v/>
      </c>
      <c r="S893" s="282" t="str" cm="1">
        <f t="array" ref="S893">_xll.FDSB($C893,"CS_EVENT_TIME_N("&amp;$AA$18&amp;",3)")</f>
        <v/>
      </c>
      <c r="T893" s="282" t="str" cm="1">
        <f t="array" ref="T893">_xll.FDSB($C893,"CS_EVENT_DESC_N("&amp;$AA$18&amp;",3)")</f>
        <v/>
      </c>
      <c r="U893" s="282"/>
      <c r="V893" s="274" t="str" cm="1">
        <f t="array" ref="V893">_xll.FDSB($C893,"CS_EVENT_DATEJ_N("&amp;$AA$18&amp;",4)")</f>
        <v/>
      </c>
      <c r="W893" s="282" t="str" cm="1">
        <f t="array" ref="W893">_xll.FDSB($C893,"CS_EVENT_TIME_N("&amp;$AA$18&amp;",4)")</f>
        <v/>
      </c>
      <c r="X893" s="282" t="str" cm="1">
        <f t="array" ref="X893">_xll.FDSB($C893,"CS_EVENT_DESC_N("&amp;$AA$18&amp;",4)")</f>
        <v/>
      </c>
    </row>
    <row r="894" spans="2:24" x14ac:dyDescent="0.15">
      <c r="B894" s="298">
        <f t="shared" si="15"/>
        <v>879</v>
      </c>
      <c r="C894" s="299"/>
      <c r="D894" s="300" t="str" cm="1">
        <f t="array" ref="D894">_xll.FDSB($C894,"FG_COMPANY_NAME")</f>
        <v/>
      </c>
      <c r="E894" s="300"/>
      <c r="F894" s="274" t="str" cm="1">
        <f t="array" ref="F894">_xll.FDSB($C894,"CS_EVENT_DATEJ_N("&amp;$AA$18&amp;",1)")</f>
        <v/>
      </c>
      <c r="G894" s="282" t="str" cm="1">
        <f t="array" ref="G894">_xll.FDSB($C894,"CS_EVENT_TIME_N("&amp;$AA$18&amp;",1)")</f>
        <v/>
      </c>
      <c r="H894" s="282" t="str" cm="1">
        <f t="array" ref="H894">_xll.FDSB($C894,"CS_EVENT_DESC_N("&amp;$AA$18&amp;",1)")</f>
        <v/>
      </c>
      <c r="I894" s="282"/>
      <c r="J894" s="274" t="str" cm="1">
        <f t="array" ref="J894">_xll.FDSB($C894,"CS_EVENT_DATEJ_N("&amp;$AB$18&amp;",1)")</f>
        <v/>
      </c>
      <c r="K894" s="282" t="str" cm="1">
        <f t="array" ref="K894">_xll.FDSB($C894,"CS_EVENT_TIME_N("&amp;$AB$18&amp;",1)")</f>
        <v/>
      </c>
      <c r="L894" s="282" t="str" cm="1">
        <f t="array" ref="L894">_xll.FDSB($C894,"CS_EVENT_DESC_N("&amp;$AB$18&amp;",1)")</f>
        <v/>
      </c>
      <c r="M894" s="300"/>
      <c r="N894" s="274" t="str" cm="1">
        <f t="array" ref="N894">_xll.FDSB($C894,"CS_EVENT_DATEJ_N("&amp;$AA$18&amp;",2)")</f>
        <v/>
      </c>
      <c r="O894" s="282" t="str" cm="1">
        <f t="array" ref="O894">_xll.FDSB($C894,"CS_EVENT_TIME_N("&amp;$AA$18&amp;",2)")</f>
        <v/>
      </c>
      <c r="P894" s="282" t="str" cm="1">
        <f t="array" ref="P894">_xll.FDSB($C894,"CS_EVENT_DESC_N("&amp;$AA$18&amp;",2)")</f>
        <v/>
      </c>
      <c r="Q894" s="282"/>
      <c r="R894" s="274" t="str" cm="1">
        <f t="array" ref="R894">_xll.FDSB($C894,"CS_EVENT_DATEJ_N("&amp;$AA$18&amp;",3)")</f>
        <v/>
      </c>
      <c r="S894" s="282" t="str" cm="1">
        <f t="array" ref="S894">_xll.FDSB($C894,"CS_EVENT_TIME_N("&amp;$AA$18&amp;",3)")</f>
        <v/>
      </c>
      <c r="T894" s="282" t="str" cm="1">
        <f t="array" ref="T894">_xll.FDSB($C894,"CS_EVENT_DESC_N("&amp;$AA$18&amp;",3)")</f>
        <v/>
      </c>
      <c r="U894" s="282"/>
      <c r="V894" s="274" t="str" cm="1">
        <f t="array" ref="V894">_xll.FDSB($C894,"CS_EVENT_DATEJ_N("&amp;$AA$18&amp;",4)")</f>
        <v/>
      </c>
      <c r="W894" s="282" t="str" cm="1">
        <f t="array" ref="W894">_xll.FDSB($C894,"CS_EVENT_TIME_N("&amp;$AA$18&amp;",4)")</f>
        <v/>
      </c>
      <c r="X894" s="282" t="str" cm="1">
        <f t="array" ref="X894">_xll.FDSB($C894,"CS_EVENT_DESC_N("&amp;$AA$18&amp;",4)")</f>
        <v/>
      </c>
    </row>
    <row r="895" spans="2:24" x14ac:dyDescent="0.15">
      <c r="B895" s="298">
        <f t="shared" si="15"/>
        <v>880</v>
      </c>
      <c r="C895" s="299"/>
      <c r="D895" s="300" t="str" cm="1">
        <f t="array" ref="D895">_xll.FDSB($C895,"FG_COMPANY_NAME")</f>
        <v/>
      </c>
      <c r="E895" s="300"/>
      <c r="F895" s="274" t="str" cm="1">
        <f t="array" ref="F895">_xll.FDSB($C895,"CS_EVENT_DATEJ_N("&amp;$AA$18&amp;",1)")</f>
        <v/>
      </c>
      <c r="G895" s="282" t="str" cm="1">
        <f t="array" ref="G895">_xll.FDSB($C895,"CS_EVENT_TIME_N("&amp;$AA$18&amp;",1)")</f>
        <v/>
      </c>
      <c r="H895" s="282" t="str" cm="1">
        <f t="array" ref="H895">_xll.FDSB($C895,"CS_EVENT_DESC_N("&amp;$AA$18&amp;",1)")</f>
        <v/>
      </c>
      <c r="I895" s="282"/>
      <c r="J895" s="274" t="str" cm="1">
        <f t="array" ref="J895">_xll.FDSB($C895,"CS_EVENT_DATEJ_N("&amp;$AB$18&amp;",1)")</f>
        <v/>
      </c>
      <c r="K895" s="282" t="str" cm="1">
        <f t="array" ref="K895">_xll.FDSB($C895,"CS_EVENT_TIME_N("&amp;$AB$18&amp;",1)")</f>
        <v/>
      </c>
      <c r="L895" s="282" t="str" cm="1">
        <f t="array" ref="L895">_xll.FDSB($C895,"CS_EVENT_DESC_N("&amp;$AB$18&amp;",1)")</f>
        <v/>
      </c>
      <c r="M895" s="300"/>
      <c r="N895" s="274" t="str" cm="1">
        <f t="array" ref="N895">_xll.FDSB($C895,"CS_EVENT_DATEJ_N("&amp;$AA$18&amp;",2)")</f>
        <v/>
      </c>
      <c r="O895" s="282" t="str" cm="1">
        <f t="array" ref="O895">_xll.FDSB($C895,"CS_EVENT_TIME_N("&amp;$AA$18&amp;",2)")</f>
        <v/>
      </c>
      <c r="P895" s="282" t="str" cm="1">
        <f t="array" ref="P895">_xll.FDSB($C895,"CS_EVENT_DESC_N("&amp;$AA$18&amp;",2)")</f>
        <v/>
      </c>
      <c r="Q895" s="282"/>
      <c r="R895" s="274" t="str" cm="1">
        <f t="array" ref="R895">_xll.FDSB($C895,"CS_EVENT_DATEJ_N("&amp;$AA$18&amp;",3)")</f>
        <v/>
      </c>
      <c r="S895" s="282" t="str" cm="1">
        <f t="array" ref="S895">_xll.FDSB($C895,"CS_EVENT_TIME_N("&amp;$AA$18&amp;",3)")</f>
        <v/>
      </c>
      <c r="T895" s="282" t="str" cm="1">
        <f t="array" ref="T895">_xll.FDSB($C895,"CS_EVENT_DESC_N("&amp;$AA$18&amp;",3)")</f>
        <v/>
      </c>
      <c r="U895" s="282"/>
      <c r="V895" s="274" t="str" cm="1">
        <f t="array" ref="V895">_xll.FDSB($C895,"CS_EVENT_DATEJ_N("&amp;$AA$18&amp;",4)")</f>
        <v/>
      </c>
      <c r="W895" s="282" t="str" cm="1">
        <f t="array" ref="W895">_xll.FDSB($C895,"CS_EVENT_TIME_N("&amp;$AA$18&amp;",4)")</f>
        <v/>
      </c>
      <c r="X895" s="282" t="str" cm="1">
        <f t="array" ref="X895">_xll.FDSB($C895,"CS_EVENT_DESC_N("&amp;$AA$18&amp;",4)")</f>
        <v/>
      </c>
    </row>
    <row r="896" spans="2:24" x14ac:dyDescent="0.15">
      <c r="B896" s="298">
        <f t="shared" si="15"/>
        <v>881</v>
      </c>
      <c r="C896" s="299"/>
      <c r="D896" s="300" t="str" cm="1">
        <f t="array" ref="D896">_xll.FDSB($C896,"FG_COMPANY_NAME")</f>
        <v/>
      </c>
      <c r="E896" s="300"/>
      <c r="F896" s="274" t="str" cm="1">
        <f t="array" ref="F896">_xll.FDSB($C896,"CS_EVENT_DATEJ_N("&amp;$AA$18&amp;",1)")</f>
        <v/>
      </c>
      <c r="G896" s="282" t="str" cm="1">
        <f t="array" ref="G896">_xll.FDSB($C896,"CS_EVENT_TIME_N("&amp;$AA$18&amp;",1)")</f>
        <v/>
      </c>
      <c r="H896" s="282" t="str" cm="1">
        <f t="array" ref="H896">_xll.FDSB($C896,"CS_EVENT_DESC_N("&amp;$AA$18&amp;",1)")</f>
        <v/>
      </c>
      <c r="I896" s="282"/>
      <c r="J896" s="274" t="str" cm="1">
        <f t="array" ref="J896">_xll.FDSB($C896,"CS_EVENT_DATEJ_N("&amp;$AB$18&amp;",1)")</f>
        <v/>
      </c>
      <c r="K896" s="282" t="str" cm="1">
        <f t="array" ref="K896">_xll.FDSB($C896,"CS_EVENT_TIME_N("&amp;$AB$18&amp;",1)")</f>
        <v/>
      </c>
      <c r="L896" s="282" t="str" cm="1">
        <f t="array" ref="L896">_xll.FDSB($C896,"CS_EVENT_DESC_N("&amp;$AB$18&amp;",1)")</f>
        <v/>
      </c>
      <c r="M896" s="300"/>
      <c r="N896" s="274" t="str" cm="1">
        <f t="array" ref="N896">_xll.FDSB($C896,"CS_EVENT_DATEJ_N("&amp;$AA$18&amp;",2)")</f>
        <v/>
      </c>
      <c r="O896" s="282" t="str" cm="1">
        <f t="array" ref="O896">_xll.FDSB($C896,"CS_EVENT_TIME_N("&amp;$AA$18&amp;",2)")</f>
        <v/>
      </c>
      <c r="P896" s="282" t="str" cm="1">
        <f t="array" ref="P896">_xll.FDSB($C896,"CS_EVENT_DESC_N("&amp;$AA$18&amp;",2)")</f>
        <v/>
      </c>
      <c r="Q896" s="282"/>
      <c r="R896" s="274" t="str" cm="1">
        <f t="array" ref="R896">_xll.FDSB($C896,"CS_EVENT_DATEJ_N("&amp;$AA$18&amp;",3)")</f>
        <v/>
      </c>
      <c r="S896" s="282" t="str" cm="1">
        <f t="array" ref="S896">_xll.FDSB($C896,"CS_EVENT_TIME_N("&amp;$AA$18&amp;",3)")</f>
        <v/>
      </c>
      <c r="T896" s="282" t="str" cm="1">
        <f t="array" ref="T896">_xll.FDSB($C896,"CS_EVENT_DESC_N("&amp;$AA$18&amp;",3)")</f>
        <v/>
      </c>
      <c r="U896" s="282"/>
      <c r="V896" s="274" t="str" cm="1">
        <f t="array" ref="V896">_xll.FDSB($C896,"CS_EVENT_DATEJ_N("&amp;$AA$18&amp;",4)")</f>
        <v/>
      </c>
      <c r="W896" s="282" t="str" cm="1">
        <f t="array" ref="W896">_xll.FDSB($C896,"CS_EVENT_TIME_N("&amp;$AA$18&amp;",4)")</f>
        <v/>
      </c>
      <c r="X896" s="282" t="str" cm="1">
        <f t="array" ref="X896">_xll.FDSB($C896,"CS_EVENT_DESC_N("&amp;$AA$18&amp;",4)")</f>
        <v/>
      </c>
    </row>
    <row r="897" spans="2:24" x14ac:dyDescent="0.15">
      <c r="B897" s="298">
        <f t="shared" si="15"/>
        <v>882</v>
      </c>
      <c r="C897" s="299"/>
      <c r="D897" s="300" t="str" cm="1">
        <f t="array" ref="D897">_xll.FDSB($C897,"FG_COMPANY_NAME")</f>
        <v/>
      </c>
      <c r="E897" s="300"/>
      <c r="F897" s="274" t="str" cm="1">
        <f t="array" ref="F897">_xll.FDSB($C897,"CS_EVENT_DATEJ_N("&amp;$AA$18&amp;",1)")</f>
        <v/>
      </c>
      <c r="G897" s="282" t="str" cm="1">
        <f t="array" ref="G897">_xll.FDSB($C897,"CS_EVENT_TIME_N("&amp;$AA$18&amp;",1)")</f>
        <v/>
      </c>
      <c r="H897" s="282" t="str" cm="1">
        <f t="array" ref="H897">_xll.FDSB($C897,"CS_EVENT_DESC_N("&amp;$AA$18&amp;",1)")</f>
        <v/>
      </c>
      <c r="I897" s="282"/>
      <c r="J897" s="274" t="str" cm="1">
        <f t="array" ref="J897">_xll.FDSB($C897,"CS_EVENT_DATEJ_N("&amp;$AB$18&amp;",1)")</f>
        <v/>
      </c>
      <c r="K897" s="282" t="str" cm="1">
        <f t="array" ref="K897">_xll.FDSB($C897,"CS_EVENT_TIME_N("&amp;$AB$18&amp;",1)")</f>
        <v/>
      </c>
      <c r="L897" s="282" t="str" cm="1">
        <f t="array" ref="L897">_xll.FDSB($C897,"CS_EVENT_DESC_N("&amp;$AB$18&amp;",1)")</f>
        <v/>
      </c>
      <c r="M897" s="300"/>
      <c r="N897" s="274" t="str" cm="1">
        <f t="array" ref="N897">_xll.FDSB($C897,"CS_EVENT_DATEJ_N("&amp;$AA$18&amp;",2)")</f>
        <v/>
      </c>
      <c r="O897" s="282" t="str" cm="1">
        <f t="array" ref="O897">_xll.FDSB($C897,"CS_EVENT_TIME_N("&amp;$AA$18&amp;",2)")</f>
        <v/>
      </c>
      <c r="P897" s="282" t="str" cm="1">
        <f t="array" ref="P897">_xll.FDSB($C897,"CS_EVENT_DESC_N("&amp;$AA$18&amp;",2)")</f>
        <v/>
      </c>
      <c r="Q897" s="282"/>
      <c r="R897" s="274" t="str" cm="1">
        <f t="array" ref="R897">_xll.FDSB($C897,"CS_EVENT_DATEJ_N("&amp;$AA$18&amp;",3)")</f>
        <v/>
      </c>
      <c r="S897" s="282" t="str" cm="1">
        <f t="array" ref="S897">_xll.FDSB($C897,"CS_EVENT_TIME_N("&amp;$AA$18&amp;",3)")</f>
        <v/>
      </c>
      <c r="T897" s="282" t="str" cm="1">
        <f t="array" ref="T897">_xll.FDSB($C897,"CS_EVENT_DESC_N("&amp;$AA$18&amp;",3)")</f>
        <v/>
      </c>
      <c r="U897" s="282"/>
      <c r="V897" s="274" t="str" cm="1">
        <f t="array" ref="V897">_xll.FDSB($C897,"CS_EVENT_DATEJ_N("&amp;$AA$18&amp;",4)")</f>
        <v/>
      </c>
      <c r="W897" s="282" t="str" cm="1">
        <f t="array" ref="W897">_xll.FDSB($C897,"CS_EVENT_TIME_N("&amp;$AA$18&amp;",4)")</f>
        <v/>
      </c>
      <c r="X897" s="282" t="str" cm="1">
        <f t="array" ref="X897">_xll.FDSB($C897,"CS_EVENT_DESC_N("&amp;$AA$18&amp;",4)")</f>
        <v/>
      </c>
    </row>
    <row r="898" spans="2:24" x14ac:dyDescent="0.15">
      <c r="B898" s="298">
        <f t="shared" si="15"/>
        <v>883</v>
      </c>
      <c r="C898" s="299"/>
      <c r="D898" s="300" t="str" cm="1">
        <f t="array" ref="D898">_xll.FDSB($C898,"FG_COMPANY_NAME")</f>
        <v/>
      </c>
      <c r="E898" s="300"/>
      <c r="F898" s="274" t="str" cm="1">
        <f t="array" ref="F898">_xll.FDSB($C898,"CS_EVENT_DATEJ_N("&amp;$AA$18&amp;",1)")</f>
        <v/>
      </c>
      <c r="G898" s="282" t="str" cm="1">
        <f t="array" ref="G898">_xll.FDSB($C898,"CS_EVENT_TIME_N("&amp;$AA$18&amp;",1)")</f>
        <v/>
      </c>
      <c r="H898" s="282" t="str" cm="1">
        <f t="array" ref="H898">_xll.FDSB($C898,"CS_EVENT_DESC_N("&amp;$AA$18&amp;",1)")</f>
        <v/>
      </c>
      <c r="I898" s="282"/>
      <c r="J898" s="274" t="str" cm="1">
        <f t="array" ref="J898">_xll.FDSB($C898,"CS_EVENT_DATEJ_N("&amp;$AB$18&amp;",1)")</f>
        <v/>
      </c>
      <c r="K898" s="282" t="str" cm="1">
        <f t="array" ref="K898">_xll.FDSB($C898,"CS_EVENT_TIME_N("&amp;$AB$18&amp;",1)")</f>
        <v/>
      </c>
      <c r="L898" s="282" t="str" cm="1">
        <f t="array" ref="L898">_xll.FDSB($C898,"CS_EVENT_DESC_N("&amp;$AB$18&amp;",1)")</f>
        <v/>
      </c>
      <c r="M898" s="300"/>
      <c r="N898" s="274" t="str" cm="1">
        <f t="array" ref="N898">_xll.FDSB($C898,"CS_EVENT_DATEJ_N("&amp;$AA$18&amp;",2)")</f>
        <v/>
      </c>
      <c r="O898" s="282" t="str" cm="1">
        <f t="array" ref="O898">_xll.FDSB($C898,"CS_EVENT_TIME_N("&amp;$AA$18&amp;",2)")</f>
        <v/>
      </c>
      <c r="P898" s="282" t="str" cm="1">
        <f t="array" ref="P898">_xll.FDSB($C898,"CS_EVENT_DESC_N("&amp;$AA$18&amp;",2)")</f>
        <v/>
      </c>
      <c r="Q898" s="282"/>
      <c r="R898" s="274" t="str" cm="1">
        <f t="array" ref="R898">_xll.FDSB($C898,"CS_EVENT_DATEJ_N("&amp;$AA$18&amp;",3)")</f>
        <v/>
      </c>
      <c r="S898" s="282" t="str" cm="1">
        <f t="array" ref="S898">_xll.FDSB($C898,"CS_EVENT_TIME_N("&amp;$AA$18&amp;",3)")</f>
        <v/>
      </c>
      <c r="T898" s="282" t="str" cm="1">
        <f t="array" ref="T898">_xll.FDSB($C898,"CS_EVENT_DESC_N("&amp;$AA$18&amp;",3)")</f>
        <v/>
      </c>
      <c r="U898" s="282"/>
      <c r="V898" s="274" t="str" cm="1">
        <f t="array" ref="V898">_xll.FDSB($C898,"CS_EVENT_DATEJ_N("&amp;$AA$18&amp;",4)")</f>
        <v/>
      </c>
      <c r="W898" s="282" t="str" cm="1">
        <f t="array" ref="W898">_xll.FDSB($C898,"CS_EVENT_TIME_N("&amp;$AA$18&amp;",4)")</f>
        <v/>
      </c>
      <c r="X898" s="282" t="str" cm="1">
        <f t="array" ref="X898">_xll.FDSB($C898,"CS_EVENT_DESC_N("&amp;$AA$18&amp;",4)")</f>
        <v/>
      </c>
    </row>
    <row r="899" spans="2:24" x14ac:dyDescent="0.15">
      <c r="B899" s="298">
        <f t="shared" si="15"/>
        <v>884</v>
      </c>
      <c r="C899" s="299"/>
      <c r="D899" s="300" t="str" cm="1">
        <f t="array" ref="D899">_xll.FDSB($C899,"FG_COMPANY_NAME")</f>
        <v/>
      </c>
      <c r="E899" s="300"/>
      <c r="F899" s="274" t="str" cm="1">
        <f t="array" ref="F899">_xll.FDSB($C899,"CS_EVENT_DATEJ_N("&amp;$AA$18&amp;",1)")</f>
        <v/>
      </c>
      <c r="G899" s="282" t="str" cm="1">
        <f t="array" ref="G899">_xll.FDSB($C899,"CS_EVENT_TIME_N("&amp;$AA$18&amp;",1)")</f>
        <v/>
      </c>
      <c r="H899" s="282" t="str" cm="1">
        <f t="array" ref="H899">_xll.FDSB($C899,"CS_EVENT_DESC_N("&amp;$AA$18&amp;",1)")</f>
        <v/>
      </c>
      <c r="I899" s="282"/>
      <c r="J899" s="274" t="str" cm="1">
        <f t="array" ref="J899">_xll.FDSB($C899,"CS_EVENT_DATEJ_N("&amp;$AB$18&amp;",1)")</f>
        <v/>
      </c>
      <c r="K899" s="282" t="str" cm="1">
        <f t="array" ref="K899">_xll.FDSB($C899,"CS_EVENT_TIME_N("&amp;$AB$18&amp;",1)")</f>
        <v/>
      </c>
      <c r="L899" s="282" t="str" cm="1">
        <f t="array" ref="L899">_xll.FDSB($C899,"CS_EVENT_DESC_N("&amp;$AB$18&amp;",1)")</f>
        <v/>
      </c>
      <c r="M899" s="300"/>
      <c r="N899" s="274" t="str" cm="1">
        <f t="array" ref="N899">_xll.FDSB($C899,"CS_EVENT_DATEJ_N("&amp;$AA$18&amp;",2)")</f>
        <v/>
      </c>
      <c r="O899" s="282" t="str" cm="1">
        <f t="array" ref="O899">_xll.FDSB($C899,"CS_EVENT_TIME_N("&amp;$AA$18&amp;",2)")</f>
        <v/>
      </c>
      <c r="P899" s="282" t="str" cm="1">
        <f t="array" ref="P899">_xll.FDSB($C899,"CS_EVENT_DESC_N("&amp;$AA$18&amp;",2)")</f>
        <v/>
      </c>
      <c r="Q899" s="282"/>
      <c r="R899" s="274" t="str" cm="1">
        <f t="array" ref="R899">_xll.FDSB($C899,"CS_EVENT_DATEJ_N("&amp;$AA$18&amp;",3)")</f>
        <v/>
      </c>
      <c r="S899" s="282" t="str" cm="1">
        <f t="array" ref="S899">_xll.FDSB($C899,"CS_EVENT_TIME_N("&amp;$AA$18&amp;",3)")</f>
        <v/>
      </c>
      <c r="T899" s="282" t="str" cm="1">
        <f t="array" ref="T899">_xll.FDSB($C899,"CS_EVENT_DESC_N("&amp;$AA$18&amp;",3)")</f>
        <v/>
      </c>
      <c r="U899" s="282"/>
      <c r="V899" s="274" t="str" cm="1">
        <f t="array" ref="V899">_xll.FDSB($C899,"CS_EVENT_DATEJ_N("&amp;$AA$18&amp;",4)")</f>
        <v/>
      </c>
      <c r="W899" s="282" t="str" cm="1">
        <f t="array" ref="W899">_xll.FDSB($C899,"CS_EVENT_TIME_N("&amp;$AA$18&amp;",4)")</f>
        <v/>
      </c>
      <c r="X899" s="282" t="str" cm="1">
        <f t="array" ref="X899">_xll.FDSB($C899,"CS_EVENT_DESC_N("&amp;$AA$18&amp;",4)")</f>
        <v/>
      </c>
    </row>
    <row r="900" spans="2:24" x14ac:dyDescent="0.15">
      <c r="B900" s="298">
        <f t="shared" si="15"/>
        <v>885</v>
      </c>
      <c r="C900" s="299"/>
      <c r="D900" s="300" t="str" cm="1">
        <f t="array" ref="D900">_xll.FDSB($C900,"FG_COMPANY_NAME")</f>
        <v/>
      </c>
      <c r="E900" s="300"/>
      <c r="F900" s="274" t="str" cm="1">
        <f t="array" ref="F900">_xll.FDSB($C900,"CS_EVENT_DATEJ_N("&amp;$AA$18&amp;",1)")</f>
        <v/>
      </c>
      <c r="G900" s="282" t="str" cm="1">
        <f t="array" ref="G900">_xll.FDSB($C900,"CS_EVENT_TIME_N("&amp;$AA$18&amp;",1)")</f>
        <v/>
      </c>
      <c r="H900" s="282" t="str" cm="1">
        <f t="array" ref="H900">_xll.FDSB($C900,"CS_EVENT_DESC_N("&amp;$AA$18&amp;",1)")</f>
        <v/>
      </c>
      <c r="I900" s="282"/>
      <c r="J900" s="274" t="str" cm="1">
        <f t="array" ref="J900">_xll.FDSB($C900,"CS_EVENT_DATEJ_N("&amp;$AB$18&amp;",1)")</f>
        <v/>
      </c>
      <c r="K900" s="282" t="str" cm="1">
        <f t="array" ref="K900">_xll.FDSB($C900,"CS_EVENT_TIME_N("&amp;$AB$18&amp;",1)")</f>
        <v/>
      </c>
      <c r="L900" s="282" t="str" cm="1">
        <f t="array" ref="L900">_xll.FDSB($C900,"CS_EVENT_DESC_N("&amp;$AB$18&amp;",1)")</f>
        <v/>
      </c>
      <c r="M900" s="300"/>
      <c r="N900" s="274" t="str" cm="1">
        <f t="array" ref="N900">_xll.FDSB($C900,"CS_EVENT_DATEJ_N("&amp;$AA$18&amp;",2)")</f>
        <v/>
      </c>
      <c r="O900" s="282" t="str" cm="1">
        <f t="array" ref="O900">_xll.FDSB($C900,"CS_EVENT_TIME_N("&amp;$AA$18&amp;",2)")</f>
        <v/>
      </c>
      <c r="P900" s="282" t="str" cm="1">
        <f t="array" ref="P900">_xll.FDSB($C900,"CS_EVENT_DESC_N("&amp;$AA$18&amp;",2)")</f>
        <v/>
      </c>
      <c r="Q900" s="282"/>
      <c r="R900" s="274" t="str" cm="1">
        <f t="array" ref="R900">_xll.FDSB($C900,"CS_EVENT_DATEJ_N("&amp;$AA$18&amp;",3)")</f>
        <v/>
      </c>
      <c r="S900" s="282" t="str" cm="1">
        <f t="array" ref="S900">_xll.FDSB($C900,"CS_EVENT_TIME_N("&amp;$AA$18&amp;",3)")</f>
        <v/>
      </c>
      <c r="T900" s="282" t="str" cm="1">
        <f t="array" ref="T900">_xll.FDSB($C900,"CS_EVENT_DESC_N("&amp;$AA$18&amp;",3)")</f>
        <v/>
      </c>
      <c r="U900" s="282"/>
      <c r="V900" s="274" t="str" cm="1">
        <f t="array" ref="V900">_xll.FDSB($C900,"CS_EVENT_DATEJ_N("&amp;$AA$18&amp;",4)")</f>
        <v/>
      </c>
      <c r="W900" s="282" t="str" cm="1">
        <f t="array" ref="W900">_xll.FDSB($C900,"CS_EVENT_TIME_N("&amp;$AA$18&amp;",4)")</f>
        <v/>
      </c>
      <c r="X900" s="282" t="str" cm="1">
        <f t="array" ref="X900">_xll.FDSB($C900,"CS_EVENT_DESC_N("&amp;$AA$18&amp;",4)")</f>
        <v/>
      </c>
    </row>
    <row r="901" spans="2:24" x14ac:dyDescent="0.15">
      <c r="B901" s="298">
        <f t="shared" si="15"/>
        <v>886</v>
      </c>
      <c r="C901" s="299"/>
      <c r="D901" s="300" t="str" cm="1">
        <f t="array" ref="D901">_xll.FDSB($C901,"FG_COMPANY_NAME")</f>
        <v/>
      </c>
      <c r="E901" s="300"/>
      <c r="F901" s="274" t="str" cm="1">
        <f t="array" ref="F901">_xll.FDSB($C901,"CS_EVENT_DATEJ_N("&amp;$AA$18&amp;",1)")</f>
        <v/>
      </c>
      <c r="G901" s="282" t="str" cm="1">
        <f t="array" ref="G901">_xll.FDSB($C901,"CS_EVENT_TIME_N("&amp;$AA$18&amp;",1)")</f>
        <v/>
      </c>
      <c r="H901" s="282" t="str" cm="1">
        <f t="array" ref="H901">_xll.FDSB($C901,"CS_EVENT_DESC_N("&amp;$AA$18&amp;",1)")</f>
        <v/>
      </c>
      <c r="I901" s="282"/>
      <c r="J901" s="274" t="str" cm="1">
        <f t="array" ref="J901">_xll.FDSB($C901,"CS_EVENT_DATEJ_N("&amp;$AB$18&amp;",1)")</f>
        <v/>
      </c>
      <c r="K901" s="282" t="str" cm="1">
        <f t="array" ref="K901">_xll.FDSB($C901,"CS_EVENT_TIME_N("&amp;$AB$18&amp;",1)")</f>
        <v/>
      </c>
      <c r="L901" s="282" t="str" cm="1">
        <f t="array" ref="L901">_xll.FDSB($C901,"CS_EVENT_DESC_N("&amp;$AB$18&amp;",1)")</f>
        <v/>
      </c>
      <c r="M901" s="300"/>
      <c r="N901" s="274" t="str" cm="1">
        <f t="array" ref="N901">_xll.FDSB($C901,"CS_EVENT_DATEJ_N("&amp;$AA$18&amp;",2)")</f>
        <v/>
      </c>
      <c r="O901" s="282" t="str" cm="1">
        <f t="array" ref="O901">_xll.FDSB($C901,"CS_EVENT_TIME_N("&amp;$AA$18&amp;",2)")</f>
        <v/>
      </c>
      <c r="P901" s="282" t="str" cm="1">
        <f t="array" ref="P901">_xll.FDSB($C901,"CS_EVENT_DESC_N("&amp;$AA$18&amp;",2)")</f>
        <v/>
      </c>
      <c r="Q901" s="282"/>
      <c r="R901" s="274" t="str" cm="1">
        <f t="array" ref="R901">_xll.FDSB($C901,"CS_EVENT_DATEJ_N("&amp;$AA$18&amp;",3)")</f>
        <v/>
      </c>
      <c r="S901" s="282" t="str" cm="1">
        <f t="array" ref="S901">_xll.FDSB($C901,"CS_EVENT_TIME_N("&amp;$AA$18&amp;",3)")</f>
        <v/>
      </c>
      <c r="T901" s="282" t="str" cm="1">
        <f t="array" ref="T901">_xll.FDSB($C901,"CS_EVENT_DESC_N("&amp;$AA$18&amp;",3)")</f>
        <v/>
      </c>
      <c r="U901" s="282"/>
      <c r="V901" s="274" t="str" cm="1">
        <f t="array" ref="V901">_xll.FDSB($C901,"CS_EVENT_DATEJ_N("&amp;$AA$18&amp;",4)")</f>
        <v/>
      </c>
      <c r="W901" s="282" t="str" cm="1">
        <f t="array" ref="W901">_xll.FDSB($C901,"CS_EVENT_TIME_N("&amp;$AA$18&amp;",4)")</f>
        <v/>
      </c>
      <c r="X901" s="282" t="str" cm="1">
        <f t="array" ref="X901">_xll.FDSB($C901,"CS_EVENT_DESC_N("&amp;$AA$18&amp;",4)")</f>
        <v/>
      </c>
    </row>
    <row r="902" spans="2:24" x14ac:dyDescent="0.15">
      <c r="B902" s="298">
        <f t="shared" si="15"/>
        <v>887</v>
      </c>
      <c r="C902" s="299"/>
      <c r="D902" s="300" t="str" cm="1">
        <f t="array" ref="D902">_xll.FDSB($C902,"FG_COMPANY_NAME")</f>
        <v/>
      </c>
      <c r="E902" s="300"/>
      <c r="F902" s="274" t="str" cm="1">
        <f t="array" ref="F902">_xll.FDSB($C902,"CS_EVENT_DATEJ_N("&amp;$AA$18&amp;",1)")</f>
        <v/>
      </c>
      <c r="G902" s="282" t="str" cm="1">
        <f t="array" ref="G902">_xll.FDSB($C902,"CS_EVENT_TIME_N("&amp;$AA$18&amp;",1)")</f>
        <v/>
      </c>
      <c r="H902" s="282" t="str" cm="1">
        <f t="array" ref="H902">_xll.FDSB($C902,"CS_EVENT_DESC_N("&amp;$AA$18&amp;",1)")</f>
        <v/>
      </c>
      <c r="I902" s="282"/>
      <c r="J902" s="274" t="str" cm="1">
        <f t="array" ref="J902">_xll.FDSB($C902,"CS_EVENT_DATEJ_N("&amp;$AB$18&amp;",1)")</f>
        <v/>
      </c>
      <c r="K902" s="282" t="str" cm="1">
        <f t="array" ref="K902">_xll.FDSB($C902,"CS_EVENT_TIME_N("&amp;$AB$18&amp;",1)")</f>
        <v/>
      </c>
      <c r="L902" s="282" t="str" cm="1">
        <f t="array" ref="L902">_xll.FDSB($C902,"CS_EVENT_DESC_N("&amp;$AB$18&amp;",1)")</f>
        <v/>
      </c>
      <c r="M902" s="300"/>
      <c r="N902" s="274" t="str" cm="1">
        <f t="array" ref="N902">_xll.FDSB($C902,"CS_EVENT_DATEJ_N("&amp;$AA$18&amp;",2)")</f>
        <v/>
      </c>
      <c r="O902" s="282" t="str" cm="1">
        <f t="array" ref="O902">_xll.FDSB($C902,"CS_EVENT_TIME_N("&amp;$AA$18&amp;",2)")</f>
        <v/>
      </c>
      <c r="P902" s="282" t="str" cm="1">
        <f t="array" ref="P902">_xll.FDSB($C902,"CS_EVENT_DESC_N("&amp;$AA$18&amp;",2)")</f>
        <v/>
      </c>
      <c r="Q902" s="282"/>
      <c r="R902" s="274" t="str" cm="1">
        <f t="array" ref="R902">_xll.FDSB($C902,"CS_EVENT_DATEJ_N("&amp;$AA$18&amp;",3)")</f>
        <v/>
      </c>
      <c r="S902" s="282" t="str" cm="1">
        <f t="array" ref="S902">_xll.FDSB($C902,"CS_EVENT_TIME_N("&amp;$AA$18&amp;",3)")</f>
        <v/>
      </c>
      <c r="T902" s="282" t="str" cm="1">
        <f t="array" ref="T902">_xll.FDSB($C902,"CS_EVENT_DESC_N("&amp;$AA$18&amp;",3)")</f>
        <v/>
      </c>
      <c r="U902" s="282"/>
      <c r="V902" s="274" t="str" cm="1">
        <f t="array" ref="V902">_xll.FDSB($C902,"CS_EVENT_DATEJ_N("&amp;$AA$18&amp;",4)")</f>
        <v/>
      </c>
      <c r="W902" s="282" t="str" cm="1">
        <f t="array" ref="W902">_xll.FDSB($C902,"CS_EVENT_TIME_N("&amp;$AA$18&amp;",4)")</f>
        <v/>
      </c>
      <c r="X902" s="282" t="str" cm="1">
        <f t="array" ref="X902">_xll.FDSB($C902,"CS_EVENT_DESC_N("&amp;$AA$18&amp;",4)")</f>
        <v/>
      </c>
    </row>
    <row r="903" spans="2:24" x14ac:dyDescent="0.15">
      <c r="B903" s="298">
        <f t="shared" si="15"/>
        <v>888</v>
      </c>
      <c r="C903" s="299"/>
      <c r="D903" s="300" t="str" cm="1">
        <f t="array" ref="D903">_xll.FDSB($C903,"FG_COMPANY_NAME")</f>
        <v/>
      </c>
      <c r="E903" s="300"/>
      <c r="F903" s="274" t="str" cm="1">
        <f t="array" ref="F903">_xll.FDSB($C903,"CS_EVENT_DATEJ_N("&amp;$AA$18&amp;",1)")</f>
        <v/>
      </c>
      <c r="G903" s="282" t="str" cm="1">
        <f t="array" ref="G903">_xll.FDSB($C903,"CS_EVENT_TIME_N("&amp;$AA$18&amp;",1)")</f>
        <v/>
      </c>
      <c r="H903" s="282" t="str" cm="1">
        <f t="array" ref="H903">_xll.FDSB($C903,"CS_EVENT_DESC_N("&amp;$AA$18&amp;",1)")</f>
        <v/>
      </c>
      <c r="I903" s="282"/>
      <c r="J903" s="274" t="str" cm="1">
        <f t="array" ref="J903">_xll.FDSB($C903,"CS_EVENT_DATEJ_N("&amp;$AB$18&amp;",1)")</f>
        <v/>
      </c>
      <c r="K903" s="282" t="str" cm="1">
        <f t="array" ref="K903">_xll.FDSB($C903,"CS_EVENT_TIME_N("&amp;$AB$18&amp;",1)")</f>
        <v/>
      </c>
      <c r="L903" s="282" t="str" cm="1">
        <f t="array" ref="L903">_xll.FDSB($C903,"CS_EVENT_DESC_N("&amp;$AB$18&amp;",1)")</f>
        <v/>
      </c>
      <c r="M903" s="300"/>
      <c r="N903" s="274" t="str" cm="1">
        <f t="array" ref="N903">_xll.FDSB($C903,"CS_EVENT_DATEJ_N("&amp;$AA$18&amp;",2)")</f>
        <v/>
      </c>
      <c r="O903" s="282" t="str" cm="1">
        <f t="array" ref="O903">_xll.FDSB($C903,"CS_EVENT_TIME_N("&amp;$AA$18&amp;",2)")</f>
        <v/>
      </c>
      <c r="P903" s="282" t="str" cm="1">
        <f t="array" ref="P903">_xll.FDSB($C903,"CS_EVENT_DESC_N("&amp;$AA$18&amp;",2)")</f>
        <v/>
      </c>
      <c r="Q903" s="282"/>
      <c r="R903" s="274" t="str" cm="1">
        <f t="array" ref="R903">_xll.FDSB($C903,"CS_EVENT_DATEJ_N("&amp;$AA$18&amp;",3)")</f>
        <v/>
      </c>
      <c r="S903" s="282" t="str" cm="1">
        <f t="array" ref="S903">_xll.FDSB($C903,"CS_EVENT_TIME_N("&amp;$AA$18&amp;",3)")</f>
        <v/>
      </c>
      <c r="T903" s="282" t="str" cm="1">
        <f t="array" ref="T903">_xll.FDSB($C903,"CS_EVENT_DESC_N("&amp;$AA$18&amp;",3)")</f>
        <v/>
      </c>
      <c r="U903" s="282"/>
      <c r="V903" s="274" t="str" cm="1">
        <f t="array" ref="V903">_xll.FDSB($C903,"CS_EVENT_DATEJ_N("&amp;$AA$18&amp;",4)")</f>
        <v/>
      </c>
      <c r="W903" s="282" t="str" cm="1">
        <f t="array" ref="W903">_xll.FDSB($C903,"CS_EVENT_TIME_N("&amp;$AA$18&amp;",4)")</f>
        <v/>
      </c>
      <c r="X903" s="282" t="str" cm="1">
        <f t="array" ref="X903">_xll.FDSB($C903,"CS_EVENT_DESC_N("&amp;$AA$18&amp;",4)")</f>
        <v/>
      </c>
    </row>
    <row r="904" spans="2:24" x14ac:dyDescent="0.15">
      <c r="B904" s="298">
        <f t="shared" si="15"/>
        <v>889</v>
      </c>
      <c r="C904" s="299"/>
      <c r="D904" s="300" t="str" cm="1">
        <f t="array" ref="D904">_xll.FDSB($C904,"FG_COMPANY_NAME")</f>
        <v/>
      </c>
      <c r="E904" s="300"/>
      <c r="F904" s="274" t="str" cm="1">
        <f t="array" ref="F904">_xll.FDSB($C904,"CS_EVENT_DATEJ_N("&amp;$AA$18&amp;",1)")</f>
        <v/>
      </c>
      <c r="G904" s="282" t="str" cm="1">
        <f t="array" ref="G904">_xll.FDSB($C904,"CS_EVENT_TIME_N("&amp;$AA$18&amp;",1)")</f>
        <v/>
      </c>
      <c r="H904" s="282" t="str" cm="1">
        <f t="array" ref="H904">_xll.FDSB($C904,"CS_EVENT_DESC_N("&amp;$AA$18&amp;",1)")</f>
        <v/>
      </c>
      <c r="I904" s="282"/>
      <c r="J904" s="274" t="str" cm="1">
        <f t="array" ref="J904">_xll.FDSB($C904,"CS_EVENT_DATEJ_N("&amp;$AB$18&amp;",1)")</f>
        <v/>
      </c>
      <c r="K904" s="282" t="str" cm="1">
        <f t="array" ref="K904">_xll.FDSB($C904,"CS_EVENT_TIME_N("&amp;$AB$18&amp;",1)")</f>
        <v/>
      </c>
      <c r="L904" s="282" t="str" cm="1">
        <f t="array" ref="L904">_xll.FDSB($C904,"CS_EVENT_DESC_N("&amp;$AB$18&amp;",1)")</f>
        <v/>
      </c>
      <c r="M904" s="300"/>
      <c r="N904" s="274" t="str" cm="1">
        <f t="array" ref="N904">_xll.FDSB($C904,"CS_EVENT_DATEJ_N("&amp;$AA$18&amp;",2)")</f>
        <v/>
      </c>
      <c r="O904" s="282" t="str" cm="1">
        <f t="array" ref="O904">_xll.FDSB($C904,"CS_EVENT_TIME_N("&amp;$AA$18&amp;",2)")</f>
        <v/>
      </c>
      <c r="P904" s="282" t="str" cm="1">
        <f t="array" ref="P904">_xll.FDSB($C904,"CS_EVENT_DESC_N("&amp;$AA$18&amp;",2)")</f>
        <v/>
      </c>
      <c r="Q904" s="282"/>
      <c r="R904" s="274" t="str" cm="1">
        <f t="array" ref="R904">_xll.FDSB($C904,"CS_EVENT_DATEJ_N("&amp;$AA$18&amp;",3)")</f>
        <v/>
      </c>
      <c r="S904" s="282" t="str" cm="1">
        <f t="array" ref="S904">_xll.FDSB($C904,"CS_EVENT_TIME_N("&amp;$AA$18&amp;",3)")</f>
        <v/>
      </c>
      <c r="T904" s="282" t="str" cm="1">
        <f t="array" ref="T904">_xll.FDSB($C904,"CS_EVENT_DESC_N("&amp;$AA$18&amp;",3)")</f>
        <v/>
      </c>
      <c r="U904" s="282"/>
      <c r="V904" s="274" t="str" cm="1">
        <f t="array" ref="V904">_xll.FDSB($C904,"CS_EVENT_DATEJ_N("&amp;$AA$18&amp;",4)")</f>
        <v/>
      </c>
      <c r="W904" s="282" t="str" cm="1">
        <f t="array" ref="W904">_xll.FDSB($C904,"CS_EVENT_TIME_N("&amp;$AA$18&amp;",4)")</f>
        <v/>
      </c>
      <c r="X904" s="282" t="str" cm="1">
        <f t="array" ref="X904">_xll.FDSB($C904,"CS_EVENT_DESC_N("&amp;$AA$18&amp;",4)")</f>
        <v/>
      </c>
    </row>
    <row r="905" spans="2:24" x14ac:dyDescent="0.15">
      <c r="B905" s="298">
        <f t="shared" si="15"/>
        <v>890</v>
      </c>
      <c r="C905" s="299"/>
      <c r="D905" s="300" t="str" cm="1">
        <f t="array" ref="D905">_xll.FDSB($C905,"FG_COMPANY_NAME")</f>
        <v/>
      </c>
      <c r="E905" s="300"/>
      <c r="F905" s="274" t="str" cm="1">
        <f t="array" ref="F905">_xll.FDSB($C905,"CS_EVENT_DATEJ_N("&amp;$AA$18&amp;",1)")</f>
        <v/>
      </c>
      <c r="G905" s="282" t="str" cm="1">
        <f t="array" ref="G905">_xll.FDSB($C905,"CS_EVENT_TIME_N("&amp;$AA$18&amp;",1)")</f>
        <v/>
      </c>
      <c r="H905" s="282" t="str" cm="1">
        <f t="array" ref="H905">_xll.FDSB($C905,"CS_EVENT_DESC_N("&amp;$AA$18&amp;",1)")</f>
        <v/>
      </c>
      <c r="I905" s="282"/>
      <c r="J905" s="274" t="str" cm="1">
        <f t="array" ref="J905">_xll.FDSB($C905,"CS_EVENT_DATEJ_N("&amp;$AB$18&amp;",1)")</f>
        <v/>
      </c>
      <c r="K905" s="282" t="str" cm="1">
        <f t="array" ref="K905">_xll.FDSB($C905,"CS_EVENT_TIME_N("&amp;$AB$18&amp;",1)")</f>
        <v/>
      </c>
      <c r="L905" s="282" t="str" cm="1">
        <f t="array" ref="L905">_xll.FDSB($C905,"CS_EVENT_DESC_N("&amp;$AB$18&amp;",1)")</f>
        <v/>
      </c>
      <c r="M905" s="300"/>
      <c r="N905" s="274" t="str" cm="1">
        <f t="array" ref="N905">_xll.FDSB($C905,"CS_EVENT_DATEJ_N("&amp;$AA$18&amp;",2)")</f>
        <v/>
      </c>
      <c r="O905" s="282" t="str" cm="1">
        <f t="array" ref="O905">_xll.FDSB($C905,"CS_EVENT_TIME_N("&amp;$AA$18&amp;",2)")</f>
        <v/>
      </c>
      <c r="P905" s="282" t="str" cm="1">
        <f t="array" ref="P905">_xll.FDSB($C905,"CS_EVENT_DESC_N("&amp;$AA$18&amp;",2)")</f>
        <v/>
      </c>
      <c r="Q905" s="282"/>
      <c r="R905" s="274" t="str" cm="1">
        <f t="array" ref="R905">_xll.FDSB($C905,"CS_EVENT_DATEJ_N("&amp;$AA$18&amp;",3)")</f>
        <v/>
      </c>
      <c r="S905" s="282" t="str" cm="1">
        <f t="array" ref="S905">_xll.FDSB($C905,"CS_EVENT_TIME_N("&amp;$AA$18&amp;",3)")</f>
        <v/>
      </c>
      <c r="T905" s="282" t="str" cm="1">
        <f t="array" ref="T905">_xll.FDSB($C905,"CS_EVENT_DESC_N("&amp;$AA$18&amp;",3)")</f>
        <v/>
      </c>
      <c r="U905" s="282"/>
      <c r="V905" s="274" t="str" cm="1">
        <f t="array" ref="V905">_xll.FDSB($C905,"CS_EVENT_DATEJ_N("&amp;$AA$18&amp;",4)")</f>
        <v/>
      </c>
      <c r="W905" s="282" t="str" cm="1">
        <f t="array" ref="W905">_xll.FDSB($C905,"CS_EVENT_TIME_N("&amp;$AA$18&amp;",4)")</f>
        <v/>
      </c>
      <c r="X905" s="282" t="str" cm="1">
        <f t="array" ref="X905">_xll.FDSB($C905,"CS_EVENT_DESC_N("&amp;$AA$18&amp;",4)")</f>
        <v/>
      </c>
    </row>
    <row r="906" spans="2:24" x14ac:dyDescent="0.15">
      <c r="B906" s="298">
        <f t="shared" si="15"/>
        <v>891</v>
      </c>
      <c r="C906" s="299"/>
      <c r="D906" s="300" t="str" cm="1">
        <f t="array" ref="D906">_xll.FDSB($C906,"FG_COMPANY_NAME")</f>
        <v/>
      </c>
      <c r="E906" s="300"/>
      <c r="F906" s="274" t="str" cm="1">
        <f t="array" ref="F906">_xll.FDSB($C906,"CS_EVENT_DATEJ_N("&amp;$AA$18&amp;",1)")</f>
        <v/>
      </c>
      <c r="G906" s="282" t="str" cm="1">
        <f t="array" ref="G906">_xll.FDSB($C906,"CS_EVENT_TIME_N("&amp;$AA$18&amp;",1)")</f>
        <v/>
      </c>
      <c r="H906" s="282" t="str" cm="1">
        <f t="array" ref="H906">_xll.FDSB($C906,"CS_EVENT_DESC_N("&amp;$AA$18&amp;",1)")</f>
        <v/>
      </c>
      <c r="I906" s="282"/>
      <c r="J906" s="274" t="str" cm="1">
        <f t="array" ref="J906">_xll.FDSB($C906,"CS_EVENT_DATEJ_N("&amp;$AB$18&amp;",1)")</f>
        <v/>
      </c>
      <c r="K906" s="282" t="str" cm="1">
        <f t="array" ref="K906">_xll.FDSB($C906,"CS_EVENT_TIME_N("&amp;$AB$18&amp;",1)")</f>
        <v/>
      </c>
      <c r="L906" s="282" t="str" cm="1">
        <f t="array" ref="L906">_xll.FDSB($C906,"CS_EVENT_DESC_N("&amp;$AB$18&amp;",1)")</f>
        <v/>
      </c>
      <c r="M906" s="300"/>
      <c r="N906" s="274" t="str" cm="1">
        <f t="array" ref="N906">_xll.FDSB($C906,"CS_EVENT_DATEJ_N("&amp;$AA$18&amp;",2)")</f>
        <v/>
      </c>
      <c r="O906" s="282" t="str" cm="1">
        <f t="array" ref="O906">_xll.FDSB($C906,"CS_EVENT_TIME_N("&amp;$AA$18&amp;",2)")</f>
        <v/>
      </c>
      <c r="P906" s="282" t="str" cm="1">
        <f t="array" ref="P906">_xll.FDSB($C906,"CS_EVENT_DESC_N("&amp;$AA$18&amp;",2)")</f>
        <v/>
      </c>
      <c r="Q906" s="282"/>
      <c r="R906" s="274" t="str" cm="1">
        <f t="array" ref="R906">_xll.FDSB($C906,"CS_EVENT_DATEJ_N("&amp;$AA$18&amp;",3)")</f>
        <v/>
      </c>
      <c r="S906" s="282" t="str" cm="1">
        <f t="array" ref="S906">_xll.FDSB($C906,"CS_EVENT_TIME_N("&amp;$AA$18&amp;",3)")</f>
        <v/>
      </c>
      <c r="T906" s="282" t="str" cm="1">
        <f t="array" ref="T906">_xll.FDSB($C906,"CS_EVENT_DESC_N("&amp;$AA$18&amp;",3)")</f>
        <v/>
      </c>
      <c r="U906" s="282"/>
      <c r="V906" s="274" t="str" cm="1">
        <f t="array" ref="V906">_xll.FDSB($C906,"CS_EVENT_DATEJ_N("&amp;$AA$18&amp;",4)")</f>
        <v/>
      </c>
      <c r="W906" s="282" t="str" cm="1">
        <f t="array" ref="W906">_xll.FDSB($C906,"CS_EVENT_TIME_N("&amp;$AA$18&amp;",4)")</f>
        <v/>
      </c>
      <c r="X906" s="282" t="str" cm="1">
        <f t="array" ref="X906">_xll.FDSB($C906,"CS_EVENT_DESC_N("&amp;$AA$18&amp;",4)")</f>
        <v/>
      </c>
    </row>
    <row r="907" spans="2:24" x14ac:dyDescent="0.15">
      <c r="B907" s="298">
        <f t="shared" si="15"/>
        <v>892</v>
      </c>
      <c r="C907" s="299"/>
      <c r="D907" s="300" t="str" cm="1">
        <f t="array" ref="D907">_xll.FDSB($C907,"FG_COMPANY_NAME")</f>
        <v/>
      </c>
      <c r="E907" s="300"/>
      <c r="F907" s="274" t="str" cm="1">
        <f t="array" ref="F907">_xll.FDSB($C907,"CS_EVENT_DATEJ_N("&amp;$AA$18&amp;",1)")</f>
        <v/>
      </c>
      <c r="G907" s="282" t="str" cm="1">
        <f t="array" ref="G907">_xll.FDSB($C907,"CS_EVENT_TIME_N("&amp;$AA$18&amp;",1)")</f>
        <v/>
      </c>
      <c r="H907" s="282" t="str" cm="1">
        <f t="array" ref="H907">_xll.FDSB($C907,"CS_EVENT_DESC_N("&amp;$AA$18&amp;",1)")</f>
        <v/>
      </c>
      <c r="I907" s="282"/>
      <c r="J907" s="274" t="str" cm="1">
        <f t="array" ref="J907">_xll.FDSB($C907,"CS_EVENT_DATEJ_N("&amp;$AB$18&amp;",1)")</f>
        <v/>
      </c>
      <c r="K907" s="282" t="str" cm="1">
        <f t="array" ref="K907">_xll.FDSB($C907,"CS_EVENT_TIME_N("&amp;$AB$18&amp;",1)")</f>
        <v/>
      </c>
      <c r="L907" s="282" t="str" cm="1">
        <f t="array" ref="L907">_xll.FDSB($C907,"CS_EVENT_DESC_N("&amp;$AB$18&amp;",1)")</f>
        <v/>
      </c>
      <c r="M907" s="300"/>
      <c r="N907" s="274" t="str" cm="1">
        <f t="array" ref="N907">_xll.FDSB($C907,"CS_EVENT_DATEJ_N("&amp;$AA$18&amp;",2)")</f>
        <v/>
      </c>
      <c r="O907" s="282" t="str" cm="1">
        <f t="array" ref="O907">_xll.FDSB($C907,"CS_EVENT_TIME_N("&amp;$AA$18&amp;",2)")</f>
        <v/>
      </c>
      <c r="P907" s="282" t="str" cm="1">
        <f t="array" ref="P907">_xll.FDSB($C907,"CS_EVENT_DESC_N("&amp;$AA$18&amp;",2)")</f>
        <v/>
      </c>
      <c r="Q907" s="282"/>
      <c r="R907" s="274" t="str" cm="1">
        <f t="array" ref="R907">_xll.FDSB($C907,"CS_EVENT_DATEJ_N("&amp;$AA$18&amp;",3)")</f>
        <v/>
      </c>
      <c r="S907" s="282" t="str" cm="1">
        <f t="array" ref="S907">_xll.FDSB($C907,"CS_EVENT_TIME_N("&amp;$AA$18&amp;",3)")</f>
        <v/>
      </c>
      <c r="T907" s="282" t="str" cm="1">
        <f t="array" ref="T907">_xll.FDSB($C907,"CS_EVENT_DESC_N("&amp;$AA$18&amp;",3)")</f>
        <v/>
      </c>
      <c r="U907" s="282"/>
      <c r="V907" s="274" t="str" cm="1">
        <f t="array" ref="V907">_xll.FDSB($C907,"CS_EVENT_DATEJ_N("&amp;$AA$18&amp;",4)")</f>
        <v/>
      </c>
      <c r="W907" s="282" t="str" cm="1">
        <f t="array" ref="W907">_xll.FDSB($C907,"CS_EVENT_TIME_N("&amp;$AA$18&amp;",4)")</f>
        <v/>
      </c>
      <c r="X907" s="282" t="str" cm="1">
        <f t="array" ref="X907">_xll.FDSB($C907,"CS_EVENT_DESC_N("&amp;$AA$18&amp;",4)")</f>
        <v/>
      </c>
    </row>
    <row r="908" spans="2:24" x14ac:dyDescent="0.15">
      <c r="B908" s="298">
        <f t="shared" si="15"/>
        <v>893</v>
      </c>
      <c r="C908" s="299"/>
      <c r="D908" s="300" t="str" cm="1">
        <f t="array" ref="D908">_xll.FDSB($C908,"FG_COMPANY_NAME")</f>
        <v/>
      </c>
      <c r="E908" s="300"/>
      <c r="F908" s="274" t="str" cm="1">
        <f t="array" ref="F908">_xll.FDSB($C908,"CS_EVENT_DATEJ_N("&amp;$AA$18&amp;",1)")</f>
        <v/>
      </c>
      <c r="G908" s="282" t="str" cm="1">
        <f t="array" ref="G908">_xll.FDSB($C908,"CS_EVENT_TIME_N("&amp;$AA$18&amp;",1)")</f>
        <v/>
      </c>
      <c r="H908" s="282" t="str" cm="1">
        <f t="array" ref="H908">_xll.FDSB($C908,"CS_EVENT_DESC_N("&amp;$AA$18&amp;",1)")</f>
        <v/>
      </c>
      <c r="I908" s="282"/>
      <c r="J908" s="274" t="str" cm="1">
        <f t="array" ref="J908">_xll.FDSB($C908,"CS_EVENT_DATEJ_N("&amp;$AB$18&amp;",1)")</f>
        <v/>
      </c>
      <c r="K908" s="282" t="str" cm="1">
        <f t="array" ref="K908">_xll.FDSB($C908,"CS_EVENT_TIME_N("&amp;$AB$18&amp;",1)")</f>
        <v/>
      </c>
      <c r="L908" s="282" t="str" cm="1">
        <f t="array" ref="L908">_xll.FDSB($C908,"CS_EVENT_DESC_N("&amp;$AB$18&amp;",1)")</f>
        <v/>
      </c>
      <c r="M908" s="300"/>
      <c r="N908" s="274" t="str" cm="1">
        <f t="array" ref="N908">_xll.FDSB($C908,"CS_EVENT_DATEJ_N("&amp;$AA$18&amp;",2)")</f>
        <v/>
      </c>
      <c r="O908" s="282" t="str" cm="1">
        <f t="array" ref="O908">_xll.FDSB($C908,"CS_EVENT_TIME_N("&amp;$AA$18&amp;",2)")</f>
        <v/>
      </c>
      <c r="P908" s="282" t="str" cm="1">
        <f t="array" ref="P908">_xll.FDSB($C908,"CS_EVENT_DESC_N("&amp;$AA$18&amp;",2)")</f>
        <v/>
      </c>
      <c r="Q908" s="282"/>
      <c r="R908" s="274" t="str" cm="1">
        <f t="array" ref="R908">_xll.FDSB($C908,"CS_EVENT_DATEJ_N("&amp;$AA$18&amp;",3)")</f>
        <v/>
      </c>
      <c r="S908" s="282" t="str" cm="1">
        <f t="array" ref="S908">_xll.FDSB($C908,"CS_EVENT_TIME_N("&amp;$AA$18&amp;",3)")</f>
        <v/>
      </c>
      <c r="T908" s="282" t="str" cm="1">
        <f t="array" ref="T908">_xll.FDSB($C908,"CS_EVENT_DESC_N("&amp;$AA$18&amp;",3)")</f>
        <v/>
      </c>
      <c r="U908" s="282"/>
      <c r="V908" s="274" t="str" cm="1">
        <f t="array" ref="V908">_xll.FDSB($C908,"CS_EVENT_DATEJ_N("&amp;$AA$18&amp;",4)")</f>
        <v/>
      </c>
      <c r="W908" s="282" t="str" cm="1">
        <f t="array" ref="W908">_xll.FDSB($C908,"CS_EVENT_TIME_N("&amp;$AA$18&amp;",4)")</f>
        <v/>
      </c>
      <c r="X908" s="282" t="str" cm="1">
        <f t="array" ref="X908">_xll.FDSB($C908,"CS_EVENT_DESC_N("&amp;$AA$18&amp;",4)")</f>
        <v/>
      </c>
    </row>
    <row r="909" spans="2:24" x14ac:dyDescent="0.15">
      <c r="B909" s="298">
        <f t="shared" si="15"/>
        <v>894</v>
      </c>
      <c r="C909" s="299"/>
      <c r="D909" s="300" t="str" cm="1">
        <f t="array" ref="D909">_xll.FDSB($C909,"FG_COMPANY_NAME")</f>
        <v/>
      </c>
      <c r="E909" s="300"/>
      <c r="F909" s="274" t="str" cm="1">
        <f t="array" ref="F909">_xll.FDSB($C909,"CS_EVENT_DATEJ_N("&amp;$AA$18&amp;",1)")</f>
        <v/>
      </c>
      <c r="G909" s="282" t="str" cm="1">
        <f t="array" ref="G909">_xll.FDSB($C909,"CS_EVENT_TIME_N("&amp;$AA$18&amp;",1)")</f>
        <v/>
      </c>
      <c r="H909" s="282" t="str" cm="1">
        <f t="array" ref="H909">_xll.FDSB($C909,"CS_EVENT_DESC_N("&amp;$AA$18&amp;",1)")</f>
        <v/>
      </c>
      <c r="I909" s="282"/>
      <c r="J909" s="274" t="str" cm="1">
        <f t="array" ref="J909">_xll.FDSB($C909,"CS_EVENT_DATEJ_N("&amp;$AB$18&amp;",1)")</f>
        <v/>
      </c>
      <c r="K909" s="282" t="str" cm="1">
        <f t="array" ref="K909">_xll.FDSB($C909,"CS_EVENT_TIME_N("&amp;$AB$18&amp;",1)")</f>
        <v/>
      </c>
      <c r="L909" s="282" t="str" cm="1">
        <f t="array" ref="L909">_xll.FDSB($C909,"CS_EVENT_DESC_N("&amp;$AB$18&amp;",1)")</f>
        <v/>
      </c>
      <c r="M909" s="300"/>
      <c r="N909" s="274" t="str" cm="1">
        <f t="array" ref="N909">_xll.FDSB($C909,"CS_EVENT_DATEJ_N("&amp;$AA$18&amp;",2)")</f>
        <v/>
      </c>
      <c r="O909" s="282" t="str" cm="1">
        <f t="array" ref="O909">_xll.FDSB($C909,"CS_EVENT_TIME_N("&amp;$AA$18&amp;",2)")</f>
        <v/>
      </c>
      <c r="P909" s="282" t="str" cm="1">
        <f t="array" ref="P909">_xll.FDSB($C909,"CS_EVENT_DESC_N("&amp;$AA$18&amp;",2)")</f>
        <v/>
      </c>
      <c r="Q909" s="282"/>
      <c r="R909" s="274" t="str" cm="1">
        <f t="array" ref="R909">_xll.FDSB($C909,"CS_EVENT_DATEJ_N("&amp;$AA$18&amp;",3)")</f>
        <v/>
      </c>
      <c r="S909" s="282" t="str" cm="1">
        <f t="array" ref="S909">_xll.FDSB($C909,"CS_EVENT_TIME_N("&amp;$AA$18&amp;",3)")</f>
        <v/>
      </c>
      <c r="T909" s="282" t="str" cm="1">
        <f t="array" ref="T909">_xll.FDSB($C909,"CS_EVENT_DESC_N("&amp;$AA$18&amp;",3)")</f>
        <v/>
      </c>
      <c r="U909" s="282"/>
      <c r="V909" s="274" t="str" cm="1">
        <f t="array" ref="V909">_xll.FDSB($C909,"CS_EVENT_DATEJ_N("&amp;$AA$18&amp;",4)")</f>
        <v/>
      </c>
      <c r="W909" s="282" t="str" cm="1">
        <f t="array" ref="W909">_xll.FDSB($C909,"CS_EVENT_TIME_N("&amp;$AA$18&amp;",4)")</f>
        <v/>
      </c>
      <c r="X909" s="282" t="str" cm="1">
        <f t="array" ref="X909">_xll.FDSB($C909,"CS_EVENT_DESC_N("&amp;$AA$18&amp;",4)")</f>
        <v/>
      </c>
    </row>
    <row r="910" spans="2:24" x14ac:dyDescent="0.15">
      <c r="B910" s="298">
        <f t="shared" si="15"/>
        <v>895</v>
      </c>
      <c r="C910" s="299"/>
      <c r="D910" s="300" t="str" cm="1">
        <f t="array" ref="D910">_xll.FDSB($C910,"FG_COMPANY_NAME")</f>
        <v/>
      </c>
      <c r="E910" s="300"/>
      <c r="F910" s="274" t="str" cm="1">
        <f t="array" ref="F910">_xll.FDSB($C910,"CS_EVENT_DATEJ_N("&amp;$AA$18&amp;",1)")</f>
        <v/>
      </c>
      <c r="G910" s="282" t="str" cm="1">
        <f t="array" ref="G910">_xll.FDSB($C910,"CS_EVENT_TIME_N("&amp;$AA$18&amp;",1)")</f>
        <v/>
      </c>
      <c r="H910" s="282" t="str" cm="1">
        <f t="array" ref="H910">_xll.FDSB($C910,"CS_EVENT_DESC_N("&amp;$AA$18&amp;",1)")</f>
        <v/>
      </c>
      <c r="I910" s="282"/>
      <c r="J910" s="274" t="str" cm="1">
        <f t="array" ref="J910">_xll.FDSB($C910,"CS_EVENT_DATEJ_N("&amp;$AB$18&amp;",1)")</f>
        <v/>
      </c>
      <c r="K910" s="282" t="str" cm="1">
        <f t="array" ref="K910">_xll.FDSB($C910,"CS_EVENT_TIME_N("&amp;$AB$18&amp;",1)")</f>
        <v/>
      </c>
      <c r="L910" s="282" t="str" cm="1">
        <f t="array" ref="L910">_xll.FDSB($C910,"CS_EVENT_DESC_N("&amp;$AB$18&amp;",1)")</f>
        <v/>
      </c>
      <c r="M910" s="300"/>
      <c r="N910" s="274" t="str" cm="1">
        <f t="array" ref="N910">_xll.FDSB($C910,"CS_EVENT_DATEJ_N("&amp;$AA$18&amp;",2)")</f>
        <v/>
      </c>
      <c r="O910" s="282" t="str" cm="1">
        <f t="array" ref="O910">_xll.FDSB($C910,"CS_EVENT_TIME_N("&amp;$AA$18&amp;",2)")</f>
        <v/>
      </c>
      <c r="P910" s="282" t="str" cm="1">
        <f t="array" ref="P910">_xll.FDSB($C910,"CS_EVENT_DESC_N("&amp;$AA$18&amp;",2)")</f>
        <v/>
      </c>
      <c r="Q910" s="282"/>
      <c r="R910" s="274" t="str" cm="1">
        <f t="array" ref="R910">_xll.FDSB($C910,"CS_EVENT_DATEJ_N("&amp;$AA$18&amp;",3)")</f>
        <v/>
      </c>
      <c r="S910" s="282" t="str" cm="1">
        <f t="array" ref="S910">_xll.FDSB($C910,"CS_EVENT_TIME_N("&amp;$AA$18&amp;",3)")</f>
        <v/>
      </c>
      <c r="T910" s="282" t="str" cm="1">
        <f t="array" ref="T910">_xll.FDSB($C910,"CS_EVENT_DESC_N("&amp;$AA$18&amp;",3)")</f>
        <v/>
      </c>
      <c r="U910" s="282"/>
      <c r="V910" s="274" t="str" cm="1">
        <f t="array" ref="V910">_xll.FDSB($C910,"CS_EVENT_DATEJ_N("&amp;$AA$18&amp;",4)")</f>
        <v/>
      </c>
      <c r="W910" s="282" t="str" cm="1">
        <f t="array" ref="W910">_xll.FDSB($C910,"CS_EVENT_TIME_N("&amp;$AA$18&amp;",4)")</f>
        <v/>
      </c>
      <c r="X910" s="282" t="str" cm="1">
        <f t="array" ref="X910">_xll.FDSB($C910,"CS_EVENT_DESC_N("&amp;$AA$18&amp;",4)")</f>
        <v/>
      </c>
    </row>
    <row r="911" spans="2:24" x14ac:dyDescent="0.15">
      <c r="B911" s="298">
        <f t="shared" si="15"/>
        <v>896</v>
      </c>
      <c r="C911" s="299"/>
      <c r="D911" s="300" t="str" cm="1">
        <f t="array" ref="D911">_xll.FDSB($C911,"FG_COMPANY_NAME")</f>
        <v/>
      </c>
      <c r="E911" s="300"/>
      <c r="F911" s="274" t="str" cm="1">
        <f t="array" ref="F911">_xll.FDSB($C911,"CS_EVENT_DATEJ_N("&amp;$AA$18&amp;",1)")</f>
        <v/>
      </c>
      <c r="G911" s="282" t="str" cm="1">
        <f t="array" ref="G911">_xll.FDSB($C911,"CS_EVENT_TIME_N("&amp;$AA$18&amp;",1)")</f>
        <v/>
      </c>
      <c r="H911" s="282" t="str" cm="1">
        <f t="array" ref="H911">_xll.FDSB($C911,"CS_EVENT_DESC_N("&amp;$AA$18&amp;",1)")</f>
        <v/>
      </c>
      <c r="I911" s="282"/>
      <c r="J911" s="274" t="str" cm="1">
        <f t="array" ref="J911">_xll.FDSB($C911,"CS_EVENT_DATEJ_N("&amp;$AB$18&amp;",1)")</f>
        <v/>
      </c>
      <c r="K911" s="282" t="str" cm="1">
        <f t="array" ref="K911">_xll.FDSB($C911,"CS_EVENT_TIME_N("&amp;$AB$18&amp;",1)")</f>
        <v/>
      </c>
      <c r="L911" s="282" t="str" cm="1">
        <f t="array" ref="L911">_xll.FDSB($C911,"CS_EVENT_DESC_N("&amp;$AB$18&amp;",1)")</f>
        <v/>
      </c>
      <c r="M911" s="300"/>
      <c r="N911" s="274" t="str" cm="1">
        <f t="array" ref="N911">_xll.FDSB($C911,"CS_EVENT_DATEJ_N("&amp;$AA$18&amp;",2)")</f>
        <v/>
      </c>
      <c r="O911" s="282" t="str" cm="1">
        <f t="array" ref="O911">_xll.FDSB($C911,"CS_EVENT_TIME_N("&amp;$AA$18&amp;",2)")</f>
        <v/>
      </c>
      <c r="P911" s="282" t="str" cm="1">
        <f t="array" ref="P911">_xll.FDSB($C911,"CS_EVENT_DESC_N("&amp;$AA$18&amp;",2)")</f>
        <v/>
      </c>
      <c r="Q911" s="282"/>
      <c r="R911" s="274" t="str" cm="1">
        <f t="array" ref="R911">_xll.FDSB($C911,"CS_EVENT_DATEJ_N("&amp;$AA$18&amp;",3)")</f>
        <v/>
      </c>
      <c r="S911" s="282" t="str" cm="1">
        <f t="array" ref="S911">_xll.FDSB($C911,"CS_EVENT_TIME_N("&amp;$AA$18&amp;",3)")</f>
        <v/>
      </c>
      <c r="T911" s="282" t="str" cm="1">
        <f t="array" ref="T911">_xll.FDSB($C911,"CS_EVENT_DESC_N("&amp;$AA$18&amp;",3)")</f>
        <v/>
      </c>
      <c r="U911" s="282"/>
      <c r="V911" s="274" t="str" cm="1">
        <f t="array" ref="V911">_xll.FDSB($C911,"CS_EVENT_DATEJ_N("&amp;$AA$18&amp;",4)")</f>
        <v/>
      </c>
      <c r="W911" s="282" t="str" cm="1">
        <f t="array" ref="W911">_xll.FDSB($C911,"CS_EVENT_TIME_N("&amp;$AA$18&amp;",4)")</f>
        <v/>
      </c>
      <c r="X911" s="282" t="str" cm="1">
        <f t="array" ref="X911">_xll.FDSB($C911,"CS_EVENT_DESC_N("&amp;$AA$18&amp;",4)")</f>
        <v/>
      </c>
    </row>
    <row r="912" spans="2:24" x14ac:dyDescent="0.15">
      <c r="B912" s="298">
        <f t="shared" si="15"/>
        <v>897</v>
      </c>
      <c r="C912" s="299"/>
      <c r="D912" s="300" t="str" cm="1">
        <f t="array" ref="D912">_xll.FDSB($C912,"FG_COMPANY_NAME")</f>
        <v/>
      </c>
      <c r="E912" s="300"/>
      <c r="F912" s="274" t="str" cm="1">
        <f t="array" ref="F912">_xll.FDSB($C912,"CS_EVENT_DATEJ_N("&amp;$AA$18&amp;",1)")</f>
        <v/>
      </c>
      <c r="G912" s="282" t="str" cm="1">
        <f t="array" ref="G912">_xll.FDSB($C912,"CS_EVENT_TIME_N("&amp;$AA$18&amp;",1)")</f>
        <v/>
      </c>
      <c r="H912" s="282" t="str" cm="1">
        <f t="array" ref="H912">_xll.FDSB($C912,"CS_EVENT_DESC_N("&amp;$AA$18&amp;",1)")</f>
        <v/>
      </c>
      <c r="I912" s="282"/>
      <c r="J912" s="274" t="str" cm="1">
        <f t="array" ref="J912">_xll.FDSB($C912,"CS_EVENT_DATEJ_N("&amp;$AB$18&amp;",1)")</f>
        <v/>
      </c>
      <c r="K912" s="282" t="str" cm="1">
        <f t="array" ref="K912">_xll.FDSB($C912,"CS_EVENT_TIME_N("&amp;$AB$18&amp;",1)")</f>
        <v/>
      </c>
      <c r="L912" s="282" t="str" cm="1">
        <f t="array" ref="L912">_xll.FDSB($C912,"CS_EVENT_DESC_N("&amp;$AB$18&amp;",1)")</f>
        <v/>
      </c>
      <c r="M912" s="300"/>
      <c r="N912" s="274" t="str" cm="1">
        <f t="array" ref="N912">_xll.FDSB($C912,"CS_EVENT_DATEJ_N("&amp;$AA$18&amp;",2)")</f>
        <v/>
      </c>
      <c r="O912" s="282" t="str" cm="1">
        <f t="array" ref="O912">_xll.FDSB($C912,"CS_EVENT_TIME_N("&amp;$AA$18&amp;",2)")</f>
        <v/>
      </c>
      <c r="P912" s="282" t="str" cm="1">
        <f t="array" ref="P912">_xll.FDSB($C912,"CS_EVENT_DESC_N("&amp;$AA$18&amp;",2)")</f>
        <v/>
      </c>
      <c r="Q912" s="282"/>
      <c r="R912" s="274" t="str" cm="1">
        <f t="array" ref="R912">_xll.FDSB($C912,"CS_EVENT_DATEJ_N("&amp;$AA$18&amp;",3)")</f>
        <v/>
      </c>
      <c r="S912" s="282" t="str" cm="1">
        <f t="array" ref="S912">_xll.FDSB($C912,"CS_EVENT_TIME_N("&amp;$AA$18&amp;",3)")</f>
        <v/>
      </c>
      <c r="T912" s="282" t="str" cm="1">
        <f t="array" ref="T912">_xll.FDSB($C912,"CS_EVENT_DESC_N("&amp;$AA$18&amp;",3)")</f>
        <v/>
      </c>
      <c r="U912" s="282"/>
      <c r="V912" s="274" t="str" cm="1">
        <f t="array" ref="V912">_xll.FDSB($C912,"CS_EVENT_DATEJ_N("&amp;$AA$18&amp;",4)")</f>
        <v/>
      </c>
      <c r="W912" s="282" t="str" cm="1">
        <f t="array" ref="W912">_xll.FDSB($C912,"CS_EVENT_TIME_N("&amp;$AA$18&amp;",4)")</f>
        <v/>
      </c>
      <c r="X912" s="282" t="str" cm="1">
        <f t="array" ref="X912">_xll.FDSB($C912,"CS_EVENT_DESC_N("&amp;$AA$18&amp;",4)")</f>
        <v/>
      </c>
    </row>
    <row r="913" spans="2:24" x14ac:dyDescent="0.15">
      <c r="B913" s="298">
        <f t="shared" si="15"/>
        <v>898</v>
      </c>
      <c r="C913" s="299"/>
      <c r="D913" s="300" t="str" cm="1">
        <f t="array" ref="D913">_xll.FDSB($C913,"FG_COMPANY_NAME")</f>
        <v/>
      </c>
      <c r="E913" s="300"/>
      <c r="F913" s="274" t="str" cm="1">
        <f t="array" ref="F913">_xll.FDSB($C913,"CS_EVENT_DATEJ_N("&amp;$AA$18&amp;",1)")</f>
        <v/>
      </c>
      <c r="G913" s="282" t="str" cm="1">
        <f t="array" ref="G913">_xll.FDSB($C913,"CS_EVENT_TIME_N("&amp;$AA$18&amp;",1)")</f>
        <v/>
      </c>
      <c r="H913" s="282" t="str" cm="1">
        <f t="array" ref="H913">_xll.FDSB($C913,"CS_EVENT_DESC_N("&amp;$AA$18&amp;",1)")</f>
        <v/>
      </c>
      <c r="I913" s="282"/>
      <c r="J913" s="274" t="str" cm="1">
        <f t="array" ref="J913">_xll.FDSB($C913,"CS_EVENT_DATEJ_N("&amp;$AB$18&amp;",1)")</f>
        <v/>
      </c>
      <c r="K913" s="282" t="str" cm="1">
        <f t="array" ref="K913">_xll.FDSB($C913,"CS_EVENT_TIME_N("&amp;$AB$18&amp;",1)")</f>
        <v/>
      </c>
      <c r="L913" s="282" t="str" cm="1">
        <f t="array" ref="L913">_xll.FDSB($C913,"CS_EVENT_DESC_N("&amp;$AB$18&amp;",1)")</f>
        <v/>
      </c>
      <c r="M913" s="300"/>
      <c r="N913" s="274" t="str" cm="1">
        <f t="array" ref="N913">_xll.FDSB($C913,"CS_EVENT_DATEJ_N("&amp;$AA$18&amp;",2)")</f>
        <v/>
      </c>
      <c r="O913" s="282" t="str" cm="1">
        <f t="array" ref="O913">_xll.FDSB($C913,"CS_EVENT_TIME_N("&amp;$AA$18&amp;",2)")</f>
        <v/>
      </c>
      <c r="P913" s="282" t="str" cm="1">
        <f t="array" ref="P913">_xll.FDSB($C913,"CS_EVENT_DESC_N("&amp;$AA$18&amp;",2)")</f>
        <v/>
      </c>
      <c r="Q913" s="282"/>
      <c r="R913" s="274" t="str" cm="1">
        <f t="array" ref="R913">_xll.FDSB($C913,"CS_EVENT_DATEJ_N("&amp;$AA$18&amp;",3)")</f>
        <v/>
      </c>
      <c r="S913" s="282" t="str" cm="1">
        <f t="array" ref="S913">_xll.FDSB($C913,"CS_EVENT_TIME_N("&amp;$AA$18&amp;",3)")</f>
        <v/>
      </c>
      <c r="T913" s="282" t="str" cm="1">
        <f t="array" ref="T913">_xll.FDSB($C913,"CS_EVENT_DESC_N("&amp;$AA$18&amp;",3)")</f>
        <v/>
      </c>
      <c r="U913" s="282"/>
      <c r="V913" s="274" t="str" cm="1">
        <f t="array" ref="V913">_xll.FDSB($C913,"CS_EVENT_DATEJ_N("&amp;$AA$18&amp;",4)")</f>
        <v/>
      </c>
      <c r="W913" s="282" t="str" cm="1">
        <f t="array" ref="W913">_xll.FDSB($C913,"CS_EVENT_TIME_N("&amp;$AA$18&amp;",4)")</f>
        <v/>
      </c>
      <c r="X913" s="282" t="str" cm="1">
        <f t="array" ref="X913">_xll.FDSB($C913,"CS_EVENT_DESC_N("&amp;$AA$18&amp;",4)")</f>
        <v/>
      </c>
    </row>
    <row r="914" spans="2:24" x14ac:dyDescent="0.15">
      <c r="B914" s="298">
        <f t="shared" ref="B914:B977" si="16">B913+1</f>
        <v>899</v>
      </c>
      <c r="C914" s="299"/>
      <c r="D914" s="300" t="str" cm="1">
        <f t="array" ref="D914">_xll.FDSB($C914,"FG_COMPANY_NAME")</f>
        <v/>
      </c>
      <c r="E914" s="300"/>
      <c r="F914" s="274" t="str" cm="1">
        <f t="array" ref="F914">_xll.FDSB($C914,"CS_EVENT_DATEJ_N("&amp;$AA$18&amp;",1)")</f>
        <v/>
      </c>
      <c r="G914" s="282" t="str" cm="1">
        <f t="array" ref="G914">_xll.FDSB($C914,"CS_EVENT_TIME_N("&amp;$AA$18&amp;",1)")</f>
        <v/>
      </c>
      <c r="H914" s="282" t="str" cm="1">
        <f t="array" ref="H914">_xll.FDSB($C914,"CS_EVENT_DESC_N("&amp;$AA$18&amp;",1)")</f>
        <v/>
      </c>
      <c r="I914" s="282"/>
      <c r="J914" s="274" t="str" cm="1">
        <f t="array" ref="J914">_xll.FDSB($C914,"CS_EVENT_DATEJ_N("&amp;$AB$18&amp;",1)")</f>
        <v/>
      </c>
      <c r="K914" s="282" t="str" cm="1">
        <f t="array" ref="K914">_xll.FDSB($C914,"CS_EVENT_TIME_N("&amp;$AB$18&amp;",1)")</f>
        <v/>
      </c>
      <c r="L914" s="282" t="str" cm="1">
        <f t="array" ref="L914">_xll.FDSB($C914,"CS_EVENT_DESC_N("&amp;$AB$18&amp;",1)")</f>
        <v/>
      </c>
      <c r="M914" s="300"/>
      <c r="N914" s="274" t="str" cm="1">
        <f t="array" ref="N914">_xll.FDSB($C914,"CS_EVENT_DATEJ_N("&amp;$AA$18&amp;",2)")</f>
        <v/>
      </c>
      <c r="O914" s="282" t="str" cm="1">
        <f t="array" ref="O914">_xll.FDSB($C914,"CS_EVENT_TIME_N("&amp;$AA$18&amp;",2)")</f>
        <v/>
      </c>
      <c r="P914" s="282" t="str" cm="1">
        <f t="array" ref="P914">_xll.FDSB($C914,"CS_EVENT_DESC_N("&amp;$AA$18&amp;",2)")</f>
        <v/>
      </c>
      <c r="Q914" s="282"/>
      <c r="R914" s="274" t="str" cm="1">
        <f t="array" ref="R914">_xll.FDSB($C914,"CS_EVENT_DATEJ_N("&amp;$AA$18&amp;",3)")</f>
        <v/>
      </c>
      <c r="S914" s="282" t="str" cm="1">
        <f t="array" ref="S914">_xll.FDSB($C914,"CS_EVENT_TIME_N("&amp;$AA$18&amp;",3)")</f>
        <v/>
      </c>
      <c r="T914" s="282" t="str" cm="1">
        <f t="array" ref="T914">_xll.FDSB($C914,"CS_EVENT_DESC_N("&amp;$AA$18&amp;",3)")</f>
        <v/>
      </c>
      <c r="U914" s="282"/>
      <c r="V914" s="274" t="str" cm="1">
        <f t="array" ref="V914">_xll.FDSB($C914,"CS_EVENT_DATEJ_N("&amp;$AA$18&amp;",4)")</f>
        <v/>
      </c>
      <c r="W914" s="282" t="str" cm="1">
        <f t="array" ref="W914">_xll.FDSB($C914,"CS_EVENT_TIME_N("&amp;$AA$18&amp;",4)")</f>
        <v/>
      </c>
      <c r="X914" s="282" t="str" cm="1">
        <f t="array" ref="X914">_xll.FDSB($C914,"CS_EVENT_DESC_N("&amp;$AA$18&amp;",4)")</f>
        <v/>
      </c>
    </row>
    <row r="915" spans="2:24" x14ac:dyDescent="0.15">
      <c r="B915" s="298">
        <f t="shared" si="16"/>
        <v>900</v>
      </c>
      <c r="C915" s="299"/>
      <c r="D915" s="300" t="str" cm="1">
        <f t="array" ref="D915">_xll.FDSB($C915,"FG_COMPANY_NAME")</f>
        <v/>
      </c>
      <c r="E915" s="300"/>
      <c r="F915" s="274" t="str" cm="1">
        <f t="array" ref="F915">_xll.FDSB($C915,"CS_EVENT_DATEJ_N("&amp;$AA$18&amp;",1)")</f>
        <v/>
      </c>
      <c r="G915" s="282" t="str" cm="1">
        <f t="array" ref="G915">_xll.FDSB($C915,"CS_EVENT_TIME_N("&amp;$AA$18&amp;",1)")</f>
        <v/>
      </c>
      <c r="H915" s="282" t="str" cm="1">
        <f t="array" ref="H915">_xll.FDSB($C915,"CS_EVENT_DESC_N("&amp;$AA$18&amp;",1)")</f>
        <v/>
      </c>
      <c r="I915" s="282"/>
      <c r="J915" s="274" t="str" cm="1">
        <f t="array" ref="J915">_xll.FDSB($C915,"CS_EVENT_DATEJ_N("&amp;$AB$18&amp;",1)")</f>
        <v/>
      </c>
      <c r="K915" s="282" t="str" cm="1">
        <f t="array" ref="K915">_xll.FDSB($C915,"CS_EVENT_TIME_N("&amp;$AB$18&amp;",1)")</f>
        <v/>
      </c>
      <c r="L915" s="282" t="str" cm="1">
        <f t="array" ref="L915">_xll.FDSB($C915,"CS_EVENT_DESC_N("&amp;$AB$18&amp;",1)")</f>
        <v/>
      </c>
      <c r="M915" s="300"/>
      <c r="N915" s="274" t="str" cm="1">
        <f t="array" ref="N915">_xll.FDSB($C915,"CS_EVENT_DATEJ_N("&amp;$AA$18&amp;",2)")</f>
        <v/>
      </c>
      <c r="O915" s="282" t="str" cm="1">
        <f t="array" ref="O915">_xll.FDSB($C915,"CS_EVENT_TIME_N("&amp;$AA$18&amp;",2)")</f>
        <v/>
      </c>
      <c r="P915" s="282" t="str" cm="1">
        <f t="array" ref="P915">_xll.FDSB($C915,"CS_EVENT_DESC_N("&amp;$AA$18&amp;",2)")</f>
        <v/>
      </c>
      <c r="Q915" s="282"/>
      <c r="R915" s="274" t="str" cm="1">
        <f t="array" ref="R915">_xll.FDSB($C915,"CS_EVENT_DATEJ_N("&amp;$AA$18&amp;",3)")</f>
        <v/>
      </c>
      <c r="S915" s="282" t="str" cm="1">
        <f t="array" ref="S915">_xll.FDSB($C915,"CS_EVENT_TIME_N("&amp;$AA$18&amp;",3)")</f>
        <v/>
      </c>
      <c r="T915" s="282" t="str" cm="1">
        <f t="array" ref="T915">_xll.FDSB($C915,"CS_EVENT_DESC_N("&amp;$AA$18&amp;",3)")</f>
        <v/>
      </c>
      <c r="U915" s="282"/>
      <c r="V915" s="274" t="str" cm="1">
        <f t="array" ref="V915">_xll.FDSB($C915,"CS_EVENT_DATEJ_N("&amp;$AA$18&amp;",4)")</f>
        <v/>
      </c>
      <c r="W915" s="282" t="str" cm="1">
        <f t="array" ref="W915">_xll.FDSB($C915,"CS_EVENT_TIME_N("&amp;$AA$18&amp;",4)")</f>
        <v/>
      </c>
      <c r="X915" s="282" t="str" cm="1">
        <f t="array" ref="X915">_xll.FDSB($C915,"CS_EVENT_DESC_N("&amp;$AA$18&amp;",4)")</f>
        <v/>
      </c>
    </row>
    <row r="916" spans="2:24" x14ac:dyDescent="0.15">
      <c r="B916" s="298">
        <f t="shared" si="16"/>
        <v>901</v>
      </c>
      <c r="C916" s="299"/>
      <c r="D916" s="300" t="str" cm="1">
        <f t="array" ref="D916">_xll.FDSB($C916,"FG_COMPANY_NAME")</f>
        <v/>
      </c>
      <c r="E916" s="300"/>
      <c r="F916" s="274" t="str" cm="1">
        <f t="array" ref="F916">_xll.FDSB($C916,"CS_EVENT_DATEJ_N("&amp;$AA$18&amp;",1)")</f>
        <v/>
      </c>
      <c r="G916" s="282" t="str" cm="1">
        <f t="array" ref="G916">_xll.FDSB($C916,"CS_EVENT_TIME_N("&amp;$AA$18&amp;",1)")</f>
        <v/>
      </c>
      <c r="H916" s="282" t="str" cm="1">
        <f t="array" ref="H916">_xll.FDSB($C916,"CS_EVENT_DESC_N("&amp;$AA$18&amp;",1)")</f>
        <v/>
      </c>
      <c r="I916" s="282"/>
      <c r="J916" s="274" t="str" cm="1">
        <f t="array" ref="J916">_xll.FDSB($C916,"CS_EVENT_DATEJ_N("&amp;$AB$18&amp;",1)")</f>
        <v/>
      </c>
      <c r="K916" s="282" t="str" cm="1">
        <f t="array" ref="K916">_xll.FDSB($C916,"CS_EVENT_TIME_N("&amp;$AB$18&amp;",1)")</f>
        <v/>
      </c>
      <c r="L916" s="282" t="str" cm="1">
        <f t="array" ref="L916">_xll.FDSB($C916,"CS_EVENT_DESC_N("&amp;$AB$18&amp;",1)")</f>
        <v/>
      </c>
      <c r="M916" s="300"/>
      <c r="N916" s="274" t="str" cm="1">
        <f t="array" ref="N916">_xll.FDSB($C916,"CS_EVENT_DATEJ_N("&amp;$AA$18&amp;",2)")</f>
        <v/>
      </c>
      <c r="O916" s="282" t="str" cm="1">
        <f t="array" ref="O916">_xll.FDSB($C916,"CS_EVENT_TIME_N("&amp;$AA$18&amp;",2)")</f>
        <v/>
      </c>
      <c r="P916" s="282" t="str" cm="1">
        <f t="array" ref="P916">_xll.FDSB($C916,"CS_EVENT_DESC_N("&amp;$AA$18&amp;",2)")</f>
        <v/>
      </c>
      <c r="Q916" s="282"/>
      <c r="R916" s="274" t="str" cm="1">
        <f t="array" ref="R916">_xll.FDSB($C916,"CS_EVENT_DATEJ_N("&amp;$AA$18&amp;",3)")</f>
        <v/>
      </c>
      <c r="S916" s="282" t="str" cm="1">
        <f t="array" ref="S916">_xll.FDSB($C916,"CS_EVENT_TIME_N("&amp;$AA$18&amp;",3)")</f>
        <v/>
      </c>
      <c r="T916" s="282" t="str" cm="1">
        <f t="array" ref="T916">_xll.FDSB($C916,"CS_EVENT_DESC_N("&amp;$AA$18&amp;",3)")</f>
        <v/>
      </c>
      <c r="U916" s="282"/>
      <c r="V916" s="274" t="str" cm="1">
        <f t="array" ref="V916">_xll.FDSB($C916,"CS_EVENT_DATEJ_N("&amp;$AA$18&amp;",4)")</f>
        <v/>
      </c>
      <c r="W916" s="282" t="str" cm="1">
        <f t="array" ref="W916">_xll.FDSB($C916,"CS_EVENT_TIME_N("&amp;$AA$18&amp;",4)")</f>
        <v/>
      </c>
      <c r="X916" s="282" t="str" cm="1">
        <f t="array" ref="X916">_xll.FDSB($C916,"CS_EVENT_DESC_N("&amp;$AA$18&amp;",4)")</f>
        <v/>
      </c>
    </row>
    <row r="917" spans="2:24" x14ac:dyDescent="0.15">
      <c r="B917" s="298">
        <f t="shared" si="16"/>
        <v>902</v>
      </c>
      <c r="C917" s="299"/>
      <c r="D917" s="300" t="str" cm="1">
        <f t="array" ref="D917">_xll.FDSB($C917,"FG_COMPANY_NAME")</f>
        <v/>
      </c>
      <c r="E917" s="300"/>
      <c r="F917" s="274" t="str" cm="1">
        <f t="array" ref="F917">_xll.FDSB($C917,"CS_EVENT_DATEJ_N("&amp;$AA$18&amp;",1)")</f>
        <v/>
      </c>
      <c r="G917" s="282" t="str" cm="1">
        <f t="array" ref="G917">_xll.FDSB($C917,"CS_EVENT_TIME_N("&amp;$AA$18&amp;",1)")</f>
        <v/>
      </c>
      <c r="H917" s="282" t="str" cm="1">
        <f t="array" ref="H917">_xll.FDSB($C917,"CS_EVENT_DESC_N("&amp;$AA$18&amp;",1)")</f>
        <v/>
      </c>
      <c r="I917" s="282"/>
      <c r="J917" s="274" t="str" cm="1">
        <f t="array" ref="J917">_xll.FDSB($C917,"CS_EVENT_DATEJ_N("&amp;$AB$18&amp;",1)")</f>
        <v/>
      </c>
      <c r="K917" s="282" t="str" cm="1">
        <f t="array" ref="K917">_xll.FDSB($C917,"CS_EVENT_TIME_N("&amp;$AB$18&amp;",1)")</f>
        <v/>
      </c>
      <c r="L917" s="282" t="str" cm="1">
        <f t="array" ref="L917">_xll.FDSB($C917,"CS_EVENT_DESC_N("&amp;$AB$18&amp;",1)")</f>
        <v/>
      </c>
      <c r="M917" s="300"/>
      <c r="N917" s="274" t="str" cm="1">
        <f t="array" ref="N917">_xll.FDSB($C917,"CS_EVENT_DATEJ_N("&amp;$AA$18&amp;",2)")</f>
        <v/>
      </c>
      <c r="O917" s="282" t="str" cm="1">
        <f t="array" ref="O917">_xll.FDSB($C917,"CS_EVENT_TIME_N("&amp;$AA$18&amp;",2)")</f>
        <v/>
      </c>
      <c r="P917" s="282" t="str" cm="1">
        <f t="array" ref="P917">_xll.FDSB($C917,"CS_EVENT_DESC_N("&amp;$AA$18&amp;",2)")</f>
        <v/>
      </c>
      <c r="Q917" s="282"/>
      <c r="R917" s="274" t="str" cm="1">
        <f t="array" ref="R917">_xll.FDSB($C917,"CS_EVENT_DATEJ_N("&amp;$AA$18&amp;",3)")</f>
        <v/>
      </c>
      <c r="S917" s="282" t="str" cm="1">
        <f t="array" ref="S917">_xll.FDSB($C917,"CS_EVENT_TIME_N("&amp;$AA$18&amp;",3)")</f>
        <v/>
      </c>
      <c r="T917" s="282" t="str" cm="1">
        <f t="array" ref="T917">_xll.FDSB($C917,"CS_EVENT_DESC_N("&amp;$AA$18&amp;",3)")</f>
        <v/>
      </c>
      <c r="U917" s="282"/>
      <c r="V917" s="274" t="str" cm="1">
        <f t="array" ref="V917">_xll.FDSB($C917,"CS_EVENT_DATEJ_N("&amp;$AA$18&amp;",4)")</f>
        <v/>
      </c>
      <c r="W917" s="282" t="str" cm="1">
        <f t="array" ref="W917">_xll.FDSB($C917,"CS_EVENT_TIME_N("&amp;$AA$18&amp;",4)")</f>
        <v/>
      </c>
      <c r="X917" s="282" t="str" cm="1">
        <f t="array" ref="X917">_xll.FDSB($C917,"CS_EVENT_DESC_N("&amp;$AA$18&amp;",4)")</f>
        <v/>
      </c>
    </row>
    <row r="918" spans="2:24" x14ac:dyDescent="0.15">
      <c r="B918" s="298">
        <f t="shared" si="16"/>
        <v>903</v>
      </c>
      <c r="C918" s="299"/>
      <c r="D918" s="300" t="str" cm="1">
        <f t="array" ref="D918">_xll.FDSB($C918,"FG_COMPANY_NAME")</f>
        <v/>
      </c>
      <c r="E918" s="300"/>
      <c r="F918" s="274" t="str" cm="1">
        <f t="array" ref="F918">_xll.FDSB($C918,"CS_EVENT_DATEJ_N("&amp;$AA$18&amp;",1)")</f>
        <v/>
      </c>
      <c r="G918" s="282" t="str" cm="1">
        <f t="array" ref="G918">_xll.FDSB($C918,"CS_EVENT_TIME_N("&amp;$AA$18&amp;",1)")</f>
        <v/>
      </c>
      <c r="H918" s="282" t="str" cm="1">
        <f t="array" ref="H918">_xll.FDSB($C918,"CS_EVENT_DESC_N("&amp;$AA$18&amp;",1)")</f>
        <v/>
      </c>
      <c r="I918" s="282"/>
      <c r="J918" s="274" t="str" cm="1">
        <f t="array" ref="J918">_xll.FDSB($C918,"CS_EVENT_DATEJ_N("&amp;$AB$18&amp;",1)")</f>
        <v/>
      </c>
      <c r="K918" s="282" t="str" cm="1">
        <f t="array" ref="K918">_xll.FDSB($C918,"CS_EVENT_TIME_N("&amp;$AB$18&amp;",1)")</f>
        <v/>
      </c>
      <c r="L918" s="282" t="str" cm="1">
        <f t="array" ref="L918">_xll.FDSB($C918,"CS_EVENT_DESC_N("&amp;$AB$18&amp;",1)")</f>
        <v/>
      </c>
      <c r="M918" s="300"/>
      <c r="N918" s="274" t="str" cm="1">
        <f t="array" ref="N918">_xll.FDSB($C918,"CS_EVENT_DATEJ_N("&amp;$AA$18&amp;",2)")</f>
        <v/>
      </c>
      <c r="O918" s="282" t="str" cm="1">
        <f t="array" ref="O918">_xll.FDSB($C918,"CS_EVENT_TIME_N("&amp;$AA$18&amp;",2)")</f>
        <v/>
      </c>
      <c r="P918" s="282" t="str" cm="1">
        <f t="array" ref="P918">_xll.FDSB($C918,"CS_EVENT_DESC_N("&amp;$AA$18&amp;",2)")</f>
        <v/>
      </c>
      <c r="Q918" s="282"/>
      <c r="R918" s="274" t="str" cm="1">
        <f t="array" ref="R918">_xll.FDSB($C918,"CS_EVENT_DATEJ_N("&amp;$AA$18&amp;",3)")</f>
        <v/>
      </c>
      <c r="S918" s="282" t="str" cm="1">
        <f t="array" ref="S918">_xll.FDSB($C918,"CS_EVENT_TIME_N("&amp;$AA$18&amp;",3)")</f>
        <v/>
      </c>
      <c r="T918" s="282" t="str" cm="1">
        <f t="array" ref="T918">_xll.FDSB($C918,"CS_EVENT_DESC_N("&amp;$AA$18&amp;",3)")</f>
        <v/>
      </c>
      <c r="U918" s="282"/>
      <c r="V918" s="274" t="str" cm="1">
        <f t="array" ref="V918">_xll.FDSB($C918,"CS_EVENT_DATEJ_N("&amp;$AA$18&amp;",4)")</f>
        <v/>
      </c>
      <c r="W918" s="282" t="str" cm="1">
        <f t="array" ref="W918">_xll.FDSB($C918,"CS_EVENT_TIME_N("&amp;$AA$18&amp;",4)")</f>
        <v/>
      </c>
      <c r="X918" s="282" t="str" cm="1">
        <f t="array" ref="X918">_xll.FDSB($C918,"CS_EVENT_DESC_N("&amp;$AA$18&amp;",4)")</f>
        <v/>
      </c>
    </row>
    <row r="919" spans="2:24" x14ac:dyDescent="0.15">
      <c r="B919" s="298">
        <f t="shared" si="16"/>
        <v>904</v>
      </c>
      <c r="C919" s="299"/>
      <c r="D919" s="300" t="str" cm="1">
        <f t="array" ref="D919">_xll.FDSB($C919,"FG_COMPANY_NAME")</f>
        <v/>
      </c>
      <c r="E919" s="300"/>
      <c r="F919" s="274" t="str" cm="1">
        <f t="array" ref="F919">_xll.FDSB($C919,"CS_EVENT_DATEJ_N("&amp;$AA$18&amp;",1)")</f>
        <v/>
      </c>
      <c r="G919" s="282" t="str" cm="1">
        <f t="array" ref="G919">_xll.FDSB($C919,"CS_EVENT_TIME_N("&amp;$AA$18&amp;",1)")</f>
        <v/>
      </c>
      <c r="H919" s="282" t="str" cm="1">
        <f t="array" ref="H919">_xll.FDSB($C919,"CS_EVENT_DESC_N("&amp;$AA$18&amp;",1)")</f>
        <v/>
      </c>
      <c r="I919" s="282"/>
      <c r="J919" s="274" t="str" cm="1">
        <f t="array" ref="J919">_xll.FDSB($C919,"CS_EVENT_DATEJ_N("&amp;$AB$18&amp;",1)")</f>
        <v/>
      </c>
      <c r="K919" s="282" t="str" cm="1">
        <f t="array" ref="K919">_xll.FDSB($C919,"CS_EVENT_TIME_N("&amp;$AB$18&amp;",1)")</f>
        <v/>
      </c>
      <c r="L919" s="282" t="str" cm="1">
        <f t="array" ref="L919">_xll.FDSB($C919,"CS_EVENT_DESC_N("&amp;$AB$18&amp;",1)")</f>
        <v/>
      </c>
      <c r="M919" s="300"/>
      <c r="N919" s="274" t="str" cm="1">
        <f t="array" ref="N919">_xll.FDSB($C919,"CS_EVENT_DATEJ_N("&amp;$AA$18&amp;",2)")</f>
        <v/>
      </c>
      <c r="O919" s="282" t="str" cm="1">
        <f t="array" ref="O919">_xll.FDSB($C919,"CS_EVENT_TIME_N("&amp;$AA$18&amp;",2)")</f>
        <v/>
      </c>
      <c r="P919" s="282" t="str" cm="1">
        <f t="array" ref="P919">_xll.FDSB($C919,"CS_EVENT_DESC_N("&amp;$AA$18&amp;",2)")</f>
        <v/>
      </c>
      <c r="Q919" s="282"/>
      <c r="R919" s="274" t="str" cm="1">
        <f t="array" ref="R919">_xll.FDSB($C919,"CS_EVENT_DATEJ_N("&amp;$AA$18&amp;",3)")</f>
        <v/>
      </c>
      <c r="S919" s="282" t="str" cm="1">
        <f t="array" ref="S919">_xll.FDSB($C919,"CS_EVENT_TIME_N("&amp;$AA$18&amp;",3)")</f>
        <v/>
      </c>
      <c r="T919" s="282" t="str" cm="1">
        <f t="array" ref="T919">_xll.FDSB($C919,"CS_EVENT_DESC_N("&amp;$AA$18&amp;",3)")</f>
        <v/>
      </c>
      <c r="U919" s="282"/>
      <c r="V919" s="274" t="str" cm="1">
        <f t="array" ref="V919">_xll.FDSB($C919,"CS_EVENT_DATEJ_N("&amp;$AA$18&amp;",4)")</f>
        <v/>
      </c>
      <c r="W919" s="282" t="str" cm="1">
        <f t="array" ref="W919">_xll.FDSB($C919,"CS_EVENT_TIME_N("&amp;$AA$18&amp;",4)")</f>
        <v/>
      </c>
      <c r="X919" s="282" t="str" cm="1">
        <f t="array" ref="X919">_xll.FDSB($C919,"CS_EVENT_DESC_N("&amp;$AA$18&amp;",4)")</f>
        <v/>
      </c>
    </row>
    <row r="920" spans="2:24" x14ac:dyDescent="0.15">
      <c r="B920" s="298">
        <f t="shared" si="16"/>
        <v>905</v>
      </c>
      <c r="C920" s="299"/>
      <c r="D920" s="300" t="str" cm="1">
        <f t="array" ref="D920">_xll.FDSB($C920,"FG_COMPANY_NAME")</f>
        <v/>
      </c>
      <c r="E920" s="300"/>
      <c r="F920" s="274" t="str" cm="1">
        <f t="array" ref="F920">_xll.FDSB($C920,"CS_EVENT_DATEJ_N("&amp;$AA$18&amp;",1)")</f>
        <v/>
      </c>
      <c r="G920" s="282" t="str" cm="1">
        <f t="array" ref="G920">_xll.FDSB($C920,"CS_EVENT_TIME_N("&amp;$AA$18&amp;",1)")</f>
        <v/>
      </c>
      <c r="H920" s="282" t="str" cm="1">
        <f t="array" ref="H920">_xll.FDSB($C920,"CS_EVENT_DESC_N("&amp;$AA$18&amp;",1)")</f>
        <v/>
      </c>
      <c r="I920" s="282"/>
      <c r="J920" s="274" t="str" cm="1">
        <f t="array" ref="J920">_xll.FDSB($C920,"CS_EVENT_DATEJ_N("&amp;$AB$18&amp;",1)")</f>
        <v/>
      </c>
      <c r="K920" s="282" t="str" cm="1">
        <f t="array" ref="K920">_xll.FDSB($C920,"CS_EVENT_TIME_N("&amp;$AB$18&amp;",1)")</f>
        <v/>
      </c>
      <c r="L920" s="282" t="str" cm="1">
        <f t="array" ref="L920">_xll.FDSB($C920,"CS_EVENT_DESC_N("&amp;$AB$18&amp;",1)")</f>
        <v/>
      </c>
      <c r="M920" s="300"/>
      <c r="N920" s="274" t="str" cm="1">
        <f t="array" ref="N920">_xll.FDSB($C920,"CS_EVENT_DATEJ_N("&amp;$AA$18&amp;",2)")</f>
        <v/>
      </c>
      <c r="O920" s="282" t="str" cm="1">
        <f t="array" ref="O920">_xll.FDSB($C920,"CS_EVENT_TIME_N("&amp;$AA$18&amp;",2)")</f>
        <v/>
      </c>
      <c r="P920" s="282" t="str" cm="1">
        <f t="array" ref="P920">_xll.FDSB($C920,"CS_EVENT_DESC_N("&amp;$AA$18&amp;",2)")</f>
        <v/>
      </c>
      <c r="Q920" s="282"/>
      <c r="R920" s="274" t="str" cm="1">
        <f t="array" ref="R920">_xll.FDSB($C920,"CS_EVENT_DATEJ_N("&amp;$AA$18&amp;",3)")</f>
        <v/>
      </c>
      <c r="S920" s="282" t="str" cm="1">
        <f t="array" ref="S920">_xll.FDSB($C920,"CS_EVENT_TIME_N("&amp;$AA$18&amp;",3)")</f>
        <v/>
      </c>
      <c r="T920" s="282" t="str" cm="1">
        <f t="array" ref="T920">_xll.FDSB($C920,"CS_EVENT_DESC_N("&amp;$AA$18&amp;",3)")</f>
        <v/>
      </c>
      <c r="U920" s="282"/>
      <c r="V920" s="274" t="str" cm="1">
        <f t="array" ref="V920">_xll.FDSB($C920,"CS_EVENT_DATEJ_N("&amp;$AA$18&amp;",4)")</f>
        <v/>
      </c>
      <c r="W920" s="282" t="str" cm="1">
        <f t="array" ref="W920">_xll.FDSB($C920,"CS_EVENT_TIME_N("&amp;$AA$18&amp;",4)")</f>
        <v/>
      </c>
      <c r="X920" s="282" t="str" cm="1">
        <f t="array" ref="X920">_xll.FDSB($C920,"CS_EVENT_DESC_N("&amp;$AA$18&amp;",4)")</f>
        <v/>
      </c>
    </row>
    <row r="921" spans="2:24" x14ac:dyDescent="0.15">
      <c r="B921" s="298">
        <f t="shared" si="16"/>
        <v>906</v>
      </c>
      <c r="C921" s="299"/>
      <c r="D921" s="300" t="str" cm="1">
        <f t="array" ref="D921">_xll.FDSB($C921,"FG_COMPANY_NAME")</f>
        <v/>
      </c>
      <c r="E921" s="300"/>
      <c r="F921" s="274" t="str" cm="1">
        <f t="array" ref="F921">_xll.FDSB($C921,"CS_EVENT_DATEJ_N("&amp;$AA$18&amp;",1)")</f>
        <v/>
      </c>
      <c r="G921" s="282" t="str" cm="1">
        <f t="array" ref="G921">_xll.FDSB($C921,"CS_EVENT_TIME_N("&amp;$AA$18&amp;",1)")</f>
        <v/>
      </c>
      <c r="H921" s="282" t="str" cm="1">
        <f t="array" ref="H921">_xll.FDSB($C921,"CS_EVENT_DESC_N("&amp;$AA$18&amp;",1)")</f>
        <v/>
      </c>
      <c r="I921" s="282"/>
      <c r="J921" s="274" t="str" cm="1">
        <f t="array" ref="J921">_xll.FDSB($C921,"CS_EVENT_DATEJ_N("&amp;$AB$18&amp;",1)")</f>
        <v/>
      </c>
      <c r="K921" s="282" t="str" cm="1">
        <f t="array" ref="K921">_xll.FDSB($C921,"CS_EVENT_TIME_N("&amp;$AB$18&amp;",1)")</f>
        <v/>
      </c>
      <c r="L921" s="282" t="str" cm="1">
        <f t="array" ref="L921">_xll.FDSB($C921,"CS_EVENT_DESC_N("&amp;$AB$18&amp;",1)")</f>
        <v/>
      </c>
      <c r="M921" s="300"/>
      <c r="N921" s="274" t="str" cm="1">
        <f t="array" ref="N921">_xll.FDSB($C921,"CS_EVENT_DATEJ_N("&amp;$AA$18&amp;",2)")</f>
        <v/>
      </c>
      <c r="O921" s="282" t="str" cm="1">
        <f t="array" ref="O921">_xll.FDSB($C921,"CS_EVENT_TIME_N("&amp;$AA$18&amp;",2)")</f>
        <v/>
      </c>
      <c r="P921" s="282" t="str" cm="1">
        <f t="array" ref="P921">_xll.FDSB($C921,"CS_EVENT_DESC_N("&amp;$AA$18&amp;",2)")</f>
        <v/>
      </c>
      <c r="Q921" s="282"/>
      <c r="R921" s="274" t="str" cm="1">
        <f t="array" ref="R921">_xll.FDSB($C921,"CS_EVENT_DATEJ_N("&amp;$AA$18&amp;",3)")</f>
        <v/>
      </c>
      <c r="S921" s="282" t="str" cm="1">
        <f t="array" ref="S921">_xll.FDSB($C921,"CS_EVENT_TIME_N("&amp;$AA$18&amp;",3)")</f>
        <v/>
      </c>
      <c r="T921" s="282" t="str" cm="1">
        <f t="array" ref="T921">_xll.FDSB($C921,"CS_EVENT_DESC_N("&amp;$AA$18&amp;",3)")</f>
        <v/>
      </c>
      <c r="U921" s="282"/>
      <c r="V921" s="274" t="str" cm="1">
        <f t="array" ref="V921">_xll.FDSB($C921,"CS_EVENT_DATEJ_N("&amp;$AA$18&amp;",4)")</f>
        <v/>
      </c>
      <c r="W921" s="282" t="str" cm="1">
        <f t="array" ref="W921">_xll.FDSB($C921,"CS_EVENT_TIME_N("&amp;$AA$18&amp;",4)")</f>
        <v/>
      </c>
      <c r="X921" s="282" t="str" cm="1">
        <f t="array" ref="X921">_xll.FDSB($C921,"CS_EVENT_DESC_N("&amp;$AA$18&amp;",4)")</f>
        <v/>
      </c>
    </row>
    <row r="922" spans="2:24" x14ac:dyDescent="0.15">
      <c r="B922" s="298">
        <f t="shared" si="16"/>
        <v>907</v>
      </c>
      <c r="C922" s="299"/>
      <c r="D922" s="300" t="str" cm="1">
        <f t="array" ref="D922">_xll.FDSB($C922,"FG_COMPANY_NAME")</f>
        <v/>
      </c>
      <c r="E922" s="300"/>
      <c r="F922" s="274" t="str" cm="1">
        <f t="array" ref="F922">_xll.FDSB($C922,"CS_EVENT_DATEJ_N("&amp;$AA$18&amp;",1)")</f>
        <v/>
      </c>
      <c r="G922" s="282" t="str" cm="1">
        <f t="array" ref="G922">_xll.FDSB($C922,"CS_EVENT_TIME_N("&amp;$AA$18&amp;",1)")</f>
        <v/>
      </c>
      <c r="H922" s="282" t="str" cm="1">
        <f t="array" ref="H922">_xll.FDSB($C922,"CS_EVENT_DESC_N("&amp;$AA$18&amp;",1)")</f>
        <v/>
      </c>
      <c r="I922" s="282"/>
      <c r="J922" s="274" t="str" cm="1">
        <f t="array" ref="J922">_xll.FDSB($C922,"CS_EVENT_DATEJ_N("&amp;$AB$18&amp;",1)")</f>
        <v/>
      </c>
      <c r="K922" s="282" t="str" cm="1">
        <f t="array" ref="K922">_xll.FDSB($C922,"CS_EVENT_TIME_N("&amp;$AB$18&amp;",1)")</f>
        <v/>
      </c>
      <c r="L922" s="282" t="str" cm="1">
        <f t="array" ref="L922">_xll.FDSB($C922,"CS_EVENT_DESC_N("&amp;$AB$18&amp;",1)")</f>
        <v/>
      </c>
      <c r="M922" s="300"/>
      <c r="N922" s="274" t="str" cm="1">
        <f t="array" ref="N922">_xll.FDSB($C922,"CS_EVENT_DATEJ_N("&amp;$AA$18&amp;",2)")</f>
        <v/>
      </c>
      <c r="O922" s="282" t="str" cm="1">
        <f t="array" ref="O922">_xll.FDSB($C922,"CS_EVENT_TIME_N("&amp;$AA$18&amp;",2)")</f>
        <v/>
      </c>
      <c r="P922" s="282" t="str" cm="1">
        <f t="array" ref="P922">_xll.FDSB($C922,"CS_EVENT_DESC_N("&amp;$AA$18&amp;",2)")</f>
        <v/>
      </c>
      <c r="Q922" s="282"/>
      <c r="R922" s="274" t="str" cm="1">
        <f t="array" ref="R922">_xll.FDSB($C922,"CS_EVENT_DATEJ_N("&amp;$AA$18&amp;",3)")</f>
        <v/>
      </c>
      <c r="S922" s="282" t="str" cm="1">
        <f t="array" ref="S922">_xll.FDSB($C922,"CS_EVENT_TIME_N("&amp;$AA$18&amp;",3)")</f>
        <v/>
      </c>
      <c r="T922" s="282" t="str" cm="1">
        <f t="array" ref="T922">_xll.FDSB($C922,"CS_EVENT_DESC_N("&amp;$AA$18&amp;",3)")</f>
        <v/>
      </c>
      <c r="U922" s="282"/>
      <c r="V922" s="274" t="str" cm="1">
        <f t="array" ref="V922">_xll.FDSB($C922,"CS_EVENT_DATEJ_N("&amp;$AA$18&amp;",4)")</f>
        <v/>
      </c>
      <c r="W922" s="282" t="str" cm="1">
        <f t="array" ref="W922">_xll.FDSB($C922,"CS_EVENT_TIME_N("&amp;$AA$18&amp;",4)")</f>
        <v/>
      </c>
      <c r="X922" s="282" t="str" cm="1">
        <f t="array" ref="X922">_xll.FDSB($C922,"CS_EVENT_DESC_N("&amp;$AA$18&amp;",4)")</f>
        <v/>
      </c>
    </row>
    <row r="923" spans="2:24" x14ac:dyDescent="0.15">
      <c r="B923" s="298">
        <f t="shared" si="16"/>
        <v>908</v>
      </c>
      <c r="C923" s="299"/>
      <c r="D923" s="300" t="str" cm="1">
        <f t="array" ref="D923">_xll.FDSB($C923,"FG_COMPANY_NAME")</f>
        <v/>
      </c>
      <c r="E923" s="300"/>
      <c r="F923" s="274" t="str" cm="1">
        <f t="array" ref="F923">_xll.FDSB($C923,"CS_EVENT_DATEJ_N("&amp;$AA$18&amp;",1)")</f>
        <v/>
      </c>
      <c r="G923" s="282" t="str" cm="1">
        <f t="array" ref="G923">_xll.FDSB($C923,"CS_EVENT_TIME_N("&amp;$AA$18&amp;",1)")</f>
        <v/>
      </c>
      <c r="H923" s="282" t="str" cm="1">
        <f t="array" ref="H923">_xll.FDSB($C923,"CS_EVENT_DESC_N("&amp;$AA$18&amp;",1)")</f>
        <v/>
      </c>
      <c r="I923" s="282"/>
      <c r="J923" s="274" t="str" cm="1">
        <f t="array" ref="J923">_xll.FDSB($C923,"CS_EVENT_DATEJ_N("&amp;$AB$18&amp;",1)")</f>
        <v/>
      </c>
      <c r="K923" s="282" t="str" cm="1">
        <f t="array" ref="K923">_xll.FDSB($C923,"CS_EVENT_TIME_N("&amp;$AB$18&amp;",1)")</f>
        <v/>
      </c>
      <c r="L923" s="282" t="str" cm="1">
        <f t="array" ref="L923">_xll.FDSB($C923,"CS_EVENT_DESC_N("&amp;$AB$18&amp;",1)")</f>
        <v/>
      </c>
      <c r="M923" s="300"/>
      <c r="N923" s="274" t="str" cm="1">
        <f t="array" ref="N923">_xll.FDSB($C923,"CS_EVENT_DATEJ_N("&amp;$AA$18&amp;",2)")</f>
        <v/>
      </c>
      <c r="O923" s="282" t="str" cm="1">
        <f t="array" ref="O923">_xll.FDSB($C923,"CS_EVENT_TIME_N("&amp;$AA$18&amp;",2)")</f>
        <v/>
      </c>
      <c r="P923" s="282" t="str" cm="1">
        <f t="array" ref="P923">_xll.FDSB($C923,"CS_EVENT_DESC_N("&amp;$AA$18&amp;",2)")</f>
        <v/>
      </c>
      <c r="Q923" s="282"/>
      <c r="R923" s="274" t="str" cm="1">
        <f t="array" ref="R923">_xll.FDSB($C923,"CS_EVENT_DATEJ_N("&amp;$AA$18&amp;",3)")</f>
        <v/>
      </c>
      <c r="S923" s="282" t="str" cm="1">
        <f t="array" ref="S923">_xll.FDSB($C923,"CS_EVENT_TIME_N("&amp;$AA$18&amp;",3)")</f>
        <v/>
      </c>
      <c r="T923" s="282" t="str" cm="1">
        <f t="array" ref="T923">_xll.FDSB($C923,"CS_EVENT_DESC_N("&amp;$AA$18&amp;",3)")</f>
        <v/>
      </c>
      <c r="U923" s="282"/>
      <c r="V923" s="274" t="str" cm="1">
        <f t="array" ref="V923">_xll.FDSB($C923,"CS_EVENT_DATEJ_N("&amp;$AA$18&amp;",4)")</f>
        <v/>
      </c>
      <c r="W923" s="282" t="str" cm="1">
        <f t="array" ref="W923">_xll.FDSB($C923,"CS_EVENT_TIME_N("&amp;$AA$18&amp;",4)")</f>
        <v/>
      </c>
      <c r="X923" s="282" t="str" cm="1">
        <f t="array" ref="X923">_xll.FDSB($C923,"CS_EVENT_DESC_N("&amp;$AA$18&amp;",4)")</f>
        <v/>
      </c>
    </row>
    <row r="924" spans="2:24" x14ac:dyDescent="0.15">
      <c r="B924" s="298">
        <f t="shared" si="16"/>
        <v>909</v>
      </c>
      <c r="C924" s="299"/>
      <c r="D924" s="300" t="str" cm="1">
        <f t="array" ref="D924">_xll.FDSB($C924,"FG_COMPANY_NAME")</f>
        <v/>
      </c>
      <c r="E924" s="300"/>
      <c r="F924" s="274" t="str" cm="1">
        <f t="array" ref="F924">_xll.FDSB($C924,"CS_EVENT_DATEJ_N("&amp;$AA$18&amp;",1)")</f>
        <v/>
      </c>
      <c r="G924" s="282" t="str" cm="1">
        <f t="array" ref="G924">_xll.FDSB($C924,"CS_EVENT_TIME_N("&amp;$AA$18&amp;",1)")</f>
        <v/>
      </c>
      <c r="H924" s="282" t="str" cm="1">
        <f t="array" ref="H924">_xll.FDSB($C924,"CS_EVENT_DESC_N("&amp;$AA$18&amp;",1)")</f>
        <v/>
      </c>
      <c r="I924" s="282"/>
      <c r="J924" s="274" t="str" cm="1">
        <f t="array" ref="J924">_xll.FDSB($C924,"CS_EVENT_DATEJ_N("&amp;$AB$18&amp;",1)")</f>
        <v/>
      </c>
      <c r="K924" s="282" t="str" cm="1">
        <f t="array" ref="K924">_xll.FDSB($C924,"CS_EVENT_TIME_N("&amp;$AB$18&amp;",1)")</f>
        <v/>
      </c>
      <c r="L924" s="282" t="str" cm="1">
        <f t="array" ref="L924">_xll.FDSB($C924,"CS_EVENT_DESC_N("&amp;$AB$18&amp;",1)")</f>
        <v/>
      </c>
      <c r="M924" s="300"/>
      <c r="N924" s="274" t="str" cm="1">
        <f t="array" ref="N924">_xll.FDSB($C924,"CS_EVENT_DATEJ_N("&amp;$AA$18&amp;",2)")</f>
        <v/>
      </c>
      <c r="O924" s="282" t="str" cm="1">
        <f t="array" ref="O924">_xll.FDSB($C924,"CS_EVENT_TIME_N("&amp;$AA$18&amp;",2)")</f>
        <v/>
      </c>
      <c r="P924" s="282" t="str" cm="1">
        <f t="array" ref="P924">_xll.FDSB($C924,"CS_EVENT_DESC_N("&amp;$AA$18&amp;",2)")</f>
        <v/>
      </c>
      <c r="Q924" s="282"/>
      <c r="R924" s="274" t="str" cm="1">
        <f t="array" ref="R924">_xll.FDSB($C924,"CS_EVENT_DATEJ_N("&amp;$AA$18&amp;",3)")</f>
        <v/>
      </c>
      <c r="S924" s="282" t="str" cm="1">
        <f t="array" ref="S924">_xll.FDSB($C924,"CS_EVENT_TIME_N("&amp;$AA$18&amp;",3)")</f>
        <v/>
      </c>
      <c r="T924" s="282" t="str" cm="1">
        <f t="array" ref="T924">_xll.FDSB($C924,"CS_EVENT_DESC_N("&amp;$AA$18&amp;",3)")</f>
        <v/>
      </c>
      <c r="U924" s="282"/>
      <c r="V924" s="274" t="str" cm="1">
        <f t="array" ref="V924">_xll.FDSB($C924,"CS_EVENT_DATEJ_N("&amp;$AA$18&amp;",4)")</f>
        <v/>
      </c>
      <c r="W924" s="282" t="str" cm="1">
        <f t="array" ref="W924">_xll.FDSB($C924,"CS_EVENT_TIME_N("&amp;$AA$18&amp;",4)")</f>
        <v/>
      </c>
      <c r="X924" s="282" t="str" cm="1">
        <f t="array" ref="X924">_xll.FDSB($C924,"CS_EVENT_DESC_N("&amp;$AA$18&amp;",4)")</f>
        <v/>
      </c>
    </row>
    <row r="925" spans="2:24" x14ac:dyDescent="0.15">
      <c r="B925" s="298">
        <f t="shared" si="16"/>
        <v>910</v>
      </c>
      <c r="C925" s="299"/>
      <c r="D925" s="300" t="str" cm="1">
        <f t="array" ref="D925">_xll.FDSB($C925,"FG_COMPANY_NAME")</f>
        <v/>
      </c>
      <c r="E925" s="300"/>
      <c r="F925" s="274" t="str" cm="1">
        <f t="array" ref="F925">_xll.FDSB($C925,"CS_EVENT_DATEJ_N("&amp;$AA$18&amp;",1)")</f>
        <v/>
      </c>
      <c r="G925" s="282" t="str" cm="1">
        <f t="array" ref="G925">_xll.FDSB($C925,"CS_EVENT_TIME_N("&amp;$AA$18&amp;",1)")</f>
        <v/>
      </c>
      <c r="H925" s="282" t="str" cm="1">
        <f t="array" ref="H925">_xll.FDSB($C925,"CS_EVENT_DESC_N("&amp;$AA$18&amp;",1)")</f>
        <v/>
      </c>
      <c r="I925" s="282"/>
      <c r="J925" s="274" t="str" cm="1">
        <f t="array" ref="J925">_xll.FDSB($C925,"CS_EVENT_DATEJ_N("&amp;$AB$18&amp;",1)")</f>
        <v/>
      </c>
      <c r="K925" s="282" t="str" cm="1">
        <f t="array" ref="K925">_xll.FDSB($C925,"CS_EVENT_TIME_N("&amp;$AB$18&amp;",1)")</f>
        <v/>
      </c>
      <c r="L925" s="282" t="str" cm="1">
        <f t="array" ref="L925">_xll.FDSB($C925,"CS_EVENT_DESC_N("&amp;$AB$18&amp;",1)")</f>
        <v/>
      </c>
      <c r="M925" s="300"/>
      <c r="N925" s="274" t="str" cm="1">
        <f t="array" ref="N925">_xll.FDSB($C925,"CS_EVENT_DATEJ_N("&amp;$AA$18&amp;",2)")</f>
        <v/>
      </c>
      <c r="O925" s="282" t="str" cm="1">
        <f t="array" ref="O925">_xll.FDSB($C925,"CS_EVENT_TIME_N("&amp;$AA$18&amp;",2)")</f>
        <v/>
      </c>
      <c r="P925" s="282" t="str" cm="1">
        <f t="array" ref="P925">_xll.FDSB($C925,"CS_EVENT_DESC_N("&amp;$AA$18&amp;",2)")</f>
        <v/>
      </c>
      <c r="Q925" s="282"/>
      <c r="R925" s="274" t="str" cm="1">
        <f t="array" ref="R925">_xll.FDSB($C925,"CS_EVENT_DATEJ_N("&amp;$AA$18&amp;",3)")</f>
        <v/>
      </c>
      <c r="S925" s="282" t="str" cm="1">
        <f t="array" ref="S925">_xll.FDSB($C925,"CS_EVENT_TIME_N("&amp;$AA$18&amp;",3)")</f>
        <v/>
      </c>
      <c r="T925" s="282" t="str" cm="1">
        <f t="array" ref="T925">_xll.FDSB($C925,"CS_EVENT_DESC_N("&amp;$AA$18&amp;",3)")</f>
        <v/>
      </c>
      <c r="U925" s="282"/>
      <c r="V925" s="274" t="str" cm="1">
        <f t="array" ref="V925">_xll.FDSB($C925,"CS_EVENT_DATEJ_N("&amp;$AA$18&amp;",4)")</f>
        <v/>
      </c>
      <c r="W925" s="282" t="str" cm="1">
        <f t="array" ref="W925">_xll.FDSB($C925,"CS_EVENT_TIME_N("&amp;$AA$18&amp;",4)")</f>
        <v/>
      </c>
      <c r="X925" s="282" t="str" cm="1">
        <f t="array" ref="X925">_xll.FDSB($C925,"CS_EVENT_DESC_N("&amp;$AA$18&amp;",4)")</f>
        <v/>
      </c>
    </row>
    <row r="926" spans="2:24" x14ac:dyDescent="0.15">
      <c r="B926" s="298">
        <f t="shared" si="16"/>
        <v>911</v>
      </c>
      <c r="C926" s="299"/>
      <c r="D926" s="300" t="str" cm="1">
        <f t="array" ref="D926">_xll.FDSB($C926,"FG_COMPANY_NAME")</f>
        <v/>
      </c>
      <c r="E926" s="300"/>
      <c r="F926" s="274" t="str" cm="1">
        <f t="array" ref="F926">_xll.FDSB($C926,"CS_EVENT_DATEJ_N("&amp;$AA$18&amp;",1)")</f>
        <v/>
      </c>
      <c r="G926" s="282" t="str" cm="1">
        <f t="array" ref="G926">_xll.FDSB($C926,"CS_EVENT_TIME_N("&amp;$AA$18&amp;",1)")</f>
        <v/>
      </c>
      <c r="H926" s="282" t="str" cm="1">
        <f t="array" ref="H926">_xll.FDSB($C926,"CS_EVENT_DESC_N("&amp;$AA$18&amp;",1)")</f>
        <v/>
      </c>
      <c r="I926" s="282"/>
      <c r="J926" s="274" t="str" cm="1">
        <f t="array" ref="J926">_xll.FDSB($C926,"CS_EVENT_DATEJ_N("&amp;$AB$18&amp;",1)")</f>
        <v/>
      </c>
      <c r="K926" s="282" t="str" cm="1">
        <f t="array" ref="K926">_xll.FDSB($C926,"CS_EVENT_TIME_N("&amp;$AB$18&amp;",1)")</f>
        <v/>
      </c>
      <c r="L926" s="282" t="str" cm="1">
        <f t="array" ref="L926">_xll.FDSB($C926,"CS_EVENT_DESC_N("&amp;$AB$18&amp;",1)")</f>
        <v/>
      </c>
      <c r="M926" s="300"/>
      <c r="N926" s="274" t="str" cm="1">
        <f t="array" ref="N926">_xll.FDSB($C926,"CS_EVENT_DATEJ_N("&amp;$AA$18&amp;",2)")</f>
        <v/>
      </c>
      <c r="O926" s="282" t="str" cm="1">
        <f t="array" ref="O926">_xll.FDSB($C926,"CS_EVENT_TIME_N("&amp;$AA$18&amp;",2)")</f>
        <v/>
      </c>
      <c r="P926" s="282" t="str" cm="1">
        <f t="array" ref="P926">_xll.FDSB($C926,"CS_EVENT_DESC_N("&amp;$AA$18&amp;",2)")</f>
        <v/>
      </c>
      <c r="Q926" s="282"/>
      <c r="R926" s="274" t="str" cm="1">
        <f t="array" ref="R926">_xll.FDSB($C926,"CS_EVENT_DATEJ_N("&amp;$AA$18&amp;",3)")</f>
        <v/>
      </c>
      <c r="S926" s="282" t="str" cm="1">
        <f t="array" ref="S926">_xll.FDSB($C926,"CS_EVENT_TIME_N("&amp;$AA$18&amp;",3)")</f>
        <v/>
      </c>
      <c r="T926" s="282" t="str" cm="1">
        <f t="array" ref="T926">_xll.FDSB($C926,"CS_EVENT_DESC_N("&amp;$AA$18&amp;",3)")</f>
        <v/>
      </c>
      <c r="U926" s="282"/>
      <c r="V926" s="274" t="str" cm="1">
        <f t="array" ref="V926">_xll.FDSB($C926,"CS_EVENT_DATEJ_N("&amp;$AA$18&amp;",4)")</f>
        <v/>
      </c>
      <c r="W926" s="282" t="str" cm="1">
        <f t="array" ref="W926">_xll.FDSB($C926,"CS_EVENT_TIME_N("&amp;$AA$18&amp;",4)")</f>
        <v/>
      </c>
      <c r="X926" s="282" t="str" cm="1">
        <f t="array" ref="X926">_xll.FDSB($C926,"CS_EVENT_DESC_N("&amp;$AA$18&amp;",4)")</f>
        <v/>
      </c>
    </row>
    <row r="927" spans="2:24" x14ac:dyDescent="0.15">
      <c r="B927" s="298">
        <f t="shared" si="16"/>
        <v>912</v>
      </c>
      <c r="C927" s="299"/>
      <c r="D927" s="300" t="str" cm="1">
        <f t="array" ref="D927">_xll.FDSB($C927,"FG_COMPANY_NAME")</f>
        <v/>
      </c>
      <c r="E927" s="300"/>
      <c r="F927" s="274" t="str" cm="1">
        <f t="array" ref="F927">_xll.FDSB($C927,"CS_EVENT_DATEJ_N("&amp;$AA$18&amp;",1)")</f>
        <v/>
      </c>
      <c r="G927" s="282" t="str" cm="1">
        <f t="array" ref="G927">_xll.FDSB($C927,"CS_EVENT_TIME_N("&amp;$AA$18&amp;",1)")</f>
        <v/>
      </c>
      <c r="H927" s="282" t="str" cm="1">
        <f t="array" ref="H927">_xll.FDSB($C927,"CS_EVENT_DESC_N("&amp;$AA$18&amp;",1)")</f>
        <v/>
      </c>
      <c r="I927" s="282"/>
      <c r="J927" s="274" t="str" cm="1">
        <f t="array" ref="J927">_xll.FDSB($C927,"CS_EVENT_DATEJ_N("&amp;$AB$18&amp;",1)")</f>
        <v/>
      </c>
      <c r="K927" s="282" t="str" cm="1">
        <f t="array" ref="K927">_xll.FDSB($C927,"CS_EVENT_TIME_N("&amp;$AB$18&amp;",1)")</f>
        <v/>
      </c>
      <c r="L927" s="282" t="str" cm="1">
        <f t="array" ref="L927">_xll.FDSB($C927,"CS_EVENT_DESC_N("&amp;$AB$18&amp;",1)")</f>
        <v/>
      </c>
      <c r="M927" s="300"/>
      <c r="N927" s="274" t="str" cm="1">
        <f t="array" ref="N927">_xll.FDSB($C927,"CS_EVENT_DATEJ_N("&amp;$AA$18&amp;",2)")</f>
        <v/>
      </c>
      <c r="O927" s="282" t="str" cm="1">
        <f t="array" ref="O927">_xll.FDSB($C927,"CS_EVENT_TIME_N("&amp;$AA$18&amp;",2)")</f>
        <v/>
      </c>
      <c r="P927" s="282" t="str" cm="1">
        <f t="array" ref="P927">_xll.FDSB($C927,"CS_EVENT_DESC_N("&amp;$AA$18&amp;",2)")</f>
        <v/>
      </c>
      <c r="Q927" s="282"/>
      <c r="R927" s="274" t="str" cm="1">
        <f t="array" ref="R927">_xll.FDSB($C927,"CS_EVENT_DATEJ_N("&amp;$AA$18&amp;",3)")</f>
        <v/>
      </c>
      <c r="S927" s="282" t="str" cm="1">
        <f t="array" ref="S927">_xll.FDSB($C927,"CS_EVENT_TIME_N("&amp;$AA$18&amp;",3)")</f>
        <v/>
      </c>
      <c r="T927" s="282" t="str" cm="1">
        <f t="array" ref="T927">_xll.FDSB($C927,"CS_EVENT_DESC_N("&amp;$AA$18&amp;",3)")</f>
        <v/>
      </c>
      <c r="U927" s="282"/>
      <c r="V927" s="274" t="str" cm="1">
        <f t="array" ref="V927">_xll.FDSB($C927,"CS_EVENT_DATEJ_N("&amp;$AA$18&amp;",4)")</f>
        <v/>
      </c>
      <c r="W927" s="282" t="str" cm="1">
        <f t="array" ref="W927">_xll.FDSB($C927,"CS_EVENT_TIME_N("&amp;$AA$18&amp;",4)")</f>
        <v/>
      </c>
      <c r="X927" s="282" t="str" cm="1">
        <f t="array" ref="X927">_xll.FDSB($C927,"CS_EVENT_DESC_N("&amp;$AA$18&amp;",4)")</f>
        <v/>
      </c>
    </row>
    <row r="928" spans="2:24" x14ac:dyDescent="0.15">
      <c r="B928" s="298">
        <f t="shared" si="16"/>
        <v>913</v>
      </c>
      <c r="C928" s="299"/>
      <c r="D928" s="300" t="str" cm="1">
        <f t="array" ref="D928">_xll.FDSB($C928,"FG_COMPANY_NAME")</f>
        <v/>
      </c>
      <c r="E928" s="300"/>
      <c r="F928" s="274" t="str" cm="1">
        <f t="array" ref="F928">_xll.FDSB($C928,"CS_EVENT_DATEJ_N("&amp;$AA$18&amp;",1)")</f>
        <v/>
      </c>
      <c r="G928" s="282" t="str" cm="1">
        <f t="array" ref="G928">_xll.FDSB($C928,"CS_EVENT_TIME_N("&amp;$AA$18&amp;",1)")</f>
        <v/>
      </c>
      <c r="H928" s="282" t="str" cm="1">
        <f t="array" ref="H928">_xll.FDSB($C928,"CS_EVENT_DESC_N("&amp;$AA$18&amp;",1)")</f>
        <v/>
      </c>
      <c r="I928" s="282"/>
      <c r="J928" s="274" t="str" cm="1">
        <f t="array" ref="J928">_xll.FDSB($C928,"CS_EVENT_DATEJ_N("&amp;$AB$18&amp;",1)")</f>
        <v/>
      </c>
      <c r="K928" s="282" t="str" cm="1">
        <f t="array" ref="K928">_xll.FDSB($C928,"CS_EVENT_TIME_N("&amp;$AB$18&amp;",1)")</f>
        <v/>
      </c>
      <c r="L928" s="282" t="str" cm="1">
        <f t="array" ref="L928">_xll.FDSB($C928,"CS_EVENT_DESC_N("&amp;$AB$18&amp;",1)")</f>
        <v/>
      </c>
      <c r="M928" s="300"/>
      <c r="N928" s="274" t="str" cm="1">
        <f t="array" ref="N928">_xll.FDSB($C928,"CS_EVENT_DATEJ_N("&amp;$AA$18&amp;",2)")</f>
        <v/>
      </c>
      <c r="O928" s="282" t="str" cm="1">
        <f t="array" ref="O928">_xll.FDSB($C928,"CS_EVENT_TIME_N("&amp;$AA$18&amp;",2)")</f>
        <v/>
      </c>
      <c r="P928" s="282" t="str" cm="1">
        <f t="array" ref="P928">_xll.FDSB($C928,"CS_EVENT_DESC_N("&amp;$AA$18&amp;",2)")</f>
        <v/>
      </c>
      <c r="Q928" s="282"/>
      <c r="R928" s="274" t="str" cm="1">
        <f t="array" ref="R928">_xll.FDSB($C928,"CS_EVENT_DATEJ_N("&amp;$AA$18&amp;",3)")</f>
        <v/>
      </c>
      <c r="S928" s="282" t="str" cm="1">
        <f t="array" ref="S928">_xll.FDSB($C928,"CS_EVENT_TIME_N("&amp;$AA$18&amp;",3)")</f>
        <v/>
      </c>
      <c r="T928" s="282" t="str" cm="1">
        <f t="array" ref="T928">_xll.FDSB($C928,"CS_EVENT_DESC_N("&amp;$AA$18&amp;",3)")</f>
        <v/>
      </c>
      <c r="U928" s="282"/>
      <c r="V928" s="274" t="str" cm="1">
        <f t="array" ref="V928">_xll.FDSB($C928,"CS_EVENT_DATEJ_N("&amp;$AA$18&amp;",4)")</f>
        <v/>
      </c>
      <c r="W928" s="282" t="str" cm="1">
        <f t="array" ref="W928">_xll.FDSB($C928,"CS_EVENT_TIME_N("&amp;$AA$18&amp;",4)")</f>
        <v/>
      </c>
      <c r="X928" s="282" t="str" cm="1">
        <f t="array" ref="X928">_xll.FDSB($C928,"CS_EVENT_DESC_N("&amp;$AA$18&amp;",4)")</f>
        <v/>
      </c>
    </row>
    <row r="929" spans="2:24" x14ac:dyDescent="0.15">
      <c r="B929" s="298">
        <f t="shared" si="16"/>
        <v>914</v>
      </c>
      <c r="C929" s="299"/>
      <c r="D929" s="300" t="str" cm="1">
        <f t="array" ref="D929">_xll.FDSB($C929,"FG_COMPANY_NAME")</f>
        <v/>
      </c>
      <c r="E929" s="300"/>
      <c r="F929" s="274" t="str" cm="1">
        <f t="array" ref="F929">_xll.FDSB($C929,"CS_EVENT_DATEJ_N("&amp;$AA$18&amp;",1)")</f>
        <v/>
      </c>
      <c r="G929" s="282" t="str" cm="1">
        <f t="array" ref="G929">_xll.FDSB($C929,"CS_EVENT_TIME_N("&amp;$AA$18&amp;",1)")</f>
        <v/>
      </c>
      <c r="H929" s="282" t="str" cm="1">
        <f t="array" ref="H929">_xll.FDSB($C929,"CS_EVENT_DESC_N("&amp;$AA$18&amp;",1)")</f>
        <v/>
      </c>
      <c r="I929" s="282"/>
      <c r="J929" s="274" t="str" cm="1">
        <f t="array" ref="J929">_xll.FDSB($C929,"CS_EVENT_DATEJ_N("&amp;$AB$18&amp;",1)")</f>
        <v/>
      </c>
      <c r="K929" s="282" t="str" cm="1">
        <f t="array" ref="K929">_xll.FDSB($C929,"CS_EVENT_TIME_N("&amp;$AB$18&amp;",1)")</f>
        <v/>
      </c>
      <c r="L929" s="282" t="str" cm="1">
        <f t="array" ref="L929">_xll.FDSB($C929,"CS_EVENT_DESC_N("&amp;$AB$18&amp;",1)")</f>
        <v/>
      </c>
      <c r="M929" s="300"/>
      <c r="N929" s="274" t="str" cm="1">
        <f t="array" ref="N929">_xll.FDSB($C929,"CS_EVENT_DATEJ_N("&amp;$AA$18&amp;",2)")</f>
        <v/>
      </c>
      <c r="O929" s="282" t="str" cm="1">
        <f t="array" ref="O929">_xll.FDSB($C929,"CS_EVENT_TIME_N("&amp;$AA$18&amp;",2)")</f>
        <v/>
      </c>
      <c r="P929" s="282" t="str" cm="1">
        <f t="array" ref="P929">_xll.FDSB($C929,"CS_EVENT_DESC_N("&amp;$AA$18&amp;",2)")</f>
        <v/>
      </c>
      <c r="Q929" s="282"/>
      <c r="R929" s="274" t="str" cm="1">
        <f t="array" ref="R929">_xll.FDSB($C929,"CS_EVENT_DATEJ_N("&amp;$AA$18&amp;",3)")</f>
        <v/>
      </c>
      <c r="S929" s="282" t="str" cm="1">
        <f t="array" ref="S929">_xll.FDSB($C929,"CS_EVENT_TIME_N("&amp;$AA$18&amp;",3)")</f>
        <v/>
      </c>
      <c r="T929" s="282" t="str" cm="1">
        <f t="array" ref="T929">_xll.FDSB($C929,"CS_EVENT_DESC_N("&amp;$AA$18&amp;",3)")</f>
        <v/>
      </c>
      <c r="U929" s="282"/>
      <c r="V929" s="274" t="str" cm="1">
        <f t="array" ref="V929">_xll.FDSB($C929,"CS_EVENT_DATEJ_N("&amp;$AA$18&amp;",4)")</f>
        <v/>
      </c>
      <c r="W929" s="282" t="str" cm="1">
        <f t="array" ref="W929">_xll.FDSB($C929,"CS_EVENT_TIME_N("&amp;$AA$18&amp;",4)")</f>
        <v/>
      </c>
      <c r="X929" s="282" t="str" cm="1">
        <f t="array" ref="X929">_xll.FDSB($C929,"CS_EVENT_DESC_N("&amp;$AA$18&amp;",4)")</f>
        <v/>
      </c>
    </row>
    <row r="930" spans="2:24" x14ac:dyDescent="0.15">
      <c r="B930" s="298">
        <f t="shared" si="16"/>
        <v>915</v>
      </c>
      <c r="C930" s="299"/>
      <c r="D930" s="300" t="str" cm="1">
        <f t="array" ref="D930">_xll.FDSB($C930,"FG_COMPANY_NAME")</f>
        <v/>
      </c>
      <c r="E930" s="300"/>
      <c r="F930" s="274" t="str" cm="1">
        <f t="array" ref="F930">_xll.FDSB($C930,"CS_EVENT_DATEJ_N("&amp;$AA$18&amp;",1)")</f>
        <v/>
      </c>
      <c r="G930" s="282" t="str" cm="1">
        <f t="array" ref="G930">_xll.FDSB($C930,"CS_EVENT_TIME_N("&amp;$AA$18&amp;",1)")</f>
        <v/>
      </c>
      <c r="H930" s="282" t="str" cm="1">
        <f t="array" ref="H930">_xll.FDSB($C930,"CS_EVENT_DESC_N("&amp;$AA$18&amp;",1)")</f>
        <v/>
      </c>
      <c r="I930" s="282"/>
      <c r="J930" s="274" t="str" cm="1">
        <f t="array" ref="J930">_xll.FDSB($C930,"CS_EVENT_DATEJ_N("&amp;$AB$18&amp;",1)")</f>
        <v/>
      </c>
      <c r="K930" s="282" t="str" cm="1">
        <f t="array" ref="K930">_xll.FDSB($C930,"CS_EVENT_TIME_N("&amp;$AB$18&amp;",1)")</f>
        <v/>
      </c>
      <c r="L930" s="282" t="str" cm="1">
        <f t="array" ref="L930">_xll.FDSB($C930,"CS_EVENT_DESC_N("&amp;$AB$18&amp;",1)")</f>
        <v/>
      </c>
      <c r="M930" s="300"/>
      <c r="N930" s="274" t="str" cm="1">
        <f t="array" ref="N930">_xll.FDSB($C930,"CS_EVENT_DATEJ_N("&amp;$AA$18&amp;",2)")</f>
        <v/>
      </c>
      <c r="O930" s="282" t="str" cm="1">
        <f t="array" ref="O930">_xll.FDSB($C930,"CS_EVENT_TIME_N("&amp;$AA$18&amp;",2)")</f>
        <v/>
      </c>
      <c r="P930" s="282" t="str" cm="1">
        <f t="array" ref="P930">_xll.FDSB($C930,"CS_EVENT_DESC_N("&amp;$AA$18&amp;",2)")</f>
        <v/>
      </c>
      <c r="Q930" s="282"/>
      <c r="R930" s="274" t="str" cm="1">
        <f t="array" ref="R930">_xll.FDSB($C930,"CS_EVENT_DATEJ_N("&amp;$AA$18&amp;",3)")</f>
        <v/>
      </c>
      <c r="S930" s="282" t="str" cm="1">
        <f t="array" ref="S930">_xll.FDSB($C930,"CS_EVENT_TIME_N("&amp;$AA$18&amp;",3)")</f>
        <v/>
      </c>
      <c r="T930" s="282" t="str" cm="1">
        <f t="array" ref="T930">_xll.FDSB($C930,"CS_EVENT_DESC_N("&amp;$AA$18&amp;",3)")</f>
        <v/>
      </c>
      <c r="U930" s="282"/>
      <c r="V930" s="274" t="str" cm="1">
        <f t="array" ref="V930">_xll.FDSB($C930,"CS_EVENT_DATEJ_N("&amp;$AA$18&amp;",4)")</f>
        <v/>
      </c>
      <c r="W930" s="282" t="str" cm="1">
        <f t="array" ref="W930">_xll.FDSB($C930,"CS_EVENT_TIME_N("&amp;$AA$18&amp;",4)")</f>
        <v/>
      </c>
      <c r="X930" s="282" t="str" cm="1">
        <f t="array" ref="X930">_xll.FDSB($C930,"CS_EVENT_DESC_N("&amp;$AA$18&amp;",4)")</f>
        <v/>
      </c>
    </row>
    <row r="931" spans="2:24" x14ac:dyDescent="0.15">
      <c r="B931" s="298">
        <f t="shared" si="16"/>
        <v>916</v>
      </c>
      <c r="C931" s="299"/>
      <c r="D931" s="300" t="str" cm="1">
        <f t="array" ref="D931">_xll.FDSB($C931,"FG_COMPANY_NAME")</f>
        <v/>
      </c>
      <c r="E931" s="300"/>
      <c r="F931" s="274" t="str" cm="1">
        <f t="array" ref="F931">_xll.FDSB($C931,"CS_EVENT_DATEJ_N("&amp;$AA$18&amp;",1)")</f>
        <v/>
      </c>
      <c r="G931" s="282" t="str" cm="1">
        <f t="array" ref="G931">_xll.FDSB($C931,"CS_EVENT_TIME_N("&amp;$AA$18&amp;",1)")</f>
        <v/>
      </c>
      <c r="H931" s="282" t="str" cm="1">
        <f t="array" ref="H931">_xll.FDSB($C931,"CS_EVENT_DESC_N("&amp;$AA$18&amp;",1)")</f>
        <v/>
      </c>
      <c r="I931" s="282"/>
      <c r="J931" s="274" t="str" cm="1">
        <f t="array" ref="J931">_xll.FDSB($C931,"CS_EVENT_DATEJ_N("&amp;$AB$18&amp;",1)")</f>
        <v/>
      </c>
      <c r="K931" s="282" t="str" cm="1">
        <f t="array" ref="K931">_xll.FDSB($C931,"CS_EVENT_TIME_N("&amp;$AB$18&amp;",1)")</f>
        <v/>
      </c>
      <c r="L931" s="282" t="str" cm="1">
        <f t="array" ref="L931">_xll.FDSB($C931,"CS_EVENT_DESC_N("&amp;$AB$18&amp;",1)")</f>
        <v/>
      </c>
      <c r="M931" s="300"/>
      <c r="N931" s="274" t="str" cm="1">
        <f t="array" ref="N931">_xll.FDSB($C931,"CS_EVENT_DATEJ_N("&amp;$AA$18&amp;",2)")</f>
        <v/>
      </c>
      <c r="O931" s="282" t="str" cm="1">
        <f t="array" ref="O931">_xll.FDSB($C931,"CS_EVENT_TIME_N("&amp;$AA$18&amp;",2)")</f>
        <v/>
      </c>
      <c r="P931" s="282" t="str" cm="1">
        <f t="array" ref="P931">_xll.FDSB($C931,"CS_EVENT_DESC_N("&amp;$AA$18&amp;",2)")</f>
        <v/>
      </c>
      <c r="Q931" s="282"/>
      <c r="R931" s="274" t="str" cm="1">
        <f t="array" ref="R931">_xll.FDSB($C931,"CS_EVENT_DATEJ_N("&amp;$AA$18&amp;",3)")</f>
        <v/>
      </c>
      <c r="S931" s="282" t="str" cm="1">
        <f t="array" ref="S931">_xll.FDSB($C931,"CS_EVENT_TIME_N("&amp;$AA$18&amp;",3)")</f>
        <v/>
      </c>
      <c r="T931" s="282" t="str" cm="1">
        <f t="array" ref="T931">_xll.FDSB($C931,"CS_EVENT_DESC_N("&amp;$AA$18&amp;",3)")</f>
        <v/>
      </c>
      <c r="U931" s="282"/>
      <c r="V931" s="274" t="str" cm="1">
        <f t="array" ref="V931">_xll.FDSB($C931,"CS_EVENT_DATEJ_N("&amp;$AA$18&amp;",4)")</f>
        <v/>
      </c>
      <c r="W931" s="282" t="str" cm="1">
        <f t="array" ref="W931">_xll.FDSB($C931,"CS_EVENT_TIME_N("&amp;$AA$18&amp;",4)")</f>
        <v/>
      </c>
      <c r="X931" s="282" t="str" cm="1">
        <f t="array" ref="X931">_xll.FDSB($C931,"CS_EVENT_DESC_N("&amp;$AA$18&amp;",4)")</f>
        <v/>
      </c>
    </row>
    <row r="932" spans="2:24" x14ac:dyDescent="0.15">
      <c r="B932" s="298">
        <f t="shared" si="16"/>
        <v>917</v>
      </c>
      <c r="C932" s="299"/>
      <c r="D932" s="300" t="str" cm="1">
        <f t="array" ref="D932">_xll.FDSB($C932,"FG_COMPANY_NAME")</f>
        <v/>
      </c>
      <c r="E932" s="300"/>
      <c r="F932" s="274" t="str" cm="1">
        <f t="array" ref="F932">_xll.FDSB($C932,"CS_EVENT_DATEJ_N("&amp;$AA$18&amp;",1)")</f>
        <v/>
      </c>
      <c r="G932" s="282" t="str" cm="1">
        <f t="array" ref="G932">_xll.FDSB($C932,"CS_EVENT_TIME_N("&amp;$AA$18&amp;",1)")</f>
        <v/>
      </c>
      <c r="H932" s="282" t="str" cm="1">
        <f t="array" ref="H932">_xll.FDSB($C932,"CS_EVENT_DESC_N("&amp;$AA$18&amp;",1)")</f>
        <v/>
      </c>
      <c r="I932" s="282"/>
      <c r="J932" s="274" t="str" cm="1">
        <f t="array" ref="J932">_xll.FDSB($C932,"CS_EVENT_DATEJ_N("&amp;$AB$18&amp;",1)")</f>
        <v/>
      </c>
      <c r="K932" s="282" t="str" cm="1">
        <f t="array" ref="K932">_xll.FDSB($C932,"CS_EVENT_TIME_N("&amp;$AB$18&amp;",1)")</f>
        <v/>
      </c>
      <c r="L932" s="282" t="str" cm="1">
        <f t="array" ref="L932">_xll.FDSB($C932,"CS_EVENT_DESC_N("&amp;$AB$18&amp;",1)")</f>
        <v/>
      </c>
      <c r="M932" s="300"/>
      <c r="N932" s="274" t="str" cm="1">
        <f t="array" ref="N932">_xll.FDSB($C932,"CS_EVENT_DATEJ_N("&amp;$AA$18&amp;",2)")</f>
        <v/>
      </c>
      <c r="O932" s="282" t="str" cm="1">
        <f t="array" ref="O932">_xll.FDSB($C932,"CS_EVENT_TIME_N("&amp;$AA$18&amp;",2)")</f>
        <v/>
      </c>
      <c r="P932" s="282" t="str" cm="1">
        <f t="array" ref="P932">_xll.FDSB($C932,"CS_EVENT_DESC_N("&amp;$AA$18&amp;",2)")</f>
        <v/>
      </c>
      <c r="Q932" s="282"/>
      <c r="R932" s="274" t="str" cm="1">
        <f t="array" ref="R932">_xll.FDSB($C932,"CS_EVENT_DATEJ_N("&amp;$AA$18&amp;",3)")</f>
        <v/>
      </c>
      <c r="S932" s="282" t="str" cm="1">
        <f t="array" ref="S932">_xll.FDSB($C932,"CS_EVENT_TIME_N("&amp;$AA$18&amp;",3)")</f>
        <v/>
      </c>
      <c r="T932" s="282" t="str" cm="1">
        <f t="array" ref="T932">_xll.FDSB($C932,"CS_EVENT_DESC_N("&amp;$AA$18&amp;",3)")</f>
        <v/>
      </c>
      <c r="U932" s="282"/>
      <c r="V932" s="274" t="str" cm="1">
        <f t="array" ref="V932">_xll.FDSB($C932,"CS_EVENT_DATEJ_N("&amp;$AA$18&amp;",4)")</f>
        <v/>
      </c>
      <c r="W932" s="282" t="str" cm="1">
        <f t="array" ref="W932">_xll.FDSB($C932,"CS_EVENT_TIME_N("&amp;$AA$18&amp;",4)")</f>
        <v/>
      </c>
      <c r="X932" s="282" t="str" cm="1">
        <f t="array" ref="X932">_xll.FDSB($C932,"CS_EVENT_DESC_N("&amp;$AA$18&amp;",4)")</f>
        <v/>
      </c>
    </row>
    <row r="933" spans="2:24" x14ac:dyDescent="0.15">
      <c r="B933" s="298">
        <f t="shared" si="16"/>
        <v>918</v>
      </c>
      <c r="C933" s="299"/>
      <c r="D933" s="300" t="str" cm="1">
        <f t="array" ref="D933">_xll.FDSB($C933,"FG_COMPANY_NAME")</f>
        <v/>
      </c>
      <c r="E933" s="300"/>
      <c r="F933" s="274" t="str" cm="1">
        <f t="array" ref="F933">_xll.FDSB($C933,"CS_EVENT_DATEJ_N("&amp;$AA$18&amp;",1)")</f>
        <v/>
      </c>
      <c r="G933" s="282" t="str" cm="1">
        <f t="array" ref="G933">_xll.FDSB($C933,"CS_EVENT_TIME_N("&amp;$AA$18&amp;",1)")</f>
        <v/>
      </c>
      <c r="H933" s="282" t="str" cm="1">
        <f t="array" ref="H933">_xll.FDSB($C933,"CS_EVENT_DESC_N("&amp;$AA$18&amp;",1)")</f>
        <v/>
      </c>
      <c r="I933" s="282"/>
      <c r="J933" s="274" t="str" cm="1">
        <f t="array" ref="J933">_xll.FDSB($C933,"CS_EVENT_DATEJ_N("&amp;$AB$18&amp;",1)")</f>
        <v/>
      </c>
      <c r="K933" s="282" t="str" cm="1">
        <f t="array" ref="K933">_xll.FDSB($C933,"CS_EVENT_TIME_N("&amp;$AB$18&amp;",1)")</f>
        <v/>
      </c>
      <c r="L933" s="282" t="str" cm="1">
        <f t="array" ref="L933">_xll.FDSB($C933,"CS_EVENT_DESC_N("&amp;$AB$18&amp;",1)")</f>
        <v/>
      </c>
      <c r="M933" s="300"/>
      <c r="N933" s="274" t="str" cm="1">
        <f t="array" ref="N933">_xll.FDSB($C933,"CS_EVENT_DATEJ_N("&amp;$AA$18&amp;",2)")</f>
        <v/>
      </c>
      <c r="O933" s="282" t="str" cm="1">
        <f t="array" ref="O933">_xll.FDSB($C933,"CS_EVENT_TIME_N("&amp;$AA$18&amp;",2)")</f>
        <v/>
      </c>
      <c r="P933" s="282" t="str" cm="1">
        <f t="array" ref="P933">_xll.FDSB($C933,"CS_EVENT_DESC_N("&amp;$AA$18&amp;",2)")</f>
        <v/>
      </c>
      <c r="Q933" s="282"/>
      <c r="R933" s="274" t="str" cm="1">
        <f t="array" ref="R933">_xll.FDSB($C933,"CS_EVENT_DATEJ_N("&amp;$AA$18&amp;",3)")</f>
        <v/>
      </c>
      <c r="S933" s="282" t="str" cm="1">
        <f t="array" ref="S933">_xll.FDSB($C933,"CS_EVENT_TIME_N("&amp;$AA$18&amp;",3)")</f>
        <v/>
      </c>
      <c r="T933" s="282" t="str" cm="1">
        <f t="array" ref="T933">_xll.FDSB($C933,"CS_EVENT_DESC_N("&amp;$AA$18&amp;",3)")</f>
        <v/>
      </c>
      <c r="U933" s="282"/>
      <c r="V933" s="274" t="str" cm="1">
        <f t="array" ref="V933">_xll.FDSB($C933,"CS_EVENT_DATEJ_N("&amp;$AA$18&amp;",4)")</f>
        <v/>
      </c>
      <c r="W933" s="282" t="str" cm="1">
        <f t="array" ref="W933">_xll.FDSB($C933,"CS_EVENT_TIME_N("&amp;$AA$18&amp;",4)")</f>
        <v/>
      </c>
      <c r="X933" s="282" t="str" cm="1">
        <f t="array" ref="X933">_xll.FDSB($C933,"CS_EVENT_DESC_N("&amp;$AA$18&amp;",4)")</f>
        <v/>
      </c>
    </row>
    <row r="934" spans="2:24" x14ac:dyDescent="0.15">
      <c r="B934" s="298">
        <f t="shared" si="16"/>
        <v>919</v>
      </c>
      <c r="C934" s="299"/>
      <c r="D934" s="300" t="str" cm="1">
        <f t="array" ref="D934">_xll.FDSB($C934,"FG_COMPANY_NAME")</f>
        <v/>
      </c>
      <c r="E934" s="300"/>
      <c r="F934" s="274" t="str" cm="1">
        <f t="array" ref="F934">_xll.FDSB($C934,"CS_EVENT_DATEJ_N("&amp;$AA$18&amp;",1)")</f>
        <v/>
      </c>
      <c r="G934" s="282" t="str" cm="1">
        <f t="array" ref="G934">_xll.FDSB($C934,"CS_EVENT_TIME_N("&amp;$AA$18&amp;",1)")</f>
        <v/>
      </c>
      <c r="H934" s="282" t="str" cm="1">
        <f t="array" ref="H934">_xll.FDSB($C934,"CS_EVENT_DESC_N("&amp;$AA$18&amp;",1)")</f>
        <v/>
      </c>
      <c r="I934" s="282"/>
      <c r="J934" s="274" t="str" cm="1">
        <f t="array" ref="J934">_xll.FDSB($C934,"CS_EVENT_DATEJ_N("&amp;$AB$18&amp;",1)")</f>
        <v/>
      </c>
      <c r="K934" s="282" t="str" cm="1">
        <f t="array" ref="K934">_xll.FDSB($C934,"CS_EVENT_TIME_N("&amp;$AB$18&amp;",1)")</f>
        <v/>
      </c>
      <c r="L934" s="282" t="str" cm="1">
        <f t="array" ref="L934">_xll.FDSB($C934,"CS_EVENT_DESC_N("&amp;$AB$18&amp;",1)")</f>
        <v/>
      </c>
      <c r="M934" s="300"/>
      <c r="N934" s="274" t="str" cm="1">
        <f t="array" ref="N934">_xll.FDSB($C934,"CS_EVENT_DATEJ_N("&amp;$AA$18&amp;",2)")</f>
        <v/>
      </c>
      <c r="O934" s="282" t="str" cm="1">
        <f t="array" ref="O934">_xll.FDSB($C934,"CS_EVENT_TIME_N("&amp;$AA$18&amp;",2)")</f>
        <v/>
      </c>
      <c r="P934" s="282" t="str" cm="1">
        <f t="array" ref="P934">_xll.FDSB($C934,"CS_EVENT_DESC_N("&amp;$AA$18&amp;",2)")</f>
        <v/>
      </c>
      <c r="Q934" s="282"/>
      <c r="R934" s="274" t="str" cm="1">
        <f t="array" ref="R934">_xll.FDSB($C934,"CS_EVENT_DATEJ_N("&amp;$AA$18&amp;",3)")</f>
        <v/>
      </c>
      <c r="S934" s="282" t="str" cm="1">
        <f t="array" ref="S934">_xll.FDSB($C934,"CS_EVENT_TIME_N("&amp;$AA$18&amp;",3)")</f>
        <v/>
      </c>
      <c r="T934" s="282" t="str" cm="1">
        <f t="array" ref="T934">_xll.FDSB($C934,"CS_EVENT_DESC_N("&amp;$AA$18&amp;",3)")</f>
        <v/>
      </c>
      <c r="U934" s="282"/>
      <c r="V934" s="274" t="str" cm="1">
        <f t="array" ref="V934">_xll.FDSB($C934,"CS_EVENT_DATEJ_N("&amp;$AA$18&amp;",4)")</f>
        <v/>
      </c>
      <c r="W934" s="282" t="str" cm="1">
        <f t="array" ref="W934">_xll.FDSB($C934,"CS_EVENT_TIME_N("&amp;$AA$18&amp;",4)")</f>
        <v/>
      </c>
      <c r="X934" s="282" t="str" cm="1">
        <f t="array" ref="X934">_xll.FDSB($C934,"CS_EVENT_DESC_N("&amp;$AA$18&amp;",4)")</f>
        <v/>
      </c>
    </row>
    <row r="935" spans="2:24" x14ac:dyDescent="0.15">
      <c r="B935" s="298">
        <f t="shared" si="16"/>
        <v>920</v>
      </c>
      <c r="C935" s="299"/>
      <c r="D935" s="300" t="str" cm="1">
        <f t="array" ref="D935">_xll.FDSB($C935,"FG_COMPANY_NAME")</f>
        <v/>
      </c>
      <c r="E935" s="300"/>
      <c r="F935" s="274" t="str" cm="1">
        <f t="array" ref="F935">_xll.FDSB($C935,"CS_EVENT_DATEJ_N("&amp;$AA$18&amp;",1)")</f>
        <v/>
      </c>
      <c r="G935" s="282" t="str" cm="1">
        <f t="array" ref="G935">_xll.FDSB($C935,"CS_EVENT_TIME_N("&amp;$AA$18&amp;",1)")</f>
        <v/>
      </c>
      <c r="H935" s="282" t="str" cm="1">
        <f t="array" ref="H935">_xll.FDSB($C935,"CS_EVENT_DESC_N("&amp;$AA$18&amp;",1)")</f>
        <v/>
      </c>
      <c r="I935" s="282"/>
      <c r="J935" s="274" t="str" cm="1">
        <f t="array" ref="J935">_xll.FDSB($C935,"CS_EVENT_DATEJ_N("&amp;$AB$18&amp;",1)")</f>
        <v/>
      </c>
      <c r="K935" s="282" t="str" cm="1">
        <f t="array" ref="K935">_xll.FDSB($C935,"CS_EVENT_TIME_N("&amp;$AB$18&amp;",1)")</f>
        <v/>
      </c>
      <c r="L935" s="282" t="str" cm="1">
        <f t="array" ref="L935">_xll.FDSB($C935,"CS_EVENT_DESC_N("&amp;$AB$18&amp;",1)")</f>
        <v/>
      </c>
      <c r="M935" s="300"/>
      <c r="N935" s="274" t="str" cm="1">
        <f t="array" ref="N935">_xll.FDSB($C935,"CS_EVENT_DATEJ_N("&amp;$AA$18&amp;",2)")</f>
        <v/>
      </c>
      <c r="O935" s="282" t="str" cm="1">
        <f t="array" ref="O935">_xll.FDSB($C935,"CS_EVENT_TIME_N("&amp;$AA$18&amp;",2)")</f>
        <v/>
      </c>
      <c r="P935" s="282" t="str" cm="1">
        <f t="array" ref="P935">_xll.FDSB($C935,"CS_EVENT_DESC_N("&amp;$AA$18&amp;",2)")</f>
        <v/>
      </c>
      <c r="Q935" s="282"/>
      <c r="R935" s="274" t="str" cm="1">
        <f t="array" ref="R935">_xll.FDSB($C935,"CS_EVENT_DATEJ_N("&amp;$AA$18&amp;",3)")</f>
        <v/>
      </c>
      <c r="S935" s="282" t="str" cm="1">
        <f t="array" ref="S935">_xll.FDSB($C935,"CS_EVENT_TIME_N("&amp;$AA$18&amp;",3)")</f>
        <v/>
      </c>
      <c r="T935" s="282" t="str" cm="1">
        <f t="array" ref="T935">_xll.FDSB($C935,"CS_EVENT_DESC_N("&amp;$AA$18&amp;",3)")</f>
        <v/>
      </c>
      <c r="U935" s="282"/>
      <c r="V935" s="274" t="str" cm="1">
        <f t="array" ref="V935">_xll.FDSB($C935,"CS_EVENT_DATEJ_N("&amp;$AA$18&amp;",4)")</f>
        <v/>
      </c>
      <c r="W935" s="282" t="str" cm="1">
        <f t="array" ref="W935">_xll.FDSB($C935,"CS_EVENT_TIME_N("&amp;$AA$18&amp;",4)")</f>
        <v/>
      </c>
      <c r="X935" s="282" t="str" cm="1">
        <f t="array" ref="X935">_xll.FDSB($C935,"CS_EVENT_DESC_N("&amp;$AA$18&amp;",4)")</f>
        <v/>
      </c>
    </row>
    <row r="936" spans="2:24" x14ac:dyDescent="0.15">
      <c r="B936" s="298">
        <f t="shared" si="16"/>
        <v>921</v>
      </c>
      <c r="C936" s="299"/>
      <c r="D936" s="300" t="str" cm="1">
        <f t="array" ref="D936">_xll.FDSB($C936,"FG_COMPANY_NAME")</f>
        <v/>
      </c>
      <c r="E936" s="300"/>
      <c r="F936" s="274" t="str" cm="1">
        <f t="array" ref="F936">_xll.FDSB($C936,"CS_EVENT_DATEJ_N("&amp;$AA$18&amp;",1)")</f>
        <v/>
      </c>
      <c r="G936" s="282" t="str" cm="1">
        <f t="array" ref="G936">_xll.FDSB($C936,"CS_EVENT_TIME_N("&amp;$AA$18&amp;",1)")</f>
        <v/>
      </c>
      <c r="H936" s="282" t="str" cm="1">
        <f t="array" ref="H936">_xll.FDSB($C936,"CS_EVENT_DESC_N("&amp;$AA$18&amp;",1)")</f>
        <v/>
      </c>
      <c r="I936" s="282"/>
      <c r="J936" s="274" t="str" cm="1">
        <f t="array" ref="J936">_xll.FDSB($C936,"CS_EVENT_DATEJ_N("&amp;$AB$18&amp;",1)")</f>
        <v/>
      </c>
      <c r="K936" s="282" t="str" cm="1">
        <f t="array" ref="K936">_xll.FDSB($C936,"CS_EVENT_TIME_N("&amp;$AB$18&amp;",1)")</f>
        <v/>
      </c>
      <c r="L936" s="282" t="str" cm="1">
        <f t="array" ref="L936">_xll.FDSB($C936,"CS_EVENT_DESC_N("&amp;$AB$18&amp;",1)")</f>
        <v/>
      </c>
      <c r="M936" s="300"/>
      <c r="N936" s="274" t="str" cm="1">
        <f t="array" ref="N936">_xll.FDSB($C936,"CS_EVENT_DATEJ_N("&amp;$AA$18&amp;",2)")</f>
        <v/>
      </c>
      <c r="O936" s="282" t="str" cm="1">
        <f t="array" ref="O936">_xll.FDSB($C936,"CS_EVENT_TIME_N("&amp;$AA$18&amp;",2)")</f>
        <v/>
      </c>
      <c r="P936" s="282" t="str" cm="1">
        <f t="array" ref="P936">_xll.FDSB($C936,"CS_EVENT_DESC_N("&amp;$AA$18&amp;",2)")</f>
        <v/>
      </c>
      <c r="Q936" s="282"/>
      <c r="R936" s="274" t="str" cm="1">
        <f t="array" ref="R936">_xll.FDSB($C936,"CS_EVENT_DATEJ_N("&amp;$AA$18&amp;",3)")</f>
        <v/>
      </c>
      <c r="S936" s="282" t="str" cm="1">
        <f t="array" ref="S936">_xll.FDSB($C936,"CS_EVENT_TIME_N("&amp;$AA$18&amp;",3)")</f>
        <v/>
      </c>
      <c r="T936" s="282" t="str" cm="1">
        <f t="array" ref="T936">_xll.FDSB($C936,"CS_EVENT_DESC_N("&amp;$AA$18&amp;",3)")</f>
        <v/>
      </c>
      <c r="U936" s="282"/>
      <c r="V936" s="274" t="str" cm="1">
        <f t="array" ref="V936">_xll.FDSB($C936,"CS_EVENT_DATEJ_N("&amp;$AA$18&amp;",4)")</f>
        <v/>
      </c>
      <c r="W936" s="282" t="str" cm="1">
        <f t="array" ref="W936">_xll.FDSB($C936,"CS_EVENT_TIME_N("&amp;$AA$18&amp;",4)")</f>
        <v/>
      </c>
      <c r="X936" s="282" t="str" cm="1">
        <f t="array" ref="X936">_xll.FDSB($C936,"CS_EVENT_DESC_N("&amp;$AA$18&amp;",4)")</f>
        <v/>
      </c>
    </row>
    <row r="937" spans="2:24" x14ac:dyDescent="0.15">
      <c r="B937" s="298">
        <f t="shared" si="16"/>
        <v>922</v>
      </c>
      <c r="C937" s="299"/>
      <c r="D937" s="300" t="str" cm="1">
        <f t="array" ref="D937">_xll.FDSB($C937,"FG_COMPANY_NAME")</f>
        <v/>
      </c>
      <c r="E937" s="300"/>
      <c r="F937" s="274" t="str" cm="1">
        <f t="array" ref="F937">_xll.FDSB($C937,"CS_EVENT_DATEJ_N("&amp;$AA$18&amp;",1)")</f>
        <v/>
      </c>
      <c r="G937" s="282" t="str" cm="1">
        <f t="array" ref="G937">_xll.FDSB($C937,"CS_EVENT_TIME_N("&amp;$AA$18&amp;",1)")</f>
        <v/>
      </c>
      <c r="H937" s="282" t="str" cm="1">
        <f t="array" ref="H937">_xll.FDSB($C937,"CS_EVENT_DESC_N("&amp;$AA$18&amp;",1)")</f>
        <v/>
      </c>
      <c r="I937" s="282"/>
      <c r="J937" s="274" t="str" cm="1">
        <f t="array" ref="J937">_xll.FDSB($C937,"CS_EVENT_DATEJ_N("&amp;$AB$18&amp;",1)")</f>
        <v/>
      </c>
      <c r="K937" s="282" t="str" cm="1">
        <f t="array" ref="K937">_xll.FDSB($C937,"CS_EVENT_TIME_N("&amp;$AB$18&amp;",1)")</f>
        <v/>
      </c>
      <c r="L937" s="282" t="str" cm="1">
        <f t="array" ref="L937">_xll.FDSB($C937,"CS_EVENT_DESC_N("&amp;$AB$18&amp;",1)")</f>
        <v/>
      </c>
      <c r="M937" s="300"/>
      <c r="N937" s="274" t="str" cm="1">
        <f t="array" ref="N937">_xll.FDSB($C937,"CS_EVENT_DATEJ_N("&amp;$AA$18&amp;",2)")</f>
        <v/>
      </c>
      <c r="O937" s="282" t="str" cm="1">
        <f t="array" ref="O937">_xll.FDSB($C937,"CS_EVENT_TIME_N("&amp;$AA$18&amp;",2)")</f>
        <v/>
      </c>
      <c r="P937" s="282" t="str" cm="1">
        <f t="array" ref="P937">_xll.FDSB($C937,"CS_EVENT_DESC_N("&amp;$AA$18&amp;",2)")</f>
        <v/>
      </c>
      <c r="Q937" s="282"/>
      <c r="R937" s="274" t="str" cm="1">
        <f t="array" ref="R937">_xll.FDSB($C937,"CS_EVENT_DATEJ_N("&amp;$AA$18&amp;",3)")</f>
        <v/>
      </c>
      <c r="S937" s="282" t="str" cm="1">
        <f t="array" ref="S937">_xll.FDSB($C937,"CS_EVENT_TIME_N("&amp;$AA$18&amp;",3)")</f>
        <v/>
      </c>
      <c r="T937" s="282" t="str" cm="1">
        <f t="array" ref="T937">_xll.FDSB($C937,"CS_EVENT_DESC_N("&amp;$AA$18&amp;",3)")</f>
        <v/>
      </c>
      <c r="U937" s="282"/>
      <c r="V937" s="274" t="str" cm="1">
        <f t="array" ref="V937">_xll.FDSB($C937,"CS_EVENT_DATEJ_N("&amp;$AA$18&amp;",4)")</f>
        <v/>
      </c>
      <c r="W937" s="282" t="str" cm="1">
        <f t="array" ref="W937">_xll.FDSB($C937,"CS_EVENT_TIME_N("&amp;$AA$18&amp;",4)")</f>
        <v/>
      </c>
      <c r="X937" s="282" t="str" cm="1">
        <f t="array" ref="X937">_xll.FDSB($C937,"CS_EVENT_DESC_N("&amp;$AA$18&amp;",4)")</f>
        <v/>
      </c>
    </row>
    <row r="938" spans="2:24" x14ac:dyDescent="0.15">
      <c r="B938" s="298">
        <f t="shared" si="16"/>
        <v>923</v>
      </c>
      <c r="C938" s="299"/>
      <c r="D938" s="300" t="str" cm="1">
        <f t="array" ref="D938">_xll.FDSB($C938,"FG_COMPANY_NAME")</f>
        <v/>
      </c>
      <c r="E938" s="300"/>
      <c r="F938" s="274" t="str" cm="1">
        <f t="array" ref="F938">_xll.FDSB($C938,"CS_EVENT_DATEJ_N("&amp;$AA$18&amp;",1)")</f>
        <v/>
      </c>
      <c r="G938" s="282" t="str" cm="1">
        <f t="array" ref="G938">_xll.FDSB($C938,"CS_EVENT_TIME_N("&amp;$AA$18&amp;",1)")</f>
        <v/>
      </c>
      <c r="H938" s="282" t="str" cm="1">
        <f t="array" ref="H938">_xll.FDSB($C938,"CS_EVENT_DESC_N("&amp;$AA$18&amp;",1)")</f>
        <v/>
      </c>
      <c r="I938" s="282"/>
      <c r="J938" s="274" t="str" cm="1">
        <f t="array" ref="J938">_xll.FDSB($C938,"CS_EVENT_DATEJ_N("&amp;$AB$18&amp;",1)")</f>
        <v/>
      </c>
      <c r="K938" s="282" t="str" cm="1">
        <f t="array" ref="K938">_xll.FDSB($C938,"CS_EVENT_TIME_N("&amp;$AB$18&amp;",1)")</f>
        <v/>
      </c>
      <c r="L938" s="282" t="str" cm="1">
        <f t="array" ref="L938">_xll.FDSB($C938,"CS_EVENT_DESC_N("&amp;$AB$18&amp;",1)")</f>
        <v/>
      </c>
      <c r="M938" s="300"/>
      <c r="N938" s="274" t="str" cm="1">
        <f t="array" ref="N938">_xll.FDSB($C938,"CS_EVENT_DATEJ_N("&amp;$AA$18&amp;",2)")</f>
        <v/>
      </c>
      <c r="O938" s="282" t="str" cm="1">
        <f t="array" ref="O938">_xll.FDSB($C938,"CS_EVENT_TIME_N("&amp;$AA$18&amp;",2)")</f>
        <v/>
      </c>
      <c r="P938" s="282" t="str" cm="1">
        <f t="array" ref="P938">_xll.FDSB($C938,"CS_EVENT_DESC_N("&amp;$AA$18&amp;",2)")</f>
        <v/>
      </c>
      <c r="Q938" s="282"/>
      <c r="R938" s="274" t="str" cm="1">
        <f t="array" ref="R938">_xll.FDSB($C938,"CS_EVENT_DATEJ_N("&amp;$AA$18&amp;",3)")</f>
        <v/>
      </c>
      <c r="S938" s="282" t="str" cm="1">
        <f t="array" ref="S938">_xll.FDSB($C938,"CS_EVENT_TIME_N("&amp;$AA$18&amp;",3)")</f>
        <v/>
      </c>
      <c r="T938" s="282" t="str" cm="1">
        <f t="array" ref="T938">_xll.FDSB($C938,"CS_EVENT_DESC_N("&amp;$AA$18&amp;",3)")</f>
        <v/>
      </c>
      <c r="U938" s="282"/>
      <c r="V938" s="274" t="str" cm="1">
        <f t="array" ref="V938">_xll.FDSB($C938,"CS_EVENT_DATEJ_N("&amp;$AA$18&amp;",4)")</f>
        <v/>
      </c>
      <c r="W938" s="282" t="str" cm="1">
        <f t="array" ref="W938">_xll.FDSB($C938,"CS_EVENT_TIME_N("&amp;$AA$18&amp;",4)")</f>
        <v/>
      </c>
      <c r="X938" s="282" t="str" cm="1">
        <f t="array" ref="X938">_xll.FDSB($C938,"CS_EVENT_DESC_N("&amp;$AA$18&amp;",4)")</f>
        <v/>
      </c>
    </row>
    <row r="939" spans="2:24" x14ac:dyDescent="0.15">
      <c r="B939" s="298">
        <f t="shared" si="16"/>
        <v>924</v>
      </c>
      <c r="C939" s="299"/>
      <c r="D939" s="300" t="str" cm="1">
        <f t="array" ref="D939">_xll.FDSB($C939,"FG_COMPANY_NAME")</f>
        <v/>
      </c>
      <c r="E939" s="300"/>
      <c r="F939" s="274" t="str" cm="1">
        <f t="array" ref="F939">_xll.FDSB($C939,"CS_EVENT_DATEJ_N("&amp;$AA$18&amp;",1)")</f>
        <v/>
      </c>
      <c r="G939" s="282" t="str" cm="1">
        <f t="array" ref="G939">_xll.FDSB($C939,"CS_EVENT_TIME_N("&amp;$AA$18&amp;",1)")</f>
        <v/>
      </c>
      <c r="H939" s="282" t="str" cm="1">
        <f t="array" ref="H939">_xll.FDSB($C939,"CS_EVENT_DESC_N("&amp;$AA$18&amp;",1)")</f>
        <v/>
      </c>
      <c r="I939" s="282"/>
      <c r="J939" s="274" t="str" cm="1">
        <f t="array" ref="J939">_xll.FDSB($C939,"CS_EVENT_DATEJ_N("&amp;$AB$18&amp;",1)")</f>
        <v/>
      </c>
      <c r="K939" s="282" t="str" cm="1">
        <f t="array" ref="K939">_xll.FDSB($C939,"CS_EVENT_TIME_N("&amp;$AB$18&amp;",1)")</f>
        <v/>
      </c>
      <c r="L939" s="282" t="str" cm="1">
        <f t="array" ref="L939">_xll.FDSB($C939,"CS_EVENT_DESC_N("&amp;$AB$18&amp;",1)")</f>
        <v/>
      </c>
      <c r="M939" s="300"/>
      <c r="N939" s="274" t="str" cm="1">
        <f t="array" ref="N939">_xll.FDSB($C939,"CS_EVENT_DATEJ_N("&amp;$AA$18&amp;",2)")</f>
        <v/>
      </c>
      <c r="O939" s="282" t="str" cm="1">
        <f t="array" ref="O939">_xll.FDSB($C939,"CS_EVENT_TIME_N("&amp;$AA$18&amp;",2)")</f>
        <v/>
      </c>
      <c r="P939" s="282" t="str" cm="1">
        <f t="array" ref="P939">_xll.FDSB($C939,"CS_EVENT_DESC_N("&amp;$AA$18&amp;",2)")</f>
        <v/>
      </c>
      <c r="Q939" s="282"/>
      <c r="R939" s="274" t="str" cm="1">
        <f t="array" ref="R939">_xll.FDSB($C939,"CS_EVENT_DATEJ_N("&amp;$AA$18&amp;",3)")</f>
        <v/>
      </c>
      <c r="S939" s="282" t="str" cm="1">
        <f t="array" ref="S939">_xll.FDSB($C939,"CS_EVENT_TIME_N("&amp;$AA$18&amp;",3)")</f>
        <v/>
      </c>
      <c r="T939" s="282" t="str" cm="1">
        <f t="array" ref="T939">_xll.FDSB($C939,"CS_EVENT_DESC_N("&amp;$AA$18&amp;",3)")</f>
        <v/>
      </c>
      <c r="U939" s="282"/>
      <c r="V939" s="274" t="str" cm="1">
        <f t="array" ref="V939">_xll.FDSB($C939,"CS_EVENT_DATEJ_N("&amp;$AA$18&amp;",4)")</f>
        <v/>
      </c>
      <c r="W939" s="282" t="str" cm="1">
        <f t="array" ref="W939">_xll.FDSB($C939,"CS_EVENT_TIME_N("&amp;$AA$18&amp;",4)")</f>
        <v/>
      </c>
      <c r="X939" s="282" t="str" cm="1">
        <f t="array" ref="X939">_xll.FDSB($C939,"CS_EVENT_DESC_N("&amp;$AA$18&amp;",4)")</f>
        <v/>
      </c>
    </row>
    <row r="940" spans="2:24" x14ac:dyDescent="0.15">
      <c r="B940" s="298">
        <f t="shared" si="16"/>
        <v>925</v>
      </c>
      <c r="C940" s="299"/>
      <c r="D940" s="300" t="str" cm="1">
        <f t="array" ref="D940">_xll.FDSB($C940,"FG_COMPANY_NAME")</f>
        <v/>
      </c>
      <c r="E940" s="300"/>
      <c r="F940" s="274" t="str" cm="1">
        <f t="array" ref="F940">_xll.FDSB($C940,"CS_EVENT_DATEJ_N("&amp;$AA$18&amp;",1)")</f>
        <v/>
      </c>
      <c r="G940" s="282" t="str" cm="1">
        <f t="array" ref="G940">_xll.FDSB($C940,"CS_EVENT_TIME_N("&amp;$AA$18&amp;",1)")</f>
        <v/>
      </c>
      <c r="H940" s="282" t="str" cm="1">
        <f t="array" ref="H940">_xll.FDSB($C940,"CS_EVENT_DESC_N("&amp;$AA$18&amp;",1)")</f>
        <v/>
      </c>
      <c r="I940" s="282"/>
      <c r="J940" s="274" t="str" cm="1">
        <f t="array" ref="J940">_xll.FDSB($C940,"CS_EVENT_DATEJ_N("&amp;$AB$18&amp;",1)")</f>
        <v/>
      </c>
      <c r="K940" s="282" t="str" cm="1">
        <f t="array" ref="K940">_xll.FDSB($C940,"CS_EVENT_TIME_N("&amp;$AB$18&amp;",1)")</f>
        <v/>
      </c>
      <c r="L940" s="282" t="str" cm="1">
        <f t="array" ref="L940">_xll.FDSB($C940,"CS_EVENT_DESC_N("&amp;$AB$18&amp;",1)")</f>
        <v/>
      </c>
      <c r="M940" s="300"/>
      <c r="N940" s="274" t="str" cm="1">
        <f t="array" ref="N940">_xll.FDSB($C940,"CS_EVENT_DATEJ_N("&amp;$AA$18&amp;",2)")</f>
        <v/>
      </c>
      <c r="O940" s="282" t="str" cm="1">
        <f t="array" ref="O940">_xll.FDSB($C940,"CS_EVENT_TIME_N("&amp;$AA$18&amp;",2)")</f>
        <v/>
      </c>
      <c r="P940" s="282" t="str" cm="1">
        <f t="array" ref="P940">_xll.FDSB($C940,"CS_EVENT_DESC_N("&amp;$AA$18&amp;",2)")</f>
        <v/>
      </c>
      <c r="Q940" s="282"/>
      <c r="R940" s="274" t="str" cm="1">
        <f t="array" ref="R940">_xll.FDSB($C940,"CS_EVENT_DATEJ_N("&amp;$AA$18&amp;",3)")</f>
        <v/>
      </c>
      <c r="S940" s="282" t="str" cm="1">
        <f t="array" ref="S940">_xll.FDSB($C940,"CS_EVENT_TIME_N("&amp;$AA$18&amp;",3)")</f>
        <v/>
      </c>
      <c r="T940" s="282" t="str" cm="1">
        <f t="array" ref="T940">_xll.FDSB($C940,"CS_EVENT_DESC_N("&amp;$AA$18&amp;",3)")</f>
        <v/>
      </c>
      <c r="U940" s="282"/>
      <c r="V940" s="274" t="str" cm="1">
        <f t="array" ref="V940">_xll.FDSB($C940,"CS_EVENT_DATEJ_N("&amp;$AA$18&amp;",4)")</f>
        <v/>
      </c>
      <c r="W940" s="282" t="str" cm="1">
        <f t="array" ref="W940">_xll.FDSB($C940,"CS_EVENT_TIME_N("&amp;$AA$18&amp;",4)")</f>
        <v/>
      </c>
      <c r="X940" s="282" t="str" cm="1">
        <f t="array" ref="X940">_xll.FDSB($C940,"CS_EVENT_DESC_N("&amp;$AA$18&amp;",4)")</f>
        <v/>
      </c>
    </row>
    <row r="941" spans="2:24" x14ac:dyDescent="0.15">
      <c r="B941" s="298">
        <f t="shared" si="16"/>
        <v>926</v>
      </c>
      <c r="C941" s="299"/>
      <c r="D941" s="300" t="str" cm="1">
        <f t="array" ref="D941">_xll.FDSB($C941,"FG_COMPANY_NAME")</f>
        <v/>
      </c>
      <c r="E941" s="300"/>
      <c r="F941" s="274" t="str" cm="1">
        <f t="array" ref="F941">_xll.FDSB($C941,"CS_EVENT_DATEJ_N("&amp;$AA$18&amp;",1)")</f>
        <v/>
      </c>
      <c r="G941" s="282" t="str" cm="1">
        <f t="array" ref="G941">_xll.FDSB($C941,"CS_EVENT_TIME_N("&amp;$AA$18&amp;",1)")</f>
        <v/>
      </c>
      <c r="H941" s="282" t="str" cm="1">
        <f t="array" ref="H941">_xll.FDSB($C941,"CS_EVENT_DESC_N("&amp;$AA$18&amp;",1)")</f>
        <v/>
      </c>
      <c r="I941" s="282"/>
      <c r="J941" s="274" t="str" cm="1">
        <f t="array" ref="J941">_xll.FDSB($C941,"CS_EVENT_DATEJ_N("&amp;$AB$18&amp;",1)")</f>
        <v/>
      </c>
      <c r="K941" s="282" t="str" cm="1">
        <f t="array" ref="K941">_xll.FDSB($C941,"CS_EVENT_TIME_N("&amp;$AB$18&amp;",1)")</f>
        <v/>
      </c>
      <c r="L941" s="282" t="str" cm="1">
        <f t="array" ref="L941">_xll.FDSB($C941,"CS_EVENT_DESC_N("&amp;$AB$18&amp;",1)")</f>
        <v/>
      </c>
      <c r="M941" s="300"/>
      <c r="N941" s="274" t="str" cm="1">
        <f t="array" ref="N941">_xll.FDSB($C941,"CS_EVENT_DATEJ_N("&amp;$AA$18&amp;",2)")</f>
        <v/>
      </c>
      <c r="O941" s="282" t="str" cm="1">
        <f t="array" ref="O941">_xll.FDSB($C941,"CS_EVENT_TIME_N("&amp;$AA$18&amp;",2)")</f>
        <v/>
      </c>
      <c r="P941" s="282" t="str" cm="1">
        <f t="array" ref="P941">_xll.FDSB($C941,"CS_EVENT_DESC_N("&amp;$AA$18&amp;",2)")</f>
        <v/>
      </c>
      <c r="Q941" s="282"/>
      <c r="R941" s="274" t="str" cm="1">
        <f t="array" ref="R941">_xll.FDSB($C941,"CS_EVENT_DATEJ_N("&amp;$AA$18&amp;",3)")</f>
        <v/>
      </c>
      <c r="S941" s="282" t="str" cm="1">
        <f t="array" ref="S941">_xll.FDSB($C941,"CS_EVENT_TIME_N("&amp;$AA$18&amp;",3)")</f>
        <v/>
      </c>
      <c r="T941" s="282" t="str" cm="1">
        <f t="array" ref="T941">_xll.FDSB($C941,"CS_EVENT_DESC_N("&amp;$AA$18&amp;",3)")</f>
        <v/>
      </c>
      <c r="U941" s="282"/>
      <c r="V941" s="274" t="str" cm="1">
        <f t="array" ref="V941">_xll.FDSB($C941,"CS_EVENT_DATEJ_N("&amp;$AA$18&amp;",4)")</f>
        <v/>
      </c>
      <c r="W941" s="282" t="str" cm="1">
        <f t="array" ref="W941">_xll.FDSB($C941,"CS_EVENT_TIME_N("&amp;$AA$18&amp;",4)")</f>
        <v/>
      </c>
      <c r="X941" s="282" t="str" cm="1">
        <f t="array" ref="X941">_xll.FDSB($C941,"CS_EVENT_DESC_N("&amp;$AA$18&amp;",4)")</f>
        <v/>
      </c>
    </row>
    <row r="942" spans="2:24" x14ac:dyDescent="0.15">
      <c r="B942" s="298">
        <f t="shared" si="16"/>
        <v>927</v>
      </c>
      <c r="C942" s="299"/>
      <c r="D942" s="300" t="str" cm="1">
        <f t="array" ref="D942">_xll.FDSB($C942,"FG_COMPANY_NAME")</f>
        <v/>
      </c>
      <c r="E942" s="300"/>
      <c r="F942" s="274" t="str" cm="1">
        <f t="array" ref="F942">_xll.FDSB($C942,"CS_EVENT_DATEJ_N("&amp;$AA$18&amp;",1)")</f>
        <v/>
      </c>
      <c r="G942" s="282" t="str" cm="1">
        <f t="array" ref="G942">_xll.FDSB($C942,"CS_EVENT_TIME_N("&amp;$AA$18&amp;",1)")</f>
        <v/>
      </c>
      <c r="H942" s="282" t="str" cm="1">
        <f t="array" ref="H942">_xll.FDSB($C942,"CS_EVENT_DESC_N("&amp;$AA$18&amp;",1)")</f>
        <v/>
      </c>
      <c r="I942" s="282"/>
      <c r="J942" s="274" t="str" cm="1">
        <f t="array" ref="J942">_xll.FDSB($C942,"CS_EVENT_DATEJ_N("&amp;$AB$18&amp;",1)")</f>
        <v/>
      </c>
      <c r="K942" s="282" t="str" cm="1">
        <f t="array" ref="K942">_xll.FDSB($C942,"CS_EVENT_TIME_N("&amp;$AB$18&amp;",1)")</f>
        <v/>
      </c>
      <c r="L942" s="282" t="str" cm="1">
        <f t="array" ref="L942">_xll.FDSB($C942,"CS_EVENT_DESC_N("&amp;$AB$18&amp;",1)")</f>
        <v/>
      </c>
      <c r="M942" s="300"/>
      <c r="N942" s="274" t="str" cm="1">
        <f t="array" ref="N942">_xll.FDSB($C942,"CS_EVENT_DATEJ_N("&amp;$AA$18&amp;",2)")</f>
        <v/>
      </c>
      <c r="O942" s="282" t="str" cm="1">
        <f t="array" ref="O942">_xll.FDSB($C942,"CS_EVENT_TIME_N("&amp;$AA$18&amp;",2)")</f>
        <v/>
      </c>
      <c r="P942" s="282" t="str" cm="1">
        <f t="array" ref="P942">_xll.FDSB($C942,"CS_EVENT_DESC_N("&amp;$AA$18&amp;",2)")</f>
        <v/>
      </c>
      <c r="Q942" s="282"/>
      <c r="R942" s="274" t="str" cm="1">
        <f t="array" ref="R942">_xll.FDSB($C942,"CS_EVENT_DATEJ_N("&amp;$AA$18&amp;",3)")</f>
        <v/>
      </c>
      <c r="S942" s="282" t="str" cm="1">
        <f t="array" ref="S942">_xll.FDSB($C942,"CS_EVENT_TIME_N("&amp;$AA$18&amp;",3)")</f>
        <v/>
      </c>
      <c r="T942" s="282" t="str" cm="1">
        <f t="array" ref="T942">_xll.FDSB($C942,"CS_EVENT_DESC_N("&amp;$AA$18&amp;",3)")</f>
        <v/>
      </c>
      <c r="U942" s="282"/>
      <c r="V942" s="274" t="str" cm="1">
        <f t="array" ref="V942">_xll.FDSB($C942,"CS_EVENT_DATEJ_N("&amp;$AA$18&amp;",4)")</f>
        <v/>
      </c>
      <c r="W942" s="282" t="str" cm="1">
        <f t="array" ref="W942">_xll.FDSB($C942,"CS_EVENT_TIME_N("&amp;$AA$18&amp;",4)")</f>
        <v/>
      </c>
      <c r="X942" s="282" t="str" cm="1">
        <f t="array" ref="X942">_xll.FDSB($C942,"CS_EVENT_DESC_N("&amp;$AA$18&amp;",4)")</f>
        <v/>
      </c>
    </row>
    <row r="943" spans="2:24" x14ac:dyDescent="0.15">
      <c r="B943" s="298">
        <f t="shared" si="16"/>
        <v>928</v>
      </c>
      <c r="C943" s="299"/>
      <c r="D943" s="300" t="str" cm="1">
        <f t="array" ref="D943">_xll.FDSB($C943,"FG_COMPANY_NAME")</f>
        <v/>
      </c>
      <c r="E943" s="300"/>
      <c r="F943" s="274" t="str" cm="1">
        <f t="array" ref="F943">_xll.FDSB($C943,"CS_EVENT_DATEJ_N("&amp;$AA$18&amp;",1)")</f>
        <v/>
      </c>
      <c r="G943" s="282" t="str" cm="1">
        <f t="array" ref="G943">_xll.FDSB($C943,"CS_EVENT_TIME_N("&amp;$AA$18&amp;",1)")</f>
        <v/>
      </c>
      <c r="H943" s="282" t="str" cm="1">
        <f t="array" ref="H943">_xll.FDSB($C943,"CS_EVENT_DESC_N("&amp;$AA$18&amp;",1)")</f>
        <v/>
      </c>
      <c r="I943" s="282"/>
      <c r="J943" s="274" t="str" cm="1">
        <f t="array" ref="J943">_xll.FDSB($C943,"CS_EVENT_DATEJ_N("&amp;$AB$18&amp;",1)")</f>
        <v/>
      </c>
      <c r="K943" s="282" t="str" cm="1">
        <f t="array" ref="K943">_xll.FDSB($C943,"CS_EVENT_TIME_N("&amp;$AB$18&amp;",1)")</f>
        <v/>
      </c>
      <c r="L943" s="282" t="str" cm="1">
        <f t="array" ref="L943">_xll.FDSB($C943,"CS_EVENT_DESC_N("&amp;$AB$18&amp;",1)")</f>
        <v/>
      </c>
      <c r="M943" s="300"/>
      <c r="N943" s="274" t="str" cm="1">
        <f t="array" ref="N943">_xll.FDSB($C943,"CS_EVENT_DATEJ_N("&amp;$AA$18&amp;",2)")</f>
        <v/>
      </c>
      <c r="O943" s="282" t="str" cm="1">
        <f t="array" ref="O943">_xll.FDSB($C943,"CS_EVENT_TIME_N("&amp;$AA$18&amp;",2)")</f>
        <v/>
      </c>
      <c r="P943" s="282" t="str" cm="1">
        <f t="array" ref="P943">_xll.FDSB($C943,"CS_EVENT_DESC_N("&amp;$AA$18&amp;",2)")</f>
        <v/>
      </c>
      <c r="Q943" s="282"/>
      <c r="R943" s="274" t="str" cm="1">
        <f t="array" ref="R943">_xll.FDSB($C943,"CS_EVENT_DATEJ_N("&amp;$AA$18&amp;",3)")</f>
        <v/>
      </c>
      <c r="S943" s="282" t="str" cm="1">
        <f t="array" ref="S943">_xll.FDSB($C943,"CS_EVENT_TIME_N("&amp;$AA$18&amp;",3)")</f>
        <v/>
      </c>
      <c r="T943" s="282" t="str" cm="1">
        <f t="array" ref="T943">_xll.FDSB($C943,"CS_EVENT_DESC_N("&amp;$AA$18&amp;",3)")</f>
        <v/>
      </c>
      <c r="U943" s="282"/>
      <c r="V943" s="274" t="str" cm="1">
        <f t="array" ref="V943">_xll.FDSB($C943,"CS_EVENT_DATEJ_N("&amp;$AA$18&amp;",4)")</f>
        <v/>
      </c>
      <c r="W943" s="282" t="str" cm="1">
        <f t="array" ref="W943">_xll.FDSB($C943,"CS_EVENT_TIME_N("&amp;$AA$18&amp;",4)")</f>
        <v/>
      </c>
      <c r="X943" s="282" t="str" cm="1">
        <f t="array" ref="X943">_xll.FDSB($C943,"CS_EVENT_DESC_N("&amp;$AA$18&amp;",4)")</f>
        <v/>
      </c>
    </row>
    <row r="944" spans="2:24" x14ac:dyDescent="0.15">
      <c r="B944" s="298">
        <f t="shared" si="16"/>
        <v>929</v>
      </c>
      <c r="C944" s="299"/>
      <c r="D944" s="300" t="str" cm="1">
        <f t="array" ref="D944">_xll.FDSB($C944,"FG_COMPANY_NAME")</f>
        <v/>
      </c>
      <c r="E944" s="300"/>
      <c r="F944" s="274" t="str" cm="1">
        <f t="array" ref="F944">_xll.FDSB($C944,"CS_EVENT_DATEJ_N("&amp;$AA$18&amp;",1)")</f>
        <v/>
      </c>
      <c r="G944" s="282" t="str" cm="1">
        <f t="array" ref="G944">_xll.FDSB($C944,"CS_EVENT_TIME_N("&amp;$AA$18&amp;",1)")</f>
        <v/>
      </c>
      <c r="H944" s="282" t="str" cm="1">
        <f t="array" ref="H944">_xll.FDSB($C944,"CS_EVENT_DESC_N("&amp;$AA$18&amp;",1)")</f>
        <v/>
      </c>
      <c r="I944" s="282"/>
      <c r="J944" s="274" t="str" cm="1">
        <f t="array" ref="J944">_xll.FDSB($C944,"CS_EVENT_DATEJ_N("&amp;$AB$18&amp;",1)")</f>
        <v/>
      </c>
      <c r="K944" s="282" t="str" cm="1">
        <f t="array" ref="K944">_xll.FDSB($C944,"CS_EVENT_TIME_N("&amp;$AB$18&amp;",1)")</f>
        <v/>
      </c>
      <c r="L944" s="282" t="str" cm="1">
        <f t="array" ref="L944">_xll.FDSB($C944,"CS_EVENT_DESC_N("&amp;$AB$18&amp;",1)")</f>
        <v/>
      </c>
      <c r="M944" s="300"/>
      <c r="N944" s="274" t="str" cm="1">
        <f t="array" ref="N944">_xll.FDSB($C944,"CS_EVENT_DATEJ_N("&amp;$AA$18&amp;",2)")</f>
        <v/>
      </c>
      <c r="O944" s="282" t="str" cm="1">
        <f t="array" ref="O944">_xll.FDSB($C944,"CS_EVENT_TIME_N("&amp;$AA$18&amp;",2)")</f>
        <v/>
      </c>
      <c r="P944" s="282" t="str" cm="1">
        <f t="array" ref="P944">_xll.FDSB($C944,"CS_EVENT_DESC_N("&amp;$AA$18&amp;",2)")</f>
        <v/>
      </c>
      <c r="Q944" s="282"/>
      <c r="R944" s="274" t="str" cm="1">
        <f t="array" ref="R944">_xll.FDSB($C944,"CS_EVENT_DATEJ_N("&amp;$AA$18&amp;",3)")</f>
        <v/>
      </c>
      <c r="S944" s="282" t="str" cm="1">
        <f t="array" ref="S944">_xll.FDSB($C944,"CS_EVENT_TIME_N("&amp;$AA$18&amp;",3)")</f>
        <v/>
      </c>
      <c r="T944" s="282" t="str" cm="1">
        <f t="array" ref="T944">_xll.FDSB($C944,"CS_EVENT_DESC_N("&amp;$AA$18&amp;",3)")</f>
        <v/>
      </c>
      <c r="U944" s="282"/>
      <c r="V944" s="274" t="str" cm="1">
        <f t="array" ref="V944">_xll.FDSB($C944,"CS_EVENT_DATEJ_N("&amp;$AA$18&amp;",4)")</f>
        <v/>
      </c>
      <c r="W944" s="282" t="str" cm="1">
        <f t="array" ref="W944">_xll.FDSB($C944,"CS_EVENT_TIME_N("&amp;$AA$18&amp;",4)")</f>
        <v/>
      </c>
      <c r="X944" s="282" t="str" cm="1">
        <f t="array" ref="X944">_xll.FDSB($C944,"CS_EVENT_DESC_N("&amp;$AA$18&amp;",4)")</f>
        <v/>
      </c>
    </row>
    <row r="945" spans="2:24" x14ac:dyDescent="0.15">
      <c r="B945" s="298">
        <f t="shared" si="16"/>
        <v>930</v>
      </c>
      <c r="C945" s="299"/>
      <c r="D945" s="300" t="str" cm="1">
        <f t="array" ref="D945">_xll.FDSB($C945,"FG_COMPANY_NAME")</f>
        <v/>
      </c>
      <c r="E945" s="300"/>
      <c r="F945" s="274" t="str" cm="1">
        <f t="array" ref="F945">_xll.FDSB($C945,"CS_EVENT_DATEJ_N("&amp;$AA$18&amp;",1)")</f>
        <v/>
      </c>
      <c r="G945" s="282" t="str" cm="1">
        <f t="array" ref="G945">_xll.FDSB($C945,"CS_EVENT_TIME_N("&amp;$AA$18&amp;",1)")</f>
        <v/>
      </c>
      <c r="H945" s="282" t="str" cm="1">
        <f t="array" ref="H945">_xll.FDSB($C945,"CS_EVENT_DESC_N("&amp;$AA$18&amp;",1)")</f>
        <v/>
      </c>
      <c r="I945" s="282"/>
      <c r="J945" s="274" t="str" cm="1">
        <f t="array" ref="J945">_xll.FDSB($C945,"CS_EVENT_DATEJ_N("&amp;$AB$18&amp;",1)")</f>
        <v/>
      </c>
      <c r="K945" s="282" t="str" cm="1">
        <f t="array" ref="K945">_xll.FDSB($C945,"CS_EVENT_TIME_N("&amp;$AB$18&amp;",1)")</f>
        <v/>
      </c>
      <c r="L945" s="282" t="str" cm="1">
        <f t="array" ref="L945">_xll.FDSB($C945,"CS_EVENT_DESC_N("&amp;$AB$18&amp;",1)")</f>
        <v/>
      </c>
      <c r="M945" s="300"/>
      <c r="N945" s="274" t="str" cm="1">
        <f t="array" ref="N945">_xll.FDSB($C945,"CS_EVENT_DATEJ_N("&amp;$AA$18&amp;",2)")</f>
        <v/>
      </c>
      <c r="O945" s="282" t="str" cm="1">
        <f t="array" ref="O945">_xll.FDSB($C945,"CS_EVENT_TIME_N("&amp;$AA$18&amp;",2)")</f>
        <v/>
      </c>
      <c r="P945" s="282" t="str" cm="1">
        <f t="array" ref="P945">_xll.FDSB($C945,"CS_EVENT_DESC_N("&amp;$AA$18&amp;",2)")</f>
        <v/>
      </c>
      <c r="Q945" s="282"/>
      <c r="R945" s="274" t="str" cm="1">
        <f t="array" ref="R945">_xll.FDSB($C945,"CS_EVENT_DATEJ_N("&amp;$AA$18&amp;",3)")</f>
        <v/>
      </c>
      <c r="S945" s="282" t="str" cm="1">
        <f t="array" ref="S945">_xll.FDSB($C945,"CS_EVENT_TIME_N("&amp;$AA$18&amp;",3)")</f>
        <v/>
      </c>
      <c r="T945" s="282" t="str" cm="1">
        <f t="array" ref="T945">_xll.FDSB($C945,"CS_EVENT_DESC_N("&amp;$AA$18&amp;",3)")</f>
        <v/>
      </c>
      <c r="U945" s="282"/>
      <c r="V945" s="274" t="str" cm="1">
        <f t="array" ref="V945">_xll.FDSB($C945,"CS_EVENT_DATEJ_N("&amp;$AA$18&amp;",4)")</f>
        <v/>
      </c>
      <c r="W945" s="282" t="str" cm="1">
        <f t="array" ref="W945">_xll.FDSB($C945,"CS_EVENT_TIME_N("&amp;$AA$18&amp;",4)")</f>
        <v/>
      </c>
      <c r="X945" s="282" t="str" cm="1">
        <f t="array" ref="X945">_xll.FDSB($C945,"CS_EVENT_DESC_N("&amp;$AA$18&amp;",4)")</f>
        <v/>
      </c>
    </row>
    <row r="946" spans="2:24" x14ac:dyDescent="0.15">
      <c r="B946" s="298">
        <f t="shared" si="16"/>
        <v>931</v>
      </c>
      <c r="C946" s="299"/>
      <c r="D946" s="300" t="str" cm="1">
        <f t="array" ref="D946">_xll.FDSB($C946,"FG_COMPANY_NAME")</f>
        <v/>
      </c>
      <c r="E946" s="300"/>
      <c r="F946" s="274" t="str" cm="1">
        <f t="array" ref="F946">_xll.FDSB($C946,"CS_EVENT_DATEJ_N("&amp;$AA$18&amp;",1)")</f>
        <v/>
      </c>
      <c r="G946" s="282" t="str" cm="1">
        <f t="array" ref="G946">_xll.FDSB($C946,"CS_EVENT_TIME_N("&amp;$AA$18&amp;",1)")</f>
        <v/>
      </c>
      <c r="H946" s="282" t="str" cm="1">
        <f t="array" ref="H946">_xll.FDSB($C946,"CS_EVENT_DESC_N("&amp;$AA$18&amp;",1)")</f>
        <v/>
      </c>
      <c r="I946" s="282"/>
      <c r="J946" s="274" t="str" cm="1">
        <f t="array" ref="J946">_xll.FDSB($C946,"CS_EVENT_DATEJ_N("&amp;$AB$18&amp;",1)")</f>
        <v/>
      </c>
      <c r="K946" s="282" t="str" cm="1">
        <f t="array" ref="K946">_xll.FDSB($C946,"CS_EVENT_TIME_N("&amp;$AB$18&amp;",1)")</f>
        <v/>
      </c>
      <c r="L946" s="282" t="str" cm="1">
        <f t="array" ref="L946">_xll.FDSB($C946,"CS_EVENT_DESC_N("&amp;$AB$18&amp;",1)")</f>
        <v/>
      </c>
      <c r="M946" s="300"/>
      <c r="N946" s="274" t="str" cm="1">
        <f t="array" ref="N946">_xll.FDSB($C946,"CS_EVENT_DATEJ_N("&amp;$AA$18&amp;",2)")</f>
        <v/>
      </c>
      <c r="O946" s="282" t="str" cm="1">
        <f t="array" ref="O946">_xll.FDSB($C946,"CS_EVENT_TIME_N("&amp;$AA$18&amp;",2)")</f>
        <v/>
      </c>
      <c r="P946" s="282" t="str" cm="1">
        <f t="array" ref="P946">_xll.FDSB($C946,"CS_EVENT_DESC_N("&amp;$AA$18&amp;",2)")</f>
        <v/>
      </c>
      <c r="Q946" s="282"/>
      <c r="R946" s="274" t="str" cm="1">
        <f t="array" ref="R946">_xll.FDSB($C946,"CS_EVENT_DATEJ_N("&amp;$AA$18&amp;",3)")</f>
        <v/>
      </c>
      <c r="S946" s="282" t="str" cm="1">
        <f t="array" ref="S946">_xll.FDSB($C946,"CS_EVENT_TIME_N("&amp;$AA$18&amp;",3)")</f>
        <v/>
      </c>
      <c r="T946" s="282" t="str" cm="1">
        <f t="array" ref="T946">_xll.FDSB($C946,"CS_EVENT_DESC_N("&amp;$AA$18&amp;",3)")</f>
        <v/>
      </c>
      <c r="U946" s="282"/>
      <c r="V946" s="274" t="str" cm="1">
        <f t="array" ref="V946">_xll.FDSB($C946,"CS_EVENT_DATEJ_N("&amp;$AA$18&amp;",4)")</f>
        <v/>
      </c>
      <c r="W946" s="282" t="str" cm="1">
        <f t="array" ref="W946">_xll.FDSB($C946,"CS_EVENT_TIME_N("&amp;$AA$18&amp;",4)")</f>
        <v/>
      </c>
      <c r="X946" s="282" t="str" cm="1">
        <f t="array" ref="X946">_xll.FDSB($C946,"CS_EVENT_DESC_N("&amp;$AA$18&amp;",4)")</f>
        <v/>
      </c>
    </row>
    <row r="947" spans="2:24" x14ac:dyDescent="0.15">
      <c r="B947" s="298">
        <f t="shared" si="16"/>
        <v>932</v>
      </c>
      <c r="C947" s="299"/>
      <c r="D947" s="300" t="str" cm="1">
        <f t="array" ref="D947">_xll.FDSB($C947,"FG_COMPANY_NAME")</f>
        <v/>
      </c>
      <c r="E947" s="300"/>
      <c r="F947" s="274" t="str" cm="1">
        <f t="array" ref="F947">_xll.FDSB($C947,"CS_EVENT_DATEJ_N("&amp;$AA$18&amp;",1)")</f>
        <v/>
      </c>
      <c r="G947" s="282" t="str" cm="1">
        <f t="array" ref="G947">_xll.FDSB($C947,"CS_EVENT_TIME_N("&amp;$AA$18&amp;",1)")</f>
        <v/>
      </c>
      <c r="H947" s="282" t="str" cm="1">
        <f t="array" ref="H947">_xll.FDSB($C947,"CS_EVENT_DESC_N("&amp;$AA$18&amp;",1)")</f>
        <v/>
      </c>
      <c r="I947" s="282"/>
      <c r="J947" s="274" t="str" cm="1">
        <f t="array" ref="J947">_xll.FDSB($C947,"CS_EVENT_DATEJ_N("&amp;$AB$18&amp;",1)")</f>
        <v/>
      </c>
      <c r="K947" s="282" t="str" cm="1">
        <f t="array" ref="K947">_xll.FDSB($C947,"CS_EVENT_TIME_N("&amp;$AB$18&amp;",1)")</f>
        <v/>
      </c>
      <c r="L947" s="282" t="str" cm="1">
        <f t="array" ref="L947">_xll.FDSB($C947,"CS_EVENT_DESC_N("&amp;$AB$18&amp;",1)")</f>
        <v/>
      </c>
      <c r="M947" s="300"/>
      <c r="N947" s="274" t="str" cm="1">
        <f t="array" ref="N947">_xll.FDSB($C947,"CS_EVENT_DATEJ_N("&amp;$AA$18&amp;",2)")</f>
        <v/>
      </c>
      <c r="O947" s="282" t="str" cm="1">
        <f t="array" ref="O947">_xll.FDSB($C947,"CS_EVENT_TIME_N("&amp;$AA$18&amp;",2)")</f>
        <v/>
      </c>
      <c r="P947" s="282" t="str" cm="1">
        <f t="array" ref="P947">_xll.FDSB($C947,"CS_EVENT_DESC_N("&amp;$AA$18&amp;",2)")</f>
        <v/>
      </c>
      <c r="Q947" s="282"/>
      <c r="R947" s="274" t="str" cm="1">
        <f t="array" ref="R947">_xll.FDSB($C947,"CS_EVENT_DATEJ_N("&amp;$AA$18&amp;",3)")</f>
        <v/>
      </c>
      <c r="S947" s="282" t="str" cm="1">
        <f t="array" ref="S947">_xll.FDSB($C947,"CS_EVENT_TIME_N("&amp;$AA$18&amp;",3)")</f>
        <v/>
      </c>
      <c r="T947" s="282" t="str" cm="1">
        <f t="array" ref="T947">_xll.FDSB($C947,"CS_EVENT_DESC_N("&amp;$AA$18&amp;",3)")</f>
        <v/>
      </c>
      <c r="U947" s="282"/>
      <c r="V947" s="274" t="str" cm="1">
        <f t="array" ref="V947">_xll.FDSB($C947,"CS_EVENT_DATEJ_N("&amp;$AA$18&amp;",4)")</f>
        <v/>
      </c>
      <c r="W947" s="282" t="str" cm="1">
        <f t="array" ref="W947">_xll.FDSB($C947,"CS_EVENT_TIME_N("&amp;$AA$18&amp;",4)")</f>
        <v/>
      </c>
      <c r="X947" s="282" t="str" cm="1">
        <f t="array" ref="X947">_xll.FDSB($C947,"CS_EVENT_DESC_N("&amp;$AA$18&amp;",4)")</f>
        <v/>
      </c>
    </row>
    <row r="948" spans="2:24" x14ac:dyDescent="0.15">
      <c r="B948" s="298">
        <f t="shared" si="16"/>
        <v>933</v>
      </c>
      <c r="C948" s="299"/>
      <c r="D948" s="300" t="str" cm="1">
        <f t="array" ref="D948">_xll.FDSB($C948,"FG_COMPANY_NAME")</f>
        <v/>
      </c>
      <c r="E948" s="300"/>
      <c r="F948" s="274" t="str" cm="1">
        <f t="array" ref="F948">_xll.FDSB($C948,"CS_EVENT_DATEJ_N("&amp;$AA$18&amp;",1)")</f>
        <v/>
      </c>
      <c r="G948" s="282" t="str" cm="1">
        <f t="array" ref="G948">_xll.FDSB($C948,"CS_EVENT_TIME_N("&amp;$AA$18&amp;",1)")</f>
        <v/>
      </c>
      <c r="H948" s="282" t="str" cm="1">
        <f t="array" ref="H948">_xll.FDSB($C948,"CS_EVENT_DESC_N("&amp;$AA$18&amp;",1)")</f>
        <v/>
      </c>
      <c r="I948" s="282"/>
      <c r="J948" s="274" t="str" cm="1">
        <f t="array" ref="J948">_xll.FDSB($C948,"CS_EVENT_DATEJ_N("&amp;$AB$18&amp;",1)")</f>
        <v/>
      </c>
      <c r="K948" s="282" t="str" cm="1">
        <f t="array" ref="K948">_xll.FDSB($C948,"CS_EVENT_TIME_N("&amp;$AB$18&amp;",1)")</f>
        <v/>
      </c>
      <c r="L948" s="282" t="str" cm="1">
        <f t="array" ref="L948">_xll.FDSB($C948,"CS_EVENT_DESC_N("&amp;$AB$18&amp;",1)")</f>
        <v/>
      </c>
      <c r="M948" s="300"/>
      <c r="N948" s="274" t="str" cm="1">
        <f t="array" ref="N948">_xll.FDSB($C948,"CS_EVENT_DATEJ_N("&amp;$AA$18&amp;",2)")</f>
        <v/>
      </c>
      <c r="O948" s="282" t="str" cm="1">
        <f t="array" ref="O948">_xll.FDSB($C948,"CS_EVENT_TIME_N("&amp;$AA$18&amp;",2)")</f>
        <v/>
      </c>
      <c r="P948" s="282" t="str" cm="1">
        <f t="array" ref="P948">_xll.FDSB($C948,"CS_EVENT_DESC_N("&amp;$AA$18&amp;",2)")</f>
        <v/>
      </c>
      <c r="Q948" s="282"/>
      <c r="R948" s="274" t="str" cm="1">
        <f t="array" ref="R948">_xll.FDSB($C948,"CS_EVENT_DATEJ_N("&amp;$AA$18&amp;",3)")</f>
        <v/>
      </c>
      <c r="S948" s="282" t="str" cm="1">
        <f t="array" ref="S948">_xll.FDSB($C948,"CS_EVENT_TIME_N("&amp;$AA$18&amp;",3)")</f>
        <v/>
      </c>
      <c r="T948" s="282" t="str" cm="1">
        <f t="array" ref="T948">_xll.FDSB($C948,"CS_EVENT_DESC_N("&amp;$AA$18&amp;",3)")</f>
        <v/>
      </c>
      <c r="U948" s="282"/>
      <c r="V948" s="274" t="str" cm="1">
        <f t="array" ref="V948">_xll.FDSB($C948,"CS_EVENT_DATEJ_N("&amp;$AA$18&amp;",4)")</f>
        <v/>
      </c>
      <c r="W948" s="282" t="str" cm="1">
        <f t="array" ref="W948">_xll.FDSB($C948,"CS_EVENT_TIME_N("&amp;$AA$18&amp;",4)")</f>
        <v/>
      </c>
      <c r="X948" s="282" t="str" cm="1">
        <f t="array" ref="X948">_xll.FDSB($C948,"CS_EVENT_DESC_N("&amp;$AA$18&amp;",4)")</f>
        <v/>
      </c>
    </row>
    <row r="949" spans="2:24" x14ac:dyDescent="0.15">
      <c r="B949" s="298">
        <f t="shared" si="16"/>
        <v>934</v>
      </c>
      <c r="C949" s="299"/>
      <c r="D949" s="300" t="str" cm="1">
        <f t="array" ref="D949">_xll.FDSB($C949,"FG_COMPANY_NAME")</f>
        <v/>
      </c>
      <c r="E949" s="300"/>
      <c r="F949" s="274" t="str" cm="1">
        <f t="array" ref="F949">_xll.FDSB($C949,"CS_EVENT_DATEJ_N("&amp;$AA$18&amp;",1)")</f>
        <v/>
      </c>
      <c r="G949" s="282" t="str" cm="1">
        <f t="array" ref="G949">_xll.FDSB($C949,"CS_EVENT_TIME_N("&amp;$AA$18&amp;",1)")</f>
        <v/>
      </c>
      <c r="H949" s="282" t="str" cm="1">
        <f t="array" ref="H949">_xll.FDSB($C949,"CS_EVENT_DESC_N("&amp;$AA$18&amp;",1)")</f>
        <v/>
      </c>
      <c r="I949" s="282"/>
      <c r="J949" s="274" t="str" cm="1">
        <f t="array" ref="J949">_xll.FDSB($C949,"CS_EVENT_DATEJ_N("&amp;$AB$18&amp;",1)")</f>
        <v/>
      </c>
      <c r="K949" s="282" t="str" cm="1">
        <f t="array" ref="K949">_xll.FDSB($C949,"CS_EVENT_TIME_N("&amp;$AB$18&amp;",1)")</f>
        <v/>
      </c>
      <c r="L949" s="282" t="str" cm="1">
        <f t="array" ref="L949">_xll.FDSB($C949,"CS_EVENT_DESC_N("&amp;$AB$18&amp;",1)")</f>
        <v/>
      </c>
      <c r="M949" s="300"/>
      <c r="N949" s="274" t="str" cm="1">
        <f t="array" ref="N949">_xll.FDSB($C949,"CS_EVENT_DATEJ_N("&amp;$AA$18&amp;",2)")</f>
        <v/>
      </c>
      <c r="O949" s="282" t="str" cm="1">
        <f t="array" ref="O949">_xll.FDSB($C949,"CS_EVENT_TIME_N("&amp;$AA$18&amp;",2)")</f>
        <v/>
      </c>
      <c r="P949" s="282" t="str" cm="1">
        <f t="array" ref="P949">_xll.FDSB($C949,"CS_EVENT_DESC_N("&amp;$AA$18&amp;",2)")</f>
        <v/>
      </c>
      <c r="Q949" s="282"/>
      <c r="R949" s="274" t="str" cm="1">
        <f t="array" ref="R949">_xll.FDSB($C949,"CS_EVENT_DATEJ_N("&amp;$AA$18&amp;",3)")</f>
        <v/>
      </c>
      <c r="S949" s="282" t="str" cm="1">
        <f t="array" ref="S949">_xll.FDSB($C949,"CS_EVENT_TIME_N("&amp;$AA$18&amp;",3)")</f>
        <v/>
      </c>
      <c r="T949" s="282" t="str" cm="1">
        <f t="array" ref="T949">_xll.FDSB($C949,"CS_EVENT_DESC_N("&amp;$AA$18&amp;",3)")</f>
        <v/>
      </c>
      <c r="U949" s="282"/>
      <c r="V949" s="274" t="str" cm="1">
        <f t="array" ref="V949">_xll.FDSB($C949,"CS_EVENT_DATEJ_N("&amp;$AA$18&amp;",4)")</f>
        <v/>
      </c>
      <c r="W949" s="282" t="str" cm="1">
        <f t="array" ref="W949">_xll.FDSB($C949,"CS_EVENT_TIME_N("&amp;$AA$18&amp;",4)")</f>
        <v/>
      </c>
      <c r="X949" s="282" t="str" cm="1">
        <f t="array" ref="X949">_xll.FDSB($C949,"CS_EVENT_DESC_N("&amp;$AA$18&amp;",4)")</f>
        <v/>
      </c>
    </row>
    <row r="950" spans="2:24" x14ac:dyDescent="0.15">
      <c r="B950" s="298">
        <f t="shared" si="16"/>
        <v>935</v>
      </c>
      <c r="C950" s="299"/>
      <c r="D950" s="300" t="str" cm="1">
        <f t="array" ref="D950">_xll.FDSB($C950,"FG_COMPANY_NAME")</f>
        <v/>
      </c>
      <c r="E950" s="300"/>
      <c r="F950" s="274" t="str" cm="1">
        <f t="array" ref="F950">_xll.FDSB($C950,"CS_EVENT_DATEJ_N("&amp;$AA$18&amp;",1)")</f>
        <v/>
      </c>
      <c r="G950" s="282" t="str" cm="1">
        <f t="array" ref="G950">_xll.FDSB($C950,"CS_EVENT_TIME_N("&amp;$AA$18&amp;",1)")</f>
        <v/>
      </c>
      <c r="H950" s="282" t="str" cm="1">
        <f t="array" ref="H950">_xll.FDSB($C950,"CS_EVENT_DESC_N("&amp;$AA$18&amp;",1)")</f>
        <v/>
      </c>
      <c r="I950" s="282"/>
      <c r="J950" s="274" t="str" cm="1">
        <f t="array" ref="J950">_xll.FDSB($C950,"CS_EVENT_DATEJ_N("&amp;$AB$18&amp;",1)")</f>
        <v/>
      </c>
      <c r="K950" s="282" t="str" cm="1">
        <f t="array" ref="K950">_xll.FDSB($C950,"CS_EVENT_TIME_N("&amp;$AB$18&amp;",1)")</f>
        <v/>
      </c>
      <c r="L950" s="282" t="str" cm="1">
        <f t="array" ref="L950">_xll.FDSB($C950,"CS_EVENT_DESC_N("&amp;$AB$18&amp;",1)")</f>
        <v/>
      </c>
      <c r="M950" s="300"/>
      <c r="N950" s="274" t="str" cm="1">
        <f t="array" ref="N950">_xll.FDSB($C950,"CS_EVENT_DATEJ_N("&amp;$AA$18&amp;",2)")</f>
        <v/>
      </c>
      <c r="O950" s="282" t="str" cm="1">
        <f t="array" ref="O950">_xll.FDSB($C950,"CS_EVENT_TIME_N("&amp;$AA$18&amp;",2)")</f>
        <v/>
      </c>
      <c r="P950" s="282" t="str" cm="1">
        <f t="array" ref="P950">_xll.FDSB($C950,"CS_EVENT_DESC_N("&amp;$AA$18&amp;",2)")</f>
        <v/>
      </c>
      <c r="Q950" s="282"/>
      <c r="R950" s="274" t="str" cm="1">
        <f t="array" ref="R950">_xll.FDSB($C950,"CS_EVENT_DATEJ_N("&amp;$AA$18&amp;",3)")</f>
        <v/>
      </c>
      <c r="S950" s="282" t="str" cm="1">
        <f t="array" ref="S950">_xll.FDSB($C950,"CS_EVENT_TIME_N("&amp;$AA$18&amp;",3)")</f>
        <v/>
      </c>
      <c r="T950" s="282" t="str" cm="1">
        <f t="array" ref="T950">_xll.FDSB($C950,"CS_EVENT_DESC_N("&amp;$AA$18&amp;",3)")</f>
        <v/>
      </c>
      <c r="U950" s="282"/>
      <c r="V950" s="274" t="str" cm="1">
        <f t="array" ref="V950">_xll.FDSB($C950,"CS_EVENT_DATEJ_N("&amp;$AA$18&amp;",4)")</f>
        <v/>
      </c>
      <c r="W950" s="282" t="str" cm="1">
        <f t="array" ref="W950">_xll.FDSB($C950,"CS_EVENT_TIME_N("&amp;$AA$18&amp;",4)")</f>
        <v/>
      </c>
      <c r="X950" s="282" t="str" cm="1">
        <f t="array" ref="X950">_xll.FDSB($C950,"CS_EVENT_DESC_N("&amp;$AA$18&amp;",4)")</f>
        <v/>
      </c>
    </row>
    <row r="951" spans="2:24" x14ac:dyDescent="0.15">
      <c r="B951" s="298">
        <f t="shared" si="16"/>
        <v>936</v>
      </c>
      <c r="C951" s="299"/>
      <c r="D951" s="300" t="str" cm="1">
        <f t="array" ref="D951">_xll.FDSB($C951,"FG_COMPANY_NAME")</f>
        <v/>
      </c>
      <c r="E951" s="300"/>
      <c r="F951" s="274" t="str" cm="1">
        <f t="array" ref="F951">_xll.FDSB($C951,"CS_EVENT_DATEJ_N("&amp;$AA$18&amp;",1)")</f>
        <v/>
      </c>
      <c r="G951" s="282" t="str" cm="1">
        <f t="array" ref="G951">_xll.FDSB($C951,"CS_EVENT_TIME_N("&amp;$AA$18&amp;",1)")</f>
        <v/>
      </c>
      <c r="H951" s="282" t="str" cm="1">
        <f t="array" ref="H951">_xll.FDSB($C951,"CS_EVENT_DESC_N("&amp;$AA$18&amp;",1)")</f>
        <v/>
      </c>
      <c r="I951" s="282"/>
      <c r="J951" s="274" t="str" cm="1">
        <f t="array" ref="J951">_xll.FDSB($C951,"CS_EVENT_DATEJ_N("&amp;$AB$18&amp;",1)")</f>
        <v/>
      </c>
      <c r="K951" s="282" t="str" cm="1">
        <f t="array" ref="K951">_xll.FDSB($C951,"CS_EVENT_TIME_N("&amp;$AB$18&amp;",1)")</f>
        <v/>
      </c>
      <c r="L951" s="282" t="str" cm="1">
        <f t="array" ref="L951">_xll.FDSB($C951,"CS_EVENT_DESC_N("&amp;$AB$18&amp;",1)")</f>
        <v/>
      </c>
      <c r="M951" s="300"/>
      <c r="N951" s="274" t="str" cm="1">
        <f t="array" ref="N951">_xll.FDSB($C951,"CS_EVENT_DATEJ_N("&amp;$AA$18&amp;",2)")</f>
        <v/>
      </c>
      <c r="O951" s="282" t="str" cm="1">
        <f t="array" ref="O951">_xll.FDSB($C951,"CS_EVENT_TIME_N("&amp;$AA$18&amp;",2)")</f>
        <v/>
      </c>
      <c r="P951" s="282" t="str" cm="1">
        <f t="array" ref="P951">_xll.FDSB($C951,"CS_EVENT_DESC_N("&amp;$AA$18&amp;",2)")</f>
        <v/>
      </c>
      <c r="Q951" s="282"/>
      <c r="R951" s="274" t="str" cm="1">
        <f t="array" ref="R951">_xll.FDSB($C951,"CS_EVENT_DATEJ_N("&amp;$AA$18&amp;",3)")</f>
        <v/>
      </c>
      <c r="S951" s="282" t="str" cm="1">
        <f t="array" ref="S951">_xll.FDSB($C951,"CS_EVENT_TIME_N("&amp;$AA$18&amp;",3)")</f>
        <v/>
      </c>
      <c r="T951" s="282" t="str" cm="1">
        <f t="array" ref="T951">_xll.FDSB($C951,"CS_EVENT_DESC_N("&amp;$AA$18&amp;",3)")</f>
        <v/>
      </c>
      <c r="U951" s="282"/>
      <c r="V951" s="274" t="str" cm="1">
        <f t="array" ref="V951">_xll.FDSB($C951,"CS_EVENT_DATEJ_N("&amp;$AA$18&amp;",4)")</f>
        <v/>
      </c>
      <c r="W951" s="282" t="str" cm="1">
        <f t="array" ref="W951">_xll.FDSB($C951,"CS_EVENT_TIME_N("&amp;$AA$18&amp;",4)")</f>
        <v/>
      </c>
      <c r="X951" s="282" t="str" cm="1">
        <f t="array" ref="X951">_xll.FDSB($C951,"CS_EVENT_DESC_N("&amp;$AA$18&amp;",4)")</f>
        <v/>
      </c>
    </row>
    <row r="952" spans="2:24" x14ac:dyDescent="0.15">
      <c r="B952" s="298">
        <f t="shared" si="16"/>
        <v>937</v>
      </c>
      <c r="C952" s="299"/>
      <c r="D952" s="300" t="str" cm="1">
        <f t="array" ref="D952">_xll.FDSB($C952,"FG_COMPANY_NAME")</f>
        <v/>
      </c>
      <c r="E952" s="300"/>
      <c r="F952" s="274" t="str" cm="1">
        <f t="array" ref="F952">_xll.FDSB($C952,"CS_EVENT_DATEJ_N("&amp;$AA$18&amp;",1)")</f>
        <v/>
      </c>
      <c r="G952" s="282" t="str" cm="1">
        <f t="array" ref="G952">_xll.FDSB($C952,"CS_EVENT_TIME_N("&amp;$AA$18&amp;",1)")</f>
        <v/>
      </c>
      <c r="H952" s="282" t="str" cm="1">
        <f t="array" ref="H952">_xll.FDSB($C952,"CS_EVENT_DESC_N("&amp;$AA$18&amp;",1)")</f>
        <v/>
      </c>
      <c r="I952" s="282"/>
      <c r="J952" s="274" t="str" cm="1">
        <f t="array" ref="J952">_xll.FDSB($C952,"CS_EVENT_DATEJ_N("&amp;$AB$18&amp;",1)")</f>
        <v/>
      </c>
      <c r="K952" s="282" t="str" cm="1">
        <f t="array" ref="K952">_xll.FDSB($C952,"CS_EVENT_TIME_N("&amp;$AB$18&amp;",1)")</f>
        <v/>
      </c>
      <c r="L952" s="282" t="str" cm="1">
        <f t="array" ref="L952">_xll.FDSB($C952,"CS_EVENT_DESC_N("&amp;$AB$18&amp;",1)")</f>
        <v/>
      </c>
      <c r="M952" s="300"/>
      <c r="N952" s="274" t="str" cm="1">
        <f t="array" ref="N952">_xll.FDSB($C952,"CS_EVENT_DATEJ_N("&amp;$AA$18&amp;",2)")</f>
        <v/>
      </c>
      <c r="O952" s="282" t="str" cm="1">
        <f t="array" ref="O952">_xll.FDSB($C952,"CS_EVENT_TIME_N("&amp;$AA$18&amp;",2)")</f>
        <v/>
      </c>
      <c r="P952" s="282" t="str" cm="1">
        <f t="array" ref="P952">_xll.FDSB($C952,"CS_EVENT_DESC_N("&amp;$AA$18&amp;",2)")</f>
        <v/>
      </c>
      <c r="Q952" s="282"/>
      <c r="R952" s="274" t="str" cm="1">
        <f t="array" ref="R952">_xll.FDSB($C952,"CS_EVENT_DATEJ_N("&amp;$AA$18&amp;",3)")</f>
        <v/>
      </c>
      <c r="S952" s="282" t="str" cm="1">
        <f t="array" ref="S952">_xll.FDSB($C952,"CS_EVENT_TIME_N("&amp;$AA$18&amp;",3)")</f>
        <v/>
      </c>
      <c r="T952" s="282" t="str" cm="1">
        <f t="array" ref="T952">_xll.FDSB($C952,"CS_EVENT_DESC_N("&amp;$AA$18&amp;",3)")</f>
        <v/>
      </c>
      <c r="U952" s="282"/>
      <c r="V952" s="274" t="str" cm="1">
        <f t="array" ref="V952">_xll.FDSB($C952,"CS_EVENT_DATEJ_N("&amp;$AA$18&amp;",4)")</f>
        <v/>
      </c>
      <c r="W952" s="282" t="str" cm="1">
        <f t="array" ref="W952">_xll.FDSB($C952,"CS_EVENT_TIME_N("&amp;$AA$18&amp;",4)")</f>
        <v/>
      </c>
      <c r="X952" s="282" t="str" cm="1">
        <f t="array" ref="X952">_xll.FDSB($C952,"CS_EVENT_DESC_N("&amp;$AA$18&amp;",4)")</f>
        <v/>
      </c>
    </row>
    <row r="953" spans="2:24" x14ac:dyDescent="0.15">
      <c r="B953" s="298">
        <f t="shared" si="16"/>
        <v>938</v>
      </c>
      <c r="C953" s="299"/>
      <c r="D953" s="300" t="str" cm="1">
        <f t="array" ref="D953">_xll.FDSB($C953,"FG_COMPANY_NAME")</f>
        <v/>
      </c>
      <c r="E953" s="300"/>
      <c r="F953" s="274" t="str" cm="1">
        <f t="array" ref="F953">_xll.FDSB($C953,"CS_EVENT_DATEJ_N("&amp;$AA$18&amp;",1)")</f>
        <v/>
      </c>
      <c r="G953" s="282" t="str" cm="1">
        <f t="array" ref="G953">_xll.FDSB($C953,"CS_EVENT_TIME_N("&amp;$AA$18&amp;",1)")</f>
        <v/>
      </c>
      <c r="H953" s="282" t="str" cm="1">
        <f t="array" ref="H953">_xll.FDSB($C953,"CS_EVENT_DESC_N("&amp;$AA$18&amp;",1)")</f>
        <v/>
      </c>
      <c r="I953" s="282"/>
      <c r="J953" s="274" t="str" cm="1">
        <f t="array" ref="J953">_xll.FDSB($C953,"CS_EVENT_DATEJ_N("&amp;$AB$18&amp;",1)")</f>
        <v/>
      </c>
      <c r="K953" s="282" t="str" cm="1">
        <f t="array" ref="K953">_xll.FDSB($C953,"CS_EVENT_TIME_N("&amp;$AB$18&amp;",1)")</f>
        <v/>
      </c>
      <c r="L953" s="282" t="str" cm="1">
        <f t="array" ref="L953">_xll.FDSB($C953,"CS_EVENT_DESC_N("&amp;$AB$18&amp;",1)")</f>
        <v/>
      </c>
      <c r="M953" s="300"/>
      <c r="N953" s="274" t="str" cm="1">
        <f t="array" ref="N953">_xll.FDSB($C953,"CS_EVENT_DATEJ_N("&amp;$AA$18&amp;",2)")</f>
        <v/>
      </c>
      <c r="O953" s="282" t="str" cm="1">
        <f t="array" ref="O953">_xll.FDSB($C953,"CS_EVENT_TIME_N("&amp;$AA$18&amp;",2)")</f>
        <v/>
      </c>
      <c r="P953" s="282" t="str" cm="1">
        <f t="array" ref="P953">_xll.FDSB($C953,"CS_EVENT_DESC_N("&amp;$AA$18&amp;",2)")</f>
        <v/>
      </c>
      <c r="Q953" s="282"/>
      <c r="R953" s="274" t="str" cm="1">
        <f t="array" ref="R953">_xll.FDSB($C953,"CS_EVENT_DATEJ_N("&amp;$AA$18&amp;",3)")</f>
        <v/>
      </c>
      <c r="S953" s="282" t="str" cm="1">
        <f t="array" ref="S953">_xll.FDSB($C953,"CS_EVENT_TIME_N("&amp;$AA$18&amp;",3)")</f>
        <v/>
      </c>
      <c r="T953" s="282" t="str" cm="1">
        <f t="array" ref="T953">_xll.FDSB($C953,"CS_EVENT_DESC_N("&amp;$AA$18&amp;",3)")</f>
        <v/>
      </c>
      <c r="U953" s="282"/>
      <c r="V953" s="274" t="str" cm="1">
        <f t="array" ref="V953">_xll.FDSB($C953,"CS_EVENT_DATEJ_N("&amp;$AA$18&amp;",4)")</f>
        <v/>
      </c>
      <c r="W953" s="282" t="str" cm="1">
        <f t="array" ref="W953">_xll.FDSB($C953,"CS_EVENT_TIME_N("&amp;$AA$18&amp;",4)")</f>
        <v/>
      </c>
      <c r="X953" s="282" t="str" cm="1">
        <f t="array" ref="X953">_xll.FDSB($C953,"CS_EVENT_DESC_N("&amp;$AA$18&amp;",4)")</f>
        <v/>
      </c>
    </row>
    <row r="954" spans="2:24" x14ac:dyDescent="0.15">
      <c r="B954" s="298">
        <f t="shared" si="16"/>
        <v>939</v>
      </c>
      <c r="C954" s="299"/>
      <c r="D954" s="300" t="str" cm="1">
        <f t="array" ref="D954">_xll.FDSB($C954,"FG_COMPANY_NAME")</f>
        <v/>
      </c>
      <c r="E954" s="300"/>
      <c r="F954" s="274" t="str" cm="1">
        <f t="array" ref="F954">_xll.FDSB($C954,"CS_EVENT_DATEJ_N("&amp;$AA$18&amp;",1)")</f>
        <v/>
      </c>
      <c r="G954" s="282" t="str" cm="1">
        <f t="array" ref="G954">_xll.FDSB($C954,"CS_EVENT_TIME_N("&amp;$AA$18&amp;",1)")</f>
        <v/>
      </c>
      <c r="H954" s="282" t="str" cm="1">
        <f t="array" ref="H954">_xll.FDSB($C954,"CS_EVENT_DESC_N("&amp;$AA$18&amp;",1)")</f>
        <v/>
      </c>
      <c r="I954" s="282"/>
      <c r="J954" s="274" t="str" cm="1">
        <f t="array" ref="J954">_xll.FDSB($C954,"CS_EVENT_DATEJ_N("&amp;$AB$18&amp;",1)")</f>
        <v/>
      </c>
      <c r="K954" s="282" t="str" cm="1">
        <f t="array" ref="K954">_xll.FDSB($C954,"CS_EVENT_TIME_N("&amp;$AB$18&amp;",1)")</f>
        <v/>
      </c>
      <c r="L954" s="282" t="str" cm="1">
        <f t="array" ref="L954">_xll.FDSB($C954,"CS_EVENT_DESC_N("&amp;$AB$18&amp;",1)")</f>
        <v/>
      </c>
      <c r="M954" s="300"/>
      <c r="N954" s="274" t="str" cm="1">
        <f t="array" ref="N954">_xll.FDSB($C954,"CS_EVENT_DATEJ_N("&amp;$AA$18&amp;",2)")</f>
        <v/>
      </c>
      <c r="O954" s="282" t="str" cm="1">
        <f t="array" ref="O954">_xll.FDSB($C954,"CS_EVENT_TIME_N("&amp;$AA$18&amp;",2)")</f>
        <v/>
      </c>
      <c r="P954" s="282" t="str" cm="1">
        <f t="array" ref="P954">_xll.FDSB($C954,"CS_EVENT_DESC_N("&amp;$AA$18&amp;",2)")</f>
        <v/>
      </c>
      <c r="Q954" s="282"/>
      <c r="R954" s="274" t="str" cm="1">
        <f t="array" ref="R954">_xll.FDSB($C954,"CS_EVENT_DATEJ_N("&amp;$AA$18&amp;",3)")</f>
        <v/>
      </c>
      <c r="S954" s="282" t="str" cm="1">
        <f t="array" ref="S954">_xll.FDSB($C954,"CS_EVENT_TIME_N("&amp;$AA$18&amp;",3)")</f>
        <v/>
      </c>
      <c r="T954" s="282" t="str" cm="1">
        <f t="array" ref="T954">_xll.FDSB($C954,"CS_EVENT_DESC_N("&amp;$AA$18&amp;",3)")</f>
        <v/>
      </c>
      <c r="U954" s="282"/>
      <c r="V954" s="274" t="str" cm="1">
        <f t="array" ref="V954">_xll.FDSB($C954,"CS_EVENT_DATEJ_N("&amp;$AA$18&amp;",4)")</f>
        <v/>
      </c>
      <c r="W954" s="282" t="str" cm="1">
        <f t="array" ref="W954">_xll.FDSB($C954,"CS_EVENT_TIME_N("&amp;$AA$18&amp;",4)")</f>
        <v/>
      </c>
      <c r="X954" s="282" t="str" cm="1">
        <f t="array" ref="X954">_xll.FDSB($C954,"CS_EVENT_DESC_N("&amp;$AA$18&amp;",4)")</f>
        <v/>
      </c>
    </row>
    <row r="955" spans="2:24" x14ac:dyDescent="0.15">
      <c r="B955" s="298">
        <f t="shared" si="16"/>
        <v>940</v>
      </c>
      <c r="C955" s="299"/>
      <c r="D955" s="300" t="str" cm="1">
        <f t="array" ref="D955">_xll.FDSB($C955,"FG_COMPANY_NAME")</f>
        <v/>
      </c>
      <c r="E955" s="300"/>
      <c r="F955" s="274" t="str" cm="1">
        <f t="array" ref="F955">_xll.FDSB($C955,"CS_EVENT_DATEJ_N("&amp;$AA$18&amp;",1)")</f>
        <v/>
      </c>
      <c r="G955" s="282" t="str" cm="1">
        <f t="array" ref="G955">_xll.FDSB($C955,"CS_EVENT_TIME_N("&amp;$AA$18&amp;",1)")</f>
        <v/>
      </c>
      <c r="H955" s="282" t="str" cm="1">
        <f t="array" ref="H955">_xll.FDSB($C955,"CS_EVENT_DESC_N("&amp;$AA$18&amp;",1)")</f>
        <v/>
      </c>
      <c r="I955" s="282"/>
      <c r="J955" s="274" t="str" cm="1">
        <f t="array" ref="J955">_xll.FDSB($C955,"CS_EVENT_DATEJ_N("&amp;$AB$18&amp;",1)")</f>
        <v/>
      </c>
      <c r="K955" s="282" t="str" cm="1">
        <f t="array" ref="K955">_xll.FDSB($C955,"CS_EVENT_TIME_N("&amp;$AB$18&amp;",1)")</f>
        <v/>
      </c>
      <c r="L955" s="282" t="str" cm="1">
        <f t="array" ref="L955">_xll.FDSB($C955,"CS_EVENT_DESC_N("&amp;$AB$18&amp;",1)")</f>
        <v/>
      </c>
      <c r="M955" s="300"/>
      <c r="N955" s="274" t="str" cm="1">
        <f t="array" ref="N955">_xll.FDSB($C955,"CS_EVENT_DATEJ_N("&amp;$AA$18&amp;",2)")</f>
        <v/>
      </c>
      <c r="O955" s="282" t="str" cm="1">
        <f t="array" ref="O955">_xll.FDSB($C955,"CS_EVENT_TIME_N("&amp;$AA$18&amp;",2)")</f>
        <v/>
      </c>
      <c r="P955" s="282" t="str" cm="1">
        <f t="array" ref="P955">_xll.FDSB($C955,"CS_EVENT_DESC_N("&amp;$AA$18&amp;",2)")</f>
        <v/>
      </c>
      <c r="Q955" s="282"/>
      <c r="R955" s="274" t="str" cm="1">
        <f t="array" ref="R955">_xll.FDSB($C955,"CS_EVENT_DATEJ_N("&amp;$AA$18&amp;",3)")</f>
        <v/>
      </c>
      <c r="S955" s="282" t="str" cm="1">
        <f t="array" ref="S955">_xll.FDSB($C955,"CS_EVENT_TIME_N("&amp;$AA$18&amp;",3)")</f>
        <v/>
      </c>
      <c r="T955" s="282" t="str" cm="1">
        <f t="array" ref="T955">_xll.FDSB($C955,"CS_EVENT_DESC_N("&amp;$AA$18&amp;",3)")</f>
        <v/>
      </c>
      <c r="U955" s="282"/>
      <c r="V955" s="274" t="str" cm="1">
        <f t="array" ref="V955">_xll.FDSB($C955,"CS_EVENT_DATEJ_N("&amp;$AA$18&amp;",4)")</f>
        <v/>
      </c>
      <c r="W955" s="282" t="str" cm="1">
        <f t="array" ref="W955">_xll.FDSB($C955,"CS_EVENT_TIME_N("&amp;$AA$18&amp;",4)")</f>
        <v/>
      </c>
      <c r="X955" s="282" t="str" cm="1">
        <f t="array" ref="X955">_xll.FDSB($C955,"CS_EVENT_DESC_N("&amp;$AA$18&amp;",4)")</f>
        <v/>
      </c>
    </row>
    <row r="956" spans="2:24" x14ac:dyDescent="0.15">
      <c r="B956" s="298">
        <f t="shared" si="16"/>
        <v>941</v>
      </c>
      <c r="C956" s="299"/>
      <c r="D956" s="300" t="str" cm="1">
        <f t="array" ref="D956">_xll.FDSB($C956,"FG_COMPANY_NAME")</f>
        <v/>
      </c>
      <c r="E956" s="300"/>
      <c r="F956" s="274" t="str" cm="1">
        <f t="array" ref="F956">_xll.FDSB($C956,"CS_EVENT_DATEJ_N("&amp;$AA$18&amp;",1)")</f>
        <v/>
      </c>
      <c r="G956" s="282" t="str" cm="1">
        <f t="array" ref="G956">_xll.FDSB($C956,"CS_EVENT_TIME_N("&amp;$AA$18&amp;",1)")</f>
        <v/>
      </c>
      <c r="H956" s="282" t="str" cm="1">
        <f t="array" ref="H956">_xll.FDSB($C956,"CS_EVENT_DESC_N("&amp;$AA$18&amp;",1)")</f>
        <v/>
      </c>
      <c r="I956" s="282"/>
      <c r="J956" s="274" t="str" cm="1">
        <f t="array" ref="J956">_xll.FDSB($C956,"CS_EVENT_DATEJ_N("&amp;$AB$18&amp;",1)")</f>
        <v/>
      </c>
      <c r="K956" s="282" t="str" cm="1">
        <f t="array" ref="K956">_xll.FDSB($C956,"CS_EVENT_TIME_N("&amp;$AB$18&amp;",1)")</f>
        <v/>
      </c>
      <c r="L956" s="282" t="str" cm="1">
        <f t="array" ref="L956">_xll.FDSB($C956,"CS_EVENT_DESC_N("&amp;$AB$18&amp;",1)")</f>
        <v/>
      </c>
      <c r="M956" s="300"/>
      <c r="N956" s="274" t="str" cm="1">
        <f t="array" ref="N956">_xll.FDSB($C956,"CS_EVENT_DATEJ_N("&amp;$AA$18&amp;",2)")</f>
        <v/>
      </c>
      <c r="O956" s="282" t="str" cm="1">
        <f t="array" ref="O956">_xll.FDSB($C956,"CS_EVENT_TIME_N("&amp;$AA$18&amp;",2)")</f>
        <v/>
      </c>
      <c r="P956" s="282" t="str" cm="1">
        <f t="array" ref="P956">_xll.FDSB($C956,"CS_EVENT_DESC_N("&amp;$AA$18&amp;",2)")</f>
        <v/>
      </c>
      <c r="Q956" s="282"/>
      <c r="R956" s="274" t="str" cm="1">
        <f t="array" ref="R956">_xll.FDSB($C956,"CS_EVENT_DATEJ_N("&amp;$AA$18&amp;",3)")</f>
        <v/>
      </c>
      <c r="S956" s="282" t="str" cm="1">
        <f t="array" ref="S956">_xll.FDSB($C956,"CS_EVENT_TIME_N("&amp;$AA$18&amp;",3)")</f>
        <v/>
      </c>
      <c r="T956" s="282" t="str" cm="1">
        <f t="array" ref="T956">_xll.FDSB($C956,"CS_EVENT_DESC_N("&amp;$AA$18&amp;",3)")</f>
        <v/>
      </c>
      <c r="U956" s="282"/>
      <c r="V956" s="274" t="str" cm="1">
        <f t="array" ref="V956">_xll.FDSB($C956,"CS_EVENT_DATEJ_N("&amp;$AA$18&amp;",4)")</f>
        <v/>
      </c>
      <c r="W956" s="282" t="str" cm="1">
        <f t="array" ref="W956">_xll.FDSB($C956,"CS_EVENT_TIME_N("&amp;$AA$18&amp;",4)")</f>
        <v/>
      </c>
      <c r="X956" s="282" t="str" cm="1">
        <f t="array" ref="X956">_xll.FDSB($C956,"CS_EVENT_DESC_N("&amp;$AA$18&amp;",4)")</f>
        <v/>
      </c>
    </row>
    <row r="957" spans="2:24" x14ac:dyDescent="0.15">
      <c r="B957" s="298">
        <f t="shared" si="16"/>
        <v>942</v>
      </c>
      <c r="C957" s="299"/>
      <c r="D957" s="300" t="str" cm="1">
        <f t="array" ref="D957">_xll.FDSB($C957,"FG_COMPANY_NAME")</f>
        <v/>
      </c>
      <c r="E957" s="300"/>
      <c r="F957" s="274" t="str" cm="1">
        <f t="array" ref="F957">_xll.FDSB($C957,"CS_EVENT_DATEJ_N("&amp;$AA$18&amp;",1)")</f>
        <v/>
      </c>
      <c r="G957" s="282" t="str" cm="1">
        <f t="array" ref="G957">_xll.FDSB($C957,"CS_EVENT_TIME_N("&amp;$AA$18&amp;",1)")</f>
        <v/>
      </c>
      <c r="H957" s="282" t="str" cm="1">
        <f t="array" ref="H957">_xll.FDSB($C957,"CS_EVENT_DESC_N("&amp;$AA$18&amp;",1)")</f>
        <v/>
      </c>
      <c r="I957" s="282"/>
      <c r="J957" s="274" t="str" cm="1">
        <f t="array" ref="J957">_xll.FDSB($C957,"CS_EVENT_DATEJ_N("&amp;$AB$18&amp;",1)")</f>
        <v/>
      </c>
      <c r="K957" s="282" t="str" cm="1">
        <f t="array" ref="K957">_xll.FDSB($C957,"CS_EVENT_TIME_N("&amp;$AB$18&amp;",1)")</f>
        <v/>
      </c>
      <c r="L957" s="282" t="str" cm="1">
        <f t="array" ref="L957">_xll.FDSB($C957,"CS_EVENT_DESC_N("&amp;$AB$18&amp;",1)")</f>
        <v/>
      </c>
      <c r="M957" s="300"/>
      <c r="N957" s="274" t="str" cm="1">
        <f t="array" ref="N957">_xll.FDSB($C957,"CS_EVENT_DATEJ_N("&amp;$AA$18&amp;",2)")</f>
        <v/>
      </c>
      <c r="O957" s="282" t="str" cm="1">
        <f t="array" ref="O957">_xll.FDSB($C957,"CS_EVENT_TIME_N("&amp;$AA$18&amp;",2)")</f>
        <v/>
      </c>
      <c r="P957" s="282" t="str" cm="1">
        <f t="array" ref="P957">_xll.FDSB($C957,"CS_EVENT_DESC_N("&amp;$AA$18&amp;",2)")</f>
        <v/>
      </c>
      <c r="Q957" s="282"/>
      <c r="R957" s="274" t="str" cm="1">
        <f t="array" ref="R957">_xll.FDSB($C957,"CS_EVENT_DATEJ_N("&amp;$AA$18&amp;",3)")</f>
        <v/>
      </c>
      <c r="S957" s="282" t="str" cm="1">
        <f t="array" ref="S957">_xll.FDSB($C957,"CS_EVENT_TIME_N("&amp;$AA$18&amp;",3)")</f>
        <v/>
      </c>
      <c r="T957" s="282" t="str" cm="1">
        <f t="array" ref="T957">_xll.FDSB($C957,"CS_EVENT_DESC_N("&amp;$AA$18&amp;",3)")</f>
        <v/>
      </c>
      <c r="U957" s="282"/>
      <c r="V957" s="274" t="str" cm="1">
        <f t="array" ref="V957">_xll.FDSB($C957,"CS_EVENT_DATEJ_N("&amp;$AA$18&amp;",4)")</f>
        <v/>
      </c>
      <c r="W957" s="282" t="str" cm="1">
        <f t="array" ref="W957">_xll.FDSB($C957,"CS_EVENT_TIME_N("&amp;$AA$18&amp;",4)")</f>
        <v/>
      </c>
      <c r="X957" s="282" t="str" cm="1">
        <f t="array" ref="X957">_xll.FDSB($C957,"CS_EVENT_DESC_N("&amp;$AA$18&amp;",4)")</f>
        <v/>
      </c>
    </row>
    <row r="958" spans="2:24" x14ac:dyDescent="0.15">
      <c r="B958" s="298">
        <f t="shared" si="16"/>
        <v>943</v>
      </c>
      <c r="C958" s="299"/>
      <c r="D958" s="300" t="str" cm="1">
        <f t="array" ref="D958">_xll.FDSB($C958,"FG_COMPANY_NAME")</f>
        <v/>
      </c>
      <c r="E958" s="300"/>
      <c r="F958" s="274" t="str" cm="1">
        <f t="array" ref="F958">_xll.FDSB($C958,"CS_EVENT_DATEJ_N("&amp;$AA$18&amp;",1)")</f>
        <v/>
      </c>
      <c r="G958" s="282" t="str" cm="1">
        <f t="array" ref="G958">_xll.FDSB($C958,"CS_EVENT_TIME_N("&amp;$AA$18&amp;",1)")</f>
        <v/>
      </c>
      <c r="H958" s="282" t="str" cm="1">
        <f t="array" ref="H958">_xll.FDSB($C958,"CS_EVENT_DESC_N("&amp;$AA$18&amp;",1)")</f>
        <v/>
      </c>
      <c r="I958" s="282"/>
      <c r="J958" s="274" t="str" cm="1">
        <f t="array" ref="J958">_xll.FDSB($C958,"CS_EVENT_DATEJ_N("&amp;$AB$18&amp;",1)")</f>
        <v/>
      </c>
      <c r="K958" s="282" t="str" cm="1">
        <f t="array" ref="K958">_xll.FDSB($C958,"CS_EVENT_TIME_N("&amp;$AB$18&amp;",1)")</f>
        <v/>
      </c>
      <c r="L958" s="282" t="str" cm="1">
        <f t="array" ref="L958">_xll.FDSB($C958,"CS_EVENT_DESC_N("&amp;$AB$18&amp;",1)")</f>
        <v/>
      </c>
      <c r="M958" s="300"/>
      <c r="N958" s="274" t="str" cm="1">
        <f t="array" ref="N958">_xll.FDSB($C958,"CS_EVENT_DATEJ_N("&amp;$AA$18&amp;",2)")</f>
        <v/>
      </c>
      <c r="O958" s="282" t="str" cm="1">
        <f t="array" ref="O958">_xll.FDSB($C958,"CS_EVENT_TIME_N("&amp;$AA$18&amp;",2)")</f>
        <v/>
      </c>
      <c r="P958" s="282" t="str" cm="1">
        <f t="array" ref="P958">_xll.FDSB($C958,"CS_EVENT_DESC_N("&amp;$AA$18&amp;",2)")</f>
        <v/>
      </c>
      <c r="Q958" s="282"/>
      <c r="R958" s="274" t="str" cm="1">
        <f t="array" ref="R958">_xll.FDSB($C958,"CS_EVENT_DATEJ_N("&amp;$AA$18&amp;",3)")</f>
        <v/>
      </c>
      <c r="S958" s="282" t="str" cm="1">
        <f t="array" ref="S958">_xll.FDSB($C958,"CS_EVENT_TIME_N("&amp;$AA$18&amp;",3)")</f>
        <v/>
      </c>
      <c r="T958" s="282" t="str" cm="1">
        <f t="array" ref="T958">_xll.FDSB($C958,"CS_EVENT_DESC_N("&amp;$AA$18&amp;",3)")</f>
        <v/>
      </c>
      <c r="U958" s="282"/>
      <c r="V958" s="274" t="str" cm="1">
        <f t="array" ref="V958">_xll.FDSB($C958,"CS_EVENT_DATEJ_N("&amp;$AA$18&amp;",4)")</f>
        <v/>
      </c>
      <c r="W958" s="282" t="str" cm="1">
        <f t="array" ref="W958">_xll.FDSB($C958,"CS_EVENT_TIME_N("&amp;$AA$18&amp;",4)")</f>
        <v/>
      </c>
      <c r="X958" s="282" t="str" cm="1">
        <f t="array" ref="X958">_xll.FDSB($C958,"CS_EVENT_DESC_N("&amp;$AA$18&amp;",4)")</f>
        <v/>
      </c>
    </row>
    <row r="959" spans="2:24" x14ac:dyDescent="0.15">
      <c r="B959" s="298">
        <f t="shared" si="16"/>
        <v>944</v>
      </c>
      <c r="C959" s="299"/>
      <c r="D959" s="300" t="str" cm="1">
        <f t="array" ref="D959">_xll.FDSB($C959,"FG_COMPANY_NAME")</f>
        <v/>
      </c>
      <c r="E959" s="300"/>
      <c r="F959" s="274" t="str" cm="1">
        <f t="array" ref="F959">_xll.FDSB($C959,"CS_EVENT_DATEJ_N("&amp;$AA$18&amp;",1)")</f>
        <v/>
      </c>
      <c r="G959" s="282" t="str" cm="1">
        <f t="array" ref="G959">_xll.FDSB($C959,"CS_EVENT_TIME_N("&amp;$AA$18&amp;",1)")</f>
        <v/>
      </c>
      <c r="H959" s="282" t="str" cm="1">
        <f t="array" ref="H959">_xll.FDSB($C959,"CS_EVENT_DESC_N("&amp;$AA$18&amp;",1)")</f>
        <v/>
      </c>
      <c r="I959" s="282"/>
      <c r="J959" s="274" t="str" cm="1">
        <f t="array" ref="J959">_xll.FDSB($C959,"CS_EVENT_DATEJ_N("&amp;$AB$18&amp;",1)")</f>
        <v/>
      </c>
      <c r="K959" s="282" t="str" cm="1">
        <f t="array" ref="K959">_xll.FDSB($C959,"CS_EVENT_TIME_N("&amp;$AB$18&amp;",1)")</f>
        <v/>
      </c>
      <c r="L959" s="282" t="str" cm="1">
        <f t="array" ref="L959">_xll.FDSB($C959,"CS_EVENT_DESC_N("&amp;$AB$18&amp;",1)")</f>
        <v/>
      </c>
      <c r="M959" s="300"/>
      <c r="N959" s="274" t="str" cm="1">
        <f t="array" ref="N959">_xll.FDSB($C959,"CS_EVENT_DATEJ_N("&amp;$AA$18&amp;",2)")</f>
        <v/>
      </c>
      <c r="O959" s="282" t="str" cm="1">
        <f t="array" ref="O959">_xll.FDSB($C959,"CS_EVENT_TIME_N("&amp;$AA$18&amp;",2)")</f>
        <v/>
      </c>
      <c r="P959" s="282" t="str" cm="1">
        <f t="array" ref="P959">_xll.FDSB($C959,"CS_EVENT_DESC_N("&amp;$AA$18&amp;",2)")</f>
        <v/>
      </c>
      <c r="Q959" s="282"/>
      <c r="R959" s="274" t="str" cm="1">
        <f t="array" ref="R959">_xll.FDSB($C959,"CS_EVENT_DATEJ_N("&amp;$AA$18&amp;",3)")</f>
        <v/>
      </c>
      <c r="S959" s="282" t="str" cm="1">
        <f t="array" ref="S959">_xll.FDSB($C959,"CS_EVENT_TIME_N("&amp;$AA$18&amp;",3)")</f>
        <v/>
      </c>
      <c r="T959" s="282" t="str" cm="1">
        <f t="array" ref="T959">_xll.FDSB($C959,"CS_EVENT_DESC_N("&amp;$AA$18&amp;",3)")</f>
        <v/>
      </c>
      <c r="U959" s="282"/>
      <c r="V959" s="274" t="str" cm="1">
        <f t="array" ref="V959">_xll.FDSB($C959,"CS_EVENT_DATEJ_N("&amp;$AA$18&amp;",4)")</f>
        <v/>
      </c>
      <c r="W959" s="282" t="str" cm="1">
        <f t="array" ref="W959">_xll.FDSB($C959,"CS_EVENT_TIME_N("&amp;$AA$18&amp;",4)")</f>
        <v/>
      </c>
      <c r="X959" s="282" t="str" cm="1">
        <f t="array" ref="X959">_xll.FDSB($C959,"CS_EVENT_DESC_N("&amp;$AA$18&amp;",4)")</f>
        <v/>
      </c>
    </row>
    <row r="960" spans="2:24" x14ac:dyDescent="0.15">
      <c r="B960" s="298">
        <f t="shared" si="16"/>
        <v>945</v>
      </c>
      <c r="C960" s="299"/>
      <c r="D960" s="300" t="str" cm="1">
        <f t="array" ref="D960">_xll.FDSB($C960,"FG_COMPANY_NAME")</f>
        <v/>
      </c>
      <c r="E960" s="300"/>
      <c r="F960" s="274" t="str" cm="1">
        <f t="array" ref="F960">_xll.FDSB($C960,"CS_EVENT_DATEJ_N("&amp;$AA$18&amp;",1)")</f>
        <v/>
      </c>
      <c r="G960" s="282" t="str" cm="1">
        <f t="array" ref="G960">_xll.FDSB($C960,"CS_EVENT_TIME_N("&amp;$AA$18&amp;",1)")</f>
        <v/>
      </c>
      <c r="H960" s="282" t="str" cm="1">
        <f t="array" ref="H960">_xll.FDSB($C960,"CS_EVENT_DESC_N("&amp;$AA$18&amp;",1)")</f>
        <v/>
      </c>
      <c r="I960" s="282"/>
      <c r="J960" s="274" t="str" cm="1">
        <f t="array" ref="J960">_xll.FDSB($C960,"CS_EVENT_DATEJ_N("&amp;$AB$18&amp;",1)")</f>
        <v/>
      </c>
      <c r="K960" s="282" t="str" cm="1">
        <f t="array" ref="K960">_xll.FDSB($C960,"CS_EVENT_TIME_N("&amp;$AB$18&amp;",1)")</f>
        <v/>
      </c>
      <c r="L960" s="282" t="str" cm="1">
        <f t="array" ref="L960">_xll.FDSB($C960,"CS_EVENT_DESC_N("&amp;$AB$18&amp;",1)")</f>
        <v/>
      </c>
      <c r="M960" s="300"/>
      <c r="N960" s="274" t="str" cm="1">
        <f t="array" ref="N960">_xll.FDSB($C960,"CS_EVENT_DATEJ_N("&amp;$AA$18&amp;",2)")</f>
        <v/>
      </c>
      <c r="O960" s="282" t="str" cm="1">
        <f t="array" ref="O960">_xll.FDSB($C960,"CS_EVENT_TIME_N("&amp;$AA$18&amp;",2)")</f>
        <v/>
      </c>
      <c r="P960" s="282" t="str" cm="1">
        <f t="array" ref="P960">_xll.FDSB($C960,"CS_EVENT_DESC_N("&amp;$AA$18&amp;",2)")</f>
        <v/>
      </c>
      <c r="Q960" s="282"/>
      <c r="R960" s="274" t="str" cm="1">
        <f t="array" ref="R960">_xll.FDSB($C960,"CS_EVENT_DATEJ_N("&amp;$AA$18&amp;",3)")</f>
        <v/>
      </c>
      <c r="S960" s="282" t="str" cm="1">
        <f t="array" ref="S960">_xll.FDSB($C960,"CS_EVENT_TIME_N("&amp;$AA$18&amp;",3)")</f>
        <v/>
      </c>
      <c r="T960" s="282" t="str" cm="1">
        <f t="array" ref="T960">_xll.FDSB($C960,"CS_EVENT_DESC_N("&amp;$AA$18&amp;",3)")</f>
        <v/>
      </c>
      <c r="U960" s="282"/>
      <c r="V960" s="274" t="str" cm="1">
        <f t="array" ref="V960">_xll.FDSB($C960,"CS_EVENT_DATEJ_N("&amp;$AA$18&amp;",4)")</f>
        <v/>
      </c>
      <c r="W960" s="282" t="str" cm="1">
        <f t="array" ref="W960">_xll.FDSB($C960,"CS_EVENT_TIME_N("&amp;$AA$18&amp;",4)")</f>
        <v/>
      </c>
      <c r="X960" s="282" t="str" cm="1">
        <f t="array" ref="X960">_xll.FDSB($C960,"CS_EVENT_DESC_N("&amp;$AA$18&amp;",4)")</f>
        <v/>
      </c>
    </row>
    <row r="961" spans="2:24" x14ac:dyDescent="0.15">
      <c r="B961" s="298">
        <f t="shared" si="16"/>
        <v>946</v>
      </c>
      <c r="C961" s="299"/>
      <c r="D961" s="300" t="str" cm="1">
        <f t="array" ref="D961">_xll.FDSB($C961,"FG_COMPANY_NAME")</f>
        <v/>
      </c>
      <c r="E961" s="300"/>
      <c r="F961" s="274" t="str" cm="1">
        <f t="array" ref="F961">_xll.FDSB($C961,"CS_EVENT_DATEJ_N("&amp;$AA$18&amp;",1)")</f>
        <v/>
      </c>
      <c r="G961" s="282" t="str" cm="1">
        <f t="array" ref="G961">_xll.FDSB($C961,"CS_EVENT_TIME_N("&amp;$AA$18&amp;",1)")</f>
        <v/>
      </c>
      <c r="H961" s="282" t="str" cm="1">
        <f t="array" ref="H961">_xll.FDSB($C961,"CS_EVENT_DESC_N("&amp;$AA$18&amp;",1)")</f>
        <v/>
      </c>
      <c r="I961" s="282"/>
      <c r="J961" s="274" t="str" cm="1">
        <f t="array" ref="J961">_xll.FDSB($C961,"CS_EVENT_DATEJ_N("&amp;$AB$18&amp;",1)")</f>
        <v/>
      </c>
      <c r="K961" s="282" t="str" cm="1">
        <f t="array" ref="K961">_xll.FDSB($C961,"CS_EVENT_TIME_N("&amp;$AB$18&amp;",1)")</f>
        <v/>
      </c>
      <c r="L961" s="282" t="str" cm="1">
        <f t="array" ref="L961">_xll.FDSB($C961,"CS_EVENT_DESC_N("&amp;$AB$18&amp;",1)")</f>
        <v/>
      </c>
      <c r="M961" s="300"/>
      <c r="N961" s="274" t="str" cm="1">
        <f t="array" ref="N961">_xll.FDSB($C961,"CS_EVENT_DATEJ_N("&amp;$AA$18&amp;",2)")</f>
        <v/>
      </c>
      <c r="O961" s="282" t="str" cm="1">
        <f t="array" ref="O961">_xll.FDSB($C961,"CS_EVENT_TIME_N("&amp;$AA$18&amp;",2)")</f>
        <v/>
      </c>
      <c r="P961" s="282" t="str" cm="1">
        <f t="array" ref="P961">_xll.FDSB($C961,"CS_EVENT_DESC_N("&amp;$AA$18&amp;",2)")</f>
        <v/>
      </c>
      <c r="Q961" s="282"/>
      <c r="R961" s="274" t="str" cm="1">
        <f t="array" ref="R961">_xll.FDSB($C961,"CS_EVENT_DATEJ_N("&amp;$AA$18&amp;",3)")</f>
        <v/>
      </c>
      <c r="S961" s="282" t="str" cm="1">
        <f t="array" ref="S961">_xll.FDSB($C961,"CS_EVENT_TIME_N("&amp;$AA$18&amp;",3)")</f>
        <v/>
      </c>
      <c r="T961" s="282" t="str" cm="1">
        <f t="array" ref="T961">_xll.FDSB($C961,"CS_EVENT_DESC_N("&amp;$AA$18&amp;",3)")</f>
        <v/>
      </c>
      <c r="U961" s="282"/>
      <c r="V961" s="274" t="str" cm="1">
        <f t="array" ref="V961">_xll.FDSB($C961,"CS_EVENT_DATEJ_N("&amp;$AA$18&amp;",4)")</f>
        <v/>
      </c>
      <c r="W961" s="282" t="str" cm="1">
        <f t="array" ref="W961">_xll.FDSB($C961,"CS_EVENT_TIME_N("&amp;$AA$18&amp;",4)")</f>
        <v/>
      </c>
      <c r="X961" s="282" t="str" cm="1">
        <f t="array" ref="X961">_xll.FDSB($C961,"CS_EVENT_DESC_N("&amp;$AA$18&amp;",4)")</f>
        <v/>
      </c>
    </row>
    <row r="962" spans="2:24" x14ac:dyDescent="0.15">
      <c r="B962" s="298">
        <f t="shared" si="16"/>
        <v>947</v>
      </c>
      <c r="C962" s="299"/>
      <c r="D962" s="300" t="str" cm="1">
        <f t="array" ref="D962">_xll.FDSB($C962,"FG_COMPANY_NAME")</f>
        <v/>
      </c>
      <c r="E962" s="300"/>
      <c r="F962" s="274" t="str" cm="1">
        <f t="array" ref="F962">_xll.FDSB($C962,"CS_EVENT_DATEJ_N("&amp;$AA$18&amp;",1)")</f>
        <v/>
      </c>
      <c r="G962" s="282" t="str" cm="1">
        <f t="array" ref="G962">_xll.FDSB($C962,"CS_EVENT_TIME_N("&amp;$AA$18&amp;",1)")</f>
        <v/>
      </c>
      <c r="H962" s="282" t="str" cm="1">
        <f t="array" ref="H962">_xll.FDSB($C962,"CS_EVENT_DESC_N("&amp;$AA$18&amp;",1)")</f>
        <v/>
      </c>
      <c r="I962" s="282"/>
      <c r="J962" s="274" t="str" cm="1">
        <f t="array" ref="J962">_xll.FDSB($C962,"CS_EVENT_DATEJ_N("&amp;$AB$18&amp;",1)")</f>
        <v/>
      </c>
      <c r="K962" s="282" t="str" cm="1">
        <f t="array" ref="K962">_xll.FDSB($C962,"CS_EVENT_TIME_N("&amp;$AB$18&amp;",1)")</f>
        <v/>
      </c>
      <c r="L962" s="282" t="str" cm="1">
        <f t="array" ref="L962">_xll.FDSB($C962,"CS_EVENT_DESC_N("&amp;$AB$18&amp;",1)")</f>
        <v/>
      </c>
      <c r="M962" s="300"/>
      <c r="N962" s="274" t="str" cm="1">
        <f t="array" ref="N962">_xll.FDSB($C962,"CS_EVENT_DATEJ_N("&amp;$AA$18&amp;",2)")</f>
        <v/>
      </c>
      <c r="O962" s="282" t="str" cm="1">
        <f t="array" ref="O962">_xll.FDSB($C962,"CS_EVENT_TIME_N("&amp;$AA$18&amp;",2)")</f>
        <v/>
      </c>
      <c r="P962" s="282" t="str" cm="1">
        <f t="array" ref="P962">_xll.FDSB($C962,"CS_EVENT_DESC_N("&amp;$AA$18&amp;",2)")</f>
        <v/>
      </c>
      <c r="Q962" s="282"/>
      <c r="R962" s="274" t="str" cm="1">
        <f t="array" ref="R962">_xll.FDSB($C962,"CS_EVENT_DATEJ_N("&amp;$AA$18&amp;",3)")</f>
        <v/>
      </c>
      <c r="S962" s="282" t="str" cm="1">
        <f t="array" ref="S962">_xll.FDSB($C962,"CS_EVENT_TIME_N("&amp;$AA$18&amp;",3)")</f>
        <v/>
      </c>
      <c r="T962" s="282" t="str" cm="1">
        <f t="array" ref="T962">_xll.FDSB($C962,"CS_EVENT_DESC_N("&amp;$AA$18&amp;",3)")</f>
        <v/>
      </c>
      <c r="U962" s="282"/>
      <c r="V962" s="274" t="str" cm="1">
        <f t="array" ref="V962">_xll.FDSB($C962,"CS_EVENT_DATEJ_N("&amp;$AA$18&amp;",4)")</f>
        <v/>
      </c>
      <c r="W962" s="282" t="str" cm="1">
        <f t="array" ref="W962">_xll.FDSB($C962,"CS_EVENT_TIME_N("&amp;$AA$18&amp;",4)")</f>
        <v/>
      </c>
      <c r="X962" s="282" t="str" cm="1">
        <f t="array" ref="X962">_xll.FDSB($C962,"CS_EVENT_DESC_N("&amp;$AA$18&amp;",4)")</f>
        <v/>
      </c>
    </row>
    <row r="963" spans="2:24" x14ac:dyDescent="0.15">
      <c r="B963" s="298">
        <f t="shared" si="16"/>
        <v>948</v>
      </c>
      <c r="C963" s="299"/>
      <c r="D963" s="300" t="str" cm="1">
        <f t="array" ref="D963">_xll.FDSB($C963,"FG_COMPANY_NAME")</f>
        <v/>
      </c>
      <c r="E963" s="300"/>
      <c r="F963" s="274" t="str" cm="1">
        <f t="array" ref="F963">_xll.FDSB($C963,"CS_EVENT_DATEJ_N("&amp;$AA$18&amp;",1)")</f>
        <v/>
      </c>
      <c r="G963" s="282" t="str" cm="1">
        <f t="array" ref="G963">_xll.FDSB($C963,"CS_EVENT_TIME_N("&amp;$AA$18&amp;",1)")</f>
        <v/>
      </c>
      <c r="H963" s="282" t="str" cm="1">
        <f t="array" ref="H963">_xll.FDSB($C963,"CS_EVENT_DESC_N("&amp;$AA$18&amp;",1)")</f>
        <v/>
      </c>
      <c r="I963" s="282"/>
      <c r="J963" s="274" t="str" cm="1">
        <f t="array" ref="J963">_xll.FDSB($C963,"CS_EVENT_DATEJ_N("&amp;$AB$18&amp;",1)")</f>
        <v/>
      </c>
      <c r="K963" s="282" t="str" cm="1">
        <f t="array" ref="K963">_xll.FDSB($C963,"CS_EVENT_TIME_N("&amp;$AB$18&amp;",1)")</f>
        <v/>
      </c>
      <c r="L963" s="282" t="str" cm="1">
        <f t="array" ref="L963">_xll.FDSB($C963,"CS_EVENT_DESC_N("&amp;$AB$18&amp;",1)")</f>
        <v/>
      </c>
      <c r="M963" s="300"/>
      <c r="N963" s="274" t="str" cm="1">
        <f t="array" ref="N963">_xll.FDSB($C963,"CS_EVENT_DATEJ_N("&amp;$AA$18&amp;",2)")</f>
        <v/>
      </c>
      <c r="O963" s="282" t="str" cm="1">
        <f t="array" ref="O963">_xll.FDSB($C963,"CS_EVENT_TIME_N("&amp;$AA$18&amp;",2)")</f>
        <v/>
      </c>
      <c r="P963" s="282" t="str" cm="1">
        <f t="array" ref="P963">_xll.FDSB($C963,"CS_EVENT_DESC_N("&amp;$AA$18&amp;",2)")</f>
        <v/>
      </c>
      <c r="Q963" s="282"/>
      <c r="R963" s="274" t="str" cm="1">
        <f t="array" ref="R963">_xll.FDSB($C963,"CS_EVENT_DATEJ_N("&amp;$AA$18&amp;",3)")</f>
        <v/>
      </c>
      <c r="S963" s="282" t="str" cm="1">
        <f t="array" ref="S963">_xll.FDSB($C963,"CS_EVENT_TIME_N("&amp;$AA$18&amp;",3)")</f>
        <v/>
      </c>
      <c r="T963" s="282" t="str" cm="1">
        <f t="array" ref="T963">_xll.FDSB($C963,"CS_EVENT_DESC_N("&amp;$AA$18&amp;",3)")</f>
        <v/>
      </c>
      <c r="U963" s="282"/>
      <c r="V963" s="274" t="str" cm="1">
        <f t="array" ref="V963">_xll.FDSB($C963,"CS_EVENT_DATEJ_N("&amp;$AA$18&amp;",4)")</f>
        <v/>
      </c>
      <c r="W963" s="282" t="str" cm="1">
        <f t="array" ref="W963">_xll.FDSB($C963,"CS_EVENT_TIME_N("&amp;$AA$18&amp;",4)")</f>
        <v/>
      </c>
      <c r="X963" s="282" t="str" cm="1">
        <f t="array" ref="X963">_xll.FDSB($C963,"CS_EVENT_DESC_N("&amp;$AA$18&amp;",4)")</f>
        <v/>
      </c>
    </row>
    <row r="964" spans="2:24" x14ac:dyDescent="0.15">
      <c r="B964" s="298">
        <f t="shared" si="16"/>
        <v>949</v>
      </c>
      <c r="C964" s="299"/>
      <c r="D964" s="300" t="str" cm="1">
        <f t="array" ref="D964">_xll.FDSB($C964,"FG_COMPANY_NAME")</f>
        <v/>
      </c>
      <c r="E964" s="300"/>
      <c r="F964" s="274" t="str" cm="1">
        <f t="array" ref="F964">_xll.FDSB($C964,"CS_EVENT_DATEJ_N("&amp;$AA$18&amp;",1)")</f>
        <v/>
      </c>
      <c r="G964" s="282" t="str" cm="1">
        <f t="array" ref="G964">_xll.FDSB($C964,"CS_EVENT_TIME_N("&amp;$AA$18&amp;",1)")</f>
        <v/>
      </c>
      <c r="H964" s="282" t="str" cm="1">
        <f t="array" ref="H964">_xll.FDSB($C964,"CS_EVENT_DESC_N("&amp;$AA$18&amp;",1)")</f>
        <v/>
      </c>
      <c r="I964" s="282"/>
      <c r="J964" s="274" t="str" cm="1">
        <f t="array" ref="J964">_xll.FDSB($C964,"CS_EVENT_DATEJ_N("&amp;$AB$18&amp;",1)")</f>
        <v/>
      </c>
      <c r="K964" s="282" t="str" cm="1">
        <f t="array" ref="K964">_xll.FDSB($C964,"CS_EVENT_TIME_N("&amp;$AB$18&amp;",1)")</f>
        <v/>
      </c>
      <c r="L964" s="282" t="str" cm="1">
        <f t="array" ref="L964">_xll.FDSB($C964,"CS_EVENT_DESC_N("&amp;$AB$18&amp;",1)")</f>
        <v/>
      </c>
      <c r="M964" s="300"/>
      <c r="N964" s="274" t="str" cm="1">
        <f t="array" ref="N964">_xll.FDSB($C964,"CS_EVENT_DATEJ_N("&amp;$AA$18&amp;",2)")</f>
        <v/>
      </c>
      <c r="O964" s="282" t="str" cm="1">
        <f t="array" ref="O964">_xll.FDSB($C964,"CS_EVENT_TIME_N("&amp;$AA$18&amp;",2)")</f>
        <v/>
      </c>
      <c r="P964" s="282" t="str" cm="1">
        <f t="array" ref="P964">_xll.FDSB($C964,"CS_EVENT_DESC_N("&amp;$AA$18&amp;",2)")</f>
        <v/>
      </c>
      <c r="Q964" s="282"/>
      <c r="R964" s="274" t="str" cm="1">
        <f t="array" ref="R964">_xll.FDSB($C964,"CS_EVENT_DATEJ_N("&amp;$AA$18&amp;",3)")</f>
        <v/>
      </c>
      <c r="S964" s="282" t="str" cm="1">
        <f t="array" ref="S964">_xll.FDSB($C964,"CS_EVENT_TIME_N("&amp;$AA$18&amp;",3)")</f>
        <v/>
      </c>
      <c r="T964" s="282" t="str" cm="1">
        <f t="array" ref="T964">_xll.FDSB($C964,"CS_EVENT_DESC_N("&amp;$AA$18&amp;",3)")</f>
        <v/>
      </c>
      <c r="U964" s="282"/>
      <c r="V964" s="274" t="str" cm="1">
        <f t="array" ref="V964">_xll.FDSB($C964,"CS_EVENT_DATEJ_N("&amp;$AA$18&amp;",4)")</f>
        <v/>
      </c>
      <c r="W964" s="282" t="str" cm="1">
        <f t="array" ref="W964">_xll.FDSB($C964,"CS_EVENT_TIME_N("&amp;$AA$18&amp;",4)")</f>
        <v/>
      </c>
      <c r="X964" s="282" t="str" cm="1">
        <f t="array" ref="X964">_xll.FDSB($C964,"CS_EVENT_DESC_N("&amp;$AA$18&amp;",4)")</f>
        <v/>
      </c>
    </row>
    <row r="965" spans="2:24" x14ac:dyDescent="0.15">
      <c r="B965" s="298">
        <f t="shared" si="16"/>
        <v>950</v>
      </c>
      <c r="C965" s="299"/>
      <c r="D965" s="300" t="str" cm="1">
        <f t="array" ref="D965">_xll.FDSB($C965,"FG_COMPANY_NAME")</f>
        <v/>
      </c>
      <c r="E965" s="300"/>
      <c r="F965" s="274" t="str" cm="1">
        <f t="array" ref="F965">_xll.FDSB($C965,"CS_EVENT_DATEJ_N("&amp;$AA$18&amp;",1)")</f>
        <v/>
      </c>
      <c r="G965" s="282" t="str" cm="1">
        <f t="array" ref="G965">_xll.FDSB($C965,"CS_EVENT_TIME_N("&amp;$AA$18&amp;",1)")</f>
        <v/>
      </c>
      <c r="H965" s="282" t="str" cm="1">
        <f t="array" ref="H965">_xll.FDSB($C965,"CS_EVENT_DESC_N("&amp;$AA$18&amp;",1)")</f>
        <v/>
      </c>
      <c r="I965" s="282"/>
      <c r="J965" s="274" t="str" cm="1">
        <f t="array" ref="J965">_xll.FDSB($C965,"CS_EVENT_DATEJ_N("&amp;$AB$18&amp;",1)")</f>
        <v/>
      </c>
      <c r="K965" s="282" t="str" cm="1">
        <f t="array" ref="K965">_xll.FDSB($C965,"CS_EVENT_TIME_N("&amp;$AB$18&amp;",1)")</f>
        <v/>
      </c>
      <c r="L965" s="282" t="str" cm="1">
        <f t="array" ref="L965">_xll.FDSB($C965,"CS_EVENT_DESC_N("&amp;$AB$18&amp;",1)")</f>
        <v/>
      </c>
      <c r="M965" s="300"/>
      <c r="N965" s="274" t="str" cm="1">
        <f t="array" ref="N965">_xll.FDSB($C965,"CS_EVENT_DATEJ_N("&amp;$AA$18&amp;",2)")</f>
        <v/>
      </c>
      <c r="O965" s="282" t="str" cm="1">
        <f t="array" ref="O965">_xll.FDSB($C965,"CS_EVENT_TIME_N("&amp;$AA$18&amp;",2)")</f>
        <v/>
      </c>
      <c r="P965" s="282" t="str" cm="1">
        <f t="array" ref="P965">_xll.FDSB($C965,"CS_EVENT_DESC_N("&amp;$AA$18&amp;",2)")</f>
        <v/>
      </c>
      <c r="Q965" s="282"/>
      <c r="R965" s="274" t="str" cm="1">
        <f t="array" ref="R965">_xll.FDSB($C965,"CS_EVENT_DATEJ_N("&amp;$AA$18&amp;",3)")</f>
        <v/>
      </c>
      <c r="S965" s="282" t="str" cm="1">
        <f t="array" ref="S965">_xll.FDSB($C965,"CS_EVENT_TIME_N("&amp;$AA$18&amp;",3)")</f>
        <v/>
      </c>
      <c r="T965" s="282" t="str" cm="1">
        <f t="array" ref="T965">_xll.FDSB($C965,"CS_EVENT_DESC_N("&amp;$AA$18&amp;",3)")</f>
        <v/>
      </c>
      <c r="U965" s="282"/>
      <c r="V965" s="274" t="str" cm="1">
        <f t="array" ref="V965">_xll.FDSB($C965,"CS_EVENT_DATEJ_N("&amp;$AA$18&amp;",4)")</f>
        <v/>
      </c>
      <c r="W965" s="282" t="str" cm="1">
        <f t="array" ref="W965">_xll.FDSB($C965,"CS_EVENT_TIME_N("&amp;$AA$18&amp;",4)")</f>
        <v/>
      </c>
      <c r="X965" s="282" t="str" cm="1">
        <f t="array" ref="X965">_xll.FDSB($C965,"CS_EVENT_DESC_N("&amp;$AA$18&amp;",4)")</f>
        <v/>
      </c>
    </row>
    <row r="966" spans="2:24" x14ac:dyDescent="0.15">
      <c r="B966" s="298">
        <f t="shared" si="16"/>
        <v>951</v>
      </c>
      <c r="C966" s="299"/>
      <c r="D966" s="300" t="str" cm="1">
        <f t="array" ref="D966">_xll.FDSB($C966,"FG_COMPANY_NAME")</f>
        <v/>
      </c>
      <c r="E966" s="300"/>
      <c r="F966" s="274" t="str" cm="1">
        <f t="array" ref="F966">_xll.FDSB($C966,"CS_EVENT_DATEJ_N("&amp;$AA$18&amp;",1)")</f>
        <v/>
      </c>
      <c r="G966" s="282" t="str" cm="1">
        <f t="array" ref="G966">_xll.FDSB($C966,"CS_EVENT_TIME_N("&amp;$AA$18&amp;",1)")</f>
        <v/>
      </c>
      <c r="H966" s="282" t="str" cm="1">
        <f t="array" ref="H966">_xll.FDSB($C966,"CS_EVENT_DESC_N("&amp;$AA$18&amp;",1)")</f>
        <v/>
      </c>
      <c r="I966" s="282"/>
      <c r="J966" s="274" t="str" cm="1">
        <f t="array" ref="J966">_xll.FDSB($C966,"CS_EVENT_DATEJ_N("&amp;$AB$18&amp;",1)")</f>
        <v/>
      </c>
      <c r="K966" s="282" t="str" cm="1">
        <f t="array" ref="K966">_xll.FDSB($C966,"CS_EVENT_TIME_N("&amp;$AB$18&amp;",1)")</f>
        <v/>
      </c>
      <c r="L966" s="282" t="str" cm="1">
        <f t="array" ref="L966">_xll.FDSB($C966,"CS_EVENT_DESC_N("&amp;$AB$18&amp;",1)")</f>
        <v/>
      </c>
      <c r="M966" s="300"/>
      <c r="N966" s="274" t="str" cm="1">
        <f t="array" ref="N966">_xll.FDSB($C966,"CS_EVENT_DATEJ_N("&amp;$AA$18&amp;",2)")</f>
        <v/>
      </c>
      <c r="O966" s="282" t="str" cm="1">
        <f t="array" ref="O966">_xll.FDSB($C966,"CS_EVENT_TIME_N("&amp;$AA$18&amp;",2)")</f>
        <v/>
      </c>
      <c r="P966" s="282" t="str" cm="1">
        <f t="array" ref="P966">_xll.FDSB($C966,"CS_EVENT_DESC_N("&amp;$AA$18&amp;",2)")</f>
        <v/>
      </c>
      <c r="Q966" s="282"/>
      <c r="R966" s="274" t="str" cm="1">
        <f t="array" ref="R966">_xll.FDSB($C966,"CS_EVENT_DATEJ_N("&amp;$AA$18&amp;",3)")</f>
        <v/>
      </c>
      <c r="S966" s="282" t="str" cm="1">
        <f t="array" ref="S966">_xll.FDSB($C966,"CS_EVENT_TIME_N("&amp;$AA$18&amp;",3)")</f>
        <v/>
      </c>
      <c r="T966" s="282" t="str" cm="1">
        <f t="array" ref="T966">_xll.FDSB($C966,"CS_EVENT_DESC_N("&amp;$AA$18&amp;",3)")</f>
        <v/>
      </c>
      <c r="U966" s="282"/>
      <c r="V966" s="274" t="str" cm="1">
        <f t="array" ref="V966">_xll.FDSB($C966,"CS_EVENT_DATEJ_N("&amp;$AA$18&amp;",4)")</f>
        <v/>
      </c>
      <c r="W966" s="282" t="str" cm="1">
        <f t="array" ref="W966">_xll.FDSB($C966,"CS_EVENT_TIME_N("&amp;$AA$18&amp;",4)")</f>
        <v/>
      </c>
      <c r="X966" s="282" t="str" cm="1">
        <f t="array" ref="X966">_xll.FDSB($C966,"CS_EVENT_DESC_N("&amp;$AA$18&amp;",4)")</f>
        <v/>
      </c>
    </row>
    <row r="967" spans="2:24" x14ac:dyDescent="0.15">
      <c r="B967" s="298">
        <f t="shared" si="16"/>
        <v>952</v>
      </c>
      <c r="C967" s="299"/>
      <c r="D967" s="300" t="str" cm="1">
        <f t="array" ref="D967">_xll.FDSB($C967,"FG_COMPANY_NAME")</f>
        <v/>
      </c>
      <c r="E967" s="300"/>
      <c r="F967" s="274" t="str" cm="1">
        <f t="array" ref="F967">_xll.FDSB($C967,"CS_EVENT_DATEJ_N("&amp;$AA$18&amp;",1)")</f>
        <v/>
      </c>
      <c r="G967" s="282" t="str" cm="1">
        <f t="array" ref="G967">_xll.FDSB($C967,"CS_EVENT_TIME_N("&amp;$AA$18&amp;",1)")</f>
        <v/>
      </c>
      <c r="H967" s="282" t="str" cm="1">
        <f t="array" ref="H967">_xll.FDSB($C967,"CS_EVENT_DESC_N("&amp;$AA$18&amp;",1)")</f>
        <v/>
      </c>
      <c r="I967" s="282"/>
      <c r="J967" s="274" t="str" cm="1">
        <f t="array" ref="J967">_xll.FDSB($C967,"CS_EVENT_DATEJ_N("&amp;$AB$18&amp;",1)")</f>
        <v/>
      </c>
      <c r="K967" s="282" t="str" cm="1">
        <f t="array" ref="K967">_xll.FDSB($C967,"CS_EVENT_TIME_N("&amp;$AB$18&amp;",1)")</f>
        <v/>
      </c>
      <c r="L967" s="282" t="str" cm="1">
        <f t="array" ref="L967">_xll.FDSB($C967,"CS_EVENT_DESC_N("&amp;$AB$18&amp;",1)")</f>
        <v/>
      </c>
      <c r="M967" s="300"/>
      <c r="N967" s="274" t="str" cm="1">
        <f t="array" ref="N967">_xll.FDSB($C967,"CS_EVENT_DATEJ_N("&amp;$AA$18&amp;",2)")</f>
        <v/>
      </c>
      <c r="O967" s="282" t="str" cm="1">
        <f t="array" ref="O967">_xll.FDSB($C967,"CS_EVENT_TIME_N("&amp;$AA$18&amp;",2)")</f>
        <v/>
      </c>
      <c r="P967" s="282" t="str" cm="1">
        <f t="array" ref="P967">_xll.FDSB($C967,"CS_EVENT_DESC_N("&amp;$AA$18&amp;",2)")</f>
        <v/>
      </c>
      <c r="Q967" s="282"/>
      <c r="R967" s="274" t="str" cm="1">
        <f t="array" ref="R967">_xll.FDSB($C967,"CS_EVENT_DATEJ_N("&amp;$AA$18&amp;",3)")</f>
        <v/>
      </c>
      <c r="S967" s="282" t="str" cm="1">
        <f t="array" ref="S967">_xll.FDSB($C967,"CS_EVENT_TIME_N("&amp;$AA$18&amp;",3)")</f>
        <v/>
      </c>
      <c r="T967" s="282" t="str" cm="1">
        <f t="array" ref="T967">_xll.FDSB($C967,"CS_EVENT_DESC_N("&amp;$AA$18&amp;",3)")</f>
        <v/>
      </c>
      <c r="U967" s="282"/>
      <c r="V967" s="274" t="str" cm="1">
        <f t="array" ref="V967">_xll.FDSB($C967,"CS_EVENT_DATEJ_N("&amp;$AA$18&amp;",4)")</f>
        <v/>
      </c>
      <c r="W967" s="282" t="str" cm="1">
        <f t="array" ref="W967">_xll.FDSB($C967,"CS_EVENT_TIME_N("&amp;$AA$18&amp;",4)")</f>
        <v/>
      </c>
      <c r="X967" s="282" t="str" cm="1">
        <f t="array" ref="X967">_xll.FDSB($C967,"CS_EVENT_DESC_N("&amp;$AA$18&amp;",4)")</f>
        <v/>
      </c>
    </row>
    <row r="968" spans="2:24" x14ac:dyDescent="0.15">
      <c r="B968" s="298">
        <f t="shared" si="16"/>
        <v>953</v>
      </c>
      <c r="C968" s="299"/>
      <c r="D968" s="300" t="str" cm="1">
        <f t="array" ref="D968">_xll.FDSB($C968,"FG_COMPANY_NAME")</f>
        <v/>
      </c>
      <c r="E968" s="300"/>
      <c r="F968" s="274" t="str" cm="1">
        <f t="array" ref="F968">_xll.FDSB($C968,"CS_EVENT_DATEJ_N("&amp;$AA$18&amp;",1)")</f>
        <v/>
      </c>
      <c r="G968" s="282" t="str" cm="1">
        <f t="array" ref="G968">_xll.FDSB($C968,"CS_EVENT_TIME_N("&amp;$AA$18&amp;",1)")</f>
        <v/>
      </c>
      <c r="H968" s="282" t="str" cm="1">
        <f t="array" ref="H968">_xll.FDSB($C968,"CS_EVENT_DESC_N("&amp;$AA$18&amp;",1)")</f>
        <v/>
      </c>
      <c r="I968" s="282"/>
      <c r="J968" s="274" t="str" cm="1">
        <f t="array" ref="J968">_xll.FDSB($C968,"CS_EVENT_DATEJ_N("&amp;$AB$18&amp;",1)")</f>
        <v/>
      </c>
      <c r="K968" s="282" t="str" cm="1">
        <f t="array" ref="K968">_xll.FDSB($C968,"CS_EVENT_TIME_N("&amp;$AB$18&amp;",1)")</f>
        <v/>
      </c>
      <c r="L968" s="282" t="str" cm="1">
        <f t="array" ref="L968">_xll.FDSB($C968,"CS_EVENT_DESC_N("&amp;$AB$18&amp;",1)")</f>
        <v/>
      </c>
      <c r="M968" s="300"/>
      <c r="N968" s="274" t="str" cm="1">
        <f t="array" ref="N968">_xll.FDSB($C968,"CS_EVENT_DATEJ_N("&amp;$AA$18&amp;",2)")</f>
        <v/>
      </c>
      <c r="O968" s="282" t="str" cm="1">
        <f t="array" ref="O968">_xll.FDSB($C968,"CS_EVENT_TIME_N("&amp;$AA$18&amp;",2)")</f>
        <v/>
      </c>
      <c r="P968" s="282" t="str" cm="1">
        <f t="array" ref="P968">_xll.FDSB($C968,"CS_EVENT_DESC_N("&amp;$AA$18&amp;",2)")</f>
        <v/>
      </c>
      <c r="Q968" s="282"/>
      <c r="R968" s="274" t="str" cm="1">
        <f t="array" ref="R968">_xll.FDSB($C968,"CS_EVENT_DATEJ_N("&amp;$AA$18&amp;",3)")</f>
        <v/>
      </c>
      <c r="S968" s="282" t="str" cm="1">
        <f t="array" ref="S968">_xll.FDSB($C968,"CS_EVENT_TIME_N("&amp;$AA$18&amp;",3)")</f>
        <v/>
      </c>
      <c r="T968" s="282" t="str" cm="1">
        <f t="array" ref="T968">_xll.FDSB($C968,"CS_EVENT_DESC_N("&amp;$AA$18&amp;",3)")</f>
        <v/>
      </c>
      <c r="U968" s="282"/>
      <c r="V968" s="274" t="str" cm="1">
        <f t="array" ref="V968">_xll.FDSB($C968,"CS_EVENT_DATEJ_N("&amp;$AA$18&amp;",4)")</f>
        <v/>
      </c>
      <c r="W968" s="282" t="str" cm="1">
        <f t="array" ref="W968">_xll.FDSB($C968,"CS_EVENT_TIME_N("&amp;$AA$18&amp;",4)")</f>
        <v/>
      </c>
      <c r="X968" s="282" t="str" cm="1">
        <f t="array" ref="X968">_xll.FDSB($C968,"CS_EVENT_DESC_N("&amp;$AA$18&amp;",4)")</f>
        <v/>
      </c>
    </row>
    <row r="969" spans="2:24" x14ac:dyDescent="0.15">
      <c r="B969" s="298">
        <f t="shared" si="16"/>
        <v>954</v>
      </c>
      <c r="C969" s="299"/>
      <c r="D969" s="300" t="str" cm="1">
        <f t="array" ref="D969">_xll.FDSB($C969,"FG_COMPANY_NAME")</f>
        <v/>
      </c>
      <c r="E969" s="300"/>
      <c r="F969" s="274" t="str" cm="1">
        <f t="array" ref="F969">_xll.FDSB($C969,"CS_EVENT_DATEJ_N("&amp;$AA$18&amp;",1)")</f>
        <v/>
      </c>
      <c r="G969" s="282" t="str" cm="1">
        <f t="array" ref="G969">_xll.FDSB($C969,"CS_EVENT_TIME_N("&amp;$AA$18&amp;",1)")</f>
        <v/>
      </c>
      <c r="H969" s="282" t="str" cm="1">
        <f t="array" ref="H969">_xll.FDSB($C969,"CS_EVENT_DESC_N("&amp;$AA$18&amp;",1)")</f>
        <v/>
      </c>
      <c r="I969" s="282"/>
      <c r="J969" s="274" t="str" cm="1">
        <f t="array" ref="J969">_xll.FDSB($C969,"CS_EVENT_DATEJ_N("&amp;$AB$18&amp;",1)")</f>
        <v/>
      </c>
      <c r="K969" s="282" t="str" cm="1">
        <f t="array" ref="K969">_xll.FDSB($C969,"CS_EVENT_TIME_N("&amp;$AB$18&amp;",1)")</f>
        <v/>
      </c>
      <c r="L969" s="282" t="str" cm="1">
        <f t="array" ref="L969">_xll.FDSB($C969,"CS_EVENT_DESC_N("&amp;$AB$18&amp;",1)")</f>
        <v/>
      </c>
      <c r="M969" s="300"/>
      <c r="N969" s="274" t="str" cm="1">
        <f t="array" ref="N969">_xll.FDSB($C969,"CS_EVENT_DATEJ_N("&amp;$AA$18&amp;",2)")</f>
        <v/>
      </c>
      <c r="O969" s="282" t="str" cm="1">
        <f t="array" ref="O969">_xll.FDSB($C969,"CS_EVENT_TIME_N("&amp;$AA$18&amp;",2)")</f>
        <v/>
      </c>
      <c r="P969" s="282" t="str" cm="1">
        <f t="array" ref="P969">_xll.FDSB($C969,"CS_EVENT_DESC_N("&amp;$AA$18&amp;",2)")</f>
        <v/>
      </c>
      <c r="Q969" s="282"/>
      <c r="R969" s="274" t="str" cm="1">
        <f t="array" ref="R969">_xll.FDSB($C969,"CS_EVENT_DATEJ_N("&amp;$AA$18&amp;",3)")</f>
        <v/>
      </c>
      <c r="S969" s="282" t="str" cm="1">
        <f t="array" ref="S969">_xll.FDSB($C969,"CS_EVENT_TIME_N("&amp;$AA$18&amp;",3)")</f>
        <v/>
      </c>
      <c r="T969" s="282" t="str" cm="1">
        <f t="array" ref="T969">_xll.FDSB($C969,"CS_EVENT_DESC_N("&amp;$AA$18&amp;",3)")</f>
        <v/>
      </c>
      <c r="U969" s="282"/>
      <c r="V969" s="274" t="str" cm="1">
        <f t="array" ref="V969">_xll.FDSB($C969,"CS_EVENT_DATEJ_N("&amp;$AA$18&amp;",4)")</f>
        <v/>
      </c>
      <c r="W969" s="282" t="str" cm="1">
        <f t="array" ref="W969">_xll.FDSB($C969,"CS_EVENT_TIME_N("&amp;$AA$18&amp;",4)")</f>
        <v/>
      </c>
      <c r="X969" s="282" t="str" cm="1">
        <f t="array" ref="X969">_xll.FDSB($C969,"CS_EVENT_DESC_N("&amp;$AA$18&amp;",4)")</f>
        <v/>
      </c>
    </row>
    <row r="970" spans="2:24" x14ac:dyDescent="0.15">
      <c r="B970" s="298">
        <f t="shared" si="16"/>
        <v>955</v>
      </c>
      <c r="C970" s="299"/>
      <c r="D970" s="300" t="str" cm="1">
        <f t="array" ref="D970">_xll.FDSB($C970,"FG_COMPANY_NAME")</f>
        <v/>
      </c>
      <c r="E970" s="300"/>
      <c r="F970" s="274" t="str" cm="1">
        <f t="array" ref="F970">_xll.FDSB($C970,"CS_EVENT_DATEJ_N("&amp;$AA$18&amp;",1)")</f>
        <v/>
      </c>
      <c r="G970" s="282" t="str" cm="1">
        <f t="array" ref="G970">_xll.FDSB($C970,"CS_EVENT_TIME_N("&amp;$AA$18&amp;",1)")</f>
        <v/>
      </c>
      <c r="H970" s="282" t="str" cm="1">
        <f t="array" ref="H970">_xll.FDSB($C970,"CS_EVENT_DESC_N("&amp;$AA$18&amp;",1)")</f>
        <v/>
      </c>
      <c r="I970" s="282"/>
      <c r="J970" s="274" t="str" cm="1">
        <f t="array" ref="J970">_xll.FDSB($C970,"CS_EVENT_DATEJ_N("&amp;$AB$18&amp;",1)")</f>
        <v/>
      </c>
      <c r="K970" s="282" t="str" cm="1">
        <f t="array" ref="K970">_xll.FDSB($C970,"CS_EVENT_TIME_N("&amp;$AB$18&amp;",1)")</f>
        <v/>
      </c>
      <c r="L970" s="282" t="str" cm="1">
        <f t="array" ref="L970">_xll.FDSB($C970,"CS_EVENT_DESC_N("&amp;$AB$18&amp;",1)")</f>
        <v/>
      </c>
      <c r="M970" s="300"/>
      <c r="N970" s="274" t="str" cm="1">
        <f t="array" ref="N970">_xll.FDSB($C970,"CS_EVENT_DATEJ_N("&amp;$AA$18&amp;",2)")</f>
        <v/>
      </c>
      <c r="O970" s="282" t="str" cm="1">
        <f t="array" ref="O970">_xll.FDSB($C970,"CS_EVENT_TIME_N("&amp;$AA$18&amp;",2)")</f>
        <v/>
      </c>
      <c r="P970" s="282" t="str" cm="1">
        <f t="array" ref="P970">_xll.FDSB($C970,"CS_EVENT_DESC_N("&amp;$AA$18&amp;",2)")</f>
        <v/>
      </c>
      <c r="Q970" s="282"/>
      <c r="R970" s="274" t="str" cm="1">
        <f t="array" ref="R970">_xll.FDSB($C970,"CS_EVENT_DATEJ_N("&amp;$AA$18&amp;",3)")</f>
        <v/>
      </c>
      <c r="S970" s="282" t="str" cm="1">
        <f t="array" ref="S970">_xll.FDSB($C970,"CS_EVENT_TIME_N("&amp;$AA$18&amp;",3)")</f>
        <v/>
      </c>
      <c r="T970" s="282" t="str" cm="1">
        <f t="array" ref="T970">_xll.FDSB($C970,"CS_EVENT_DESC_N("&amp;$AA$18&amp;",3)")</f>
        <v/>
      </c>
      <c r="U970" s="282"/>
      <c r="V970" s="274" t="str" cm="1">
        <f t="array" ref="V970">_xll.FDSB($C970,"CS_EVENT_DATEJ_N("&amp;$AA$18&amp;",4)")</f>
        <v/>
      </c>
      <c r="W970" s="282" t="str" cm="1">
        <f t="array" ref="W970">_xll.FDSB($C970,"CS_EVENT_TIME_N("&amp;$AA$18&amp;",4)")</f>
        <v/>
      </c>
      <c r="X970" s="282" t="str" cm="1">
        <f t="array" ref="X970">_xll.FDSB($C970,"CS_EVENT_DESC_N("&amp;$AA$18&amp;",4)")</f>
        <v/>
      </c>
    </row>
    <row r="971" spans="2:24" x14ac:dyDescent="0.15">
      <c r="B971" s="298">
        <f t="shared" si="16"/>
        <v>956</v>
      </c>
      <c r="C971" s="299"/>
      <c r="D971" s="300" t="str" cm="1">
        <f t="array" ref="D971">_xll.FDSB($C971,"FG_COMPANY_NAME")</f>
        <v/>
      </c>
      <c r="E971" s="300"/>
      <c r="F971" s="274" t="str" cm="1">
        <f t="array" ref="F971">_xll.FDSB($C971,"CS_EVENT_DATEJ_N("&amp;$AA$18&amp;",1)")</f>
        <v/>
      </c>
      <c r="G971" s="282" t="str" cm="1">
        <f t="array" ref="G971">_xll.FDSB($C971,"CS_EVENT_TIME_N("&amp;$AA$18&amp;",1)")</f>
        <v/>
      </c>
      <c r="H971" s="282" t="str" cm="1">
        <f t="array" ref="H971">_xll.FDSB($C971,"CS_EVENT_DESC_N("&amp;$AA$18&amp;",1)")</f>
        <v/>
      </c>
      <c r="I971" s="282"/>
      <c r="J971" s="274" t="str" cm="1">
        <f t="array" ref="J971">_xll.FDSB($C971,"CS_EVENT_DATEJ_N("&amp;$AB$18&amp;",1)")</f>
        <v/>
      </c>
      <c r="K971" s="282" t="str" cm="1">
        <f t="array" ref="K971">_xll.FDSB($C971,"CS_EVENT_TIME_N("&amp;$AB$18&amp;",1)")</f>
        <v/>
      </c>
      <c r="L971" s="282" t="str" cm="1">
        <f t="array" ref="L971">_xll.FDSB($C971,"CS_EVENT_DESC_N("&amp;$AB$18&amp;",1)")</f>
        <v/>
      </c>
      <c r="M971" s="300"/>
      <c r="N971" s="274" t="str" cm="1">
        <f t="array" ref="N971">_xll.FDSB($C971,"CS_EVENT_DATEJ_N("&amp;$AA$18&amp;",2)")</f>
        <v/>
      </c>
      <c r="O971" s="282" t="str" cm="1">
        <f t="array" ref="O971">_xll.FDSB($C971,"CS_EVENT_TIME_N("&amp;$AA$18&amp;",2)")</f>
        <v/>
      </c>
      <c r="P971" s="282" t="str" cm="1">
        <f t="array" ref="P971">_xll.FDSB($C971,"CS_EVENT_DESC_N("&amp;$AA$18&amp;",2)")</f>
        <v/>
      </c>
      <c r="Q971" s="282"/>
      <c r="R971" s="274" t="str" cm="1">
        <f t="array" ref="R971">_xll.FDSB($C971,"CS_EVENT_DATEJ_N("&amp;$AA$18&amp;",3)")</f>
        <v/>
      </c>
      <c r="S971" s="282" t="str" cm="1">
        <f t="array" ref="S971">_xll.FDSB($C971,"CS_EVENT_TIME_N("&amp;$AA$18&amp;",3)")</f>
        <v/>
      </c>
      <c r="T971" s="282" t="str" cm="1">
        <f t="array" ref="T971">_xll.FDSB($C971,"CS_EVENT_DESC_N("&amp;$AA$18&amp;",3)")</f>
        <v/>
      </c>
      <c r="U971" s="282"/>
      <c r="V971" s="274" t="str" cm="1">
        <f t="array" ref="V971">_xll.FDSB($C971,"CS_EVENT_DATEJ_N("&amp;$AA$18&amp;",4)")</f>
        <v/>
      </c>
      <c r="W971" s="282" t="str" cm="1">
        <f t="array" ref="W971">_xll.FDSB($C971,"CS_EVENT_TIME_N("&amp;$AA$18&amp;",4)")</f>
        <v/>
      </c>
      <c r="X971" s="282" t="str" cm="1">
        <f t="array" ref="X971">_xll.FDSB($C971,"CS_EVENT_DESC_N("&amp;$AA$18&amp;",4)")</f>
        <v/>
      </c>
    </row>
    <row r="972" spans="2:24" x14ac:dyDescent="0.15">
      <c r="B972" s="298">
        <f t="shared" si="16"/>
        <v>957</v>
      </c>
      <c r="C972" s="299"/>
      <c r="D972" s="300" t="str" cm="1">
        <f t="array" ref="D972">_xll.FDSB($C972,"FG_COMPANY_NAME")</f>
        <v/>
      </c>
      <c r="E972" s="300"/>
      <c r="F972" s="274" t="str" cm="1">
        <f t="array" ref="F972">_xll.FDSB($C972,"CS_EVENT_DATEJ_N("&amp;$AA$18&amp;",1)")</f>
        <v/>
      </c>
      <c r="G972" s="282" t="str" cm="1">
        <f t="array" ref="G972">_xll.FDSB($C972,"CS_EVENT_TIME_N("&amp;$AA$18&amp;",1)")</f>
        <v/>
      </c>
      <c r="H972" s="282" t="str" cm="1">
        <f t="array" ref="H972">_xll.FDSB($C972,"CS_EVENT_DESC_N("&amp;$AA$18&amp;",1)")</f>
        <v/>
      </c>
      <c r="I972" s="282"/>
      <c r="J972" s="274" t="str" cm="1">
        <f t="array" ref="J972">_xll.FDSB($C972,"CS_EVENT_DATEJ_N("&amp;$AB$18&amp;",1)")</f>
        <v/>
      </c>
      <c r="K972" s="282" t="str" cm="1">
        <f t="array" ref="K972">_xll.FDSB($C972,"CS_EVENT_TIME_N("&amp;$AB$18&amp;",1)")</f>
        <v/>
      </c>
      <c r="L972" s="282" t="str" cm="1">
        <f t="array" ref="L972">_xll.FDSB($C972,"CS_EVENT_DESC_N("&amp;$AB$18&amp;",1)")</f>
        <v/>
      </c>
      <c r="M972" s="300"/>
      <c r="N972" s="274" t="str" cm="1">
        <f t="array" ref="N972">_xll.FDSB($C972,"CS_EVENT_DATEJ_N("&amp;$AA$18&amp;",2)")</f>
        <v/>
      </c>
      <c r="O972" s="282" t="str" cm="1">
        <f t="array" ref="O972">_xll.FDSB($C972,"CS_EVENT_TIME_N("&amp;$AA$18&amp;",2)")</f>
        <v/>
      </c>
      <c r="P972" s="282" t="str" cm="1">
        <f t="array" ref="P972">_xll.FDSB($C972,"CS_EVENT_DESC_N("&amp;$AA$18&amp;",2)")</f>
        <v/>
      </c>
      <c r="Q972" s="282"/>
      <c r="R972" s="274" t="str" cm="1">
        <f t="array" ref="R972">_xll.FDSB($C972,"CS_EVENT_DATEJ_N("&amp;$AA$18&amp;",3)")</f>
        <v/>
      </c>
      <c r="S972" s="282" t="str" cm="1">
        <f t="array" ref="S972">_xll.FDSB($C972,"CS_EVENT_TIME_N("&amp;$AA$18&amp;",3)")</f>
        <v/>
      </c>
      <c r="T972" s="282" t="str" cm="1">
        <f t="array" ref="T972">_xll.FDSB($C972,"CS_EVENT_DESC_N("&amp;$AA$18&amp;",3)")</f>
        <v/>
      </c>
      <c r="U972" s="282"/>
      <c r="V972" s="274" t="str" cm="1">
        <f t="array" ref="V972">_xll.FDSB($C972,"CS_EVENT_DATEJ_N("&amp;$AA$18&amp;",4)")</f>
        <v/>
      </c>
      <c r="W972" s="282" t="str" cm="1">
        <f t="array" ref="W972">_xll.FDSB($C972,"CS_EVENT_TIME_N("&amp;$AA$18&amp;",4)")</f>
        <v/>
      </c>
      <c r="X972" s="282" t="str" cm="1">
        <f t="array" ref="X972">_xll.FDSB($C972,"CS_EVENT_DESC_N("&amp;$AA$18&amp;",4)")</f>
        <v/>
      </c>
    </row>
    <row r="973" spans="2:24" x14ac:dyDescent="0.15">
      <c r="B973" s="298">
        <f t="shared" si="16"/>
        <v>958</v>
      </c>
      <c r="C973" s="299"/>
      <c r="D973" s="300" t="str" cm="1">
        <f t="array" ref="D973">_xll.FDSB($C973,"FG_COMPANY_NAME")</f>
        <v/>
      </c>
      <c r="E973" s="300"/>
      <c r="F973" s="274" t="str" cm="1">
        <f t="array" ref="F973">_xll.FDSB($C973,"CS_EVENT_DATEJ_N("&amp;$AA$18&amp;",1)")</f>
        <v/>
      </c>
      <c r="G973" s="282" t="str" cm="1">
        <f t="array" ref="G973">_xll.FDSB($C973,"CS_EVENT_TIME_N("&amp;$AA$18&amp;",1)")</f>
        <v/>
      </c>
      <c r="H973" s="282" t="str" cm="1">
        <f t="array" ref="H973">_xll.FDSB($C973,"CS_EVENT_DESC_N("&amp;$AA$18&amp;",1)")</f>
        <v/>
      </c>
      <c r="I973" s="282"/>
      <c r="J973" s="274" t="str" cm="1">
        <f t="array" ref="J973">_xll.FDSB($C973,"CS_EVENT_DATEJ_N("&amp;$AB$18&amp;",1)")</f>
        <v/>
      </c>
      <c r="K973" s="282" t="str" cm="1">
        <f t="array" ref="K973">_xll.FDSB($C973,"CS_EVENT_TIME_N("&amp;$AB$18&amp;",1)")</f>
        <v/>
      </c>
      <c r="L973" s="282" t="str" cm="1">
        <f t="array" ref="L973">_xll.FDSB($C973,"CS_EVENT_DESC_N("&amp;$AB$18&amp;",1)")</f>
        <v/>
      </c>
      <c r="M973" s="300"/>
      <c r="N973" s="274" t="str" cm="1">
        <f t="array" ref="N973">_xll.FDSB($C973,"CS_EVENT_DATEJ_N("&amp;$AA$18&amp;",2)")</f>
        <v/>
      </c>
      <c r="O973" s="282" t="str" cm="1">
        <f t="array" ref="O973">_xll.FDSB($C973,"CS_EVENT_TIME_N("&amp;$AA$18&amp;",2)")</f>
        <v/>
      </c>
      <c r="P973" s="282" t="str" cm="1">
        <f t="array" ref="P973">_xll.FDSB($C973,"CS_EVENT_DESC_N("&amp;$AA$18&amp;",2)")</f>
        <v/>
      </c>
      <c r="Q973" s="282"/>
      <c r="R973" s="274" t="str" cm="1">
        <f t="array" ref="R973">_xll.FDSB($C973,"CS_EVENT_DATEJ_N("&amp;$AA$18&amp;",3)")</f>
        <v/>
      </c>
      <c r="S973" s="282" t="str" cm="1">
        <f t="array" ref="S973">_xll.FDSB($C973,"CS_EVENT_TIME_N("&amp;$AA$18&amp;",3)")</f>
        <v/>
      </c>
      <c r="T973" s="282" t="str" cm="1">
        <f t="array" ref="T973">_xll.FDSB($C973,"CS_EVENT_DESC_N("&amp;$AA$18&amp;",3)")</f>
        <v/>
      </c>
      <c r="U973" s="282"/>
      <c r="V973" s="274" t="str" cm="1">
        <f t="array" ref="V973">_xll.FDSB($C973,"CS_EVENT_DATEJ_N("&amp;$AA$18&amp;",4)")</f>
        <v/>
      </c>
      <c r="W973" s="282" t="str" cm="1">
        <f t="array" ref="W973">_xll.FDSB($C973,"CS_EVENT_TIME_N("&amp;$AA$18&amp;",4)")</f>
        <v/>
      </c>
      <c r="X973" s="282" t="str" cm="1">
        <f t="array" ref="X973">_xll.FDSB($C973,"CS_EVENT_DESC_N("&amp;$AA$18&amp;",4)")</f>
        <v/>
      </c>
    </row>
    <row r="974" spans="2:24" x14ac:dyDescent="0.15">
      <c r="B974" s="298">
        <f t="shared" si="16"/>
        <v>959</v>
      </c>
      <c r="C974" s="299"/>
      <c r="D974" s="300" t="str" cm="1">
        <f t="array" ref="D974">_xll.FDSB($C974,"FG_COMPANY_NAME")</f>
        <v/>
      </c>
      <c r="E974" s="300"/>
      <c r="F974" s="274" t="str" cm="1">
        <f t="array" ref="F974">_xll.FDSB($C974,"CS_EVENT_DATEJ_N("&amp;$AA$18&amp;",1)")</f>
        <v/>
      </c>
      <c r="G974" s="282" t="str" cm="1">
        <f t="array" ref="G974">_xll.FDSB($C974,"CS_EVENT_TIME_N("&amp;$AA$18&amp;",1)")</f>
        <v/>
      </c>
      <c r="H974" s="282" t="str" cm="1">
        <f t="array" ref="H974">_xll.FDSB($C974,"CS_EVENT_DESC_N("&amp;$AA$18&amp;",1)")</f>
        <v/>
      </c>
      <c r="I974" s="282"/>
      <c r="J974" s="274" t="str" cm="1">
        <f t="array" ref="J974">_xll.FDSB($C974,"CS_EVENT_DATEJ_N("&amp;$AB$18&amp;",1)")</f>
        <v/>
      </c>
      <c r="K974" s="282" t="str" cm="1">
        <f t="array" ref="K974">_xll.FDSB($C974,"CS_EVENT_TIME_N("&amp;$AB$18&amp;",1)")</f>
        <v/>
      </c>
      <c r="L974" s="282" t="str" cm="1">
        <f t="array" ref="L974">_xll.FDSB($C974,"CS_EVENT_DESC_N("&amp;$AB$18&amp;",1)")</f>
        <v/>
      </c>
      <c r="M974" s="300"/>
      <c r="N974" s="274" t="str" cm="1">
        <f t="array" ref="N974">_xll.FDSB($C974,"CS_EVENT_DATEJ_N("&amp;$AA$18&amp;",2)")</f>
        <v/>
      </c>
      <c r="O974" s="282" t="str" cm="1">
        <f t="array" ref="O974">_xll.FDSB($C974,"CS_EVENT_TIME_N("&amp;$AA$18&amp;",2)")</f>
        <v/>
      </c>
      <c r="P974" s="282" t="str" cm="1">
        <f t="array" ref="P974">_xll.FDSB($C974,"CS_EVENT_DESC_N("&amp;$AA$18&amp;",2)")</f>
        <v/>
      </c>
      <c r="Q974" s="282"/>
      <c r="R974" s="274" t="str" cm="1">
        <f t="array" ref="R974">_xll.FDSB($C974,"CS_EVENT_DATEJ_N("&amp;$AA$18&amp;",3)")</f>
        <v/>
      </c>
      <c r="S974" s="282" t="str" cm="1">
        <f t="array" ref="S974">_xll.FDSB($C974,"CS_EVENT_TIME_N("&amp;$AA$18&amp;",3)")</f>
        <v/>
      </c>
      <c r="T974" s="282" t="str" cm="1">
        <f t="array" ref="T974">_xll.FDSB($C974,"CS_EVENT_DESC_N("&amp;$AA$18&amp;",3)")</f>
        <v/>
      </c>
      <c r="U974" s="282"/>
      <c r="V974" s="274" t="str" cm="1">
        <f t="array" ref="V974">_xll.FDSB($C974,"CS_EVENT_DATEJ_N("&amp;$AA$18&amp;",4)")</f>
        <v/>
      </c>
      <c r="W974" s="282" t="str" cm="1">
        <f t="array" ref="W974">_xll.FDSB($C974,"CS_EVENT_TIME_N("&amp;$AA$18&amp;",4)")</f>
        <v/>
      </c>
      <c r="X974" s="282" t="str" cm="1">
        <f t="array" ref="X974">_xll.FDSB($C974,"CS_EVENT_DESC_N("&amp;$AA$18&amp;",4)")</f>
        <v/>
      </c>
    </row>
    <row r="975" spans="2:24" x14ac:dyDescent="0.15">
      <c r="B975" s="298">
        <f t="shared" si="16"/>
        <v>960</v>
      </c>
      <c r="C975" s="299"/>
      <c r="D975" s="300" t="str" cm="1">
        <f t="array" ref="D975">_xll.FDSB($C975,"FG_COMPANY_NAME")</f>
        <v/>
      </c>
      <c r="E975" s="300"/>
      <c r="F975" s="274" t="str" cm="1">
        <f t="array" ref="F975">_xll.FDSB($C975,"CS_EVENT_DATEJ_N("&amp;$AA$18&amp;",1)")</f>
        <v/>
      </c>
      <c r="G975" s="282" t="str" cm="1">
        <f t="array" ref="G975">_xll.FDSB($C975,"CS_EVENT_TIME_N("&amp;$AA$18&amp;",1)")</f>
        <v/>
      </c>
      <c r="H975" s="282" t="str" cm="1">
        <f t="array" ref="H975">_xll.FDSB($C975,"CS_EVENT_DESC_N("&amp;$AA$18&amp;",1)")</f>
        <v/>
      </c>
      <c r="I975" s="282"/>
      <c r="J975" s="274" t="str" cm="1">
        <f t="array" ref="J975">_xll.FDSB($C975,"CS_EVENT_DATEJ_N("&amp;$AB$18&amp;",1)")</f>
        <v/>
      </c>
      <c r="K975" s="282" t="str" cm="1">
        <f t="array" ref="K975">_xll.FDSB($C975,"CS_EVENT_TIME_N("&amp;$AB$18&amp;",1)")</f>
        <v/>
      </c>
      <c r="L975" s="282" t="str" cm="1">
        <f t="array" ref="L975">_xll.FDSB($C975,"CS_EVENT_DESC_N("&amp;$AB$18&amp;",1)")</f>
        <v/>
      </c>
      <c r="M975" s="300"/>
      <c r="N975" s="274" t="str" cm="1">
        <f t="array" ref="N975">_xll.FDSB($C975,"CS_EVENT_DATEJ_N("&amp;$AA$18&amp;",2)")</f>
        <v/>
      </c>
      <c r="O975" s="282" t="str" cm="1">
        <f t="array" ref="O975">_xll.FDSB($C975,"CS_EVENT_TIME_N("&amp;$AA$18&amp;",2)")</f>
        <v/>
      </c>
      <c r="P975" s="282" t="str" cm="1">
        <f t="array" ref="P975">_xll.FDSB($C975,"CS_EVENT_DESC_N("&amp;$AA$18&amp;",2)")</f>
        <v/>
      </c>
      <c r="Q975" s="282"/>
      <c r="R975" s="274" t="str" cm="1">
        <f t="array" ref="R975">_xll.FDSB($C975,"CS_EVENT_DATEJ_N("&amp;$AA$18&amp;",3)")</f>
        <v/>
      </c>
      <c r="S975" s="282" t="str" cm="1">
        <f t="array" ref="S975">_xll.FDSB($C975,"CS_EVENT_TIME_N("&amp;$AA$18&amp;",3)")</f>
        <v/>
      </c>
      <c r="T975" s="282" t="str" cm="1">
        <f t="array" ref="T975">_xll.FDSB($C975,"CS_EVENT_DESC_N("&amp;$AA$18&amp;",3)")</f>
        <v/>
      </c>
      <c r="U975" s="282"/>
      <c r="V975" s="274" t="str" cm="1">
        <f t="array" ref="V975">_xll.FDSB($C975,"CS_EVENT_DATEJ_N("&amp;$AA$18&amp;",4)")</f>
        <v/>
      </c>
      <c r="W975" s="282" t="str" cm="1">
        <f t="array" ref="W975">_xll.FDSB($C975,"CS_EVENT_TIME_N("&amp;$AA$18&amp;",4)")</f>
        <v/>
      </c>
      <c r="X975" s="282" t="str" cm="1">
        <f t="array" ref="X975">_xll.FDSB($C975,"CS_EVENT_DESC_N("&amp;$AA$18&amp;",4)")</f>
        <v/>
      </c>
    </row>
    <row r="976" spans="2:24" x14ac:dyDescent="0.15">
      <c r="B976" s="298">
        <f t="shared" si="16"/>
        <v>961</v>
      </c>
      <c r="C976" s="299"/>
      <c r="D976" s="300" t="str" cm="1">
        <f t="array" ref="D976">_xll.FDSB($C976,"FG_COMPANY_NAME")</f>
        <v/>
      </c>
      <c r="E976" s="300"/>
      <c r="F976" s="274" t="str" cm="1">
        <f t="array" ref="F976">_xll.FDSB($C976,"CS_EVENT_DATEJ_N("&amp;$AA$18&amp;",1)")</f>
        <v/>
      </c>
      <c r="G976" s="282" t="str" cm="1">
        <f t="array" ref="G976">_xll.FDSB($C976,"CS_EVENT_TIME_N("&amp;$AA$18&amp;",1)")</f>
        <v/>
      </c>
      <c r="H976" s="282" t="str" cm="1">
        <f t="array" ref="H976">_xll.FDSB($C976,"CS_EVENT_DESC_N("&amp;$AA$18&amp;",1)")</f>
        <v/>
      </c>
      <c r="I976" s="282"/>
      <c r="J976" s="274" t="str" cm="1">
        <f t="array" ref="J976">_xll.FDSB($C976,"CS_EVENT_DATEJ_N("&amp;$AB$18&amp;",1)")</f>
        <v/>
      </c>
      <c r="K976" s="282" t="str" cm="1">
        <f t="array" ref="K976">_xll.FDSB($C976,"CS_EVENT_TIME_N("&amp;$AB$18&amp;",1)")</f>
        <v/>
      </c>
      <c r="L976" s="282" t="str" cm="1">
        <f t="array" ref="L976">_xll.FDSB($C976,"CS_EVENT_DESC_N("&amp;$AB$18&amp;",1)")</f>
        <v/>
      </c>
      <c r="M976" s="300"/>
      <c r="N976" s="274" t="str" cm="1">
        <f t="array" ref="N976">_xll.FDSB($C976,"CS_EVENT_DATEJ_N("&amp;$AA$18&amp;",2)")</f>
        <v/>
      </c>
      <c r="O976" s="282" t="str" cm="1">
        <f t="array" ref="O976">_xll.FDSB($C976,"CS_EVENT_TIME_N("&amp;$AA$18&amp;",2)")</f>
        <v/>
      </c>
      <c r="P976" s="282" t="str" cm="1">
        <f t="array" ref="P976">_xll.FDSB($C976,"CS_EVENT_DESC_N("&amp;$AA$18&amp;",2)")</f>
        <v/>
      </c>
      <c r="Q976" s="282"/>
      <c r="R976" s="274" t="str" cm="1">
        <f t="array" ref="R976">_xll.FDSB($C976,"CS_EVENT_DATEJ_N("&amp;$AA$18&amp;",3)")</f>
        <v/>
      </c>
      <c r="S976" s="282" t="str" cm="1">
        <f t="array" ref="S976">_xll.FDSB($C976,"CS_EVENT_TIME_N("&amp;$AA$18&amp;",3)")</f>
        <v/>
      </c>
      <c r="T976" s="282" t="str" cm="1">
        <f t="array" ref="T976">_xll.FDSB($C976,"CS_EVENT_DESC_N("&amp;$AA$18&amp;",3)")</f>
        <v/>
      </c>
      <c r="U976" s="282"/>
      <c r="V976" s="274" t="str" cm="1">
        <f t="array" ref="V976">_xll.FDSB($C976,"CS_EVENT_DATEJ_N("&amp;$AA$18&amp;",4)")</f>
        <v/>
      </c>
      <c r="W976" s="282" t="str" cm="1">
        <f t="array" ref="W976">_xll.FDSB($C976,"CS_EVENT_TIME_N("&amp;$AA$18&amp;",4)")</f>
        <v/>
      </c>
      <c r="X976" s="282" t="str" cm="1">
        <f t="array" ref="X976">_xll.FDSB($C976,"CS_EVENT_DESC_N("&amp;$AA$18&amp;",4)")</f>
        <v/>
      </c>
    </row>
    <row r="977" spans="2:24" x14ac:dyDescent="0.15">
      <c r="B977" s="298">
        <f t="shared" si="16"/>
        <v>962</v>
      </c>
      <c r="C977" s="299"/>
      <c r="D977" s="300" t="str" cm="1">
        <f t="array" ref="D977">_xll.FDSB($C977,"FG_COMPANY_NAME")</f>
        <v/>
      </c>
      <c r="E977" s="300"/>
      <c r="F977" s="274" t="str" cm="1">
        <f t="array" ref="F977">_xll.FDSB($C977,"CS_EVENT_DATEJ_N("&amp;$AA$18&amp;",1)")</f>
        <v/>
      </c>
      <c r="G977" s="282" t="str" cm="1">
        <f t="array" ref="G977">_xll.FDSB($C977,"CS_EVENT_TIME_N("&amp;$AA$18&amp;",1)")</f>
        <v/>
      </c>
      <c r="H977" s="282" t="str" cm="1">
        <f t="array" ref="H977">_xll.FDSB($C977,"CS_EVENT_DESC_N("&amp;$AA$18&amp;",1)")</f>
        <v/>
      </c>
      <c r="I977" s="282"/>
      <c r="J977" s="274" t="str" cm="1">
        <f t="array" ref="J977">_xll.FDSB($C977,"CS_EVENT_DATEJ_N("&amp;$AB$18&amp;",1)")</f>
        <v/>
      </c>
      <c r="K977" s="282" t="str" cm="1">
        <f t="array" ref="K977">_xll.FDSB($C977,"CS_EVENT_TIME_N("&amp;$AB$18&amp;",1)")</f>
        <v/>
      </c>
      <c r="L977" s="282" t="str" cm="1">
        <f t="array" ref="L977">_xll.FDSB($C977,"CS_EVENT_DESC_N("&amp;$AB$18&amp;",1)")</f>
        <v/>
      </c>
      <c r="M977" s="300"/>
      <c r="N977" s="274" t="str" cm="1">
        <f t="array" ref="N977">_xll.FDSB($C977,"CS_EVENT_DATEJ_N("&amp;$AA$18&amp;",2)")</f>
        <v/>
      </c>
      <c r="O977" s="282" t="str" cm="1">
        <f t="array" ref="O977">_xll.FDSB($C977,"CS_EVENT_TIME_N("&amp;$AA$18&amp;",2)")</f>
        <v/>
      </c>
      <c r="P977" s="282" t="str" cm="1">
        <f t="array" ref="P977">_xll.FDSB($C977,"CS_EVENT_DESC_N("&amp;$AA$18&amp;",2)")</f>
        <v/>
      </c>
      <c r="Q977" s="282"/>
      <c r="R977" s="274" t="str" cm="1">
        <f t="array" ref="R977">_xll.FDSB($C977,"CS_EVENT_DATEJ_N("&amp;$AA$18&amp;",3)")</f>
        <v/>
      </c>
      <c r="S977" s="282" t="str" cm="1">
        <f t="array" ref="S977">_xll.FDSB($C977,"CS_EVENT_TIME_N("&amp;$AA$18&amp;",3)")</f>
        <v/>
      </c>
      <c r="T977" s="282" t="str" cm="1">
        <f t="array" ref="T977">_xll.FDSB($C977,"CS_EVENT_DESC_N("&amp;$AA$18&amp;",3)")</f>
        <v/>
      </c>
      <c r="U977" s="282"/>
      <c r="V977" s="274" t="str" cm="1">
        <f t="array" ref="V977">_xll.FDSB($C977,"CS_EVENT_DATEJ_N("&amp;$AA$18&amp;",4)")</f>
        <v/>
      </c>
      <c r="W977" s="282" t="str" cm="1">
        <f t="array" ref="W977">_xll.FDSB($C977,"CS_EVENT_TIME_N("&amp;$AA$18&amp;",4)")</f>
        <v/>
      </c>
      <c r="X977" s="282" t="str" cm="1">
        <f t="array" ref="X977">_xll.FDSB($C977,"CS_EVENT_DESC_N("&amp;$AA$18&amp;",4)")</f>
        <v/>
      </c>
    </row>
    <row r="978" spans="2:24" x14ac:dyDescent="0.15">
      <c r="B978" s="298">
        <f t="shared" ref="B978:B1025" si="17">B977+1</f>
        <v>963</v>
      </c>
      <c r="C978" s="299"/>
      <c r="D978" s="300" t="str" cm="1">
        <f t="array" ref="D978">_xll.FDSB($C978,"FG_COMPANY_NAME")</f>
        <v/>
      </c>
      <c r="E978" s="300"/>
      <c r="F978" s="274" t="str" cm="1">
        <f t="array" ref="F978">_xll.FDSB($C978,"CS_EVENT_DATEJ_N("&amp;$AA$18&amp;",1)")</f>
        <v/>
      </c>
      <c r="G978" s="282" t="str" cm="1">
        <f t="array" ref="G978">_xll.FDSB($C978,"CS_EVENT_TIME_N("&amp;$AA$18&amp;",1)")</f>
        <v/>
      </c>
      <c r="H978" s="282" t="str" cm="1">
        <f t="array" ref="H978">_xll.FDSB($C978,"CS_EVENT_DESC_N("&amp;$AA$18&amp;",1)")</f>
        <v/>
      </c>
      <c r="I978" s="282"/>
      <c r="J978" s="274" t="str" cm="1">
        <f t="array" ref="J978">_xll.FDSB($C978,"CS_EVENT_DATEJ_N("&amp;$AB$18&amp;",1)")</f>
        <v/>
      </c>
      <c r="K978" s="282" t="str" cm="1">
        <f t="array" ref="K978">_xll.FDSB($C978,"CS_EVENT_TIME_N("&amp;$AB$18&amp;",1)")</f>
        <v/>
      </c>
      <c r="L978" s="282" t="str" cm="1">
        <f t="array" ref="L978">_xll.FDSB($C978,"CS_EVENT_DESC_N("&amp;$AB$18&amp;",1)")</f>
        <v/>
      </c>
      <c r="M978" s="300"/>
      <c r="N978" s="274" t="str" cm="1">
        <f t="array" ref="N978">_xll.FDSB($C978,"CS_EVENT_DATEJ_N("&amp;$AA$18&amp;",2)")</f>
        <v/>
      </c>
      <c r="O978" s="282" t="str" cm="1">
        <f t="array" ref="O978">_xll.FDSB($C978,"CS_EVENT_TIME_N("&amp;$AA$18&amp;",2)")</f>
        <v/>
      </c>
      <c r="P978" s="282" t="str" cm="1">
        <f t="array" ref="P978">_xll.FDSB($C978,"CS_EVENT_DESC_N("&amp;$AA$18&amp;",2)")</f>
        <v/>
      </c>
      <c r="Q978" s="282"/>
      <c r="R978" s="274" t="str" cm="1">
        <f t="array" ref="R978">_xll.FDSB($C978,"CS_EVENT_DATEJ_N("&amp;$AA$18&amp;",3)")</f>
        <v/>
      </c>
      <c r="S978" s="282" t="str" cm="1">
        <f t="array" ref="S978">_xll.FDSB($C978,"CS_EVENT_TIME_N("&amp;$AA$18&amp;",3)")</f>
        <v/>
      </c>
      <c r="T978" s="282" t="str" cm="1">
        <f t="array" ref="T978">_xll.FDSB($C978,"CS_EVENT_DESC_N("&amp;$AA$18&amp;",3)")</f>
        <v/>
      </c>
      <c r="U978" s="282"/>
      <c r="V978" s="274" t="str" cm="1">
        <f t="array" ref="V978">_xll.FDSB($C978,"CS_EVENT_DATEJ_N("&amp;$AA$18&amp;",4)")</f>
        <v/>
      </c>
      <c r="W978" s="282" t="str" cm="1">
        <f t="array" ref="W978">_xll.FDSB($C978,"CS_EVENT_TIME_N("&amp;$AA$18&amp;",4)")</f>
        <v/>
      </c>
      <c r="X978" s="282" t="str" cm="1">
        <f t="array" ref="X978">_xll.FDSB($C978,"CS_EVENT_DESC_N("&amp;$AA$18&amp;",4)")</f>
        <v/>
      </c>
    </row>
    <row r="979" spans="2:24" x14ac:dyDescent="0.15">
      <c r="B979" s="298">
        <f t="shared" si="17"/>
        <v>964</v>
      </c>
      <c r="C979" s="299"/>
      <c r="D979" s="300" t="str" cm="1">
        <f t="array" ref="D979">_xll.FDSB($C979,"FG_COMPANY_NAME")</f>
        <v/>
      </c>
      <c r="E979" s="300"/>
      <c r="F979" s="274" t="str" cm="1">
        <f t="array" ref="F979">_xll.FDSB($C979,"CS_EVENT_DATEJ_N("&amp;$AA$18&amp;",1)")</f>
        <v/>
      </c>
      <c r="G979" s="282" t="str" cm="1">
        <f t="array" ref="G979">_xll.FDSB($C979,"CS_EVENT_TIME_N("&amp;$AA$18&amp;",1)")</f>
        <v/>
      </c>
      <c r="H979" s="282" t="str" cm="1">
        <f t="array" ref="H979">_xll.FDSB($C979,"CS_EVENT_DESC_N("&amp;$AA$18&amp;",1)")</f>
        <v/>
      </c>
      <c r="I979" s="282"/>
      <c r="J979" s="274" t="str" cm="1">
        <f t="array" ref="J979">_xll.FDSB($C979,"CS_EVENT_DATEJ_N("&amp;$AB$18&amp;",1)")</f>
        <v/>
      </c>
      <c r="K979" s="282" t="str" cm="1">
        <f t="array" ref="K979">_xll.FDSB($C979,"CS_EVENT_TIME_N("&amp;$AB$18&amp;",1)")</f>
        <v/>
      </c>
      <c r="L979" s="282" t="str" cm="1">
        <f t="array" ref="L979">_xll.FDSB($C979,"CS_EVENT_DESC_N("&amp;$AB$18&amp;",1)")</f>
        <v/>
      </c>
      <c r="M979" s="300"/>
      <c r="N979" s="274" t="str" cm="1">
        <f t="array" ref="N979">_xll.FDSB($C979,"CS_EVENT_DATEJ_N("&amp;$AA$18&amp;",2)")</f>
        <v/>
      </c>
      <c r="O979" s="282" t="str" cm="1">
        <f t="array" ref="O979">_xll.FDSB($C979,"CS_EVENT_TIME_N("&amp;$AA$18&amp;",2)")</f>
        <v/>
      </c>
      <c r="P979" s="282" t="str" cm="1">
        <f t="array" ref="P979">_xll.FDSB($C979,"CS_EVENT_DESC_N("&amp;$AA$18&amp;",2)")</f>
        <v/>
      </c>
      <c r="Q979" s="282"/>
      <c r="R979" s="274" t="str" cm="1">
        <f t="array" ref="R979">_xll.FDSB($C979,"CS_EVENT_DATEJ_N("&amp;$AA$18&amp;",3)")</f>
        <v/>
      </c>
      <c r="S979" s="282" t="str" cm="1">
        <f t="array" ref="S979">_xll.FDSB($C979,"CS_EVENT_TIME_N("&amp;$AA$18&amp;",3)")</f>
        <v/>
      </c>
      <c r="T979" s="282" t="str" cm="1">
        <f t="array" ref="T979">_xll.FDSB($C979,"CS_EVENT_DESC_N("&amp;$AA$18&amp;",3)")</f>
        <v/>
      </c>
      <c r="U979" s="282"/>
      <c r="V979" s="274" t="str" cm="1">
        <f t="array" ref="V979">_xll.FDSB($C979,"CS_EVENT_DATEJ_N("&amp;$AA$18&amp;",4)")</f>
        <v/>
      </c>
      <c r="W979" s="282" t="str" cm="1">
        <f t="array" ref="W979">_xll.FDSB($C979,"CS_EVENT_TIME_N("&amp;$AA$18&amp;",4)")</f>
        <v/>
      </c>
      <c r="X979" s="282" t="str" cm="1">
        <f t="array" ref="X979">_xll.FDSB($C979,"CS_EVENT_DESC_N("&amp;$AA$18&amp;",4)")</f>
        <v/>
      </c>
    </row>
    <row r="980" spans="2:24" x14ac:dyDescent="0.15">
      <c r="B980" s="298">
        <f t="shared" si="17"/>
        <v>965</v>
      </c>
      <c r="C980" s="299"/>
      <c r="D980" s="300" t="str" cm="1">
        <f t="array" ref="D980">_xll.FDSB($C980,"FG_COMPANY_NAME")</f>
        <v/>
      </c>
      <c r="E980" s="300"/>
      <c r="F980" s="274" t="str" cm="1">
        <f t="array" ref="F980">_xll.FDSB($C980,"CS_EVENT_DATEJ_N("&amp;$AA$18&amp;",1)")</f>
        <v/>
      </c>
      <c r="G980" s="282" t="str" cm="1">
        <f t="array" ref="G980">_xll.FDSB($C980,"CS_EVENT_TIME_N("&amp;$AA$18&amp;",1)")</f>
        <v/>
      </c>
      <c r="H980" s="282" t="str" cm="1">
        <f t="array" ref="H980">_xll.FDSB($C980,"CS_EVENT_DESC_N("&amp;$AA$18&amp;",1)")</f>
        <v/>
      </c>
      <c r="I980" s="282"/>
      <c r="J980" s="274" t="str" cm="1">
        <f t="array" ref="J980">_xll.FDSB($C980,"CS_EVENT_DATEJ_N("&amp;$AB$18&amp;",1)")</f>
        <v/>
      </c>
      <c r="K980" s="282" t="str" cm="1">
        <f t="array" ref="K980">_xll.FDSB($C980,"CS_EVENT_TIME_N("&amp;$AB$18&amp;",1)")</f>
        <v/>
      </c>
      <c r="L980" s="282" t="str" cm="1">
        <f t="array" ref="L980">_xll.FDSB($C980,"CS_EVENT_DESC_N("&amp;$AB$18&amp;",1)")</f>
        <v/>
      </c>
      <c r="M980" s="300"/>
      <c r="N980" s="274" t="str" cm="1">
        <f t="array" ref="N980">_xll.FDSB($C980,"CS_EVENT_DATEJ_N("&amp;$AA$18&amp;",2)")</f>
        <v/>
      </c>
      <c r="O980" s="282" t="str" cm="1">
        <f t="array" ref="O980">_xll.FDSB($C980,"CS_EVENT_TIME_N("&amp;$AA$18&amp;",2)")</f>
        <v/>
      </c>
      <c r="P980" s="282" t="str" cm="1">
        <f t="array" ref="P980">_xll.FDSB($C980,"CS_EVENT_DESC_N("&amp;$AA$18&amp;",2)")</f>
        <v/>
      </c>
      <c r="Q980" s="282"/>
      <c r="R980" s="274" t="str" cm="1">
        <f t="array" ref="R980">_xll.FDSB($C980,"CS_EVENT_DATEJ_N("&amp;$AA$18&amp;",3)")</f>
        <v/>
      </c>
      <c r="S980" s="282" t="str" cm="1">
        <f t="array" ref="S980">_xll.FDSB($C980,"CS_EVENT_TIME_N("&amp;$AA$18&amp;",3)")</f>
        <v/>
      </c>
      <c r="T980" s="282" t="str" cm="1">
        <f t="array" ref="T980">_xll.FDSB($C980,"CS_EVENT_DESC_N("&amp;$AA$18&amp;",3)")</f>
        <v/>
      </c>
      <c r="U980" s="282"/>
      <c r="V980" s="274" t="str" cm="1">
        <f t="array" ref="V980">_xll.FDSB($C980,"CS_EVENT_DATEJ_N("&amp;$AA$18&amp;",4)")</f>
        <v/>
      </c>
      <c r="W980" s="282" t="str" cm="1">
        <f t="array" ref="W980">_xll.FDSB($C980,"CS_EVENT_TIME_N("&amp;$AA$18&amp;",4)")</f>
        <v/>
      </c>
      <c r="X980" s="282" t="str" cm="1">
        <f t="array" ref="X980">_xll.FDSB($C980,"CS_EVENT_DESC_N("&amp;$AA$18&amp;",4)")</f>
        <v/>
      </c>
    </row>
    <row r="981" spans="2:24" x14ac:dyDescent="0.15">
      <c r="B981" s="298">
        <f t="shared" si="17"/>
        <v>966</v>
      </c>
      <c r="C981" s="299"/>
      <c r="D981" s="300" t="str" cm="1">
        <f t="array" ref="D981">_xll.FDSB($C981,"FG_COMPANY_NAME")</f>
        <v/>
      </c>
      <c r="E981" s="300"/>
      <c r="F981" s="274" t="str" cm="1">
        <f t="array" ref="F981">_xll.FDSB($C981,"CS_EVENT_DATEJ_N("&amp;$AA$18&amp;",1)")</f>
        <v/>
      </c>
      <c r="G981" s="282" t="str" cm="1">
        <f t="array" ref="G981">_xll.FDSB($C981,"CS_EVENT_TIME_N("&amp;$AA$18&amp;",1)")</f>
        <v/>
      </c>
      <c r="H981" s="282" t="str" cm="1">
        <f t="array" ref="H981">_xll.FDSB($C981,"CS_EVENT_DESC_N("&amp;$AA$18&amp;",1)")</f>
        <v/>
      </c>
      <c r="I981" s="282"/>
      <c r="J981" s="274" t="str" cm="1">
        <f t="array" ref="J981">_xll.FDSB($C981,"CS_EVENT_DATEJ_N("&amp;$AB$18&amp;",1)")</f>
        <v/>
      </c>
      <c r="K981" s="282" t="str" cm="1">
        <f t="array" ref="K981">_xll.FDSB($C981,"CS_EVENT_TIME_N("&amp;$AB$18&amp;",1)")</f>
        <v/>
      </c>
      <c r="L981" s="282" t="str" cm="1">
        <f t="array" ref="L981">_xll.FDSB($C981,"CS_EVENT_DESC_N("&amp;$AB$18&amp;",1)")</f>
        <v/>
      </c>
      <c r="M981" s="300"/>
      <c r="N981" s="274" t="str" cm="1">
        <f t="array" ref="N981">_xll.FDSB($C981,"CS_EVENT_DATEJ_N("&amp;$AA$18&amp;",2)")</f>
        <v/>
      </c>
      <c r="O981" s="282" t="str" cm="1">
        <f t="array" ref="O981">_xll.FDSB($C981,"CS_EVENT_TIME_N("&amp;$AA$18&amp;",2)")</f>
        <v/>
      </c>
      <c r="P981" s="282" t="str" cm="1">
        <f t="array" ref="P981">_xll.FDSB($C981,"CS_EVENT_DESC_N("&amp;$AA$18&amp;",2)")</f>
        <v/>
      </c>
      <c r="Q981" s="282"/>
      <c r="R981" s="274" t="str" cm="1">
        <f t="array" ref="R981">_xll.FDSB($C981,"CS_EVENT_DATEJ_N("&amp;$AA$18&amp;",3)")</f>
        <v/>
      </c>
      <c r="S981" s="282" t="str" cm="1">
        <f t="array" ref="S981">_xll.FDSB($C981,"CS_EVENT_TIME_N("&amp;$AA$18&amp;",3)")</f>
        <v/>
      </c>
      <c r="T981" s="282" t="str" cm="1">
        <f t="array" ref="T981">_xll.FDSB($C981,"CS_EVENT_DESC_N("&amp;$AA$18&amp;",3)")</f>
        <v/>
      </c>
      <c r="U981" s="282"/>
      <c r="V981" s="274" t="str" cm="1">
        <f t="array" ref="V981">_xll.FDSB($C981,"CS_EVENT_DATEJ_N("&amp;$AA$18&amp;",4)")</f>
        <v/>
      </c>
      <c r="W981" s="282" t="str" cm="1">
        <f t="array" ref="W981">_xll.FDSB($C981,"CS_EVENT_TIME_N("&amp;$AA$18&amp;",4)")</f>
        <v/>
      </c>
      <c r="X981" s="282" t="str" cm="1">
        <f t="array" ref="X981">_xll.FDSB($C981,"CS_EVENT_DESC_N("&amp;$AA$18&amp;",4)")</f>
        <v/>
      </c>
    </row>
    <row r="982" spans="2:24" x14ac:dyDescent="0.15">
      <c r="B982" s="298">
        <f t="shared" si="17"/>
        <v>967</v>
      </c>
      <c r="C982" s="299"/>
      <c r="D982" s="300" t="str" cm="1">
        <f t="array" ref="D982">_xll.FDSB($C982,"FG_COMPANY_NAME")</f>
        <v/>
      </c>
      <c r="E982" s="300"/>
      <c r="F982" s="274" t="str" cm="1">
        <f t="array" ref="F982">_xll.FDSB($C982,"CS_EVENT_DATEJ_N("&amp;$AA$18&amp;",1)")</f>
        <v/>
      </c>
      <c r="G982" s="282" t="str" cm="1">
        <f t="array" ref="G982">_xll.FDSB($C982,"CS_EVENT_TIME_N("&amp;$AA$18&amp;",1)")</f>
        <v/>
      </c>
      <c r="H982" s="282" t="str" cm="1">
        <f t="array" ref="H982">_xll.FDSB($C982,"CS_EVENT_DESC_N("&amp;$AA$18&amp;",1)")</f>
        <v/>
      </c>
      <c r="I982" s="282"/>
      <c r="J982" s="274" t="str" cm="1">
        <f t="array" ref="J982">_xll.FDSB($C982,"CS_EVENT_DATEJ_N("&amp;$AB$18&amp;",1)")</f>
        <v/>
      </c>
      <c r="K982" s="282" t="str" cm="1">
        <f t="array" ref="K982">_xll.FDSB($C982,"CS_EVENT_TIME_N("&amp;$AB$18&amp;",1)")</f>
        <v/>
      </c>
      <c r="L982" s="282" t="str" cm="1">
        <f t="array" ref="L982">_xll.FDSB($C982,"CS_EVENT_DESC_N("&amp;$AB$18&amp;",1)")</f>
        <v/>
      </c>
      <c r="M982" s="300"/>
      <c r="N982" s="274" t="str" cm="1">
        <f t="array" ref="N982">_xll.FDSB($C982,"CS_EVENT_DATEJ_N("&amp;$AA$18&amp;",2)")</f>
        <v/>
      </c>
      <c r="O982" s="282" t="str" cm="1">
        <f t="array" ref="O982">_xll.FDSB($C982,"CS_EVENT_TIME_N("&amp;$AA$18&amp;",2)")</f>
        <v/>
      </c>
      <c r="P982" s="282" t="str" cm="1">
        <f t="array" ref="P982">_xll.FDSB($C982,"CS_EVENT_DESC_N("&amp;$AA$18&amp;",2)")</f>
        <v/>
      </c>
      <c r="Q982" s="282"/>
      <c r="R982" s="274" t="str" cm="1">
        <f t="array" ref="R982">_xll.FDSB($C982,"CS_EVENT_DATEJ_N("&amp;$AA$18&amp;",3)")</f>
        <v/>
      </c>
      <c r="S982" s="282" t="str" cm="1">
        <f t="array" ref="S982">_xll.FDSB($C982,"CS_EVENT_TIME_N("&amp;$AA$18&amp;",3)")</f>
        <v/>
      </c>
      <c r="T982" s="282" t="str" cm="1">
        <f t="array" ref="T982">_xll.FDSB($C982,"CS_EVENT_DESC_N("&amp;$AA$18&amp;",3)")</f>
        <v/>
      </c>
      <c r="U982" s="282"/>
      <c r="V982" s="274" t="str" cm="1">
        <f t="array" ref="V982">_xll.FDSB($C982,"CS_EVENT_DATEJ_N("&amp;$AA$18&amp;",4)")</f>
        <v/>
      </c>
      <c r="W982" s="282" t="str" cm="1">
        <f t="array" ref="W982">_xll.FDSB($C982,"CS_EVENT_TIME_N("&amp;$AA$18&amp;",4)")</f>
        <v/>
      </c>
      <c r="X982" s="282" t="str" cm="1">
        <f t="array" ref="X982">_xll.FDSB($C982,"CS_EVENT_DESC_N("&amp;$AA$18&amp;",4)")</f>
        <v/>
      </c>
    </row>
    <row r="983" spans="2:24" x14ac:dyDescent="0.15">
      <c r="B983" s="298">
        <f t="shared" si="17"/>
        <v>968</v>
      </c>
      <c r="C983" s="299"/>
      <c r="D983" s="300" t="str" cm="1">
        <f t="array" ref="D983">_xll.FDSB($C983,"FG_COMPANY_NAME")</f>
        <v/>
      </c>
      <c r="E983" s="300"/>
      <c r="F983" s="274" t="str" cm="1">
        <f t="array" ref="F983">_xll.FDSB($C983,"CS_EVENT_DATEJ_N("&amp;$AA$18&amp;",1)")</f>
        <v/>
      </c>
      <c r="G983" s="282" t="str" cm="1">
        <f t="array" ref="G983">_xll.FDSB($C983,"CS_EVENT_TIME_N("&amp;$AA$18&amp;",1)")</f>
        <v/>
      </c>
      <c r="H983" s="282" t="str" cm="1">
        <f t="array" ref="H983">_xll.FDSB($C983,"CS_EVENT_DESC_N("&amp;$AA$18&amp;",1)")</f>
        <v/>
      </c>
      <c r="I983" s="282"/>
      <c r="J983" s="274" t="str" cm="1">
        <f t="array" ref="J983">_xll.FDSB($C983,"CS_EVENT_DATEJ_N("&amp;$AB$18&amp;",1)")</f>
        <v/>
      </c>
      <c r="K983" s="282" t="str" cm="1">
        <f t="array" ref="K983">_xll.FDSB($C983,"CS_EVENT_TIME_N("&amp;$AB$18&amp;",1)")</f>
        <v/>
      </c>
      <c r="L983" s="282" t="str" cm="1">
        <f t="array" ref="L983">_xll.FDSB($C983,"CS_EVENT_DESC_N("&amp;$AB$18&amp;",1)")</f>
        <v/>
      </c>
      <c r="M983" s="300"/>
      <c r="N983" s="274" t="str" cm="1">
        <f t="array" ref="N983">_xll.FDSB($C983,"CS_EVENT_DATEJ_N("&amp;$AA$18&amp;",2)")</f>
        <v/>
      </c>
      <c r="O983" s="282" t="str" cm="1">
        <f t="array" ref="O983">_xll.FDSB($C983,"CS_EVENT_TIME_N("&amp;$AA$18&amp;",2)")</f>
        <v/>
      </c>
      <c r="P983" s="282" t="str" cm="1">
        <f t="array" ref="P983">_xll.FDSB($C983,"CS_EVENT_DESC_N("&amp;$AA$18&amp;",2)")</f>
        <v/>
      </c>
      <c r="Q983" s="282"/>
      <c r="R983" s="274" t="str" cm="1">
        <f t="array" ref="R983">_xll.FDSB($C983,"CS_EVENT_DATEJ_N("&amp;$AA$18&amp;",3)")</f>
        <v/>
      </c>
      <c r="S983" s="282" t="str" cm="1">
        <f t="array" ref="S983">_xll.FDSB($C983,"CS_EVENT_TIME_N("&amp;$AA$18&amp;",3)")</f>
        <v/>
      </c>
      <c r="T983" s="282" t="str" cm="1">
        <f t="array" ref="T983">_xll.FDSB($C983,"CS_EVENT_DESC_N("&amp;$AA$18&amp;",3)")</f>
        <v/>
      </c>
      <c r="U983" s="282"/>
      <c r="V983" s="274" t="str" cm="1">
        <f t="array" ref="V983">_xll.FDSB($C983,"CS_EVENT_DATEJ_N("&amp;$AA$18&amp;",4)")</f>
        <v/>
      </c>
      <c r="W983" s="282" t="str" cm="1">
        <f t="array" ref="W983">_xll.FDSB($C983,"CS_EVENT_TIME_N("&amp;$AA$18&amp;",4)")</f>
        <v/>
      </c>
      <c r="X983" s="282" t="str" cm="1">
        <f t="array" ref="X983">_xll.FDSB($C983,"CS_EVENT_DESC_N("&amp;$AA$18&amp;",4)")</f>
        <v/>
      </c>
    </row>
    <row r="984" spans="2:24" x14ac:dyDescent="0.15">
      <c r="B984" s="298">
        <f t="shared" si="17"/>
        <v>969</v>
      </c>
      <c r="C984" s="299"/>
      <c r="D984" s="300" t="str" cm="1">
        <f t="array" ref="D984">_xll.FDSB($C984,"FG_COMPANY_NAME")</f>
        <v/>
      </c>
      <c r="E984" s="300"/>
      <c r="F984" s="274" t="str" cm="1">
        <f t="array" ref="F984">_xll.FDSB($C984,"CS_EVENT_DATEJ_N("&amp;$AA$18&amp;",1)")</f>
        <v/>
      </c>
      <c r="G984" s="282" t="str" cm="1">
        <f t="array" ref="G984">_xll.FDSB($C984,"CS_EVENT_TIME_N("&amp;$AA$18&amp;",1)")</f>
        <v/>
      </c>
      <c r="H984" s="282" t="str" cm="1">
        <f t="array" ref="H984">_xll.FDSB($C984,"CS_EVENT_DESC_N("&amp;$AA$18&amp;",1)")</f>
        <v/>
      </c>
      <c r="I984" s="282"/>
      <c r="J984" s="274" t="str" cm="1">
        <f t="array" ref="J984">_xll.FDSB($C984,"CS_EVENT_DATEJ_N("&amp;$AB$18&amp;",1)")</f>
        <v/>
      </c>
      <c r="K984" s="282" t="str" cm="1">
        <f t="array" ref="K984">_xll.FDSB($C984,"CS_EVENT_TIME_N("&amp;$AB$18&amp;",1)")</f>
        <v/>
      </c>
      <c r="L984" s="282" t="str" cm="1">
        <f t="array" ref="L984">_xll.FDSB($C984,"CS_EVENT_DESC_N("&amp;$AB$18&amp;",1)")</f>
        <v/>
      </c>
      <c r="M984" s="300"/>
      <c r="N984" s="274" t="str" cm="1">
        <f t="array" ref="N984">_xll.FDSB($C984,"CS_EVENT_DATEJ_N("&amp;$AA$18&amp;",2)")</f>
        <v/>
      </c>
      <c r="O984" s="282" t="str" cm="1">
        <f t="array" ref="O984">_xll.FDSB($C984,"CS_EVENT_TIME_N("&amp;$AA$18&amp;",2)")</f>
        <v/>
      </c>
      <c r="P984" s="282" t="str" cm="1">
        <f t="array" ref="P984">_xll.FDSB($C984,"CS_EVENT_DESC_N("&amp;$AA$18&amp;",2)")</f>
        <v/>
      </c>
      <c r="Q984" s="282"/>
      <c r="R984" s="274" t="str" cm="1">
        <f t="array" ref="R984">_xll.FDSB($C984,"CS_EVENT_DATEJ_N("&amp;$AA$18&amp;",3)")</f>
        <v/>
      </c>
      <c r="S984" s="282" t="str" cm="1">
        <f t="array" ref="S984">_xll.FDSB($C984,"CS_EVENT_TIME_N("&amp;$AA$18&amp;",3)")</f>
        <v/>
      </c>
      <c r="T984" s="282" t="str" cm="1">
        <f t="array" ref="T984">_xll.FDSB($C984,"CS_EVENT_DESC_N("&amp;$AA$18&amp;",3)")</f>
        <v/>
      </c>
      <c r="U984" s="282"/>
      <c r="V984" s="274" t="str" cm="1">
        <f t="array" ref="V984">_xll.FDSB($C984,"CS_EVENT_DATEJ_N("&amp;$AA$18&amp;",4)")</f>
        <v/>
      </c>
      <c r="W984" s="282" t="str" cm="1">
        <f t="array" ref="W984">_xll.FDSB($C984,"CS_EVENT_TIME_N("&amp;$AA$18&amp;",4)")</f>
        <v/>
      </c>
      <c r="X984" s="282" t="str" cm="1">
        <f t="array" ref="X984">_xll.FDSB($C984,"CS_EVENT_DESC_N("&amp;$AA$18&amp;",4)")</f>
        <v/>
      </c>
    </row>
    <row r="985" spans="2:24" x14ac:dyDescent="0.15">
      <c r="B985" s="298">
        <f t="shared" si="17"/>
        <v>970</v>
      </c>
      <c r="C985" s="299"/>
      <c r="D985" s="300" t="str" cm="1">
        <f t="array" ref="D985">_xll.FDSB($C985,"FG_COMPANY_NAME")</f>
        <v/>
      </c>
      <c r="E985" s="300"/>
      <c r="F985" s="274" t="str" cm="1">
        <f t="array" ref="F985">_xll.FDSB($C985,"CS_EVENT_DATEJ_N("&amp;$AA$18&amp;",1)")</f>
        <v/>
      </c>
      <c r="G985" s="282" t="str" cm="1">
        <f t="array" ref="G985">_xll.FDSB($C985,"CS_EVENT_TIME_N("&amp;$AA$18&amp;",1)")</f>
        <v/>
      </c>
      <c r="H985" s="282" t="str" cm="1">
        <f t="array" ref="H985">_xll.FDSB($C985,"CS_EVENT_DESC_N("&amp;$AA$18&amp;",1)")</f>
        <v/>
      </c>
      <c r="I985" s="282"/>
      <c r="J985" s="274" t="str" cm="1">
        <f t="array" ref="J985">_xll.FDSB($C985,"CS_EVENT_DATEJ_N("&amp;$AB$18&amp;",1)")</f>
        <v/>
      </c>
      <c r="K985" s="282" t="str" cm="1">
        <f t="array" ref="K985">_xll.FDSB($C985,"CS_EVENT_TIME_N("&amp;$AB$18&amp;",1)")</f>
        <v/>
      </c>
      <c r="L985" s="282" t="str" cm="1">
        <f t="array" ref="L985">_xll.FDSB($C985,"CS_EVENT_DESC_N("&amp;$AB$18&amp;",1)")</f>
        <v/>
      </c>
      <c r="M985" s="300"/>
      <c r="N985" s="274" t="str" cm="1">
        <f t="array" ref="N985">_xll.FDSB($C985,"CS_EVENT_DATEJ_N("&amp;$AA$18&amp;",2)")</f>
        <v/>
      </c>
      <c r="O985" s="282" t="str" cm="1">
        <f t="array" ref="O985">_xll.FDSB($C985,"CS_EVENT_TIME_N("&amp;$AA$18&amp;",2)")</f>
        <v/>
      </c>
      <c r="P985" s="282" t="str" cm="1">
        <f t="array" ref="P985">_xll.FDSB($C985,"CS_EVENT_DESC_N("&amp;$AA$18&amp;",2)")</f>
        <v/>
      </c>
      <c r="Q985" s="282"/>
      <c r="R985" s="274" t="str" cm="1">
        <f t="array" ref="R985">_xll.FDSB($C985,"CS_EVENT_DATEJ_N("&amp;$AA$18&amp;",3)")</f>
        <v/>
      </c>
      <c r="S985" s="282" t="str" cm="1">
        <f t="array" ref="S985">_xll.FDSB($C985,"CS_EVENT_TIME_N("&amp;$AA$18&amp;",3)")</f>
        <v/>
      </c>
      <c r="T985" s="282" t="str" cm="1">
        <f t="array" ref="T985">_xll.FDSB($C985,"CS_EVENT_DESC_N("&amp;$AA$18&amp;",3)")</f>
        <v/>
      </c>
      <c r="U985" s="282"/>
      <c r="V985" s="274" t="str" cm="1">
        <f t="array" ref="V985">_xll.FDSB($C985,"CS_EVENT_DATEJ_N("&amp;$AA$18&amp;",4)")</f>
        <v/>
      </c>
      <c r="W985" s="282" t="str" cm="1">
        <f t="array" ref="W985">_xll.FDSB($C985,"CS_EVENT_TIME_N("&amp;$AA$18&amp;",4)")</f>
        <v/>
      </c>
      <c r="X985" s="282" t="str" cm="1">
        <f t="array" ref="X985">_xll.FDSB($C985,"CS_EVENT_DESC_N("&amp;$AA$18&amp;",4)")</f>
        <v/>
      </c>
    </row>
    <row r="986" spans="2:24" x14ac:dyDescent="0.15">
      <c r="B986" s="298">
        <f t="shared" si="17"/>
        <v>971</v>
      </c>
      <c r="C986" s="299"/>
      <c r="D986" s="300" t="str" cm="1">
        <f t="array" ref="D986">_xll.FDSB($C986,"FG_COMPANY_NAME")</f>
        <v/>
      </c>
      <c r="E986" s="300"/>
      <c r="F986" s="274" t="str" cm="1">
        <f t="array" ref="F986">_xll.FDSB($C986,"CS_EVENT_DATEJ_N("&amp;$AA$18&amp;",1)")</f>
        <v/>
      </c>
      <c r="G986" s="282" t="str" cm="1">
        <f t="array" ref="G986">_xll.FDSB($C986,"CS_EVENT_TIME_N("&amp;$AA$18&amp;",1)")</f>
        <v/>
      </c>
      <c r="H986" s="282" t="str" cm="1">
        <f t="array" ref="H986">_xll.FDSB($C986,"CS_EVENT_DESC_N("&amp;$AA$18&amp;",1)")</f>
        <v/>
      </c>
      <c r="I986" s="282"/>
      <c r="J986" s="274" t="str" cm="1">
        <f t="array" ref="J986">_xll.FDSB($C986,"CS_EVENT_DATEJ_N("&amp;$AB$18&amp;",1)")</f>
        <v/>
      </c>
      <c r="K986" s="282" t="str" cm="1">
        <f t="array" ref="K986">_xll.FDSB($C986,"CS_EVENT_TIME_N("&amp;$AB$18&amp;",1)")</f>
        <v/>
      </c>
      <c r="L986" s="282" t="str" cm="1">
        <f t="array" ref="L986">_xll.FDSB($C986,"CS_EVENT_DESC_N("&amp;$AB$18&amp;",1)")</f>
        <v/>
      </c>
      <c r="M986" s="300"/>
      <c r="N986" s="274" t="str" cm="1">
        <f t="array" ref="N986">_xll.FDSB($C986,"CS_EVENT_DATEJ_N("&amp;$AA$18&amp;",2)")</f>
        <v/>
      </c>
      <c r="O986" s="282" t="str" cm="1">
        <f t="array" ref="O986">_xll.FDSB($C986,"CS_EVENT_TIME_N("&amp;$AA$18&amp;",2)")</f>
        <v/>
      </c>
      <c r="P986" s="282" t="str" cm="1">
        <f t="array" ref="P986">_xll.FDSB($C986,"CS_EVENT_DESC_N("&amp;$AA$18&amp;",2)")</f>
        <v/>
      </c>
      <c r="Q986" s="282"/>
      <c r="R986" s="274" t="str" cm="1">
        <f t="array" ref="R986">_xll.FDSB($C986,"CS_EVENT_DATEJ_N("&amp;$AA$18&amp;",3)")</f>
        <v/>
      </c>
      <c r="S986" s="282" t="str" cm="1">
        <f t="array" ref="S986">_xll.FDSB($C986,"CS_EVENT_TIME_N("&amp;$AA$18&amp;",3)")</f>
        <v/>
      </c>
      <c r="T986" s="282" t="str" cm="1">
        <f t="array" ref="T986">_xll.FDSB($C986,"CS_EVENT_DESC_N("&amp;$AA$18&amp;",3)")</f>
        <v/>
      </c>
      <c r="U986" s="282"/>
      <c r="V986" s="274" t="str" cm="1">
        <f t="array" ref="V986">_xll.FDSB($C986,"CS_EVENT_DATEJ_N("&amp;$AA$18&amp;",4)")</f>
        <v/>
      </c>
      <c r="W986" s="282" t="str" cm="1">
        <f t="array" ref="W986">_xll.FDSB($C986,"CS_EVENT_TIME_N("&amp;$AA$18&amp;",4)")</f>
        <v/>
      </c>
      <c r="X986" s="282" t="str" cm="1">
        <f t="array" ref="X986">_xll.FDSB($C986,"CS_EVENT_DESC_N("&amp;$AA$18&amp;",4)")</f>
        <v/>
      </c>
    </row>
    <row r="987" spans="2:24" x14ac:dyDescent="0.15">
      <c r="B987" s="298">
        <f t="shared" si="17"/>
        <v>972</v>
      </c>
      <c r="C987" s="299"/>
      <c r="D987" s="300" t="str" cm="1">
        <f t="array" ref="D987">_xll.FDSB($C987,"FG_COMPANY_NAME")</f>
        <v/>
      </c>
      <c r="E987" s="300"/>
      <c r="F987" s="274" t="str" cm="1">
        <f t="array" ref="F987">_xll.FDSB($C987,"CS_EVENT_DATEJ_N("&amp;$AA$18&amp;",1)")</f>
        <v/>
      </c>
      <c r="G987" s="282" t="str" cm="1">
        <f t="array" ref="G987">_xll.FDSB($C987,"CS_EVENT_TIME_N("&amp;$AA$18&amp;",1)")</f>
        <v/>
      </c>
      <c r="H987" s="282" t="str" cm="1">
        <f t="array" ref="H987">_xll.FDSB($C987,"CS_EVENT_DESC_N("&amp;$AA$18&amp;",1)")</f>
        <v/>
      </c>
      <c r="I987" s="282"/>
      <c r="J987" s="274" t="str" cm="1">
        <f t="array" ref="J987">_xll.FDSB($C987,"CS_EVENT_DATEJ_N("&amp;$AB$18&amp;",1)")</f>
        <v/>
      </c>
      <c r="K987" s="282" t="str" cm="1">
        <f t="array" ref="K987">_xll.FDSB($C987,"CS_EVENT_TIME_N("&amp;$AB$18&amp;",1)")</f>
        <v/>
      </c>
      <c r="L987" s="282" t="str" cm="1">
        <f t="array" ref="L987">_xll.FDSB($C987,"CS_EVENT_DESC_N("&amp;$AB$18&amp;",1)")</f>
        <v/>
      </c>
      <c r="M987" s="300"/>
      <c r="N987" s="274" t="str" cm="1">
        <f t="array" ref="N987">_xll.FDSB($C987,"CS_EVENT_DATEJ_N("&amp;$AA$18&amp;",2)")</f>
        <v/>
      </c>
      <c r="O987" s="282" t="str" cm="1">
        <f t="array" ref="O987">_xll.FDSB($C987,"CS_EVENT_TIME_N("&amp;$AA$18&amp;",2)")</f>
        <v/>
      </c>
      <c r="P987" s="282" t="str" cm="1">
        <f t="array" ref="P987">_xll.FDSB($C987,"CS_EVENT_DESC_N("&amp;$AA$18&amp;",2)")</f>
        <v/>
      </c>
      <c r="Q987" s="282"/>
      <c r="R987" s="274" t="str" cm="1">
        <f t="array" ref="R987">_xll.FDSB($C987,"CS_EVENT_DATEJ_N("&amp;$AA$18&amp;",3)")</f>
        <v/>
      </c>
      <c r="S987" s="282" t="str" cm="1">
        <f t="array" ref="S987">_xll.FDSB($C987,"CS_EVENT_TIME_N("&amp;$AA$18&amp;",3)")</f>
        <v/>
      </c>
      <c r="T987" s="282" t="str" cm="1">
        <f t="array" ref="T987">_xll.FDSB($C987,"CS_EVENT_DESC_N("&amp;$AA$18&amp;",3)")</f>
        <v/>
      </c>
      <c r="U987" s="282"/>
      <c r="V987" s="274" t="str" cm="1">
        <f t="array" ref="V987">_xll.FDSB($C987,"CS_EVENT_DATEJ_N("&amp;$AA$18&amp;",4)")</f>
        <v/>
      </c>
      <c r="W987" s="282" t="str" cm="1">
        <f t="array" ref="W987">_xll.FDSB($C987,"CS_EVENT_TIME_N("&amp;$AA$18&amp;",4)")</f>
        <v/>
      </c>
      <c r="X987" s="282" t="str" cm="1">
        <f t="array" ref="X987">_xll.FDSB($C987,"CS_EVENT_DESC_N("&amp;$AA$18&amp;",4)")</f>
        <v/>
      </c>
    </row>
    <row r="988" spans="2:24" x14ac:dyDescent="0.15">
      <c r="B988" s="298">
        <f t="shared" si="17"/>
        <v>973</v>
      </c>
      <c r="C988" s="299"/>
      <c r="D988" s="300" t="str" cm="1">
        <f t="array" ref="D988">_xll.FDSB($C988,"FG_COMPANY_NAME")</f>
        <v/>
      </c>
      <c r="E988" s="300"/>
      <c r="F988" s="274" t="str" cm="1">
        <f t="array" ref="F988">_xll.FDSB($C988,"CS_EVENT_DATEJ_N("&amp;$AA$18&amp;",1)")</f>
        <v/>
      </c>
      <c r="G988" s="282" t="str" cm="1">
        <f t="array" ref="G988">_xll.FDSB($C988,"CS_EVENT_TIME_N("&amp;$AA$18&amp;",1)")</f>
        <v/>
      </c>
      <c r="H988" s="282" t="str" cm="1">
        <f t="array" ref="H988">_xll.FDSB($C988,"CS_EVENT_DESC_N("&amp;$AA$18&amp;",1)")</f>
        <v/>
      </c>
      <c r="I988" s="282"/>
      <c r="J988" s="274" t="str" cm="1">
        <f t="array" ref="J988">_xll.FDSB($C988,"CS_EVENT_DATEJ_N("&amp;$AB$18&amp;",1)")</f>
        <v/>
      </c>
      <c r="K988" s="282" t="str" cm="1">
        <f t="array" ref="K988">_xll.FDSB($C988,"CS_EVENT_TIME_N("&amp;$AB$18&amp;",1)")</f>
        <v/>
      </c>
      <c r="L988" s="282" t="str" cm="1">
        <f t="array" ref="L988">_xll.FDSB($C988,"CS_EVENT_DESC_N("&amp;$AB$18&amp;",1)")</f>
        <v/>
      </c>
      <c r="M988" s="300"/>
      <c r="N988" s="274" t="str" cm="1">
        <f t="array" ref="N988">_xll.FDSB($C988,"CS_EVENT_DATEJ_N("&amp;$AA$18&amp;",2)")</f>
        <v/>
      </c>
      <c r="O988" s="282" t="str" cm="1">
        <f t="array" ref="O988">_xll.FDSB($C988,"CS_EVENT_TIME_N("&amp;$AA$18&amp;",2)")</f>
        <v/>
      </c>
      <c r="P988" s="282" t="str" cm="1">
        <f t="array" ref="P988">_xll.FDSB($C988,"CS_EVENT_DESC_N("&amp;$AA$18&amp;",2)")</f>
        <v/>
      </c>
      <c r="Q988" s="282"/>
      <c r="R988" s="274" t="str" cm="1">
        <f t="array" ref="R988">_xll.FDSB($C988,"CS_EVENT_DATEJ_N("&amp;$AA$18&amp;",3)")</f>
        <v/>
      </c>
      <c r="S988" s="282" t="str" cm="1">
        <f t="array" ref="S988">_xll.FDSB($C988,"CS_EVENT_TIME_N("&amp;$AA$18&amp;",3)")</f>
        <v/>
      </c>
      <c r="T988" s="282" t="str" cm="1">
        <f t="array" ref="T988">_xll.FDSB($C988,"CS_EVENT_DESC_N("&amp;$AA$18&amp;",3)")</f>
        <v/>
      </c>
      <c r="U988" s="282"/>
      <c r="V988" s="274" t="str" cm="1">
        <f t="array" ref="V988">_xll.FDSB($C988,"CS_EVENT_DATEJ_N("&amp;$AA$18&amp;",4)")</f>
        <v/>
      </c>
      <c r="W988" s="282" t="str" cm="1">
        <f t="array" ref="W988">_xll.FDSB($C988,"CS_EVENT_TIME_N("&amp;$AA$18&amp;",4)")</f>
        <v/>
      </c>
      <c r="X988" s="282" t="str" cm="1">
        <f t="array" ref="X988">_xll.FDSB($C988,"CS_EVENT_DESC_N("&amp;$AA$18&amp;",4)")</f>
        <v/>
      </c>
    </row>
    <row r="989" spans="2:24" x14ac:dyDescent="0.15">
      <c r="B989" s="298">
        <f t="shared" si="17"/>
        <v>974</v>
      </c>
      <c r="C989" s="299"/>
      <c r="D989" s="300" t="str" cm="1">
        <f t="array" ref="D989">_xll.FDSB($C989,"FG_COMPANY_NAME")</f>
        <v/>
      </c>
      <c r="E989" s="300"/>
      <c r="F989" s="274" t="str" cm="1">
        <f t="array" ref="F989">_xll.FDSB($C989,"CS_EVENT_DATEJ_N("&amp;$AA$18&amp;",1)")</f>
        <v/>
      </c>
      <c r="G989" s="282" t="str" cm="1">
        <f t="array" ref="G989">_xll.FDSB($C989,"CS_EVENT_TIME_N("&amp;$AA$18&amp;",1)")</f>
        <v/>
      </c>
      <c r="H989" s="282" t="str" cm="1">
        <f t="array" ref="H989">_xll.FDSB($C989,"CS_EVENT_DESC_N("&amp;$AA$18&amp;",1)")</f>
        <v/>
      </c>
      <c r="I989" s="282"/>
      <c r="J989" s="274" t="str" cm="1">
        <f t="array" ref="J989">_xll.FDSB($C989,"CS_EVENT_DATEJ_N("&amp;$AB$18&amp;",1)")</f>
        <v/>
      </c>
      <c r="K989" s="282" t="str" cm="1">
        <f t="array" ref="K989">_xll.FDSB($C989,"CS_EVENT_TIME_N("&amp;$AB$18&amp;",1)")</f>
        <v/>
      </c>
      <c r="L989" s="282" t="str" cm="1">
        <f t="array" ref="L989">_xll.FDSB($C989,"CS_EVENT_DESC_N("&amp;$AB$18&amp;",1)")</f>
        <v/>
      </c>
      <c r="M989" s="300"/>
      <c r="N989" s="274" t="str" cm="1">
        <f t="array" ref="N989">_xll.FDSB($C989,"CS_EVENT_DATEJ_N("&amp;$AA$18&amp;",2)")</f>
        <v/>
      </c>
      <c r="O989" s="282" t="str" cm="1">
        <f t="array" ref="O989">_xll.FDSB($C989,"CS_EVENT_TIME_N("&amp;$AA$18&amp;",2)")</f>
        <v/>
      </c>
      <c r="P989" s="282" t="str" cm="1">
        <f t="array" ref="P989">_xll.FDSB($C989,"CS_EVENT_DESC_N("&amp;$AA$18&amp;",2)")</f>
        <v/>
      </c>
      <c r="Q989" s="282"/>
      <c r="R989" s="274" t="str" cm="1">
        <f t="array" ref="R989">_xll.FDSB($C989,"CS_EVENT_DATEJ_N("&amp;$AA$18&amp;",3)")</f>
        <v/>
      </c>
      <c r="S989" s="282" t="str" cm="1">
        <f t="array" ref="S989">_xll.FDSB($C989,"CS_EVENT_TIME_N("&amp;$AA$18&amp;",3)")</f>
        <v/>
      </c>
      <c r="T989" s="282" t="str" cm="1">
        <f t="array" ref="T989">_xll.FDSB($C989,"CS_EVENT_DESC_N("&amp;$AA$18&amp;",3)")</f>
        <v/>
      </c>
      <c r="U989" s="282"/>
      <c r="V989" s="274" t="str" cm="1">
        <f t="array" ref="V989">_xll.FDSB($C989,"CS_EVENT_DATEJ_N("&amp;$AA$18&amp;",4)")</f>
        <v/>
      </c>
      <c r="W989" s="282" t="str" cm="1">
        <f t="array" ref="W989">_xll.FDSB($C989,"CS_EVENT_TIME_N("&amp;$AA$18&amp;",4)")</f>
        <v/>
      </c>
      <c r="X989" s="282" t="str" cm="1">
        <f t="array" ref="X989">_xll.FDSB($C989,"CS_EVENT_DESC_N("&amp;$AA$18&amp;",4)")</f>
        <v/>
      </c>
    </row>
    <row r="990" spans="2:24" x14ac:dyDescent="0.15">
      <c r="B990" s="298">
        <f t="shared" si="17"/>
        <v>975</v>
      </c>
      <c r="C990" s="299"/>
      <c r="D990" s="300" t="str" cm="1">
        <f t="array" ref="D990">_xll.FDSB($C990,"FG_COMPANY_NAME")</f>
        <v/>
      </c>
      <c r="E990" s="300"/>
      <c r="F990" s="274" t="str" cm="1">
        <f t="array" ref="F990">_xll.FDSB($C990,"CS_EVENT_DATEJ_N("&amp;$AA$18&amp;",1)")</f>
        <v/>
      </c>
      <c r="G990" s="282" t="str" cm="1">
        <f t="array" ref="G990">_xll.FDSB($C990,"CS_EVENT_TIME_N("&amp;$AA$18&amp;",1)")</f>
        <v/>
      </c>
      <c r="H990" s="282" t="str" cm="1">
        <f t="array" ref="H990">_xll.FDSB($C990,"CS_EVENT_DESC_N("&amp;$AA$18&amp;",1)")</f>
        <v/>
      </c>
      <c r="I990" s="282"/>
      <c r="J990" s="274" t="str" cm="1">
        <f t="array" ref="J990">_xll.FDSB($C990,"CS_EVENT_DATEJ_N("&amp;$AB$18&amp;",1)")</f>
        <v/>
      </c>
      <c r="K990" s="282" t="str" cm="1">
        <f t="array" ref="K990">_xll.FDSB($C990,"CS_EVENT_TIME_N("&amp;$AB$18&amp;",1)")</f>
        <v/>
      </c>
      <c r="L990" s="282" t="str" cm="1">
        <f t="array" ref="L990">_xll.FDSB($C990,"CS_EVENT_DESC_N("&amp;$AB$18&amp;",1)")</f>
        <v/>
      </c>
      <c r="M990" s="300"/>
      <c r="N990" s="274" t="str" cm="1">
        <f t="array" ref="N990">_xll.FDSB($C990,"CS_EVENT_DATEJ_N("&amp;$AA$18&amp;",2)")</f>
        <v/>
      </c>
      <c r="O990" s="282" t="str" cm="1">
        <f t="array" ref="O990">_xll.FDSB($C990,"CS_EVENT_TIME_N("&amp;$AA$18&amp;",2)")</f>
        <v/>
      </c>
      <c r="P990" s="282" t="str" cm="1">
        <f t="array" ref="P990">_xll.FDSB($C990,"CS_EVENT_DESC_N("&amp;$AA$18&amp;",2)")</f>
        <v/>
      </c>
      <c r="Q990" s="282"/>
      <c r="R990" s="274" t="str" cm="1">
        <f t="array" ref="R990">_xll.FDSB($C990,"CS_EVENT_DATEJ_N("&amp;$AA$18&amp;",3)")</f>
        <v/>
      </c>
      <c r="S990" s="282" t="str" cm="1">
        <f t="array" ref="S990">_xll.FDSB($C990,"CS_EVENT_TIME_N("&amp;$AA$18&amp;",3)")</f>
        <v/>
      </c>
      <c r="T990" s="282" t="str" cm="1">
        <f t="array" ref="T990">_xll.FDSB($C990,"CS_EVENT_DESC_N("&amp;$AA$18&amp;",3)")</f>
        <v/>
      </c>
      <c r="U990" s="282"/>
      <c r="V990" s="274" t="str" cm="1">
        <f t="array" ref="V990">_xll.FDSB($C990,"CS_EVENT_DATEJ_N("&amp;$AA$18&amp;",4)")</f>
        <v/>
      </c>
      <c r="W990" s="282" t="str" cm="1">
        <f t="array" ref="W990">_xll.FDSB($C990,"CS_EVENT_TIME_N("&amp;$AA$18&amp;",4)")</f>
        <v/>
      </c>
      <c r="X990" s="282" t="str" cm="1">
        <f t="array" ref="X990">_xll.FDSB($C990,"CS_EVENT_DESC_N("&amp;$AA$18&amp;",4)")</f>
        <v/>
      </c>
    </row>
    <row r="991" spans="2:24" x14ac:dyDescent="0.15">
      <c r="B991" s="298">
        <f t="shared" si="17"/>
        <v>976</v>
      </c>
      <c r="C991" s="299"/>
      <c r="D991" s="300" t="str" cm="1">
        <f t="array" ref="D991">_xll.FDSB($C991,"FG_COMPANY_NAME")</f>
        <v/>
      </c>
      <c r="E991" s="300"/>
      <c r="F991" s="274" t="str" cm="1">
        <f t="array" ref="F991">_xll.FDSB($C991,"CS_EVENT_DATEJ_N("&amp;$AA$18&amp;",1)")</f>
        <v/>
      </c>
      <c r="G991" s="282" t="str" cm="1">
        <f t="array" ref="G991">_xll.FDSB($C991,"CS_EVENT_TIME_N("&amp;$AA$18&amp;",1)")</f>
        <v/>
      </c>
      <c r="H991" s="282" t="str" cm="1">
        <f t="array" ref="H991">_xll.FDSB($C991,"CS_EVENT_DESC_N("&amp;$AA$18&amp;",1)")</f>
        <v/>
      </c>
      <c r="I991" s="282"/>
      <c r="J991" s="274" t="str" cm="1">
        <f t="array" ref="J991">_xll.FDSB($C991,"CS_EVENT_DATEJ_N("&amp;$AB$18&amp;",1)")</f>
        <v/>
      </c>
      <c r="K991" s="282" t="str" cm="1">
        <f t="array" ref="K991">_xll.FDSB($C991,"CS_EVENT_TIME_N("&amp;$AB$18&amp;",1)")</f>
        <v/>
      </c>
      <c r="L991" s="282" t="str" cm="1">
        <f t="array" ref="L991">_xll.FDSB($C991,"CS_EVENT_DESC_N("&amp;$AB$18&amp;",1)")</f>
        <v/>
      </c>
      <c r="M991" s="300"/>
      <c r="N991" s="274" t="str" cm="1">
        <f t="array" ref="N991">_xll.FDSB($C991,"CS_EVENT_DATEJ_N("&amp;$AA$18&amp;",2)")</f>
        <v/>
      </c>
      <c r="O991" s="282" t="str" cm="1">
        <f t="array" ref="O991">_xll.FDSB($C991,"CS_EVENT_TIME_N("&amp;$AA$18&amp;",2)")</f>
        <v/>
      </c>
      <c r="P991" s="282" t="str" cm="1">
        <f t="array" ref="P991">_xll.FDSB($C991,"CS_EVENT_DESC_N("&amp;$AA$18&amp;",2)")</f>
        <v/>
      </c>
      <c r="Q991" s="282"/>
      <c r="R991" s="274" t="str" cm="1">
        <f t="array" ref="R991">_xll.FDSB($C991,"CS_EVENT_DATEJ_N("&amp;$AA$18&amp;",3)")</f>
        <v/>
      </c>
      <c r="S991" s="282" t="str" cm="1">
        <f t="array" ref="S991">_xll.FDSB($C991,"CS_EVENT_TIME_N("&amp;$AA$18&amp;",3)")</f>
        <v/>
      </c>
      <c r="T991" s="282" t="str" cm="1">
        <f t="array" ref="T991">_xll.FDSB($C991,"CS_EVENT_DESC_N("&amp;$AA$18&amp;",3)")</f>
        <v/>
      </c>
      <c r="U991" s="282"/>
      <c r="V991" s="274" t="str" cm="1">
        <f t="array" ref="V991">_xll.FDSB($C991,"CS_EVENT_DATEJ_N("&amp;$AA$18&amp;",4)")</f>
        <v/>
      </c>
      <c r="W991" s="282" t="str" cm="1">
        <f t="array" ref="W991">_xll.FDSB($C991,"CS_EVENT_TIME_N("&amp;$AA$18&amp;",4)")</f>
        <v/>
      </c>
      <c r="X991" s="282" t="str" cm="1">
        <f t="array" ref="X991">_xll.FDSB($C991,"CS_EVENT_DESC_N("&amp;$AA$18&amp;",4)")</f>
        <v/>
      </c>
    </row>
    <row r="992" spans="2:24" x14ac:dyDescent="0.15">
      <c r="B992" s="298">
        <f t="shared" si="17"/>
        <v>977</v>
      </c>
      <c r="C992" s="299"/>
      <c r="D992" s="300" t="str" cm="1">
        <f t="array" ref="D992">_xll.FDSB($C992,"FG_COMPANY_NAME")</f>
        <v/>
      </c>
      <c r="E992" s="300"/>
      <c r="F992" s="274" t="str" cm="1">
        <f t="array" ref="F992">_xll.FDSB($C992,"CS_EVENT_DATEJ_N("&amp;$AA$18&amp;",1)")</f>
        <v/>
      </c>
      <c r="G992" s="282" t="str" cm="1">
        <f t="array" ref="G992">_xll.FDSB($C992,"CS_EVENT_TIME_N("&amp;$AA$18&amp;",1)")</f>
        <v/>
      </c>
      <c r="H992" s="282" t="str" cm="1">
        <f t="array" ref="H992">_xll.FDSB($C992,"CS_EVENT_DESC_N("&amp;$AA$18&amp;",1)")</f>
        <v/>
      </c>
      <c r="I992" s="282"/>
      <c r="J992" s="274" t="str" cm="1">
        <f t="array" ref="J992">_xll.FDSB($C992,"CS_EVENT_DATEJ_N("&amp;$AB$18&amp;",1)")</f>
        <v/>
      </c>
      <c r="K992" s="282" t="str" cm="1">
        <f t="array" ref="K992">_xll.FDSB($C992,"CS_EVENT_TIME_N("&amp;$AB$18&amp;",1)")</f>
        <v/>
      </c>
      <c r="L992" s="282" t="str" cm="1">
        <f t="array" ref="L992">_xll.FDSB($C992,"CS_EVENT_DESC_N("&amp;$AB$18&amp;",1)")</f>
        <v/>
      </c>
      <c r="M992" s="300"/>
      <c r="N992" s="274" t="str" cm="1">
        <f t="array" ref="N992">_xll.FDSB($C992,"CS_EVENT_DATEJ_N("&amp;$AA$18&amp;",2)")</f>
        <v/>
      </c>
      <c r="O992" s="282" t="str" cm="1">
        <f t="array" ref="O992">_xll.FDSB($C992,"CS_EVENT_TIME_N("&amp;$AA$18&amp;",2)")</f>
        <v/>
      </c>
      <c r="P992" s="282" t="str" cm="1">
        <f t="array" ref="P992">_xll.FDSB($C992,"CS_EVENT_DESC_N("&amp;$AA$18&amp;",2)")</f>
        <v/>
      </c>
      <c r="Q992" s="282"/>
      <c r="R992" s="274" t="str" cm="1">
        <f t="array" ref="R992">_xll.FDSB($C992,"CS_EVENT_DATEJ_N("&amp;$AA$18&amp;",3)")</f>
        <v/>
      </c>
      <c r="S992" s="282" t="str" cm="1">
        <f t="array" ref="S992">_xll.FDSB($C992,"CS_EVENT_TIME_N("&amp;$AA$18&amp;",3)")</f>
        <v/>
      </c>
      <c r="T992" s="282" t="str" cm="1">
        <f t="array" ref="T992">_xll.FDSB($C992,"CS_EVENT_DESC_N("&amp;$AA$18&amp;",3)")</f>
        <v/>
      </c>
      <c r="U992" s="282"/>
      <c r="V992" s="274" t="str" cm="1">
        <f t="array" ref="V992">_xll.FDSB($C992,"CS_EVENT_DATEJ_N("&amp;$AA$18&amp;",4)")</f>
        <v/>
      </c>
      <c r="W992" s="282" t="str" cm="1">
        <f t="array" ref="W992">_xll.FDSB($C992,"CS_EVENT_TIME_N("&amp;$AA$18&amp;",4)")</f>
        <v/>
      </c>
      <c r="X992" s="282" t="str" cm="1">
        <f t="array" ref="X992">_xll.FDSB($C992,"CS_EVENT_DESC_N("&amp;$AA$18&amp;",4)")</f>
        <v/>
      </c>
    </row>
    <row r="993" spans="2:24" x14ac:dyDescent="0.15">
      <c r="B993" s="298">
        <f t="shared" si="17"/>
        <v>978</v>
      </c>
      <c r="C993" s="299"/>
      <c r="D993" s="300" t="str" cm="1">
        <f t="array" ref="D993">_xll.FDSB($C993,"FG_COMPANY_NAME")</f>
        <v/>
      </c>
      <c r="E993" s="300"/>
      <c r="F993" s="274" t="str" cm="1">
        <f t="array" ref="F993">_xll.FDSB($C993,"CS_EVENT_DATEJ_N("&amp;$AA$18&amp;",1)")</f>
        <v/>
      </c>
      <c r="G993" s="282" t="str" cm="1">
        <f t="array" ref="G993">_xll.FDSB($C993,"CS_EVENT_TIME_N("&amp;$AA$18&amp;",1)")</f>
        <v/>
      </c>
      <c r="H993" s="282" t="str" cm="1">
        <f t="array" ref="H993">_xll.FDSB($C993,"CS_EVENT_DESC_N("&amp;$AA$18&amp;",1)")</f>
        <v/>
      </c>
      <c r="I993" s="282"/>
      <c r="J993" s="274" t="str" cm="1">
        <f t="array" ref="J993">_xll.FDSB($C993,"CS_EVENT_DATEJ_N("&amp;$AB$18&amp;",1)")</f>
        <v/>
      </c>
      <c r="K993" s="282" t="str" cm="1">
        <f t="array" ref="K993">_xll.FDSB($C993,"CS_EVENT_TIME_N("&amp;$AB$18&amp;",1)")</f>
        <v/>
      </c>
      <c r="L993" s="282" t="str" cm="1">
        <f t="array" ref="L993">_xll.FDSB($C993,"CS_EVENT_DESC_N("&amp;$AB$18&amp;",1)")</f>
        <v/>
      </c>
      <c r="M993" s="300"/>
      <c r="N993" s="274" t="str" cm="1">
        <f t="array" ref="N993">_xll.FDSB($C993,"CS_EVENT_DATEJ_N("&amp;$AA$18&amp;",2)")</f>
        <v/>
      </c>
      <c r="O993" s="282" t="str" cm="1">
        <f t="array" ref="O993">_xll.FDSB($C993,"CS_EVENT_TIME_N("&amp;$AA$18&amp;",2)")</f>
        <v/>
      </c>
      <c r="P993" s="282" t="str" cm="1">
        <f t="array" ref="P993">_xll.FDSB($C993,"CS_EVENT_DESC_N("&amp;$AA$18&amp;",2)")</f>
        <v/>
      </c>
      <c r="Q993" s="282"/>
      <c r="R993" s="274" t="str" cm="1">
        <f t="array" ref="R993">_xll.FDSB($C993,"CS_EVENT_DATEJ_N("&amp;$AA$18&amp;",3)")</f>
        <v/>
      </c>
      <c r="S993" s="282" t="str" cm="1">
        <f t="array" ref="S993">_xll.FDSB($C993,"CS_EVENT_TIME_N("&amp;$AA$18&amp;",3)")</f>
        <v/>
      </c>
      <c r="T993" s="282" t="str" cm="1">
        <f t="array" ref="T993">_xll.FDSB($C993,"CS_EVENT_DESC_N("&amp;$AA$18&amp;",3)")</f>
        <v/>
      </c>
      <c r="U993" s="282"/>
      <c r="V993" s="274" t="str" cm="1">
        <f t="array" ref="V993">_xll.FDSB($C993,"CS_EVENT_DATEJ_N("&amp;$AA$18&amp;",4)")</f>
        <v/>
      </c>
      <c r="W993" s="282" t="str" cm="1">
        <f t="array" ref="W993">_xll.FDSB($C993,"CS_EVENT_TIME_N("&amp;$AA$18&amp;",4)")</f>
        <v/>
      </c>
      <c r="X993" s="282" t="str" cm="1">
        <f t="array" ref="X993">_xll.FDSB($C993,"CS_EVENT_DESC_N("&amp;$AA$18&amp;",4)")</f>
        <v/>
      </c>
    </row>
    <row r="994" spans="2:24" x14ac:dyDescent="0.15">
      <c r="B994" s="298">
        <f t="shared" si="17"/>
        <v>979</v>
      </c>
      <c r="C994" s="299"/>
      <c r="D994" s="300" t="str" cm="1">
        <f t="array" ref="D994">_xll.FDSB($C994,"FG_COMPANY_NAME")</f>
        <v/>
      </c>
      <c r="E994" s="300"/>
      <c r="F994" s="274" t="str" cm="1">
        <f t="array" ref="F994">_xll.FDSB($C994,"CS_EVENT_DATEJ_N("&amp;$AA$18&amp;",1)")</f>
        <v/>
      </c>
      <c r="G994" s="282" t="str" cm="1">
        <f t="array" ref="G994">_xll.FDSB($C994,"CS_EVENT_TIME_N("&amp;$AA$18&amp;",1)")</f>
        <v/>
      </c>
      <c r="H994" s="282" t="str" cm="1">
        <f t="array" ref="H994">_xll.FDSB($C994,"CS_EVENT_DESC_N("&amp;$AA$18&amp;",1)")</f>
        <v/>
      </c>
      <c r="I994" s="282"/>
      <c r="J994" s="274" t="str" cm="1">
        <f t="array" ref="J994">_xll.FDSB($C994,"CS_EVENT_DATEJ_N("&amp;$AB$18&amp;",1)")</f>
        <v/>
      </c>
      <c r="K994" s="282" t="str" cm="1">
        <f t="array" ref="K994">_xll.FDSB($C994,"CS_EVENT_TIME_N("&amp;$AB$18&amp;",1)")</f>
        <v/>
      </c>
      <c r="L994" s="282" t="str" cm="1">
        <f t="array" ref="L994">_xll.FDSB($C994,"CS_EVENT_DESC_N("&amp;$AB$18&amp;",1)")</f>
        <v/>
      </c>
      <c r="M994" s="300"/>
      <c r="N994" s="274" t="str" cm="1">
        <f t="array" ref="N994">_xll.FDSB($C994,"CS_EVENT_DATEJ_N("&amp;$AA$18&amp;",2)")</f>
        <v/>
      </c>
      <c r="O994" s="282" t="str" cm="1">
        <f t="array" ref="O994">_xll.FDSB($C994,"CS_EVENT_TIME_N("&amp;$AA$18&amp;",2)")</f>
        <v/>
      </c>
      <c r="P994" s="282" t="str" cm="1">
        <f t="array" ref="P994">_xll.FDSB($C994,"CS_EVENT_DESC_N("&amp;$AA$18&amp;",2)")</f>
        <v/>
      </c>
      <c r="Q994" s="282"/>
      <c r="R994" s="274" t="str" cm="1">
        <f t="array" ref="R994">_xll.FDSB($C994,"CS_EVENT_DATEJ_N("&amp;$AA$18&amp;",3)")</f>
        <v/>
      </c>
      <c r="S994" s="282" t="str" cm="1">
        <f t="array" ref="S994">_xll.FDSB($C994,"CS_EVENT_TIME_N("&amp;$AA$18&amp;",3)")</f>
        <v/>
      </c>
      <c r="T994" s="282" t="str" cm="1">
        <f t="array" ref="T994">_xll.FDSB($C994,"CS_EVENT_DESC_N("&amp;$AA$18&amp;",3)")</f>
        <v/>
      </c>
      <c r="U994" s="282"/>
      <c r="V994" s="274" t="str" cm="1">
        <f t="array" ref="V994">_xll.FDSB($C994,"CS_EVENT_DATEJ_N("&amp;$AA$18&amp;",4)")</f>
        <v/>
      </c>
      <c r="W994" s="282" t="str" cm="1">
        <f t="array" ref="W994">_xll.FDSB($C994,"CS_EVENT_TIME_N("&amp;$AA$18&amp;",4)")</f>
        <v/>
      </c>
      <c r="X994" s="282" t="str" cm="1">
        <f t="array" ref="X994">_xll.FDSB($C994,"CS_EVENT_DESC_N("&amp;$AA$18&amp;",4)")</f>
        <v/>
      </c>
    </row>
    <row r="995" spans="2:24" x14ac:dyDescent="0.15">
      <c r="B995" s="298">
        <f t="shared" si="17"/>
        <v>980</v>
      </c>
      <c r="C995" s="299"/>
      <c r="D995" s="300" t="str" cm="1">
        <f t="array" ref="D995">_xll.FDSB($C995,"FG_COMPANY_NAME")</f>
        <v/>
      </c>
      <c r="E995" s="300"/>
      <c r="F995" s="274" t="str" cm="1">
        <f t="array" ref="F995">_xll.FDSB($C995,"CS_EVENT_DATEJ_N("&amp;$AA$18&amp;",1)")</f>
        <v/>
      </c>
      <c r="G995" s="282" t="str" cm="1">
        <f t="array" ref="G995">_xll.FDSB($C995,"CS_EVENT_TIME_N("&amp;$AA$18&amp;",1)")</f>
        <v/>
      </c>
      <c r="H995" s="282" t="str" cm="1">
        <f t="array" ref="H995">_xll.FDSB($C995,"CS_EVENT_DESC_N("&amp;$AA$18&amp;",1)")</f>
        <v/>
      </c>
      <c r="I995" s="282"/>
      <c r="J995" s="274" t="str" cm="1">
        <f t="array" ref="J995">_xll.FDSB($C995,"CS_EVENT_DATEJ_N("&amp;$AB$18&amp;",1)")</f>
        <v/>
      </c>
      <c r="K995" s="282" t="str" cm="1">
        <f t="array" ref="K995">_xll.FDSB($C995,"CS_EVENT_TIME_N("&amp;$AB$18&amp;",1)")</f>
        <v/>
      </c>
      <c r="L995" s="282" t="str" cm="1">
        <f t="array" ref="L995">_xll.FDSB($C995,"CS_EVENT_DESC_N("&amp;$AB$18&amp;",1)")</f>
        <v/>
      </c>
      <c r="M995" s="300"/>
      <c r="N995" s="274" t="str" cm="1">
        <f t="array" ref="N995">_xll.FDSB($C995,"CS_EVENT_DATEJ_N("&amp;$AA$18&amp;",2)")</f>
        <v/>
      </c>
      <c r="O995" s="282" t="str" cm="1">
        <f t="array" ref="O995">_xll.FDSB($C995,"CS_EVENT_TIME_N("&amp;$AA$18&amp;",2)")</f>
        <v/>
      </c>
      <c r="P995" s="282" t="str" cm="1">
        <f t="array" ref="P995">_xll.FDSB($C995,"CS_EVENT_DESC_N("&amp;$AA$18&amp;",2)")</f>
        <v/>
      </c>
      <c r="Q995" s="282"/>
      <c r="R995" s="274" t="str" cm="1">
        <f t="array" ref="R995">_xll.FDSB($C995,"CS_EVENT_DATEJ_N("&amp;$AA$18&amp;",3)")</f>
        <v/>
      </c>
      <c r="S995" s="282" t="str" cm="1">
        <f t="array" ref="S995">_xll.FDSB($C995,"CS_EVENT_TIME_N("&amp;$AA$18&amp;",3)")</f>
        <v/>
      </c>
      <c r="T995" s="282" t="str" cm="1">
        <f t="array" ref="T995">_xll.FDSB($C995,"CS_EVENT_DESC_N("&amp;$AA$18&amp;",3)")</f>
        <v/>
      </c>
      <c r="U995" s="282"/>
      <c r="V995" s="274" t="str" cm="1">
        <f t="array" ref="V995">_xll.FDSB($C995,"CS_EVENT_DATEJ_N("&amp;$AA$18&amp;",4)")</f>
        <v/>
      </c>
      <c r="W995" s="282" t="str" cm="1">
        <f t="array" ref="W995">_xll.FDSB($C995,"CS_EVENT_TIME_N("&amp;$AA$18&amp;",4)")</f>
        <v/>
      </c>
      <c r="X995" s="282" t="str" cm="1">
        <f t="array" ref="X995">_xll.FDSB($C995,"CS_EVENT_DESC_N("&amp;$AA$18&amp;",4)")</f>
        <v/>
      </c>
    </row>
    <row r="996" spans="2:24" x14ac:dyDescent="0.15">
      <c r="B996" s="298">
        <f t="shared" si="17"/>
        <v>981</v>
      </c>
      <c r="C996" s="299"/>
      <c r="D996" s="300" t="str" cm="1">
        <f t="array" ref="D996">_xll.FDSB($C996,"FG_COMPANY_NAME")</f>
        <v/>
      </c>
      <c r="E996" s="300"/>
      <c r="F996" s="274" t="str" cm="1">
        <f t="array" ref="F996">_xll.FDSB($C996,"CS_EVENT_DATEJ_N("&amp;$AA$18&amp;",1)")</f>
        <v/>
      </c>
      <c r="G996" s="282" t="str" cm="1">
        <f t="array" ref="G996">_xll.FDSB($C996,"CS_EVENT_TIME_N("&amp;$AA$18&amp;",1)")</f>
        <v/>
      </c>
      <c r="H996" s="282" t="str" cm="1">
        <f t="array" ref="H996">_xll.FDSB($C996,"CS_EVENT_DESC_N("&amp;$AA$18&amp;",1)")</f>
        <v/>
      </c>
      <c r="I996" s="282"/>
      <c r="J996" s="274" t="str" cm="1">
        <f t="array" ref="J996">_xll.FDSB($C996,"CS_EVENT_DATEJ_N("&amp;$AB$18&amp;",1)")</f>
        <v/>
      </c>
      <c r="K996" s="282" t="str" cm="1">
        <f t="array" ref="K996">_xll.FDSB($C996,"CS_EVENT_TIME_N("&amp;$AB$18&amp;",1)")</f>
        <v/>
      </c>
      <c r="L996" s="282" t="str" cm="1">
        <f t="array" ref="L996">_xll.FDSB($C996,"CS_EVENT_DESC_N("&amp;$AB$18&amp;",1)")</f>
        <v/>
      </c>
      <c r="M996" s="300"/>
      <c r="N996" s="274" t="str" cm="1">
        <f t="array" ref="N996">_xll.FDSB($C996,"CS_EVENT_DATEJ_N("&amp;$AA$18&amp;",2)")</f>
        <v/>
      </c>
      <c r="O996" s="282" t="str" cm="1">
        <f t="array" ref="O996">_xll.FDSB($C996,"CS_EVENT_TIME_N("&amp;$AA$18&amp;",2)")</f>
        <v/>
      </c>
      <c r="P996" s="282" t="str" cm="1">
        <f t="array" ref="P996">_xll.FDSB($C996,"CS_EVENT_DESC_N("&amp;$AA$18&amp;",2)")</f>
        <v/>
      </c>
      <c r="Q996" s="282"/>
      <c r="R996" s="274" t="str" cm="1">
        <f t="array" ref="R996">_xll.FDSB($C996,"CS_EVENT_DATEJ_N("&amp;$AA$18&amp;",3)")</f>
        <v/>
      </c>
      <c r="S996" s="282" t="str" cm="1">
        <f t="array" ref="S996">_xll.FDSB($C996,"CS_EVENT_TIME_N("&amp;$AA$18&amp;",3)")</f>
        <v/>
      </c>
      <c r="T996" s="282" t="str" cm="1">
        <f t="array" ref="T996">_xll.FDSB($C996,"CS_EVENT_DESC_N("&amp;$AA$18&amp;",3)")</f>
        <v/>
      </c>
      <c r="U996" s="282"/>
      <c r="V996" s="274" t="str" cm="1">
        <f t="array" ref="V996">_xll.FDSB($C996,"CS_EVENT_DATEJ_N("&amp;$AA$18&amp;",4)")</f>
        <v/>
      </c>
      <c r="W996" s="282" t="str" cm="1">
        <f t="array" ref="W996">_xll.FDSB($C996,"CS_EVENT_TIME_N("&amp;$AA$18&amp;",4)")</f>
        <v/>
      </c>
      <c r="X996" s="282" t="str" cm="1">
        <f t="array" ref="X996">_xll.FDSB($C996,"CS_EVENT_DESC_N("&amp;$AA$18&amp;",4)")</f>
        <v/>
      </c>
    </row>
    <row r="997" spans="2:24" x14ac:dyDescent="0.15">
      <c r="B997" s="298">
        <f t="shared" si="17"/>
        <v>982</v>
      </c>
      <c r="C997" s="299"/>
      <c r="D997" s="300" t="str" cm="1">
        <f t="array" ref="D997">_xll.FDSB($C997,"FG_COMPANY_NAME")</f>
        <v/>
      </c>
      <c r="E997" s="300"/>
      <c r="F997" s="274" t="str" cm="1">
        <f t="array" ref="F997">_xll.FDSB($C997,"CS_EVENT_DATEJ_N("&amp;$AA$18&amp;",1)")</f>
        <v/>
      </c>
      <c r="G997" s="282" t="str" cm="1">
        <f t="array" ref="G997">_xll.FDSB($C997,"CS_EVENT_TIME_N("&amp;$AA$18&amp;",1)")</f>
        <v/>
      </c>
      <c r="H997" s="282" t="str" cm="1">
        <f t="array" ref="H997">_xll.FDSB($C997,"CS_EVENT_DESC_N("&amp;$AA$18&amp;",1)")</f>
        <v/>
      </c>
      <c r="I997" s="282"/>
      <c r="J997" s="274" t="str" cm="1">
        <f t="array" ref="J997">_xll.FDSB($C997,"CS_EVENT_DATEJ_N("&amp;$AB$18&amp;",1)")</f>
        <v/>
      </c>
      <c r="K997" s="282" t="str" cm="1">
        <f t="array" ref="K997">_xll.FDSB($C997,"CS_EVENT_TIME_N("&amp;$AB$18&amp;",1)")</f>
        <v/>
      </c>
      <c r="L997" s="282" t="str" cm="1">
        <f t="array" ref="L997">_xll.FDSB($C997,"CS_EVENT_DESC_N("&amp;$AB$18&amp;",1)")</f>
        <v/>
      </c>
      <c r="M997" s="300"/>
      <c r="N997" s="274" t="str" cm="1">
        <f t="array" ref="N997">_xll.FDSB($C997,"CS_EVENT_DATEJ_N("&amp;$AA$18&amp;",2)")</f>
        <v/>
      </c>
      <c r="O997" s="282" t="str" cm="1">
        <f t="array" ref="O997">_xll.FDSB($C997,"CS_EVENT_TIME_N("&amp;$AA$18&amp;",2)")</f>
        <v/>
      </c>
      <c r="P997" s="282" t="str" cm="1">
        <f t="array" ref="P997">_xll.FDSB($C997,"CS_EVENT_DESC_N("&amp;$AA$18&amp;",2)")</f>
        <v/>
      </c>
      <c r="Q997" s="282"/>
      <c r="R997" s="274" t="str" cm="1">
        <f t="array" ref="R997">_xll.FDSB($C997,"CS_EVENT_DATEJ_N("&amp;$AA$18&amp;",3)")</f>
        <v/>
      </c>
      <c r="S997" s="282" t="str" cm="1">
        <f t="array" ref="S997">_xll.FDSB($C997,"CS_EVENT_TIME_N("&amp;$AA$18&amp;",3)")</f>
        <v/>
      </c>
      <c r="T997" s="282" t="str" cm="1">
        <f t="array" ref="T997">_xll.FDSB($C997,"CS_EVENT_DESC_N("&amp;$AA$18&amp;",3)")</f>
        <v/>
      </c>
      <c r="U997" s="282"/>
      <c r="V997" s="274" t="str" cm="1">
        <f t="array" ref="V997">_xll.FDSB($C997,"CS_EVENT_DATEJ_N("&amp;$AA$18&amp;",4)")</f>
        <v/>
      </c>
      <c r="W997" s="282" t="str" cm="1">
        <f t="array" ref="W997">_xll.FDSB($C997,"CS_EVENT_TIME_N("&amp;$AA$18&amp;",4)")</f>
        <v/>
      </c>
      <c r="X997" s="282" t="str" cm="1">
        <f t="array" ref="X997">_xll.FDSB($C997,"CS_EVENT_DESC_N("&amp;$AA$18&amp;",4)")</f>
        <v/>
      </c>
    </row>
    <row r="998" spans="2:24" x14ac:dyDescent="0.15">
      <c r="B998" s="298">
        <f t="shared" si="17"/>
        <v>983</v>
      </c>
      <c r="C998" s="299"/>
      <c r="D998" s="300" t="str" cm="1">
        <f t="array" ref="D998">_xll.FDSB($C998,"FG_COMPANY_NAME")</f>
        <v/>
      </c>
      <c r="E998" s="300"/>
      <c r="F998" s="274" t="str" cm="1">
        <f t="array" ref="F998">_xll.FDSB($C998,"CS_EVENT_DATEJ_N("&amp;$AA$18&amp;",1)")</f>
        <v/>
      </c>
      <c r="G998" s="282" t="str" cm="1">
        <f t="array" ref="G998">_xll.FDSB($C998,"CS_EVENT_TIME_N("&amp;$AA$18&amp;",1)")</f>
        <v/>
      </c>
      <c r="H998" s="282" t="str" cm="1">
        <f t="array" ref="H998">_xll.FDSB($C998,"CS_EVENT_DESC_N("&amp;$AA$18&amp;",1)")</f>
        <v/>
      </c>
      <c r="I998" s="282"/>
      <c r="J998" s="274" t="str" cm="1">
        <f t="array" ref="J998">_xll.FDSB($C998,"CS_EVENT_DATEJ_N("&amp;$AB$18&amp;",1)")</f>
        <v/>
      </c>
      <c r="K998" s="282" t="str" cm="1">
        <f t="array" ref="K998">_xll.FDSB($C998,"CS_EVENT_TIME_N("&amp;$AB$18&amp;",1)")</f>
        <v/>
      </c>
      <c r="L998" s="282" t="str" cm="1">
        <f t="array" ref="L998">_xll.FDSB($C998,"CS_EVENT_DESC_N("&amp;$AB$18&amp;",1)")</f>
        <v/>
      </c>
      <c r="M998" s="300"/>
      <c r="N998" s="274" t="str" cm="1">
        <f t="array" ref="N998">_xll.FDSB($C998,"CS_EVENT_DATEJ_N("&amp;$AA$18&amp;",2)")</f>
        <v/>
      </c>
      <c r="O998" s="282" t="str" cm="1">
        <f t="array" ref="O998">_xll.FDSB($C998,"CS_EVENT_TIME_N("&amp;$AA$18&amp;",2)")</f>
        <v/>
      </c>
      <c r="P998" s="282" t="str" cm="1">
        <f t="array" ref="P998">_xll.FDSB($C998,"CS_EVENT_DESC_N("&amp;$AA$18&amp;",2)")</f>
        <v/>
      </c>
      <c r="Q998" s="282"/>
      <c r="R998" s="274" t="str" cm="1">
        <f t="array" ref="R998">_xll.FDSB($C998,"CS_EVENT_DATEJ_N("&amp;$AA$18&amp;",3)")</f>
        <v/>
      </c>
      <c r="S998" s="282" t="str" cm="1">
        <f t="array" ref="S998">_xll.FDSB($C998,"CS_EVENT_TIME_N("&amp;$AA$18&amp;",3)")</f>
        <v/>
      </c>
      <c r="T998" s="282" t="str" cm="1">
        <f t="array" ref="T998">_xll.FDSB($C998,"CS_EVENT_DESC_N("&amp;$AA$18&amp;",3)")</f>
        <v/>
      </c>
      <c r="U998" s="282"/>
      <c r="V998" s="274" t="str" cm="1">
        <f t="array" ref="V998">_xll.FDSB($C998,"CS_EVENT_DATEJ_N("&amp;$AA$18&amp;",4)")</f>
        <v/>
      </c>
      <c r="W998" s="282" t="str" cm="1">
        <f t="array" ref="W998">_xll.FDSB($C998,"CS_EVENT_TIME_N("&amp;$AA$18&amp;",4)")</f>
        <v/>
      </c>
      <c r="X998" s="282" t="str" cm="1">
        <f t="array" ref="X998">_xll.FDSB($C998,"CS_EVENT_DESC_N("&amp;$AA$18&amp;",4)")</f>
        <v/>
      </c>
    </row>
    <row r="999" spans="2:24" x14ac:dyDescent="0.15">
      <c r="B999" s="298">
        <f t="shared" si="17"/>
        <v>984</v>
      </c>
      <c r="C999" s="299"/>
      <c r="D999" s="300" t="str" cm="1">
        <f t="array" ref="D999">_xll.FDSB($C999,"FG_COMPANY_NAME")</f>
        <v/>
      </c>
      <c r="E999" s="300"/>
      <c r="F999" s="274" t="str" cm="1">
        <f t="array" ref="F999">_xll.FDSB($C999,"CS_EVENT_DATEJ_N("&amp;$AA$18&amp;",1)")</f>
        <v/>
      </c>
      <c r="G999" s="282" t="str" cm="1">
        <f t="array" ref="G999">_xll.FDSB($C999,"CS_EVENT_TIME_N("&amp;$AA$18&amp;",1)")</f>
        <v/>
      </c>
      <c r="H999" s="282" t="str" cm="1">
        <f t="array" ref="H999">_xll.FDSB($C999,"CS_EVENT_DESC_N("&amp;$AA$18&amp;",1)")</f>
        <v/>
      </c>
      <c r="I999" s="282"/>
      <c r="J999" s="274" t="str" cm="1">
        <f t="array" ref="J999">_xll.FDSB($C999,"CS_EVENT_DATEJ_N("&amp;$AB$18&amp;",1)")</f>
        <v/>
      </c>
      <c r="K999" s="282" t="str" cm="1">
        <f t="array" ref="K999">_xll.FDSB($C999,"CS_EVENT_TIME_N("&amp;$AB$18&amp;",1)")</f>
        <v/>
      </c>
      <c r="L999" s="282" t="str" cm="1">
        <f t="array" ref="L999">_xll.FDSB($C999,"CS_EVENT_DESC_N("&amp;$AB$18&amp;",1)")</f>
        <v/>
      </c>
      <c r="M999" s="300"/>
      <c r="N999" s="274" t="str" cm="1">
        <f t="array" ref="N999">_xll.FDSB($C999,"CS_EVENT_DATEJ_N("&amp;$AA$18&amp;",2)")</f>
        <v/>
      </c>
      <c r="O999" s="282" t="str" cm="1">
        <f t="array" ref="O999">_xll.FDSB($C999,"CS_EVENT_TIME_N("&amp;$AA$18&amp;",2)")</f>
        <v/>
      </c>
      <c r="P999" s="282" t="str" cm="1">
        <f t="array" ref="P999">_xll.FDSB($C999,"CS_EVENT_DESC_N("&amp;$AA$18&amp;",2)")</f>
        <v/>
      </c>
      <c r="Q999" s="282"/>
      <c r="R999" s="274" t="str" cm="1">
        <f t="array" ref="R999">_xll.FDSB($C999,"CS_EVENT_DATEJ_N("&amp;$AA$18&amp;",3)")</f>
        <v/>
      </c>
      <c r="S999" s="282" t="str" cm="1">
        <f t="array" ref="S999">_xll.FDSB($C999,"CS_EVENT_TIME_N("&amp;$AA$18&amp;",3)")</f>
        <v/>
      </c>
      <c r="T999" s="282" t="str" cm="1">
        <f t="array" ref="T999">_xll.FDSB($C999,"CS_EVENT_DESC_N("&amp;$AA$18&amp;",3)")</f>
        <v/>
      </c>
      <c r="U999" s="282"/>
      <c r="V999" s="274" t="str" cm="1">
        <f t="array" ref="V999">_xll.FDSB($C999,"CS_EVENT_DATEJ_N("&amp;$AA$18&amp;",4)")</f>
        <v/>
      </c>
      <c r="W999" s="282" t="str" cm="1">
        <f t="array" ref="W999">_xll.FDSB($C999,"CS_EVENT_TIME_N("&amp;$AA$18&amp;",4)")</f>
        <v/>
      </c>
      <c r="X999" s="282" t="str" cm="1">
        <f t="array" ref="X999">_xll.FDSB($C999,"CS_EVENT_DESC_N("&amp;$AA$18&amp;",4)")</f>
        <v/>
      </c>
    </row>
    <row r="1000" spans="2:24" x14ac:dyDescent="0.15">
      <c r="B1000" s="298">
        <f t="shared" si="17"/>
        <v>985</v>
      </c>
      <c r="C1000" s="299"/>
      <c r="D1000" s="300" t="str" cm="1">
        <f t="array" ref="D1000">_xll.FDSB($C1000,"FG_COMPANY_NAME")</f>
        <v/>
      </c>
      <c r="E1000" s="300"/>
      <c r="F1000" s="274" t="str" cm="1">
        <f t="array" ref="F1000">_xll.FDSB($C1000,"CS_EVENT_DATEJ_N("&amp;$AA$18&amp;",1)")</f>
        <v/>
      </c>
      <c r="G1000" s="282" t="str" cm="1">
        <f t="array" ref="G1000">_xll.FDSB($C1000,"CS_EVENT_TIME_N("&amp;$AA$18&amp;",1)")</f>
        <v/>
      </c>
      <c r="H1000" s="282" t="str" cm="1">
        <f t="array" ref="H1000">_xll.FDSB($C1000,"CS_EVENT_DESC_N("&amp;$AA$18&amp;",1)")</f>
        <v/>
      </c>
      <c r="I1000" s="282"/>
      <c r="J1000" s="274" t="str" cm="1">
        <f t="array" ref="J1000">_xll.FDSB($C1000,"CS_EVENT_DATEJ_N("&amp;$AB$18&amp;",1)")</f>
        <v/>
      </c>
      <c r="K1000" s="282" t="str" cm="1">
        <f t="array" ref="K1000">_xll.FDSB($C1000,"CS_EVENT_TIME_N("&amp;$AB$18&amp;",1)")</f>
        <v/>
      </c>
      <c r="L1000" s="282" t="str" cm="1">
        <f t="array" ref="L1000">_xll.FDSB($C1000,"CS_EVENT_DESC_N("&amp;$AB$18&amp;",1)")</f>
        <v/>
      </c>
      <c r="M1000" s="300"/>
      <c r="N1000" s="274" t="str" cm="1">
        <f t="array" ref="N1000">_xll.FDSB($C1000,"CS_EVENT_DATEJ_N("&amp;$AA$18&amp;",2)")</f>
        <v/>
      </c>
      <c r="O1000" s="282" t="str" cm="1">
        <f t="array" ref="O1000">_xll.FDSB($C1000,"CS_EVENT_TIME_N("&amp;$AA$18&amp;",2)")</f>
        <v/>
      </c>
      <c r="P1000" s="282" t="str" cm="1">
        <f t="array" ref="P1000">_xll.FDSB($C1000,"CS_EVENT_DESC_N("&amp;$AA$18&amp;",2)")</f>
        <v/>
      </c>
      <c r="Q1000" s="282"/>
      <c r="R1000" s="274" t="str" cm="1">
        <f t="array" ref="R1000">_xll.FDSB($C1000,"CS_EVENT_DATEJ_N("&amp;$AA$18&amp;",3)")</f>
        <v/>
      </c>
      <c r="S1000" s="282" t="str" cm="1">
        <f t="array" ref="S1000">_xll.FDSB($C1000,"CS_EVENT_TIME_N("&amp;$AA$18&amp;",3)")</f>
        <v/>
      </c>
      <c r="T1000" s="282" t="str" cm="1">
        <f t="array" ref="T1000">_xll.FDSB($C1000,"CS_EVENT_DESC_N("&amp;$AA$18&amp;",3)")</f>
        <v/>
      </c>
      <c r="U1000" s="282"/>
      <c r="V1000" s="274" t="str" cm="1">
        <f t="array" ref="V1000">_xll.FDSB($C1000,"CS_EVENT_DATEJ_N("&amp;$AA$18&amp;",4)")</f>
        <v/>
      </c>
      <c r="W1000" s="282" t="str" cm="1">
        <f t="array" ref="W1000">_xll.FDSB($C1000,"CS_EVENT_TIME_N("&amp;$AA$18&amp;",4)")</f>
        <v/>
      </c>
      <c r="X1000" s="282" t="str" cm="1">
        <f t="array" ref="X1000">_xll.FDSB($C1000,"CS_EVENT_DESC_N("&amp;$AA$18&amp;",4)")</f>
        <v/>
      </c>
    </row>
    <row r="1001" spans="2:24" x14ac:dyDescent="0.15">
      <c r="B1001" s="298">
        <f t="shared" si="17"/>
        <v>986</v>
      </c>
      <c r="C1001" s="299"/>
      <c r="D1001" s="300" t="str" cm="1">
        <f t="array" ref="D1001">_xll.FDSB($C1001,"FG_COMPANY_NAME")</f>
        <v/>
      </c>
      <c r="E1001" s="300"/>
      <c r="F1001" s="274" t="str" cm="1">
        <f t="array" ref="F1001">_xll.FDSB($C1001,"CS_EVENT_DATEJ_N("&amp;$AA$18&amp;",1)")</f>
        <v/>
      </c>
      <c r="G1001" s="282" t="str" cm="1">
        <f t="array" ref="G1001">_xll.FDSB($C1001,"CS_EVENT_TIME_N("&amp;$AA$18&amp;",1)")</f>
        <v/>
      </c>
      <c r="H1001" s="282" t="str" cm="1">
        <f t="array" ref="H1001">_xll.FDSB($C1001,"CS_EVENT_DESC_N("&amp;$AA$18&amp;",1)")</f>
        <v/>
      </c>
      <c r="I1001" s="282"/>
      <c r="J1001" s="274" t="str" cm="1">
        <f t="array" ref="J1001">_xll.FDSB($C1001,"CS_EVENT_DATEJ_N("&amp;$AB$18&amp;",1)")</f>
        <v/>
      </c>
      <c r="K1001" s="282" t="str" cm="1">
        <f t="array" ref="K1001">_xll.FDSB($C1001,"CS_EVENT_TIME_N("&amp;$AB$18&amp;",1)")</f>
        <v/>
      </c>
      <c r="L1001" s="282" t="str" cm="1">
        <f t="array" ref="L1001">_xll.FDSB($C1001,"CS_EVENT_DESC_N("&amp;$AB$18&amp;",1)")</f>
        <v/>
      </c>
      <c r="M1001" s="300"/>
      <c r="N1001" s="274" t="str" cm="1">
        <f t="array" ref="N1001">_xll.FDSB($C1001,"CS_EVENT_DATEJ_N("&amp;$AA$18&amp;",2)")</f>
        <v/>
      </c>
      <c r="O1001" s="282" t="str" cm="1">
        <f t="array" ref="O1001">_xll.FDSB($C1001,"CS_EVENT_TIME_N("&amp;$AA$18&amp;",2)")</f>
        <v/>
      </c>
      <c r="P1001" s="282" t="str" cm="1">
        <f t="array" ref="P1001">_xll.FDSB($C1001,"CS_EVENT_DESC_N("&amp;$AA$18&amp;",2)")</f>
        <v/>
      </c>
      <c r="Q1001" s="282"/>
      <c r="R1001" s="274" t="str" cm="1">
        <f t="array" ref="R1001">_xll.FDSB($C1001,"CS_EVENT_DATEJ_N("&amp;$AA$18&amp;",3)")</f>
        <v/>
      </c>
      <c r="S1001" s="282" t="str" cm="1">
        <f t="array" ref="S1001">_xll.FDSB($C1001,"CS_EVENT_TIME_N("&amp;$AA$18&amp;",3)")</f>
        <v/>
      </c>
      <c r="T1001" s="282" t="str" cm="1">
        <f t="array" ref="T1001">_xll.FDSB($C1001,"CS_EVENT_DESC_N("&amp;$AA$18&amp;",3)")</f>
        <v/>
      </c>
      <c r="U1001" s="282"/>
      <c r="V1001" s="274" t="str" cm="1">
        <f t="array" ref="V1001">_xll.FDSB($C1001,"CS_EVENT_DATEJ_N("&amp;$AA$18&amp;",4)")</f>
        <v/>
      </c>
      <c r="W1001" s="282" t="str" cm="1">
        <f t="array" ref="W1001">_xll.FDSB($C1001,"CS_EVENT_TIME_N("&amp;$AA$18&amp;",4)")</f>
        <v/>
      </c>
      <c r="X1001" s="282" t="str" cm="1">
        <f t="array" ref="X1001">_xll.FDSB($C1001,"CS_EVENT_DESC_N("&amp;$AA$18&amp;",4)")</f>
        <v/>
      </c>
    </row>
    <row r="1002" spans="2:24" x14ac:dyDescent="0.15">
      <c r="B1002" s="298">
        <f t="shared" si="17"/>
        <v>987</v>
      </c>
      <c r="C1002" s="299"/>
      <c r="D1002" s="300" t="str" cm="1">
        <f t="array" ref="D1002">_xll.FDSB($C1002,"FG_COMPANY_NAME")</f>
        <v/>
      </c>
      <c r="E1002" s="300"/>
      <c r="F1002" s="274" t="str" cm="1">
        <f t="array" ref="F1002">_xll.FDSB($C1002,"CS_EVENT_DATEJ_N("&amp;$AA$18&amp;",1)")</f>
        <v/>
      </c>
      <c r="G1002" s="282" t="str" cm="1">
        <f t="array" ref="G1002">_xll.FDSB($C1002,"CS_EVENT_TIME_N("&amp;$AA$18&amp;",1)")</f>
        <v/>
      </c>
      <c r="H1002" s="282" t="str" cm="1">
        <f t="array" ref="H1002">_xll.FDSB($C1002,"CS_EVENT_DESC_N("&amp;$AA$18&amp;",1)")</f>
        <v/>
      </c>
      <c r="I1002" s="282"/>
      <c r="J1002" s="274" t="str" cm="1">
        <f t="array" ref="J1002">_xll.FDSB($C1002,"CS_EVENT_DATEJ_N("&amp;$AB$18&amp;",1)")</f>
        <v/>
      </c>
      <c r="K1002" s="282" t="str" cm="1">
        <f t="array" ref="K1002">_xll.FDSB($C1002,"CS_EVENT_TIME_N("&amp;$AB$18&amp;",1)")</f>
        <v/>
      </c>
      <c r="L1002" s="282" t="str" cm="1">
        <f t="array" ref="L1002">_xll.FDSB($C1002,"CS_EVENT_DESC_N("&amp;$AB$18&amp;",1)")</f>
        <v/>
      </c>
      <c r="M1002" s="300"/>
      <c r="N1002" s="274" t="str" cm="1">
        <f t="array" ref="N1002">_xll.FDSB($C1002,"CS_EVENT_DATEJ_N("&amp;$AA$18&amp;",2)")</f>
        <v/>
      </c>
      <c r="O1002" s="282" t="str" cm="1">
        <f t="array" ref="O1002">_xll.FDSB($C1002,"CS_EVENT_TIME_N("&amp;$AA$18&amp;",2)")</f>
        <v/>
      </c>
      <c r="P1002" s="282" t="str" cm="1">
        <f t="array" ref="P1002">_xll.FDSB($C1002,"CS_EVENT_DESC_N("&amp;$AA$18&amp;",2)")</f>
        <v/>
      </c>
      <c r="Q1002" s="282"/>
      <c r="R1002" s="274" t="str" cm="1">
        <f t="array" ref="R1002">_xll.FDSB($C1002,"CS_EVENT_DATEJ_N("&amp;$AA$18&amp;",3)")</f>
        <v/>
      </c>
      <c r="S1002" s="282" t="str" cm="1">
        <f t="array" ref="S1002">_xll.FDSB($C1002,"CS_EVENT_TIME_N("&amp;$AA$18&amp;",3)")</f>
        <v/>
      </c>
      <c r="T1002" s="282" t="str" cm="1">
        <f t="array" ref="T1002">_xll.FDSB($C1002,"CS_EVENT_DESC_N("&amp;$AA$18&amp;",3)")</f>
        <v/>
      </c>
      <c r="U1002" s="282"/>
      <c r="V1002" s="274" t="str" cm="1">
        <f t="array" ref="V1002">_xll.FDSB($C1002,"CS_EVENT_DATEJ_N("&amp;$AA$18&amp;",4)")</f>
        <v/>
      </c>
      <c r="W1002" s="282" t="str" cm="1">
        <f t="array" ref="W1002">_xll.FDSB($C1002,"CS_EVENT_TIME_N("&amp;$AA$18&amp;",4)")</f>
        <v/>
      </c>
      <c r="X1002" s="282" t="str" cm="1">
        <f t="array" ref="X1002">_xll.FDSB($C1002,"CS_EVENT_DESC_N("&amp;$AA$18&amp;",4)")</f>
        <v/>
      </c>
    </row>
    <row r="1003" spans="2:24" x14ac:dyDescent="0.15">
      <c r="B1003" s="298">
        <f t="shared" si="17"/>
        <v>988</v>
      </c>
      <c r="C1003" s="299"/>
      <c r="D1003" s="300" t="str" cm="1">
        <f t="array" ref="D1003">_xll.FDSB($C1003,"FG_COMPANY_NAME")</f>
        <v/>
      </c>
      <c r="E1003" s="300"/>
      <c r="F1003" s="274" t="str" cm="1">
        <f t="array" ref="F1003">_xll.FDSB($C1003,"CS_EVENT_DATEJ_N("&amp;$AA$18&amp;",1)")</f>
        <v/>
      </c>
      <c r="G1003" s="282" t="str" cm="1">
        <f t="array" ref="G1003">_xll.FDSB($C1003,"CS_EVENT_TIME_N("&amp;$AA$18&amp;",1)")</f>
        <v/>
      </c>
      <c r="H1003" s="282" t="str" cm="1">
        <f t="array" ref="H1003">_xll.FDSB($C1003,"CS_EVENT_DESC_N("&amp;$AA$18&amp;",1)")</f>
        <v/>
      </c>
      <c r="I1003" s="282"/>
      <c r="J1003" s="274" t="str" cm="1">
        <f t="array" ref="J1003">_xll.FDSB($C1003,"CS_EVENT_DATEJ_N("&amp;$AB$18&amp;",1)")</f>
        <v/>
      </c>
      <c r="K1003" s="282" t="str" cm="1">
        <f t="array" ref="K1003">_xll.FDSB($C1003,"CS_EVENT_TIME_N("&amp;$AB$18&amp;",1)")</f>
        <v/>
      </c>
      <c r="L1003" s="282" t="str" cm="1">
        <f t="array" ref="L1003">_xll.FDSB($C1003,"CS_EVENT_DESC_N("&amp;$AB$18&amp;",1)")</f>
        <v/>
      </c>
      <c r="M1003" s="300"/>
      <c r="N1003" s="274" t="str" cm="1">
        <f t="array" ref="N1003">_xll.FDSB($C1003,"CS_EVENT_DATEJ_N("&amp;$AA$18&amp;",2)")</f>
        <v/>
      </c>
      <c r="O1003" s="282" t="str" cm="1">
        <f t="array" ref="O1003">_xll.FDSB($C1003,"CS_EVENT_TIME_N("&amp;$AA$18&amp;",2)")</f>
        <v/>
      </c>
      <c r="P1003" s="282" t="str" cm="1">
        <f t="array" ref="P1003">_xll.FDSB($C1003,"CS_EVENT_DESC_N("&amp;$AA$18&amp;",2)")</f>
        <v/>
      </c>
      <c r="Q1003" s="282"/>
      <c r="R1003" s="274" t="str" cm="1">
        <f t="array" ref="R1003">_xll.FDSB($C1003,"CS_EVENT_DATEJ_N("&amp;$AA$18&amp;",3)")</f>
        <v/>
      </c>
      <c r="S1003" s="282" t="str" cm="1">
        <f t="array" ref="S1003">_xll.FDSB($C1003,"CS_EVENT_TIME_N("&amp;$AA$18&amp;",3)")</f>
        <v/>
      </c>
      <c r="T1003" s="282" t="str" cm="1">
        <f t="array" ref="T1003">_xll.FDSB($C1003,"CS_EVENT_DESC_N("&amp;$AA$18&amp;",3)")</f>
        <v/>
      </c>
      <c r="U1003" s="282"/>
      <c r="V1003" s="274" t="str" cm="1">
        <f t="array" ref="V1003">_xll.FDSB($C1003,"CS_EVENT_DATEJ_N("&amp;$AA$18&amp;",4)")</f>
        <v/>
      </c>
      <c r="W1003" s="282" t="str" cm="1">
        <f t="array" ref="W1003">_xll.FDSB($C1003,"CS_EVENT_TIME_N("&amp;$AA$18&amp;",4)")</f>
        <v/>
      </c>
      <c r="X1003" s="282" t="str" cm="1">
        <f t="array" ref="X1003">_xll.FDSB($C1003,"CS_EVENT_DESC_N("&amp;$AA$18&amp;",4)")</f>
        <v/>
      </c>
    </row>
    <row r="1004" spans="2:24" x14ac:dyDescent="0.15">
      <c r="B1004" s="298">
        <f t="shared" si="17"/>
        <v>989</v>
      </c>
      <c r="C1004" s="299"/>
      <c r="D1004" s="300" t="str" cm="1">
        <f t="array" ref="D1004">_xll.FDSB($C1004,"FG_COMPANY_NAME")</f>
        <v/>
      </c>
      <c r="E1004" s="300"/>
      <c r="F1004" s="274" t="str" cm="1">
        <f t="array" ref="F1004">_xll.FDSB($C1004,"CS_EVENT_DATEJ_N("&amp;$AA$18&amp;",1)")</f>
        <v/>
      </c>
      <c r="G1004" s="282" t="str" cm="1">
        <f t="array" ref="G1004">_xll.FDSB($C1004,"CS_EVENT_TIME_N("&amp;$AA$18&amp;",1)")</f>
        <v/>
      </c>
      <c r="H1004" s="282" t="str" cm="1">
        <f t="array" ref="H1004">_xll.FDSB($C1004,"CS_EVENT_DESC_N("&amp;$AA$18&amp;",1)")</f>
        <v/>
      </c>
      <c r="I1004" s="282"/>
      <c r="J1004" s="274" t="str" cm="1">
        <f t="array" ref="J1004">_xll.FDSB($C1004,"CS_EVENT_DATEJ_N("&amp;$AB$18&amp;",1)")</f>
        <v/>
      </c>
      <c r="K1004" s="282" t="str" cm="1">
        <f t="array" ref="K1004">_xll.FDSB($C1004,"CS_EVENT_TIME_N("&amp;$AB$18&amp;",1)")</f>
        <v/>
      </c>
      <c r="L1004" s="282" t="str" cm="1">
        <f t="array" ref="L1004">_xll.FDSB($C1004,"CS_EVENT_DESC_N("&amp;$AB$18&amp;",1)")</f>
        <v/>
      </c>
      <c r="M1004" s="300"/>
      <c r="N1004" s="274" t="str" cm="1">
        <f t="array" ref="N1004">_xll.FDSB($C1004,"CS_EVENT_DATEJ_N("&amp;$AA$18&amp;",2)")</f>
        <v/>
      </c>
      <c r="O1004" s="282" t="str" cm="1">
        <f t="array" ref="O1004">_xll.FDSB($C1004,"CS_EVENT_TIME_N("&amp;$AA$18&amp;",2)")</f>
        <v/>
      </c>
      <c r="P1004" s="282" t="str" cm="1">
        <f t="array" ref="P1004">_xll.FDSB($C1004,"CS_EVENT_DESC_N("&amp;$AA$18&amp;",2)")</f>
        <v/>
      </c>
      <c r="Q1004" s="282"/>
      <c r="R1004" s="274" t="str" cm="1">
        <f t="array" ref="R1004">_xll.FDSB($C1004,"CS_EVENT_DATEJ_N("&amp;$AA$18&amp;",3)")</f>
        <v/>
      </c>
      <c r="S1004" s="282" t="str" cm="1">
        <f t="array" ref="S1004">_xll.FDSB($C1004,"CS_EVENT_TIME_N("&amp;$AA$18&amp;",3)")</f>
        <v/>
      </c>
      <c r="T1004" s="282" t="str" cm="1">
        <f t="array" ref="T1004">_xll.FDSB($C1004,"CS_EVENT_DESC_N("&amp;$AA$18&amp;",3)")</f>
        <v/>
      </c>
      <c r="U1004" s="282"/>
      <c r="V1004" s="274" t="str" cm="1">
        <f t="array" ref="V1004">_xll.FDSB($C1004,"CS_EVENT_DATEJ_N("&amp;$AA$18&amp;",4)")</f>
        <v/>
      </c>
      <c r="W1004" s="282" t="str" cm="1">
        <f t="array" ref="W1004">_xll.FDSB($C1004,"CS_EVENT_TIME_N("&amp;$AA$18&amp;",4)")</f>
        <v/>
      </c>
      <c r="X1004" s="282" t="str" cm="1">
        <f t="array" ref="X1004">_xll.FDSB($C1004,"CS_EVENT_DESC_N("&amp;$AA$18&amp;",4)")</f>
        <v/>
      </c>
    </row>
    <row r="1005" spans="2:24" x14ac:dyDescent="0.15">
      <c r="B1005" s="298">
        <f t="shared" si="17"/>
        <v>990</v>
      </c>
      <c r="C1005" s="299"/>
      <c r="D1005" s="300" t="str" cm="1">
        <f t="array" ref="D1005">_xll.FDSB($C1005,"FG_COMPANY_NAME")</f>
        <v/>
      </c>
      <c r="E1005" s="300"/>
      <c r="F1005" s="274" t="str" cm="1">
        <f t="array" ref="F1005">_xll.FDSB($C1005,"CS_EVENT_DATEJ_N("&amp;$AA$18&amp;",1)")</f>
        <v/>
      </c>
      <c r="G1005" s="282" t="str" cm="1">
        <f t="array" ref="G1005">_xll.FDSB($C1005,"CS_EVENT_TIME_N("&amp;$AA$18&amp;",1)")</f>
        <v/>
      </c>
      <c r="H1005" s="282" t="str" cm="1">
        <f t="array" ref="H1005">_xll.FDSB($C1005,"CS_EVENT_DESC_N("&amp;$AA$18&amp;",1)")</f>
        <v/>
      </c>
      <c r="I1005" s="282"/>
      <c r="J1005" s="274" t="str" cm="1">
        <f t="array" ref="J1005">_xll.FDSB($C1005,"CS_EVENT_DATEJ_N("&amp;$AB$18&amp;",1)")</f>
        <v/>
      </c>
      <c r="K1005" s="282" t="str" cm="1">
        <f t="array" ref="K1005">_xll.FDSB($C1005,"CS_EVENT_TIME_N("&amp;$AB$18&amp;",1)")</f>
        <v/>
      </c>
      <c r="L1005" s="282" t="str" cm="1">
        <f t="array" ref="L1005">_xll.FDSB($C1005,"CS_EVENT_DESC_N("&amp;$AB$18&amp;",1)")</f>
        <v/>
      </c>
      <c r="M1005" s="300"/>
      <c r="N1005" s="274" t="str" cm="1">
        <f t="array" ref="N1005">_xll.FDSB($C1005,"CS_EVENT_DATEJ_N("&amp;$AA$18&amp;",2)")</f>
        <v/>
      </c>
      <c r="O1005" s="282" t="str" cm="1">
        <f t="array" ref="O1005">_xll.FDSB($C1005,"CS_EVENT_TIME_N("&amp;$AA$18&amp;",2)")</f>
        <v/>
      </c>
      <c r="P1005" s="282" t="str" cm="1">
        <f t="array" ref="P1005">_xll.FDSB($C1005,"CS_EVENT_DESC_N("&amp;$AA$18&amp;",2)")</f>
        <v/>
      </c>
      <c r="Q1005" s="282"/>
      <c r="R1005" s="274" t="str" cm="1">
        <f t="array" ref="R1005">_xll.FDSB($C1005,"CS_EVENT_DATEJ_N("&amp;$AA$18&amp;",3)")</f>
        <v/>
      </c>
      <c r="S1005" s="282" t="str" cm="1">
        <f t="array" ref="S1005">_xll.FDSB($C1005,"CS_EVENT_TIME_N("&amp;$AA$18&amp;",3)")</f>
        <v/>
      </c>
      <c r="T1005" s="282" t="str" cm="1">
        <f t="array" ref="T1005">_xll.FDSB($C1005,"CS_EVENT_DESC_N("&amp;$AA$18&amp;",3)")</f>
        <v/>
      </c>
      <c r="U1005" s="282"/>
      <c r="V1005" s="274" t="str" cm="1">
        <f t="array" ref="V1005">_xll.FDSB($C1005,"CS_EVENT_DATEJ_N("&amp;$AA$18&amp;",4)")</f>
        <v/>
      </c>
      <c r="W1005" s="282" t="str" cm="1">
        <f t="array" ref="W1005">_xll.FDSB($C1005,"CS_EVENT_TIME_N("&amp;$AA$18&amp;",4)")</f>
        <v/>
      </c>
      <c r="X1005" s="282" t="str" cm="1">
        <f t="array" ref="X1005">_xll.FDSB($C1005,"CS_EVENT_DESC_N("&amp;$AA$18&amp;",4)")</f>
        <v/>
      </c>
    </row>
    <row r="1006" spans="2:24" x14ac:dyDescent="0.15">
      <c r="B1006" s="298">
        <f t="shared" si="17"/>
        <v>991</v>
      </c>
      <c r="C1006" s="299"/>
      <c r="D1006" s="300" t="str" cm="1">
        <f t="array" ref="D1006">_xll.FDSB($C1006,"FG_COMPANY_NAME")</f>
        <v/>
      </c>
      <c r="E1006" s="300"/>
      <c r="F1006" s="274" t="str" cm="1">
        <f t="array" ref="F1006">_xll.FDSB($C1006,"CS_EVENT_DATEJ_N("&amp;$AA$18&amp;",1)")</f>
        <v/>
      </c>
      <c r="G1006" s="282" t="str" cm="1">
        <f t="array" ref="G1006">_xll.FDSB($C1006,"CS_EVENT_TIME_N("&amp;$AA$18&amp;",1)")</f>
        <v/>
      </c>
      <c r="H1006" s="282" t="str" cm="1">
        <f t="array" ref="H1006">_xll.FDSB($C1006,"CS_EVENT_DESC_N("&amp;$AA$18&amp;",1)")</f>
        <v/>
      </c>
      <c r="I1006" s="282"/>
      <c r="J1006" s="274" t="str" cm="1">
        <f t="array" ref="J1006">_xll.FDSB($C1006,"CS_EVENT_DATEJ_N("&amp;$AB$18&amp;",1)")</f>
        <v/>
      </c>
      <c r="K1006" s="282" t="str" cm="1">
        <f t="array" ref="K1006">_xll.FDSB($C1006,"CS_EVENT_TIME_N("&amp;$AB$18&amp;",1)")</f>
        <v/>
      </c>
      <c r="L1006" s="282" t="str" cm="1">
        <f t="array" ref="L1006">_xll.FDSB($C1006,"CS_EVENT_DESC_N("&amp;$AB$18&amp;",1)")</f>
        <v/>
      </c>
      <c r="M1006" s="300"/>
      <c r="N1006" s="274" t="str" cm="1">
        <f t="array" ref="N1006">_xll.FDSB($C1006,"CS_EVENT_DATEJ_N("&amp;$AA$18&amp;",2)")</f>
        <v/>
      </c>
      <c r="O1006" s="282" t="str" cm="1">
        <f t="array" ref="O1006">_xll.FDSB($C1006,"CS_EVENT_TIME_N("&amp;$AA$18&amp;",2)")</f>
        <v/>
      </c>
      <c r="P1006" s="282" t="str" cm="1">
        <f t="array" ref="P1006">_xll.FDSB($C1006,"CS_EVENT_DESC_N("&amp;$AA$18&amp;",2)")</f>
        <v/>
      </c>
      <c r="Q1006" s="282"/>
      <c r="R1006" s="274" t="str" cm="1">
        <f t="array" ref="R1006">_xll.FDSB($C1006,"CS_EVENT_DATEJ_N("&amp;$AA$18&amp;",3)")</f>
        <v/>
      </c>
      <c r="S1006" s="282" t="str" cm="1">
        <f t="array" ref="S1006">_xll.FDSB($C1006,"CS_EVENT_TIME_N("&amp;$AA$18&amp;",3)")</f>
        <v/>
      </c>
      <c r="T1006" s="282" t="str" cm="1">
        <f t="array" ref="T1006">_xll.FDSB($C1006,"CS_EVENT_DESC_N("&amp;$AA$18&amp;",3)")</f>
        <v/>
      </c>
      <c r="U1006" s="282"/>
      <c r="V1006" s="274" t="str" cm="1">
        <f t="array" ref="V1006">_xll.FDSB($C1006,"CS_EVENT_DATEJ_N("&amp;$AA$18&amp;",4)")</f>
        <v/>
      </c>
      <c r="W1006" s="282" t="str" cm="1">
        <f t="array" ref="W1006">_xll.FDSB($C1006,"CS_EVENT_TIME_N("&amp;$AA$18&amp;",4)")</f>
        <v/>
      </c>
      <c r="X1006" s="282" t="str" cm="1">
        <f t="array" ref="X1006">_xll.FDSB($C1006,"CS_EVENT_DESC_N("&amp;$AA$18&amp;",4)")</f>
        <v/>
      </c>
    </row>
    <row r="1007" spans="2:24" x14ac:dyDescent="0.15">
      <c r="B1007" s="298">
        <f t="shared" si="17"/>
        <v>992</v>
      </c>
      <c r="C1007" s="299"/>
      <c r="D1007" s="300" t="str" cm="1">
        <f t="array" ref="D1007">_xll.FDSB($C1007,"FG_COMPANY_NAME")</f>
        <v/>
      </c>
      <c r="E1007" s="300"/>
      <c r="F1007" s="274" t="str" cm="1">
        <f t="array" ref="F1007">_xll.FDSB($C1007,"CS_EVENT_DATEJ_N("&amp;$AA$18&amp;",1)")</f>
        <v/>
      </c>
      <c r="G1007" s="282" t="str" cm="1">
        <f t="array" ref="G1007">_xll.FDSB($C1007,"CS_EVENT_TIME_N("&amp;$AA$18&amp;",1)")</f>
        <v/>
      </c>
      <c r="H1007" s="282" t="str" cm="1">
        <f t="array" ref="H1007">_xll.FDSB($C1007,"CS_EVENT_DESC_N("&amp;$AA$18&amp;",1)")</f>
        <v/>
      </c>
      <c r="I1007" s="282"/>
      <c r="J1007" s="274" t="str" cm="1">
        <f t="array" ref="J1007">_xll.FDSB($C1007,"CS_EVENT_DATEJ_N("&amp;$AB$18&amp;",1)")</f>
        <v/>
      </c>
      <c r="K1007" s="282" t="str" cm="1">
        <f t="array" ref="K1007">_xll.FDSB($C1007,"CS_EVENT_TIME_N("&amp;$AB$18&amp;",1)")</f>
        <v/>
      </c>
      <c r="L1007" s="282" t="str" cm="1">
        <f t="array" ref="L1007">_xll.FDSB($C1007,"CS_EVENT_DESC_N("&amp;$AB$18&amp;",1)")</f>
        <v/>
      </c>
      <c r="M1007" s="300"/>
      <c r="N1007" s="274" t="str" cm="1">
        <f t="array" ref="N1007">_xll.FDSB($C1007,"CS_EVENT_DATEJ_N("&amp;$AA$18&amp;",2)")</f>
        <v/>
      </c>
      <c r="O1007" s="282" t="str" cm="1">
        <f t="array" ref="O1007">_xll.FDSB($C1007,"CS_EVENT_TIME_N("&amp;$AA$18&amp;",2)")</f>
        <v/>
      </c>
      <c r="P1007" s="282" t="str" cm="1">
        <f t="array" ref="P1007">_xll.FDSB($C1007,"CS_EVENT_DESC_N("&amp;$AA$18&amp;",2)")</f>
        <v/>
      </c>
      <c r="Q1007" s="282"/>
      <c r="R1007" s="274" t="str" cm="1">
        <f t="array" ref="R1007">_xll.FDSB($C1007,"CS_EVENT_DATEJ_N("&amp;$AA$18&amp;",3)")</f>
        <v/>
      </c>
      <c r="S1007" s="282" t="str" cm="1">
        <f t="array" ref="S1007">_xll.FDSB($C1007,"CS_EVENT_TIME_N("&amp;$AA$18&amp;",3)")</f>
        <v/>
      </c>
      <c r="T1007" s="282" t="str" cm="1">
        <f t="array" ref="T1007">_xll.FDSB($C1007,"CS_EVENT_DESC_N("&amp;$AA$18&amp;",3)")</f>
        <v/>
      </c>
      <c r="U1007" s="282"/>
      <c r="V1007" s="274" t="str" cm="1">
        <f t="array" ref="V1007">_xll.FDSB($C1007,"CS_EVENT_DATEJ_N("&amp;$AA$18&amp;",4)")</f>
        <v/>
      </c>
      <c r="W1007" s="282" t="str" cm="1">
        <f t="array" ref="W1007">_xll.FDSB($C1007,"CS_EVENT_TIME_N("&amp;$AA$18&amp;",4)")</f>
        <v/>
      </c>
      <c r="X1007" s="282" t="str" cm="1">
        <f t="array" ref="X1007">_xll.FDSB($C1007,"CS_EVENT_DESC_N("&amp;$AA$18&amp;",4)")</f>
        <v/>
      </c>
    </row>
    <row r="1008" spans="2:24" x14ac:dyDescent="0.15">
      <c r="B1008" s="298">
        <f t="shared" si="17"/>
        <v>993</v>
      </c>
      <c r="C1008" s="299"/>
      <c r="D1008" s="300" t="str" cm="1">
        <f t="array" ref="D1008">_xll.FDSB($C1008,"FG_COMPANY_NAME")</f>
        <v/>
      </c>
      <c r="E1008" s="300"/>
      <c r="F1008" s="274" t="str" cm="1">
        <f t="array" ref="F1008">_xll.FDSB($C1008,"CS_EVENT_DATEJ_N("&amp;$AA$18&amp;",1)")</f>
        <v/>
      </c>
      <c r="G1008" s="282" t="str" cm="1">
        <f t="array" ref="G1008">_xll.FDSB($C1008,"CS_EVENT_TIME_N("&amp;$AA$18&amp;",1)")</f>
        <v/>
      </c>
      <c r="H1008" s="282" t="str" cm="1">
        <f t="array" ref="H1008">_xll.FDSB($C1008,"CS_EVENT_DESC_N("&amp;$AA$18&amp;",1)")</f>
        <v/>
      </c>
      <c r="I1008" s="282"/>
      <c r="J1008" s="274" t="str" cm="1">
        <f t="array" ref="J1008">_xll.FDSB($C1008,"CS_EVENT_DATEJ_N("&amp;$AB$18&amp;",1)")</f>
        <v/>
      </c>
      <c r="K1008" s="282" t="str" cm="1">
        <f t="array" ref="K1008">_xll.FDSB($C1008,"CS_EVENT_TIME_N("&amp;$AB$18&amp;",1)")</f>
        <v/>
      </c>
      <c r="L1008" s="282" t="str" cm="1">
        <f t="array" ref="L1008">_xll.FDSB($C1008,"CS_EVENT_DESC_N("&amp;$AB$18&amp;",1)")</f>
        <v/>
      </c>
      <c r="M1008" s="300"/>
      <c r="N1008" s="274" t="str" cm="1">
        <f t="array" ref="N1008">_xll.FDSB($C1008,"CS_EVENT_DATEJ_N("&amp;$AA$18&amp;",2)")</f>
        <v/>
      </c>
      <c r="O1008" s="282" t="str" cm="1">
        <f t="array" ref="O1008">_xll.FDSB($C1008,"CS_EVENT_TIME_N("&amp;$AA$18&amp;",2)")</f>
        <v/>
      </c>
      <c r="P1008" s="282" t="str" cm="1">
        <f t="array" ref="P1008">_xll.FDSB($C1008,"CS_EVENT_DESC_N("&amp;$AA$18&amp;",2)")</f>
        <v/>
      </c>
      <c r="Q1008" s="282"/>
      <c r="R1008" s="274" t="str" cm="1">
        <f t="array" ref="R1008">_xll.FDSB($C1008,"CS_EVENT_DATEJ_N("&amp;$AA$18&amp;",3)")</f>
        <v/>
      </c>
      <c r="S1008" s="282" t="str" cm="1">
        <f t="array" ref="S1008">_xll.FDSB($C1008,"CS_EVENT_TIME_N("&amp;$AA$18&amp;",3)")</f>
        <v/>
      </c>
      <c r="T1008" s="282" t="str" cm="1">
        <f t="array" ref="T1008">_xll.FDSB($C1008,"CS_EVENT_DESC_N("&amp;$AA$18&amp;",3)")</f>
        <v/>
      </c>
      <c r="U1008" s="282"/>
      <c r="V1008" s="274" t="str" cm="1">
        <f t="array" ref="V1008">_xll.FDSB($C1008,"CS_EVENT_DATEJ_N("&amp;$AA$18&amp;",4)")</f>
        <v/>
      </c>
      <c r="W1008" s="282" t="str" cm="1">
        <f t="array" ref="W1008">_xll.FDSB($C1008,"CS_EVENT_TIME_N("&amp;$AA$18&amp;",4)")</f>
        <v/>
      </c>
      <c r="X1008" s="282" t="str" cm="1">
        <f t="array" ref="X1008">_xll.FDSB($C1008,"CS_EVENT_DESC_N("&amp;$AA$18&amp;",4)")</f>
        <v/>
      </c>
    </row>
    <row r="1009" spans="2:24" x14ac:dyDescent="0.15">
      <c r="B1009" s="298">
        <f t="shared" si="17"/>
        <v>994</v>
      </c>
      <c r="C1009" s="299"/>
      <c r="D1009" s="300" t="str" cm="1">
        <f t="array" ref="D1009">_xll.FDSB($C1009,"FG_COMPANY_NAME")</f>
        <v/>
      </c>
      <c r="E1009" s="300"/>
      <c r="F1009" s="274" t="str" cm="1">
        <f t="array" ref="F1009">_xll.FDSB($C1009,"CS_EVENT_DATEJ_N("&amp;$AA$18&amp;",1)")</f>
        <v/>
      </c>
      <c r="G1009" s="282" t="str" cm="1">
        <f t="array" ref="G1009">_xll.FDSB($C1009,"CS_EVENT_TIME_N("&amp;$AA$18&amp;",1)")</f>
        <v/>
      </c>
      <c r="H1009" s="282" t="str" cm="1">
        <f t="array" ref="H1009">_xll.FDSB($C1009,"CS_EVENT_DESC_N("&amp;$AA$18&amp;",1)")</f>
        <v/>
      </c>
      <c r="I1009" s="282"/>
      <c r="J1009" s="274" t="str" cm="1">
        <f t="array" ref="J1009">_xll.FDSB($C1009,"CS_EVENT_DATEJ_N("&amp;$AB$18&amp;",1)")</f>
        <v/>
      </c>
      <c r="K1009" s="282" t="str" cm="1">
        <f t="array" ref="K1009">_xll.FDSB($C1009,"CS_EVENT_TIME_N("&amp;$AB$18&amp;",1)")</f>
        <v/>
      </c>
      <c r="L1009" s="282" t="str" cm="1">
        <f t="array" ref="L1009">_xll.FDSB($C1009,"CS_EVENT_DESC_N("&amp;$AB$18&amp;",1)")</f>
        <v/>
      </c>
      <c r="M1009" s="300"/>
      <c r="N1009" s="274" t="str" cm="1">
        <f t="array" ref="N1009">_xll.FDSB($C1009,"CS_EVENT_DATEJ_N("&amp;$AA$18&amp;",2)")</f>
        <v/>
      </c>
      <c r="O1009" s="282" t="str" cm="1">
        <f t="array" ref="O1009">_xll.FDSB($C1009,"CS_EVENT_TIME_N("&amp;$AA$18&amp;",2)")</f>
        <v/>
      </c>
      <c r="P1009" s="282" t="str" cm="1">
        <f t="array" ref="P1009">_xll.FDSB($C1009,"CS_EVENT_DESC_N("&amp;$AA$18&amp;",2)")</f>
        <v/>
      </c>
      <c r="Q1009" s="282"/>
      <c r="R1009" s="274" t="str" cm="1">
        <f t="array" ref="R1009">_xll.FDSB($C1009,"CS_EVENT_DATEJ_N("&amp;$AA$18&amp;",3)")</f>
        <v/>
      </c>
      <c r="S1009" s="282" t="str" cm="1">
        <f t="array" ref="S1009">_xll.FDSB($C1009,"CS_EVENT_TIME_N("&amp;$AA$18&amp;",3)")</f>
        <v/>
      </c>
      <c r="T1009" s="282" t="str" cm="1">
        <f t="array" ref="T1009">_xll.FDSB($C1009,"CS_EVENT_DESC_N("&amp;$AA$18&amp;",3)")</f>
        <v/>
      </c>
      <c r="U1009" s="282"/>
      <c r="V1009" s="274" t="str" cm="1">
        <f t="array" ref="V1009">_xll.FDSB($C1009,"CS_EVENT_DATEJ_N("&amp;$AA$18&amp;",4)")</f>
        <v/>
      </c>
      <c r="W1009" s="282" t="str" cm="1">
        <f t="array" ref="W1009">_xll.FDSB($C1009,"CS_EVENT_TIME_N("&amp;$AA$18&amp;",4)")</f>
        <v/>
      </c>
      <c r="X1009" s="282" t="str" cm="1">
        <f t="array" ref="X1009">_xll.FDSB($C1009,"CS_EVENT_DESC_N("&amp;$AA$18&amp;",4)")</f>
        <v/>
      </c>
    </row>
    <row r="1010" spans="2:24" x14ac:dyDescent="0.15">
      <c r="B1010" s="298">
        <f t="shared" si="17"/>
        <v>995</v>
      </c>
      <c r="C1010" s="299"/>
      <c r="D1010" s="300" t="str" cm="1">
        <f t="array" ref="D1010">_xll.FDSB($C1010,"FG_COMPANY_NAME")</f>
        <v/>
      </c>
      <c r="E1010" s="300"/>
      <c r="F1010" s="274" t="str" cm="1">
        <f t="array" ref="F1010">_xll.FDSB($C1010,"CS_EVENT_DATEJ_N("&amp;$AA$18&amp;",1)")</f>
        <v/>
      </c>
      <c r="G1010" s="282" t="str" cm="1">
        <f t="array" ref="G1010">_xll.FDSB($C1010,"CS_EVENT_TIME_N("&amp;$AA$18&amp;",1)")</f>
        <v/>
      </c>
      <c r="H1010" s="282" t="str" cm="1">
        <f t="array" ref="H1010">_xll.FDSB($C1010,"CS_EVENT_DESC_N("&amp;$AA$18&amp;",1)")</f>
        <v/>
      </c>
      <c r="I1010" s="282"/>
      <c r="J1010" s="274" t="str" cm="1">
        <f t="array" ref="J1010">_xll.FDSB($C1010,"CS_EVENT_DATEJ_N("&amp;$AB$18&amp;",1)")</f>
        <v/>
      </c>
      <c r="K1010" s="282" t="str" cm="1">
        <f t="array" ref="K1010">_xll.FDSB($C1010,"CS_EVENT_TIME_N("&amp;$AB$18&amp;",1)")</f>
        <v/>
      </c>
      <c r="L1010" s="282" t="str" cm="1">
        <f t="array" ref="L1010">_xll.FDSB($C1010,"CS_EVENT_DESC_N("&amp;$AB$18&amp;",1)")</f>
        <v/>
      </c>
      <c r="M1010" s="300"/>
      <c r="N1010" s="274" t="str" cm="1">
        <f t="array" ref="N1010">_xll.FDSB($C1010,"CS_EVENT_DATEJ_N("&amp;$AA$18&amp;",2)")</f>
        <v/>
      </c>
      <c r="O1010" s="282" t="str" cm="1">
        <f t="array" ref="O1010">_xll.FDSB($C1010,"CS_EVENT_TIME_N("&amp;$AA$18&amp;",2)")</f>
        <v/>
      </c>
      <c r="P1010" s="282" t="str" cm="1">
        <f t="array" ref="P1010">_xll.FDSB($C1010,"CS_EVENT_DESC_N("&amp;$AA$18&amp;",2)")</f>
        <v/>
      </c>
      <c r="Q1010" s="282"/>
      <c r="R1010" s="274" t="str" cm="1">
        <f t="array" ref="R1010">_xll.FDSB($C1010,"CS_EVENT_DATEJ_N("&amp;$AA$18&amp;",3)")</f>
        <v/>
      </c>
      <c r="S1010" s="282" t="str" cm="1">
        <f t="array" ref="S1010">_xll.FDSB($C1010,"CS_EVENT_TIME_N("&amp;$AA$18&amp;",3)")</f>
        <v/>
      </c>
      <c r="T1010" s="282" t="str" cm="1">
        <f t="array" ref="T1010">_xll.FDSB($C1010,"CS_EVENT_DESC_N("&amp;$AA$18&amp;",3)")</f>
        <v/>
      </c>
      <c r="U1010" s="282"/>
      <c r="V1010" s="274" t="str" cm="1">
        <f t="array" ref="V1010">_xll.FDSB($C1010,"CS_EVENT_DATEJ_N("&amp;$AA$18&amp;",4)")</f>
        <v/>
      </c>
      <c r="W1010" s="282" t="str" cm="1">
        <f t="array" ref="W1010">_xll.FDSB($C1010,"CS_EVENT_TIME_N("&amp;$AA$18&amp;",4)")</f>
        <v/>
      </c>
      <c r="X1010" s="282" t="str" cm="1">
        <f t="array" ref="X1010">_xll.FDSB($C1010,"CS_EVENT_DESC_N("&amp;$AA$18&amp;",4)")</f>
        <v/>
      </c>
    </row>
    <row r="1011" spans="2:24" x14ac:dyDescent="0.15">
      <c r="B1011" s="298">
        <f t="shared" si="17"/>
        <v>996</v>
      </c>
      <c r="C1011" s="299"/>
      <c r="D1011" s="300" t="str" cm="1">
        <f t="array" ref="D1011">_xll.FDSB($C1011,"FG_COMPANY_NAME")</f>
        <v/>
      </c>
      <c r="E1011" s="300"/>
      <c r="F1011" s="274" t="str" cm="1">
        <f t="array" ref="F1011">_xll.FDSB($C1011,"CS_EVENT_DATEJ_N("&amp;$AA$18&amp;",1)")</f>
        <v/>
      </c>
      <c r="G1011" s="282" t="str" cm="1">
        <f t="array" ref="G1011">_xll.FDSB($C1011,"CS_EVENT_TIME_N("&amp;$AA$18&amp;",1)")</f>
        <v/>
      </c>
      <c r="H1011" s="282" t="str" cm="1">
        <f t="array" ref="H1011">_xll.FDSB($C1011,"CS_EVENT_DESC_N("&amp;$AA$18&amp;",1)")</f>
        <v/>
      </c>
      <c r="I1011" s="282"/>
      <c r="J1011" s="274" t="str" cm="1">
        <f t="array" ref="J1011">_xll.FDSB($C1011,"CS_EVENT_DATEJ_N("&amp;$AB$18&amp;",1)")</f>
        <v/>
      </c>
      <c r="K1011" s="282" t="str" cm="1">
        <f t="array" ref="K1011">_xll.FDSB($C1011,"CS_EVENT_TIME_N("&amp;$AB$18&amp;",1)")</f>
        <v/>
      </c>
      <c r="L1011" s="282" t="str" cm="1">
        <f t="array" ref="L1011">_xll.FDSB($C1011,"CS_EVENT_DESC_N("&amp;$AB$18&amp;",1)")</f>
        <v/>
      </c>
      <c r="M1011" s="300"/>
      <c r="N1011" s="274" t="str" cm="1">
        <f t="array" ref="N1011">_xll.FDSB($C1011,"CS_EVENT_DATEJ_N("&amp;$AA$18&amp;",2)")</f>
        <v/>
      </c>
      <c r="O1011" s="282" t="str" cm="1">
        <f t="array" ref="O1011">_xll.FDSB($C1011,"CS_EVENT_TIME_N("&amp;$AA$18&amp;",2)")</f>
        <v/>
      </c>
      <c r="P1011" s="282" t="str" cm="1">
        <f t="array" ref="P1011">_xll.FDSB($C1011,"CS_EVENT_DESC_N("&amp;$AA$18&amp;",2)")</f>
        <v/>
      </c>
      <c r="Q1011" s="282"/>
      <c r="R1011" s="274" t="str" cm="1">
        <f t="array" ref="R1011">_xll.FDSB($C1011,"CS_EVENT_DATEJ_N("&amp;$AA$18&amp;",3)")</f>
        <v/>
      </c>
      <c r="S1011" s="282" t="str" cm="1">
        <f t="array" ref="S1011">_xll.FDSB($C1011,"CS_EVENT_TIME_N("&amp;$AA$18&amp;",3)")</f>
        <v/>
      </c>
      <c r="T1011" s="282" t="str" cm="1">
        <f t="array" ref="T1011">_xll.FDSB($C1011,"CS_EVENT_DESC_N("&amp;$AA$18&amp;",3)")</f>
        <v/>
      </c>
      <c r="U1011" s="282"/>
      <c r="V1011" s="274" t="str" cm="1">
        <f t="array" ref="V1011">_xll.FDSB($C1011,"CS_EVENT_DATEJ_N("&amp;$AA$18&amp;",4)")</f>
        <v/>
      </c>
      <c r="W1011" s="282" t="str" cm="1">
        <f t="array" ref="W1011">_xll.FDSB($C1011,"CS_EVENT_TIME_N("&amp;$AA$18&amp;",4)")</f>
        <v/>
      </c>
      <c r="X1011" s="282" t="str" cm="1">
        <f t="array" ref="X1011">_xll.FDSB($C1011,"CS_EVENT_DESC_N("&amp;$AA$18&amp;",4)")</f>
        <v/>
      </c>
    </row>
    <row r="1012" spans="2:24" x14ac:dyDescent="0.15">
      <c r="B1012" s="298">
        <f t="shared" si="17"/>
        <v>997</v>
      </c>
      <c r="C1012" s="299"/>
      <c r="D1012" s="300" t="str" cm="1">
        <f t="array" ref="D1012">_xll.FDSB($C1012,"FG_COMPANY_NAME")</f>
        <v/>
      </c>
      <c r="E1012" s="300"/>
      <c r="F1012" s="274" t="str" cm="1">
        <f t="array" ref="F1012">_xll.FDSB($C1012,"CS_EVENT_DATEJ_N("&amp;$AA$18&amp;",1)")</f>
        <v/>
      </c>
      <c r="G1012" s="282" t="str" cm="1">
        <f t="array" ref="G1012">_xll.FDSB($C1012,"CS_EVENT_TIME_N("&amp;$AA$18&amp;",1)")</f>
        <v/>
      </c>
      <c r="H1012" s="282" t="str" cm="1">
        <f t="array" ref="H1012">_xll.FDSB($C1012,"CS_EVENT_DESC_N("&amp;$AA$18&amp;",1)")</f>
        <v/>
      </c>
      <c r="I1012" s="282"/>
      <c r="J1012" s="274" t="str" cm="1">
        <f t="array" ref="J1012">_xll.FDSB($C1012,"CS_EVENT_DATEJ_N("&amp;$AB$18&amp;",1)")</f>
        <v/>
      </c>
      <c r="K1012" s="282" t="str" cm="1">
        <f t="array" ref="K1012">_xll.FDSB($C1012,"CS_EVENT_TIME_N("&amp;$AB$18&amp;",1)")</f>
        <v/>
      </c>
      <c r="L1012" s="282" t="str" cm="1">
        <f t="array" ref="L1012">_xll.FDSB($C1012,"CS_EVENT_DESC_N("&amp;$AB$18&amp;",1)")</f>
        <v/>
      </c>
      <c r="M1012" s="300"/>
      <c r="N1012" s="274" t="str" cm="1">
        <f t="array" ref="N1012">_xll.FDSB($C1012,"CS_EVENT_DATEJ_N("&amp;$AA$18&amp;",2)")</f>
        <v/>
      </c>
      <c r="O1012" s="282" t="str" cm="1">
        <f t="array" ref="O1012">_xll.FDSB($C1012,"CS_EVENT_TIME_N("&amp;$AA$18&amp;",2)")</f>
        <v/>
      </c>
      <c r="P1012" s="282" t="str" cm="1">
        <f t="array" ref="P1012">_xll.FDSB($C1012,"CS_EVENT_DESC_N("&amp;$AA$18&amp;",2)")</f>
        <v/>
      </c>
      <c r="Q1012" s="282"/>
      <c r="R1012" s="274" t="str" cm="1">
        <f t="array" ref="R1012">_xll.FDSB($C1012,"CS_EVENT_DATEJ_N("&amp;$AA$18&amp;",3)")</f>
        <v/>
      </c>
      <c r="S1012" s="282" t="str" cm="1">
        <f t="array" ref="S1012">_xll.FDSB($C1012,"CS_EVENT_TIME_N("&amp;$AA$18&amp;",3)")</f>
        <v/>
      </c>
      <c r="T1012" s="282" t="str" cm="1">
        <f t="array" ref="T1012">_xll.FDSB($C1012,"CS_EVENT_DESC_N("&amp;$AA$18&amp;",3)")</f>
        <v/>
      </c>
      <c r="U1012" s="282"/>
      <c r="V1012" s="274" t="str" cm="1">
        <f t="array" ref="V1012">_xll.FDSB($C1012,"CS_EVENT_DATEJ_N("&amp;$AA$18&amp;",4)")</f>
        <v/>
      </c>
      <c r="W1012" s="282" t="str" cm="1">
        <f t="array" ref="W1012">_xll.FDSB($C1012,"CS_EVENT_TIME_N("&amp;$AA$18&amp;",4)")</f>
        <v/>
      </c>
      <c r="X1012" s="282" t="str" cm="1">
        <f t="array" ref="X1012">_xll.FDSB($C1012,"CS_EVENT_DESC_N("&amp;$AA$18&amp;",4)")</f>
        <v/>
      </c>
    </row>
    <row r="1013" spans="2:24" x14ac:dyDescent="0.15">
      <c r="B1013" s="298">
        <f t="shared" si="17"/>
        <v>998</v>
      </c>
      <c r="C1013" s="299"/>
      <c r="D1013" s="300" t="str" cm="1">
        <f t="array" ref="D1013">_xll.FDSB($C1013,"FG_COMPANY_NAME")</f>
        <v/>
      </c>
      <c r="E1013" s="300"/>
      <c r="F1013" s="274" t="str" cm="1">
        <f t="array" ref="F1013">_xll.FDSB($C1013,"CS_EVENT_DATEJ_N("&amp;$AA$18&amp;",1)")</f>
        <v/>
      </c>
      <c r="G1013" s="282" t="str" cm="1">
        <f t="array" ref="G1013">_xll.FDSB($C1013,"CS_EVENT_TIME_N("&amp;$AA$18&amp;",1)")</f>
        <v/>
      </c>
      <c r="H1013" s="282" t="str" cm="1">
        <f t="array" ref="H1013">_xll.FDSB($C1013,"CS_EVENT_DESC_N("&amp;$AA$18&amp;",1)")</f>
        <v/>
      </c>
      <c r="I1013" s="282"/>
      <c r="J1013" s="274" t="str" cm="1">
        <f t="array" ref="J1013">_xll.FDSB($C1013,"CS_EVENT_DATEJ_N("&amp;$AB$18&amp;",1)")</f>
        <v/>
      </c>
      <c r="K1013" s="282" t="str" cm="1">
        <f t="array" ref="K1013">_xll.FDSB($C1013,"CS_EVENT_TIME_N("&amp;$AB$18&amp;",1)")</f>
        <v/>
      </c>
      <c r="L1013" s="282" t="str" cm="1">
        <f t="array" ref="L1013">_xll.FDSB($C1013,"CS_EVENT_DESC_N("&amp;$AB$18&amp;",1)")</f>
        <v/>
      </c>
      <c r="M1013" s="300"/>
      <c r="N1013" s="274" t="str" cm="1">
        <f t="array" ref="N1013">_xll.FDSB($C1013,"CS_EVENT_DATEJ_N("&amp;$AA$18&amp;",2)")</f>
        <v/>
      </c>
      <c r="O1013" s="282" t="str" cm="1">
        <f t="array" ref="O1013">_xll.FDSB($C1013,"CS_EVENT_TIME_N("&amp;$AA$18&amp;",2)")</f>
        <v/>
      </c>
      <c r="P1013" s="282" t="str" cm="1">
        <f t="array" ref="P1013">_xll.FDSB($C1013,"CS_EVENT_DESC_N("&amp;$AA$18&amp;",2)")</f>
        <v/>
      </c>
      <c r="Q1013" s="282"/>
      <c r="R1013" s="274" t="str" cm="1">
        <f t="array" ref="R1013">_xll.FDSB($C1013,"CS_EVENT_DATEJ_N("&amp;$AA$18&amp;",3)")</f>
        <v/>
      </c>
      <c r="S1013" s="282" t="str" cm="1">
        <f t="array" ref="S1013">_xll.FDSB($C1013,"CS_EVENT_TIME_N("&amp;$AA$18&amp;",3)")</f>
        <v/>
      </c>
      <c r="T1013" s="282" t="str" cm="1">
        <f t="array" ref="T1013">_xll.FDSB($C1013,"CS_EVENT_DESC_N("&amp;$AA$18&amp;",3)")</f>
        <v/>
      </c>
      <c r="U1013" s="282"/>
      <c r="V1013" s="274" t="str" cm="1">
        <f t="array" ref="V1013">_xll.FDSB($C1013,"CS_EVENT_DATEJ_N("&amp;$AA$18&amp;",4)")</f>
        <v/>
      </c>
      <c r="W1013" s="282" t="str" cm="1">
        <f t="array" ref="W1013">_xll.FDSB($C1013,"CS_EVENT_TIME_N("&amp;$AA$18&amp;",4)")</f>
        <v/>
      </c>
      <c r="X1013" s="282" t="str" cm="1">
        <f t="array" ref="X1013">_xll.FDSB($C1013,"CS_EVENT_DESC_N("&amp;$AA$18&amp;",4)")</f>
        <v/>
      </c>
    </row>
    <row r="1014" spans="2:24" x14ac:dyDescent="0.15">
      <c r="B1014" s="298">
        <f t="shared" si="17"/>
        <v>999</v>
      </c>
      <c r="C1014" s="299"/>
      <c r="D1014" s="300" t="str" cm="1">
        <f t="array" ref="D1014">_xll.FDSB($C1014,"FG_COMPANY_NAME")</f>
        <v/>
      </c>
      <c r="E1014" s="300"/>
      <c r="F1014" s="274" t="str" cm="1">
        <f t="array" ref="F1014">_xll.FDSB($C1014,"CS_EVENT_DATEJ_N("&amp;$AA$18&amp;",1)")</f>
        <v/>
      </c>
      <c r="G1014" s="282" t="str" cm="1">
        <f t="array" ref="G1014">_xll.FDSB($C1014,"CS_EVENT_TIME_N("&amp;$AA$18&amp;",1)")</f>
        <v/>
      </c>
      <c r="H1014" s="282" t="str" cm="1">
        <f t="array" ref="H1014">_xll.FDSB($C1014,"CS_EVENT_DESC_N("&amp;$AA$18&amp;",1)")</f>
        <v/>
      </c>
      <c r="I1014" s="282"/>
      <c r="J1014" s="274" t="str" cm="1">
        <f t="array" ref="J1014">_xll.FDSB($C1014,"CS_EVENT_DATEJ_N("&amp;$AB$18&amp;",1)")</f>
        <v/>
      </c>
      <c r="K1014" s="282" t="str" cm="1">
        <f t="array" ref="K1014">_xll.FDSB($C1014,"CS_EVENT_TIME_N("&amp;$AB$18&amp;",1)")</f>
        <v/>
      </c>
      <c r="L1014" s="282" t="str" cm="1">
        <f t="array" ref="L1014">_xll.FDSB($C1014,"CS_EVENT_DESC_N("&amp;$AB$18&amp;",1)")</f>
        <v/>
      </c>
      <c r="M1014" s="300"/>
      <c r="N1014" s="274" t="str" cm="1">
        <f t="array" ref="N1014">_xll.FDSB($C1014,"CS_EVENT_DATEJ_N("&amp;$AA$18&amp;",2)")</f>
        <v/>
      </c>
      <c r="O1014" s="282" t="str" cm="1">
        <f t="array" ref="O1014">_xll.FDSB($C1014,"CS_EVENT_TIME_N("&amp;$AA$18&amp;",2)")</f>
        <v/>
      </c>
      <c r="P1014" s="282" t="str" cm="1">
        <f t="array" ref="P1014">_xll.FDSB($C1014,"CS_EVENT_DESC_N("&amp;$AA$18&amp;",2)")</f>
        <v/>
      </c>
      <c r="Q1014" s="282"/>
      <c r="R1014" s="274" t="str" cm="1">
        <f t="array" ref="R1014">_xll.FDSB($C1014,"CS_EVENT_DATEJ_N("&amp;$AA$18&amp;",3)")</f>
        <v/>
      </c>
      <c r="S1014" s="282" t="str" cm="1">
        <f t="array" ref="S1014">_xll.FDSB($C1014,"CS_EVENT_TIME_N("&amp;$AA$18&amp;",3)")</f>
        <v/>
      </c>
      <c r="T1014" s="282" t="str" cm="1">
        <f t="array" ref="T1014">_xll.FDSB($C1014,"CS_EVENT_DESC_N("&amp;$AA$18&amp;",3)")</f>
        <v/>
      </c>
      <c r="U1014" s="282"/>
      <c r="V1014" s="274" t="str" cm="1">
        <f t="array" ref="V1014">_xll.FDSB($C1014,"CS_EVENT_DATEJ_N("&amp;$AA$18&amp;",4)")</f>
        <v/>
      </c>
      <c r="W1014" s="282" t="str" cm="1">
        <f t="array" ref="W1014">_xll.FDSB($C1014,"CS_EVENT_TIME_N("&amp;$AA$18&amp;",4)")</f>
        <v/>
      </c>
      <c r="X1014" s="282" t="str" cm="1">
        <f t="array" ref="X1014">_xll.FDSB($C1014,"CS_EVENT_DESC_N("&amp;$AA$18&amp;",4)")</f>
        <v/>
      </c>
    </row>
    <row r="1015" spans="2:24" x14ac:dyDescent="0.15">
      <c r="B1015" s="298">
        <f t="shared" si="17"/>
        <v>1000</v>
      </c>
      <c r="C1015" s="299"/>
      <c r="D1015" s="300" t="str" cm="1">
        <f t="array" ref="D1015">_xll.FDSB($C1015,"FG_COMPANY_NAME")</f>
        <v/>
      </c>
      <c r="E1015" s="300"/>
      <c r="F1015" s="274" t="str" cm="1">
        <f t="array" ref="F1015">_xll.FDSB($C1015,"CS_EVENT_DATEJ_N("&amp;$AA$18&amp;",1)")</f>
        <v/>
      </c>
      <c r="G1015" s="282" t="str" cm="1">
        <f t="array" ref="G1015">_xll.FDSB($C1015,"CS_EVENT_TIME_N("&amp;$AA$18&amp;",1)")</f>
        <v/>
      </c>
      <c r="H1015" s="282" t="str" cm="1">
        <f t="array" ref="H1015">_xll.FDSB($C1015,"CS_EVENT_DESC_N("&amp;$AA$18&amp;",1)")</f>
        <v/>
      </c>
      <c r="I1015" s="282"/>
      <c r="J1015" s="274" t="str" cm="1">
        <f t="array" ref="J1015">_xll.FDSB($C1015,"CS_EVENT_DATEJ_N("&amp;$AB$18&amp;",1)")</f>
        <v/>
      </c>
      <c r="K1015" s="282" t="str" cm="1">
        <f t="array" ref="K1015">_xll.FDSB($C1015,"CS_EVENT_TIME_N("&amp;$AB$18&amp;",1)")</f>
        <v/>
      </c>
      <c r="L1015" s="282" t="str" cm="1">
        <f t="array" ref="L1015">_xll.FDSB($C1015,"CS_EVENT_DESC_N("&amp;$AB$18&amp;",1)")</f>
        <v/>
      </c>
      <c r="M1015" s="300"/>
      <c r="N1015" s="274" t="str" cm="1">
        <f t="array" ref="N1015">_xll.FDSB($C1015,"CS_EVENT_DATEJ_N("&amp;$AA$18&amp;",2)")</f>
        <v/>
      </c>
      <c r="O1015" s="282" t="str" cm="1">
        <f t="array" ref="O1015">_xll.FDSB($C1015,"CS_EVENT_TIME_N("&amp;$AA$18&amp;",2)")</f>
        <v/>
      </c>
      <c r="P1015" s="282" t="str" cm="1">
        <f t="array" ref="P1015">_xll.FDSB($C1015,"CS_EVENT_DESC_N("&amp;$AA$18&amp;",2)")</f>
        <v/>
      </c>
      <c r="Q1015" s="282"/>
      <c r="R1015" s="274" t="str" cm="1">
        <f t="array" ref="R1015">_xll.FDSB($C1015,"CS_EVENT_DATEJ_N("&amp;$AA$18&amp;",3)")</f>
        <v/>
      </c>
      <c r="S1015" s="282" t="str" cm="1">
        <f t="array" ref="S1015">_xll.FDSB($C1015,"CS_EVENT_TIME_N("&amp;$AA$18&amp;",3)")</f>
        <v/>
      </c>
      <c r="T1015" s="282" t="str" cm="1">
        <f t="array" ref="T1015">_xll.FDSB($C1015,"CS_EVENT_DESC_N("&amp;$AA$18&amp;",3)")</f>
        <v/>
      </c>
      <c r="U1015" s="282"/>
      <c r="V1015" s="274" t="str" cm="1">
        <f t="array" ref="V1015">_xll.FDSB($C1015,"CS_EVENT_DATEJ_N("&amp;$AA$18&amp;",4)")</f>
        <v/>
      </c>
      <c r="W1015" s="282" t="str" cm="1">
        <f t="array" ref="W1015">_xll.FDSB($C1015,"CS_EVENT_TIME_N("&amp;$AA$18&amp;",4)")</f>
        <v/>
      </c>
      <c r="X1015" s="282" t="str" cm="1">
        <f t="array" ref="X1015">_xll.FDSB($C1015,"CS_EVENT_DESC_N("&amp;$AA$18&amp;",4)")</f>
        <v/>
      </c>
    </row>
    <row r="1016" spans="2:24" x14ac:dyDescent="0.15">
      <c r="B1016" s="298">
        <f t="shared" si="17"/>
        <v>1001</v>
      </c>
      <c r="C1016" s="299"/>
      <c r="D1016" s="300" t="str" cm="1">
        <f t="array" ref="D1016">_xll.FDSB($C1016,"FG_COMPANY_NAME")</f>
        <v/>
      </c>
      <c r="E1016" s="300"/>
      <c r="F1016" s="274" t="str" cm="1">
        <f t="array" ref="F1016">_xll.FDSB($C1016,"CS_EVENT_DATEJ_N("&amp;$AA$18&amp;",1)")</f>
        <v/>
      </c>
      <c r="G1016" s="282" t="str" cm="1">
        <f t="array" ref="G1016">_xll.FDSB($C1016,"CS_EVENT_TIME_N("&amp;$AA$18&amp;",1)")</f>
        <v/>
      </c>
      <c r="H1016" s="282" t="str" cm="1">
        <f t="array" ref="H1016">_xll.FDSB($C1016,"CS_EVENT_DESC_N("&amp;$AA$18&amp;",1)")</f>
        <v/>
      </c>
      <c r="I1016" s="282"/>
      <c r="J1016" s="274" t="str" cm="1">
        <f t="array" ref="J1016">_xll.FDSB($C1016,"CS_EVENT_DATEJ_N("&amp;$AB$18&amp;",1)")</f>
        <v/>
      </c>
      <c r="K1016" s="282" t="str" cm="1">
        <f t="array" ref="K1016">_xll.FDSB($C1016,"CS_EVENT_TIME_N("&amp;$AB$18&amp;",1)")</f>
        <v/>
      </c>
      <c r="L1016" s="282" t="str" cm="1">
        <f t="array" ref="L1016">_xll.FDSB($C1016,"CS_EVENT_DESC_N("&amp;$AB$18&amp;",1)")</f>
        <v/>
      </c>
      <c r="M1016" s="300"/>
      <c r="N1016" s="274" t="str" cm="1">
        <f t="array" ref="N1016">_xll.FDSB($C1016,"CS_EVENT_DATEJ_N("&amp;$AA$18&amp;",2)")</f>
        <v/>
      </c>
      <c r="O1016" s="282" t="str" cm="1">
        <f t="array" ref="O1016">_xll.FDSB($C1016,"CS_EVENT_TIME_N("&amp;$AA$18&amp;",2)")</f>
        <v/>
      </c>
      <c r="P1016" s="282" t="str" cm="1">
        <f t="array" ref="P1016">_xll.FDSB($C1016,"CS_EVENT_DESC_N("&amp;$AA$18&amp;",2)")</f>
        <v/>
      </c>
      <c r="Q1016" s="282"/>
      <c r="R1016" s="274" t="str" cm="1">
        <f t="array" ref="R1016">_xll.FDSB($C1016,"CS_EVENT_DATEJ_N("&amp;$AA$18&amp;",3)")</f>
        <v/>
      </c>
      <c r="S1016" s="282" t="str" cm="1">
        <f t="array" ref="S1016">_xll.FDSB($C1016,"CS_EVENT_TIME_N("&amp;$AA$18&amp;",3)")</f>
        <v/>
      </c>
      <c r="T1016" s="282" t="str" cm="1">
        <f t="array" ref="T1016">_xll.FDSB($C1016,"CS_EVENT_DESC_N("&amp;$AA$18&amp;",3)")</f>
        <v/>
      </c>
      <c r="U1016" s="282"/>
      <c r="V1016" s="274" t="str" cm="1">
        <f t="array" ref="V1016">_xll.FDSB($C1016,"CS_EVENT_DATEJ_N("&amp;$AA$18&amp;",4)")</f>
        <v/>
      </c>
      <c r="W1016" s="282" t="str" cm="1">
        <f t="array" ref="W1016">_xll.FDSB($C1016,"CS_EVENT_TIME_N("&amp;$AA$18&amp;",4)")</f>
        <v/>
      </c>
      <c r="X1016" s="282" t="str" cm="1">
        <f t="array" ref="X1016">_xll.FDSB($C1016,"CS_EVENT_DESC_N("&amp;$AA$18&amp;",4)")</f>
        <v/>
      </c>
    </row>
    <row r="1017" spans="2:24" x14ac:dyDescent="0.15">
      <c r="B1017" s="298">
        <f t="shared" si="17"/>
        <v>1002</v>
      </c>
      <c r="C1017" s="299"/>
      <c r="D1017" s="300" t="str" cm="1">
        <f t="array" ref="D1017">_xll.FDSB($C1017,"FG_COMPANY_NAME")</f>
        <v/>
      </c>
      <c r="E1017" s="300"/>
      <c r="F1017" s="274" t="str" cm="1">
        <f t="array" ref="F1017">_xll.FDSB($C1017,"CS_EVENT_DATEJ_N("&amp;$AA$18&amp;",1)")</f>
        <v/>
      </c>
      <c r="G1017" s="282" t="str" cm="1">
        <f t="array" ref="G1017">_xll.FDSB($C1017,"CS_EVENT_TIME_N("&amp;$AA$18&amp;",1)")</f>
        <v/>
      </c>
      <c r="H1017" s="282" t="str" cm="1">
        <f t="array" ref="H1017">_xll.FDSB($C1017,"CS_EVENT_DESC_N("&amp;$AA$18&amp;",1)")</f>
        <v/>
      </c>
      <c r="I1017" s="282"/>
      <c r="J1017" s="274" t="str" cm="1">
        <f t="array" ref="J1017">_xll.FDSB($C1017,"CS_EVENT_DATEJ_N("&amp;$AB$18&amp;",1)")</f>
        <v/>
      </c>
      <c r="K1017" s="282" t="str" cm="1">
        <f t="array" ref="K1017">_xll.FDSB($C1017,"CS_EVENT_TIME_N("&amp;$AB$18&amp;",1)")</f>
        <v/>
      </c>
      <c r="L1017" s="282" t="str" cm="1">
        <f t="array" ref="L1017">_xll.FDSB($C1017,"CS_EVENT_DESC_N("&amp;$AB$18&amp;",1)")</f>
        <v/>
      </c>
      <c r="M1017" s="300"/>
      <c r="N1017" s="274" t="str" cm="1">
        <f t="array" ref="N1017">_xll.FDSB($C1017,"CS_EVENT_DATEJ_N("&amp;$AA$18&amp;",2)")</f>
        <v/>
      </c>
      <c r="O1017" s="282" t="str" cm="1">
        <f t="array" ref="O1017">_xll.FDSB($C1017,"CS_EVENT_TIME_N("&amp;$AA$18&amp;",2)")</f>
        <v/>
      </c>
      <c r="P1017" s="282" t="str" cm="1">
        <f t="array" ref="P1017">_xll.FDSB($C1017,"CS_EVENT_DESC_N("&amp;$AA$18&amp;",2)")</f>
        <v/>
      </c>
      <c r="Q1017" s="282"/>
      <c r="R1017" s="274" t="str" cm="1">
        <f t="array" ref="R1017">_xll.FDSB($C1017,"CS_EVENT_DATEJ_N("&amp;$AA$18&amp;",3)")</f>
        <v/>
      </c>
      <c r="S1017" s="282" t="str" cm="1">
        <f t="array" ref="S1017">_xll.FDSB($C1017,"CS_EVENT_TIME_N("&amp;$AA$18&amp;",3)")</f>
        <v/>
      </c>
      <c r="T1017" s="282" t="str" cm="1">
        <f t="array" ref="T1017">_xll.FDSB($C1017,"CS_EVENT_DESC_N("&amp;$AA$18&amp;",3)")</f>
        <v/>
      </c>
      <c r="U1017" s="282"/>
      <c r="V1017" s="274" t="str" cm="1">
        <f t="array" ref="V1017">_xll.FDSB($C1017,"CS_EVENT_DATEJ_N("&amp;$AA$18&amp;",4)")</f>
        <v/>
      </c>
      <c r="W1017" s="282" t="str" cm="1">
        <f t="array" ref="W1017">_xll.FDSB($C1017,"CS_EVENT_TIME_N("&amp;$AA$18&amp;",4)")</f>
        <v/>
      </c>
      <c r="X1017" s="282" t="str" cm="1">
        <f t="array" ref="X1017">_xll.FDSB($C1017,"CS_EVENT_DESC_N("&amp;$AA$18&amp;",4)")</f>
        <v/>
      </c>
    </row>
    <row r="1018" spans="2:24" x14ac:dyDescent="0.15">
      <c r="B1018" s="298">
        <f t="shared" si="17"/>
        <v>1003</v>
      </c>
      <c r="C1018" s="299"/>
      <c r="D1018" s="300" t="str" cm="1">
        <f t="array" ref="D1018">_xll.FDSB($C1018,"FG_COMPANY_NAME")</f>
        <v/>
      </c>
      <c r="E1018" s="300"/>
      <c r="F1018" s="274" t="str" cm="1">
        <f t="array" ref="F1018">_xll.FDSB($C1018,"CS_EVENT_DATEJ_N("&amp;$AA$18&amp;",1)")</f>
        <v/>
      </c>
      <c r="G1018" s="282" t="str" cm="1">
        <f t="array" ref="G1018">_xll.FDSB($C1018,"CS_EVENT_TIME_N("&amp;$AA$18&amp;",1)")</f>
        <v/>
      </c>
      <c r="H1018" s="282" t="str" cm="1">
        <f t="array" ref="H1018">_xll.FDSB($C1018,"CS_EVENT_DESC_N("&amp;$AA$18&amp;",1)")</f>
        <v/>
      </c>
      <c r="I1018" s="282"/>
      <c r="J1018" s="274" t="str" cm="1">
        <f t="array" ref="J1018">_xll.FDSB($C1018,"CS_EVENT_DATEJ_N("&amp;$AB$18&amp;",1)")</f>
        <v/>
      </c>
      <c r="K1018" s="282" t="str" cm="1">
        <f t="array" ref="K1018">_xll.FDSB($C1018,"CS_EVENT_TIME_N("&amp;$AB$18&amp;",1)")</f>
        <v/>
      </c>
      <c r="L1018" s="282" t="str" cm="1">
        <f t="array" ref="L1018">_xll.FDSB($C1018,"CS_EVENT_DESC_N("&amp;$AB$18&amp;",1)")</f>
        <v/>
      </c>
      <c r="M1018" s="300"/>
      <c r="N1018" s="274" t="str" cm="1">
        <f t="array" ref="N1018">_xll.FDSB($C1018,"CS_EVENT_DATEJ_N("&amp;$AA$18&amp;",2)")</f>
        <v/>
      </c>
      <c r="O1018" s="282" t="str" cm="1">
        <f t="array" ref="O1018">_xll.FDSB($C1018,"CS_EVENT_TIME_N("&amp;$AA$18&amp;",2)")</f>
        <v/>
      </c>
      <c r="P1018" s="282" t="str" cm="1">
        <f t="array" ref="P1018">_xll.FDSB($C1018,"CS_EVENT_DESC_N("&amp;$AA$18&amp;",2)")</f>
        <v/>
      </c>
      <c r="Q1018" s="282"/>
      <c r="R1018" s="274" t="str" cm="1">
        <f t="array" ref="R1018">_xll.FDSB($C1018,"CS_EVENT_DATEJ_N("&amp;$AA$18&amp;",3)")</f>
        <v/>
      </c>
      <c r="S1018" s="282" t="str" cm="1">
        <f t="array" ref="S1018">_xll.FDSB($C1018,"CS_EVENT_TIME_N("&amp;$AA$18&amp;",3)")</f>
        <v/>
      </c>
      <c r="T1018" s="282" t="str" cm="1">
        <f t="array" ref="T1018">_xll.FDSB($C1018,"CS_EVENT_DESC_N("&amp;$AA$18&amp;",3)")</f>
        <v/>
      </c>
      <c r="U1018" s="282"/>
      <c r="V1018" s="274" t="str" cm="1">
        <f t="array" ref="V1018">_xll.FDSB($C1018,"CS_EVENT_DATEJ_N("&amp;$AA$18&amp;",4)")</f>
        <v/>
      </c>
      <c r="W1018" s="282" t="str" cm="1">
        <f t="array" ref="W1018">_xll.FDSB($C1018,"CS_EVENT_TIME_N("&amp;$AA$18&amp;",4)")</f>
        <v/>
      </c>
      <c r="X1018" s="282" t="str" cm="1">
        <f t="array" ref="X1018">_xll.FDSB($C1018,"CS_EVENT_DESC_N("&amp;$AA$18&amp;",4)")</f>
        <v/>
      </c>
    </row>
    <row r="1019" spans="2:24" x14ac:dyDescent="0.15">
      <c r="B1019" s="298">
        <f t="shared" si="17"/>
        <v>1004</v>
      </c>
      <c r="C1019" s="299"/>
      <c r="D1019" s="300" t="str" cm="1">
        <f t="array" ref="D1019">_xll.FDSB($C1019,"FG_COMPANY_NAME")</f>
        <v/>
      </c>
      <c r="E1019" s="300"/>
      <c r="F1019" s="274" t="str" cm="1">
        <f t="array" ref="F1019">_xll.FDSB($C1019,"CS_EVENT_DATEJ_N("&amp;$AA$18&amp;",1)")</f>
        <v/>
      </c>
      <c r="G1019" s="282" t="str" cm="1">
        <f t="array" ref="G1019">_xll.FDSB($C1019,"CS_EVENT_TIME_N("&amp;$AA$18&amp;",1)")</f>
        <v/>
      </c>
      <c r="H1019" s="282" t="str" cm="1">
        <f t="array" ref="H1019">_xll.FDSB($C1019,"CS_EVENT_DESC_N("&amp;$AA$18&amp;",1)")</f>
        <v/>
      </c>
      <c r="I1019" s="282"/>
      <c r="J1019" s="274" t="str" cm="1">
        <f t="array" ref="J1019">_xll.FDSB($C1019,"CS_EVENT_DATEJ_N("&amp;$AB$18&amp;",1)")</f>
        <v/>
      </c>
      <c r="K1019" s="282" t="str" cm="1">
        <f t="array" ref="K1019">_xll.FDSB($C1019,"CS_EVENT_TIME_N("&amp;$AB$18&amp;",1)")</f>
        <v/>
      </c>
      <c r="L1019" s="282" t="str" cm="1">
        <f t="array" ref="L1019">_xll.FDSB($C1019,"CS_EVENT_DESC_N("&amp;$AB$18&amp;",1)")</f>
        <v/>
      </c>
      <c r="M1019" s="300"/>
      <c r="N1019" s="274" t="str" cm="1">
        <f t="array" ref="N1019">_xll.FDSB($C1019,"CS_EVENT_DATEJ_N("&amp;$AA$18&amp;",2)")</f>
        <v/>
      </c>
      <c r="O1019" s="282" t="str" cm="1">
        <f t="array" ref="O1019">_xll.FDSB($C1019,"CS_EVENT_TIME_N("&amp;$AA$18&amp;",2)")</f>
        <v/>
      </c>
      <c r="P1019" s="282" t="str" cm="1">
        <f t="array" ref="P1019">_xll.FDSB($C1019,"CS_EVENT_DESC_N("&amp;$AA$18&amp;",2)")</f>
        <v/>
      </c>
      <c r="Q1019" s="282"/>
      <c r="R1019" s="274" t="str" cm="1">
        <f t="array" ref="R1019">_xll.FDSB($C1019,"CS_EVENT_DATEJ_N("&amp;$AA$18&amp;",3)")</f>
        <v/>
      </c>
      <c r="S1019" s="282" t="str" cm="1">
        <f t="array" ref="S1019">_xll.FDSB($C1019,"CS_EVENT_TIME_N("&amp;$AA$18&amp;",3)")</f>
        <v/>
      </c>
      <c r="T1019" s="282" t="str" cm="1">
        <f t="array" ref="T1019">_xll.FDSB($C1019,"CS_EVENT_DESC_N("&amp;$AA$18&amp;",3)")</f>
        <v/>
      </c>
      <c r="U1019" s="282"/>
      <c r="V1019" s="274" t="str" cm="1">
        <f t="array" ref="V1019">_xll.FDSB($C1019,"CS_EVENT_DATEJ_N("&amp;$AA$18&amp;",4)")</f>
        <v/>
      </c>
      <c r="W1019" s="282" t="str" cm="1">
        <f t="array" ref="W1019">_xll.FDSB($C1019,"CS_EVENT_TIME_N("&amp;$AA$18&amp;",4)")</f>
        <v/>
      </c>
      <c r="X1019" s="282" t="str" cm="1">
        <f t="array" ref="X1019">_xll.FDSB($C1019,"CS_EVENT_DESC_N("&amp;$AA$18&amp;",4)")</f>
        <v/>
      </c>
    </row>
    <row r="1020" spans="2:24" x14ac:dyDescent="0.15">
      <c r="B1020" s="298">
        <f t="shared" si="17"/>
        <v>1005</v>
      </c>
      <c r="C1020" s="299"/>
      <c r="D1020" s="300" t="str" cm="1">
        <f t="array" ref="D1020">_xll.FDSB($C1020,"FG_COMPANY_NAME")</f>
        <v/>
      </c>
      <c r="E1020" s="300"/>
      <c r="F1020" s="274" t="str" cm="1">
        <f t="array" ref="F1020">_xll.FDSB($C1020,"CS_EVENT_DATEJ_N("&amp;$AA$18&amp;",1)")</f>
        <v/>
      </c>
      <c r="G1020" s="282" t="str" cm="1">
        <f t="array" ref="G1020">_xll.FDSB($C1020,"CS_EVENT_TIME_N("&amp;$AA$18&amp;",1)")</f>
        <v/>
      </c>
      <c r="H1020" s="282" t="str" cm="1">
        <f t="array" ref="H1020">_xll.FDSB($C1020,"CS_EVENT_DESC_N("&amp;$AA$18&amp;",1)")</f>
        <v/>
      </c>
      <c r="I1020" s="282"/>
      <c r="J1020" s="274" t="str" cm="1">
        <f t="array" ref="J1020">_xll.FDSB($C1020,"CS_EVENT_DATEJ_N("&amp;$AB$18&amp;",1)")</f>
        <v/>
      </c>
      <c r="K1020" s="282" t="str" cm="1">
        <f t="array" ref="K1020">_xll.FDSB($C1020,"CS_EVENT_TIME_N("&amp;$AB$18&amp;",1)")</f>
        <v/>
      </c>
      <c r="L1020" s="282" t="str" cm="1">
        <f t="array" ref="L1020">_xll.FDSB($C1020,"CS_EVENT_DESC_N("&amp;$AB$18&amp;",1)")</f>
        <v/>
      </c>
      <c r="M1020" s="300"/>
      <c r="N1020" s="274" t="str" cm="1">
        <f t="array" ref="N1020">_xll.FDSB($C1020,"CS_EVENT_DATEJ_N("&amp;$AA$18&amp;",2)")</f>
        <v/>
      </c>
      <c r="O1020" s="282" t="str" cm="1">
        <f t="array" ref="O1020">_xll.FDSB($C1020,"CS_EVENT_TIME_N("&amp;$AA$18&amp;",2)")</f>
        <v/>
      </c>
      <c r="P1020" s="282" t="str" cm="1">
        <f t="array" ref="P1020">_xll.FDSB($C1020,"CS_EVENT_DESC_N("&amp;$AA$18&amp;",2)")</f>
        <v/>
      </c>
      <c r="Q1020" s="282"/>
      <c r="R1020" s="274" t="str" cm="1">
        <f t="array" ref="R1020">_xll.FDSB($C1020,"CS_EVENT_DATEJ_N("&amp;$AA$18&amp;",3)")</f>
        <v/>
      </c>
      <c r="S1020" s="282" t="str" cm="1">
        <f t="array" ref="S1020">_xll.FDSB($C1020,"CS_EVENT_TIME_N("&amp;$AA$18&amp;",3)")</f>
        <v/>
      </c>
      <c r="T1020" s="282" t="str" cm="1">
        <f t="array" ref="T1020">_xll.FDSB($C1020,"CS_EVENT_DESC_N("&amp;$AA$18&amp;",3)")</f>
        <v/>
      </c>
      <c r="U1020" s="282"/>
      <c r="V1020" s="274" t="str" cm="1">
        <f t="array" ref="V1020">_xll.FDSB($C1020,"CS_EVENT_DATEJ_N("&amp;$AA$18&amp;",4)")</f>
        <v/>
      </c>
      <c r="W1020" s="282" t="str" cm="1">
        <f t="array" ref="W1020">_xll.FDSB($C1020,"CS_EVENT_TIME_N("&amp;$AA$18&amp;",4)")</f>
        <v/>
      </c>
      <c r="X1020" s="282" t="str" cm="1">
        <f t="array" ref="X1020">_xll.FDSB($C1020,"CS_EVENT_DESC_N("&amp;$AA$18&amp;",4)")</f>
        <v/>
      </c>
    </row>
    <row r="1021" spans="2:24" x14ac:dyDescent="0.15">
      <c r="B1021" s="298">
        <f t="shared" si="17"/>
        <v>1006</v>
      </c>
      <c r="C1021" s="299"/>
      <c r="D1021" s="300" t="str" cm="1">
        <f t="array" ref="D1021">_xll.FDSB($C1021,"FG_COMPANY_NAME")</f>
        <v/>
      </c>
      <c r="E1021" s="300"/>
      <c r="F1021" s="274" t="str" cm="1">
        <f t="array" ref="F1021">_xll.FDSB($C1021,"CS_EVENT_DATEJ_N("&amp;$AA$18&amp;",1)")</f>
        <v/>
      </c>
      <c r="G1021" s="282" t="str" cm="1">
        <f t="array" ref="G1021">_xll.FDSB($C1021,"CS_EVENT_TIME_N("&amp;$AA$18&amp;",1)")</f>
        <v/>
      </c>
      <c r="H1021" s="282" t="str" cm="1">
        <f t="array" ref="H1021">_xll.FDSB($C1021,"CS_EVENT_DESC_N("&amp;$AA$18&amp;",1)")</f>
        <v/>
      </c>
      <c r="I1021" s="282"/>
      <c r="J1021" s="274" t="str" cm="1">
        <f t="array" ref="J1021">_xll.FDSB($C1021,"CS_EVENT_DATEJ_N("&amp;$AB$18&amp;",1)")</f>
        <v/>
      </c>
      <c r="K1021" s="282" t="str" cm="1">
        <f t="array" ref="K1021">_xll.FDSB($C1021,"CS_EVENT_TIME_N("&amp;$AB$18&amp;",1)")</f>
        <v/>
      </c>
      <c r="L1021" s="282" t="str" cm="1">
        <f t="array" ref="L1021">_xll.FDSB($C1021,"CS_EVENT_DESC_N("&amp;$AB$18&amp;",1)")</f>
        <v/>
      </c>
      <c r="M1021" s="300"/>
      <c r="N1021" s="274" t="str" cm="1">
        <f t="array" ref="N1021">_xll.FDSB($C1021,"CS_EVENT_DATEJ_N("&amp;$AA$18&amp;",2)")</f>
        <v/>
      </c>
      <c r="O1021" s="282" t="str" cm="1">
        <f t="array" ref="O1021">_xll.FDSB($C1021,"CS_EVENT_TIME_N("&amp;$AA$18&amp;",2)")</f>
        <v/>
      </c>
      <c r="P1021" s="282" t="str" cm="1">
        <f t="array" ref="P1021">_xll.FDSB($C1021,"CS_EVENT_DESC_N("&amp;$AA$18&amp;",2)")</f>
        <v/>
      </c>
      <c r="Q1021" s="282"/>
      <c r="R1021" s="274" t="str" cm="1">
        <f t="array" ref="R1021">_xll.FDSB($C1021,"CS_EVENT_DATEJ_N("&amp;$AA$18&amp;",3)")</f>
        <v/>
      </c>
      <c r="S1021" s="282" t="str" cm="1">
        <f t="array" ref="S1021">_xll.FDSB($C1021,"CS_EVENT_TIME_N("&amp;$AA$18&amp;",3)")</f>
        <v/>
      </c>
      <c r="T1021" s="282" t="str" cm="1">
        <f t="array" ref="T1021">_xll.FDSB($C1021,"CS_EVENT_DESC_N("&amp;$AA$18&amp;",3)")</f>
        <v/>
      </c>
      <c r="U1021" s="282"/>
      <c r="V1021" s="274" t="str" cm="1">
        <f t="array" ref="V1021">_xll.FDSB($C1021,"CS_EVENT_DATEJ_N("&amp;$AA$18&amp;",4)")</f>
        <v/>
      </c>
      <c r="W1021" s="282" t="str" cm="1">
        <f t="array" ref="W1021">_xll.FDSB($C1021,"CS_EVENT_TIME_N("&amp;$AA$18&amp;",4)")</f>
        <v/>
      </c>
      <c r="X1021" s="282" t="str" cm="1">
        <f t="array" ref="X1021">_xll.FDSB($C1021,"CS_EVENT_DESC_N("&amp;$AA$18&amp;",4)")</f>
        <v/>
      </c>
    </row>
    <row r="1022" spans="2:24" x14ac:dyDescent="0.15">
      <c r="B1022" s="298">
        <f t="shared" si="17"/>
        <v>1007</v>
      </c>
      <c r="C1022" s="299"/>
      <c r="D1022" s="300" t="str" cm="1">
        <f t="array" ref="D1022">_xll.FDSB($C1022,"FG_COMPANY_NAME")</f>
        <v/>
      </c>
      <c r="E1022" s="300"/>
      <c r="F1022" s="274" t="str" cm="1">
        <f t="array" ref="F1022">_xll.FDSB($C1022,"CS_EVENT_DATEJ_N("&amp;$AA$18&amp;",1)")</f>
        <v/>
      </c>
      <c r="G1022" s="282" t="str" cm="1">
        <f t="array" ref="G1022">_xll.FDSB($C1022,"CS_EVENT_TIME_N("&amp;$AA$18&amp;",1)")</f>
        <v/>
      </c>
      <c r="H1022" s="282" t="str" cm="1">
        <f t="array" ref="H1022">_xll.FDSB($C1022,"CS_EVENT_DESC_N("&amp;$AA$18&amp;",1)")</f>
        <v/>
      </c>
      <c r="I1022" s="282"/>
      <c r="J1022" s="274" t="str" cm="1">
        <f t="array" ref="J1022">_xll.FDSB($C1022,"CS_EVENT_DATEJ_N("&amp;$AB$18&amp;",1)")</f>
        <v/>
      </c>
      <c r="K1022" s="282" t="str" cm="1">
        <f t="array" ref="K1022">_xll.FDSB($C1022,"CS_EVENT_TIME_N("&amp;$AB$18&amp;",1)")</f>
        <v/>
      </c>
      <c r="L1022" s="282" t="str" cm="1">
        <f t="array" ref="L1022">_xll.FDSB($C1022,"CS_EVENT_DESC_N("&amp;$AB$18&amp;",1)")</f>
        <v/>
      </c>
      <c r="M1022" s="300"/>
      <c r="N1022" s="274" t="str" cm="1">
        <f t="array" ref="N1022">_xll.FDSB($C1022,"CS_EVENT_DATEJ_N("&amp;$AA$18&amp;",2)")</f>
        <v/>
      </c>
      <c r="O1022" s="282" t="str" cm="1">
        <f t="array" ref="O1022">_xll.FDSB($C1022,"CS_EVENT_TIME_N("&amp;$AA$18&amp;",2)")</f>
        <v/>
      </c>
      <c r="P1022" s="282" t="str" cm="1">
        <f t="array" ref="P1022">_xll.FDSB($C1022,"CS_EVENT_DESC_N("&amp;$AA$18&amp;",2)")</f>
        <v/>
      </c>
      <c r="Q1022" s="282"/>
      <c r="R1022" s="274" t="str" cm="1">
        <f t="array" ref="R1022">_xll.FDSB($C1022,"CS_EVENT_DATEJ_N("&amp;$AA$18&amp;",3)")</f>
        <v/>
      </c>
      <c r="S1022" s="282" t="str" cm="1">
        <f t="array" ref="S1022">_xll.FDSB($C1022,"CS_EVENT_TIME_N("&amp;$AA$18&amp;",3)")</f>
        <v/>
      </c>
      <c r="T1022" s="282" t="str" cm="1">
        <f t="array" ref="T1022">_xll.FDSB($C1022,"CS_EVENT_DESC_N("&amp;$AA$18&amp;",3)")</f>
        <v/>
      </c>
      <c r="U1022" s="282"/>
      <c r="V1022" s="274" t="str" cm="1">
        <f t="array" ref="V1022">_xll.FDSB($C1022,"CS_EVENT_DATEJ_N("&amp;$AA$18&amp;",4)")</f>
        <v/>
      </c>
      <c r="W1022" s="282" t="str" cm="1">
        <f t="array" ref="W1022">_xll.FDSB($C1022,"CS_EVENT_TIME_N("&amp;$AA$18&amp;",4)")</f>
        <v/>
      </c>
      <c r="X1022" s="282" t="str" cm="1">
        <f t="array" ref="X1022">_xll.FDSB($C1022,"CS_EVENT_DESC_N("&amp;$AA$18&amp;",4)")</f>
        <v/>
      </c>
    </row>
    <row r="1023" spans="2:24" x14ac:dyDescent="0.15">
      <c r="B1023" s="298">
        <f t="shared" si="17"/>
        <v>1008</v>
      </c>
      <c r="C1023" s="299"/>
      <c r="D1023" s="300" t="str" cm="1">
        <f t="array" ref="D1023">_xll.FDSB($C1023,"FG_COMPANY_NAME")</f>
        <v/>
      </c>
      <c r="E1023" s="300"/>
      <c r="F1023" s="274" t="str" cm="1">
        <f t="array" ref="F1023">_xll.FDSB($C1023,"CS_EVENT_DATEJ_N("&amp;$AA$18&amp;",1)")</f>
        <v/>
      </c>
      <c r="G1023" s="282" t="str" cm="1">
        <f t="array" ref="G1023">_xll.FDSB($C1023,"CS_EVENT_TIME_N("&amp;$AA$18&amp;",1)")</f>
        <v/>
      </c>
      <c r="H1023" s="282" t="str" cm="1">
        <f t="array" ref="H1023">_xll.FDSB($C1023,"CS_EVENT_DESC_N("&amp;$AA$18&amp;",1)")</f>
        <v/>
      </c>
      <c r="I1023" s="282"/>
      <c r="J1023" s="274" t="str" cm="1">
        <f t="array" ref="J1023">_xll.FDSB($C1023,"CS_EVENT_DATEJ_N("&amp;$AB$18&amp;",1)")</f>
        <v/>
      </c>
      <c r="K1023" s="282" t="str" cm="1">
        <f t="array" ref="K1023">_xll.FDSB($C1023,"CS_EVENT_TIME_N("&amp;$AB$18&amp;",1)")</f>
        <v/>
      </c>
      <c r="L1023" s="282" t="str" cm="1">
        <f t="array" ref="L1023">_xll.FDSB($C1023,"CS_EVENT_DESC_N("&amp;$AB$18&amp;",1)")</f>
        <v/>
      </c>
      <c r="M1023" s="300"/>
      <c r="N1023" s="274" t="str" cm="1">
        <f t="array" ref="N1023">_xll.FDSB($C1023,"CS_EVENT_DATEJ_N("&amp;$AA$18&amp;",2)")</f>
        <v/>
      </c>
      <c r="O1023" s="282" t="str" cm="1">
        <f t="array" ref="O1023">_xll.FDSB($C1023,"CS_EVENT_TIME_N("&amp;$AA$18&amp;",2)")</f>
        <v/>
      </c>
      <c r="P1023" s="282" t="str" cm="1">
        <f t="array" ref="P1023">_xll.FDSB($C1023,"CS_EVENT_DESC_N("&amp;$AA$18&amp;",2)")</f>
        <v/>
      </c>
      <c r="Q1023" s="282"/>
      <c r="R1023" s="274" t="str" cm="1">
        <f t="array" ref="R1023">_xll.FDSB($C1023,"CS_EVENT_DATEJ_N("&amp;$AA$18&amp;",3)")</f>
        <v/>
      </c>
      <c r="S1023" s="282" t="str" cm="1">
        <f t="array" ref="S1023">_xll.FDSB($C1023,"CS_EVENT_TIME_N("&amp;$AA$18&amp;",3)")</f>
        <v/>
      </c>
      <c r="T1023" s="282" t="str" cm="1">
        <f t="array" ref="T1023">_xll.FDSB($C1023,"CS_EVENT_DESC_N("&amp;$AA$18&amp;",3)")</f>
        <v/>
      </c>
      <c r="U1023" s="282"/>
      <c r="V1023" s="274" t="str" cm="1">
        <f t="array" ref="V1023">_xll.FDSB($C1023,"CS_EVENT_DATEJ_N("&amp;$AA$18&amp;",4)")</f>
        <v/>
      </c>
      <c r="W1023" s="282" t="str" cm="1">
        <f t="array" ref="W1023">_xll.FDSB($C1023,"CS_EVENT_TIME_N("&amp;$AA$18&amp;",4)")</f>
        <v/>
      </c>
      <c r="X1023" s="282" t="str" cm="1">
        <f t="array" ref="X1023">_xll.FDSB($C1023,"CS_EVENT_DESC_N("&amp;$AA$18&amp;",4)")</f>
        <v/>
      </c>
    </row>
    <row r="1024" spans="2:24" x14ac:dyDescent="0.15">
      <c r="B1024" s="298">
        <f t="shared" si="17"/>
        <v>1009</v>
      </c>
      <c r="C1024" s="299"/>
      <c r="D1024" s="300" t="str" cm="1">
        <f t="array" ref="D1024">_xll.FDSB($C1024,"FG_COMPANY_NAME")</f>
        <v/>
      </c>
      <c r="E1024" s="300"/>
      <c r="F1024" s="274" t="str" cm="1">
        <f t="array" ref="F1024">_xll.FDSB($C1024,"CS_EVENT_DATEJ_N("&amp;$AA$18&amp;",1)")</f>
        <v/>
      </c>
      <c r="G1024" s="282" t="str" cm="1">
        <f t="array" ref="G1024">_xll.FDSB($C1024,"CS_EVENT_TIME_N("&amp;$AA$18&amp;",1)")</f>
        <v/>
      </c>
      <c r="H1024" s="282" t="str" cm="1">
        <f t="array" ref="H1024">_xll.FDSB($C1024,"CS_EVENT_DESC_N("&amp;$AA$18&amp;",1)")</f>
        <v/>
      </c>
      <c r="I1024" s="282"/>
      <c r="J1024" s="274" t="str" cm="1">
        <f t="array" ref="J1024">_xll.FDSB($C1024,"CS_EVENT_DATEJ_N("&amp;$AB$18&amp;",1)")</f>
        <v/>
      </c>
      <c r="K1024" s="282" t="str" cm="1">
        <f t="array" ref="K1024">_xll.FDSB($C1024,"CS_EVENT_TIME_N("&amp;$AB$18&amp;",1)")</f>
        <v/>
      </c>
      <c r="L1024" s="282" t="str" cm="1">
        <f t="array" ref="L1024">_xll.FDSB($C1024,"CS_EVENT_DESC_N("&amp;$AB$18&amp;",1)")</f>
        <v/>
      </c>
      <c r="M1024" s="300"/>
      <c r="N1024" s="274" t="str" cm="1">
        <f t="array" ref="N1024">_xll.FDSB($C1024,"CS_EVENT_DATEJ_N("&amp;$AA$18&amp;",2)")</f>
        <v/>
      </c>
      <c r="O1024" s="282" t="str" cm="1">
        <f t="array" ref="O1024">_xll.FDSB($C1024,"CS_EVENT_TIME_N("&amp;$AA$18&amp;",2)")</f>
        <v/>
      </c>
      <c r="P1024" s="282" t="str" cm="1">
        <f t="array" ref="P1024">_xll.FDSB($C1024,"CS_EVENT_DESC_N("&amp;$AA$18&amp;",2)")</f>
        <v/>
      </c>
      <c r="Q1024" s="282"/>
      <c r="R1024" s="274" t="str" cm="1">
        <f t="array" ref="R1024">_xll.FDSB($C1024,"CS_EVENT_DATEJ_N("&amp;$AA$18&amp;",3)")</f>
        <v/>
      </c>
      <c r="S1024" s="282" t="str" cm="1">
        <f t="array" ref="S1024">_xll.FDSB($C1024,"CS_EVENT_TIME_N("&amp;$AA$18&amp;",3)")</f>
        <v/>
      </c>
      <c r="T1024" s="282" t="str" cm="1">
        <f t="array" ref="T1024">_xll.FDSB($C1024,"CS_EVENT_DESC_N("&amp;$AA$18&amp;",3)")</f>
        <v/>
      </c>
      <c r="U1024" s="282"/>
      <c r="V1024" s="274" t="str" cm="1">
        <f t="array" ref="V1024">_xll.FDSB($C1024,"CS_EVENT_DATEJ_N("&amp;$AA$18&amp;",4)")</f>
        <v/>
      </c>
      <c r="W1024" s="282" t="str" cm="1">
        <f t="array" ref="W1024">_xll.FDSB($C1024,"CS_EVENT_TIME_N("&amp;$AA$18&amp;",4)")</f>
        <v/>
      </c>
      <c r="X1024" s="282" t="str" cm="1">
        <f t="array" ref="X1024">_xll.FDSB($C1024,"CS_EVENT_DESC_N("&amp;$AA$18&amp;",4)")</f>
        <v/>
      </c>
    </row>
    <row r="1025" spans="2:24" x14ac:dyDescent="0.15">
      <c r="B1025" s="298">
        <f t="shared" si="17"/>
        <v>1010</v>
      </c>
      <c r="C1025" s="299"/>
      <c r="D1025" s="300" t="str" cm="1">
        <f t="array" ref="D1025">_xll.FDSB($C1025,"FG_COMPANY_NAME")</f>
        <v/>
      </c>
      <c r="E1025" s="300"/>
      <c r="F1025" s="274" t="str" cm="1">
        <f t="array" ref="F1025">_xll.FDSB($C1025,"CS_EVENT_DATEJ_N("&amp;$AA$18&amp;",1)")</f>
        <v/>
      </c>
      <c r="G1025" s="282" t="str" cm="1">
        <f t="array" ref="G1025">_xll.FDSB($C1025,"CS_EVENT_TIME_N("&amp;$AA$18&amp;",1)")</f>
        <v/>
      </c>
      <c r="H1025" s="282" t="str" cm="1">
        <f t="array" ref="H1025">_xll.FDSB($C1025,"CS_EVENT_DESC_N("&amp;$AA$18&amp;",1)")</f>
        <v/>
      </c>
      <c r="I1025" s="282"/>
      <c r="J1025" s="274" t="str" cm="1">
        <f t="array" ref="J1025">_xll.FDSB($C1025,"CS_EVENT_DATEJ_N("&amp;$AB$18&amp;",1)")</f>
        <v/>
      </c>
      <c r="K1025" s="282" t="str" cm="1">
        <f t="array" ref="K1025">_xll.FDSB($C1025,"CS_EVENT_TIME_N("&amp;$AB$18&amp;",1)")</f>
        <v/>
      </c>
      <c r="L1025" s="282" t="str" cm="1">
        <f t="array" ref="L1025">_xll.FDSB($C1025,"CS_EVENT_DESC_N("&amp;$AB$18&amp;",1)")</f>
        <v/>
      </c>
      <c r="M1025" s="300"/>
      <c r="N1025" s="274" t="str" cm="1">
        <f t="array" ref="N1025">_xll.FDSB($C1025,"CS_EVENT_DATEJ_N("&amp;$AA$18&amp;",2)")</f>
        <v/>
      </c>
      <c r="O1025" s="282" t="str" cm="1">
        <f t="array" ref="O1025">_xll.FDSB($C1025,"CS_EVENT_TIME_N("&amp;$AA$18&amp;",2)")</f>
        <v/>
      </c>
      <c r="P1025" s="282" t="str" cm="1">
        <f t="array" ref="P1025">_xll.FDSB($C1025,"CS_EVENT_DESC_N("&amp;$AA$18&amp;",2)")</f>
        <v/>
      </c>
      <c r="Q1025" s="282"/>
      <c r="R1025" s="274" t="str" cm="1">
        <f t="array" ref="R1025">_xll.FDSB($C1025,"CS_EVENT_DATEJ_N("&amp;$AA$18&amp;",3)")</f>
        <v/>
      </c>
      <c r="S1025" s="282" t="str" cm="1">
        <f t="array" ref="S1025">_xll.FDSB($C1025,"CS_EVENT_TIME_N("&amp;$AA$18&amp;",3)")</f>
        <v/>
      </c>
      <c r="T1025" s="282" t="str" cm="1">
        <f t="array" ref="T1025">_xll.FDSB($C1025,"CS_EVENT_DESC_N("&amp;$AA$18&amp;",3)")</f>
        <v/>
      </c>
      <c r="U1025" s="282"/>
      <c r="V1025" s="274" t="str" cm="1">
        <f t="array" ref="V1025">_xll.FDSB($C1025,"CS_EVENT_DATEJ_N("&amp;$AA$18&amp;",4)")</f>
        <v/>
      </c>
      <c r="W1025" s="282" t="str" cm="1">
        <f t="array" ref="W1025">_xll.FDSB($C1025,"CS_EVENT_TIME_N("&amp;$AA$18&amp;",4)")</f>
        <v/>
      </c>
      <c r="X1025" s="282" t="str" cm="1">
        <f t="array" ref="X1025">_xll.FDSB($C1025,"CS_EVENT_DESC_N("&amp;$AA$18&amp;",4)")</f>
        <v/>
      </c>
    </row>
    <row r="1026" spans="2:24" x14ac:dyDescent="0.15">
      <c r="E1026" s="270"/>
      <c r="F1026" s="270"/>
      <c r="G1026" s="270"/>
      <c r="H1026" s="270"/>
      <c r="I1026" s="270"/>
      <c r="J1026" s="270"/>
      <c r="K1026" s="270"/>
      <c r="L1026" s="270"/>
      <c r="M1026" s="270"/>
      <c r="Q1026" s="270"/>
    </row>
  </sheetData>
  <mergeCells count="1">
    <mergeCell ref="F14:L14"/>
  </mergeCells>
  <conditionalFormatting sqref="E6:F6 H6:O6 A6:B11 D7 F7 I7:M7 N7:N8 C11:F11 H11:M13 A12:F13 Q14 A14:B15 C15:E15 M15 AJ15:AJ16 A16 A17:B17 A18:A38 B18:B1025">
    <cfRule type="expression" dxfId="13" priority="167">
      <formula>AND(LEN(#REF!)&gt;0,ROW()&gt;17,COLUMN()&lt;12,COLUMN()&gt;2,#REF!=$W$8)</formula>
    </cfRule>
    <cfRule type="expression" dxfId="12" priority="168">
      <formula>AND(MOD(ROW(#REF!),2)=1,LEN(#REF!)&gt;0,ROW()&lt;&gt;25,ROW()&gt;16,COLUMN()&lt;14,COLUMN()&gt;2)</formula>
    </cfRule>
  </conditionalFormatting>
  <conditionalFormatting sqref="N11:XFD11 N13:XFD13 Y15 AB15:AI15 AK15 AP15 AR15:AY15 BA15:XFD15 AB16">
    <cfRule type="expression" dxfId="11" priority="150">
      <formula>AND(MOD(ROW($A11),2)=1,LEN(#REF!)&gt;0,ROW()&lt;&gt;25,ROW()&gt;16,COLUMN()&lt;14,COLUMN()&gt;2)</formula>
    </cfRule>
  </conditionalFormatting>
  <conditionalFormatting sqref="N11:XFD11 N13:XFD13 Y15 AB15:AI15 AK15 AP15:XFD15 AB16">
    <cfRule type="expression" dxfId="10" priority="149">
      <formula>AND(LEN(#REF!)&gt;0,ROW()&gt;17,COLUMN()&lt;12,COLUMN()&gt;2,#REF!=$W$8)</formula>
    </cfRule>
  </conditionalFormatting>
  <conditionalFormatting sqref="P6:XFD6 O7:XFD7 O8:V8 Y8:XFD8 N9:XFD10">
    <cfRule type="expression" dxfId="9" priority="215">
      <formula>AND(LEN(#REF!)&gt;0,ROW()&gt;17,COLUMN()&lt;12,COLUMN()&gt;2,$C6=$W$8)</formula>
    </cfRule>
    <cfRule type="expression" dxfId="8" priority="216">
      <formula>AND(MOD(ROW($A6),2)=1,LEN($C6)&gt;0,ROW()&lt;&gt;25,ROW()&gt;16,COLUMN()&lt;14,COLUMN()&gt;2)</formula>
    </cfRule>
  </conditionalFormatting>
  <conditionalFormatting sqref="W8">
    <cfRule type="expression" dxfId="7" priority="7">
      <formula>AND(LEN(#REF!)&gt;0,ROW()&gt;17,COLUMN()&lt;12,COLUMN()&gt;2,#REF!=$W$8)</formula>
    </cfRule>
    <cfRule type="expression" dxfId="6" priority="8">
      <formula>AND(MOD(ROW(#REF!),2)=1,LEN(#REF!)&gt;0,ROW()&lt;&gt;25,ROW()&gt;16,COLUMN()&lt;14,COLUMN()&gt;2)</formula>
    </cfRule>
  </conditionalFormatting>
  <conditionalFormatting sqref="AK16 C16:C1025">
    <cfRule type="expression" dxfId="5" priority="205">
      <formula>AND(MOD(ROW(#REF!),2)=0,LEN(#REF!)&gt;0,ROW()&gt;5,COLUMN()&lt;20,COLUMN()&gt;0)</formula>
    </cfRule>
    <cfRule type="expression" dxfId="4" priority="206">
      <formula>AND(LEN(#REF!)&gt;0,ROW()&gt;5,COLUMN()&lt;20,COLUMN()&gt;1,#REF!=$X$8)</formula>
    </cfRule>
  </conditionalFormatting>
  <conditionalFormatting sqref="AL15:AO15">
    <cfRule type="expression" dxfId="3" priority="209">
      <formula>AND(MOD(ROW(#REF!),2)=0,LEN(#REF!)&gt;0,ROW()&gt;5,COLUMN()&lt;20,COLUMN()&gt;0)</formula>
    </cfRule>
    <cfRule type="expression" dxfId="2" priority="210">
      <formula>AND(LEN(#REF!)&gt;0,ROW()&gt;5,COLUMN()&lt;20,COLUMN()&gt;1,#REF!=$X$8)</formula>
    </cfRule>
  </conditionalFormatting>
  <conditionalFormatting sqref="AQ15">
    <cfRule type="expression" dxfId="1" priority="212">
      <formula>AND(MOD(ROW(#REF!),2)=1,LEN(#REF!)&gt;0,ROW()&lt;&gt;25,ROW()&gt;16,COLUMN()&lt;14,COLUMN()&gt;2)</formula>
    </cfRule>
  </conditionalFormatting>
  <conditionalFormatting sqref="AZ15">
    <cfRule type="expression" dxfId="0" priority="214">
      <formula>AND(MOD(ROW(#REF!),2)=1,LEN(#REF!)&gt;0,ROW()&lt;&gt;25,ROW()&gt;16,COLUMN()&lt;14,COLUMN()&gt;2)</formula>
    </cfRule>
  </conditionalFormatting>
  <dataValidations count="3">
    <dataValidation type="list" allowBlank="1" showInputMessage="1" showErrorMessage="1" sqref="D9" xr:uid="{00000000-0002-0000-0300-000000000000}">
      <formula1>$Z$19:$Z$20</formula1>
    </dataValidation>
    <dataValidation allowBlank="1" showErrorMessage="1" sqref="O7:O10 F8 H8:M8 AJ17" xr:uid="{00000000-0002-0000-0300-000001000000}"/>
    <dataValidation type="list" allowBlank="1" showErrorMessage="1" sqref="D8" xr:uid="{00000000-0002-0000-0300-000002000000}">
      <formula1>$Z$23:$Z$79</formula1>
    </dataValidation>
  </dataValidations>
  <pageMargins left="0.74803149606299202" right="0.74803149606299202" top="0.98425196850393704" bottom="0.98425196850393704" header="0.511811023622047" footer="0.511811023622047"/>
  <pageSetup scale="60" fitToHeight="0" orientation="landscape" r:id="rId1"/>
  <headerFooter alignWithMargins="0">
    <oddFooter>&amp;RPowered by FactSet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workbookViewId="0"/>
  </sheetViews>
  <sheetFormatPr baseColWidth="10" defaultColWidth="8.83203125" defaultRowHeight="13" x14ac:dyDescent="0.15"/>
  <sheetData/>
  <pageMargins left="0.7" right="0.7" top="0.75" bottom="0.75" header="0.3" footer="0.3"/>
  <pageSetup paperSize="9" orientation="portrait" r:id="rId1"/>
  <headerFooter>
    <oddFooter>&amp;RPowered by FactSet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65536"/>
  <sheetViews>
    <sheetView workbookViewId="0"/>
  </sheetViews>
  <sheetFormatPr baseColWidth="10" defaultColWidth="8.83203125" defaultRowHeight="13" x14ac:dyDescent="0.15"/>
  <sheetData>
    <row r="1" spans="1:3" x14ac:dyDescent="0.15">
      <c r="A1" s="2"/>
      <c r="B1" s="2"/>
      <c r="C1" s="2"/>
    </row>
    <row r="65536" spans="1:2" x14ac:dyDescent="0.15">
      <c r="A65536">
        <v>2</v>
      </c>
      <c r="B65536">
        <v>0</v>
      </c>
    </row>
  </sheetData>
  <pageMargins left="0.7" right="0.7" top="0.75" bottom="0.75" header="0.3" footer="0.3"/>
  <pageSetup paperSize="9" orientation="portrait" r:id="rId1"/>
  <headerFooter>
    <oddFooter>&amp;RPowered by FactSet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44FC5F6311C24388A86964DCE30E55" ma:contentTypeVersion="24" ma:contentTypeDescription="Create a new document." ma:contentTypeScope="" ma:versionID="a6f6c0d3d4ead669b2172c048f0d7f80">
  <xsd:schema xmlns:xsd="http://www.w3.org/2001/XMLSchema" xmlns:xs="http://www.w3.org/2001/XMLSchema" xmlns:p="http://schemas.microsoft.com/office/2006/metadata/properties" xmlns:ns2="f7c79459-79c0-4307-8cea-9b6e41b29d0a" xmlns:ns3="323bc80c-eed5-4a14-8d7c-2ad4a90073dd" targetNamespace="http://schemas.microsoft.com/office/2006/metadata/properties" ma:root="true" ma:fieldsID="6b841cc42427fa5ca4feedd915b816c4" ns2:_="" ns3:_="">
    <xsd:import namespace="f7c79459-79c0-4307-8cea-9b6e41b29d0a"/>
    <xsd:import namespace="323bc80c-eed5-4a14-8d7c-2ad4a90073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a7a43cf3527042b48b082acd201b2de8" minOccurs="0"/>
                <xsd:element ref="ns3:TaxCatchAll" minOccurs="0"/>
                <xsd:element ref="ns2:jb511b6e115f4be7a43526f10750ab00" minOccurs="0"/>
                <xsd:element ref="ns2:MediaServiceDateTaken" minOccurs="0"/>
                <xsd:element ref="ns2:MediaLengthInSeconds" minOccurs="0"/>
                <xsd:element ref="ns2:lcf76f155ced4ddcb4097134ff3c332f"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c79459-79c0-4307-8cea-9b6e41b29d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a7a43cf3527042b48b082acd201b2de8" ma:index="19" nillable="true" ma:taxonomy="true" ma:internalName="a7a43cf3527042b48b082acd201b2de8" ma:taxonomyFieldName="Office_x0020_Products" ma:displayName="Microsoft Products" ma:readOnly="false" ma:default="" ma:fieldId="{a7a43cf3-5270-42b4-8b08-2acd201b2de8}" ma:taxonomyMulti="true" ma:sspId="382cea0f-ebb1-42b3-8730-1d3f7453b1af" ma:termSetId="c416894f-f0b3-49fb-ac5a-c3878eefde39" ma:anchorId="00000000-0000-0000-0000-000000000000" ma:open="true" ma:isKeyword="false">
      <xsd:complexType>
        <xsd:sequence>
          <xsd:element ref="pc:Terms" minOccurs="0" maxOccurs="1"/>
        </xsd:sequence>
      </xsd:complexType>
    </xsd:element>
    <xsd:element name="jb511b6e115f4be7a43526f10750ab00" ma:index="22" nillable="true" ma:taxonomy="true" ma:internalName="jb511b6e115f4be7a43526f10750ab00" ma:taxonomyFieldName="OI_x0020_Project" ma:displayName="Office Integration" ma:readOnly="false" ma:default="" ma:fieldId="{3b511b6e-115f-4be7-a435-26f10750ab00}" ma:taxonomyMulti="true" ma:sspId="382cea0f-ebb1-42b3-8730-1d3f7453b1af" ma:termSetId="c034e586-2eec-4383-b016-e0cb5cb67f45" ma:anchorId="00000000-0000-0000-0000-000000000000" ma:open="true" ma:isKeyword="false">
      <xsd:complexType>
        <xsd:sequence>
          <xsd:element ref="pc:Terms" minOccurs="0" maxOccurs="1"/>
        </xsd:sequence>
      </xsd:complex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82cea0f-ebb1-42b3-8730-1d3f7453b1a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3bc80c-eed5-4a14-8d7c-2ad4a90073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cbbb7a6-9072-4cee-aede-9e812122b826}" ma:internalName="TaxCatchAll" ma:showField="CatchAllData" ma:web="323bc80c-eed5-4a14-8d7c-2ad4a90073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23bc80c-eed5-4a14-8d7c-2ad4a90073dd" xsi:nil="true"/>
    <a7a43cf3527042b48b082acd201b2de8 xmlns="f7c79459-79c0-4307-8cea-9b6e41b29d0a">
      <Terms xmlns="http://schemas.microsoft.com/office/infopath/2007/PartnerControls"/>
    </a7a43cf3527042b48b082acd201b2de8>
    <lcf76f155ced4ddcb4097134ff3c332f xmlns="f7c79459-79c0-4307-8cea-9b6e41b29d0a">
      <Terms xmlns="http://schemas.microsoft.com/office/infopath/2007/PartnerControls"/>
    </lcf76f155ced4ddcb4097134ff3c332f>
    <jb511b6e115f4be7a43526f10750ab00 xmlns="f7c79459-79c0-4307-8cea-9b6e41b29d0a">
      <Terms xmlns="http://schemas.microsoft.com/office/infopath/2007/PartnerControls"/>
    </jb511b6e115f4be7a43526f10750ab00>
  </documentManagement>
</p:properties>
</file>

<file path=customXml/item4.xml><?xml version="1.0" encoding="utf-8"?>
<FdsFormulaCache xmlns="urn:fdsformulacache" version="1" timestamp="1779969019590"><![CDATA[{"140376^COUNT(FG_CONSTITUENTS)":[[0]],"180180^COUNT(FG_CONSTITUENTS)":[[0]],"188580^COUNT(FG_CONSTITUENTS)":[[16]],"180555^COUNT(FG_CONSTITUENTS)":[[0]],"183872^COUNT(FG_CONSTITUENTS)":[[500]],"^CS_EVENT_DESC_N(\"ER\",4)":[["@NA"]],"^CS_EVENT_TIME_N(\"ER\",4)":[["@NA"]],"^CS_EVENT_DATEJ_N(\"ER\",4)":[["@NA"]],"168635^COUNT(FG_CONSTITUENTS)":[[0]],"188923^COUNT(FG_CONSTITUENTS)":[[0]],"180824^COUNT(FG_CONSTITUENTS)":[[35]],"180353^COUNT(FG_CONSTITUENTS)":[[0]],"186745^COUNT(FG_CONSTITUENTS)":[[0]],"J433XXXX^COUNT(FG_CONSTITUENTS)":[[0]],"180371^COUNT(FG_CONSTITUENTS)":[[0]],"187640^COUNT(FG_CONSTITUENTS)":[[207]],"180085^COUNT(FG_CONSTITUENTS)":[[0]],"180731^COUNT(FG_CONSTITUENTS)":[[35]],"140378^COUNT(FG_CONSTITUENTS)":[[0]],"181010^COUNT(FG_CONSTITUENTS)":[[29]],"180461^COUNT(FG_CONSTITUENTS)":[[0]],"167202^COUNT(FG_CONSTITUENTS)":[[0]],"180530^COUNT(FG_CONSTITUENTS)":[[1056]],"168636^COUNT(FG_CONSTITUENTS)":[[0]],"180060^COUNT(FG_CONSTITUENTS)":[[31]],"160261^COUNT(FG_CONSTITUENTS)":[[8]],"180458^COUNT(FG_CONSTITUENTS)":[[90]],"161597^COUNT(FG_CONSTITUENTS)":[[269]],"188440^COUNT(FG_CONSTITUENTS)":[[125]],"153354^COUNT(FG_CONSTITUENTS)":[[50]],"180454^COUNT(FG_CONSTITUENTS)":[[40]],"173185^COUNT(FG_CONSTITUENTS)":[[300]],"187183^COUNT(FG_CONSTITUENTS)":[[0]],"180825^COUNT(FG_CONSTITUENTS)":[[20]],"000001172^COUNT(FG_CONSTITUENTS)":[[503]],"180721^COUNT(FG_CONSTITUENTS)":[[835]],"00000110^COUNT(FG_CONSTITUENTS)":[[30]],"180553^COUNT(FG_CONSTITUENTS)":[[0]],"185419^COUNT(FG_CONSTITUENTS)":[[0]],"180264^COUNT(FG_CONSTITUENTS)":[[79]],"186658^COUNT(FG_CONSTITUENTS)":[[0]],"891990004^COUNT(FG_CONSTITUENTS)":[[220]],"12496H108^COUNT(FG_CONSTITUENTS)":[[0]],"188931^COUNT(FG_CONSTITUENTS)":[[20]],"12490H10^COUNT(FG_CONSTITUENTS)":[[101]],"188928^COUNT(FG_CONSTITUENTS)":[[20]],"181510^COUNT(FG_CONSTITUENTS)":[[0]],"180334^COUNT(FG_CONSTITUENTS)":[[0]],"187653^COUNT(FG_CONSTITUENTS)":[[40]],"180554^COUNT(FG_CONSTITUENTS)":[[0]],"186801^COUNT(FG_CONSTITUENTS)":[[0]],"186800^COUNT(FG_CONSTITUENTS)":[[0]],"157385^COUNT(FG_CONSTITUENTS)":[[0]],"^CS_EVENT_DATEJ_N(\"ER\",3)":[["@NA"]],"^CS_EVENT_TIME_N(\"ER\",3)":[["@NA"]],"^CS_EVENT_DESC_N(\"ER\",3)":[["@NA"]],"DUMMY^JULIAN(TODAY)":[[46170]],"^CS_EVENT_DATEJ_N(\"ER\",2)":[["@NA"]],"^CS_EVENT_TIME_N(\"ER\",2)":[["@NA"]],"^CS_EVENT_DESC_N(\"ER\",2)":[["@NA"]],"^CS_EVENT_DESC_N(\"E\",1)":[["@NA"]],"^CS_EVENT_TIME_N(\"E\",1)":[["@NA"]],"^CS_EVENT_DATEJ_N(\"E\",1)":[["@NA"]],"^CS_EVENT_TIME_N(\"ER\",1)":[["@NA"]],"^CS_EVENT_DESC_N(\"ER\",1)":[["@NA"]],"^CS_EVENT_DATEJ_N(\"ER\",1)":[["@NA"]],"^FG_COMPANY_NAME":[["@NA"]],"000001172^FMA_GEOREV_TOP_EXPOSURES(4,20,0,,,,\"PORTAGG\")":[["Dates","20260331"],["United States","59.539886"],["Mainland China","6.777258"],["Taiwan, China","2.466198"],["Japan","2.330717"],["United Kingdom","2.124606"],["Germany","1.930996"],["Canada","1.651652"],["India","1.525255"],["France","1.422384"],["Republic of Korea (South Korea)","1.183826"],["Italy","1.023350"],["Brazil","0.959733"],["Mexico","0.954168"],["Singapore","0.947034"],["Russian Federation","0.822947"],["Australia","0.813825"],["Spain","0.783558"],["Netherlands","0.772054"],["Indonesia","0.615185"],["Turkey","0.528447"]],"000001172^FMA_GEOREV_SUPER_REGION(\"R170\",0,,,,\"PORTAGG\")":[[18.706844650487]],"000001172^FMA_EVAL_EBITDA(+1,0,,,\"PORTAGG\",\"MEANR\")":[[14.0365255845797]],"000001172^FMA_GEOREV_ECONOMY(\"FRNT\",-2AY,,,,\"PORTAGG\")":[[3.362960434464]],"000001172^FMA_GEOREV_SUPER_REGION(\"R1\",-1AY,,,,\"PORTAGG\")":[[3.588337264796]],"000001172^JULIAN(FMA_GEOREV_SUPER_REGION(\"R101\",0,,,,\"AGGREGATE\").DATES)":[[46112]],"000001172^FMA_EVAL_EBITDA(NTMA,0,,,\"PORTAGG\",\"MEANR\")":[[13.6014108755251]],"000001172^FMA_PCT_BELOW_MAVG(50,0)":[[77.1371769383698]],"000001172^FG_TRET_PCHG_IDX(0,-6AM,)/100":[[-0.0179438049767531]],"000001172^JULIAN(FMA_GEOREV_SUPER_REGION(\"R101\",-1AY,,,,\"AGGREGATE\").DATES)":[[45747]],"000001172^FG_PCHG_IDX(0,-6AM,)/100":[[-0.0239130795796682]],"000001172^STRING_ARRAY SECT=VALUE(\"000001172\",FG_INDUSTRY_BREAKDOWN(\"ONE\",0));\"\"":[[""]],"000001172^STRING_ARRAY SECT=TRANSPOSE(FG_INDUSTRY_BREAKDOWN(\"FOUR\",0));\"\"":[[""]],"000001172^FG_CURRENCY_IDX(\"NAME\")":[["U.S. Dollar"]],"000001172^MAX(FG_PRICE_IDX(0,-1AY,))":[[6978.59692762675]],"000001172^FMA_PE(+2,0,,,\"PORTAGG\",\"MEANR\")":[[17.5096771307366]],"000001172^FG_SOURCE_IDX":[["S&P US"]],"000001172^FMA_GEOREV_SUPER_REGION(\"R1\",-2AY,,,,\"PORTAGG\")":[[3.620869993902]],"^SORT_INDIRECT(TRANSPOSE(US_UNIV('(FG_CONSTITUENTS(000001172))=1','TICKER')),TRANSPOSE(GET_FQL_ARRAY(US_UNIV('(FG_CONSTITUENTS(000001172))=1','TICKER'),\"JULIAN(CS_EVENT_DESC_N('ER',1).DATES)\")),1)":[["ADSK"],["DLTR"],["COST"],["HRL"],["NTAP"],["DELL"],["HPE"],["ULTA"],["PANW"],["DG"],["MDT"],["AVGO"],["VEEV"],["CRWD"],["BF.B"],["LULU"],["CIEN"],["COO"],["CPB"],["SJM"],["CASY"],["ADBE"],["ORCL"],["ACN"],["JBL"],["KR"],["DRI"],["FDS"],["LEN"],["FDX"],["MKC"],["NKE"],["CCL"],["GIS"],["MU"],["PAYX"],["STZ"],["CTAS"],["PGR"],["CAG"],["DAL"],["UNH"],["STT"],["FAST"],["JPM"],["BAC"],["WFC"],["GS"],["PEP"],["C"],["MS"],["MTB"],["PNC"],["BNY"],["FCX"],["HAL"],["WRB"],["USB"],["BIIB"],["TFC"],["GE"],["POOL"],["SNA"],["MRSH"],["NFLX"],["ABT"],["ISRG"],["PPG"],["DPZ"],["STX"],["TRV"],["BX"],["CFG"],["FITB"],["ROP"],["RF"],["PLD"],["KEY"],["VZ"],["BLK"],["SCHW"],["JBHT"],["DHI"],["OMC"],["MSCI"],["GM"],["IBKR"],["SYF"],["CCI"],["EFX"],["PHM"],["STLD"],["JNJ"],["RJF"],["IBM"],["CSX"],["LUV"],["NTRS"],["KMI"],["BKR"],["NDAQ"],["ELV"],["UAL"],["LVS"],["PM"],["GEV"],["MLM"],["WST"],["HON"],["EW"],["BAX"],["PCG"],["LHX"],["AOS"],["KIM"],["AMT"],["HSY"],["VRSN"],["TSCO"],["TXT"],["AJG"],["WTW"],["ERIE"],["DOV"],["DTE"],["HIG"],["DECK"],["ESS"],["MTD"],["HBAN"],["EME"],["MAS"],["KLAC"],["AEP"],["VLO"],["NOC"],["TROW"],["WAB"],["WY"],["EIX"],["RCL"],["PFG"],["INTC"],["UNP"],["XEL"],["LII"],["CMS"],["MA"],["DXCM"],["ALLE"],["DLR"],["KDP"],["HCA"],["CMCSA"],["CBRE"],["DOC"],["TMUS"],["FSLR"],["VLTO"],["FTV"],["DOW"],["LIN"],["CARR"],["BEN"],["CVX"],["XOM"],["SLB"],["AON"],["AXP"],["CHD"],["ABBV"],["CHTR"],["PSX"],["UHS"],["ARE"],["BRO"],["CDNS"],["NUE"],["PKG"],["RTX"],["LMT"],["DHR"],["MSFT"],["MCO"],["KO"],["COF"],["NVR"],["TER"],["MMM"],["IEX"],["CSGP"],["TXN"],["GPC"],["AVY"],["CNC"],["EQT"],["WM"],["EQR"],["PCAR"],["DGX"],["SHW"],["UPS"],["KMB"],["HUBB"],["ADM"],["GOOGL"],["IQV"],["NXPI"],["MDLZ"],["GOOG"],["IVZ"],["V"],["PNR"],["CB"],["PYPL"],["WEC"],["MAA"],["EQIX"],["BSX"],["APH"],["NEM"],["FISV"],["ODFL"],["ALGN"],["GD"],["EG"],["FIX"],["CINF"],["ROL"],["TDY"],["URI"],["HAS"],["NSC"],["BA"],["ORLY"],["TMO"],["GL"],["TYL"],["REG"],["F"],["ACGL"],["MCD"],["HUM"],["CMG"],["NEE"],["AWK"],["PTC"],["TSLA"],["HLT"],["CME"],["AMP"],["T"],["UDR"],["TEL"],["META"],["NOW"],["INVH"],["VICI"],["OTIS"],["AES"],["ED"],["GEN"],["SO"],["IP"],["CPT"],["VMC"],["RMD"],["MNST"],["EVRG"],["LH"],["BMY"],["REGN"],["LNT"],["APD"],["SRE"],["PPL"],["AEE"],["TRGP"],["TRMB"],["AMGN"],["AMZN"],["APO"],["SYK"],["AAPL"],["PWR"],["VTR"],["BDX"],["BALL"],["CI"],["IRM"],["EOG"],["VRTX"],["COP"],["MO"],["PNW"],["SATS"],["BLDR"],["FTNT"],["EPAM"],["CEG"],["ICE"],["CVNA"],["MSI"],["HII"],["EXPE"],["COIN"],["XYZ"],["HWM"],["APTV"],["MRNA"],["CTVA"],["PSKY"],["DASH"],["WBD"],["CL"],["D"],["CBOE"],["LYB"],["ARES"],["SBAC"],["WELL"],["L"],["ON"],["GPN"],["FFIV"],["SPG"],["RVTY"],["MPWR"],["BRK.B"],["ANET"],["MOS"],["FANG"],["PRU"],["MAR"],["AME"],["ITW"],["SBUX"],["GLW"],["DVN"],["WAT"],["SWK"],["ZBRA"],["BXP"],["SYY"],["EXPD"],["ETN"],["PG"],["GWW"],["PEG"],["AMD"],["OXY"],["MCHP"],["SPGI"],["AIZ"],["INCY"],["ECL"],["PSA"],["CNP"],["IDXX"],["EA"],["PFE"],["FE"],["CAT"],["CMI"],["ROK"],["ZBH"],["LDOS"],["IT"],["KKR"],["MRK"],["LYV"],["EXR"],["TAP"],["XYL"],["UBER"],["DD"],["EXE"],["GRMN"],["CLX"],["MGM"],["AIG"],["LLY"],["MCK"],["ALL"],["ETR"],["QCOM"],["ES"],["SWKS"],["FICO"],["ADP"],["FRT"],["O"],["ALB"],["YUM"],["TT"],["HST"],["CTSH"],["AVB"],["NI"],["EBAY"],["LRCX"],["COR"],["WDC"],["TPL"],["BG"],["APA"],["RSG"],["MET"],["CVS"],["BKNG"],["DVA"],["EXC"],["GNRC"],["CDW"],["GDDY"],["IR"],["JCI"],["VRSK"],["FIS"],["CHRW"],["CF"],["KHC"],["SW"],["VRT"],["HOOD"],["GEHC"],["TTWO"],["PH"],["RL"],["AFL"],["TTD"],["PODD"],["NWS"],["VST"],["NWSA"],["DDOG"],["TKO"],["SOLV"],["WMB"],["OKE"],["TSN"],["IFF"],["STE"],["VTRS"],["PLTR"],["HSIC"],["TECH"],["AXON"],["AKAM"],["EMR"],["WYNN"],["J"],["TDG"],["DUK"],["SMCI"],["ZTS"],["BR"],["FOX"],["FOXA"],["ATO"],["DIS"],["CRL"],["CPAY"],["NRG"],["ABNB"],["APP"],["KVUE"],["COHR"],["TPR"],["ROST"],["AMAT"],["SNDK"],["CAH"],["A"],["HD"],["LITE"],["TJX"],["TGT"],["EL"],["CSCO"],["LOW"],["KEYS"],["AMCR"],["DE"],["WMT"],["INTU"],["WDAY"],["CRH"],["NDSN"],["JKHY"],["ADI"],["NVDA"],["WSM"],["CRM"],["BBY"],["HPQ"],["CPRT"],["AZO"],["GILD"],["MPC"],["NCLH"],["SNPS"],["Q"]],"000001172^FMA_GEOREV_ECONOMY(\"EMRG\",0,,,,\"PORTAGG\")":[[16.688648009833]],"000001172^FMA_PSALES(+2,0,,,\"PORTAGG\",\"MEANR\")":[[2.83319737620457]],"000001172^FMA_EVAL_EBITDA(LTM,0,,,\"PORTAGG\")":[[17.3404210859253]],"000001172^FMA_PCT_ABOVE_MAVG(50,0)":[[22.8628230616302]],"000001172^FG_COMPANY_NAME":[["S&P 500"]],"000001172^FMA_GEOREV_ECONOMY(\"EMRG\",-1AY,,,,\"PORTAGG\")":[[15.649589048175]],"000001172^FMA_GEOREV_ECONOMY(\"FRNT\",0,,,,\"PORTAGG\")":[[3.156555615865]],"000001172^JULIAN(FMA_GEOREV_ECONOMY(\"DVLP\",-2AY,,,,\"PORTAGG\").DATES)":[[45382]],"000001172^FMA_GEOREV_SUPER_REGION(\"R101\",-1AY,,,,\"PORTAGG\")":[[65.23829319067]],"000001172^FMA_PCT_ABOVE_MAVG(200,0)":[[46.8127490039841]],"000001172^FG_TRET_PCHG_IDX(0,0CY,)/100":[[-0.0433431413407038]],"000001172^FMA_EVAL_EBIT(LTM,0,,,\"PORTAGG\")":[[23.6930196517072]],"000001172^FMA_GEOREV_SUPER_REGION(\"R274\",-1AY,,,,\"PORTAGG\")":[[13.256055219785]],"000001172^FMA_PSALES(NTMA,0,,,\"PORTAGG\",\"MEANR\")":[[2.9901467331767]],"000001172^FMA_DECLINERS_PCT(0)/100":[[0.165009940357853]],"000001172^FG_PCHG_IDX(0,-1AY,)/100":[[0.163344414239321]],"000001172^MAX(FG_TOTAL_RET_IDX(0,-1AY,))":[[15527.821350081]],"000001172^FMA_EVAL_SALES(+2,0,,,\"PORTAGG\",\"MEANR\")":[[3.32666257011482]],"000001172^FMA_AD(-1AY,0,D)":[[0],[94],[371],[59],[-416],[-598],[-963],[-478],[-832],[-459],[-97],[-202],[-572],[-306],[-731],[-246],[-24],[284],[193],[359],[599],[738],[664],[1079],[950],[733],[955],[1149],[1129],[1445],[1432],[1226],[1473],[1862],[1871],[1717],[1251],[1125],[969],[1403],[1065],[1277],[1298],[1265],[1483],[1373],[1249],[1580],[1604],[1763],[1603],[1702],[1339],[1564],[1238],[1214],[1310],[1607],[1861],[1632],[1874],[2048],[2243],[2497],[2570],[2771],[2461],[2497],[2600],[2803],[2523],[2595],[2189],[2378],[2622],[2627],[2489],[2801],[2983],[2913],[3080],[2860],[2866],[2681],[2456],[2245],[2604],[2553],[2530],[2523],[2614],[2469],[2770],[3103],[2884],[2787],[2748],[2953],[2974],[2794],[3141],[2838],[2853],[3038],[2982],[3047],[2778],[2728],[2961],[3004],[2990],[2895],[2795],[3167],[2898],[2795],[2670],[2745],[2884],[2805],[2793],[2849],[2786],[2522],[2878],[2991],[3091],[3025],[3082],[3225],[3200],[3103],[3130],[2868],[2520],[2732],[3008],[3002],[2770],[2992],[3321],[3418],[3313],[3380],[3397],[3544],[3250],[2996],[2963],[2984],[2852],[2790],[2907],[2728],[3005],[3130],[3317],[3408],[3167],[3034],[2717],[2714],[2604],[2402],[2794],[2812],[3164],[3382],[3636],[3403],[3333],[3505],[3508],[3522],[3334],[3264],[3540],[3776],[3716],[3779],[3544],[3557],[3585],[3652],[3930],[3861],[4139],[4173],[4089],[3974],[3507],[3659],[3840],[4097],[3822],[4031],[4092],[4086],[4109],[4243],[4361],[4312],[4011],[4336],[4406],[4272],[4404],[4369],[4246],[4321],[4311],[4390],[4432],[4656],[4517],[4815],[4841],[4942],[5009],[4826],[5057],[5037],[5169],[5076],[5241],[5084],[5295],[5309],[5507],[5560],[5539],[5307],[5374],[5146],[4934],[4939],[4730],[4569],[4289],[4303],[4555],[4684],[4343],[4264],[3989],[4249],[4318],[4460],[4330],[4048],[4093],[4384]],"000001172^JULIAN(FMA_GEOREV_ECONOMY(\"DVLP\",-1AY,,,,\"PORTAGG\").DATES)":[[45747]],"000001172^FMA_GEOREV_ECONOMY(\"DVLP\",0,,,,\"PORTAGG\")":[[77.575045819013]],"000001172^STRING_ARRAY CONSTITUENTS=GET_FQL_ARRAY(US_UNIV(\"FG_CONST_WEIGHT(000001172,0,CLOSE)>0\"),\"CONCAT(P_SYMBOL,FG_COMPANY_NAME,FG_PRICE_CHANGE(-1AY,,D)/100)\");\"\"":[[""]],"000001172^FMA_GEOREV_ECONOMY(\"DVLP\",-1AY,,,,\"PORTAGG\")":[[78.709953938464]],"000001172^FMA_GEOREV_SUPER_REGION(\"R274\",-2AY,,,,\"PORTAGG\")":[[13.600101891035]],"000001172^FMA_PSALES(LTM,0,,,\"PORTAGG\")":[[3.18369540269657]],"000001172^FMA_PBK(+2,0,,,\"PORTAGG\",\"MEANR\")":[[3.8958698040195]],"000001172^FMA_DECLINERS(0)":[[83]],"000001172^FMA_EVAL_SALES(+1,0,,,\"PORTAGG\",\"MEANR\")":[[3.58743189237255]],"000001172^FMA_ADVANCERS_VOL_PCT(0)/100":[[0.813555402563506]],"000001172^FG_PCHG_IDX(0,0CY,)/100":[[-0.0463059096572955]],"000001172^FMA_EVAL_SALES(NTMA,0,,,\"PORTAGG\",\"MEANR\")":[[3.52313260743229]],"000001172^FMA_GEOREV_ECONOMY(\"DVLP\",-2AY,,,,\"PORTAGG\")":[[77.722673452095]],"000001172^FMA_GEOREV_SUPER_REGION(\"R101\",0,,,,\"PORTAGG\")":[[64.597910398639]],"000001172^FMA_PBK(+1,0,,,\"PORTAGG\",\"MEANR\")":[[4.46498540731676]],"000001172^FMA_PBK(NTMA,0,,,\"PORTAGG\",\"MEANR\")":[[4.32465553253114]],"000001172^FMA_ADVANCERS_VOL(0)":[[3199350.1547718]],"000001172^FMA_PBK(LTM,0,,,\"PORTAGG\",\"MEANR\")":[[5.00398325997246]],"000001172^FG_TRET_PCHG_IDX(0,-3AM,)/100":[[-0.0433431413407038]],"000001172^FMA_EVAL_SALES(LTM,0,,,\"PORTAGG\")":[[3.9126742585123]],"000001172^FMA_ADVANCERS_PCT(0)/100":[[0.833001988071571]],"000001172^FMA_GEOREV_TOP_EXPOSURES(4,20,-1AY,,,,\"PORTAGG\")":[["Dates","20250331"],["United States","59.746044"],["Mainland China","6.779068"],["Japan","2.273178"],["United Kingdom","2.241419"],["Germany","2.144826"],["Canada","1.784858"],["Singapore","1.751088"],["Taiwan, China","1.480592"],["India","1.415767"],["France","1.322139"],["Mexico","1.131939"],["Brazil","1.064824"],["Italy","1.057145"],["Republic of Korea (South Korea)","0.997334"],["Australia","0.838797"],["Russian Federation","0.834170"],["Netherlands","0.813382"],["Spain","0.774222"],["Indonesia","0.609163"],["Switzerland","0.509700"]],"000001172^JULIAN(FMA_GEOREV_ECONOMY(\"DVLP\",0,,,,\"PORTAGG\").DATES)":[[46112]],"000001172^FMA_GEOREV_SUPER_REGION(\"R101\",-2AY,,,,\"PORTAGG\")":[[64.616587620962]],"000001172^FMA_DIV_YLD(LTM,0,,,\"PORTAGG\",\"MEANR\")":[[1.17414006160271]],"000001172^FG_PRICE_ICS(0/0/-1,-1D,D,LOCAL,SPLIT,0,,,5)":[[5611.85],[5633.07],[5670.97],[5396.52],[5074.08],[5062.25],[4982.77],[5456.9],[5268.05],[5363.36],[5405.97],[5396.63],[5275.7],[5282.7],[5158.2],[5287.76],[5375.86],[5484.77],[5525.21],[5528.75],[5560.83],[5569.06],[5604.14],[5686.67],[5650.38],[5606.91],[5631.28],[5663.94],[5659.91],[5844.19],[5886.55],[5892.58],[5916.93],[5958.38],[5963.6],[5940.46],[5844.61],[5842.01],[5802.82],[5921.54],[5888.55],[5912.17],[5911.69],[5935.94],[5970.37],[5970.81],[5939.3],[6000.36],[6005.88],[6038.81],[6022.24],[6045.26],[5976.97],[6033.11],[5982.72],[5980.87],[5967.84],[6025.17],[6092.18],[6092.16],[6141.02],[6173.07],[6204.95],[6198.01],[6227.42],[6279.35],[6229.98],[6225.52],[6263.26],[6280.46],[6259.75],[6268.56],[6243.76],[6263.7],[6297.36],[6296.79],[6305.6],[6309.62],[6358.91],[6363.35],[6388.64],[6389.77],[6370.86],[6362.9],[6339.39],[6238.01],[6329.94],[6299.19],[6345.06],[6340],[6389.45],[6373.45],[6445.76],[6466.58],[6468.54],[6449.8],[6449.15],[6411.37],[6395.78],[6370.17],[6466.91],[6439.32],[6465.94],[6481.4],[6501.86],[6460.26],[6415.54],[6448.26],[6502.08],[6481.5],[6495.15],[6512.61],[6532.04],[6587.47],[6584.29],[6615.28],[6606.76],[6600.35],[6631.96],[6664.36],[6693.75],[6656.92],[6637.97],[6604.72],[6643.7],[6661.21],[6688.46],[6711.2],[6715.35],[6715.79],[6740.28],[6714.59],[6753.72],[6735.11],[6552.51],[6654.72],[6644.31],[6671.06],[6629.07],[6664.01],[6735.13],[6735.35],[6699.4],[6738.44],[6791.69],[6875.16],[6890.89],[6890.59],[6822.34],[6840.2],[6851.97],[6771.55],[6796.29],[6720.32],[6728.8],[6832.43],[6846.61],[6850.92],[6737.49],[6734.11],[6672.41],[6617.32],[6642.16],[6538.76],[6602.99],[6705.12],[6765.88],[6812.61],[6849.09],[6812.63],[6829.37],[6849.72],[6857.12],[6870.4],[6846.51],[6840.51],[6886.68],[6901],[6827.41],[6816.51],[6800.26],[6721.43],[6774.76],[6834.5],[6878.49],[6909.79],[6932.05],[6929.94],[6905.74],[6896.24],[6845.5],[6858.47],[6902.05],[6944.82],[6920.93],[6921.46],[6966.28],[6977.27],[6963.74],[6926.6],[6944.47],[6940.01],[6796.86],[6875.62],[6913.35],[6915.61],[6950.23],[6978.6],[6978.03],[6969.01],[6939.03],[6976.44],[6917.81],[6882.72],[6798.4],[6932.3],[6964.82],[6941.81],[6941.47],[6832.76],[6836.17],[6843.22],[6881.31],[6861.89],[6909.51],[6837.75],[6890.07],[6946.13],[6908.86],[6878.88],[6881.62],[6816.63],[6869.5],[6830.71],[6740.02],[6795.99],[6781.48],[6775.8],[6672.62],[6632.19],[6699.38],[6716.09],[6624.7],[6606.49],[6506.48],[6581],[6556.37],[6591.9],[6477.16],[6368.85],[6343.72]],"000001172^FMA_GEOREV_TOP_EXPOSURES(4,20,-2AY,,,,\"PORTAGG\")":[["Dates","20240331"],["United States","59.068890"],["Mainland China","7.136275"],["Japan","2.577308"],["Germany","2.248618"],["United Kingdom","2.201190"],["Taiwan, China","1.869011"],["Canada","1.820535"],["India","1.441372"],["France","1.346463"],["Republic of Korea (South Korea)","1.085877"],["Brazil","1.076092"],["Italy","1.075846"],["Mexico","1.059909"],["Russian Federation","0.907139"],["Australia","0.880533"],["Netherlands","0.816454"],["Spain","0.776573"],["Singapore","0.673126"],["Indonesia","0.617458"],["Switzerland","0.536332"]],"000001172^FMA_PCT_BELOW_MAVG(200,0)":[[53.1872509960159]],"000001172^FMA_ADVANCERS(0)":[[419]],"000001172^FG_PCHG_IDX(0,-3AM,)/100":[[-0.0463059096572955]],"000001172^FMA_EVAL_EBIT(+2,0,,,\"PORTAGG\",\"MEANR\")":[[15.8068901642049]],"000001172^FMA_PCT_ABOVE_MAVG(50,-1AY,0,D)":[[39.1650099403579],[40.9542743538767],[41.5506958250497],[31.4115308151093],[11.1332007952286],[6.75944333996024],[5.36779324055666],[14.9105367793241],[13.7176938369781],[19.2842942345924],[25.4473161033797],[24.6520874751491],[20.675944333996],[24.0556660039761],[14.5129224652087],[24.0556660039761],[27.037773359841],[32.6043737574553],[33.5984095427435],[36.182902584493],[40.1590457256461],[42.7435387673956],[41.351888667992],[57.0576540755467],[54.2743538767396],[52.0874751491054],[56.4612326043738],[60.0397614314115],[61.0337972166998],[72.5646123260437],[69.3836978131213],[64.4135188866799],[73.1610337972167],[78.5288270377734],[79.5228628230616],[79.324055666004],[65.8051689860835],[62.8230616302187],[60.4373757455268],[73.3598409542744],[66.2027833001988],[69.3836978131213],[70.9741550695825],[69.9801192842942],[71.1729622266402],[71.3717693836978],[68.7872763419483],[73.9562624254473],[75.3479125248509],[78.9264413518887],[76.3419483101392],[79.1252485089463],[69.7813121272366],[72.7634194831014],[62.0278330019881],[60.6361829025845],[60.8349900596421],[69.9801192842942],[73.7574552683897],[66.0039761431412],[68.5884691848907],[68.986083499006],[71.5705765407555],[79.324055666004],[74.7011952191235],[77.8884462151394],[72.3107569721116],[72.3107569721116],[71.9681908548708],[73.1610337972167],[67.3956262425447],[69.1848906560636],[58.8469184890656],[61.2326043737575],[64.3426294820717],[63.5458167330677],[59.7609561752988],[72.5099601593625],[75.1491053677932],[71.1729622266402],[73.7574552683897],[67.1968190854871],[66.4015904572565],[60.8349900596421],[55.6660039761431],[48.3101391650099],[54.2743538767396],[53.0815109343936],[51.0934393638171],[52.882703777336],[55.2683896620278],[53.4791252485089],[59.4433399602386],[65.2087475149105],[61.8290258449304],[58.4493041749503],[58.051689860835],[63.4194831013916],[63.6182902584493],[60.6361829025845],[70.5765407554672],[65.4075546719682],[64.6123260437376],[65.4075546719682],[63.6182902584493],[63.0218687872763],[56.8588469184891],[54.8707753479125],[57.6540755467197],[58.648111332008],[56.6600397614314],[55.2683896620278],[52.6838966202783],[64.0159045725646],[58.8469184890656],[54.6719681908549],[50.2982107355865],[53.8767395626243],[56.4612326043738],[55.4671968190855],[53.0815109343936],[56.8588469184891],[54.0755467196819],[47.117296222664],[53.8767395626243],[54.2743538767396],[56.6600397614314],[55.2683896620278],[55.4671968190855],[59.0457256461233],[56.0636182902585],[54.4731610337972],[54.8707753479125],[49.1053677932406],[35.9840954274354],[41.351888667992],[47.5149105367793],[46.7196819085487],[39.5626242544732],[43.3399602385686],[50.4970178926441],[53.0815109343936],[48.7077534791253],[50.8946322067594],[52.6838966202783],[55.8648111332008],[47.117296222664],[41.1530815109344],[41.351888667992],[40.2390438247012],[38.4462151394422],[38.9221556886228],[39.9201596806387],[38.5229540918164],[43.9121756487026],[45.7085828343313],[49.1017964071856],[51.497005988024],[44.5109780439122],[43.1137724550898],[36.5269461077844],[35.7285429141717],[34.1317365269461],[31.1377245508982],[38.9221556886228],[41.1177644710579],[50.6986027944112],[55.2894211576846],[58.4830339321357],[51.0978043912176],[51.0978043912176],[53.4930139720559],[54.6906187624751],[54.4910179640719],[49.1017964071856],[46.5069860279441],[53.6926147704591],[60.2794411177645],[58.6826347305389],[61.4770459081836],[56.0878243512974],[58.2834331337325],[56.0878243512974],[56.8862275449102],[61.5537848605578],[60.5577689243028],[61.7529880478088],[62.5498007968127],[63.3466135458167],[62.3505976095618],[55.7768924302789],[58.4493041749503],[62.8230616302187],[66.7992047713718],[60.4373757455268],[68.986083499006],[69.3836978131213],[67.3956262425447],[66.7992047713718],[70.1789264413519],[71.3717693836978],[70.9741550695825],[60.0397614314115],[68.1908548707754],[67.1968190854871],[65.8051689860835],[68.389662027833],[65.6063618290258],[61.4314115308151],[61.8290258449304],[64.4135188866799],[63.4194831013916],[61.2326043737575],[65.5378486055777],[63.1474103585657],[68.3266932270916],[67.5944333996024],[67.9920477137177],[66.2027833001988],[60.8349900596421],[62.2266401590457],[63.6182902584493],[65.8051689860835],[63.6182902584493],[64.2147117296223],[60.2385685884692],[61.2326043737575],[62.0278330019881],[65.2087475149105],[61.6302186878728],[60.4373757455268],[55.4671968190855],[56.8588469184891],[51.8886679920477],[43.3399602385686],[42.9423459244533],[39.7614314115308],[37.1769383697813],[31.013916500994],[30.6163021868787],[32.0079522862823],[33.5984095427435],[26.6401590457256],[26.2425447316103],[17.8926441351889],[22.0675944333996],[24.0556660039761],[26.441351888668],[21.6699801192843],[19.6819085487078],[19.4831013916501],[22.8628230616302]],"000001172^FMA_PCT_ABOVE_MAVG(200,-1AY,0,D)":[[41.7495029821074],[41.7495029821074],[45.5268389662028],[35.3876739562624],[21.272365805169],[17.8926441351889],[16.6998011928429],[28.4294234592445],[24.2544731610338],[27.6341948310139],[29.8210735586481],[29.0258449304175],[27.2365805168986],[29.4234592445328],[24.0556660039761],[29.4234592445328],[29.6222664015905],[32.0079522862823],[32.20675944334],[32.4055666003976],[33.7972166998012],[34.9900596421471],[34.7912524850895],[40.3578528827038],[39.7614314115308],[36.3817097415507],[40.1590457256461],[42.3459244532803],[41.7495029821074],[49.9005964214712],[49.3041749502982],[47.713717693837],[51.6898608349901],[54.8707753479125],[54.4731610337972],[52.882703777336],[47.117296222664],[46.1232604373757],[44.9304174950298],[49.1053677932406],[45.9244532803181],[47.713717693837],[47.3161033797217],[46.9184890656064],[48.7077534791253],[47.5149105367793],[46.1232604373757],[49.3041749502982],[48.7077534791253],[51.8886679920477],[50.4970178926441],[51.8886679920477],[47.3161033797217],[49.9005964214712],[45.1292246520875],[44.7316103379722],[45.7256461232604],[49.1053677932406],[51.4910536779324],[46.9184890656064],[50.4970178926441],[51.8886679920477],[53.0815109343936],[59.6421471172962],[59.3625498007968],[61.3545816733068],[58.1673306772908],[59.1633466135458],[60.6361829025845],[62.8230616302187],[60.2385685884692],[59.6421471172962],[55.8648111332008],[55.8648111332008],[58.9641434262948],[58.1673306772908],[57.5697211155379],[62.3505976095618],[64.4135188866799],[62.8230616302187],[64.4135188866799],[61.0337972166998],[61.2326043737575],[58.648111332008],[57.455268389662],[53.6779324055666],[58.051689860835],[56.4612326043738],[54.4731610337972],[55.8648111332008],[56.6600397614314],[55.4671968190855],[58.8469184890656],[63.6182902584493],[60.8349900596421],[60.2385685884692],[60.4373757455268],[63.6182902584493],[63.6182902584493],[62.8230616302187],[68.5884691848907],[65.0099403578529],[64.2147117296223],[65.6063618290258],[65.4075546719682],[66.2027833001988],[63.817097415507],[63.4194831013916],[63.817097415507],[63.817097415507],[64.2147117296223],[63.0218687872763],[60.8349900596421],[66.9980119284294],[64.8111332007952],[61.8290258449304],[61.4314115308151],[61.4314115308151],[61.6302186878728],[61.0337972166998],[61.2326043737575],[62.0278330019881],[62.4254473161034],[60.4373757455268],[63.0218687872763],[63.4194831013916],[64.6123260437376],[65.0099403578529],[64.8111332007952],[65.4075546719682],[65.0099403578529],[64.2147117296223],[63.220675944334],[62.0278330019881],[54.6719681908549],[57.6540755467197],[61.4314115308151],[61.4314115308151],[56.0636182902585],[58.2504970178926],[61.8290258449304],[63.817097415507],[63.220675944334],[64.2147117296223],[63.6182902584493],[62.8230616302187],[60.2385685884692],[54.2743538767396],[53.6779324055666],[54.1832669322709],[53.3864541832669],[53.0938123752495],[54.0918163672655],[51.6966067864271],[54.2914171656687],[55.688622754491],[57.2854291417166],[57.8842315369261],[57.0858283433134],[56.0878243512974],[51.497005988024],[52.0958083832335],[50.2994011976048],[47.3053892215569],[53.6926147704591],[53.2934131736527],[56.8862275449102],[58.2834331337325],[61.2774451097804],[57.8842315369261],[56.8862275449102],[59.2814371257485],[59.0818363273453],[60.2794411177645],[56.4870259481038],[55.8882235528942],[59.0818363273453],[62.2754491017964],[62.4750499001996],[61.87624750499],[60.0798403193613],[59.6806387225549],[59.2814371257485],[57.8842315369261],[60.5577689243028],[60.5577689243028],[60.9561752988048],[60.5577689243028],[61.1553784860558],[61.3545816733068],[58.5657370517928],[58.3665338645418],[60.1593625498008],[62.7490039840637],[58.5657370517928],[62.9482071713147],[64.3426294820717],[64.9402390438247],[63.7450199203187],[66.5338645418327],[67.5298804780876],[66.5338645418327],[63.1474103585657],[66.3346613545817],[65.9362549800797],[65.3386454183267],[65.9362549800797],[65.3386454183267],[64.3426294820717],[63.9442231075697],[63.9442231075697],[63.5458167330677],[63.5458167330677],[66.4670658682635],[64.8702594810379],[67.2654690618762],[66.1354581673307],[66.9322709163347],[67.1314741035857],[65.1394422310757],[64.5418326693227],[63.3466135458167],[65.7370517928287],[63.9442231075697],[65.5378486055777],[63.3466135458167],[63.3466135458167],[62.7490039840637],[65.7370517928287],[65.1394422310757],[64.7410358565737],[60.3585657370518],[60.5577689243028],[57.3705179282869],[55.3784860557769],[54.7808764940239],[52.9880478087649],[51.593625498008],[48.804780876494],[48.00796812749],[48.207171314741],[50.398406374502],[46.2151394422311],[46.2151394422311],[43.4262948207171],[46.0159362549801],[46.8127490039841],[47.808764940239],[45.4183266932271],[41.6334661354582],[41.4342629482072],[46.8127490039841]],"000001172^FMA_GEOREV_ECONOMY(\"ROW\",-1AY,,,,\"PORTAGG\")":[[2.528345493183]],"000001172^FMA_GEOREV_SUPER_REGION(\"R1\",0,,,,\"PORTAGG\")":[[3.637316547315]],"000001172^MOVING_AVG(P_PRICE(-199D,0D,D),200)":[[6638.8581]],"000001172^FG_PRICE_IDX(0,,)":[[6528.51738367566]],"000001172^FG_PCHG_IDX(0,-1AM,)/100":[[-0.0509328831807613]],"000001172^FG_TRET_PCHG_IDX(0,-1D,)/100":[[0.02922396387502]],"000001172^FMA_EVAL_EBIT(NTMA,0,,,\"PORTAGG\",\"MEANR\")":[[17.6752534822103]],"^JULIAN(DATE_YYYYMMDD(0/0/-1, -1D, D))":[[45747],[45748],[45749],[45750],[45751],[45754],[45755],[45756],[45757],[45758],[45761],[45762],[45763],[45764],[45768],[45769],[45770],[45771],[45772],[45775],[45776],[45777],[45778],[45779],[45782],[45783],[45784],[45785],[45786],[45789],[45790],[45791],[45792],[45793],[45796],[45797],[45798],[45799],[45800],[45804],[45805],[45806],[45807],[45810],[45811],[45812],[45813],[45814],[45817],[45818],[45819],[45820],[45821],[45824],[45825],[45826],[45828],[45831],[45832],[45833],[45834],[45835],[45838],[45839],[45840],[45841],[45845],[45846],[45847],[45848],[45849],[45852],[45853],[45854],[45855],[45856],[45859],[45860],[45861],[45862],[45863],[45866],[45867],[45868],[45869],[45870],[45873],[45874],[45875],[45876],[45877],[45880],[45881],[45882],[45883],[45884],[45887],[45888],[45889],[45890],[45891],[45894],[45895],[45896],[45897],[45898],[45902],[45903],[45904],[45905],[45908],[45909],[45910],[45911],[45912],[45915],[45916],[45917],[45918],[45919],[45922],[45923],[45924],[45925],[45926],[45929],[45930],[45931],[45932],[45933],[45936],[45937],[45938],[45939],[45940],[45943],[45944],[45945],[45946],[45947],[45950],[45951],[45952],[45953],[45954],[45957],[45958],[45959],[45960],[45961],[45964],[45965],[45966],[45967],[45968],[45971],[45972],[45973],[45974],[45975],[45978],[45979],[45980],[45981],[45982],[45985],[45986],[45987],[45989],[45992],[45993],[45994],[45995],[45996],[45999],[46000],[46001],[46002],[46003],[46006],[46007],[46008],[46009],[46010],[46013],[46014],[46015],[46017],[46020],[46021],[46022],[46024],[46027],[46028],[46029],[46030],[46031],[46034],[46035],[46036],[46037],[46038],[46042],[46043],[46044],[46045],[46048],[46049],[46050],[46051],[46052],[46055],[46056],[46057],[46058],[46059],[46062],[46063],[46064],[46065],[46066],[46070],[46071],[46072],[46073],[46076],[46077],[46078],[46079],[46080],[46083],[46084],[46085],[46086],[46087],[46090],[46091],[46092],[46093],[46094],[46097],[46098],[46099],[46100],[46101],[46104],[46105],[46106],[46107],[46108],[46111]],"000001172^FMA_GEOREV_ECONOMY(\"ROW\",-2AY,,,,\"PORTAGG\")":[[2.478364634594]],"000001172^FG_NUMBER_IDX(0)":[[503]],"000001172^FMA_PE(+1,0,,,\"PORTAGG\",\"MEANR\")":[[20.3868287427566]],"000001172^FMA_GEOREV_SUPER_REGION(\"R274\",0,,,,\"PORTAGG\")":[[12.998023979892]],"000001172^FMA_PSALES(+1,0,,,\"PORTAGG\",\"MEANR\")":[[3.04151197727667]],"000001172^FMA_DECLINERS_VOL(0)":[[706279.686340332]],"000001172^FG_TRET_PCHG_IDX(0,-1AY,)/100":[[0.178034716879839]],"000001172^MIN(FG_PRICE_IDX(0,-1AY,))":[[4982.77031326942]],"000001172^FG_DESCRIPTION_IDX":[["The S&P 500 includes 500 leading companies in leading industries of the U.S. economy. It is a core component of the U.S. indices that could be used as building blocks for portfolio construction. It is also the U.S. component of S&P Global 1200."]],"000001172^FMA_GEOREV_ECONOMY(\"EMRG\",-2AY,,,,\"PORTAGG\")":[[16.432642837389]],"000001172^FMA_DECLINERS_VOL_PCT(0)/100":[[0.179598239250564]],"000001172^FG_VOLUME(0/0/-1,-1D,D,SPLIT)":[[3.73387444373322],[2.83001012270546],[2.80855245383835],[5.06390360165024],[6.15911183667755],[6.35023985996819],[5.18172237336731],[6.78823054846382],[4.8647768619709],[3.77956716524696],[3.31429649631882],[2.92495626825714],[3.4071995591507],[3.23336302644539],[3.06036469729614],[3.18436022184753],[3.62087109598351],[3.24921136392403],[2.99042138072109],[2.81542317007828],[2.81216895127106],[3.65861945637321],[3.26172262381458],[3.04578725833035],[2.75481378096104],[2.84248940015125],[3.23993684068298],[3.25166665661621],[2.48388208491325],[3.81640240061378],[3.59572837559128],[3.4865115895462],[3.19568984178925],[3.00813699885941],[2.60809084012318],[2.57031882440758],[3.15779856521225],[2.80181302000713],[2.57648712404823],[2.92795724487495],[2.67875398515511],[2.88077289991379],[4.85975152014923],[2.77687691231918],[3.01327870030022],[2.70158630277634],[3.18126779319954],[2.58854658942795],[2.9180584154892],[3.04502101340103],[2.9967012253933],[2.63781498307419],[3.04737205569839],[2.90035490794754],[2.86648988584137],[2.96490631438065],[5.17494791160202],[3.29159096245956],[3.31431016400528],[2.90802757089043],[3.07118615285873],[4.68090337691689],[3.3847324325695],[3.60392254146767],[3.16464879828453],[1.85186918177795],[2.7658256157341],[3.04115819556427],[2.83327588445854],[2.86731102151871],[2.67666164979649],[2.7414816866951],[3.1376592670269],[2.99736472940254],[3.09210238178539],[3.14469723635864],[2.72217727973366],[3.05766105046463],[3.30814383296204],[3.43167933109093],[3.0233245984993],[2.88628026039124],[3.27941425319767],[3.35089775631905],[4.12232998287773],[3.66554573677921],[3.02954546593189],[3.21744442697525],[3.33266992648697],[3.18510313653374],[2.87515578223896],[2.94699680720043],[2.93406130745792],[3.1193861893425],[2.79281787545586],[3.14783496372318],[2.60752608096695],[2.98344885679245],[3.06538458167076],[2.43279635451889],[3.08617686477089],[2.53184380273342],[3.26311938526154],[2.96958203859615],[2.64191822036076],[2.58297006353951],[2.9032575225563],[2.8264073797617],[2.77046295031738],[3.18450588422298],[3.04516423164082],[2.7278610245533],[3.21488807356644],[3.30174535661697],[3.01926508326721],[2.94518816809845],[2.91952273037338],[3.07573873310471],[3.50073883114433],[6.00382728484345],[3.35570853129578],[3.14124292353535],[3.02995356015968],[3.31060847846794],[2.92276022039604],[3.25292940638447],[3.55970199932861],[3.55579388403606],[3.07206478747654],[2.93319469953728],[3.31486394199276],[3.06932222610092],[2.9515060953331],[2.82785965037727],[3.60796999004364],[2.76513532470894],[2.99738632563782],[2.99770592587471],[3.32651103066635],[3.1643201303978],[2.72033434340668],[3.19466853347969],[3.59101697031879],[3.39686691068649],[3.07970008758736],[3.31945129786873],[3.40350735365295],[4.00938915825462],[3.96509712294197],[3.84116351460838],[3.79329780452919],[3.83462881885147],[3.52591383101273],[3.66459843289471],[3.61028278508949],[3.20503166425133],[2.84686967604828],[2.99664115872955],[3.43366112175179],[3.1571270208168],[3.19658932708168],[3.3082984237709],[3.17225593095684],[3.74693874834633],[4.02114378769302],[4.51072704879379],[3.31657939250183],[2.73423794618607],[1.49172068597651],[2.83377763450813],[3.0384422971077],[3.01301025055885],[3.00489755256462],[3.18098885586166],[3.23480486846924],[2.79397241620445],[3.56919453617096],[3.2005128736515],[3.22842341406822],[3.36511744202423],[3.28264580200958],[3.51575772463226],[3.39919904626083],[6.89658530230713],[2.6654172498188],[2.26599792197609],[1.07922403037739],[1.47850414243698],[2.00027344776154],[1.73850699066067],[1.73604022932625],[2.65916825073433],[3.5073007904377],[3.32663010240936],[3.23388731050491],[3.18953186926842],[2.97026521955872],[3.0294347808876],[3.21679359754753],[3.36516018357468],[3.16301815807343],[4.0505948015213],[3.95297050091171],[3.84766282458496],[3.3758866410141],[3.26235384945297],[3.01624616251183],[3.26873981553268],[3.39451799150658],[4.16175515492248],[4.29627456293869],[3.6368136138916],[4.58141667862892],[5.18179415007782],[4.38832036423302],[3.87680886651993],[3.40217260256195],[3.53349525584412],[3.78433708114243],[4.56899047452354],[3.4459201400528],[3.34321039510155],[3.08591832410812],[2.93413032645798],[3.38038562372208],[3.2871895930233],[3.21854713880157],[3.33946941080475],[3.50895209737587],[4.62693592660332],[3.51518870639801],[3.55536363858604],[3.24979242446518],[3.73512050008774],[3.41971082364655],[3.74447862762451],[3.17786325269508],[3.01881701534653],[3.51914509366989],[2.98418796928787],[3.05166544469261],[2.94121749115944],[3.05368405043221],[3.281800891222],[7.06430729388428],[3.50653977701569],[3.13390907081795],[2.95696529083443],[3.04466362495804],[3.17559378861237],[3.32914278632545]],"000001172^FMA_GEOREV_ECONOMY(\"ROW\",0,,,,\"PORTAGG\")":[[2.579750555288]],"000001172^FG_TRET_PCHG_IDX(0,-1AM,)/100":[[-0.0497951470630227]],"000001172^STRING_ARRAY SECTOR=GET_FQL_ARRAY(TRANSPOSE(FG_INDUSTRY_BREAKDOWN(\"ONE\",0)),\"P_SYMBOL\",\"FG_CLASS_IDX\",\"FG_MCAP_IDX(0,,,USD)\");\"\"":[[""]],"000001172^FG_TOTAL_RET_IDX(0,,)":[[14560.7523112209]],"000001172^FMA_PE(NTMA,0,,,\"PORTAGG\",\"MEANR\")":[[19.6773940986968]],"000001172^FMA_PEX(LTM,0,,,\"PORTAGG\")":[[25.5690756210002]],"000001172^FMA_CURRENCY_IDX(\"NAME\")":[["USD"]],"000001172^FMA_GEOREV_ECONOMY(\"FRNT\",-1AY,,,,\"PORTAGG\")":[[3.112111520178]],"000001172^FMA_GEOREV_SUPER_REGION(\"R170\",-1AY,,,,\"PORTAGG\")":[[17.845901323231]],"000001172^FG_PCHG_IDX(0,-1D,)/100":[[0.0291299761223511]],"000001172^FMA_GEOREV_SUPER_REGION(\"R170\",-2AY,,,,\"PORTAGG\")":[[18.081697002093]],"000001172^FMA_EVAL_EBIT(+1,0,,,\"PORTAGG\",\"MEANR\")":[[18.2867178408303]],"000001172^FMA_EVAL_EBITDA(+2,0,,,\"PORTAGG\",\"MEANR\")":[[12.2718937089695]],"000001172^MIN(FG_TOTAL_RET_IDX(0,-1AY,))":[[10977.5005432334]],"000001172^JULIAN(FMA_GEOREV_SUPER_REGION(\"R101\",-2AY,,,,\"AGGREGATE\").DATES)":[[45382]],"000001172^FMA_GEOREV_TOP_EXPOSURES(4,20,-3AY,,,,\"PORTAGG\")":[["Dates","20230331"],["United States","59.541962"],["Mainland China","7.239808"],["Japan","2.639198"],["United Kingdom","2.296192"],["Germany","2.220327"],["Canada","1.985508"],["France","1.378087"],["India","1.334670"],["Taiwan, China","1.236363"],["Republic of Korea (South Korea)","1.093938"],["Italy","1.068864"],["Brazil","1.050252"],["Russian Federation","0.937403"],["Mexico","0.895469"],["Australia","0.891330"],["Netherlands","0.807072"],["Spain","0.753867"],["Indonesia","0.613019"],["Singapore","0.579376"],["Switzerland","0.534802"]],"000001172^FG_NAME_IDX":[["S&P 500"]],"000001172^MOVING_AVG(P_PRICE(-49D,0D,D),50)":[[6793.9176]],"000001172^STRING_ARRAY WEIGHTS=GET_FQL_ARRAY(US_UNIV(\"FG_CONST_WEIGHT(000001172,0,CLOSE)>0\"),\"CONCAT(P_SYMBOL,FG_COMPANY_NAME,FG_MKT_VALUE(0,,,USD))\");SUBARRAY(SORT(TRANSPOSE((FLOAT_ARRAY)WEIGHTS[2]),2),0,10)":[[4237920],[3725916.3],[3478613.3],[3470145.3],[2748745.5],[2235757.8],[1465427.8],[1447235.8],[1394965.9],[1033039.75]],"000001172^STRING_ARRAY WEIGHTS=GET_FQL_ARRAY(US_UNIV(\"FG_CONST_WEIGHT(000001172,0,CLOSE)>0\"),\"CONCAT(P_SYMBOL,FG_COMPANY_NAME,FG_MKT_VALUE(0,,,USD))\");SUBARRAY(SORT_INDIRECT(TRANSPOSE(WEIGHTS[0]),TRANSPOSE((FLOAT_ARRAY)WEIGHTS[2]),2),0,10)":[["NVDA-US"],["AAPL-US"],["GOOGL-US"],["GOOG-US"],["MSFT-US"],["AMZN-US"],["AVGO-US"],["META-US"],["TSLA-US"],["BRK.B-US"]],"000001172^STRING_ARRAY WEIGHTS=GET_FQL_ARRAY(US_UNIV(\"FG_CONST_WEIGHT(000001172,0,CLOSE)>0\"),\"CONCAT(P_SYMBOL,FG_COMPANY_NAME,FG_MKT_VALUE(0,,,USD))\");SUBARRAY(SORT_INDIRECT(TRANSPOSE(WEIGHTS[1]),TRANSPOSE((FLOAT_ARRAY)WEIGHTS[2]),2),0,10)":[["NVIDIA Corporation"],["Apple Inc."],["Alphabet Inc. Class A"],["Alphabet Inc. Class C"],["Microsoft Corporation"],["Amazon.com, Inc."],["Broadcom Inc."],["Meta Platforms Inc Class A"],["Tesla, Inc."],["Berkshire Hathaway Inc. Class B"]],"000001172^FG_MCAP_IDX(0,,,USD)":[[55899275.1588662]],"000001172^SIZE(SECTOR)":[[3]],"000001172^SECT":[["99900001"],["99900037"],["99900125"],["99900285"],["99900477"],["99900565"],["99900621"],["99900701"],["99900793"],["99900821"],["86099Y65"]],"NOTICKER^STRING_ARRAY SECTPERF=GET_FQL_ARRAY(TRANSPOSE(SECT),\"P_SYMBOL\",\"FG_CLASS_IDX\",\"FG_PRICE_CHANGE(-1D,0)/100\");\"\"":[[""]],"000001172^SIZE(SECT)":[[11]],"000001172^GET_FQL_ARRAY(TRANSPOSE(SECT),\"FMA_PSALES(LTM,0,,,\\\"PORTAGG\\\")\")":[[1.84914313902359],[2.45321884293368],[2.96446867823334],[2.69367155991645],[1.67400278617108],[1.47550068054116],[2.57524379524717],[8.52381448054825],[4.607642846529],[3.04890887389978],[6.34997675793121]],"000001172^GET_FQL_ARRAY(TRANSPOSE(SECT),\"FMA_PSALES(NTMA,0,,,\\\"PORTAGG\\\",\\\"MEANR\\\")\")":[[1.78562701695214],[2.26461870991172],[2.75705598832444],[2.47337625047427],[1.56782475621955],[1.39075185323873],[3.04281871341179],[6.65670473936109],[4.06904575091924],[2.82569454983382],[5.86103492404899]],"000001172^GET_FQL_ARRAY(TRANSPOSE(SECT),\"FMA_PSALES(+1,0,,,\\\"PORTAGG\\\",\\\"MEANR\\\")\")":[[1.79759790225244],[2.28928864473089],[2.80514329136537],[2.51520547580356],[1.58302111258941],[1.40867974158231],[3.08336774425988],[6.89294077837352],[4.1529488695581],[2.86012429734667],[5.95195044601339]],"000001172^GET_FQL_ARRAY(TRANSPOSE(SECT),\"FMA_PSALES(+2,0,,,\\\"PORTAGG\\\",\\\"MEANR\\\")\")":[[1.74904931186792],[2.18923835351979],[2.61012256236604],[2.34556472863477],[1.52139144508944],[1.33597219441112],[2.91891889693151],[5.9348723979342],[3.81267511063385],[2.72049254354458],[5.58323749582445]],"000001172^GET_FQL_ARRAY(TRANSPOSE(SECT),\"FG_CLASS_IDX\")":[["Energy"],["Materials"],["Industrials"],["Consumer Discretionary"],["Consumer Staples"],["Health Care"],["Financials"],["Information Technology"],["Communication Services"],["Utilities"],["Real Estate"]],"000001172^GET_FQL_ARRAY(TRANSPOSE(SECT),\"FMA_DIV_YLD(LTM,0,,,\\\"PORTAGG\\\",\\\"MEANR\\\")\")":[[2.47594301419434],[1.6901951234882],[1.15109167205492],[0.677202631320344],[2.38262309623092],[1.75690979672735],[1.55844964719218],[0.552664218142997],[0.651187935223412],[2.61497298149876],[3.35823424249532]],"000001172^GET_FQL_ARRAY(TRANSPOSE(SECT),\"FMA_EVAL_EBITDA(LTM,0,,,\\\"PORTAGG\\\")\")":[[10.7928764394963],[13.3893709796205],[19.0987687279698],[17.4924734349561],[15.9696359667498],[15.4108877626294],[13.8910925203308],[23.3264376703624],[13.7763913434778],[13.9786928814949],[21.6506905772741]],"000001172^GET_FQL_ARRAY(TRANSPOSE(SECT),\"FMA_EVAL_EBITDA(NTMA,0,,,\\\"PORTAGG\\\",\\\"MEANR\\\")\")":[[8.96433664496562],[10.7065928456778],[16.0640663566716],[13.5951703328413],[14.5962552861123],[13.7384795665884],[14.0323648271005],[15.1546273079261],[11.0959587588211],[11.9035749047558],[18.3297478956277]],"000001172^GET_FQL_ARRAY(TRANSPOSE(SECT),\"FMA_EVAL_EBITDA(+1,0,,,\\\"PORTAGG\\\",\\\"MEANR\\\")\")":[[9.13451463403853],[10.9653128634779],[16.5172845337418],[14.0228863068518],[14.8234733916708],[14.0714263114953],[14.3446574461978],[15.8605825364382],[11.4145440947049],[12.1691914513958],[18.6455703156472]],"000001172^GET_FQL_ARRAY(TRANSPOSE(SECT),\"FMA_EVAL_EBITDA(+2,0,,,\\\"PORTAGG\\\",\\\"MEANR\\\")\")":[[8.4443483450206],[9.91605945795557],[14.6792330378461],[12.2882604122536],[13.9019777413499],[12.721142290484],[13.0781373798587],[12.9975418874724],[10.122503565843],[11.0919687900227],[17.364734945568]],"000001172^GET_FQL_ARRAY(TRANSPOSE(SECT),\"FMA_EVAL_SALES(LTM,0,,,\\\"PORTAGG\\\")\")":[[2.12089369151408],[2.88961579384142],[3.29123892039205],[2.87270315048727],[1.88195455944528],[2.32003422016528],[4.10464267956732],[8.64800356656701],[4.99554178982894],[5.2394746178327],[8.75104537034392]],"000001172^GET_FQL_ARRAY(TRANSPOSE(SECT),\"FMA_EVAL_SALES(NTMA,0,,,\\\"PORTAGG\\\",\\\"MEANR\\\")\")":[[2.0483639551397],[2.6674660558877],[3.06096334938545],[2.63792303939705],[1.76258664128474],[2.15134515209214],[3.83145170644983],[6.75369066970537],[4.41160236817305],[4.85588631340944],[8.07722366439544]],"000001172^GET_FQL_ARRAY(TRANSPOSE(SECT),\"FMA_EVAL_SALES(+1,0,,,\\\"PORTAGG\\\",\\\"MEANR\\\")\")":[[2.06205641391569],[2.69652446357598],[3.11435126490201],[2.68263501669257],[1.77967075392389],[2.183621808283],[3.87775627700294],[6.99336858768368],[4.50256895334862],[4.91505298439006],[8.20251638402393]],"000001172^GET_FQL_ARRAY(TRANSPOSE(SECT),\"FMA_EVAL_SALES(+2,0,,,\\\"PORTAGG\\\",\\\"MEANR\\\")\")":[[2.00652588665751],[2.57867647684019],[2.8978336075293],[2.50130310877187],[1.71038518599843],[2.05272203595338],[3.68996551864867],[6.02134147588274],[4.13364891346993],[4.67509926319087],[7.69438479886393]],"000001172^GET_FQL_ARRAY(TRANSPOSE(SECT),\"FMA_PBK(LTM,0,,,\\\"PORTAGG\\\",\\\"MEANR\\\")\")":[[2.62887562111634],[3.24917101317053],[6.94684848320222],[8.16555006708369],[6.99986415021603],[4.8209128101196],[2.08201491547966],[11.4372551255643],[5.16404571218756],[2.4527596998944],[3.06833071510603]],"000001172^GET_FQL_ARRAY(TRANSPOSE(SECT),\"FMA_PBK(NTMA,0,,,\\\"PORTAGG\\\",\\\"MEANR\\\")\")":[[2.49734231561074],[2.96356637371535],[6.10790153865584],[6.49472574885157],[6.22432944241775],[4.17143008391919],[1.97473070705453],[8.0997145161962],[4.20308084423313],[2.18380503475868],[3.08183258349378]],"000001172^GET_FQL_ARRAY(TRANSPOSE(SECT),\"FMA_PBK(+1,0,,,\\\"PORTAGG\\\",\\\"MEANR\\\")\")":[[2.52085833806377],[3.02355230116708],[6.28059740925254],[6.79319168617494],[6.35663384853692],[4.28782433999748],[2.00923516908634],[8.64771296719872],[4.37477599086777],[2.21935962429544],[3.06839295582032]],"000001172^GET_FQL_ARRAY(TRANSPOSE(SECT),\"FMA_PBK(+2,0,,,\\\"PORTAGG\\\",\\\"MEANR\\\")\")":[[2.42548780255979],[2.78027603983506],[5.58021971183256],[5.58274649591904],[5.82006597927586],[3.8157809681244],[1.86930040640178],[6.4252748047996],[3.67845678507173],[2.07516601117411],[3.12289811249604]],"NOTICKER^SUBARRAY(SORT(TRANSPOSE((FLOAT_ARRAY)CONSTITUENTS[2]),2),0,10)":[[0.044389],[0.043349],[0.039703],[0.034716],[0.034602],[0.034168],[0.033275],[0.033251],[0.032158],[0.031893]],"000001172^GET_FQL_ARRAY(TRANSPOSE(SECT),\"FMA_EVAL_EBIT(LTM,0,,,\\\"PORTAGG\\\")\")":[[19.5449356165702],[20.2118956311051],[25.0662553600559],[26.4653743903139],[20.070451115215],[20.1997100520222],[16.5275736429437],[28.1870383543827],[19.5207530013357],[24.6255729369672],[38.7455205846494]],"000001172^GET_FQL_ARRAY(TRANSPOSE(SECT),\"FMA_EVAL_EBIT(NTMA,0,,,\\\"PORTAGG\\\",\\\"MEANR\\\")\")":[[15.439687500871],[14.844523372741],[19.8613342896927],[21.3752634130002],[17.9696228425573],[15.3917601256026],[15.7197063775353],[17.1406549313262],[16.7888694489468],[19.4022978769146],[31.6776040621641]],"000001172^GET_FQL_ARRAY(TRANSPOSE(SECT),\"FMA_EVAL_EBIT(+1,0,,,\\\"PORTAGG\\\",\\\"MEANR\\\")\")":[[15.6992124416732],[15.211585767613],[20.510310616026],[22.1239612144349],[18.2611321452849],[15.8020574714356],[16.0977887918138],[17.9504552288066],[17.2977451475326],[19.9120028820257],[32.4054205714919]],"000001172^GET_FQL_ARRAY(TRANSPOSE(SECT),\"FMA_EVAL_EBIT(+2,0,,,\\\"PORTAGG\\\",\\\"MEANR\\\")\")":[[14.6466946261977],[13.7229438328541],[17.8783510703412],[19.0875756863942],[17.0788999731119],[14.1380737911131],[14.564454556129],[14.6662651334692],[15.2339714810459],[17.844865916853],[29.4537202836626]],"NOTICKER^SUBARRAY(SORT_INDIRECT(TRANSPOSE(CONSTITUENTS[0]),TRANSPOSE((FLOAT_ARRAY)CONSTITUENTS[2]),2),0,10)":[["LYV-US"],["FOX-US"],["AIG-US"],["WBD-US"],["PSKY-US"],["FOXA-US"],["OMC-US"],["COF-US"],["MO-US"],["F-US"]],"NOTICKER^SUBARRAY(SORT_INDIRECT(TRANSPOSE(CONSTITUENTS[1]),TRANSPOSE((FLOAT_ARRAY)CONSTITUENTS[2]),2),0,10)":[["Live Nation Entertainment, Inc."],["Fox Corporation Class B"],["American International Group, Inc."],["Warner Bros. Discovery, Inc. Series A"],["Paramount Skydance Corporation Class B"],["Fox Corporation Class A"],["Omnicom Group Inc"],["Capital One Financial Corp"],["Altria Group, Inc."],["Ford Motor Company"]],"000001172^GET_FQL_ARRAY(TRANSPOSE(SECT),\"FMA_PEX(LTM,0,,,\\\"PORTAGG\\\")\")":[[22.4497278336909],[26.1780976200925],[27.9001338953238],[31.3475987336706],[24.6664730660722],[22.4467835756885],[16.8946029503326],[32.9193639794381],[22.2578027390621],[22.7038823142602],[33.9562107260425]],"000001172^GET_FQL_ARRAY(TRANSPOSE(SECT),\"FMA_PE(NTMA,0,,,\\\"PORTAGG\\\",\\\"MEANR\\\")\")":[[19.6421177538751],[18.8593786390058],[24.2842359679391],[25.5411459396901],[21.9666264738776],[17.1950408428851],[14.339878947085],[20.8778925649571],[19.9537971589061],[18.7196336084837],[17.4337206789753]],"000001172^GET_FQL_ARRAY(TRANSPOSE(SECT),\"FMA_PE(+1,0,,,\\\"PORTAGG\\\",\\\"MEANR\\\")\")":[[20.1528487483512],[19.4509547430402],[25.1678439054217],[26.4834649028492],[22.374999927084],[17.7389557508058],[14.7156020024725],[21.9122164264296],[20.6353652439017],[19.1214887415429],[17.7093406676105]],"000001172^GET_FQL_ARRAY(TRANSPOSE(SECT),\"FMA_PE(+2,0,,,\\\"PORTAGG\\\",\\\"MEANR\\\")\")":[[18.0815508263091],[17.0517849877895],[21.5843228256313],[22.6618379967038],[20.7188187001915],[15.5330786242387],[13.1918362778454],[17.7174585437912],[17.8712280103083],[17.4917429241361],[16.5915484914788]],"000001172^SUBARRAY(SORT_INDIRECT(TRANSPOSE(SECTOR[1].VALUE),TRANSPOSE(SECTOR[2].VALUE),2),0,10)":[["Information Technology"],["Financials"],["Communication Services"],["Consumer Discretionary"],["Health Care"],["Industrials"],["Consumer Staples"],["Energy"],["Utilities"],["Materials"]],"NOTICKER^SUBARRAY(SORT(TRANSPOSE(SECTOR[2].VALUE),2),0,10)":[[18396371.5482445],[7041255.1300899],[5749541.0517401],[5514747.2835574],[5292526.1196428],[5041450.5204891],[2937087.9986894],[2244271.9759676],[1420390.063584],[1169765.816993]],"NDSN^CS_EVENT_DESC_N(\"ER\",4)":[["Q2 2027 Earnings Release (Projected)"]],"AZO^CS_EVENT_DESC_N(\"ER\",4)":[["Q3 2027 Earnings Release (Projected)"]],"NDSN^CS_EVENT_DATEJ_N(\"ER\",4)":[[46531]],"NDSN^CS_EVENT_TIME_N(\"ER\",4)":[["Unspecified"]],"FOX^CS_EVENT_DATEJ_N(\"ER\",4)":[[46518]],"FOX^CS_EVENT_TIME_N(\"ER\",4)":[["Unspecified"]],"AZO^CS_EVENT_DATEJ_N(\"ER\",4)":[[46532]],"A^CS_EVENT_DATEJ_N(\"ER\",4)":[[46532]],"PANW^CS_EVENT_DATEJ_N(\"ER\",4)":[[46441]],"A^CS_EVENT_TIME_N(\"ER\",4)":[["Unspecified"]],"A^CS_EVENT_DESC_N(\"ER\",4)":[["Q2 2027 Earnings Release (Projected)"]],"PANW^CS_EVENT_TIME_N(\"ER\",4)":[["Unspecified"]],"PANW^CS_EVENT_DESC_N(\"ER\",4)":[["Q2 2027 Earnings Release (Projected)"]],"KHC^CS_EVENT_TIME_N(\"ER\",4)":[["Unspecified"]],"KHC^CS_EVENT_DESC_N(\"ER\",4)":[["Q1 2027 Earnings Release (Projected)"]],"UBER^CS_EVENT_TIME_N(\"ER\",4)":[["Unspecified"]],"UBER^CS_EVENT_DESC_N(\"ER\",4)":[["Q1 2027 Earnings Release (Projected)"]],"GIS^CS_EVENT_DATEJ_N(\"ER\",4)":[[46470]],"GIS^CS_EVENT_TIME_N(\"ER\",4)":[["Unspecified"]],"GIS^CS_EVENT_DESC_N(\"ER\",4)":[["Q3 2027 Earnings Release (Projected)"]],"MU^CS_EVENT_DATEJ_N(\"ER\",4)":[[46476]],"MU^CS_EVENT_TIME_N(\"ER\",4)":[["Unspecified"]],"MU^CS_EVENT_DESC_N(\"ER\",4)":[["Q2 2027 Earnings Release (Projected)"]],"PAYX^CS_EVENT_DATEJ_N(\"ER\",4)":[[46477]],"PAYX^CS_EVENT_TIME_N(\"ER\",4)":[["Unspecified"]],"PAYX^CS_EVENT_DESC_N(\"ER\",4)":[["Q3 2027 Earnings Release (Projected)"]],"CTAS^CS_EVENT_DATEJ_N(\"ER\",4)":[[46477]],"CTAS^CS_EVENT_TIME_N(\"ER\",4)":[["Unspecified"]],"CTAS^CS_EVENT_DESC_N(\"ER\",4)":[["Q3 2027 Earnings Release (Projected)"]],"AON^CS_EVENT_DATEJ_N(\"ER\",4)":[[46500]],"AON^CS_EVENT_TIME_N(\"ER\",4)":[["Unspecified"]],"AON^CS_EVENT_DESC_N(\"ER\",4)":[["Q1 2027 Earnings Release (Projected)"]],"IQV^CS_EVENT_DATEJ_N(\"ER\",4)":[[46506]],"IQV^CS_EVENT_TIME_N(\"ER\",4)":[["Unspecified"]],"IQV^CS_EVENT_DESC_N(\"ER\",4)":[["Q1 2027 Earnings Release (Projected)"]],"IT^CS_EVENT_DATEJ_N(\"ER\",4)":[[46511]],"IT^CS_EVENT_TIME_N(\"ER\",4)":[["Unspecified"]],"IT^CS_EVENT_DESC_N(\"ER\",4)":[["Q1 2027 Earnings Release (Projected)"]],"AZO^CS_EVENT_TIME_N(\"ER\",4)":[["Unspecified"]],"MKC^CS_EVENT_TIME_N(\"ER\",4)":[["Unspecified"]],"MKC^CS_EVENT_DESC_N(\"ER\",4)":[["Q1 2027 Earnings Release (Projected)"]],"NKE^CS_EVENT_TIME_N(\"ER\",4)":[["Unspecified"]],"NKE^CS_EVENT_DESC_N(\"ER\",4)":[["Q3 2027 Earnings Release (Projected)"]],"CCL^CS_EVENT_TIME_N(\"ER\",4)":[["Unspecified"]],"CCL^CS_EVENT_DESC_N(\"ER\",4)":[["Q1 2027 Earnings Release (Projected)"]],"VTR^CS_EVENT_DATEJ_N(\"ER\",4)":[[46512]],"IDXX^CS_EVENT_DATEJ_N(\"ER\",4)":[["@NA"]],"TPL^CS_EVENT_DATEJ_N(\"ER\",4)":[[46512]],"TPR^CS_EVENT_DATEJ_N(\"ER\",4)":[[46520]],"TPR^CS_EVENT_TIME_N(\"ER\",4)":[["Unspecified"]],"PSKY^CS_EVENT_TIME_N(\"ER\",4)":[["@NA"]],"GEHC^CS_EVENT_TIME_N(\"ER\",4)":[["@NA"]],"GEN^CS_EVENT_TIME_N(\"ER\",4)":[["Unspecified"]],"FDX^CS_EVENT_DATEJ_N(\"ER\",4)":[[46464]],"MKC^CS_EVENT_DATEJ_N(\"ER\",4)":[[46476]],"NKE^CS_EVENT_DATEJ_N(\"ER\",4)":[[46471]],"CCL^CS_EVENT_DATEJ_N(\"ER\",4)":[[46477]],"ACN^CS_EVENT_DESC_N(\"ER\",4)":[["Q2 2027 Earnings Release (Projected)"]],"JBL^CS_EVENT_DESC_N(\"ER\",4)":[["Q2 2027 Earnings Release (Projected)"]],"DRI^CS_EVENT_DESC_N(\"ER\",4)":[["Q3 2027 Earnings Release (Projected)"]],"FDS^CS_EVENT_DESC_N(\"ER\",4)":[["Q2 2027 Earnings Release (Projected)"]],"LEN^CS_EVENT_DESC_N(\"ER\",4)":[["Q1 2027 Earnings Release (Projected)"]],"FDX^CS_EVENT_DESC_N(\"ER\",4)":[["Q3 2027 Earnings Release (Projected)"]],"FDX^CS_EVENT_TIME_N(\"ER\",4)":[["Unspecified"]],"PSKY^CS_EVENT_DESC_N(\"ER\",4)":[["@NA"]],"GEHC^CS_EVENT_DESC_N(\"ER\",4)":[["@NA"]],"GEN^CS_EVENT_DESC_N(\"ER\",4)":[["Q4 2027 Earnings Release (Projected)"]],"TPR^CS_EVENT_DESC_N(\"ER\",4)":[["Q3 2027 Earnings Release (Projected)"]],"ACN^CS_EVENT_DATEJ_N(\"ER\",4)":[[46471]],"ACN^CS_EVENT_TIME_N(\"ER\",4)":[["Unspecified"]],"JBL^CS_EVENT_DATEJ_N(\"ER\",4)":[[46464]],"JBL^CS_EVENT_TIME_N(\"ER\",4)":[["Unspecified"]],"DRI^CS_EVENT_DATEJ_N(\"ER\",4)":[[46471]],"DRI^CS_EVENT_TIME_N(\"ER\",4)":[["Unspecified"]],"FDS^CS_EVENT_DATEJ_N(\"ER\",4)":[[46471]],"FDS^CS_EVENT_TIME_N(\"ER\",4)":[["Unspecified"]],"LEN^CS_EVENT_DATEJ_N(\"ER\",4)":[[46463]],"LEN^CS_EVENT_TIME_N(\"ER\",4)":[["Unspecified"]],"KHC^CS_EVENT_DATEJ_N(\"ER\",4)":[[46512]],"UBER^CS_EVENT_DATEJ_N(\"ER\",4)":[[46512]],"PSKY^CS_EVENT_DATEJ_N(\"ER\",4)":[["@NA"]],"GEHC^CS_EVENT_DATEJ_N(\"ER\",4)":[["@NA"]],"GEN^CS_EVENT_DATEJ_N(\"ER\",4)":[[46520]],"NI^CS_EVENT_TIME_N(\"ER\",4)":[["Unspecified"]],"NI^CS_EVENT_DESC_N(\"ER\",4)":[["Q1 2027 Earnings Release (Projected)"]],"DIS^CS_EVENT_TIME_N(\"ER\",4)":[["Unspecified"]],"DIS^CS_EVENT_DESC_N(\"ER\",4)":[["Q2 2027 Earnings Release (Projected)"]],"TTD^CS_EVENT_TIME_N(\"ER\",4)":[["@NA"]],"TTD^CS_EVENT_DESC_N(\"ER\",4)":[["@NA"]],"APA^CS_EVENT_DATEJ_N(\"ER\",4)":[["@NA"]],"APA^CS_EVENT_TIME_N(\"ER\",4)":[["@NA"]],"RSG^CS_EVENT_DATEJ_N(\"ER\",4)":[[46512]],"RSG^CS_EVENT_TIME_N(\"ER\",4)":[["Unspecified"]],"MET^CS_EVENT_DATEJ_N(\"ER\",4)":[[46512]],"MET^CS_EVENT_TIME_N(\"ER\",4)":[["Unspecified"]],"FOX^CS_EVENT_DESC_N(\"ER\",4)":[["Q3 2027 Earnings Release (Projected)"]],"FOXA^CS_EVENT_DESC_N(\"ER\",4)":[["Q3 2027 Earnings Release (Projected)"]],"COHR^CS_EVENT_DESC_N(\"ER\",4)":[["Q3 2027 Earnings Release (Projected)"]],"ATO^CS_EVENT_DESC_N(\"ER\",4)":[["@NA"]],"VTR^CS_EVENT_TIME_N(\"ER\",4)":[["Unspecified"]],"VTR^CS_EVENT_DESC_N(\"ER\",4)":[["Q1 2027 Earnings Release (Projected)"]],"FOXA^CS_EVENT_DATEJ_N(\"ER\",4)":[[46518]],"COHR^CS_EVENT_DATEJ_N(\"ER\",4)":[[46519]],"ATO^CS_EVENT_DATEJ_N(\"ER\",4)":[["@NA"]],"NI^CS_EVENT_DATEJ_N(\"ER\",4)":[[46512]],"DIS^CS_EVENT_DATEJ_N(\"ER\",4)":[[46519]],"TTD^CS_EVENT_DATEJ_N(\"ER\",4)":[["@NA"]],"CVS^CS_EVENT_DATEJ_N(\"ER\",4)":[[46512]],"CVS^CS_EVENT_TIME_N(\"ER\",4)":[["Unspecified"]],"CVS^CS_EVENT_DESC_N(\"ER\",4)":[["Q1 2027 Earnings Release (Projected)"]],"VRTX^CS_EVENT_DATEJ_N(\"ER\",4)":[[46517]],"VRTX^CS_EVENT_TIME_N(\"ER\",4)":[["Unspecified"]],"VRTX^CS_EVENT_DESC_N(\"ER\",4)":[["Q1 2027 Earnings Release (Projected)"]],"EXC^CS_EVENT_DATEJ_N(\"ER\",4)":[[46512]],"EXC^CS_EVENT_TIME_N(\"ER\",4)":[["Unspecified"]],"EXC^CS_EVENT_DESC_N(\"ER\",4)":[["Q1 2027 Earnings Release (Projected)"]],"GNRC^CS_EVENT_DATEJ_N(\"ER\",4)":[[46512]],"GNRC^CS_EVENT_TIME_N(\"ER\",4)":[["Unspecified"]],"GNRC^CS_EVENT_DESC_N(\"ER\",4)":[["Q1 2027 Earnings Release (Projected)"]],"CPAY^CS_EVENT_DATEJ_N(\"ER\",4)":[["@NA"]],"CPAY^CS_EVENT_TIME_N(\"ER\",4)":[["@NA"]],"CPAY^CS_EVENT_DESC_N(\"ER\",4)":[["@NA"]],"CDW^CS_EVENT_DATEJ_N(\"ER\",4)":[["@NA"]],"CDW^CS_EVENT_TIME_N(\"ER\",4)":[["@NA"]],"CDW^CS_EVENT_DESC_N(\"ER\",4)":[["@NA"]],"AWK^CS_EVENT_DATEJ_N(\"ER\",4)":[[46603]],"AWK^CS_EVENT_TIME_N(\"ER\",4)":[["Unspecified"]],"AWK^CS_EVENT_DESC_N(\"ER\",4)":[["Q2 2027 Earnings Release (Projected)"]],"IR^CS_EVENT_DATEJ_N(\"ER\",4)":[[46512]],"IR^CS_EVENT_TIME_N(\"ER\",4)":[["Unspecified"]],"IR^CS_EVENT_DESC_N(\"ER\",4)":[["Q1 2027 Earnings Release (Projected)"]],"FIS^CS_EVENT_DATEJ_N(\"ER\",4)":[[46519]],"FIS^CS_EVENT_TIME_N(\"ER\",4)":[["Unspecified"]],"FIS^CS_EVENT_DESC_N(\"ER\",4)":[["Q1 2027 Earnings Release (Projected)"]],"NCLH^CS_EVENT_DATEJ_N(\"ER\",4)":[["@NA"]],"NCLH^CS_EVENT_TIME_N(\"ER\",4)":[["@NA"]],"NCLH^CS_EVENT_DESC_N(\"ER\",4)":[["@NA"]],"CF^CS_EVENT_DATEJ_N(\"ER\",4)":[[46512]],"CF^CS_EVENT_TIME_N(\"ER\",4)":[["Unspecified"]],"CF^CS_EVENT_DESC_N(\"ER\",4)":[["Q1 2027 Earnings Release (Projected)"]],"MOS^CS_EVENT_DATEJ_N(\"ER\",4)":[["@NA"]],"MOS^CS_EVENT_TIME_N(\"ER\",4)":[["@NA"]],"MOS^CS_EVENT_DESC_N(\"ER\",4)":[["@NA"]],"EME^CS_EVENT_TIME_N(\"ER\",4)":[["Unspecified"]],"EME^CS_EVENT_DESC_N(\"ER\",4)":[["Q1 2027 Earnings Release (Projected)"]],"UNP^CS_EVENT_DATEJ_N(\"ER\",4)":[["@NA"]],"UNP^CS_EVENT_TIME_N(\"ER\",4)":[["@NA"]],"WDC^CS_EVENT_DATEJ_N(\"ER\",4)":[[46506]],"WDC^CS_EVENT_TIME_N(\"ER\",4)":[["Unspecified"]],"FOXA^CS_EVENT_TIME_N(\"ER\",4)":[["Unspecified"]],"COHR^CS_EVENT_TIME_N(\"ER\",4)":[["Unspecified"]],"ATO^CS_EVENT_TIME_N(\"ER\",4)":[["@NA"]],"PFG^CS_EVENT_TIME_N(\"ER\",4)":[["Unspecified"]],"PFG^CS_EVENT_DESC_N(\"ER\",4)":[["Q1 2027 Earnings Release (Projected)"]],"INTC^CS_EVENT_TIME_N(\"ER\",4)":[["Unspecified"]],"INTC^CS_EVENT_DESC_N(\"ER\",4)":[["Q1 2027 Earnings Release (Projected)"]],"FE^CS_EVENT_DESC_N(\"ER\",4)":[["Q1 2027 Earnings Release (Projected)"]],"CAT^CS_EVENT_DESC_N(\"ER\",4)":[["Q1 2027 Earnings Release (Projected)"]],"MCD^CS_EVENT_DESC_N(\"ER\",4)":[["Q1 2027 Earnings Release (Projected)"]],"UNP^CS_EVENT_DESC_N(\"ER\",4)":[["@NA"]],"KLAC^CS_EVENT_TIME_N(\"ER\",4)":[["Unspecified"]],"TROW^CS_EVENT_TIME_N(\"ER\",4)":[["Unspecified"]],"AXP^CS_EVENT_TIME_N(\"ER\",4)":[["Unspecified"]],"CNP^CS_EVENT_TIME_N(\"ER\",4)":[["Unspecified"]],"VST^CS_EVENT_DATEJ_N(\"ER\",4)":[[46519]],"VST^CS_EVENT_TIME_N(\"ER\",4)":[["Unspecified"]],"VST^CS_EVENT_DESC_N(\"ER\",4)":[["Q1 2027 Earnings Release (Projected)"]],"CRH^CS_EVENT_DATEJ_N(\"ER\",4)":[[46519]],"CRH^CS_EVENT_TIME_N(\"ER\",4)":[["Unspecified"]],"CRH^CS_EVENT_DESC_N(\"ER\",4)":[["Q1 2027 Earnings Release (Projected)"]],"ABNB^CS_EVENT_DATEJ_N(\"ER\",4)":[[46520]],"ABNB^CS_EVENT_TIME_N(\"ER\",4)":[["Unspecified"]],"ABNB^CS_EVENT_DESC_N(\"ER\",4)":[["Q1 2027 Earnings Release (Projected)"]],"APP^CS_EVENT_DATEJ_N(\"ER\",4)":[["@NA"]],"APP^CS_EVENT_TIME_N(\"ER\",4)":[["@NA"]],"APP^CS_EVENT_DESC_N(\"ER\",4)":[["@NA"]],"HOOD^CS_EVENT_DATEJ_N(\"ER\",4)":[[46519]],"HOOD^CS_EVENT_TIME_N(\"ER\",4)":[["Unspecified"]],"HOOD^CS_EVENT_DESC_N(\"ER\",4)":[["Q1 2027 Earnings Release (Projected)"]],"KVUE^CS_EVENT_DATEJ_N(\"ER\",4)":[[46520]],"KVUE^CS_EVENT_TIME_N(\"ER\",4)":[["Unspecified"]],"KVUE^CS_EVENT_DESC_N(\"ER\",4)":[["Q1 2027 Earnings Release (Projected)"]],"TTWO^CS_EVENT_DATEJ_N(\"ER\",4)":[[46527]],"TTWO^CS_EVENT_TIME_N(\"ER\",4)":[["Unspecified"]],"TTWO^CS_EVENT_DESC_N(\"ER\",4)":[["Q4 2027 Earnings Release (Projected)"]],"ROST^CS_EVENT_DATEJ_N(\"ER\",4)":[[46534]],"ROST^CS_EVENT_TIME_N(\"ER\",4)":[["Unspecified"]],"ROST^CS_EVENT_DESC_N(\"ER\",4)":[["Q1 2027 Earnings Release (Projected)"]],"WMT^CS_EVENT_DATEJ_N(\"ER\",4)":[[46527]],"WMT^CS_EVENT_TIME_N(\"ER\",4)":[["Unspecified"]],"WMT^CS_EVENT_DESC_N(\"ER\",4)":[["Q1 2028 Earnings Release (Projected)"]],"AMAT^CS_EVENT_DATEJ_N(\"ER\",4)":[[46527]],"AMAT^CS_EVENT_TIME_N(\"ER\",4)":[["Unspecified"]],"AMAT^CS_EVENT_DESC_N(\"ER\",4)":[["Q2 2027 Earnings Release (Projected)"]],"HD^CS_EVENT_DATEJ_N(\"ER\",4)":[[46525]],"HD^CS_EVENT_TIME_N(\"ER\",4)":[["Unspecified"]],"HD^CS_EVENT_DESC_N(\"ER\",4)":[["Q1 2027 Earnings Release (Projected)"]],"KEYS^CS_EVENT_DATEJ_N(\"ER\",4)":[[46532]],"KEYS^CS_EVENT_TIME_N(\"ER\",4)":[["Unspecified"]],"KEYS^CS_EVENT_DESC_N(\"ER\",4)":[["Q2 2027 Earnings Release (Projected)"]],"TJX^CS_EVENT_DATEJ_N(\"ER\",4)":[[46526]],"TJX^CS_EVENT_TIME_N(\"ER\",4)":[["Unspecified"]],"TJX^CS_EVENT_DESC_N(\"ER\",4)":[["Q1 2028 Earnings Release (Projected)"]],"NVDA^CS_EVENT_DATEJ_N(\"ER\",4)":[[46533]],"NVDA^CS_EVENT_TIME_N(\"ER\",4)":[["Unspecified"]],"NVDA^CS_EVENT_DESC_N(\"ER\",4)":[["Q1 2028 Earnings Release (Projected)"]],"TGT^CS_EVENT_DATEJ_N(\"ER\",4)":[[46526]],"TGT^CS_EVENT_TIME_N(\"ER\",4)":[["Unspecified"]],"TGT^CS_EVENT_DESC_N(\"ER\",4)":[["Q1 2027 Earnings Release (Projected)"]],"MDT^CS_EVENT_DATEJ_N(\"ER\",4)":[[46441]],"MDT^CS_EVENT_TIME_N(\"ER\",4)":[["Unspecified"]],"MDT^CS_EVENT_DESC_N(\"ER\",4)":[["Q3 2027 Earnings Release (Projected)"]],"SNPS^CS_EVENT_DATEJ_N(\"ER\",4)":[["@NA"]],"SNPS^CS_EVENT_TIME_N(\"ER\",4)":[["@NA"]],"SNPS^CS_EVENT_DESC_N(\"ER\",4)":[["@NA"]],"CSCO^CS_EVENT_DATEJ_N(\"ER\",4)":[["@NA"]],"CSCO^CS_EVENT_TIME_N(\"ER\",4)":[["@NA"]],"CSCO^CS_EVENT_DESC_N(\"ER\",4)":[["@NA"]],"CPRT^CS_EVENT_DATEJ_N(\"ER\",4)":[[46526]],"CPRT^CS_EVENT_TIME_N(\"ER\",4)":[["Unspecified"]],"CPRT^CS_EVENT_DESC_N(\"ER\",4)":[["Q3 2027 Earnings Release (Projected)"]],"STE^CS_EVENT_DATEJ_N(\"ER\",4)":[["@NA"]],"STE^CS_EVENT_TIME_N(\"ER\",4)":[["@NA"]],"STE^CS_EVENT_DESC_N(\"ER\",4)":[["@NA"]],"ADSK^CS_EVENT_DATEJ_N(\"ER\",4)":[[46443]],"ADSK^CS_EVENT_TIME_N(\"ER\",4)":[["Unspecified"]],"ADSK^CS_EVENT_DESC_N(\"ER\",4)":[["Q4 2027 Earnings Release (Projected)"]],"DLTR^CS_EVENT_DATEJ_N(\"ER\",4)":[[46449]],"DLTR^CS_EVENT_TIME_N(\"ER\",4)":[["Unspecified"]],"DLTR^CS_EVENT_DESC_N(\"ER\",4)":[["Q4 2026 Earnings Release (Projected)"]],"DECK^CS_EVENT_DATEJ_N(\"ER\",4)":[[46534]],"DECK^CS_EVENT_TIME_N(\"ER\",4)":[["Unspecified"]],"DECK^CS_EVENT_DESC_N(\"ER\",4)":[["Q4 2027 Earnings Release (Projected)"]],"DE^CS_EVENT_DATEJ_N(\"ER\",4)":[[46521]],"DE^CS_EVENT_TIME_N(\"ER\",4)":[["Unspecified"]],"DE^CS_EVENT_DESC_N(\"ER\",4)":[["Q2 2027 Earnings Release (Projected)"]],"RL^CS_EVENT_DATEJ_N(\"ER\",4)":[[46534]],"RL^CS_EVENT_TIME_N(\"ER\",4)":[["Unspecified"]],"RL^CS_EVENT_DESC_N(\"ER\",4)":[["Q4 2027 Earnings Release (Projected)"]],"INTU^CS_EVENT_DATEJ_N(\"ER\",4)":[[46532]],"INTU^CS_EVENT_TIME_N(\"ER\",4)":[["Unspecified"]],"INTU^CS_EVENT_DESC_N(\"ER\",4)":[["Q3 2027 Earnings Release (Projected)"]],"ULTA^CS_EVENT_DATEJ_N(\"ER\",4)":[[46457]],"ULTA^CS_EVENT_TIME_N(\"ER\",4)":[["Unspecified"]],"ULTA^CS_EVENT_DESC_N(\"ER\",4)":[["Q4 2026 Earnings Release (Projected)"]],"DG^CS_EVENT_DATEJ_N(\"ER\",4)":[[46464]],"DG^CS_EVENT_TIME_N(\"ER\",4)":[["Unspecified"]],"DG^CS_EVENT_DESC_N(\"ER\",4)":[["Q4 2026 Earnings Release (Projected)"]],"WDAY^CS_EVENT_DATEJ_N(\"ER\",4)":[[46534]],"WDAY^CS_EVENT_TIME_N(\"ER\",4)":[["Unspecified"]],"WDAY^CS_EVENT_DESC_N(\"ER\",4)":[["Q1 2028 Earnings Release (Projected)"]],"EME^CS_EVENT_DATEJ_N(\"ER\",4)":[[46506]],"KLAC^CS_EVENT_DATEJ_N(\"ER\",4)":[[46506]],"TROW^CS_EVENT_DATEJ_N(\"ER\",4)":[[46506]],"AXP^CS_EVENT_DATEJ_N(\"ER\",4)":[[46584]],"CNP^CS_EVENT_DATEJ_N(\"ER\",4)":[[46511]],"SLB^CS_EVENT_TIME_N(\"ER\",4)":[["Unspecified"]],"HCA^CS_EVENT_TIME_N(\"ER\",4)":[["Unspecified"]],"CHTR^CS_EVENT_TIME_N(\"ER\",4)":[["Unspecified"]],"CARR^CS_EVENT_TIME_N(\"ER\",4)":[["@NA"]],"CARR^CS_EVENT_DESC_N(\"ER\",4)":[["@NA"]],"CVX^CS_EVENT_TIME_N(\"ER\",4)":[["Unspecified"]],"CVX^CS_EVENT_DESC_N(\"ER\",4)":[["Q1 2027 Earnings Release (Projected)"]],"PG^CS_EVENT_TIME_N(\"ER\",4)":[["Unspecified"]],"PG^CS_EVENT_DESC_N(\"ER\",4)":[["Q3 2027 Earnings Release (Projected)"]],"NSC^CS_EVENT_TIME_N(\"ER\",4)":[["Unspecified"]],"NSC^CS_EVENT_DESC_N(\"ER\",4)":[["Q1 2027 Earnings Release (Projected)"]],"XOM^CS_EVENT_TIME_N(\"ER\",4)":[["Unspecified"]],"XOM^CS_EVENT_DESC_N(\"ER\",4)":[["Q1 2027 Earnings Release (Projected)"]],"ADI^CS_EVENT_DATEJ_N(\"ER\",4)":[[46533]],"ADI^CS_EVENT_TIME_N(\"ER\",4)":[["Unspecified"]],"ADI^CS_EVENT_DESC_N(\"ER\",4)":[["Q2 2027 Earnings Release (Projected)"]],"WSM^CS_EVENT_DATEJ_N(\"ER\",4)":[[46533]],"WSM^CS_EVENT_TIME_N(\"ER\",4)":[["Unspecified"]],"WSM^CS_EVENT_DESC_N(\"ER\",4)":[["Q1 2027 Earnings Release (Projected)"]],"BBY^CS_EVENT_DATEJ_N(\"ER\",4)":[["@NA"]],"BBY^CS_EVENT_TIME_N(\"ER\",4)":[["@NA"]],"BBY^CS_EVENT_DESC_N(\"ER\",4)":[["@NA"]],"LOW^CS_EVENT_DATEJ_N(\"ER\",4)":[[46532]],"LOW^CS_EVENT_TIME_N(\"ER\",4)":[["Unspecified"]],"LOW^CS_EVENT_DESC_N(\"ER\",4)":[["Q1 2027 Earnings Release (Projected)"]],"COST^CS_EVENT_DATEJ_N(\"ER\",4)":[[46534]],"COST^CS_EVENT_TIME_N(\"ER\",4)":[["Unspecified"]],"COST^CS_EVENT_DESC_N(\"ER\",4)":[["Q3 2027 Earnings Release (Projected)"]],"HRL^CS_EVENT_DATEJ_N(\"ER\",4)":[[46450]],"HRL^CS_EVENT_TIME_N(\"ER\",4)":[["Unspecified"]],"HRL^CS_EVENT_DESC_N(\"ER\",4)":[["Q1 2027 Earnings Release (Projected)"]],"LULU^CS_EVENT_DATEJ_N(\"ER\",4)":[[46476]],"LULU^CS_EVENT_TIME_N(\"ER\",4)":[["Unspecified"]],"LULU^CS_EVENT_DESC_N(\"ER\",4)":[["Q4 2026 Earnings Release (Projected)"]],"NTAP^CS_EVENT_DATEJ_N(\"ER\",4)":[[46450]],"NTAP^CS_EVENT_TIME_N(\"ER\",4)":[["4:01 PM"]],"NTAP^CS_EVENT_DESC_N(\"ER\",4)":[["Q3 2027 Earnings Release"]],"DELL^CS_EVENT_DATEJ_N(\"ER\",4)":[[46450]],"DELL^CS_EVENT_TIME_N(\"ER\",4)":[["Unspecified"]],"DELL^CS_EVENT_DESC_N(\"ER\",4)":[["Q4 2027 Earnings Release (Projected)"]],"CRWD^CS_EVENT_DATEJ_N(\"ER\",4)":[[46455]],"CRWD^CS_EVENT_TIME_N(\"ER\",4)":[["Unspecified"]],"CRWD^CS_EVENT_DESC_N(\"ER\",4)":[["Q4 2027 Earnings Release (Projected)"]],"COO^CS_EVENT_DATEJ_N(\"ER\",4)":[[46541]],"COO^CS_EVENT_TIME_N(\"ER\",4)":[["Unspecified"]],"COO^CS_EVENT_DESC_N(\"ER\",4)":[["Q2 2027 Earnings Release (Projected)"]],"HPE^CS_EVENT_DATEJ_N(\"ER\",4)":[[46448]],"HPE^CS_EVENT_TIME_N(\"ER\",4)":[["Unspecified"]],"HPE^CS_EVENT_DESC_N(\"ER\",4)":[["Q1 2027 Earnings Release (Projected)"]],"CRM^CS_EVENT_DATEJ_N(\"ER\",4)":[[46540]],"CRM^CS_EVENT_TIME_N(\"ER\",4)":[["Unspecified"]],"CRM^CS_EVENT_DESC_N(\"ER\",4)":[["Q1 2028 Earnings Release (Projected)"]],"HPQ^CS_EVENT_DATEJ_N(\"ER\",4)":[["@NA"]],"HPQ^CS_EVENT_TIME_N(\"ER\",4)":[["@NA"]],"HPQ^CS_EVENT_DESC_N(\"ER\",4)":[["@NA"]],"SJM^CS_EVENT_DATEJ_N(\"ER\",4)":[[46448]],"SJM^CS_EVENT_TIME_N(\"ER\",4)":[["Unspecified"]],"SJM^CS_EVENT_DESC_N(\"ER\",4)":[["Q3 2027 Earnings Release (Projected)"]],"CIEN^CS_EVENT_DATEJ_N(\"ER\",4)":[[46454]],"CIEN^CS_EVENT_TIME_N(\"ER\",4)":[["Unspecified"]],"CIEN^CS_EVENT_DESC_N(\"ER\",4)":[["Q1 2027 Earnings Release (Projected)"]],"AVGO^CS_EVENT_DATEJ_N(\"ER\",4)":[[46457]],"AVGO^CS_EVENT_TIME_N(\"ER\",4)":[["Unspecified"]],"AVGO^CS_EVENT_DESC_N(\"ER\",4)":[["Q1 2027 Earnings Release (Projected)"]],"CPB^CS_EVENT_DATEJ_N(\"ER\",4)":[[46547]],"CPB^CS_EVENT_TIME_N(\"ER\",4)":[["Unspecified"]],"CPB^CS_EVENT_DESC_N(\"ER\",4)":[["Q3 2027 Earnings Release (Projected)"]],"BF.B^CS_EVENT_DATEJ_N(\"ER\",4)":[[46456]],"BF.B^CS_EVENT_TIME_N(\"ER\",4)":[["Unspecified"]],"BF.B^CS_EVENT_DESC_N(\"ER\",4)":[["Q3 2027 Earnings Release (Projected)"]],"ADBE^CS_EVENT_DATEJ_N(\"ER\",4)":[[46464]],"ADBE^CS_EVENT_TIME_N(\"ER\",4)":[["Unspecified"]],"ADBE^CS_EVENT_DESC_N(\"ER\",4)":[["Q1 2027 Earnings Release (Projected)"]],"KR^CS_EVENT_DATEJ_N(\"ER\",4)":[[46450]],"KR^CS_EVENT_TIME_N(\"ER\",4)":[["Unspecified"]],"KR^CS_EVENT_DESC_N(\"ER\",4)":[["Q4 2026 Earnings Release (Projected)"]],"ORCL^CS_EVENT_DATEJ_N(\"ER\",4)":[["@NA"]],"ORCL^CS_EVENT_TIME_N(\"ER\",4)":[["@NA"]],"ORCL^CS_EVENT_DESC_N(\"ER\",4)":[["@NA"]],"CARR^CS_EVENT_DATEJ_N(\"ER\",4)":[["@NA"]],"CVX^CS_EVENT_DATEJ_N(\"ER\",4)":[[46500]],"PG^CS_EVENT_DATEJ_N(\"ER\",4)":[[46493]],"NSC^CS_EVENT_DATEJ_N(\"ER\",4)":[[46505]],"XOM^CS_EVENT_DATEJ_N(\"ER\",4)":[[46500]],"SLB^CS_EVENT_DATEJ_N(\"ER\",4)":[[46493]],"HCA^CS_EVENT_DATEJ_N(\"ER\",4)":[[46493]],"CHTR^CS_EVENT_DATEJ_N(\"ER\",4)":[[46500]],"GILD^CS_EVENT_DATEJ_N(\"ER\",4)":[["@NA"]],"GILD^CS_EVENT_TIME_N(\"ER\",4)":[["@NA"]],"GILD^CS_EVENT_DESC_N(\"ER\",4)":[["@NA"]],"ERIE^CS_EVENT_DATEJ_N(\"ER\",4)":[[46506]],"ERIE^CS_EVENT_TIME_N(\"ER\",4)":[["Unspecified"]],"ERIE^CS_EVENT_DESC_N(\"ER\",4)":[["Q1 2027 Earnings Release (Projected)"]],"DOV^CS_EVENT_DATEJ_N(\"ER\",4)":[[46506]],"DOV^CS_EVENT_TIME_N(\"ER\",4)":[["Unspecified"]],"DOV^CS_EVENT_DESC_N(\"ER\",4)":[["Q1 2027 Earnings Release (Projected)"]],"DTE^CS_EVENT_DATEJ_N(\"ER\",4)":[[46506]],"DTE^CS_EVENT_TIME_N(\"ER\",4)":[["Unspecified"]],"DTE^CS_EVENT_DESC_N(\"ER\",4)":[["Q1 2027 Earnings Release (Projected)"]],"HAS^CS_EVENT_DATEJ_N(\"ER\",4)":[["@NA"]],"HAS^CS_EVENT_TIME_N(\"ER\",4)":[["@NA"]],"HAS^CS_EVENT_DESC_N(\"ER\",4)":[["@NA"]],"AMZN^CS_EVENT_DATEJ_N(\"ER\",4)":[[46506]],"AMZN^CS_EVENT_TIME_N(\"ER\",4)":[["Unspecified"]],"AMZN^CS_EVENT_DESC_N(\"ER\",4)":[["Q1 2027 Earnings Release (Projected)"]],"HIG^CS_EVENT_DATEJ_N(\"ER\",4)":[[46506]],"HIG^CS_EVENT_TIME_N(\"ER\",4)":[["Unspecified"]],"HIG^CS_EVENT_DESC_N(\"ER\",4)":[["Q1 2027 Earnings Release (Projected)"]],"HBAN^CS_EVENT_DATEJ_N(\"ER\",4)":[[46506]],"HBAN^CS_EVENT_TIME_N(\"ER\",4)":[["Unspecified"]],"HBAN^CS_EVENT_DESC_N(\"ER\",4)":[["Q1 2027 Earnings Release (Projected)"]],"PFG^CS_EVENT_DATEJ_N(\"ER\",4)":[[46506]],"INTC^CS_EVENT_DATEJ_N(\"ER\",4)":[[46506]],"FE^CS_EVENT_DATEJ_N(\"ER\",4)":[[46506]],"CAT^CS_EVENT_DATEJ_N(\"ER\",4)":[[46506]],"MCD^CS_EVENT_DATEJ_N(\"ER\",4)":[[46506]],"KLAC^CS_EVENT_DESC_N(\"ER\",4)":[["Q3 2027 Earnings Release (Projected)"]],"TROW^CS_EVENT_DESC_N(\"ER\",4)":[["Q1 2027 Earnings Release (Projected)"]],"AXP^CS_EVENT_DESC_N(\"ER\",4)":[["Q2 2027 Earnings Release (Projected)"]],"CNP^CS_EVENT_DESC_N(\"ER\",4)":[["Q1 2027 Earnings Release (Projected)"]],"WDC^CS_EVENT_DESC_N(\"ER\",4)":[["Q3 2027 Earnings Release (Projected)"]],"PM^CS_EVENT_DESC_N(\"ER\",4)":[["Q1 2027 Earnings Release (Projected)"]],"GEV^CS_EVENT_DESC_N(\"ER\",4)":[["Q2 2027 Earnings Release (Projected)"]],"PHM^CS_EVENT_DESC_N(\"ER\",4)":[["Q1 2027 Earnings Release (Projected)"]],"CPT^CS_EVENT_DESC_N(\"ER\",4)":[["Q1 2027 Earnings Release (Projected)"]],"WST^CS_EVENT_DESC_N(\"ER\",4)":[["Q1 2027 Earnings Release (Projected)"]],"RMD^CS_EVENT_DESC_N(\"ER\",4)":[["@NA"]],"HON^CS_EVENT_DESC_N(\"ER\",4)":[["@NA"]],"PCG^CS_EVENT_DESC_N(\"ER\",4)":[["Q1 2027 Earnings Release (Projected)"]],"MCK^CS_EVENT_DATEJ_N(\"ER\",4)":[[46520]],"MCK^CS_EVENT_TIME_N(\"ER\",4)":[["Unspecified"]],"MCK^CS_EVENT_DESC_N(\"ER\",4)":[["Q4 2027 Earnings Release (Projected)"]],"AKAM^CS_EVENT_DATEJ_N(\"ER\",4)":[[46520]],"AKAM^CS_EVENT_TIME_N(\"ER\",4)":[["Unspecified"]],"AKAM^CS_EVENT_DESC_N(\"ER\",4)":[["Q1 2027 Earnings Release (Projected)"]],"GWW^CS_EVENT_DATEJ_N(\"ER\",4)":[[46506]],"GWW^CS_EVENT_TIME_N(\"ER\",4)":[["Unspecified"]],"GWW^CS_EVENT_DESC_N(\"ER\",4)":[["Q1 2027 Earnings Release (Projected)"]],"CRL^CS_EVENT_DATEJ_N(\"ER\",4)":[[46520]],"CRL^CS_EVENT_TIME_N(\"ER\",4)":[["Unspecified"]],"CRL^CS_EVENT_DESC_N(\"ER\",4)":[["Q1 2027 Earnings Release (Projected)"]],"SATS^CS_EVENT_DATEJ_N(\"ER\",4)":[[46520]],"SATS^CS_EVENT_TIME_N(\"ER\",4)":[["Unspecified"]],"SATS^CS_EVENT_DESC_N(\"ER\",4)":[["Q1 2027 Earnings Release (Projected)"]],"CEG^CS_EVENT_DATEJ_N(\"ER\",4)":[["@NA"]],"CEG^CS_EVENT_TIME_N(\"ER\",4)":[["@NA"]],"CEG^CS_EVENT_DESC_N(\"ER\",4)":[["@NA"]],"NWS^CS_EVENT_DATEJ_N(\"ER\",4)":[[46520]],"NWS^CS_EVENT_TIME_N(\"ER\",4)":[["Unspecified"]],"NWS^CS_EVENT_DESC_N(\"ER\",4)":[["Q3 2027 Earnings Release (Projected)"]],"NWSA^CS_EVENT_DATEJ_N(\"ER\",4)":[[46520]],"NWSA^CS_EVENT_TIME_N(\"ER\",4)":[["Unspecified"]],"NWSA^CS_EVENT_DESC_N(\"ER\",4)":[["Q3 2027 Earnings Release (Projected)"]],"COIN^CS_EVENT_DATEJ_N(\"ER\",4)":[[46520]],"COIN^CS_EVENT_TIME_N(\"ER\",4)":[["Unspecified"]],"COIN^CS_EVENT_DESC_N(\"ER\",4)":[["Q1 2027 Earnings Release (Projected)"]],"TKO^CS_EVENT_DATEJ_N(\"ER\",4)":[[46519]],"TKO^CS_EVENT_TIME_N(\"ER\",4)":[["Unspecified"]],"TKO^CS_EVENT_DESC_N(\"ER\",4)":[["Q1 2027 Earnings Release (Projected)"]],"WBD^CS_EVENT_DATEJ_N(\"ER\",4)":[["@NA"]],"WBD^CS_EVENT_TIME_N(\"ER\",4)":[["@NA"]],"WBD^CS_EVENT_DESC_N(\"ER\",4)":[["@NA"]],"SOLV^CS_EVENT_DATEJ_N(\"ER\",4)":[[46520]],"SOLV^CS_EVENT_TIME_N(\"ER\",4)":[["Unspecified"]],"SOLV^CS_EVENT_DESC_N(\"ER\",4)":[["Q1 2027 Earnings Release (Projected)"]],"TSN^CS_EVENT_DATEJ_N(\"ER\",4)":[["@NA"]],"TSN^CS_EVENT_TIME_N(\"ER\",4)":[["@NA"]],"TSN^CS_EVENT_DESC_N(\"ER\",4)":[["@NA"]],"MCHP^CS_EVENT_DATEJ_N(\"ER\",4)":[[46517]],"MCHP^CS_EVENT_TIME_N(\"ER\",4)":[["Unspecified"]],"MCHP^CS_EVENT_DESC_N(\"ER\",4)":[["Q4 2027 Earnings Release (Projected)"]],"SPG^CS_EVENT_DATEJ_N(\"ER\",4)":[[46517]],"SPG^CS_EVENT_TIME_N(\"ER\",4)":[["Unspecified"]],"SPG^CS_EVENT_DESC_N(\"ER\",4)":[["Q1 2027 Earnings Release (Projected)"]],"IFF^CS_EVENT_DATEJ_N(\"ER\",4)":[[46517]],"IFF^CS_EVENT_TIME_N(\"ER\",4)":[["Unspecified"]],"IFF^CS_EVENT_DESC_N(\"ER\",4)":[["Q1 2027 Earnings Release (Projected)"]],"VTRS^CS_EVENT_DATEJ_N(\"ER\",4)":[["@NA"]],"VTRS^CS_EVENT_TIME_N(\"ER\",4)":[["@NA"]],"VTRS^CS_EVENT_DESC_N(\"ER\",4)":[["@NA"]],"PLTR^CS_EVENT_DATEJ_N(\"ER\",4)":[[46517]],"PLTR^CS_EVENT_TIME_N(\"ER\",4)":[["Unspecified"]],"PLTR^CS_EVENT_DESC_N(\"ER\",4)":[["Q1 2027 Earnings Release (Projected)"]],"HSIC^CS_EVENT_DATEJ_N(\"ER\",4)":[[46518]],"HSIC^CS_EVENT_TIME_N(\"ER\",4)":[["Unspecified"]],"HSIC^CS_EVENT_DESC_N(\"ER\",4)":[["Q1 2027 Earnings Release (Projected)"]],"JKHY^CS_EVENT_DATEJ_N(\"ER\",4)":[[46511]],"JKHY^CS_EVENT_TIME_N(\"ER\",4)":[["Unspecified"]],"JKHY^CS_EVENT_DESC_N(\"ER\",4)":[["Q3 2027 Earnings Release (Projected)"]],"AXON^CS_EVENT_DATEJ_N(\"ER\",4)":[[46518]],"AXON^CS_EVENT_TIME_N(\"ER\",4)":[["Unspecified"]],"AXON^CS_EVENT_DESC_N(\"ER\",4)":[["Q1 2027 Earnings Release (Projected)"]],"WAT^CS_EVENT_DATEJ_N(\"ER\",4)":[[46518]],"WAT^CS_EVENT_TIME_N(\"ER\",4)":[["Unspecified"]],"WAT^CS_EVENT_DESC_N(\"ER\",4)":[["Q1 2027 Earnings Release (Projected)"]],"ZBRA^CS_EVENT_DATEJ_N(\"ER\",4)":[[46511]],"ZBRA^CS_EVENT_TIME_N(\"ER\",4)":[["Unspecified"]],"ZBRA^CS_EVENT_DESC_N(\"ER\",4)":[["Q1 2027 Earnings Release (Projected)"]],"EXPD^CS_EVENT_DATEJ_N(\"ER\",4)":[[46511]],"EXPD^CS_EVENT_TIME_N(\"ER\",4)":[["Unspecified"]],"EXPD^CS_EVENT_DESC_N(\"ER\",4)":[["Q1 2027 Earnings Release (Projected)"]],"OXY^CS_EVENT_DATEJ_N(\"ER\",4)":[[46518]],"OXY^CS_EVENT_TIME_N(\"ER\",4)":[["Unspecified"]],"OXY^CS_EVENT_DESC_N(\"ER\",4)":[["Q1 2027 Earnings Release (Projected)"]],"WYNN^CS_EVENT_DATEJ_N(\"ER\",4)":[[46518]],"WYNN^CS_EVENT_TIME_N(\"ER\",4)":[["Unspecified"]],"WYNN^CS_EVENT_DESC_N(\"ER\",4)":[["Q1 2027 Earnings Release (Projected)"]],"J^CS_EVENT_DATEJ_N(\"ER\",4)":[[46518]],"J^CS_EVENT_TIME_N(\"ER\",4)":[["Unspecified"]],"J^CS_EVENT_DESC_N(\"ER\",4)":[["Q2 2027 Earnings Release (Projected)"]],"TDG^CS_EVENT_DATEJ_N(\"ER\",4)":[[46518]],"TDG^CS_EVENT_TIME_N(\"ER\",4)":[["Unspecified"]],"TDG^CS_EVENT_DESC_N(\"ER\",4)":[["Q2 2027 Earnings Release (Projected)"]],"DUK^CS_EVENT_DATEJ_N(\"ER\",4)":[[46518]],"DUK^CS_EVENT_TIME_N(\"ER\",4)":[["Unspecified"]],"DUK^CS_EVENT_DESC_N(\"ER\",4)":[["Q1 2027 Earnings Release (Projected)"]],"LITE^CS_EVENT_DATEJ_N(\"ER\",4)":[[46518]],"LITE^CS_EVENT_TIME_N(\"ER\",4)":[["Unspecified"]],"LITE^CS_EVENT_DESC_N(\"ER\",4)":[["Q3 2027 Earnings Release (Projected)"]],"IDXX^CS_EVENT_DESC_N(\"ER\",4)":[["@NA"]],"TPL^CS_EVENT_DESC_N(\"ER\",4)":[["Q1 2027 Earnings Release (Projected)"]],"APA^CS_EVENT_DESC_N(\"ER\",4)":[["@NA"]],"RSG^CS_EVENT_DESC_N(\"ER\",4)":[["Q1 2027 Earnings Release (Projected)"]],"MET^CS_EVENT_DESC_N(\"ER\",4)":[["Q1 2027 Earnings Release (Projected)"]],"FE^CS_EVENT_TIME_N(\"ER\",4)":[["Unspecified"]],"CAT^CS_EVENT_TIME_N(\"ER\",4)":[["Unspecified"]],"MCD^CS_EVENT_TIME_N(\"ER\",4)":[["Unspecified"]],"IDXX^CS_EVENT_TIME_N(\"ER\",4)":[["@NA"]],"TPL^CS_EVENT_TIME_N(\"ER\",4)":[["Unspecified"]],"PCG^CS_EVENT_DATEJ_N(\"ER\",4)":[[46506]],"AOS^CS_EVENT_DATEJ_N(\"ER\",4)":[[46506]],"NEM^CS_EVENT_DATEJ_N(\"ER\",4)":[[46506]],"KIM^CS_EVENT_DATEJ_N(\"ER\",4)":[["@NA"]],"HSY^CS_EVENT_DATEJ_N(\"ER\",4)":[[46506]],"VRSN^CS_EVENT_DATEJ_N(\"ER\",4)":[[46506]],"CINF^CS_EVENT_DATEJ_N(\"ER\",4)":[[46506]],"AJG^CS_EVENT_DATEJ_N(\"ER\",4)":[[46506]],"WTW^CS_EVENT_DATEJ_N(\"ER\",4)":[[46506]],"AOS^CS_EVENT_TIME_N(\"ER\",4)":[["Unspecified"]],"AOS^CS_EVENT_DESC_N(\"ER\",4)":[["Q1 2027 Earnings Release (Projected)"]],"NEM^CS_EVENT_TIME_N(\"ER\",4)":[["Unspecified"]],"NEM^CS_EVENT_DESC_N(\"ER\",4)":[["Q1 2027 Earnings Release (Projected)"]],"KIM^CS_EVENT_TIME_N(\"ER\",4)":[["@NA"]],"KIM^CS_EVENT_DESC_N(\"ER\",4)":[["@NA"]],"HSY^CS_EVENT_TIME_N(\"ER\",4)":[["Unspecified"]],"HSY^CS_EVENT_DESC_N(\"ER\",4)":[["Q1 2027 Earnings Release (Projected)"]],"VRSN^CS_EVENT_TIME_N(\"ER\",4)":[["Unspecified"]],"VRSN^CS_EVENT_DESC_N(\"ER\",4)":[["Q1 2027 Earnings Release (Projected)"]],"CINF^CS_EVENT_TIME_N(\"ER\",4)":[["Unspecified"]],"CINF^CS_EVENT_DESC_N(\"ER\",4)":[["Q1 2027 Earnings Release (Projected)"]],"AJG^CS_EVENT_TIME_N(\"ER\",4)":[["Unspecified"]],"AJG^CS_EVENT_DESC_N(\"ER\",4)":[["Q1 2027 Earnings Release (Projected)"]],"WTW^CS_EVENT_TIME_N(\"ER\",4)":[["Unspecified"]],"WTW^CS_EVENT_DESC_N(\"ER\",4)":[["Q1 2027 Earnings Release (Projected)"]],"PCG^CS_EVENT_TIME_N(\"ER\",4)":[["Unspecified"]],"PM^CS_EVENT_DATEJ_N(\"ER\",4)":[[46499]],"PM^CS_EVENT_TIME_N(\"ER\",4)":[["Unspecified"]],"GEV^CS_EVENT_DATEJ_N(\"ER\",4)":[[46596]],"GEV^CS_EVENT_TIME_N(\"ER\",4)":[["Unspecified"]],"PHM^CS_EVENT_DATEJ_N(\"ER\",4)":[[46504]],"PHM^CS_EVENT_TIME_N(\"ER\",4)":[["Unspecified"]],"CPT^CS_EVENT_DATEJ_N(\"ER\",4)":[[46506]],"CPT^CS_EVENT_TIME_N(\"ER\",4)":[["Unspecified"]],"WST^CS_EVENT_DATEJ_N(\"ER\",4)":[[46506]],"WST^CS_EVENT_TIME_N(\"ER\",4)":[["Unspecified"]],"RMD^CS_EVENT_DATEJ_N(\"ER\",4)":[["@NA"]],"RMD^CS_EVENT_TIME_N(\"ER\",4)":[["@NA"]],"HON^CS_EVENT_DATEJ_N(\"ER\",4)":[["@NA"]],"HON^CS_EVENT_TIME_N(\"ER\",4)":[["@NA"]],"EQR^CS_EVENT_DATEJ_N(\"ER\",3)":[[46429]],"EQR^CS_EVENT_TIME_N(\"ER\",3)":[["Unspecified"]],"MCO^CS_EVENT_DATEJ_N(\"ER\",4)":[[46505]],"MCO^CS_EVENT_TIME_N(\"ER\",4)":[["Unspecified"]],"MCO^CS_EVENT_DESC_N(\"ER\",4)":[["Q1 2027 Earnings Release (Projected)"]],"KO^CS_EVENT_DATEJ_N(\"ER\",4)":[[46511]],"KO^CS_EVENT_TIME_N(\"ER\",4)":[["Unspecified"]],"KO^CS_EVENT_DESC_N(\"ER\",4)":[["Q1 2027 Earnings Release (Projected)"]],"FISV^CS_EVENT_DATEJ_N(\"ER\",4)":[[46504]],"FISV^CS_EVENT_TIME_N(\"ER\",4)":[["Unspecified"]],"FISV^CS_EVENT_DESC_N(\"ER\",4)":[["Q1 2027 Earnings Release (Projected)"]],"AMT^CS_EVENT_DATEJ_N(\"ER\",4)":[[46505]],"AMT^CS_EVENT_TIME_N(\"ER\",4)":[["Unspecified"]],"AMT^CS_EVENT_DESC_N(\"ER\",4)":[["Q1 2027 Earnings Release (Projected)"]],"NVR^CS_EVENT_DATEJ_N(\"ER\",4)":[[46504]],"NVR^CS_EVENT_TIME_N(\"ER\",4)":[["Unspecified"]],"NVR^CS_EVENT_DESC_N(\"ER\",4)":[["Q1 2027 Earnings Release (Projected)"]],"ROP^CS_EVENT_DATEJ_N(\"ER\",4)":[["@NA"]],"ROP^CS_EVENT_TIME_N(\"ER\",4)":[["@NA"]],"ROP^CS_EVENT_DESC_N(\"ER\",4)":[["@NA"]],"TER^CS_EVENT_DATEJ_N(\"ER\",4)":[[46504]],"TER^CS_EVENT_TIME_N(\"ER\",4)":[["Unspecified"]],"TER^CS_EVENT_DESC_N(\"ER\",4)":[["Q1 2027 Earnings Release (Projected)"]],"MMM^CS_EVENT_DATEJ_N(\"ER\",4)":[[46504]],"MMM^CS_EVENT_TIME_N(\"ER\",4)":[["Unspecified"]],"MMM^CS_EVENT_DESC_N(\"ER\",4)":[["Q1 2027 Earnings Release (Projected)"]],"IEX^CS_EVENT_DATEJ_N(\"ER\",4)":[[46504]],"IEX^CS_EVENT_TIME_N(\"ER\",4)":[["Unspecified"]],"IEX^CS_EVENT_DESC_N(\"ER\",4)":[["Q1 2027 Earnings Release (Projected)"]],"CSGP^CS_EVENT_DATEJ_N(\"ER\",4)":[[46504]],"CSGP^CS_EVENT_TIME_N(\"ER\",4)":[["Unspecified"]],"CSGP^CS_EVENT_DESC_N(\"ER\",4)":[["Q1 2027 Earnings Release (Projected)"]],"TXN^CS_EVENT_DATEJ_N(\"ER\",4)":[[46504]],"TXN^CS_EVENT_TIME_N(\"ER\",4)":[["Unspecified"]],"TXN^CS_EVENT_DESC_N(\"ER\",4)":[["Q1 2027 Earnings Release (Projected)"]],"ESS^CS_EVENT_DATEJ_N(\"ER\",4)":[[46504]],"ESS^CS_EVENT_TIME_N(\"ER\",4)":[["Unspecified"]],"ESS^CS_EVENT_DESC_N(\"ER\",4)":[["Q1 2027 Earnings Release (Projected)"]],"CNC^CS_EVENT_DATEJ_N(\"ER\",4)":[[46504]],"CNC^CS_EVENT_TIME_N(\"ER\",4)":[["Unspecified"]],"CNC^CS_EVENT_DESC_N(\"ER\",4)":[["Q1 2027 Earnings Release (Projected)"]],"WM^CS_EVENT_DATEJ_N(\"ER\",4)":[[46504]],"WM^CS_EVENT_TIME_N(\"ER\",4)":[["Unspecified"]],"WM^CS_EVENT_DESC_N(\"ER\",4)":[["Q1 2027 Earnings Release (Projected)"]],"EQR^CS_EVENT_DATEJ_N(\"ER\",4)":[[46504]],"EQR^CS_EVENT_TIME_N(\"ER\",4)":[["Unspecified"]],"EQR^CS_EVENT_DESC_N(\"ER\",4)":[["Q1 2027 Earnings Release (Projected)"]],"PCAR^CS_EVENT_DATEJ_N(\"ER\",4)":[["@NA"]],"PCAR^CS_EVENT_TIME_N(\"ER\",4)":[["@NA"]],"PCAR^CS_EVENT_DESC_N(\"ER\",4)":[["@NA"]],"SPGI^CS_EVENT_DATEJ_N(\"ER\",4)":[[46506]],"SPGI^CS_EVENT_TIME_N(\"ER\",4)":[["Unspecified"]],"SPGI^CS_EVENT_DESC_N(\"ER\",4)":[["Q1 2027 Earnings Release (Projected)"]],"SHW^CS_EVENT_DATEJ_N(\"ER\",4)":[["@NA"]],"SHW^CS_EVENT_TIME_N(\"ER\",4)":[["@NA"]],"SHW^CS_EVENT_DESC_N(\"ER\",4)":[["@NA"]],"ECL^CS_EVENT_DATEJ_N(\"ER\",4)":[["@NA"]],"ECL^CS_EVENT_TIME_N(\"ER\",4)":[["@NA"]],"ECL^CS_EVENT_DESC_N(\"ER\",4)":[["@NA"]],"EIX^CS_EVENT_DATEJ_N(\"ER\",4)":[["@NA"]],"EIX^CS_EVENT_TIME_N(\"ER\",4)":[["@NA"]],"EIX^CS_EVENT_DESC_N(\"ER\",4)":[["@NA"]],"UPS^CS_EVENT_DATEJ_N(\"ER\",4)":[["@NA"]],"UPS^CS_EVENT_TIME_N(\"ER\",4)":[["@NA"]],"UPS^CS_EVENT_DESC_N(\"ER\",4)":[["@NA"]],"ACGL^CS_EVENT_DATEJ_N(\"ER\",4)":[[46505]],"ACGL^CS_EVENT_TIME_N(\"ER\",4)":[["Unspecified"]],"ACGL^CS_EVENT_DESC_N(\"ER\",4)":[["Q1 2027 Earnings Release (Projected)"]],"KMB^CS_EVENT_DATEJ_N(\"ER\",4)":[[46504]],"KMB^CS_EVENT_TIME_N(\"ER\",4)":[["Unspecified"]],"KMB^CS_EVENT_DESC_N(\"ER\",4)":[["Q1 2027 Earnings Release (Projected)"]],"PEP^CS_EVENT_DATEJ_N(\"ER\",4)":[[46504]],"PEP^CS_EVENT_TIME_N(\"ER\",4)":[["Unspecified"]],"PEP^CS_EVENT_DESC_N(\"ER\",4)":[["Q1 2027 Earnings Release (Projected)"]],"HUBB^CS_EVENT_DATEJ_N(\"ER\",4)":[[46504]],"HUBB^CS_EVENT_TIME_N(\"ER\",4)":[["Unspecified"]],"HUBB^CS_EVENT_DESC_N(\"ER\",4)":[["Q1 2027 Earnings Release (Projected)"]],"ADM^CS_EVENT_DATEJ_N(\"ER\",4)":[[46504]],"ADM^CS_EVENT_TIME_N(\"ER\",4)":[["Unspecified"]],"ADM^CS_EVENT_DESC_N(\"ER\",4)":[["Q1 2027 Earnings Release (Projected)"]],"BKNG^CS_EVENT_DATEJ_N(\"ER\",4)":[[46512]],"BKNG^CS_EVENT_TIME_N(\"ER\",4)":[["Unspecified"]],"BKNG^CS_EVENT_DESC_N(\"ER\",4)":[["Q1 2027 Earnings Release (Projected)"]],"MSCI^CS_EVENT_DATEJ_N(\"ER\",4)":[[46504]],"MSCI^CS_EVENT_TIME_N(\"ER\",4)":[["Unspecified"]],"MSCI^CS_EVENT_DESC_N(\"ER\",4)":[["Q1 2027 Earnings Release (Projected)"]],"GOOGL^CS_EVENT_DATEJ_N(\"ER\",4)":[[46504]],"GOOGL^CS_EVENT_TIME_N(\"ER\",4)":[["Unspecified"]],"GOOGL^CS_EVENT_DESC_N(\"ER\",4)":[["Q1 2027 Earnings Release (Projected)"]],"GM^CS_EVENT_DATEJ_N(\"ER\",4)":[[46511]],"GM^CS_EVENT_TIME_N(\"ER\",4)":[["Unspecified"]],"GM^CS_EVENT_DESC_N(\"ER\",4)":[["Q1 2027 Earnings Release (Projected)"]],"NEE^CS_EVENT_DATEJ_N(\"ER\",4)":[["@NA"]],"NEE^CS_EVENT_TIME_N(\"ER\",4)":[["@NA"]],"NEE^CS_EVENT_DESC_N(\"ER\",4)":[["@NA"]],"NXPI^CS_EVENT_DATEJ_N(\"ER\",4)":[[46510]],"NXPI^CS_EVENT_TIME_N(\"ER\",4)":[["Unspecified"]],"NXPI^CS_EVENT_DESC_N(\"ER\",4)":[["Q1 2027 Earnings Release (Projected)"]],"MDLZ^CS_EVENT_DATEJ_N(\"ER\",4)":[[46504]],"MDLZ^CS_EVENT_TIME_N(\"ER\",4)":[["Unspecified"]],"MDLZ^CS_EVENT_DESC_N(\"ER\",4)":[["Q1 2027 Earnings Release (Projected)"]],"TSLA^CS_EVENT_DATEJ_N(\"ER\",4)":[[46504]],"TSLA^CS_EVENT_TIME_N(\"ER\",4)":[["Unspecified"]],"TSLA^CS_EVENT_DESC_N(\"ER\",4)":[["Q1 2027 Earnings Release (Projected)"]],"GOOG^CS_EVENT_DATEJ_N(\"ER\",4)":[[46504]],"GOOG^CS_EVENT_TIME_N(\"ER\",4)":[["Unspecified"]],"GOOG^CS_EVENT_DESC_N(\"ER\",4)":[["Q1 2027 Earnings Release (Projected)"]],"HLT^CS_EVENT_DATEJ_N(\"ER\",4)":[["@NA"]],"HLT^CS_EVENT_TIME_N(\"ER\",4)":[["@NA"]],"HLT^CS_EVENT_DESC_N(\"ER\",4)":[["@NA"]],"IVZ^CS_EVENT_DATEJ_N(\"ER\",4)":[[46504]],"IVZ^CS_EVENT_TIME_N(\"ER\",4)":[["Unspecified"]],"IVZ^CS_EVENT_DESC_N(\"ER\",4)":[["Q1 2027 Earnings Release (Projected)"]],"EXR^CS_EVENT_DATEJ_N(\"ER\",4)":[[46511]],"EXR^CS_EVENT_TIME_N(\"ER\",4)":[["Unspecified"]],"EXR^CS_EVENT_DESC_N(\"ER\",4)":[["Q1 2027 Earnings Release (Projected)"]],"TMUS^CS_EVENT_DATEJ_N(\"ER\",4)":[[46506]],"TMUS^CS_EVENT_TIME_N(\"ER\",4)":[["Unspecified"]],"TMUS^CS_EVENT_DESC_N(\"ER\",4)":[["Q1 2027 Earnings Release (Projected)"]],"UDR^CS_EVENT_DATEJ_N(\"ER\",4)":[[46504]],"UDR^CS_EVENT_TIME_N(\"ER\",4)":[["Unspecified"]],"UDR^CS_EVENT_DESC_N(\"ER\",4)":[["Q1 2027 Earnings Release (Projected)"]],"V^CS_EVENT_DATEJ_N(\"ER\",4)":[["@NA"]],"V^CS_EVENT_TIME_N(\"ER\",4)":[["@NA"]],"V^CS_EVENT_DESC_N(\"ER\",4)":[["@NA"]],"PNR^CS_EVENT_DATEJ_N(\"ER\",4)":[[46504]],"PNR^CS_EVENT_TIME_N(\"ER\",4)":[["Unspecified"]],"PNR^CS_EVENT_DESC_N(\"ER\",4)":[["Q1 2027 Earnings Release (Projected)"]],"VLTO^CS_EVENT_DATEJ_N(\"ER\",4)":[[46511]],"VLTO^CS_EVENT_TIME_N(\"ER\",4)":[["Unspecified"]],"VLTO^CS_EVENT_DESC_N(\"ER\",4)":[["Q1 2027 Earnings Release (Projected)"]],"XYL^CS_EVENT_DATEJ_N(\"ER\",4)":[[46511]],"XYL^CS_EVENT_TIME_N(\"ER\",4)":[["Unspecified"]],"XYL^CS_EVENT_DESC_N(\"ER\",4)":[["Q1 2027 Earnings Release (Projected)"]],"MAA^CS_EVENT_DATEJ_N(\"ER\",4)":[[46512]],"MAA^CS_EVENT_TIME_N(\"ER\",4)":[["Unspecified"]],"MAA^CS_EVENT_DESC_N(\"ER\",4)":[["Q1 2027 Earnings Release (Projected)"]],"EQIX^CS_EVENT_DATEJ_N(\"ER\",4)":[[46512]],"EQIX^CS_EVENT_TIME_N(\"ER\",4)":[["Unspecified"]],"EQIX^CS_EVENT_DESC_N(\"ER\",4)":[["Q1 2027 Earnings Release (Projected)"]],"GRMN^CS_EVENT_DATEJ_N(\"ER\",4)":[[46512]],"GRMN^CS_EVENT_TIME_N(\"ER\",4)":[["Unspecified"]],"GRMN^CS_EVENT_DESC_N(\"ER\",4)":[["Q1 2027 Earnings Release (Projected)"]],"EW^CS_EVENT_DATEJ_N(\"ER\",4)":[["@NA"]],"EW^CS_EVENT_TIME_N(\"ER\",4)":[["@NA"]],"EW^CS_EVENT_DESC_N(\"ER\",4)":[["@NA"]],"MGM^CS_EVENT_DATEJ_N(\"ER\",4)":[[46512]],"MGM^CS_EVENT_TIME_N(\"ER\",4)":[["Unspecified"]],"MGM^CS_EVENT_DESC_N(\"ER\",4)":[["Q1 2027 Earnings Release (Projected)"]],"APH^CS_EVENT_DATEJ_N(\"ER\",4)":[[46596]],"APH^CS_EVENT_TIME_N(\"ER\",4)":[["Unspecified"]],"APH^CS_EVENT_DESC_N(\"ER\",4)":[["Q2 2027 Earnings Release (Projected)"]],"ALL^CS_EVENT_DATEJ_N(\"ER\",4)":[[46512]],"ALL^CS_EVENT_TIME_N(\"ER\",4)":[["Unspecified"]],"ALL^CS_EVENT_DESC_N(\"ER\",4)":[["Q1 2027 Earnings Release (Projected)"]],"SWK^CS_EVENT_DATEJ_N(\"ER\",4)":[[46513]],"SWK^CS_EVENT_TIME_N(\"ER\",4)":[["Unspecified"]],"SWK^CS_EVENT_DESC_N(\"ER\",4)":[["Q1 2027 Earnings Release (Projected)"]],"REGN^CS_EVENT_DATEJ_N(\"ER\",4)":[["@NA"]],"REGN^CS_EVENT_TIME_N(\"ER\",4)":[["@NA"]],"REGN^CS_EVENT_DESC_N(\"ER\",4)":[["@NA"]],"ODFL^CS_EVENT_DATEJ_N(\"ER\",4)":[[46505]],"ODFL^CS_EVENT_TIME_N(\"ER\",4)":[["Unspecified"]],"ODFL^CS_EVENT_DESC_N(\"ER\",4)":[["Q1 2027 Earnings Release (Projected)"]],"ALGN^CS_EVENT_DATEJ_N(\"ER\",4)":[[46505]],"ALGN^CS_EVENT_TIME_N(\"ER\",4)":[["Unspecified"]],"ALGN^CS_EVENT_DESC_N(\"ER\",4)":[["Q1 2027 Earnings Release (Projected)"]],"GD^CS_EVENT_DATEJ_N(\"ER\",4)":[[46505]],"GD^CS_EVENT_TIME_N(\"ER\",4)":[["Unspecified"]],"GD^CS_EVENT_DESC_N(\"ER\",4)":[["Q1 2027 Earnings Release (Projected)"]],"ETR^CS_EVENT_DATEJ_N(\"ER\",4)":[[46505]],"ETR^CS_EVENT_TIME_N(\"ER\",4)":[["Unspecified"]],"ETR^CS_EVENT_DESC_N(\"ER\",4)":[["Q1 2027 Earnings Release (Projected)"]],"EG^CS_EVENT_DATEJ_N(\"ER\",4)":[[46510]],"EG^CS_EVENT_TIME_N(\"ER\",4)":[["Unspecified"]],"EG^CS_EVENT_DESC_N(\"ER\",4)":[["Q1 2027 Earnings Release (Projected)"]],"FIX^CS_EVENT_DATEJ_N(\"ER\",4)":[[46505]],"FIX^CS_EVENT_TIME_N(\"ER\",4)":[["Unspecified"]],"FIX^CS_EVENT_DESC_N(\"ER\",4)":[["Q1 2027 Earnings Release (Projected)"]],"ROL^CS_EVENT_DATEJ_N(\"ER\",4)":[[46505]],"ROL^CS_EVENT_TIME_N(\"ER\",4)":[["Unspecified"]],"ROL^CS_EVENT_DESC_N(\"ER\",4)":[["Q1 2027 Earnings Release (Projected)"]],"ADP^CS_EVENT_DATEJ_N(\"ER\",4)":[[46505]],"ADP^CS_EVENT_TIME_N(\"ER\",4)":[["Unspecified"]],"ADP^CS_EVENT_DESC_N(\"ER\",4)":[["Q3 2027 Earnings Release (Projected)"]],"TDY^CS_EVENT_DATEJ_N(\"ER\",4)":[[46505]],"TDY^CS_EVENT_TIME_N(\"ER\",4)":[["Unspecified"]],"TDY^CS_EVENT_DESC_N(\"ER\",4)":[["Q1 2027 Earnings Release (Projected)"]],"URI^CS_EVENT_DATEJ_N(\"ER\",4)":[[46505]],"URI^CS_EVENT_TIME_N(\"ER\",4)":[["Unspecified"]],"URI^CS_EVENT_DESC_N(\"ER\",4)":[["Q1 2027 Earnings Release (Projected)"]],"AMGN^CS_EVENT_DATEJ_N(\"ER\",4)":[["@NA"]],"AMGN^CS_EVENT_TIME_N(\"ER\",4)":[["@NA"]],"AMGN^CS_EVENT_DESC_N(\"ER\",4)":[["@NA"]],"AVY^CS_EVENT_DATEJ_N(\"ER\",4)":[[46505]],"AVY^CS_EVENT_TIME_N(\"ER\",4)":[["Unspecified"]],"AVY^CS_EVENT_DESC_N(\"ER\",4)":[["Q1 2027 Earnings Release (Projected)"]],"EQT^CS_EVENT_DATEJ_N(\"ER\",4)":[["@NA"]],"EQT^CS_EVENT_TIME_N(\"ER\",4)":[["@NA"]],"EQT^CS_EVENT_DESC_N(\"ER\",4)":[["@NA"]],"ORLY^CS_EVENT_DATEJ_N(\"ER\",4)":[["@NA"]],"ORLY^CS_EVENT_TIME_N(\"ER\",4)":[["@NA"]],"ORLY^CS_EVENT_DESC_N(\"ER\",4)":[["@NA"]],"TMO^CS_EVENT_DATEJ_N(\"ER\",4)":[[46506]],"TMO^CS_EVENT_TIME_N(\"ER\",4)":[["Unspecified"]],"TMO^CS_EVENT_DESC_N(\"ER\",4)":[["Q1 2027 Earnings Release (Projected)"]],"AVB^CS_EVENT_DATEJ_N(\"ER\",4)":[["@NA"]],"AVB^CS_EVENT_TIME_N(\"ER\",4)":[["@NA"]],"AVB^CS_EVENT_DESC_N(\"ER\",4)":[["@NA"]],"LRCX^CS_EVENT_DATEJ_N(\"ER\",4)":[[46498]],"LRCX^CS_EVENT_TIME_N(\"ER\",4)":[["Unspecified"]],"LRCX^CS_EVENT_DESC_N(\"ER\",4)":[["Q3 2027 Earnings Release (Projected)"]],"TYL^CS_EVENT_DATEJ_N(\"ER\",4)":[[46505]],"TYL^CS_EVENT_TIME_N(\"ER\",4)":[["Unspecified"]],"TYL^CS_EVENT_DESC_N(\"ER\",4)":[["Q1 2027 Earnings Release (Projected)"]],"REG^CS_EVENT_DATEJ_N(\"ER\",4)":[[46513]],"REG^CS_EVENT_TIME_N(\"ER\",4)":[["Unspecified"]],"REG^CS_EVENT_DESC_N(\"ER\",4)":[["Q1 2027 Earnings Release (Projected)"]],"BG^CS_EVENT_DATEJ_N(\"ER\",4)":[["@NA"]],"BG^CS_EVENT_TIME_N(\"ER\",4)":[["@NA"]],"BG^CS_EVENT_DESC_N(\"ER\",4)":[["@NA"]],"F^CS_EVENT_DATEJ_N(\"ER\",4)":[[46505]],"F^CS_EVENT_TIME_N(\"ER\",4)":[["Unspecified"]],"F^CS_EVENT_DESC_N(\"ER\",4)":[["Q1 2027 Earnings Release (Projected)"]],"AFL^CS_EVENT_DATEJ_N(\"ER\",4)":[[46505]],"AFL^CS_EVENT_TIME_N(\"ER\",4)":[["Unspecified"]],"AFL^CS_EVENT_DESC_N(\"ER\",4)":[["Q1 2027 Earnings Release (Projected)"]],"HUM^CS_EVENT_DATEJ_N(\"ER\",4)":[[46505]],"HUM^CS_EVENT_TIME_N(\"ER\",4)":[["Unspecified"]],"HUM^CS_EVENT_DESC_N(\"ER\",4)":[["Q1 2027 Earnings Release (Projected)"]],"CMG^CS_EVENT_DATEJ_N(\"ER\",4)":[[46504]],"CMG^CS_EVENT_TIME_N(\"ER\",4)":[["Unspecified"]],"CMG^CS_EVENT_DESC_N(\"ER\",4)":[["Q1 2027 Earnings Release (Projected)"]],"ABBV^CS_EVENT_DATEJ_N(\"ER\",4)":[[46500]],"ABBV^CS_EVENT_TIME_N(\"ER\",4)":[["Unspecified"]],"ABBV^CS_EVENT_DESC_N(\"ER\",4)":[["Q1 2027 Earnings Release (Projected)"]],"STX^CS_EVENT_DATEJ_N(\"ER\",4)":[[46505]],"STX^CS_EVENT_TIME_N(\"ER\",4)":[["Unspecified"]],"STX^CS_EVENT_DESC_N(\"ER\",4)":[["Q3 2027 Earnings Release (Projected)"]],"PTC^CS_EVENT_DATEJ_N(\"ER\",4)":[[46505]],"PTC^CS_EVENT_TIME_N(\"ER\",4)":[["Unspecified"]],"PTC^CS_EVENT_DESC_N(\"ER\",4)":[["Q2 2027 Earnings Release (Projected)"]],"CHRW^CS_EVENT_DATEJ_N(\"ER\",4)":[[46512]],"CHRW^CS_EVENT_TIME_N(\"ER\",4)":[["Unspecified"]],"CHRW^CS_EVENT_DESC_N(\"ER\",4)":[["Q1 2027 Earnings Release (Projected)"]],"LVS^CS_EVENT_DATEJ_N(\"ER\",4)":[[46505]],"LVS^CS_EVENT_TIME_N(\"ER\",4)":[["Unspecified"]],"LVS^CS_EVENT_DESC_N(\"ER\",4)":[["Q1 2027 Earnings Release (Projected)"]],"TEL^CS_EVENT_DATEJ_N(\"ER\",4)":[["@NA"]],"TEL^CS_EVENT_TIME_N(\"ER\",4)":[["@NA"]],"TEL^CS_EVENT_DESC_N(\"ER\",4)":[["@NA"]],"META^CS_EVENT_DATEJ_N(\"ER\",4)":[[46505]],"META^CS_EVENT_TIME_N(\"ER\",4)":[["Unspecified"]],"META^CS_EVENT_DESC_N(\"ER\",4)":[["Q1 2027 Earnings Release (Projected)"]],"PSX^CS_EVENT_DATEJ_N(\"ER\",4)":[[46500]],"PSX^CS_EVENT_TIME_N(\"ER\",4)":[["Unspecified"]],"PSX^CS_EVENT_DESC_N(\"ER\",4)":[["Q1 2027 Earnings Release (Projected)"]],"NOW^CS_EVENT_DATEJ_N(\"ER\",4)":[[46505]],"NOW^CS_EVENT_TIME_N(\"ER\",4)":[["Unspecified"]],"NOW^CS_EVENT_DESC_N(\"ER\",4)":[["Q1 2027 Earnings Release (Projected)"]],"VICI^CS_EVENT_DATEJ_N(\"ER\",4)":[["@NA"]],"VICI^CS_EVENT_TIME_N(\"ER\",4)":[["@NA"]],"VICI^CS_EVENT_DESC_N(\"ER\",4)":[["@NA"]],"VRT^CS_EVENT_DATEJ_N(\"ER\",4)":[[46505]],"VRT^CS_EVENT_TIME_N(\"ER\",4)":[["Unspecified"]],"VRT^CS_EVENT_DESC_N(\"ER\",4)":[["Q1 2027 Earnings Release (Projected)"]],"OTIS^CS_EVENT_DATEJ_N(\"ER\",4)":[["@NA"]],"OTIS^CS_EVENT_TIME_N(\"ER\",4)":[["@NA"]],"OTIS^CS_EVENT_DESC_N(\"ER\",4)":[["@NA"]],"AES^CS_EVENT_DATEJ_N(\"ER\",4)":[["@NA"]],"AES^CS_EVENT_TIME_N(\"ER\",4)":[["@NA"]],"AES^CS_EVENT_DESC_N(\"ER\",4)":[["@NA"]],"ED^CS_EVENT_DATEJ_N(\"ER\",4)":[[46513]],"ED^CS_EVENT_TIME_N(\"ER\",4)":[["Unspecified"]],"ED^CS_EVENT_DESC_N(\"ER\",4)":[["Q1 2027 Earnings Release (Projected)"]],"SO^CS_EVENT_DATEJ_N(\"ER\",4)":[[46506]],"SO^CS_EVENT_TIME_N(\"ER\",4)":[["Unspecified"]],"SO^CS_EVENT_DESC_N(\"ER\",4)":[["Q1 2027 Earnings Release (Projected)"]],"IP^CS_EVENT_DATEJ_N(\"ER\",4)":[[46506]],"IP^CS_EVENT_TIME_N(\"ER\",4)":[["Unspecified"]],"IP^CS_EVENT_DESC_N(\"ER\",4)":[["Q1 2027 Earnings Release (Projected)"]],"BAX^CS_EVENT_DATEJ_N(\"ER\",4)":[[46506]],"BAX^CS_EVENT_TIME_N(\"ER\",4)":[["Unspecified"]],"BAX^CS_EVENT_DESC_N(\"ER\",4)":[["Q1 2027 Earnings Release (Projected)"]],"MNST^CS_EVENT_DATEJ_N(\"ER\",4)":[[46513]],"MNST^CS_EVENT_TIME_N(\"ER\",4)":[["Unspecified"]],"MNST^CS_EVENT_DESC_N(\"ER\",4)":[["Q1 2027 Earnings Release (Projected)"]],"CAH^CS_EVENT_DATEJ_N(\"ER\",4)":[[46513]],"CAH^CS_EVENT_TIME_N(\"ER\",4)":[["Unspecified"]],"CAH^CS_EVENT_DESC_N(\"ER\",4)":[["Q3 2027 Earnings Release (Projected)"]],"LHX^CS_EVENT_DATEJ_N(\"ER\",4)":[[46506]],"LHX^CS_EVENT_TIME_N(\"ER\",4)":[["Unspecified"]],"LHX^CS_EVENT_DESC_N(\"ER\",4)":[["Q1 2027 Earnings Release (Projected)"]],"AIG^CS_EVENT_DATEJ_N(\"ER\",4)":[["@NA"]],"AIG^CS_EVENT_TIME_N(\"ER\",4)":[["@NA"]],"AIG^CS_EVENT_DESC_N(\"ER\",4)":[["@NA"]],"LLY^CS_EVENT_DATEJ_N(\"ER\",4)":[[46506]],"LLY^CS_EVENT_TIME_N(\"ER\",4)":[["Unspecified"]],"LLY^CS_EVENT_DESC_N(\"ER\",4)":[["Q1 2027 Earnings Release (Projected)"]],"LH^CS_EVENT_DATEJ_N(\"ER\",4)":[[46512]],"LH^CS_EVENT_TIME_N(\"ER\",4)":[["Unspecified"]],"LH^CS_EVENT_DESC_N(\"ER\",4)":[["Q1 2027 Earnings Release (Projected)"]],"BMY^CS_EVENT_DATEJ_N(\"ER\",4)":[[46506]],"BMY^CS_EVENT_TIME_N(\"ER\",4)":[["Unspecified"]],"BMY^CS_EVENT_DESC_N(\"ER\",4)":[["Q1 2027 Earnings Release (Projected)"]],"LNT^CS_EVENT_DATEJ_N(\"ER\",4)":[[46513]],"LNT^CS_EVENT_TIME_N(\"ER\",4)":[["Unspecified"]],"LNT^CS_EVENT_DESC_N(\"ER\",4)":[["Q1 2027 Earnings Release (Projected)"]],"APD^CS_EVENT_DATEJ_N(\"ER\",4)":[["@NA"]],"APD^CS_EVENT_TIME_N(\"ER\",4)":[["@NA"]],"APD^CS_EVENT_DESC_N(\"ER\",4)":[["@NA"]],"SRE^CS_EVENT_DATEJ_N(\"ER\",4)":[[46513]],"SRE^CS_EVENT_TIME_N(\"ER\",4)":[["Unspecified"]],"SRE^CS_EVENT_DESC_N(\"ER\",4)":[["Q1 2027 Earnings Release (Projected)"]],"PPL^CS_EVENT_DATEJ_N(\"ER\",4)":[[46513]],"PPL^CS_EVENT_TIME_N(\"ER\",4)":[["Unspecified"]],"PPL^CS_EVENT_DESC_N(\"ER\",4)":[["Q1 2027 Earnings Release (Projected)"]],"TXT^CS_EVENT_DATEJ_N(\"ER\",4)":[[46506]],"TXT^CS_EVENT_TIME_N(\"ER\",4)":[["Unspecified"]],"TXT^CS_EVENT_DESC_N(\"ER\",4)":[["Q1 2027 Earnings Release (Projected)"]],"AEE^CS_EVENT_DATEJ_N(\"ER\",4)":[["@NA"]],"AEE^CS_EVENT_TIME_N(\"ER\",4)":[["@NA"]],"AEE^CS_EVENT_DESC_N(\"ER\",4)":[["@NA"]],"TRGP^CS_EVENT_DATEJ_N(\"ER\",4)":[["@NA"]],"TRGP^CS_EVENT_TIME_N(\"ER\",4)":[["@NA"]],"TRGP^CS_EVENT_DESC_N(\"ER\",4)":[["@NA"]],"MTD^CS_EVENT_DATEJ_N(\"ER\",4)":[[46513]],"MTD^CS_EVENT_TIME_N(\"ER\",4)":[["Unspecified"]],"MTD^CS_EVENT_DESC_N(\"ER\",4)":[["Q1 2027 Earnings Release (Projected)"]],"APO^CS_EVENT_DATEJ_N(\"ER\",4)":[[46513]],"APO^CS_EVENT_TIME_N(\"ER\",4)":[["Unspecified"]],"APO^CS_EVENT_DESC_N(\"ER\",4)":[["Q1 2027 Earnings Release (Projected)"]],"D^CS_EVENT_DATEJ_N(\"ER\",4)":[[46513]],"D^CS_EVENT_TIME_N(\"ER\",4)":[["Unspecified"]],"D^CS_EVENT_DESC_N(\"ER\",4)":[["Q1 2027 Earnings Release (Projected)"]],"VLO^CS_EVENT_DATEJ_N(\"ER\",4)":[[46506]],"VLO^CS_EVENT_TIME_N(\"ER\",4)":[["Unspecified"]],"VLO^CS_EVENT_DESC_N(\"ER\",4)":[["Q1 2027 Earnings Release (Projected)"]],"PH^CS_EVENT_DATEJ_N(\"ER\",4)":[[46513]],"PH^CS_EVENT_TIME_N(\"ER\",4)":[["Unspecified"]],"PH^CS_EVENT_DESC_N(\"ER\",4)":[["Q3 2027 Earnings Release (Projected)"]],"AAPL^CS_EVENT_DATEJ_N(\"ER\",4)":[[46513]],"AAPL^CS_EVENT_TIME_N(\"ER\",4)":[["Unspecified"]],"AAPL^CS_EVENT_DESC_N(\"ER\",4)":[["Q2 2027 Earnings Release (Projected)"]],"WY^CS_EVENT_DATEJ_N(\"ER\",4)":[["@NA"]],"WY^CS_EVENT_TIME_N(\"ER\",4)":[["@NA"]],"WY^CS_EVENT_DESC_N(\"ER\",4)":[["@NA"]],"PWR^CS_EVENT_DATEJ_N(\"ER\",4)":[["@NA"]],"PWR^CS_EVENT_TIME_N(\"ER\",4)":[["@NA"]],"PWR^CS_EVENT_DESC_N(\"ER\",4)":[["@NA"]],"CTRA^CS_EVENT_DATEJ_N(\"ER\",4)":[[46442]],"CTRA^CS_EVENT_TIME_N(\"ER\",4)":[["Unspecified"]],"CTRA^CS_EVENT_DESC_N(\"ER\",4)":[["Q4 2026 Earnings Release (Projected)"]],"RCL^CS_EVENT_DATEJ_N(\"ER\",4)":[[46513]],"RCL^CS_EVENT_TIME_N(\"ER\",4)":[["Unspecified"]],"RCL^CS_EVENT_DESC_N(\"ER\",4)":[["Q1 2027 Earnings Release (Projected)"]],"BDX^CS_EVENT_DATEJ_N(\"ER\",4)":[[46513]],"BDX^CS_EVENT_TIME_N(\"ER\",4)":[["Unspecified"]],"BDX^CS_EVENT_DESC_N(\"ER\",4)":[["Q2 2027 Earnings Release (Projected)"]],"BALL^CS_EVENT_DATEJ_N(\"ER\",4)":[[46513]],"BALL^CS_EVENT_TIME_N(\"ER\",4)":[["Unspecified"]],"BALL^CS_EVENT_DESC_N(\"ER\",4)":[["Q1 2027 Earnings Release (Projected)"]],"CI^CS_EVENT_DATEJ_N(\"ER\",4)":[[46604]],"CI^CS_EVENT_TIME_N(\"ER\",4)":[["Unspecified"]],"CI^CS_EVENT_DESC_N(\"ER\",4)":[["Q2 2027 Earnings Release (Projected)"]],"HOLX^CS_EVENT_DATEJ_N(\"ER\",4)":[[46421]],"HOLX^CS_EVENT_TIME_N(\"ER\",4)":[["Unspecified"]],"HOLX^CS_EVENT_DESC_N(\"ER\",4)":[["Q1 2027 Earnings Release (Projected)"]],"IRM^CS_EVENT_DATEJ_N(\"ER\",4)":[[46513]],"IRM^CS_EVENT_TIME_N(\"ER\",4)":[["Unspecified"]],"IRM^CS_EVENT_DESC_N(\"ER\",4)":[["Q1 2027 Earnings Release (Projected)"]],"COP^CS_EVENT_DATEJ_N(\"ER\",4)":[[46513]],"COP^CS_EVENT_TIME_N(\"ER\",4)":[["Unspecified"]],"COP^CS_EVENT_DESC_N(\"ER\",4)":[["Q1 2027 Earnings Release (Projected)"]],"DVA^CS_EVENT_DATEJ_N(\"ER\",4)":[[46513]],"DVA^CS_EVENT_TIME_N(\"ER\",4)":[["Unspecified"]],"DVA^CS_EVENT_DESC_N(\"ER\",4)":[["Q1 2027 Earnings Release (Projected)"]],"MPWR^CS_EVENT_DATEJ_N(\"ER\",4)":[[46513]],"MPWR^CS_EVENT_TIME_N(\"ER\",4)":[["Unspecified"]],"MPWR^CS_EVENT_DESC_N(\"ER\",4)":[["Q1 2027 Earnings Release (Projected)"]],"MO^CS_EVENT_DATEJ_N(\"ER\",4)":[[46506]],"MO^CS_EVENT_TIME_N(\"ER\",4)":[["Unspecified"]],"MO^CS_EVENT_DESC_N(\"ER\",4)":[["Q1 2027 Earnings Release (Projected)"]],"PNW^CS_EVENT_DATEJ_N(\"ER\",4)":[["@NA"]],"PNW^CS_EVENT_TIME_N(\"ER\",4)":[["@NA"]],"PNW^CS_EVENT_DESC_N(\"ER\",4)":[["@NA"]],"NRG^CS_EVENT_DATEJ_N(\"ER\",4)":[[46513]],"NRG^CS_EVENT_TIME_N(\"ER\",4)":[["Unspecified"]],"NRG^CS_EVENT_DESC_N(\"ER\",4)":[["Q1 2027 Earnings Release (Projected)"]],"GDDY^CS_EVENT_DATEJ_N(\"ER\",4)":[[46513]],"GDDY^CS_EVENT_TIME_N(\"ER\",4)":[["Unspecified"]],"GDDY^CS_EVENT_DESC_N(\"ER\",4)":[["Q1 2027 Earnings Release (Projected)"]],"MRK^CS_EVENT_DATEJ_N(\"ER\",4)":[[46506]],"MRK^CS_EVENT_TIME_N(\"ER\",4)":[["Unspecified"]],"MRK^CS_EVENT_DESC_N(\"ER\",4)":[["Q1 2027 Earnings Release (Projected)"]],"LYV^CS_EVENT_DATEJ_N(\"ER\",4)":[[46513]],"LYV^CS_EVENT_TIME_N(\"ER\",4)":[["Unspecified"]],"LYV^CS_EVENT_DESC_N(\"ER\",4)":[["Q1 2027 Earnings Release (Projected)"]],"BLDR^CS_EVENT_DATEJ_N(\"ER\",4)":[[46513]],"BLDR^CS_EVENT_TIME_N(\"ER\",4)":[["Unspecified"]],"BLDR^CS_EVENT_DESC_N(\"ER\",4)":[["Q1 2027 Earnings Release (Projected)"]],"FTNT^CS_EVENT_DATEJ_N(\"ER\",4)":[[46513]],"FTNT^CS_EVENT_TIME_N(\"ER\",4)":[["Unspecified"]],"FTNT^CS_EVENT_DESC_N(\"ER\",4)":[["Q1 2027 Earnings Release (Projected)"]],"EPAM^CS_EVENT_DATEJ_N(\"ER\",4)":[[46513]],"EPAM^CS_EVENT_TIME_N(\"ER\",4)":[["Unspecified"]],"EPAM^CS_EVENT_DESC_N(\"ER\",4)":[["Q1 2027 Earnings Release (Projected)"]],"PODD^CS_EVENT_DATEJ_N(\"ER\",4)":[[46513]],"PODD^CS_EVENT_TIME_N(\"ER\",4)":[["Unspecified"]],"PODD^CS_EVENT_DESC_N(\"ER\",4)":[["Q1 2027 Earnings Release (Projected)"]],"ZTS^CS_EVENT_DATEJ_N(\"ER\",4)":[[46513]],"ZTS^CS_EVENT_TIME_N(\"ER\",4)":[["Unspecified"]],"ZTS^CS_EVENT_DESC_N(\"ER\",4)":[["Q1 2027 Earnings Release (Projected)"]],"ICE^CS_EVENT_DATEJ_N(\"ER\",4)":[["@NA"]],"ICE^CS_EVENT_TIME_N(\"ER\",4)":[["@NA"]],"ICE^CS_EVENT_DESC_N(\"ER\",4)":[["@NA"]],"CVNA^CS_EVENT_DATEJ_N(\"ER\",4)":[[46512]],"CVNA^CS_EVENT_TIME_N(\"ER\",4)":[["Unspecified"]],"CVNA^CS_EVENT_DESC_N(\"ER\",4)":[["Q1 2027 Earnings Release (Projected)"]],"MSI^CS_EVENT_DATEJ_N(\"ER\",4)":[[46513]],"MSI^CS_EVENT_TIME_N(\"ER\",4)":[["Unspecified"]],"MSI^CS_EVENT_DESC_N(\"ER\",4)":[["Q1 2027 Earnings Release (Projected)"]],"HII^CS_EVENT_DATEJ_N(\"ER\",4)":[[46513]],"HII^CS_EVENT_TIME_N(\"ER\",4)":[["Unspecified"]],"HII^CS_EVENT_DESC_N(\"ER\",4)":[["Q1 2027 Earnings Release (Projected)"]],"EXPE^CS_EVENT_DATEJ_N(\"ER\",4)":[[46513]],"EXPE^CS_EVENT_TIME_N(\"ER\",4)":[["Unspecified"]],"EXPE^CS_EVENT_DESC_N(\"ER\",4)":[["Q1 2027 Earnings Release (Projected)"]],"XYZ^CS_EVENT_DATEJ_N(\"ER\",4)":[[46513]],"XYZ^CS_EVENT_TIME_N(\"ER\",4)":[["Unspecified"]],"XYZ^CS_EVENT_DESC_N(\"ER\",4)":[["Q1 2027 Earnings Release (Projected)"]],"HWM^CS_EVENT_DATEJ_N(\"ER\",4)":[["@NA"]],"HWM^CS_EVENT_TIME_N(\"ER\",4)":[["@NA"]],"HWM^CS_EVENT_DESC_N(\"ER\",4)":[["@NA"]],"SW^CS_EVENT_DATEJ_N(\"ER\",4)":[["@NA"]],"SW^CS_EVENT_TIME_N(\"ER\",4)":[["@NA"]],"SW^CS_EVENT_DESC_N(\"ER\",4)":[["@NA"]],"MRNA^CS_EVENT_DATEJ_N(\"ER\",4)":[["@NA"]],"MRNA^CS_EVENT_TIME_N(\"ER\",4)":[["@NA"]],"MRNA^CS_EVENT_DESC_N(\"ER\",4)":[["@NA"]],"LIN^CS_EVENT_DATEJ_N(\"ER\",4)":[[46513]],"LIN^CS_EVENT_TIME_N(\"ER\",4)":[["Unspecified"]],"LIN^CS_EVENT_DESC_N(\"ER\",4)":[["Q1 2027 Earnings Release (Projected)"]],"DDOG^CS_EVENT_DATEJ_N(\"ER\",4)":[[46513]],"DDOG^CS_EVENT_TIME_N(\"ER\",4)":[["Unspecified"]],"DDOG^CS_EVENT_DESC_N(\"ER\",4)":[["Q1 2027 Earnings Release (Projected)"]],"DASH^CS_EVENT_DATEJ_N(\"ER\",4)":[[46519]],"DASH^CS_EVENT_TIME_N(\"ER\",4)":[["Unspecified"]],"DASH^CS_EVENT_DESC_N(\"ER\",4)":[["Q1 2027 Earnings Release (Projected)"]],"SNDK^CS_EVENT_DATEJ_N(\"ER\",4)":[[46618]],"SNDK^CS_EVENT_TIME_N(\"ER\",4)":[["Unspecified"]],"SNDK^CS_EVENT_DESC_N(\"ER\",4)":[["Q4 2027 Earnings Release (Projected)"]],"EVRG^CS_EVENT_DATEJ_N(\"ER\",4)":[[46520]],"EVRG^CS_EVENT_TIME_N(\"ER\",4)":[["Unspecified"]],"EVRG^CS_EVENT_DESC_N(\"ER\",4)":[["Q1 2027 Earnings Release (Projected)"]],"FRT^CS_EVENT_DATEJ_N(\"ER\",4)":[["@NA"]],"FRT^CS_EVENT_TIME_N(\"ER\",4)":[["@NA"]],"FRT^CS_EVENT_DESC_N(\"ER\",4)":[["@NA"]],"CL^CS_EVENT_DATEJ_N(\"ER\",4)":[[46500]],"CL^CS_EVENT_TIME_N(\"ER\",4)":[["Unspecified"]],"CL^CS_EVENT_DESC_N(\"ER\",4)":[["Q1 2027 Earnings Release (Projected)"]],"EL^CS_EVENT_DATEJ_N(\"ER\",4)":[[46512]],"EL^CS_EVENT_TIME_N(\"ER\",4)":[["Unspecified"]],"EL^CS_EVENT_DESC_N(\"ER\",4)":[["Q3 2027 Earnings Release (Projected)"]],"CHD^CS_EVENT_DATEJ_N(\"ER\",4)":[[46513]],"CHD^CS_EVENT_TIME_N(\"ER\",4)":[["Unspecified"]],"CHD^CS_EVENT_DESC_N(\"ER\",4)":[["Q1 2027 Earnings Release (Projected)"]],"CBOE^CS_EVENT_DATEJ_N(\"ER\",4)":[[46507]],"CBOE^CS_EVENT_TIME_N(\"ER\",4)":[["Unspecified"]],"CBOE^CS_EVENT_DESC_N(\"ER\",4)":[["Q1 2027 Earnings Release (Projected)"]],"JCI^CS_EVENT_DATEJ_N(\"ER\",4)":[[46512]],"JCI^CS_EVENT_TIME_N(\"ER\",4)":[["Unspecified"]],"JCI^CS_EVENT_DESC_N(\"ER\",4)":[["Q2 2027 Earnings Release (Projected)"]],"WEC^CS_EVENT_DATEJ_N(\"ER\",4)":[[46510]],"WEC^CS_EVENT_TIME_N(\"ER\",4)":[["Unspecified"]],"WEC^CS_EVENT_DESC_N(\"ER\",4)":[["Q1 2027 Earnings Release (Projected)"]],"BEN^CS_EVENT_DATEJ_N(\"ER\",4)":[[46511]],"BEN^CS_EVENT_TIME_N(\"ER\",4)":[["Unspecified"]],"BEN^CS_EVENT_DESC_N(\"ER\",4)":[["Q2 2027 Earnings Release (Projected)"]],"WMB^CS_EVENT_DATEJ_N(\"ER\",4)":[[46510]],"WMB^CS_EVENT_TIME_N(\"ER\",4)":[["Unspecified"]],"WMB^CS_EVENT_DESC_N(\"ER\",4)":[["Q1 2027 Earnings Release (Projected)"]],"SBAC^CS_EVENT_DATEJ_N(\"ER\",4)":[[46510]],"SBAC^CS_EVENT_TIME_N(\"ER\",4)":[["Unspecified"]],"SBAC^CS_EVENT_DESC_N(\"ER\",4)":[["Q1 2027 Earnings Release (Projected)"]],"WELL^CS_EVENT_DATEJ_N(\"ER\",4)":[[46510]],"WELL^CS_EVENT_TIME_N(\"ER\",4)":[["Unspecified"]],"WELL^CS_EVENT_DESC_N(\"ER\",4)":[["Q1 2027 Earnings Release (Projected)"]],"L^CS_EVENT_DATEJ_N(\"ER\",4)":[["@NA"]],"L^CS_EVENT_TIME_N(\"ER\",4)":[["@NA"]],"L^CS_EVENT_DESC_N(\"ER\",4)":[["@NA"]],"ON^CS_EVENT_DATEJ_N(\"ER\",4)":[["@NA"]],"ON^CS_EVENT_TIME_N(\"ER\",4)":[["@NA"]],"ON^CS_EVENT_DESC_N(\"ER\",4)":[["@NA"]],"GPN^CS_EVENT_DATEJ_N(\"ER\",4)":[[46510]],"GPN^CS_EVENT_TIME_N(\"ER\",4)":[["Unspecified"]],"GPN^CS_EVENT_DESC_N(\"ER\",4)":[["Q1 2027 Earnings Release (Projected)"]],"FFIV^CS_EVENT_DATEJ_N(\"ER\",4)":[[46510]],"FFIV^CS_EVENT_TIME_N(\"ER\",4)":[["Unspecified"]],"FFIV^CS_EVENT_DESC_N(\"ER\",4)":[["Q2 2027 Earnings Release (Projected)"]],"RVTY^CS_EVENT_DATEJ_N(\"ER\",4)":[[46510]],"RVTY^CS_EVENT_TIME_N(\"ER\",4)":[["Unspecified"]],"RVTY^CS_EVENT_DESC_N(\"ER\",4)":[["Q1 2027 Earnings Release (Projected)"]],"BRK.B^CS_EVENT_DATEJ_N(\"ER\",4)":[[46510]],"BRK.B^CS_EVENT_TIME_N(\"ER\",4)":[["Unspecified"]],"BRK.B^CS_EVENT_DESC_N(\"ER\",4)":[["Q1 2027 Earnings Release (Projected)"]],"ANET^CS_EVENT_DATEJ_N(\"ER\",4)":[[46510]],"ANET^CS_EVENT_TIME_N(\"ER\",4)":[["Unspecified"]],"ANET^CS_EVENT_DESC_N(\"ER\",4)":[["Q1 2027 Earnings Release (Projected)"]],"FANG^CS_EVENT_DATEJ_N(\"ER\",4)":[["@NA"]],"FANG^CS_EVENT_TIME_N(\"ER\",4)":[["@NA"]],"FANG^CS_EVENT_DESC_N(\"ER\",4)":[["@NA"]],"PRU^CS_EVENT_DATEJ_N(\"ER\",4)":[["@NA"]],"PRU^CS_EVENT_TIME_N(\"ER\",4)":[["@NA"]],"PRU^CS_EVENT_DESC_N(\"ER\",4)":[["@NA"]],"AME^CS_EVENT_DATEJ_N(\"ER\",4)":[[46511]],"AME^CS_EVENT_TIME_N(\"ER\",4)":[["Unspecified"]],"AME^CS_EVENT_DESC_N(\"ER\",4)":[["Q1 2027 Earnings Release (Projected)"]],"MLM^CS_EVENT_DATEJ_N(\"ER\",4)":[[46511]],"MLM^CS_EVENT_TIME_N(\"ER\",4)":[["Unspecified"]],"MLM^CS_EVENT_DESC_N(\"ER\",4)":[["Q1 2027 Earnings Release (Projected)"]],"ITW^CS_EVENT_DATEJ_N(\"ER\",4)":[[46511]],"ITW^CS_EVENT_TIME_N(\"ER\",4)":[["Unspecified"]],"ITW^CS_EVENT_DESC_N(\"ER\",4)":[["Q1 2027 Earnings Release (Projected)"]],"SBUX^CS_EVENT_DATEJ_N(\"ER\",4)":[[46511]],"SBUX^CS_EVENT_TIME_N(\"ER\",4)":[["Unspecified"]],"SBUX^CS_EVENT_DESC_N(\"ER\",4)":[["Q2 2027 Earnings Release (Projected)"]],"GLW^CS_EVENT_DATEJ_N(\"ER\",4)":[[46504]],"GLW^CS_EVENT_TIME_N(\"ER\",4)":[["Unspecified"]],"GLW^CS_EVENT_DESC_N(\"ER\",4)":[["Q1 2027 Earnings Release (Projected)"]],"CLX^CS_EVENT_DATEJ_N(\"ER\",4)":[[46511]],"CLX^CS_EVENT_TIME_N(\"ER\",4)":[["Unspecified"]],"CLX^CS_EVENT_DESC_N(\"ER\",4)":[["Q3 2027 Earnings Release (Projected)"]],"DVN^CS_EVENT_DATEJ_N(\"ER\",4)":[[46511]],"DVN^CS_EVENT_TIME_N(\"ER\",4)":[["Unspecified"]],"DVN^CS_EVENT_DESC_N(\"ER\",4)":[["Q1 2027 Earnings Release (Projected)"]],"SWKS^CS_EVENT_DATEJ_N(\"ER\",4)":[[46518]],"SWKS^CS_EVENT_TIME_N(\"ER\",4)":[["Unspecified"]],"SWKS^CS_EVENT_DESC_N(\"ER\",4)":[["Q2 2027 Earnings Release (Projected)"]],"OKE^CS_EVENT_DATEJ_N(\"ER\",4)":[[46511]],"OKE^CS_EVENT_TIME_N(\"ER\",4)":[["Unspecified"]],"OKE^CS_EVENT_DESC_N(\"ER\",4)":[["Q1 2027 Earnings Release (Projected)"]],"BXP^CS_EVENT_DATEJ_N(\"ER\",4)":[["@NA"]],"BXP^CS_EVENT_TIME_N(\"ER\",4)":[["@NA"]],"BXP^CS_EVENT_DESC_N(\"ER\",4)":[["@NA"]],"SYY^CS_EVENT_DATEJ_N(\"ER\",4)":[[46511]],"SYY^CS_EVENT_TIME_N(\"ER\",4)":[["Unspecified"]],"SYY^CS_EVENT_DESC_N(\"ER\",4)":[["Q3 2027 Earnings Release (Projected)"]],"ETN^CS_EVENT_DATEJ_N(\"ER\",4)":[["@NA"]],"ETN^CS_EVENT_TIME_N(\"ER\",4)":[["@NA"]],"ETN^CS_EVENT_DESC_N(\"ER\",4)":[["@NA"]],"PEG^CS_EVENT_DATEJ_N(\"ER\",4)":[[46511]],"PEG^CS_EVENT_TIME_N(\"ER\",4)":[["Unspecified"]],"PEG^CS_EVENT_DESC_N(\"ER\",4)":[["Q1 2027 Earnings Release (Projected)"]],"AMD^CS_EVENT_DATEJ_N(\"ER\",4)":[[46511]],"AMD^CS_EVENT_TIME_N(\"ER\",4)":[["Unspecified"]],"AMD^CS_EVENT_DESC_N(\"ER\",4)":[["Q1 2027 Earnings Release (Projected)"]],"AIZ^CS_EVENT_DATEJ_N(\"ER\",4)":[[46518]],"AIZ^CS_EVENT_TIME_N(\"ER\",4)":[["Unspecified"]],"AIZ^CS_EVENT_DESC_N(\"ER\",4)":[["Q1 2027 Earnings Release (Projected)"]],"INCY^CS_EVENT_DATEJ_N(\"ER\",4)":[[46511]],"INCY^CS_EVENT_TIME_N(\"ER\",4)":[["Unspecified"]],"INCY^CS_EVENT_DESC_N(\"ER\",4)":[["Q1 2027 Earnings Release (Projected)"]],"PSA^CS_EVENT_DATEJ_N(\"ER\",4)":[[46511]],"PSA^CS_EVENT_TIME_N(\"ER\",4)":[["Unspecified"]],"PSA^CS_EVENT_DESC_N(\"ER\",4)":[["Q1 2027 Earnings Release (Projected)"]],"EA^CS_EVENT_DATEJ_N(\"ER\",4)":[[46518]],"EA^CS_EVENT_TIME_N(\"ER\",4)":[["Unspecified"]],"EA^CS_EVENT_DESC_N(\"ER\",4)":[["Q4 2027 Earnings Release (Projected)"]],"PFE^CS_EVENT_DATEJ_N(\"ER\",4)":[["@NA"]],"PFE^CS_EVENT_TIME_N(\"ER\",4)":[["@NA"]],"PFE^CS_EVENT_DESC_N(\"ER\",4)":[["@NA"]],"CMI^CS_EVENT_DATEJ_N(\"ER\",4)":[[46511]],"CMI^CS_EVENT_TIME_N(\"ER\",4)":[["Unspecified"]],"CMI^CS_EVENT_DESC_N(\"ER\",4)":[["Q1 2027 Earnings Release (Projected)"]],"ROK^CS_EVENT_DATEJ_N(\"ER\",4)":[[46518]],"ROK^CS_EVENT_TIME_N(\"ER\",4)":[["Unspecified"]],"ROK^CS_EVENT_DESC_N(\"ER\",4)":[["Q2 2027 Earnings Release (Projected)"]],"EOG^CS_EVENT_DATEJ_N(\"ER\",4)":[[46513]],"EOG^CS_EVENT_TIME_N(\"ER\",4)":[["Unspecified"]],"EOG^CS_EVENT_DESC_N(\"ER\",4)":[["Q1 2027 Earnings Release (Projected)"]],"ZBH^CS_EVENT_DATEJ_N(\"ER\",4)":[[46511]],"ZBH^CS_EVENT_TIME_N(\"ER\",4)":[["Unspecified"]],"ZBH^CS_EVENT_DESC_N(\"ER\",4)":[["Q1 2027 Earnings Release (Projected)"]],"LDOS^CS_EVENT_DATEJ_N(\"ER\",4)":[[46511]],"LDOS^CS_EVENT_TIME_N(\"ER\",4)":[["Unspecified"]],"LDOS^CS_EVENT_DESC_N(\"ER\",4)":[["Q1 2027 Earnings Release (Projected)"]],"KKR^CS_EVENT_DATEJ_N(\"ER\",4)":[[46511]],"KKR^CS_EVENT_TIME_N(\"ER\",4)":[["Unspecified"]],"KKR^CS_EVENT_DESC_N(\"ER\",4)":[["Q1 2027 Earnings Release (Projected)"]],"VRSK^CS_EVENT_DATEJ_N(\"ER\",4)":[[46512]],"VRSK^CS_EVENT_TIME_N(\"ER\",4)":[["Unspecified"]],"VRSK^CS_EVENT_DESC_N(\"ER\",4)":[["Q1 2027 Earnings Release (Projected)"]],"TAP^CS_EVENT_DATEJ_N(\"ER\",4)":[[46511]],"TAP^CS_EVENT_TIME_N(\"ER\",4)":[["Unspecified"]],"TAP^CS_EVENT_DESC_N(\"ER\",4)":[["Q1 2027 Earnings Release (Projected)"]],"SMCI^CS_EVENT_DATEJ_N(\"ER\",4)":[[46511]],"SMCI^CS_EVENT_TIME_N(\"ER\",4)":[["Unspecified"]],"SMCI^CS_EVENT_DESC_N(\"ER\",4)":[["Q3 2027 Earnings Release (Projected)"]],"BR^CS_EVENT_DATEJ_N(\"ER\",4)":[[46511]],"BR^CS_EVENT_TIME_N(\"ER\",4)":[["Unspecified"]],"BR^CS_EVENT_DESC_N(\"ER\",4)":[["Q3 2027 Earnings Release (Projected)"]],"MPC^CS_EVENT_DATEJ_N(\"ER\",4)":[["@NA"]],"MPC^CS_EVENT_TIME_N(\"ER\",4)":[["@NA"]],"MPC^CS_EVENT_DESC_N(\"ER\",4)":[["@NA"]],"PYPL^CS_EVENT_DATEJ_N(\"ER\",4)":[[46511]],"PYPL^CS_EVENT_TIME_N(\"ER\",4)":[["Unspecified"]],"PYPL^CS_EVENT_DESC_N(\"ER\",4)":[["Q1 2027 Earnings Release (Projected)"]],"INVH^CS_EVENT_DATEJ_N(\"ER\",4)":[[46512]],"INVH^CS_EVENT_TIME_N(\"ER\",4)":[["Unspecified"]],"INVH^CS_EVENT_DESC_N(\"ER\",4)":[["Q1 2027 Earnings Release (Projected)"]],"APTV^CS_EVENT_DATEJ_N(\"ER\",4)":[[46513]],"APTV^CS_EVENT_TIME_N(\"ER\",4)":[["Unspecified"]],"APTV^CS_EVENT_DESC_N(\"ER\",4)":[["Q1 2027 Earnings Release (Projected)"]],"CTVA^CS_EVENT_DATEJ_N(\"ER\",4)":[["@NA"]],"CTVA^CS_EVENT_TIME_N(\"ER\",4)":[["@NA"]],"CTVA^CS_EVENT_DESC_N(\"ER\",4)":[["@NA"]],"DD^CS_EVENT_DATEJ_N(\"ER\",4)":[[46511]],"DD^CS_EVENT_TIME_N(\"ER\",4)":[["Unspecified"]],"DD^CS_EVENT_DESC_N(\"ER\",4)":[["Q1 2027 Earnings Release (Projected)"]],"AMCR^CS_EVENT_DATEJ_N(\"ER\",4)":[["@NA"]],"AMCR^CS_EVENT_TIME_N(\"ER\",4)":[["@NA"]],"AMCR^CS_EVENT_DESC_N(\"ER\",4)":[["@NA"]],"EXE^CS_EVENT_DATEJ_N(\"ER\",4)":[[46511]],"EXE^CS_EVENT_TIME_N(\"ER\",4)":[["Unspecified"]],"EXE^CS_EVENT_DESC_N(\"ER\",4)":[["Q1 2027 Earnings Release (Projected)"]],"MAR^CS_EVENT_DATEJ_N(\"ER\",4)":[[46518]],"MAR^CS_EVENT_TIME_N(\"ER\",4)":[["Unspecified"]],"MAR^CS_EVENT_DESC_N(\"ER\",4)":[["Q1 2027 Earnings Release (Projected)"]],"VMC^CS_EVENT_DATEJ_N(\"ER\",4)":[[46512]],"VMC^CS_EVENT_TIME_N(\"ER\",4)":[["Unspecified"]],"VMC^CS_EVENT_DESC_N(\"ER\",4)":[["Q1 2027 Earnings Release (Projected)"]],"TECH^CS_EVENT_DATEJ_N(\"ER\",4)":[[46512]],"TECH^CS_EVENT_TIME_N(\"ER\",4)":[["Unspecified"]],"TECH^CS_EVENT_DESC_N(\"ER\",4)":[["Q3 2027 Earnings Release (Projected)"]],"QCOM^CS_EVENT_DATEJ_N(\"ER\",4)":[[46512]],"QCOM^CS_EVENT_TIME_N(\"ER\",4)":[["Unspecified"]],"QCOM^CS_EVENT_DESC_N(\"ER\",4)":[["Q2 2027 Earnings Release (Projected)"]],"ES^CS_EVENT_DATEJ_N(\"ER\",4)":[["@NA"]],"ES^CS_EVENT_TIME_N(\"ER\",4)":[["@NA"]],"ES^CS_EVENT_DESC_N(\"ER\",4)":[["@NA"]],"FICO^CS_EVENT_DATEJ_N(\"ER\",4)":[[46511]],"FICO^CS_EVENT_TIME_N(\"ER\",4)":[["Unspecified"]],"FICO^CS_EVENT_DESC_N(\"ER\",4)":[["Q2 2027 Earnings Release (Projected)"]],"BIIB^CS_EVENT_DATEJ_N(\"ER\",4)":[["@NA"]],"BIIB^CS_EVENT_TIME_N(\"ER\",4)":[["@NA"]],"BIIB^CS_EVENT_DESC_N(\"ER\",4)":[["@NA"]],"O^CS_EVENT_DATEJ_N(\"ER\",4)":[[46512]],"O^CS_EVENT_TIME_N(\"ER\",4)":[["Unspecified"]],"O^CS_EVENT_DESC_N(\"ER\",4)":[["Q1 2027 Earnings Release (Projected)"]],"TRMB^CS_EVENT_DATEJ_N(\"ER\",4)":[[46512]],"TRMB^CS_EVENT_TIME_N(\"ER\",4)":[["Unspecified"]],"TRMB^CS_EVENT_DESC_N(\"ER\",4)":[["Q1 2027 Earnings Release (Projected)"]],"ALB^CS_EVENT_DATEJ_N(\"ER\",4)":[[46512]],"ALB^CS_EVENT_TIME_N(\"ER\",4)":[["Unspecified"]],"ALB^CS_EVENT_DESC_N(\"ER\",4)":[["Q1 2027 Earnings Release (Projected)"]],"YUM^CS_EVENT_DATEJ_N(\"ER\",4)":[[46512]],"YUM^CS_EVENT_TIME_N(\"ER\",4)":[["Unspecified"]],"YUM^CS_EVENT_DESC_N(\"ER\",4)":[["Q1 2027 Earnings Release (Projected)"]],"TT^CS_EVENT_DATEJ_N(\"ER\",4)":[["@NA"]],"TT^CS_EVENT_TIME_N(\"ER\",4)":[["@NA"]],"TT^CS_EVENT_DESC_N(\"ER\",4)":[["@NA"]],"HST^CS_EVENT_DATEJ_N(\"ER\",4)":[[46512]],"HST^CS_EVENT_TIME_N(\"ER\",4)":[["Unspecified"]],"HST^CS_EVENT_DESC_N(\"ER\",4)":[["Q1 2027 Earnings Release (Projected)"]],"CTSH^CS_EVENT_DATEJ_N(\"ER\",4)":[[46512]],"CTSH^CS_EVENT_TIME_N(\"ER\",4)":[["Unspecified"]],"CTSH^CS_EVENT_DESC_N(\"ER\",4)":[["Q1 2027 Earnings Release (Projected)"]],"AEP^CS_EVENT_DATEJ_N(\"ER\",4)":[[46512]],"AEP^CS_EVENT_TIME_N(\"ER\",4)":[["Unspecified"]],"AEP^CS_EVENT_DESC_N(\"ER\",4)":[["Q1 2027 Earnings Release (Projected)"]],"SYK^CS_EVENT_DATEJ_N(\"ER\",4)":[[46513]],"SYK^CS_EVENT_TIME_N(\"ER\",4)":[["Unspecified"]],"SYK^CS_EVENT_DESC_N(\"ER\",4)":[["Q1 2027 Earnings Release (Projected)"]],"GL^CS_EVENT_DATEJ_N(\"ER\",4)":[[46512]],"GL^CS_EVENT_TIME_N(\"ER\",4)":[["Unspecified"]],"GL^CS_EVENT_DESC_N(\"ER\",4)":[["Q1 2027 Earnings Release (Projected)"]],"EBAY^CS_EVENT_DATEJ_N(\"ER\",4)":[[46512]],"EBAY^CS_EVENT_TIME_N(\"ER\",4)":[["Unspecified"]],"EBAY^CS_EVENT_DESC_N(\"ER\",4)":[["Q1 2027 Earnings Release (Projected)"]],"EMR^CS_EVENT_DATEJ_N(\"ER\",4)":[[46512]],"EMR^CS_EVENT_TIME_N(\"ER\",4)":[["Unspecified"]],"EMR^CS_EVENT_DESC_N(\"ER\",4)":[["Q2 2027 Earnings Release (Projected)"]],"COR^CS_EVENT_DATEJ_N(\"ER\",4)":[["@NA"]],"COR^CS_EVENT_TIME_N(\"ER\",4)":[["@NA"]],"COR^CS_EVENT_DESC_N(\"ER\",4)":[["@NA"]],"SLB^CS_EVENT_DESC_N(\"ER\",4)":[["Q1 2027 Earnings Release (Projected)"]],"HCA^CS_EVENT_DESC_N(\"ER\",4)":[["Q1 2027 Earnings Release (Projected)"]],"CHTR^CS_EVENT_DESC_N(\"ER\",4)":[["Q1 2027 Earnings Release (Projected)"]],"LYB^CS_EVENT_DESC_N(\"ER\",4)":[["Q1 2027 Earnings Release (Projected)"]],"ARES^CS_EVENT_DESC_N(\"ER\",4)":[["@NA"]],"UHS^CS_EVENT_DESC_N(\"ER\",4)":[["@NA"]],"ARE^CS_EVENT_DESC_N(\"ER\",4)":[["Q1 2027 Earnings Release (Projected)"]],"VZ^CS_EVENT_DESC_N(\"ER\",4)":[["Q1 2027 Earnings Release (Projected)"]],"BRO^CS_EVENT_DESC_N(\"ER\",4)":[["Q1 2027 Earnings Release (Projected)"]],"CDNS^CS_EVENT_DESC_N(\"ER\",4)":[["Q1 2027 Earnings Release (Projected)"]],"NUE^CS_EVENT_DESC_N(\"ER\",4)":[["@NA"]],"LII^CS_EVENT_DESC_N(\"ER\",4)":[["Q1 2027 Earnings Release (Projected)"]],"DPZ^CS_EVENT_DESC_N(\"ER\",4)":[["Q1 2027 Earnings Release (Projected)"]],"MSFT^CS_EVENT_DESC_N(\"ER\",4)":[["Q3 2027 Earnings Release (Projected)"]],"CDW^CS_EVENT_TIME_N(\"ER\",3)":[["Unspecified"]],"AWK^CS_EVENT_TIME_N(\"ER\",3)":[["Unspecified"]],"LYB^CS_EVENT_DATEJ_N(\"ER\",4)":[[46500]],"LYB^CS_EVENT_TIME_N(\"ER\",4)":[["Unspecified"]],"ARES^CS_EVENT_DATEJ_N(\"ER\",4)":[["@NA"]],"ARES^CS_EVENT_TIME_N(\"ER\",4)":[["@NA"]],"UHS^CS_EVENT_DATEJ_N(\"ER\",4)":[["@NA"]],"UHS^CS_EVENT_TIME_N(\"ER\",4)":[["@NA"]],"ARE^CS_EVENT_DATEJ_N(\"ER\",4)":[[46503]],"ARE^CS_EVENT_TIME_N(\"ER\",4)":[["Unspecified"]],"VZ^CS_EVENT_DATEJ_N(\"ER\",4)":[[46504]],"VZ^CS_EVENT_TIME_N(\"ER\",4)":[["Unspecified"]],"BRO^CS_EVENT_DATEJ_N(\"ER\",4)":[[46503]],"BRO^CS_EVENT_TIME_N(\"ER\",4)":[["Unspecified"]],"CDNS^CS_EVENT_DATEJ_N(\"ER\",4)":[[46503]],"CDNS^CS_EVENT_TIME_N(\"ER\",4)":[["Unspecified"]],"NUE^CS_EVENT_DATEJ_N(\"ER\",4)":[["@NA"]],"NUE^CS_EVENT_TIME_N(\"ER\",4)":[["@NA"]],"LII^CS_EVENT_DATEJ_N(\"ER\",4)":[[46503]],"LII^CS_EVENT_TIME_N(\"ER\",4)":[["Unspecified"]],"DPZ^CS_EVENT_DATEJ_N(\"ER\",4)":[[46506]],"DPZ^CS_EVENT_TIME_N(\"ER\",4)":[["Unspecified"]],"MSFT^CS_EVENT_DATEJ_N(\"ER\",4)":[[46504]],"MSFT^CS_EVENT_TIME_N(\"ER\",4)":[["Unspecified"]],"XEL^CS_EVENT_DATEJ_N(\"ER\",4)":[["@NA"]],"XEL^CS_EVENT_TIME_N(\"ER\",4)":[["@NA"]],"XEL^CS_EVENT_DESC_N(\"ER\",4)":[["@NA"]],"CMS^CS_EVENT_DATEJ_N(\"ER\",4)":[[46506]],"CMS^CS_EVENT_TIME_N(\"ER\",4)":[["Unspecified"]],"CMS^CS_EVENT_DESC_N(\"ER\",4)":[["Q1 2027 Earnings Release (Projected)"]],"MA^CS_EVENT_DATEJ_N(\"ER\",4)":[[46506]],"MA^CS_EVENT_TIME_N(\"ER\",4)":[["Unspecified"]],"MA^CS_EVENT_DESC_N(\"ER\",4)":[["Q1 2027 Earnings Release (Projected)"]],"DXCM^CS_EVENT_DATEJ_N(\"ER\",4)":[[46506]],"DXCM^CS_EVENT_TIME_N(\"ER\",4)":[["Unspecified"]],"DXCM^CS_EVENT_DESC_N(\"ER\",4)":[["Q1 2027 Earnings Release (Projected)"]],"ALLE^CS_EVENT_DATEJ_N(\"ER\",4)":[[46506]],"ALLE^CS_EVENT_TIME_N(\"ER\",4)":[["Unspecified"]],"ALLE^CS_EVENT_DESC_N(\"ER\",4)":[["Q1 2027 Earnings Release (Projected)"]],"DLR^CS_EVENT_DATEJ_N(\"ER\",4)":[["@NA"]],"DLR^CS_EVENT_TIME_N(\"ER\",4)":[["@NA"]],"DLR^CS_EVENT_DESC_N(\"ER\",4)":[["@NA"]],"KDP^CS_EVENT_DATEJ_N(\"ER\",4)":[[46506]],"KDP^CS_EVENT_TIME_N(\"ER\",4)":[["Unspecified"]],"KDP^CS_EVENT_DESC_N(\"ER\",4)":[["Q1 2027 Earnings Release (Projected)"]],"BKR^CS_EVENT_DATEJ_N(\"ER\",4)":[["@NA"]],"BKR^CS_EVENT_TIME_N(\"ER\",4)":[["@NA"]],"BKR^CS_EVENT_DESC_N(\"ER\",4)":[["@NA"]],"CMCSA^CS_EVENT_DATEJ_N(\"ER\",4)":[["@NA"]],"CMCSA^CS_EVENT_TIME_N(\"ER\",4)":[["@NA"]],"CMCSA^CS_EVENT_DESC_N(\"ER\",4)":[["@NA"]],"CBRE^CS_EVENT_DATEJ_N(\"ER\",4)":[[46506]],"CBRE^CS_EVENT_TIME_N(\"ER\",4)":[["Unspecified"]],"CBRE^CS_EVENT_DESC_N(\"ER\",4)":[["Q1 2027 Earnings Release (Projected)"]],"DOC^CS_EVENT_DATEJ_N(\"ER\",4)":[[46506]],"DOC^CS_EVENT_TIME_N(\"ER\",4)":[["Unspecified"]],"DOC^CS_EVENT_DESC_N(\"ER\",4)":[["Q1 2027 Earnings Release (Projected)"]],"AMP^CS_EVENT_DATEJ_N(\"ER\",4)":[[46503]],"AMP^CS_EVENT_TIME_N(\"ER\",4)":[["Unspecified"]],"AMP^CS_EVENT_DESC_N(\"ER\",4)":[["Q1 2027 Earnings Release (Projected)"]],"FSLR^CS_EVENT_DATEJ_N(\"ER\",4)":[["@NA"]],"FSLR^CS_EVENT_TIME_N(\"ER\",4)":[["@NA"]],"FSLR^CS_EVENT_DESC_N(\"ER\",4)":[["@NA"]],"FTV^CS_EVENT_DATEJ_N(\"ER\",4)":[[46506]],"FTV^CS_EVENT_TIME_N(\"ER\",4)":[["Unspecified"]],"FTV^CS_EVENT_DESC_N(\"ER\",4)":[["Q1 2027 Earnings Release (Projected)"]],"DOW^CS_EVENT_DATEJ_N(\"ER\",4)":[[46506]],"DOW^CS_EVENT_TIME_N(\"ER\",4)":[["Unspecified"]],"DOW^CS_EVENT_DESC_N(\"ER\",4)":[["Q1 2027 Earnings Release (Projected)"]],"PLD^CS_EVENT_DATEJ_N(\"ER\",3)":[[46414]],"ABT^CS_EVENT_DATEJ_N(\"ER\",3)":[[46414]],"ESS^CS_EVENT_DATEJ_N(\"ER\",3)":[[46427]],"CNC^CS_EVENT_DATEJ_N(\"ER\",3)":[[46427]],"WM^CS_EVENT_DATEJ_N(\"ER\",3)":[[46421]],"Q^CS_EVENT_DATEJ_N(\"ER\",4)":[[46889]],"Q^CS_EVENT_TIME_N(\"ER\",4)":[["Unspecified"]],"Q^CS_EVENT_DESC_N(\"ER\",4)":[["Q1 2028 Earnings Release (Projected)"]],"CAG^CS_EVENT_DATEJ_N(\"ER\",4)":[[46485]],"CAG^CS_EVENT_TIME_N(\"ER\",4)":[["Unspecified"]],"CAG^CS_EVENT_DESC_N(\"ER\",4)":[["Q3 2027 Earnings Release (Projected)"]],"STZ^CS_EVENT_DATEJ_N(\"ER\",4)":[["@NA"]],"STZ^CS_EVENT_TIME_N(\"ER\",4)":[["@NA"]],"STZ^CS_EVENT_DESC_N(\"ER\",4)":[["@NA"]],"DAL^CS_EVENT_DATEJ_N(\"ER\",4)":[[46491]],"DAL^CS_EVENT_TIME_N(\"ER\",4)":[["Unspecified"]],"DAL^CS_EVENT_DESC_N(\"ER\",4)":[["Q1 2027 Earnings Release (Projected)"]],"PGR^CS_EVENT_DATEJ_N(\"ER\",4)":[[46492]],"PGR^CS_EVENT_TIME_N(\"ER\",4)":[["Unspecified"]],"PGR^CS_EVENT_DESC_N(\"ER\",4)":[["Q1 2027 Earnings Release (Projected)"]],"FAST^CS_EVENT_DATEJ_N(\"ER\",4)":[[46489]],"FAST^CS_EVENT_TIME_N(\"ER\",4)":[["7:00 AM"]],"FAST^CS_EVENT_DESC_N(\"ER\",4)":[["Q1 2027 Earnings Release"]],"GS^CS_EVENT_DATEJ_N(\"ER\",4)":[[46496]],"GS^CS_EVENT_TIME_N(\"ER\",4)":[["Unspecified"]],"GS^CS_EVENT_DESC_N(\"ER\",4)":[["Q1 2027 Earnings Release (Projected)"]],"JPM^CS_EVENT_DATEJ_N(\"ER\",4)":[[46490]],"JPM^CS_EVENT_TIME_N(\"ER\",4)":[["6:45 AM"]],"JPM^CS_EVENT_DESC_N(\"ER\",4)":[["Q1 2027 Earnings Release"]],"WFC^CS_EVENT_DATEJ_N(\"ER\",4)":[[46490]],"WFC^CS_EVENT_TIME_N(\"ER\",4)":[["7:00 AM"]],"WFC^CS_EVENT_DESC_N(\"ER\",4)":[["Q1 2027 Earnings Release"]],"JNJ^CS_EVENT_DATEJ_N(\"ER\",4)":[[46497]],"JNJ^CS_EVENT_TIME_N(\"ER\",4)":[["Unspecified"]],"JNJ^CS_EVENT_DESC_N(\"ER\",4)":[["Q1 2027 Earnings Release (Projected)"]],"BLK^CS_EVENT_DATEJ_N(\"ER\",4)":[[46486]],"BLK^CS_EVENT_TIME_N(\"ER\",4)":[["Unspecified"]],"BLK^CS_EVENT_DESC_N(\"ER\",4)":[["Q1 2027 Earnings Release (Projected)"]],"C^CS_EVENT_DATEJ_N(\"ER\",4)":[[46492]],"C^CS_EVENT_TIME_N(\"ER\",4)":[["Unspecified"]],"C^CS_EVENT_DESC_N(\"ER\",4)":[["Q1 2027 Earnings Release (Projected)"]],"BAC^CS_EVENT_DATEJ_N(\"ER\",4)":[[46491]],"BAC^CS_EVENT_TIME_N(\"ER\",4)":[["6:45 AM"]],"BAC^CS_EVENT_DESC_N(\"ER\",4)":[["Q1 2027 Earnings Release"]],"MS^CS_EVENT_DATEJ_N(\"ER\",4)":[[46486]],"MS^CS_EVENT_TIME_N(\"ER\",4)":[["Unspecified"]],"MS^CS_EVENT_DESC_N(\"ER\",4)":[["Q1 2027 Earnings Release (Projected)"]],"MTB^CS_EVENT_DATEJ_N(\"ER\",4)":[[46492]],"MTB^CS_EVENT_TIME_N(\"ER\",4)":[["Before Market"]],"MTB^CS_EVENT_DESC_N(\"ER\",4)":[["Q1 2027 Earnings Release"]],"PNC^CS_EVENT_DATEJ_N(\"ER\",4)":[[46498]],"PNC^CS_EVENT_TIME_N(\"ER\",4)":[["Unspecified"]],"PNC^CS_EVENT_DESC_N(\"ER\",4)":[["Q1 2027 Earnings Release (Projected)"]],"KEY^CS_EVENT_DATEJ_N(\"ER\",4)":[[46499]],"KEY^CS_EVENT_TIME_N(\"ER\",4)":[["Unspecified"]],"KEY^CS_EVENT_DESC_N(\"ER\",4)":[["Q1 2027 Earnings Release (Projected)"]],"FCX^CS_EVENT_DATEJ_N(\"ER\",4)":[[46499]],"FCX^CS_EVENT_TIME_N(\"ER\",4)":[["Unspecified"]],"FCX^CS_EVENT_DESC_N(\"ER\",4)":[["Q1 2027 Earnings Release (Projected)"]],"USB^CS_EVENT_DATEJ_N(\"ER\",4)":[[46497]],"USB^CS_EVENT_TIME_N(\"ER\",4)":[["6:45 AM"]],"USB^CS_EVENT_DESC_N(\"ER\",4)":[["Q1 2027 Earnings Release"]],"POOL^CS_EVENT_DATEJ_N(\"ER\",4)":[[46499]],"POOL^CS_EVENT_TIME_N(\"ER\",4)":[["Unspecified"]],"POOL^CS_EVENT_DESC_N(\"ER\",4)":[["Q1 2027 Earnings Release (Projected)"]],"SNA^CS_EVENT_DATEJ_N(\"ER\",4)":[[46499]],"SNA^CS_EVENT_TIME_N(\"ER\",4)":[["Unspecified"]],"SNA^CS_EVENT_DESC_N(\"ER\",4)":[["Q1 2027 Earnings Release (Projected)"]],"MRSH^CS_EVENT_DATEJ_N(\"ER\",4)":[[46499]],"MRSH^CS_EVENT_TIME_N(\"ER\",4)":[["Unspecified"]],"MRSH^CS_EVENT_DESC_N(\"ER\",4)":[["Q1 2027 Earnings Release (Projected)"]],"NFLX^CS_EVENT_DATEJ_N(\"ER\",4)":[["@NA"]],"NFLX^CS_EVENT_TIME_N(\"ER\",4)":[["@NA"]],"NFLX^CS_EVENT_DESC_N(\"ER\",4)":[["@NA"]],"PLD^CS_EVENT_DATEJ_N(\"ER\",4)":[[46497]],"PLD^CS_EVENT_TIME_N(\"ER\",4)":[["Unspecified"]],"PLD^CS_EVENT_DESC_N(\"ER\",4)":[["Q1 2027 Earnings Release (Projected)"]],"ABT^CS_EVENT_DATEJ_N(\"ER\",4)":[[46491]],"ABT^CS_EVENT_TIME_N(\"ER\",4)":[["Unspecified"]],"ABT^CS_EVENT_DESC_N(\"ER\",4)":[["Q1 2027 Earnings Release (Projected)"]],"PPG^CS_EVENT_DATEJ_N(\"ER\",4)":[[46499]],"PPG^CS_EVENT_TIME_N(\"ER\",4)":[["Unspecified"]],"PPG^CS_EVENT_DESC_N(\"ER\",4)":[["Q1 2027 Earnings Release (Projected)"]],"BK^CS_EVENT_DATEJ_N(\"ER\",4)":[[46407]],"BK^CS_EVENT_TIME_N(\"ER\",4)":[["Unspecified"]],"BK^CS_EVENT_DESC_N(\"ER\",4)":[["Q4 2026 Earnings Release (Projected)"]],"TRV^CS_EVENT_DATEJ_N(\"ER\",4)":[["@NA"]],"TRV^CS_EVENT_TIME_N(\"ER\",4)":[["@NA"]],"TRV^CS_EVENT_DESC_N(\"ER\",4)":[["@NA"]],"BX^CS_EVENT_DATEJ_N(\"ER\",4)":[[46499]],"BX^CS_EVENT_TIME_N(\"ER\",4)":[["Unspecified"]],"BX^CS_EVENT_DESC_N(\"ER\",4)":[["Q1 2027 Earnings Release (Projected)"]],"CFG^CS_EVENT_DATEJ_N(\"ER\",4)":[[46492]],"CFG^CS_EVENT_TIME_N(\"ER\",4)":[["6:20 AM"]],"CFG^CS_EVENT_DESC_N(\"ER\",4)":[["Q1 2027 Earnings Release"]],"FITB^CS_EVENT_DATEJ_N(\"ER\",4)":[[46497]],"FITB^CS_EVENT_TIME_N(\"ER\",4)":[["6:30 AM"]],"FITB^CS_EVENT_DESC_N(\"ER\",4)":[["Q1 2027 Earnings Release"]],"TFC^CS_EVENT_DATEJ_N(\"ER\",4)":[[46407]],"TFC^CS_EVENT_TIME_N(\"ER\",4)":[["Before Market"]],"TFC^CS_EVENT_DESC_N(\"ER\",4)":[["Q4 2026 Earnings Release"]],"STT^CS_EVENT_DATEJ_N(\"ER\",4)":[[46499]],"STT^CS_EVENT_TIME_N(\"ER\",4)":[["Unspecified"]],"STT^CS_EVENT_DESC_N(\"ER\",4)":[["Q1 2027 Earnings Release (Projected)"]],"RF^CS_EVENT_DATEJ_N(\"ER\",4)":[[46493]],"RF^CS_EVENT_TIME_N(\"ER\",4)":[["Unspecified"]],"RF^CS_EVENT_DESC_N(\"ER\",4)":[["Q1 2027 Earnings Release (Projected)"]],"STLD^CS_EVENT_DATEJ_N(\"ER\",4)":[[46504]],"STLD^CS_EVENT_TIME_N(\"ER\",4)":[["Unspecified"]],"STLD^CS_EVENT_DESC_N(\"ER\",4)":[["Q1 2027 Earnings Release (Projected)"]],"SCHW^CS_EVENT_DATEJ_N(\"ER\",4)":[[46496]],"SCHW^CS_EVENT_TIME_N(\"ER\",4)":[["Unspecified"]],"SCHW^CS_EVENT_DESC_N(\"ER\",4)":[["Q1 2027 Earnings Release (Projected)"]],"JBHT^CS_EVENT_DATEJ_N(\"ER\",4)":[[46496]],"JBHT^CS_EVENT_TIME_N(\"ER\",4)":[["Unspecified"]],"JBHT^CS_EVENT_DESC_N(\"ER\",4)":[["Q1 2027 Earnings Release (Projected)"]],"RTX^CS_EVENT_DATEJ_N(\"ER\",4)":[[46504]],"RTX^CS_EVENT_TIME_N(\"ER\",4)":[["Unspecified"]],"RTX^CS_EVENT_DESC_N(\"ER\",4)":[["Q1 2027 Earnings Release (Projected)"]],"LMT^CS_EVENT_DATEJ_N(\"ER\",4)":[[46497]],"LMT^CS_EVENT_TIME_N(\"ER\",4)":[["Unspecified"]],"LMT^CS_EVENT_DESC_N(\"ER\",4)":[["Q1 2027 Earnings Release (Projected)"]],"DHR^CS_EVENT_DATEJ_N(\"ER\",4)":[["@NA"]],"DHR^CS_EVENT_TIME_N(\"ER\",4)":[["@NA"]],"DHR^CS_EVENT_DESC_N(\"ER\",4)":[["@NA"]],"UNH^CS_EVENT_DATEJ_N(\"ER\",4)":[[46492]],"UNH^CS_EVENT_TIME_N(\"ER\",4)":[["Unspecified"]],"UNH^CS_EVENT_DESC_N(\"ER\",4)":[["Q1 2027 Earnings Release (Projected)"]],"HAL^CS_EVENT_DATEJ_N(\"ER\",4)":[[46504]],"HAL^CS_EVENT_TIME_N(\"ER\",4)":[["Unspecified"]],"HAL^CS_EVENT_DESC_N(\"ER\",4)":[["Q1 2027 Earnings Release (Projected)"]],"WRB^CS_EVENT_DATEJ_N(\"ER\",4)":[[46503]],"WRB^CS_EVENT_TIME_N(\"ER\",4)":[["Unspecified"]],"WRB^CS_EVENT_DESC_N(\"ER\",4)":[["Q1 2027 Earnings Release (Projected)"]],"COF^CS_EVENT_DATEJ_N(\"ER\",4)":[[46504]],"COF^CS_EVENT_TIME_N(\"ER\",4)":[["Unspecified"]],"COF^CS_EVENT_DESC_N(\"ER\",4)":[["Q1 2027 Earnings Release (Projected)"]],"TSCO^CS_EVENT_DATEJ_N(\"ER\",4)":[[46506]],"TSCO^CS_EVENT_TIME_N(\"ER\",4)":[["Unspecified"]],"TSCO^CS_EVENT_DESC_N(\"ER\",4)":[["Q1 2027 Earnings Release (Projected)"]],"GE^CS_EVENT_DATEJ_N(\"ER\",4)":[[46504]],"GE^CS_EVENT_TIME_N(\"ER\",4)":[["Unspecified"]],"GE^CS_EVENT_DESC_N(\"ER\",4)":[["Q1 2027 Earnings Release (Projected)"]],"GPC^CS_EVENT_DATEJ_N(\"ER\",4)":[[46499]],"GPC^CS_EVENT_TIME_N(\"ER\",4)":[["Unspecified"]],"GPC^CS_EVENT_DESC_N(\"ER\",4)":[["Q1 2027 Earnings Release (Projected)"]],"NOC^CS_EVENT_DATEJ_N(\"ER\",4)":[[46506]],"NOC^CS_EVENT_TIME_N(\"ER\",4)":[["Unspecified"]],"NOC^CS_EVENT_DESC_N(\"ER\",4)":[["Q1 2027 Earnings Release (Projected)"]],"DGX^CS_EVENT_DATEJ_N(\"ER\",4)":[[46504]],"DGX^CS_EVENT_TIME_N(\"ER\",4)":[["Unspecified"]],"DGX^CS_EVENT_DESC_N(\"ER\",4)":[["Q1 2027 Earnings Release (Projected)"]],"DHI^CS_EVENT_DATEJ_N(\"ER\",4)":[[46499]],"DHI^CS_EVENT_TIME_N(\"ER\",4)":[["Unspecified"]],"DHI^CS_EVENT_DESC_N(\"ER\",4)":[["Q2 2027 Earnings Release (Projected)"]],"OMC^CS_EVENT_DATEJ_N(\"ER\",4)":[[46497]],"OMC^CS_EVENT_TIME_N(\"ER\",4)":[["Unspecified"]],"OMC^CS_EVENT_DESC_N(\"ER\",4)":[["Q1 2027 Earnings Release (Projected)"]],"ISRG^CS_EVENT_DATEJ_N(\"ER\",4)":[[46497]],"ISRG^CS_EVENT_TIME_N(\"ER\",4)":[["Unspecified"]],"ISRG^CS_EVENT_DESC_N(\"ER\",4)":[["Q1 2027 Earnings Release (Projected)"]],"NTRS^CS_EVENT_DATEJ_N(\"ER\",4)":[[46504]],"NTRS^CS_EVENT_TIME_N(\"ER\",4)":[["Unspecified"]],"NTRS^CS_EVENT_DESC_N(\"ER\",4)":[["Q1 2027 Earnings Release (Projected)"]],"UAL^CS_EVENT_DATEJ_N(\"ER\",4)":[["@NA"]],"UAL^CS_EVENT_TIME_N(\"ER\",4)":[["@NA"]],"UAL^CS_EVENT_DESC_N(\"ER\",4)":[["@NA"]],"IBKR^CS_EVENT_DATEJ_N(\"ER\",4)":[[46497]],"IBKR^CS_EVENT_TIME_N(\"ER\",4)":[["Unspecified"]],"IBKR^CS_EVENT_DESC_N(\"ER\",4)":[["Q1 2027 Earnings Release (Projected)"]],"CB^CS_EVENT_DATEJ_N(\"ER\",4)":[["@NA"]],"CB^CS_EVENT_TIME_N(\"ER\",4)":[["@NA"]],"CB^CS_EVENT_DESC_N(\"ER\",4)":[["@NA"]],"SYF^CS_EVENT_DATEJ_N(\"ER\",4)":[[46504]],"SYF^CS_EVENT_TIME_N(\"ER\",4)":[["Unspecified"]],"SYF^CS_EVENT_DESC_N(\"ER\",4)":[["Q1 2027 Earnings Release (Projected)"]],"BSX^CS_EVENT_DATEJ_N(\"ER\",4)":[[46505]],"BSX^CS_EVENT_TIME_N(\"ER\",4)":[["Unspecified"]],"BSX^CS_EVENT_DESC_N(\"ER\",4)":[["Q1 2027 Earnings Release (Projected)"]],"CCI^CS_EVENT_DATEJ_N(\"ER\",4)":[[46498]],"CCI^CS_EVENT_TIME_N(\"ER\",4)":[["Unspecified"]],"CCI^CS_EVENT_DESC_N(\"ER\",4)":[["Q1 2027 Earnings Release (Projected)"]],"EFX^CS_EVENT_DATEJ_N(\"ER\",4)":[[46498]],"EFX^CS_EVENT_TIME_N(\"ER\",4)":[["Unspecified"]],"EFX^CS_EVENT_DESC_N(\"ER\",4)":[["Q1 2027 Earnings Release (Projected)"]],"RJF^CS_EVENT_DATEJ_N(\"ER\",4)":[[46505]],"RJF^CS_EVENT_TIME_N(\"ER\",4)":[["Unspecified"]],"RJF^CS_EVENT_DESC_N(\"ER\",4)":[["Q2 2027 Earnings Release (Projected)"]],"IBM^CS_EVENT_DATEJ_N(\"ER\",4)":[[46497]],"IBM^CS_EVENT_TIME_N(\"ER\",4)":[["Unspecified"]],"IBM^CS_EVENT_DESC_N(\"ER\",4)":[["Q1 2027 Earnings Release (Projected)"]],"BA^CS_EVENT_DATEJ_N(\"ER\",4)":[[46505]],"BA^CS_EVENT_TIME_N(\"ER\",4)":[["Unspecified"]],"BA^CS_EVENT_DESC_N(\"ER\",4)":[["Q1 2027 Earnings Release (Projected)"]],"MAS^CS_EVENT_DATEJ_N(\"ER\",4)":[[46505]],"MAS^CS_EVENT_TIME_N(\"ER\",4)":[["Unspecified"]],"MAS^CS_EVENT_DESC_N(\"ER\",4)":[["Q1 2027 Earnings Release (Projected)"]],"WAB^CS_EVENT_DATEJ_N(\"ER\",4)":[[46505]],"WAB^CS_EVENT_TIME_N(\"ER\",4)":[["Unspecified"]],"WAB^CS_EVENT_DESC_N(\"ER\",4)":[["Q1 2027 Earnings Release (Projected)"]],"CSX^CS_EVENT_DATEJ_N(\"ER\",4)":[[46498]],"CSX^CS_EVENT_TIME_N(\"ER\",4)":[["Unspecified"]],"CSX^CS_EVENT_DESC_N(\"ER\",4)":[["Q1 2027 Earnings Release (Projected)"]],"LUV^CS_EVENT_DATEJ_N(\"ER\",4)":[[46506]],"LUV^CS_EVENT_TIME_N(\"ER\",4)":[["Unspecified"]],"LUV^CS_EVENT_DESC_N(\"ER\",4)":[["Q1 2027 Earnings Release (Projected)"]],"PKG^CS_EVENT_DATEJ_N(\"ER\",4)":[["@NA"]],"PKG^CS_EVENT_TIME_N(\"ER\",4)":[["@NA"]],"PKG^CS_EVENT_DESC_N(\"ER\",4)":[["@NA"]],"KMI^CS_EVENT_DATEJ_N(\"ER\",4)":[["@NA"]],"KMI^CS_EVENT_TIME_N(\"ER\",4)":[["@NA"]],"KMI^CS_EVENT_DESC_N(\"ER\",4)":[["@NA"]],"NDAQ^CS_EVENT_DATEJ_N(\"ER\",4)":[[46506]],"NDAQ^CS_EVENT_TIME_N(\"ER\",4)":[["Unspecified"]],"NDAQ^CS_EVENT_DESC_N(\"ER\",4)":[["Q1 2027 Earnings Release (Projected)"]],"ELV^CS_EVENT_DATEJ_N(\"ER\",4)":[["@NA"]],"ELV^CS_EVENT_TIME_N(\"ER\",4)":[["@NA"]],"ELV^CS_EVENT_DESC_N(\"ER\",4)":[["@NA"]],"CME^CS_EVENT_DATEJ_N(\"ER\",4)":[[46505]],"CME^CS_EVENT_TIME_N(\"ER\",4)":[["Unspecified"]],"CME^CS_EVENT_DESC_N(\"ER\",4)":[["Q1 2027 Earnings Release (Projected)"]],"T^CS_EVENT_DATEJ_N(\"ER\",4)":[[46499]],"T^CS_EVENT_TIME_N(\"ER\",4)":[["Unspecified"]],"T^CS_EVENT_DESC_N(\"ER\",4)":[["Q1 2027 Earnings Release (Projected)"]],"VLTO^CS_EVENT_DATEJ_N(\"ER\",3)":[[46427]],"VLTO^CS_EVENT_TIME_N(\"ER\",3)":[["Unspecified"]],"XYL^CS_EVENT_DATEJ_N(\"ER\",3)":[[46427]],"XYL^CS_EVENT_TIME_N(\"ER\",3)":[["Unspecified"]],"ESS^CS_EVENT_TIME_N(\"ER\",3)":[["Unspecified"]],"ESS^CS_EVENT_DESC_N(\"ER\",3)":[["Q4 2026 Earnings Release (Projected)"]],"CDW^CS_EVENT_DESC_N(\"ER\",3)":[["Q1 2027 Earnings Release (Projected)"]],"AWK^CS_EVENT_DESC_N(\"ER\",3)":[["Q4 2026 Earnings Release (Projected)"]],"IR^CS_EVENT_DESC_N(\"ER\",3)":[["Q4 2026 Earnings Release (Projected)"]],"FIS^CS_EVENT_DESC_N(\"ER\",3)":[["Q4 2026 Earnings Release (Projected)"]],"NCLH^CS_EVENT_DESC_N(\"ER\",3)":[["Q1 2027 Earnings Release (Projected)"]],"CF^CS_EVENT_DESC_N(\"ER\",3)":[["Q4 2026 Earnings Release (Projected)"]],"MOS^CS_EVENT_DESC_N(\"ER\",3)":[["Q4 2026 Earnings Release (Projected)"]],"KHC^CS_EVENT_DESC_N(\"ER\",3)":[["Q4 2026 Earnings Release (Projected)"]],"UBER^CS_EVENT_DESC_N(\"ER\",3)":[["Q4 2026 Earnings Release (Projected)"]],"PSKY^CS_EVENT_DESC_N(\"ER\",3)":[["@NA"]],"GEHC^CS_EVENT_DESC_N(\"ER\",3)":[["Q1 2027 Earnings Release (Projected)"]],"HRL^CS_EVENT_TIME_N(\"ER\",3)":[["Unspecified"]],"HRL^CS_EVENT_DESC_N(\"ER\",3)":[["Q4 2026 Earnings Release (Projected)"]],"LULU^CS_EVENT_TIME_N(\"ER\",3)":[["Unspecified"]],"LULU^CS_EVENT_DESC_N(\"ER\",3)":[["Q3 2026 Earnings Release (Projected)"]],"NTAP^CS_EVENT_TIME_N(\"ER\",3)":[["4:01 PM"]],"NTAP^CS_EVENT_DESC_N(\"ER\",3)":[["Q2 2027 Earnings Release"]],"DELL^CS_EVENT_TIME_N(\"ER\",3)":[["Unspecified"]],"DELL^CS_EVENT_DESC_N(\"ER\",3)":[["Q3 2027 Earnings Release (Projected)"]],"CRWD^CS_EVENT_TIME_N(\"ER\",3)":[["Unspecified"]],"CRWD^CS_EVENT_DESC_N(\"ER\",3)":[["Q3 2027 Earnings Release (Projected)"]],"COO^CS_EVENT_TIME_N(\"ER\",3)":[["Unspecified"]],"COO^CS_EVENT_DESC_N(\"ER\",3)":[["Q1 2027 Earnings Release (Projected)"]],"HPE^CS_EVENT_TIME_N(\"ER\",3)":[["Unspecified"]],"HPE^CS_EVENT_DESC_N(\"ER\",3)":[["Q4 2026 Earnings Release (Projected)"]],"CRM^CS_EVENT_TIME_N(\"ER\",3)":[["Unspecified"]],"CRM^CS_EVENT_DESC_N(\"ER\",3)":[["Q4 2027 Earnings Release (Projected)"]],"HPQ^CS_EVENT_TIME_N(\"ER\",3)":[["Unspecified"]],"HPQ^CS_EVENT_DESC_N(\"ER\",3)":[["Q1 2027 Earnings Release (Projected)"]],"SJM^CS_EVENT_TIME_N(\"ER\",3)":[["Unspecified"]],"SJM^CS_EVENT_DESC_N(\"ER\",3)":[["Q2 2027 Earnings Release (Projected)"]],"VLTO^CS_EVENT_DESC_N(\"ER\",3)":[["Q4 2026 Earnings Release (Projected)"]],"XYL^CS_EVENT_DESC_N(\"ER\",3)":[["Q4 2026 Earnings Release (Projected)"]],"MAA^CS_EVENT_DESC_N(\"ER\",3)":[["Q4 2026 Earnings Release (Projected)"]],"XEL^CS_EVENT_TIME_N(\"ER\",3)":[["Unspecified"]],"XEL^CS_EVENT_DESC_N(\"ER\",3)":[["Q1 2027 Earnings Release (Projected)"]],"CMS^CS_EVENT_TIME_N(\"ER\",3)":[["Unspecified"]],"CMS^CS_EVENT_DESC_N(\"ER\",3)":[["Q4 2026 Earnings Release (Projected)"]],"MA^CS_EVENT_TIME_N(\"ER\",3)":[["Unspecified"]],"MA^CS_EVENT_DESC_N(\"ER\",3)":[["Q4 2026 Earnings Release (Projected)"]],"ABT^CS_EVENT_DESC_N(\"ER\",3)":[["Q4 2026 Earnings Release (Projected)"]],"PPG^CS_EVENT_DESC_N(\"ER\",3)":[["Q4 2026 Earnings Release (Projected)"]],"EXC^CS_EVENT_DATEJ_N(\"ER\",3)":[[46442]],"GNRC^CS_EVENT_DATEJ_N(\"ER\",3)":[[46435]],"CPAY^CS_EVENT_DATEJ_N(\"ER\",3)":[[46428]],"CDW^CS_EVENT_DATEJ_N(\"ER\",3)":[[46512]],"AWK^CS_EVENT_DATEJ_N(\"ER\",3)":[[46442]],"EXC^CS_EVENT_TIME_N(\"ER\",3)":[["Unspecified"]],"EXC^CS_EVENT_DESC_N(\"ER\",3)":[["Q4 2026 Earnings Release (Projected)"]],"GNRC^CS_EVENT_TIME_N(\"ER\",3)":[["Unspecified"]],"GNRC^CS_EVENT_DESC_N(\"ER\",3)":[["Q4 2026 Earnings Release (Projected)"]],"CPAY^CS_EVENT_TIME_N(\"ER\",3)":[["Unspecified"]],"CPAY^CS_EVENT_DESC_N(\"ER\",3)":[["Q4 2026 Earnings Release (Projected)"]],"ORCL^CS_EVENT_DATEJ_N(\"ER\",3)":[[46370]],"ORCL^CS_EVENT_TIME_N(\"ER\",3)":[["Unspecified"]],"ACN^CS_EVENT_DATEJ_N(\"ER\",3)":[[46373]],"ACN^CS_EVENT_TIME_N(\"ER\",3)":[["Unspecified"]],"JBL^CS_EVENT_DATEJ_N(\"ER\",3)":[[46366]],"JBL^CS_EVENT_TIME_N(\"ER\",3)":[["Unspecified"]],"DRI^CS_EVENT_DATEJ_N(\"ER\",3)":[[46367]],"DRI^CS_EVENT_TIME_N(\"ER\",3)":[["Unspecified"]],"FDS^CS_EVENT_DATEJ_N(\"ER\",3)":[[46373]],"FDS^CS_EVENT_TIME_N(\"ER\",3)":[["Unspecified"]],"LEN^CS_EVENT_DATEJ_N(\"ER\",3)":[[46372]],"LEN^CS_EVENT_TIME_N(\"ER\",3)":[["Unspecified"]],"FDX^CS_EVENT_DATEJ_N(\"ER\",3)":[[46378]],"FDX^CS_EVENT_TIME_N(\"ER\",3)":[["Unspecified"]],"MKC^CS_EVENT_DATEJ_N(\"ER\",3)":[[46415]],"MKC^CS_EVENT_TIME_N(\"ER\",3)":[["Unspecified"]],"NKE^CS_EVENT_DATEJ_N(\"ER\",3)":[[46373]],"NKE^CS_EVENT_TIME_N(\"ER\",3)":[["Unspecified"]],"CCL^CS_EVENT_DATEJ_N(\"ER\",3)":[[46374]],"CCL^CS_EVENT_TIME_N(\"ER\",3)":[["Unspecified"]],"GIS^CS_EVENT_DATEJ_N(\"ER\",3)":[[46379]],"GIS^CS_EVENT_TIME_N(\"ER\",3)":[["Unspecified"]],"MU^CS_EVENT_DATEJ_N(\"ER\",3)":[[46379]],"MU^CS_EVENT_TIME_N(\"ER\",3)":[["Unspecified"]],"PAYX^CS_EVENT_DATEJ_N(\"ER\",3)":[[46373]],"PAYX^CS_EVENT_TIME_N(\"ER\",3)":[["Unspecified"]],"CTAS^CS_EVENT_DATEJ_N(\"ER\",3)":[[46373]],"CTAS^CS_EVENT_TIME_N(\"ER\",3)":[["Unspecified"]],"AON^CS_EVENT_DATEJ_N(\"ER\",3)":[[46416]],"AON^CS_EVENT_TIME_N(\"ER\",3)":[["Unspecified"]],"IQV^CS_EVENT_DATEJ_N(\"ER\",3)":[[46429]],"IQV^CS_EVENT_TIME_N(\"ER\",3)":[["Unspecified"]],"IT^CS_EVENT_DATEJ_N(\"ER\",3)":[[46427]],"IT^CS_EVENT_TIME_N(\"ER\",3)":[["Unspecified"]],"CIEN^CS_EVENT_DESC_N(\"ER\",3)":[["Q4 2026 Earnings Release (Projected)"]],"AVGO^CS_EVENT_DESC_N(\"ER\",3)":[["Q4 2026 Earnings Release (Projected)"]],"CPB^CS_EVENT_DESC_N(\"ER\",3)":[["Q1 2027 Earnings Release (Projected)"]],"BF.B^CS_EVENT_DESC_N(\"ER\",3)":[["Q2 2027 Earnings Release (Projected)"]],"ADBE^CS_EVENT_DESC_N(\"ER\",3)":[["Q4 2026 Earnings Release (Projected)"]],"KR^CS_EVENT_DESC_N(\"ER\",3)":[["Q3 2026 Earnings Release (Projected)"]],"ORCL^CS_EVENT_DESC_N(\"ER\",3)":[["Q2 2027 Earnings Release (Projected)"]],"ACN^CS_EVENT_DESC_N(\"ER\",3)":[["Q1 2027 Earnings Release (Projected)"]],"JBL^CS_EVENT_DESC_N(\"ER\",3)":[["Q1 2027 Earnings Release (Projected)"]],"DRI^CS_EVENT_DESC_N(\"ER\",3)":[["Q2 2027 Earnings Release (Projected)"]],"FDS^CS_EVENT_DESC_N(\"ER\",3)":[["Q1 2027 Earnings Release (Projected)"]],"LEN^CS_EVENT_DESC_N(\"ER\",3)":[["Q4 2026 Earnings Release (Projected)"]],"FDX^CS_EVENT_DESC_N(\"ER\",3)":[["Q2 2027 Earnings Release (Projected)"]],"MKC^CS_EVENT_DESC_N(\"ER\",3)":[["Q4 2026 Earnings Release (Projected)"]],"NKE^CS_EVENT_DESC_N(\"ER\",3)":[["Q2 2027 Earnings Release (Projected)"]],"CCL^CS_EVENT_DESC_N(\"ER\",3)":[["Q4 2026 Earnings Release (Projected)"]],"GIS^CS_EVENT_DESC_N(\"ER\",3)":[["Q2 2027 Earnings Release (Projected)"]],"MU^CS_EVENT_DESC_N(\"ER\",3)":[["Q1 2027 Earnings Release (Projected)"]],"PAYX^CS_EVENT_DESC_N(\"ER\",3)":[["Q2 2027 Earnings Release (Projected)"]],"CTAS^CS_EVENT_DESC_N(\"ER\",3)":[["Q2 2027 Earnings Release (Projected)"]],"AON^CS_EVENT_DESC_N(\"ER\",3)":[["Q4 2026 Earnings Release (Projected)"]],"IQV^CS_EVENT_DESC_N(\"ER\",3)":[["Q4 2026 Earnings Release (Projected)"]],"IT^CS_EVENT_DESC_N(\"ER\",3)":[["Q4 2026 Earnings Release (Projected)"]],"HRL^CS_EVENT_DATEJ_N(\"ER\",3)":[[46358]],"LULU^CS_EVENT_DATEJ_N(\"ER\",3)":[[46359]],"NTAP^CS_EVENT_DATEJ_N(\"ER\",3)":[[46357]],"DELL^CS_EVENT_DATEJ_N(\"ER\",3)":[[46357]],"CRWD^CS_EVENT_DATEJ_N(\"ER\",3)":[[46357]],"COO^CS_EVENT_DATEJ_N(\"ER\",3)":[[46450]],"HPE^CS_EVENT_DATEJ_N(\"ER\",3)":[[46359]],"CRM^CS_EVENT_DATEJ_N(\"ER\",3)":[[46449]],"HPQ^CS_EVENT_DATEJ_N(\"ER\",3)":[[46448]],"SJM^CS_EVENT_DATEJ_N(\"ER\",3)":[[46350]],"CIEN^CS_EVENT_DATEJ_N(\"ER\",3)":[[46366]],"AVGO^CS_EVENT_DATEJ_N(\"ER\",3)":[[46366]],"CPB^CS_EVENT_DATEJ_N(\"ER\",3)":[[46365]],"BF.B^CS_EVENT_DATEJ_N(\"ER\",3)":[[46365]],"ADBE^CS_EVENT_DATEJ_N(\"ER\",3)":[[46366]],"KR^CS_EVENT_DATEJ_N(\"ER\",3)":[[46352]],"CIEN^CS_EVENT_TIME_N(\"ER\",3)":[["Unspecified"]],"AVGO^CS_EVENT_TIME_N(\"ER\",3)":[["Unspecified"]],"CPB^CS_EVENT_TIME_N(\"ER\",3)":[["Unspecified"]],"BF.B^CS_EVENT_TIME_N(\"ER\",3)":[["Unspecified"]],"ADBE^CS_EVENT_TIME_N(\"ER\",3)":[["Unspecified"]],"KR^CS_EVENT_TIME_N(\"ER\",3)":[["Unspecified"]],"EQIX^CS_EVENT_TIME_N(\"ER\",3)":[["Unspecified"]],"EQIX^CS_EVENT_DESC_N(\"ER\",3)":[["Q4 2026 Earnings Release (Projected)"]],"GRMN^CS_EVENT_TIME_N(\"ER\",3)":[["Unspecified"]],"GRMN^CS_EVENT_DESC_N(\"ER\",3)":[["Q4 2026 Earnings Release (Projected)"]],"MAA^CS_EVENT_DATEJ_N(\"ER\",3)":[[46428]],"EQIX^CS_EVENT_DATEJ_N(\"ER\",3)":[[46435]],"GRMN^CS_EVENT_DATEJ_N(\"ER\",3)":[[46442]],"MAA^CS_EVENT_TIME_N(\"ER\",3)":[["Unspecified"]],"DXCM^CS_EVENT_DESC_N(\"ER\",3)":[["Q4 2026 Earnings Release (Projected)"]],"ALLE^CS_EVENT_DESC_N(\"ER\",3)":[["Q4 2026 Earnings Release (Projected)"]],"DLR^CS_EVENT_DESC_N(\"ER\",3)":[["Q1 2027 Earnings Release (Projected)"]],"KDP^CS_EVENT_DESC_N(\"ER\",3)":[["Q4 2026 Earnings Release (Projected)"]],"BKR^CS_EVENT_DESC_N(\"ER\",3)":[["Q4 2026 Earnings Release (Projected)"]],"CMCSA^CS_EVENT_DESC_N(\"ER\",3)":[["Q1 2027 Earnings Release (Projected)"]],"CBRE^CS_EVENT_DESC_N(\"ER\",3)":[["Q4 2026 Earnings Release (Projected)"]],"DOC^CS_EVENT_DESC_N(\"ER\",3)":[["Q4 2026 Earnings Release (Projected)"]],"AMP^CS_EVENT_DESC_N(\"ER\",3)":[["Q4 2026 Earnings Release (Projected)"]],"FSLR^CS_EVENT_DESC_N(\"ER\",3)":[["Q4 2026 Earnings Release (Projected)"]],"FTV^CS_EVENT_DESC_N(\"ER\",3)":[["Q4 2026 Earnings Release (Projected)"]],"DOW^CS_EVENT_DESC_N(\"ER\",3)":[["Q4 2026 Earnings Release"]],"CARR^CS_EVENT_DESC_N(\"ER\",3)":[["Q4 2026 Earnings Release (Projected)"]],"PLD^CS_EVENT_TIME_N(\"ER\",3)":[["Unspecified"]],"PLD^CS_EVENT_DESC_N(\"ER\",3)":[["Q4 2026 Earnings Release (Projected)"]],"KDP^CS_EVENT_DATEJ_N(\"ER\",3)":[[46443]],"KDP^CS_EVENT_TIME_N(\"ER\",3)":[["Unspecified"]],"BKR^CS_EVENT_DATEJ_N(\"ER\",3)":[[46414]],"BKR^CS_EVENT_TIME_N(\"ER\",3)":[["Unspecified"]],"CMCSA^CS_EVENT_DATEJ_N(\"ER\",3)":[[46506]],"CMCSA^CS_EVENT_TIME_N(\"ER\",3)":[["Unspecified"]],"CBRE^CS_EVENT_DATEJ_N(\"ER\",3)":[[46443]],"CBRE^CS_EVENT_TIME_N(\"ER\",3)":[["Unspecified"]],"DOC^CS_EVENT_DATEJ_N(\"ER\",3)":[[46426]],"DOC^CS_EVENT_TIME_N(\"ER\",3)":[["Unspecified"]],"AMP^CS_EVENT_DATEJ_N(\"ER\",3)":[[46414]],"AMP^CS_EVENT_TIME_N(\"ER\",3)":[["Unspecified"]],"FSLR^CS_EVENT_DATEJ_N(\"ER\",3)":[[46448]],"FSLR^CS_EVENT_TIME_N(\"ER\",3)":[["Unspecified"]],"FTV^CS_EVENT_DATEJ_N(\"ER\",3)":[[46422]],"FTV^CS_EVENT_TIME_N(\"ER\",3)":[["Unspecified"]],"DOW^CS_EVENT_DATEJ_N(\"ER\",3)":[[46415]],"DOW^CS_EVENT_TIME_N(\"ER\",3)":[["6:00 AM"]],"CARR^CS_EVENT_DATEJ_N(\"ER\",3)":[[46427]],"CARR^CS_EVENT_TIME_N(\"ER\",3)":[["Unspecified"]],"PPG^CS_EVENT_DATEJ_N(\"ER\",3)":[[46408]],"PPG^CS_EVENT_TIME_N(\"ER\",3)":[["Unspecified"]],"CNC^CS_EVENT_DESC_N(\"ER\",3)":[["Q4 2026 Earnings Release (Projected)"]],"WM^CS_EVENT_DESC_N(\"ER\",3)":[["Q4 2026 Earnings Release (Projected)"]],"EQR^CS_EVENT_DESC_N(\"ER\",3)":[["Q4 2026 Earnings Release (Projected)"]],"ABT^CS_EVENT_TIME_N(\"ER\",3)":[["Unspecified"]],"XEL^CS_EVENT_DATEJ_N(\"ER\",3)":[[46506]],"CMS^CS_EVENT_DATEJ_N(\"ER\",3)":[[46422]],"MA^CS_EVENT_DATEJ_N(\"ER\",3)":[[46415]],"DXCM^CS_EVENT_DATEJ_N(\"ER\",3)":[[46429]],"ALLE^CS_EVENT_DATEJ_N(\"ER\",3)":[[46441]],"DLR^CS_EVENT_DATEJ_N(\"ER\",3)":[[46506]],"DXCM^CS_EVENT_TIME_N(\"ER\",3)":[["Unspecified"]],"ALLE^CS_EVENT_TIME_N(\"ER\",3)":[["Unspecified"]],"DLR^CS_EVENT_TIME_N(\"ER\",3)":[["Unspecified"]],"GEN^CS_EVENT_DATEJ_N(\"ER\",3)":[[46422]],"GEN^CS_EVENT_TIME_N(\"ER\",3)":[["Unspecified"]],"GEN^CS_EVENT_DESC_N(\"ER\",3)":[["Q3 2027 Earnings Release (Projected)"]],"TPR^CS_EVENT_DATEJ_N(\"ER\",3)":[[46429]],"TPR^CS_EVENT_TIME_N(\"ER\",3)":[["Unspecified"]],"TPR^CS_EVENT_DESC_N(\"ER\",3)":[["Q2 2027 Earnings Release (Projected)"]],"MCK^CS_EVENT_DATEJ_N(\"ER\",3)":[[46428]],"MCK^CS_EVENT_TIME_N(\"ER\",3)":[["Unspecified"]],"MCK^CS_EVENT_DESC_N(\"ER\",3)":[["Q3 2027 Earnings Release (Projected)"]],"AKAM^CS_EVENT_DATEJ_N(\"ER\",3)":[[46434]],"AKAM^CS_EVENT_TIME_N(\"ER\",3)":[["Unspecified"]],"AKAM^CS_EVENT_DESC_N(\"ER\",3)":[["Q4 2026 Earnings Release (Projected)"]],"GWW^CS_EVENT_DATEJ_N(\"ER\",3)":[[46420]],"GWW^CS_EVENT_TIME_N(\"ER\",3)":[["8:00 AM"]],"GWW^CS_EVENT_DESC_N(\"ER\",3)":[["Q4 2026 Earnings Release"]],"CRL^CS_EVENT_DATEJ_N(\"ER\",3)":[[46442]],"CRL^CS_EVENT_TIME_N(\"ER\",3)":[["Unspecified"]],"CRL^CS_EVENT_DESC_N(\"ER\",3)":[["Q4 2026 Earnings Release (Projected)"]],"SATS^CS_EVENT_DATEJ_N(\"ER\",3)":[[46443]],"SATS^CS_EVENT_TIME_N(\"ER\",3)":[["Unspecified"]],"SATS^CS_EVENT_DESC_N(\"ER\",3)":[["Q4 2026 Earnings Release (Projected)"]],"CEG^CS_EVENT_DATEJ_N(\"ER\",3)":[[46520]],"CEG^CS_EVENT_TIME_N(\"ER\",3)":[["Unspecified"]],"CEG^CS_EVENT_DESC_N(\"ER\",3)":[["Q1 2027 Earnings Release (Projected)"]],"NWS^CS_EVENT_DATEJ_N(\"ER\",3)":[[46429]],"NWS^CS_EVENT_TIME_N(\"ER\",3)":[["Unspecified"]],"NWS^CS_EVENT_DESC_N(\"ER\",3)":[["Q2 2027 Earnings Release (Projected)"]],"NWSA^CS_EVENT_DATEJ_N(\"ER\",3)":[[46429]],"NWSA^CS_EVENT_TIME_N(\"ER\",3)":[["Unspecified"]],"NWSA^CS_EVENT_DESC_N(\"ER\",3)":[["Q2 2027 Earnings Release (Projected)"]],"COIN^CS_EVENT_DATEJ_N(\"ER\",3)":[[46436]],"COIN^CS_EVENT_TIME_N(\"ER\",3)":[["Unspecified"]],"COIN^CS_EVENT_DESC_N(\"ER\",3)":[["Q4 2026 Earnings Release (Projected)"]],"TKO^CS_EVENT_DATEJ_N(\"ER\",3)":[[46449]],"TKO^CS_EVENT_TIME_N(\"ER\",3)":[["Unspecified"]],"TKO^CS_EVENT_DESC_N(\"ER\",3)":[["Q4 2026 Earnings Release (Projected)"]],"WBD^CS_EVENT_DATEJ_N(\"ER\",3)":[["@NA"]],"WBD^CS_EVENT_TIME_N(\"ER\",3)":[["@NA"]],"WBD^CS_EVENT_DESC_N(\"ER\",3)":[["@NA"]],"SOLV^CS_EVENT_DATEJ_N(\"ER\",3)":[[46450]],"SOLV^CS_EVENT_TIME_N(\"ER\",3)":[["Unspecified"]],"SOLV^CS_EVENT_DESC_N(\"ER\",3)":[["Q4 2026 Earnings Release (Projected)"]],"TSN^CS_EVENT_DATEJ_N(\"ER\",3)":[[46426]],"TSN^CS_EVENT_TIME_N(\"ER\",3)":[["Unspecified"]],"TSN^CS_EVENT_DESC_N(\"ER\",3)":[["Q1 2027 Earnings Release (Projected)"]],"MCHP^CS_EVENT_DATEJ_N(\"ER\",3)":[[46422]],"MCHP^CS_EVENT_TIME_N(\"ER\",3)":[["Unspecified"]],"MCHP^CS_EVENT_DESC_N(\"ER\",3)":[["Q3 2027 Earnings Release (Projected)"]],"SPG^CS_EVENT_DATEJ_N(\"ER\",3)":[[46426]],"SPG^CS_EVENT_TIME_N(\"ER\",3)":[["Unspecified"]],"SPG^CS_EVENT_DESC_N(\"ER\",3)":[["Q4 2026 Earnings Release (Projected)"]],"IFF^CS_EVENT_DATEJ_N(\"ER\",3)":[[46428]],"IFF^CS_EVENT_TIME_N(\"ER\",3)":[["Unspecified"]],"IFF^CS_EVENT_DESC_N(\"ER\",3)":[["Q4 2026 Earnings Release (Projected)"]],"VTRS^CS_EVENT_DATEJ_N(\"ER\",3)":[[46447]],"VTRS^CS_EVENT_TIME_N(\"ER\",3)":[["Unspecified"]],"VTRS^CS_EVENT_DESC_N(\"ER\",3)":[["Q4 2026 Earnings Release (Projected)"]],"PLTR^CS_EVENT_DATEJ_N(\"ER\",3)":[[46435]],"PLTR^CS_EVENT_TIME_N(\"ER\",3)":[["Unspecified"]],"PLTR^CS_EVENT_DESC_N(\"ER\",3)":[["Q4 2026 Earnings Release (Projected)"]],"HSIC^CS_EVENT_DATEJ_N(\"ER\",3)":[[46448]],"HSIC^CS_EVENT_TIME_N(\"ER\",3)":[["Unspecified"]],"HSIC^CS_EVENT_DESC_N(\"ER\",3)":[["Q4 2026 Earnings Release (Projected)"]],"JKHY^CS_EVENT_DATEJ_N(\"ER\",3)":[[46427]],"JKHY^CS_EVENT_TIME_N(\"ER\",3)":[["Unspecified"]],"JKHY^CS_EVENT_DESC_N(\"ER\",3)":[["Q2 2027 Earnings Release (Projected)"]],"AXON^CS_EVENT_DATEJ_N(\"ER\",3)":[[46448]],"AXON^CS_EVENT_TIME_N(\"ER\",3)":[["Unspecified"]],"AXON^CS_EVENT_DESC_N(\"ER\",3)":[["Q4 2026 Earnings Release (Projected)"]],"WAT^CS_EVENT_DATEJ_N(\"ER\",3)":[[46435]],"WAT^CS_EVENT_TIME_N(\"ER\",3)":[["Unspecified"]],"WAT^CS_EVENT_DESC_N(\"ER\",3)":[["Q4 2026 Earnings Release (Projected)"]],"ZBRA^CS_EVENT_DATEJ_N(\"ER\",3)":[[46436]],"ZBRA^CS_EVENT_TIME_N(\"ER\",3)":[["Unspecified"]],"ZBRA^CS_EVENT_DESC_N(\"ER\",3)":[["Q4 2026 Earnings Release (Projected)"]],"EXPD^CS_EVENT_DATEJ_N(\"ER\",3)":[[46434]],"EXPD^CS_EVENT_TIME_N(\"ER\",3)":[["Unspecified"]],"EXPD^CS_EVENT_DESC_N(\"ER\",3)":[["Q4 2026 Earnings Release"]],"OXY^CS_EVENT_DATEJ_N(\"ER\",3)":[[46442]],"OXY^CS_EVENT_TIME_N(\"ER\",3)":[["Unspecified"]],"OXY^CS_EVENT_DESC_N(\"ER\",3)":[["Q4 2026 Earnings Release (Projected)"]],"WYNN^CS_EVENT_DATEJ_N(\"ER\",3)":[[46436]],"WYNN^CS_EVENT_TIME_N(\"ER\",3)":[["Unspecified"]],"WYNN^CS_EVENT_DESC_N(\"ER\",3)":[["Q4 2026 Earnings Release (Projected)"]],"J^CS_EVENT_DATEJ_N(\"ER\",3)":[[46427]],"J^CS_EVENT_TIME_N(\"ER\",3)":[["Unspecified"]],"J^CS_EVENT_DESC_N(\"ER\",3)":[["Q1 2027 Earnings Release (Projected)"]],"TDG^CS_EVENT_DATEJ_N(\"ER\",3)":[[46427]],"TDG^CS_EVENT_TIME_N(\"ER\",3)":[["Unspecified"]],"TDG^CS_EVENT_DESC_N(\"ER\",3)":[["Q1 2027 Earnings Release (Projected)"]],"DUK^CS_EVENT_DATEJ_N(\"ER\",3)":[[46429]],"DUK^CS_EVENT_TIME_N(\"ER\",3)":[["Unspecified"]],"DUK^CS_EVENT_DESC_N(\"ER\",3)":[["Q4 2026 Earnings Release (Projected)"]],"LITE^CS_EVENT_DATEJ_N(\"ER\",3)":[[46429]],"LITE^CS_EVENT_TIME_N(\"ER\",3)":[["Unspecified"]],"LITE^CS_EVENT_DESC_N(\"ER\",3)":[["Q2 2027 Earnings Release (Projected)"]],"FOX^CS_EVENT_DATEJ_N(\"ER\",3)":[[46428]],"FOX^CS_EVENT_TIME_N(\"ER\",3)":[["Unspecified"]],"FOX^CS_EVENT_DESC_N(\"ER\",3)":[["Q2 2027 Earnings Release (Projected)"]],"FOXA^CS_EVENT_DATEJ_N(\"ER\",3)":[[46428]],"FOXA^CS_EVENT_TIME_N(\"ER\",3)":[["Unspecified"]],"FOXA^CS_EVENT_DESC_N(\"ER\",3)":[["Q2 2027 Earnings Release (Projected)"]],"COHR^CS_EVENT_DATEJ_N(\"ER\",3)":[[46428]],"COHR^CS_EVENT_TIME_N(\"ER\",3)":[["Unspecified"]],"COHR^CS_EVENT_DESC_N(\"ER\",3)":[["Q2 2027 Earnings Release (Projected)"]],"ATO^CS_EVENT_DATEJ_N(\"ER\",3)":[[46427]],"ATO^CS_EVENT_TIME_N(\"ER\",3)":[["Unspecified"]],"ATO^CS_EVENT_DESC_N(\"ER\",3)":[["Q1 2027 Earnings Release (Projected)"]],"NI^CS_EVENT_DATEJ_N(\"ER\",3)":[[46435]],"NI^CS_EVENT_TIME_N(\"ER\",3)":[["Unspecified"]],"NI^CS_EVENT_DESC_N(\"ER\",3)":[["Q4 2026 Earnings Release (Projected)"]],"DIS^CS_EVENT_DATEJ_N(\"ER\",3)":[[46428]],"DIS^CS_EVENT_TIME_N(\"ER\",3)":[["Unspecified"]],"DIS^CS_EVENT_DESC_N(\"ER\",3)":[["Q1 2027 Earnings Release (Projected)"]],"TTD^CS_EVENT_DATEJ_N(\"ER\",3)":[[46435]],"TTD^CS_EVENT_TIME_N(\"ER\",3)":[["Unspecified"]],"TTD^CS_EVENT_DESC_N(\"ER\",3)":[["Q4 2026 Earnings Release (Projected)"]],"VST^CS_EVENT_DATEJ_N(\"ER\",3)":[[46449]],"VST^CS_EVENT_TIME_N(\"ER\",3)":[["Unspecified"]],"VST^CS_EVENT_DESC_N(\"ER\",3)":[["Q4 2026 Earnings Release (Projected)"]],"CRH^CS_EVENT_DATEJ_N(\"ER\",3)":[[46450]],"CRH^CS_EVENT_TIME_N(\"ER\",3)":[["Unspecified"]],"CRH^CS_EVENT_DESC_N(\"ER\",3)":[["Q4 2026 Earnings Release (Projected)"]],"ABNB^CS_EVENT_DATEJ_N(\"ER\",3)":[[46434]],"ABNB^CS_EVENT_TIME_N(\"ER\",3)":[["Unspecified"]],"ABNB^CS_EVENT_DESC_N(\"ER\",3)":[["Q4 2026 Earnings Release (Projected)"]],"APP^CS_EVENT_DATEJ_N(\"ER\",3)":[[46435]],"APP^CS_EVENT_TIME_N(\"ER\",3)":[["Unspecified"]],"APP^CS_EVENT_DESC_N(\"ER\",3)":[["Q4 2026 Earnings Release (Projected)"]],"HOOD^CS_EVENT_DATEJ_N(\"ER\",3)":[[46434]],"HOOD^CS_EVENT_TIME_N(\"ER\",3)":[["Unspecified"]],"HOOD^CS_EVENT_DESC_N(\"ER\",3)":[["Q4 2026 Earnings Release (Projected)"]],"KVUE^CS_EVENT_DATEJ_N(\"ER\",3)":[[46429]],"KVUE^CS_EVENT_TIME_N(\"ER\",3)":[["Unspecified"]],"KVUE^CS_EVENT_DESC_N(\"ER\",3)":[["Q4 2026 Earnings Release (Projected)"]],"TTWO^CS_EVENT_DATEJ_N(\"ER\",3)":[[46426]],"TTWO^CS_EVENT_TIME_N(\"ER\",3)":[["Unspecified"]],"TTWO^CS_EVENT_DESC_N(\"ER\",3)":[["Q3 2027 Earnings Release (Projected)"]],"ROST^CS_EVENT_DATEJ_N(\"ER\",3)":[[46455]],"ROST^CS_EVENT_TIME_N(\"ER\",3)":[["Unspecified"]],"ROST^CS_EVENT_DESC_N(\"ER\",3)":[["Q4 2026 Earnings Release (Projected)"]],"WMT^CS_EVENT_DATEJ_N(\"ER\",3)":[[46436]],"WMT^CS_EVENT_TIME_N(\"ER\",3)":[["8:00 AM"]],"WMT^CS_EVENT_DESC_N(\"ER\",3)":[["Q4 2027 Earnings Release"]],"AMAT^CS_EVENT_DATEJ_N(\"ER\",3)":[[46436]],"AMAT^CS_EVENT_TIME_N(\"ER\",3)":[["Unspecified"]],"AMAT^CS_EVENT_DESC_N(\"ER\",3)":[["Q1 2027 Earnings Release (Projected)"]],"HD^CS_EVENT_DATEJ_N(\"ER\",3)":[[46441]],"HD^CS_EVENT_TIME_N(\"ER\",3)":[["Unspecified"]],"HD^CS_EVENT_DESC_N(\"ER\",3)":[["Q4 2026 Earnings Release (Projected)"]],"KEYS^CS_EVENT_DATEJ_N(\"ER\",3)":[[46441]],"KEYS^CS_EVENT_TIME_N(\"ER\",3)":[["Unspecified"]],"KEYS^CS_EVENT_DESC_N(\"ER\",3)":[["Q1 2027 Earnings Release (Projected)"]],"TJX^CS_EVENT_DATEJ_N(\"ER\",3)":[[46442]],"TJX^CS_EVENT_TIME_N(\"ER\",3)":[["Unspecified"]],"TJX^CS_EVENT_DESC_N(\"ER\",3)":[["Q4 2027 Earnings Release"]],"NVDA^CS_EVENT_DATEJ_N(\"ER\",3)":[[46442]],"NVDA^CS_EVENT_TIME_N(\"ER\",3)":[["Unspecified"]],"NVDA^CS_EVENT_DESC_N(\"ER\",3)":[["Q4 2027 Earnings Release (Projected)"]],"TGT^CS_EVENT_DATEJ_N(\"ER\",3)":[[46448]],"TGT^CS_EVENT_TIME_N(\"ER\",3)":[["Unspecified"]],"TGT^CS_EVENT_DESC_N(\"ER\",3)":[["Q4 2026 Earnings Release (Projected)"]],"MDT^CS_EVENT_DATEJ_N(\"ER\",3)":[[46350]],"MDT^CS_EVENT_TIME_N(\"ER\",3)":[["Unspecified"]],"MDT^CS_EVENT_DESC_N(\"ER\",3)":[["Q2 2027 Earnings Release (Projected)"]],"SNPS^CS_EVENT_DATEJ_N(\"ER\",3)":[[46526]],"SNPS^CS_EVENT_TIME_N(\"ER\",3)":[["Unspecified"]],"SNPS^CS_EVENT_DESC_N(\"ER\",3)":[["Q2 2027 Earnings Release (Projected)"]],"CSCO^CS_EVENT_DATEJ_N(\"ER\",3)":[[46526]],"CSCO^CS_EVENT_TIME_N(\"ER\",3)":[["Unspecified"]],"CSCO^CS_EVENT_DESC_N(\"ER\",3)":[["Q3 2027 Earnings Release (Projected)"]],"CPRT^CS_EVENT_DATEJ_N(\"ER\",3)":[[46443]],"CPRT^CS_EVENT_TIME_N(\"ER\",3)":[["Unspecified"]],"CPRT^CS_EVENT_DESC_N(\"ER\",3)":[["Q2 2027 Earnings Release (Projected)"]],"STE^CS_EVENT_DATEJ_N(\"ER\",3)":[[46525]],"STE^CS_EVENT_TIME_N(\"ER\",3)":[["Unspecified"]],"STE^CS_EVENT_DESC_N(\"ER\",3)":[["Q4 2027 Earnings Release (Projected)"]],"ADSK^CS_EVENT_DATEJ_N(\"ER\",3)":[[46350]],"ADSK^CS_EVENT_TIME_N(\"ER\",3)":[["Unspecified"]],"ADSK^CS_EVENT_DESC_N(\"ER\",3)":[["Q3 2027 Earnings Release (Projected)"]],"DLTR^CS_EVENT_DATEJ_N(\"ER\",3)":[[46350]],"DLTR^CS_EVENT_TIME_N(\"ER\",3)":[["Unspecified"]],"DLTR^CS_EVENT_DESC_N(\"ER\",3)":[["Q3 2026 Earnings Release (Projected)"]],"DECK^CS_EVENT_DATEJ_N(\"ER\",3)":[[46422]],"DECK^CS_EVENT_TIME_N(\"ER\",3)":[["Unspecified"]],"DECK^CS_EVENT_DESC_N(\"ER\",3)":[["Q3 2027 Earnings Release (Projected)"]],"DE^CS_EVENT_DATEJ_N(\"ER\",3)":[[46430]],"DE^CS_EVENT_TIME_N(\"ER\",3)":[["Unspecified"]],"DE^CS_EVENT_DESC_N(\"ER\",3)":[["Q1 2027 Earnings Release (Projected)"]],"RL^CS_EVENT_DATEJ_N(\"ER\",3)":[[46429]],"RL^CS_EVENT_TIME_N(\"ER\",3)":[["Unspecified"]],"RL^CS_EVENT_DESC_N(\"ER\",3)":[["Q3 2027 Earnings Release (Projected)"]],"INTU^CS_EVENT_DATEJ_N(\"ER\",3)":[[46443]],"INTU^CS_EVENT_TIME_N(\"ER\",3)":[["Unspecified"]],"INTU^CS_EVENT_DESC_N(\"ER\",3)":[["Q2 2027 Earnings Release (Projected)"]],"ULTA^CS_EVENT_DATEJ_N(\"ER\",3)":[[46352]],"ULTA^CS_EVENT_TIME_N(\"ER\",3)":[["Unspecified"]],"ULTA^CS_EVENT_DESC_N(\"ER\",3)":[["Q3 2026 Earnings Release (Projected)"]],"DG^CS_EVENT_DATEJ_N(\"ER\",3)":[[46359]],"DG^CS_EVENT_TIME_N(\"ER\",3)":[["Unspecified"]],"DG^CS_EVENT_DESC_N(\"ER\",3)":[["Q3 2026 Earnings Release (Projected)"]],"WDAY^CS_EVENT_DATEJ_N(\"ER\",3)":[[46447]],"WDAY^CS_EVENT_TIME_N(\"ER\",3)":[["Unspecified"]],"WDAY^CS_EVENT_DESC_N(\"ER\",3)":[["Q4 2027 Earnings Release (Projected)"]],"NDSN^CS_EVENT_DATEJ_N(\"ER\",3)":[[46442]],"NDSN^CS_EVENT_TIME_N(\"ER\",3)":[["Unspecified"]],"NDSN^CS_EVENT_DESC_N(\"ER\",3)":[["Q1 2027 Earnings Release (Projected)"]],"AZO^CS_EVENT_DATEJ_N(\"ER\",3)":[[46448]],"AZO^CS_EVENT_TIME_N(\"ER\",3)":[["Unspecified"]],"AZO^CS_EVENT_DESC_N(\"ER\",3)":[["Q2 2027 Earnings Release (Projected)"]],"A^CS_EVENT_DATEJ_N(\"ER\",3)":[[46448]],"A^CS_EVENT_TIME_N(\"ER\",3)":[["Unspecified"]],"A^CS_EVENT_DESC_N(\"ER\",3)":[["Q1 2027 Earnings Release (Projected)"]],"PANW^CS_EVENT_DATEJ_N(\"ER\",3)":[[46338]],"PANW^CS_EVENT_TIME_N(\"ER\",3)":[["Unspecified"]],"PANW^CS_EVENT_DESC_N(\"ER\",3)":[["Q1 2027 Earnings Release (Projected)"]],"ADI^CS_EVENT_DATEJ_N(\"ER\",3)":[[46435]],"ADI^CS_EVENT_TIME_N(\"ER\",3)":[["Unspecified"]],"ADI^CS_EVENT_DESC_N(\"ER\",3)":[["Q1 2027 Earnings Release (Projected)"]],"WSM^CS_EVENT_DATEJ_N(\"ER\",3)":[[46463]],"WSM^CS_EVENT_TIME_N(\"ER\",3)":[["Unspecified"]],"WSM^CS_EVENT_DESC_N(\"ER\",3)":[["Q4 2026 Earnings Release (Projected)"]],"BBY^CS_EVENT_DATEJ_N(\"ER\",3)":[["@NA"]],"BBY^CS_EVENT_TIME_N(\"ER\",3)":[["@NA"]],"BBY^CS_EVENT_DESC_N(\"ER\",3)":[["@NA"]],"LOW^CS_EVENT_DATEJ_N(\"ER\",3)":[[46449]],"LOW^CS_EVENT_TIME_N(\"ER\",3)":[["Unspecified"]],"LOW^CS_EVENT_DESC_N(\"ER\",3)":[["Q4 2026 Earnings Release (Projected)"]],"COST^CS_EVENT_DATEJ_N(\"ER\",3)":[[46366]],"COST^CS_EVENT_TIME_N(\"ER\",3)":[["Unspecified"]],"COST^CS_EVENT_DESC_N(\"ER\",3)":[["Q1 2027 Earnings Release (Projected)"]],"IR^CS_EVENT_DATEJ_N(\"ER\",3)":[[46436]],"IR^CS_EVENT_TIME_N(\"ER\",3)":[["Unspecified"]],"FIS^CS_EVENT_DATEJ_N(\"ER\",3)":[[46434]],"FIS^CS_EVENT_TIME_N(\"ER\",3)":[["Unspecified"]],"NCLH^CS_EVENT_DATEJ_N(\"ER\",3)":[[46512]],"NCLH^CS_EVENT_TIME_N(\"ER\",3)":[["Unspecified"]],"CF^CS_EVENT_DATEJ_N(\"ER\",3)":[[46435]],"CF^CS_EVENT_TIME_N(\"ER\",3)":[["Unspecified"]],"MOS^CS_EVENT_DATEJ_N(\"ER\",3)":[[46442]],"MOS^CS_EVENT_TIME_N(\"ER\",3)":[["Unspecified"]],"KHC^CS_EVENT_DATEJ_N(\"ER\",3)":[[46435]],"KHC^CS_EVENT_TIME_N(\"ER\",3)":[["Unspecified"]],"UBER^CS_EVENT_DATEJ_N(\"ER\",3)":[[46428]],"UBER^CS_EVENT_TIME_N(\"ER\",3)":[["Unspecified"]],"PSKY^CS_EVENT_DATEJ_N(\"ER\",3)":[["@NA"]],"PSKY^CS_EVENT_TIME_N(\"ER\",3)":[["@NA"]],"GEHC^CS_EVENT_DATEJ_N(\"ER\",3)":[[46512]],"GEHC^CS_EVENT_TIME_N(\"ER\",3)":[["Unspecified"]],"CVX^CS_EVENT_DATEJ_N(\"ER\",3)":[[46409]],"CVX^CS_EVENT_TIME_N(\"ER\",3)":[["Unspecified"]],"CVX^CS_EVENT_DESC_N(\"ER\",3)":[["Q4 2026 Earnings Release (Projected)"]],"PG^CS_EVENT_DATEJ_N(\"ER\",3)":[[46407]],"PG^CS_EVENT_TIME_N(\"ER\",3)":[["Unspecified"]],"PG^CS_EVENT_DESC_N(\"ER\",3)":[["Q2 2027 Earnings Release (Projected)"]],"NSC^CS_EVENT_DATEJ_N(\"ER\",3)":[[46414]],"NSC^CS_EVENT_TIME_N(\"ER\",3)":[["Unspecified"]],"NSC^CS_EVENT_DESC_N(\"ER\",3)":[["Q4 2026 Earnings Release (Projected)"]],"XOM^CS_EVENT_DATEJ_N(\"ER\",3)":[[46420]],"XOM^CS_EVENT_TIME_N(\"ER\",3)":[["Unspecified"]],"XOM^CS_EVENT_DESC_N(\"ER\",3)":[["Q4 2026 Earnings Release (Projected)"]],"SLB^CS_EVENT_DATEJ_N(\"ER\",3)":[[46402]],"SLB^CS_EVENT_TIME_N(\"ER\",3)":[["Unspecified"]],"SLB^CS_EVENT_DESC_N(\"ER\",3)":[["Q4 2026 Earnings Release (Projected)"]],"HCA^CS_EVENT_DATEJ_N(\"ER\",3)":[[46420]],"HCA^CS_EVENT_TIME_N(\"ER\",3)":[["Unspecified"]],"HCA^CS_EVENT_DESC_N(\"ER\",3)":[["Q4 2026 Earnings Release (Projected)"]],"CHTR^CS_EVENT_DATEJ_N(\"ER\",3)":[[46416]],"CHTR^CS_EVENT_TIME_N(\"ER\",3)":[["Unspecified"]],"CHTR^CS_EVENT_DESC_N(\"ER\",3)":[["Q4 2026 Earnings Release (Projected)"]],"LYB^CS_EVENT_DATEJ_N(\"ER\",3)":[[46416]],"LYB^CS_EVENT_TIME_N(\"ER\",3)":[["Unspecified"]],"LYB^CS_EVENT_DESC_N(\"ER\",3)":[["Q4 2026 Earnings Release (Projected)"]],"ARES^CS_EVENT_DATEJ_N(\"ER\",3)":[[46500]],"ARES^CS_EVENT_TIME_N(\"ER\",3)":[["Unspecified"]],"ARES^CS_EVENT_DESC_N(\"ER\",3)":[["Q1 2027 Earnings Release (Projected)"]],"UHS^CS_EVENT_DATEJ_N(\"ER\",3)":[[46449]],"UHS^CS_EVENT_TIME_N(\"ER\",3)":[["Unspecified"]],"UHS^CS_EVENT_DESC_N(\"ER\",3)":[["Q4 2026 Earnings Release (Projected)"]],"ARE^CS_EVENT_DATEJ_N(\"ER\",3)":[[46419]],"ARE^CS_EVENT_TIME_N(\"ER\",3)":[["Unspecified"]],"ARE^CS_EVENT_DESC_N(\"ER\",3)":[["Q4 2026 Earnings Release (Projected)"]],"VZ^CS_EVENT_DATEJ_N(\"ER\",3)":[[46413]],"VZ^CS_EVENT_TIME_N(\"ER\",3)":[["Unspecified"]],"VZ^CS_EVENT_DESC_N(\"ER\",3)":[["Q4 2026 Earnings Release (Projected)"]],"BRO^CS_EVENT_DATEJ_N(\"ER\",3)":[[46412]],"BRO^CS_EVENT_TIME_N(\"ER\",3)":[["Unspecified"]],"BRO^CS_EVENT_DESC_N(\"ER\",3)":[["Q4 2026 Earnings Release (Projected)"]],"CDNS^CS_EVENT_DATEJ_N(\"ER\",3)":[[46441]],"CDNS^CS_EVENT_TIME_N(\"ER\",3)":[["Unspecified"]],"CDNS^CS_EVENT_DESC_N(\"ER\",3)":[["Q4 2026 Earnings Release (Projected)"]],"NUE^CS_EVENT_DATEJ_N(\"ER\",3)":[[46419]],"NUE^CS_EVENT_TIME_N(\"ER\",3)":[["Unspecified"]],"NUE^CS_EVENT_DESC_N(\"ER\",3)":[["Q4 2026 Earnings Release (Projected)"]],"LII^CS_EVENT_DATEJ_N(\"ER\",3)":[[46420]],"LII^CS_EVENT_TIME_N(\"ER\",3)":[["Unspecified"]],"LII^CS_EVENT_DESC_N(\"ER\",3)":[["Q4 2026 Earnings Release (Projected)"]],"DPZ^CS_EVENT_DATEJ_N(\"ER\",3)":[[46447]],"DPZ^CS_EVENT_TIME_N(\"ER\",3)":[["Unspecified"]],"DPZ^CS_EVENT_DESC_N(\"ER\",3)":[["Q4 2026 Earnings Release (Projected)"]],"MSFT^CS_EVENT_DATEJ_N(\"ER\",3)":[[46413]],"MSFT^CS_EVENT_TIME_N(\"ER\",3)":[["Unspecified"]],"MSFT^CS_EVENT_DESC_N(\"ER\",3)":[["Q2 2027 Earnings Release (Projected)"]],"MCO^CS_EVENT_DATEJ_N(\"ER\",3)":[[46423]],"MCO^CS_EVENT_TIME_N(\"ER\",3)":[["Unspecified"]],"MCO^CS_EVENT_DESC_N(\"ER\",3)":[["Q4 2026 Earnings Release (Projected)"]],"KO^CS_EVENT_DATEJ_N(\"ER\",3)":[[46434]],"KO^CS_EVENT_TIME_N(\"ER\",3)":[["Unspecified"]],"KO^CS_EVENT_DESC_N(\"ER\",3)":[["Q4 2026 Earnings Release (Projected)"]],"FISV^CS_EVENT_DATEJ_N(\"ER\",3)":[[46427]],"FISV^CS_EVENT_TIME_N(\"ER\",3)":[["Unspecified"]],"FISV^CS_EVENT_DESC_N(\"ER\",3)":[["Q4 2026 Earnings Release (Projected)"]],"AMT^CS_EVENT_DATEJ_N(\"ER\",3)":[[46443]],"AMT^CS_EVENT_TIME_N(\"ER\",3)":[["Unspecified"]],"AMT^CS_EVENT_DESC_N(\"ER\",3)":[["Q4 2026 Earnings Release (Projected)"]],"NVR^CS_EVENT_DATEJ_N(\"ER\",3)":[[46420]],"NVR^CS_EVENT_TIME_N(\"ER\",3)":[["Unspecified"]],"NVR^CS_EVENT_DESC_N(\"ER\",3)":[["Q4 2026 Earnings Release (Projected)"]],"ROP^CS_EVENT_DATEJ_N(\"ER\",3)":[[46504]],"ROP^CS_EVENT_TIME_N(\"ER\",3)":[["Unspecified"]],"ROP^CS_EVENT_DESC_N(\"ER\",3)":[["Q1 2027 Earnings Release (Projected)"]],"TER^CS_EVENT_DATEJ_N(\"ER\",3)":[[46414]],"TER^CS_EVENT_TIME_N(\"ER\",3)":[["Unspecified"]],"TER^CS_EVENT_DESC_N(\"ER\",3)":[["Q4 2026 Earnings Release (Projected)"]],"MMM^CS_EVENT_DATEJ_N(\"ER\",3)":[[46413]],"MMM^CS_EVENT_TIME_N(\"ER\",3)":[["Unspecified"]],"MMM^CS_EVENT_DESC_N(\"ER\",3)":[["Q4 2026 Earnings Release (Projected)"]],"IEX^CS_EVENT_DATEJ_N(\"ER\",3)":[[46420]],"IEX^CS_EVENT_TIME_N(\"ER\",3)":[["Unspecified"]],"IEX^CS_EVENT_DESC_N(\"ER\",3)":[["Q4 2026 Earnings Release (Projected)"]],"CSGP^CS_EVENT_DATEJ_N(\"ER\",3)":[[46441]],"CSGP^CS_EVENT_TIME_N(\"ER\",3)":[["Unspecified"]],"CSGP^CS_EVENT_DESC_N(\"ER\",3)":[["Q4 2026 Earnings Release (Projected)"]],"TXN^CS_EVENT_DATEJ_N(\"ER\",3)":[[46413]],"TXN^CS_EVENT_TIME_N(\"ER\",3)":[["Unspecified"]],"TXN^CS_EVENT_DESC_N(\"ER\",3)":[["Q4 2026 Earnings Release (Projected)"]],"Q^CS_EVENT_DATEJ_N(\"ER\",3)":[[46814]],"Q^CS_EVENT_TIME_N(\"ER\",3)":[["Unspecified"]],"Q^CS_EVENT_DESC_N(\"ER\",3)":[["Q4 2027 Earnings Release (Projected)"]],"CAG^CS_EVENT_DATEJ_N(\"ER\",3)":[[46388]],"CAG^CS_EVENT_TIME_N(\"ER\",3)":[["Unspecified"]],"CAG^CS_EVENT_DESC_N(\"ER\",3)":[["Q2 2027 Earnings Release (Projected)"]],"STZ^CS_EVENT_DATEJ_N(\"ER\",3)":[[46394]],"STZ^CS_EVENT_TIME_N(\"ER\",3)":[["Unspecified"]],"STZ^CS_EVENT_DESC_N(\"ER\",3)":[["Q3 2027 Earnings Release (Projected)"]],"DAL^CS_EVENT_DATEJ_N(\"ER\",3)":[[46395]],"DAL^CS_EVENT_TIME_N(\"ER\",3)":[["Unspecified"]],"DAL^CS_EVENT_DESC_N(\"ER\",3)":[["Q4 2026 Earnings Release (Projected)"]],"PGR^CS_EVENT_DATEJ_N(\"ER\",3)":[[46414]],"PGR^CS_EVENT_TIME_N(\"ER\",3)":[["Unspecified"]],"PGR^CS_EVENT_DESC_N(\"ER\",3)":[["Q4 2026 Earnings Release (Projected)"]],"FAST^CS_EVENT_DATEJ_N(\"ER\",3)":[[46406]],"FAST^CS_EVENT_TIME_N(\"ER\",3)":[["7:00 AM"]],"FAST^CS_EVENT_DESC_N(\"ER\",3)":[["Q4 2026 Earnings Release"]],"GS^CS_EVENT_DATEJ_N(\"ER\",3)":[[46406]],"GS^CS_EVENT_TIME_N(\"ER\",3)":[["7:30 AM"]],"GS^CS_EVENT_DESC_N(\"ER\",3)":[["Q4 2026 Earnings Release"]],"JPM^CS_EVENT_DATEJ_N(\"ER\",3)":[[46401]],"JPM^CS_EVENT_TIME_N(\"ER\",3)":[["6:45 AM"]],"JPM^CS_EVENT_DESC_N(\"ER\",3)":[["Q4 2026 Earnings Release"]],"WFC^CS_EVENT_DATEJ_N(\"ER\",3)":[[46401]],"WFC^CS_EVENT_TIME_N(\"ER\",3)":[["7:00 AM"]],"WFC^CS_EVENT_DESC_N(\"ER\",3)":[["Q4 2026 Earnings Release"]],"JNJ^CS_EVENT_DATEJ_N(\"ER\",3)":[[46413]],"JNJ^CS_EVENT_TIME_N(\"ER\",3)":[["Unspecified"]],"JNJ^CS_EVENT_DESC_N(\"ER\",3)":[["Q4 2026 Earnings Release (Projected)"]],"BLK^CS_EVENT_DATEJ_N(\"ER\",3)":[[46408]],"BLK^CS_EVENT_TIME_N(\"ER\",3)":[["Unspecified"]],"BLK^CS_EVENT_DESC_N(\"ER\",3)":[["Q4 2026 Earnings Release (Projected)"]],"C^CS_EVENT_DATEJ_N(\"ER\",3)":[[46401]],"C^CS_EVENT_TIME_N(\"ER\",3)":[["8:00 AM"]],"C^CS_EVENT_DESC_N(\"ER\",3)":[["Q4 2026 Earnings Release"]],"BAC^CS_EVENT_DATEJ_N(\"ER\",3)":[[46402]],"BAC^CS_EVENT_TIME_N(\"ER\",3)":[["6:45 AM"]],"BAC^CS_EVENT_DESC_N(\"ER\",3)":[["Q4 2026 Earnings Release"]],"MS^CS_EVENT_DATEJ_N(\"ER\",3)":[[46401]],"MS^CS_EVENT_TIME_N(\"ER\",3)":[["7:30 AM"]],"MS^CS_EVENT_DESC_N(\"ER\",3)":[["Q4 2026 Earnings Release"]],"MTB^CS_EVENT_DATEJ_N(\"ER\",3)":[[46406]],"MTB^CS_EVENT_TIME_N(\"ER\",3)":[["Before Market"]],"MTB^CS_EVENT_DESC_N(\"ER\",3)":[["Q4 2026 Earnings Release"]],"PNC^CS_EVENT_DATEJ_N(\"ER\",3)":[[46402]],"PNC^CS_EVENT_TIME_N(\"ER\",3)":[["Before Market"]],"PNC^CS_EVENT_DESC_N(\"ER\",3)":[["Q4 2026 Earnings Release"]],"KEY^CS_EVENT_DATEJ_N(\"ER\",3)":[[46407]],"KEY^CS_EVENT_TIME_N(\"ER\",3)":[["6:30 AM"]],"KEY^CS_EVENT_DESC_N(\"ER\",3)":[["Q4 2026 Earnings Release"]],"FCX^CS_EVENT_DATEJ_N(\"ER\",3)":[[46414]],"FCX^CS_EVENT_TIME_N(\"ER\",3)":[["Unspecified"]],"FCX^CS_EVENT_DESC_N(\"ER\",3)":[["Q4 2026 Earnings Release (Projected)"]],"USB^CS_EVENT_DATEJ_N(\"ER\",3)":[[46406]],"USB^CS_EVENT_TIME_N(\"ER\",3)":[["6:45 AM"]],"USB^CS_EVENT_DESC_N(\"ER\",3)":[["Q4 2026 Earnings Release"]],"POOL^CS_EVENT_DATEJ_N(\"ER\",3)":[[46443]],"POOL^CS_EVENT_TIME_N(\"ER\",3)":[["Unspecified"]],"POOL^CS_EVENT_DESC_N(\"ER\",3)":[["Q4 2026 Earnings Release (Projected)"]],"SNA^CS_EVENT_DATEJ_N(\"ER\",3)":[[46422]],"SNA^CS_EVENT_TIME_N(\"ER\",3)":[["Unspecified"]],"SNA^CS_EVENT_DESC_N(\"ER\",3)":[["Q4 2026 Earnings Release (Projected)"]],"MRSH^CS_EVENT_DATEJ_N(\"ER\",3)":[[46415]],"MRSH^CS_EVENT_TIME_N(\"ER\",3)":[["Unspecified"]],"MRSH^CS_EVENT_DESC_N(\"ER\",3)":[["Q4 2026 Earnings Release (Projected)"]],"NFLX^CS_EVENT_DATEJ_N(\"ER\",3)":[["@NA"]],"NFLX^CS_EVENT_TIME_N(\"ER\",3)":[["@NA"]],"NFLX^CS_EVENT_DESC_N(\"ER\",3)":[["@NA"]],"RCL^CS_EVENT_DATEJ_N(\"ER\",2)":[[46329]],"RCL^CS_EVENT_TIME_N(\"ER\",2)":[["Unspecified"]],"EW^CS_EVENT_DATEJ_N(\"ER\",3)":[["@NA"]],"EW^CS_EVENT_TIME_N(\"ER\",3)":[["@NA"]],"EW^CS_EVENT_DESC_N(\"ER\",3)":[["@NA"]],"MGM^CS_EVENT_DATEJ_N(\"ER\",3)":[[46428]],"MGM^CS_EVENT_TIME_N(\"ER\",3)":[["Unspecified"]],"MGM^CS_EVENT_DESC_N(\"ER\",3)":[["Q4 2026 Earnings Release (Projected)"]],"APH^CS_EVENT_DATEJ_N(\"ER\",3)":[[46414]],"APH^CS_EVENT_TIME_N(\"ER\",3)":[["Before Market"]],"APH^CS_EVENT_DESC_N(\"ER\",3)":[["Q4 2026 Earnings Release"]],"ALL^CS_EVENT_DATEJ_N(\"ER\",3)":[[46421]],"ALL^CS_EVENT_TIME_N(\"ER\",3)":[["Unspecified"]],"ALL^CS_EVENT_DESC_N(\"ER\",3)":[["Q4 2026 Earnings Release (Projected)"]],"SWK^CS_EVENT_DATEJ_N(\"ER\",3)":[[46422]],"SWK^CS_EVENT_TIME_N(\"ER\",3)":[["Unspecified"]],"SWK^CS_EVENT_DESC_N(\"ER\",3)":[["Q4 2026 Earnings Release (Projected)"]],"REGN^CS_EVENT_DATEJ_N(\"ER\",3)":[[46513]],"REGN^CS_EVENT_TIME_N(\"ER\",3)":[["Unspecified"]],"REGN^CS_EVENT_DESC_N(\"ER\",3)":[["Q1 2027 Earnings Release (Projected)"]],"ODFL^CS_EVENT_DATEJ_N(\"ER\",3)":[[46421]],"ODFL^CS_EVENT_TIME_N(\"ER\",3)":[["Unspecified"]],"ODFL^CS_EVENT_DESC_N(\"ER\",3)":[["Q4 2026 Earnings Release (Projected)"]],"ALGN^CS_EVENT_DATEJ_N(\"ER\",3)":[[46421]],"ALGN^CS_EVENT_TIME_N(\"ER\",3)":[["Unspecified"]],"ALGN^CS_EVENT_DESC_N(\"ER\",3)":[["Q4 2026 Earnings Release"]],"GD^CS_EVENT_DATEJ_N(\"ER\",3)":[[46414]],"GD^CS_EVENT_TIME_N(\"ER\",3)":[["Unspecified"]],"GD^CS_EVENT_DESC_N(\"ER\",3)":[["Q4 2026 Earnings Release (Projected)"]],"ETR^CS_EVENT_DATEJ_N(\"ER\",3)":[[46442]],"ETR^CS_EVENT_TIME_N(\"ER\",3)":[["Unspecified"]],"ETR^CS_EVENT_DESC_N(\"ER\",3)":[["Q4 2026 Earnings Release (Projected)"]],"EG^CS_EVENT_DATEJ_N(\"ER\",3)":[[46428]],"EG^CS_EVENT_TIME_N(\"ER\",3)":[["Unspecified"]],"EG^CS_EVENT_DESC_N(\"ER\",3)":[["Q4 2026 Earnings Release (Projected)"]],"FIX^CS_EVENT_DATEJ_N(\"ER\",3)":[[46443]],"FIX^CS_EVENT_TIME_N(\"ER\",3)":[["Unspecified"]],"FIX^CS_EVENT_DESC_N(\"ER\",3)":[["Q4 2026 Earnings Release (Projected)"]],"ROL^CS_EVENT_DATEJ_N(\"ER\",3)":[[46435]],"ROL^CS_EVENT_TIME_N(\"ER\",3)":[["Unspecified"]],"ROL^CS_EVENT_DESC_N(\"ER\",3)":[["Q4 2026 Earnings Release (Projected)"]],"ADP^CS_EVENT_DATEJ_N(\"ER\",3)":[[46414]],"ADP^CS_EVENT_TIME_N(\"ER\",3)":[["Unspecified"]],"ADP^CS_EVENT_DESC_N(\"ER\",3)":[["Q2 2027 Earnings Release (Projected)"]],"TDY^CS_EVENT_DATEJ_N(\"ER\",3)":[[46414]],"TDY^CS_EVENT_TIME_N(\"ER\",3)":[["Unspecified"]],"TDY^CS_EVENT_DESC_N(\"ER\",3)":[["Q4 2026 Earnings Release (Projected)"]],"URI^CS_EVENT_DATEJ_N(\"ER\",3)":[[46414]],"URI^CS_EVENT_TIME_N(\"ER\",3)":[["Unspecified"]],"URI^CS_EVENT_DESC_N(\"ER\",3)":[["Q4 2026 Earnings Release (Projected)"]],"AMGN^CS_EVENT_DATEJ_N(\"ER\",3)":[[46427]],"AMGN^CS_EVENT_TIME_N(\"ER\",3)":[["Unspecified"]],"AMGN^CS_EVENT_DESC_N(\"ER\",3)":[["Q4 2026 Earnings Release (Projected)"]],"AVY^CS_EVENT_DATEJ_N(\"ER\",3)":[[46421]],"AVY^CS_EVENT_TIME_N(\"ER\",3)":[["Unspecified"]],"AVY^CS_EVENT_DESC_N(\"ER\",3)":[["Q4 2026 Earnings Release (Projected)"]],"EQT^CS_EVENT_DATEJ_N(\"ER\",3)":[[46504]],"EQT^CS_EVENT_TIME_N(\"ER\",3)":[["Unspecified"]],"EQT^CS_EVENT_DESC_N(\"ER\",3)":[["Q1 2027 Earnings Release (Projected)"]],"ORLY^CS_EVENT_DATEJ_N(\"ER\",3)":[[46505]],"ORLY^CS_EVENT_TIME_N(\"ER\",3)":[["Unspecified"]],"ORLY^CS_EVENT_DESC_N(\"ER\",3)":[["Q1 2027 Earnings Release (Projected)"]],"TMO^CS_EVENT_DATEJ_N(\"ER\",3)":[[46422]],"TMO^CS_EVENT_TIME_N(\"ER\",3)":[["Unspecified"]],"TMO^CS_EVENT_DESC_N(\"ER\",3)":[["Q4 2026 Earnings Release (Projected)"]],"AVB^CS_EVENT_DATEJ_N(\"ER\",3)":[[46505]],"AVB^CS_EVENT_TIME_N(\"ER\",3)":[["Unspecified"]],"AVB^CS_EVENT_DESC_N(\"ER\",3)":[["Q1 2027 Earnings Release (Projected)"]],"LRCX^CS_EVENT_DATEJ_N(\"ER\",3)":[[46414]],"LRCX^CS_EVENT_TIME_N(\"ER\",3)":[["Unspecified"]],"LRCX^CS_EVENT_DESC_N(\"ER\",3)":[["Q2 2027 Earnings Release (Projected)"]],"TYL^CS_EVENT_DATEJ_N(\"ER\",3)":[[46435]],"TYL^CS_EVENT_TIME_N(\"ER\",3)":[["Unspecified"]],"TYL^CS_EVENT_DESC_N(\"ER\",3)":[["Q4 2026 Earnings Release (Projected)"]],"REG^CS_EVENT_DATEJ_N(\"ER\",3)":[[46429]],"REG^CS_EVENT_TIME_N(\"ER\",3)":[["Unspecified"]],"REG^CS_EVENT_DESC_N(\"ER\",3)":[["Q4 2026 Earnings Release (Projected)"]],"BG^CS_EVENT_DATEJ_N(\"ER\",3)":[[46505]],"BG^CS_EVENT_TIME_N(\"ER\",3)":[["Unspecified"]],"BG^CS_EVENT_DESC_N(\"ER\",3)":[["Q1 2027 Earnings Release (Projected)"]],"F^CS_EVENT_DATEJ_N(\"ER\",3)":[[46422]],"F^CS_EVENT_TIME_N(\"ER\",3)":[["Unspecified"]],"F^CS_EVENT_DESC_N(\"ER\",3)":[["Q4 2026 Earnings Release (Projected)"]],"AFL^CS_EVENT_DATEJ_N(\"ER\",3)":[[46421]],"AFL^CS_EVENT_TIME_N(\"ER\",3)":[["Unspecified"]],"AFL^CS_EVENT_DESC_N(\"ER\",3)":[["Q4 2027 Earnings Release (Projected)"]],"HUM^CS_EVENT_DATEJ_N(\"ER\",3)":[[46421]],"HUM^CS_EVENT_TIME_N(\"ER\",3)":[["Unspecified"]],"HUM^CS_EVENT_DESC_N(\"ER\",3)":[["Q4 2026 Earnings Release (Projected)"]],"CMG^CS_EVENT_DATEJ_N(\"ER\",3)":[[46427]],"CMG^CS_EVENT_TIME_N(\"ER\",3)":[["Unspecified"]],"CMG^CS_EVENT_DESC_N(\"ER\",3)":[["Q4 2026 Earnings Release (Projected)"]],"ABBV^CS_EVENT_DATEJ_N(\"ER\",3)":[[46421]],"ABBV^CS_EVENT_TIME_N(\"ER\",3)":[["Unspecified"]],"ABBV^CS_EVENT_DESC_N(\"ER\",3)":[["Q4 2026 Earnings Release (Projected)"]],"STX^CS_EVENT_DATEJ_N(\"ER\",3)":[[46414]],"STX^CS_EVENT_TIME_N(\"ER\",3)":[["Unspecified"]],"STX^CS_EVENT_DESC_N(\"ER\",3)":[["Q2 2027 Earnings Release (Projected)"]],"PTC^CS_EVENT_DATEJ_N(\"ER\",3)":[[46421]],"PTC^CS_EVENT_TIME_N(\"ER\",3)":[["Unspecified"]],"PTC^CS_EVENT_DESC_N(\"ER\",3)":[["Q1 2027 Earnings Release (Projected)"]],"CHRW^CS_EVENT_DATEJ_N(\"ER\",3)":[[46421]],"CHRW^CS_EVENT_TIME_N(\"ER\",3)":[["Unspecified"]],"CHRW^CS_EVENT_DESC_N(\"ER\",3)":[["Q4 2026 Earnings Release (Projected)"]],"LVS^CS_EVENT_DATEJ_N(\"ER\",3)":[[46414]],"LVS^CS_EVENT_TIME_N(\"ER\",3)":[["Unspecified"]],"LVS^CS_EVENT_DESC_N(\"ER\",3)":[["Q4 2026 Earnings Release (Projected)"]],"TEL^CS_EVENT_DATEJ_N(\"ER\",3)":[[46505]],"TEL^CS_EVENT_TIME_N(\"ER\",3)":[["Unspecified"]],"TEL^CS_EVENT_DESC_N(\"ER\",3)":[["Q2 2027 Earnings Release (Projected)"]],"META^CS_EVENT_DATEJ_N(\"ER\",3)":[[46421]],"META^CS_EVENT_TIME_N(\"ER\",3)":[["Unspecified"]],"META^CS_EVENT_DESC_N(\"ER\",3)":[["Q4 2026 Earnings Release (Projected)"]],"PSX^CS_EVENT_DATEJ_N(\"ER\",3)":[[46422]],"PSX^CS_EVENT_TIME_N(\"ER\",3)":[["Unspecified"]],"PSX^CS_EVENT_DESC_N(\"ER\",3)":[["Q4 2026 Earnings Release (Projected)"]],"NOW^CS_EVENT_DATEJ_N(\"ER\",3)":[[46414]],"NOW^CS_EVENT_TIME_N(\"ER\",3)":[["Unspecified"]],"NOW^CS_EVENT_DESC_N(\"ER\",3)":[["Q4 2026 Earnings Release (Projected)"]],"VICI^CS_EVENT_DATEJ_N(\"ER\",3)":[[46443]],"VICI^CS_EVENT_TIME_N(\"ER\",3)":[["Unspecified"]],"VICI^CS_EVENT_DESC_N(\"ER\",3)":[["Q4 2026 Earnings Release (Projected)"]],"VRT^CS_EVENT_DATEJ_N(\"ER\",3)":[[46442]],"VRT^CS_EVENT_TIME_N(\"ER\",3)":[["Unspecified"]],"VRT^CS_EVENT_DESC_N(\"ER\",3)":[["Q4 2026 Earnings Release (Projected)"]],"OTIS^CS_EVENT_DATEJ_N(\"ER\",3)":[[46421]],"OTIS^CS_EVENT_TIME_N(\"ER\",3)":[["Unspecified"]],"OTIS^CS_EVENT_DESC_N(\"ER\",3)":[["Q4 2026 Earnings Release (Projected)"]],"AES^CS_EVENT_DATEJ_N(\"ER\",3)":[[46447]],"AES^CS_EVENT_TIME_N(\"ER\",3)":[["Unspecified"]],"AES^CS_EVENT_DESC_N(\"ER\",3)":[["Q4 2026 Earnings Release (Projected)"]],"ED^CS_EVENT_DATEJ_N(\"ER\",3)":[[46436]],"ED^CS_EVENT_TIME_N(\"ER\",3)":[["Unspecified"]],"ED^CS_EVENT_DESC_N(\"ER\",3)":[["Q4 2026 Earnings Release (Projected)"]],"SO^CS_EVENT_DATEJ_N(\"ER\",3)":[[46436]],"SO^CS_EVENT_TIME_N(\"ER\",3)":[["Unspecified"]],"SO^CS_EVENT_DESC_N(\"ER\",3)":[["Q4 2026 Earnings Release (Projected)"]],"IP^CS_EVENT_DATEJ_N(\"ER\",3)":[[46422]],"IP^CS_EVENT_TIME_N(\"ER\",3)":[["Unspecified"]],"IP^CS_EVENT_DESC_N(\"ER\",3)":[["Q4 2026 Earnings Release (Projected)"]],"BAX^CS_EVENT_DATEJ_N(\"ER\",3)":[[46436]],"BAX^CS_EVENT_TIME_N(\"ER\",3)":[["Unspecified"]],"BAX^CS_EVENT_DESC_N(\"ER\",3)":[["Q4 2026 Earnings Release (Projected)"]],"MNST^CS_EVENT_DATEJ_N(\"ER\",3)":[[46450]],"MNST^CS_EVENT_TIME_N(\"ER\",3)":[["Unspecified"]],"MNST^CS_EVENT_DESC_N(\"ER\",3)":[["Q4 2026 Earnings Release (Projected)"]],"CAH^CS_EVENT_DATEJ_N(\"ER\",3)":[[46422]],"CAH^CS_EVENT_TIME_N(\"ER\",3)":[["Unspecified"]],"CAH^CS_EVENT_DESC_N(\"ER\",3)":[["Q2 2027 Earnings Release (Projected)"]],"LHX^CS_EVENT_DATEJ_N(\"ER\",3)":[[46415]],"LHX^CS_EVENT_TIME_N(\"ER\",3)":[["Unspecified"]],"LHX^CS_EVENT_DESC_N(\"ER\",3)":[["Q4 2026 Earnings Release (Projected)"]],"AIG^CS_EVENT_DATEJ_N(\"ER\",3)":[[46434]],"AIG^CS_EVENT_TIME_N(\"ER\",3)":[["Unspecified"]],"AIG^CS_EVENT_DESC_N(\"ER\",3)":[["Q4 2026 Earnings Release (Projected)"]],"LLY^CS_EVENT_DATEJ_N(\"ER\",3)":[[46428]],"LLY^CS_EVENT_TIME_N(\"ER\",3)":[["Unspecified"]],"LLY^CS_EVENT_DESC_N(\"ER\",3)":[["Q4 2026 Earnings Release (Projected)"]],"LH^CS_EVENT_DATEJ_N(\"ER\",3)":[[46429]],"LH^CS_EVENT_TIME_N(\"ER\",3)":[["Unspecified"]],"LH^CS_EVENT_DESC_N(\"ER\",3)":[["Q4 2026 Earnings Release (Projected)"]],"BMY^CS_EVENT_DATEJ_N(\"ER\",3)":[[46422]],"BMY^CS_EVENT_TIME_N(\"ER\",3)":[["Unspecified"]],"BMY^CS_EVENT_DESC_N(\"ER\",3)":[["Q4 2026 Earnings Release (Projected)"]],"LNT^CS_EVENT_DATEJ_N(\"ER\",3)":[[46436]],"LNT^CS_EVENT_TIME_N(\"ER\",3)":[["Unspecified"]],"LNT^CS_EVENT_DESC_N(\"ER\",3)":[["Q4 2026 Earnings Release (Projected)"]],"APD^CS_EVENT_DATEJ_N(\"ER\",3)":[[46422]],"APD^CS_EVENT_TIME_N(\"ER\",3)":[["Unspecified"]],"APD^CS_EVENT_DESC_N(\"ER\",3)":[["Q1 2027 Earnings Release (Projected)"]],"SRE^CS_EVENT_DATEJ_N(\"ER\",3)":[[46448]],"SRE^CS_EVENT_TIME_N(\"ER\",3)":[["Unspecified"]],"SRE^CS_EVENT_DESC_N(\"ER\",3)":[["Q4 2026 Earnings Release (Projected)"]],"PPL^CS_EVENT_DATEJ_N(\"ER\",3)":[[46430]],"PPL^CS_EVENT_TIME_N(\"ER\",3)":[["Unspecified"]],"PPL^CS_EVENT_DESC_N(\"ER\",3)":[["Q4 2026 Earnings Release (Projected)"]],"TXT^CS_EVENT_DATEJ_N(\"ER\",3)":[[46414]],"TXT^CS_EVENT_TIME_N(\"ER\",3)":[["Unspecified"]],"TXT^CS_EVENT_DESC_N(\"ER\",3)":[["Q4 2026 Earnings Release (Projected)"]],"AEE^CS_EVENT_DATEJ_N(\"ER\",3)":[[46436]],"AEE^CS_EVENT_TIME_N(\"ER\",3)":[["Unspecified"]],"AEE^CS_EVENT_DESC_N(\"ER\",3)":[["Q4 2026 Earnings Release (Projected)"]],"TRGP^CS_EVENT_DATEJ_N(\"ER\",3)":[[46513]],"TRGP^CS_EVENT_TIME_N(\"ER\",3)":[["Unspecified"]],"TRGP^CS_EVENT_DESC_N(\"ER\",3)":[["Q1 2027 Earnings Release (Projected)"]],"MTD^CS_EVENT_DATEJ_N(\"ER\",3)":[[46429]],"MTD^CS_EVENT_TIME_N(\"ER\",3)":[["Unspecified"]],"MTD^CS_EVENT_DESC_N(\"ER\",3)":[["Q4 2026 Earnings Release (Projected)"]],"APO^CS_EVENT_DATEJ_N(\"ER\",3)":[[46429]],"APO^CS_EVENT_TIME_N(\"ER\",3)":[["Unspecified"]],"APO^CS_EVENT_DESC_N(\"ER\",3)":[["Q4 2026 Earnings Release (Projected)"]],"D^CS_EVENT_DATEJ_N(\"ER\",3)":[[46423]],"D^CS_EVENT_TIME_N(\"ER\",3)":[["Unspecified"]],"D^CS_EVENT_DESC_N(\"ER\",3)":[["Q4 2026 Earnings Release (Projected)"]],"VLO^CS_EVENT_DATEJ_N(\"ER\",3)":[[46415]],"VLO^CS_EVENT_TIME_N(\"ER\",3)":[["Unspecified"]],"VLO^CS_EVENT_DESC_N(\"ER\",3)":[["Q4 2026 Earnings Release (Projected)"]],"PH^CS_EVENT_DATEJ_N(\"ER\",3)":[[46422]],"PH^CS_EVENT_TIME_N(\"ER\",3)":[["Unspecified"]],"PH^CS_EVENT_DESC_N(\"ER\",3)":[["Q2 2027 Earnings Release (Projected)"]],"AAPL^CS_EVENT_DATEJ_N(\"ER\",3)":[[46422]],"AAPL^CS_EVENT_TIME_N(\"ER\",3)":[["Unspecified"]],"AAPL^CS_EVENT_DESC_N(\"ER\",3)":[["Q1 2027 Earnings Release (Projected)"]],"WY^CS_EVENT_DATEJ_N(\"ER\",3)":[[46506]],"WY^CS_EVENT_TIME_N(\"ER\",3)":[["Unspecified"]],"WY^CS_EVENT_DESC_N(\"ER\",3)":[["Q1 2027 Earnings Release (Projected)"]],"PWR^CS_EVENT_DATEJ_N(\"ER\",3)":[[46513]],"PWR^CS_EVENT_TIME_N(\"ER\",3)":[["Unspecified"]],"PWR^CS_EVENT_DESC_N(\"ER\",3)":[["Q1 2027 Earnings Release (Projected)"]],"CTRA^CS_EVENT_DATEJ_N(\"ER\",3)":[[46324]],"CTRA^CS_EVENT_TIME_N(\"ER\",3)":[["Unspecified"]],"CTRA^CS_EVENT_DESC_N(\"ER\",3)":[["Q3 2026 Earnings Release (Projected)"]],"RCL^CS_EVENT_DATEJ_N(\"ER\",3)":[[46422]],"RCL^CS_EVENT_TIME_N(\"ER\",3)":[["Unspecified"]],"RCL^CS_EVENT_DESC_N(\"ER\",3)":[["Q4 2026 Earnings Release (Projected)"]],"BDX^CS_EVENT_DATEJ_N(\"ER\",3)":[[46422]],"BDX^CS_EVENT_TIME_N(\"ER\",3)":[["Unspecified"]],"BDX^CS_EVENT_DESC_N(\"ER\",3)":[["Q1 2027 Earnings Release (Projected)"]],"BALL^CS_EVENT_DATEJ_N(\"ER\",3)":[[46422]],"BALL^CS_EVENT_TIME_N(\"ER\",3)":[["Unspecified"]],"BALL^CS_EVENT_DESC_N(\"ER\",3)":[["Q4 2026 Earnings Release (Projected)"]],"CI^CS_EVENT_DATEJ_N(\"ER\",3)":[[46507]],"CI^CS_EVENT_TIME_N(\"ER\",3)":[["Unspecified"]],"CI^CS_EVENT_DESC_N(\"ER\",3)":[["Q1 2027 Earnings Release (Projected)"]],"HOLX^CS_EVENT_DATEJ_N(\"ER\",3)":[[46335]],"HOLX^CS_EVENT_TIME_N(\"ER\",3)":[["Unspecified"]],"HOLX^CS_EVENT_DESC_N(\"ER\",3)":[["Q4 2026 Earnings Release (Projected)"]],"IRM^CS_EVENT_DATEJ_N(\"ER\",3)":[[46443]],"IRM^CS_EVENT_TIME_N(\"ER\",3)":[["Unspecified"]],"IRM^CS_EVENT_DESC_N(\"ER\",3)":[["Q4 2026 Earnings Release (Projected)"]],"COP^CS_EVENT_DATEJ_N(\"ER\",3)":[[46429]],"COP^CS_EVENT_TIME_N(\"ER\",3)":[["Unspecified"]],"COP^CS_EVENT_DESC_N(\"ER\",3)":[["Q4 2026 Earnings Release (Projected)"]],"DVA^CS_EVENT_DATEJ_N(\"ER\",3)":[[46429]],"DVA^CS_EVENT_TIME_N(\"ER\",3)":[["Unspecified"]],"DVA^CS_EVENT_DESC_N(\"ER\",3)":[["Q4 2026 Earnings Release (Projected)"]],"MPWR^CS_EVENT_DATEJ_N(\"ER\",3)":[[46429]],"MPWR^CS_EVENT_TIME_N(\"ER\",3)":[["Unspecified"]],"MPWR^CS_EVENT_DESC_N(\"ER\",3)":[["Q4 2026 Earnings Release (Projected)"]],"MO^CS_EVENT_DATEJ_N(\"ER\",3)":[[46422]],"MO^CS_EVENT_TIME_N(\"ER\",3)":[["Unspecified"]],"MO^CS_EVENT_DESC_N(\"ER\",3)":[["Q4 2026 Earnings Release (Projected)"]],"PNW^CS_EVENT_DATEJ_N(\"ER\",3)":[[46513]],"PNW^CS_EVENT_TIME_N(\"ER\",3)":[["Unspecified"]],"PNW^CS_EVENT_DESC_N(\"ER\",3)":[["Q1 2027 Earnings Release (Projected)"]],"NRG^CS_EVENT_DATEJ_N(\"ER\",3)":[[46449]],"NRG^CS_EVENT_TIME_N(\"ER\",3)":[["Unspecified"]],"NRG^CS_EVENT_DESC_N(\"ER\",3)":[["Q4 2026 Earnings Release (Projected)"]],"GDDY^CS_EVENT_DATEJ_N(\"ER\",3)":[[46434]],"GDDY^CS_EVENT_TIME_N(\"ER\",3)":[["Unspecified"]],"GDDY^CS_EVENT_DESC_N(\"ER\",3)":[["Q4 2026 Earnings Release (Projected)"]],"MRK^CS_EVENT_DATEJ_N(\"ER\",3)":[[46422]],"MRK^CS_EVENT_TIME_N(\"ER\",3)":[["Unspecified"]],"MRK^CS_EVENT_DESC_N(\"ER\",3)":[["Q4 2026 Earnings Release (Projected)"]],"LYV^CS_EVENT_DATEJ_N(\"ER\",3)":[[46443]],"LYV^CS_EVENT_TIME_N(\"ER\",3)":[["Unspecified"]],"LYV^CS_EVENT_DESC_N(\"ER\",3)":[["Q4 2026 Earnings Release (Projected)"]],"BLDR^CS_EVENT_DATEJ_N(\"ER\",3)":[[46443]],"BLDR^CS_EVENT_TIME_N(\"ER\",3)":[["Unspecified"]],"BLDR^CS_EVENT_DESC_N(\"ER\",3)":[["Q4 2026 Earnings Release (Projected)"]],"FTNT^CS_EVENT_DATEJ_N(\"ER\",3)":[[46427]],"FTNT^CS_EVENT_TIME_N(\"ER\",3)":[["Unspecified"]],"FTNT^CS_EVENT_DESC_N(\"ER\",3)":[["Q4 2026 Earnings Release (Projected)"]],"EPAM^CS_EVENT_DATEJ_N(\"ER\",3)":[[46436]],"EPAM^CS_EVENT_TIME_N(\"ER\",3)":[["Unspecified"]],"EPAM^CS_EVENT_DESC_N(\"ER\",3)":[["Q4 2026 Earnings Release (Projected)"]],"PODD^CS_EVENT_DATEJ_N(\"ER\",3)":[[46443]],"PODD^CS_EVENT_TIME_N(\"ER\",3)":[["Unspecified"]],"PODD^CS_EVENT_DESC_N(\"ER\",3)":[["Q4 2026 Earnings Release (Projected)"]],"ZTS^CS_EVENT_DATEJ_N(\"ER\",3)":[[46434]],"ZTS^CS_EVENT_TIME_N(\"ER\",3)":[["Unspecified"]],"ZTS^CS_EVENT_DESC_N(\"ER\",3)":[["Q4 2026 Earnings Release (Projected)"]],"ICE^CS_EVENT_DATEJ_N(\"ER\",3)":[[46429]],"ICE^CS_EVENT_TIME_N(\"ER\",3)":[["Unspecified"]],"ICE^CS_EVENT_DESC_N(\"ER\",3)":[["Q4 2026 Earnings Release (Projected)"]],"CVNA^CS_EVENT_DATEJ_N(\"ER\",3)":[[46443]],"CVNA^CS_EVENT_TIME_N(\"ER\",3)":[["Unspecified"]],"CVNA^CS_EVENT_DESC_N(\"ER\",3)":[["Q4 2026 Earnings Release (Projected)"]],"MSI^CS_EVENT_DATEJ_N(\"ER\",3)":[[46429]],"MSI^CS_EVENT_TIME_N(\"ER\",3)":[["Unspecified"]],"MSI^CS_EVENT_DESC_N(\"ER\",3)":[["Q4 2026 Earnings Release (Projected)"]],"HII^CS_EVENT_DATEJ_N(\"ER\",3)":[[46429]],"HII^CS_EVENT_TIME_N(\"ER\",3)":[["Unspecified"]],"HII^CS_EVENT_DESC_N(\"ER\",3)":[["Q4 2026 Earnings Release (Projected)"]],"EXPE^CS_EVENT_DATEJ_N(\"ER\",3)":[[46429]],"EXPE^CS_EVENT_TIME_N(\"ER\",3)":[["Unspecified"]],"EXPE^CS_EVENT_DESC_N(\"ER\",3)":[["Q4 2026 Earnings Release (Projected)"]],"XYZ^CS_EVENT_DATEJ_N(\"ER\",3)":[[46443]],"XYZ^CS_EVENT_TIME_N(\"ER\",3)":[["Unspecified"]],"XYZ^CS_EVENT_DESC_N(\"ER\",3)":[["Q4 2026 Earnings Release (Projected)"]],"HWM^CS_EVENT_DATEJ_N(\"ER\",3)":[[46434]],"HWM^CS_EVENT_TIME_N(\"ER\",3)":[["Unspecified"]],"HWM^CS_EVENT_DESC_N(\"ER\",3)":[["Q4 2026 Earnings Release (Projected)"]],"SW^CS_EVENT_DATEJ_N(\"ER\",3)":[["@NA"]],"SW^CS_EVENT_TIME_N(\"ER\",3)":[["@NA"]],"SW^CS_EVENT_DESC_N(\"ER\",3)":[["@NA"]],"MRNA^CS_EVENT_DATEJ_N(\"ER\",3)":[[46443]],"MRNA^CS_EVENT_TIME_N(\"ER\",3)":[["Unspecified"]],"MRNA^CS_EVENT_DESC_N(\"ER\",3)":[["Q4 2026 Earnings Release (Projected)"]],"LIN^CS_EVENT_DATEJ_N(\"ER\",3)":[[46429]],"LIN^CS_EVENT_TIME_N(\"ER\",3)":[["Unspecified"]],"LIN^CS_EVENT_DESC_N(\"ER\",3)":[["Q4 2026 Earnings Release (Projected)"]],"DDOG^CS_EVENT_DATEJ_N(\"ER\",3)":[[46436]],"DDOG^CS_EVENT_TIME_N(\"ER\",3)":[["Unspecified"]],"DDOG^CS_EVENT_DESC_N(\"ER\",3)":[["Q4 2026 Earnings Release (Projected)"]],"DASH^CS_EVENT_DATEJ_N(\"ER\",3)":[[46436]],"DASH^CS_EVENT_TIME_N(\"ER\",3)":[["Unspecified"]],"DASH^CS_EVENT_DESC_N(\"ER\",3)":[["Q4 2026 Earnings Release (Projected)"]],"SNDK^CS_EVENT_DATEJ_N(\"ER\",3)":[[46519]],"SNDK^CS_EVENT_TIME_N(\"ER\",3)":[["Unspecified"]],"SNDK^CS_EVENT_DESC_N(\"ER\",3)":[["Q3 2027 Earnings Release (Projected)"]],"EVRG^CS_EVENT_DATEJ_N(\"ER\",3)":[[46437]],"EVRG^CS_EVENT_TIME_N(\"ER\",3)":[["Unspecified"]],"EVRG^CS_EVENT_DESC_N(\"ER\",3)":[["Q4 2026 Earnings Release (Projected)"]],"FRT^CS_EVENT_DATEJ_N(\"ER\",3)":[[46429]],"FRT^CS_EVENT_TIME_N(\"ER\",3)":[["Unspecified"]],"FRT^CS_EVENT_DESC_N(\"ER\",3)":[["Q4 2026 Earnings Release (Projected)"]],"CL^CS_EVENT_DATEJ_N(\"ER\",3)":[[46409]],"CL^CS_EVENT_TIME_N(\"ER\",3)":[["Unspecified"]],"CL^CS_EVENT_DESC_N(\"ER\",3)":[["Q4 2026 Earnings Release (Projected)"]],"EL^CS_EVENT_DATEJ_N(\"ER\",3)":[[46422]],"EL^CS_EVENT_TIME_N(\"ER\",3)":[["Unspecified"]],"EL^CS_EVENT_DESC_N(\"ER\",3)":[["Q2 2027 Earnings Release (Projected)"]],"CHD^CS_EVENT_DATEJ_N(\"ER\",3)":[[46416]],"CHD^CS_EVENT_TIME_N(\"ER\",3)":[["Unspecified"]],"CHD^CS_EVENT_DESC_N(\"ER\",3)":[["Q4 2026 Earnings Release (Projected)"]],"CBOE^CS_EVENT_DATEJ_N(\"ER\",3)":[[46416]],"CBOE^CS_EVENT_TIME_N(\"ER\",3)":[["Unspecified"]],"CBOE^CS_EVENT_DESC_N(\"ER\",3)":[["Q4 2026 Earnings Release (Projected)"]],"JCI^CS_EVENT_DATEJ_N(\"ER\",3)":[[46421]],"JCI^CS_EVENT_TIME_N(\"ER\",3)":[["Unspecified"]],"JCI^CS_EVENT_DESC_N(\"ER\",3)":[["Q1 2027 Earnings Release (Projected)"]],"WEC^CS_EVENT_DATEJ_N(\"ER\",3)":[[46422]],"WEC^CS_EVENT_TIME_N(\"ER\",3)":[["Unspecified"]],"WEC^CS_EVENT_DESC_N(\"ER\",3)":[["Q4 2026 Earnings Release (Projected)"]],"BEN^CS_EVENT_DATEJ_N(\"ER\",3)":[[46419]],"BEN^CS_EVENT_TIME_N(\"ER\",3)":[["Unspecified"]],"BEN^CS_EVENT_DESC_N(\"ER\",3)":[["Q1 2027 Earnings Release (Projected)"]],"WMB^CS_EVENT_DATEJ_N(\"ER\",3)":[[46440]],"WMB^CS_EVENT_TIME_N(\"ER\",3)":[["Unspecified"]],"WMB^CS_EVENT_DESC_N(\"ER\",3)":[["Q4 2026 Earnings Release (Projected)"]],"SBAC^CS_EVENT_DATEJ_N(\"ER\",3)":[[46447]],"SBAC^CS_EVENT_TIME_N(\"ER\",3)":[["Unspecified"]],"SBAC^CS_EVENT_DESC_N(\"ER\",3)":[["Q4 2026 Earnings Release (Projected)"]],"WELL^CS_EVENT_DATEJ_N(\"ER\",3)":[[46434]],"WELL^CS_EVENT_TIME_N(\"ER\",3)":[["Unspecified"]],"WELL^CS_EVENT_DESC_N(\"ER\",3)":[["Q4 2026 Earnings Release (Projected)"]],"L^CS_EVENT_DATEJ_N(\"ER\",3)":[[46426]],"L^CS_EVENT_TIME_N(\"ER\",3)":[["Unspecified"]],"L^CS_EVENT_DESC_N(\"ER\",3)":[["Q4 2026 Earnings Release (Projected)"]],"ON^CS_EVENT_DATEJ_N(\"ER\",3)":[[46510]],"ON^CS_EVENT_TIME_N(\"ER\",3)":[["Unspecified"]],"ON^CS_EVENT_DESC_N(\"ER\",3)":[["Q1 2027 Earnings Release (Projected)"]],"GPN^CS_EVENT_DATEJ_N(\"ER\",3)":[[46429]],"GPN^CS_EVENT_TIME_N(\"ER\",3)":[["Unspecified"]],"GPN^CS_EVENT_DESC_N(\"ER\",3)":[["Q4 2026 Earnings Release (Projected)"]],"FFIV^CS_EVENT_DATEJ_N(\"ER\",3)":[[46413]],"FFIV^CS_EVENT_TIME_N(\"ER\",3)":[["Unspecified"]],"FFIV^CS_EVENT_DESC_N(\"ER\",3)":[["Q1 2027 Earnings Release (Projected)"]],"RVTY^CS_EVENT_DATEJ_N(\"ER\",3)":[[46422]],"RVTY^CS_EVENT_TIME_N(\"ER\",3)":[["Unspecified"]],"RVTY^CS_EVENT_DESC_N(\"ER\",3)":[["Q4 2026 Earnings Release (Projected)"]],"BRK.B^CS_EVENT_DATEJ_N(\"ER\",3)":[[46440]],"BRK.B^CS_EVENT_TIME_N(\"ER\",3)":[["Unspecified"]],"BRK.B^CS_EVENT_DESC_N(\"ER\",3)":[["Q4 2026 Earnings Release (Projected)"]],"ANET^CS_EVENT_DATEJ_N(\"ER\",3)":[[46433]],"ANET^CS_EVENT_TIME_N(\"ER\",3)":[["Unspecified"]],"ANET^CS_EVENT_DESC_N(\"ER\",3)":[["Q4 2026 Earnings Release (Projected)"]],"FANG^CS_EVENT_DATEJ_N(\"ER\",3)":[[46441]],"FANG^CS_EVENT_TIME_N(\"ER\",3)":[["Unspecified"]],"FANG^CS_EVENT_DESC_N(\"ER\",3)":[["Q4 2026 Earnings Release (Projected)"]],"PRU^CS_EVENT_DATEJ_N(\"ER\",3)":[[46427]],"PRU^CS_EVENT_TIME_N(\"ER\",3)":[["Unspecified"]],"PRU^CS_EVENT_DESC_N(\"ER\",3)":[["Q4 2026 Earnings Release (Projected)"]],"AME^CS_EVENT_DATEJ_N(\"ER\",3)":[[46422]],"AME^CS_EVENT_TIME_N(\"ER\",3)":[["Unspecified"]],"AME^CS_EVENT_DESC_N(\"ER\",3)":[["Q4 2026 Earnings Release (Projected)"]],"MLM^CS_EVENT_DATEJ_N(\"ER\",3)":[[46435]],"MLM^CS_EVENT_TIME_N(\"ER\",3)":[["Unspecified"]],"MLM^CS_EVENT_DESC_N(\"ER\",3)":[["Q4 2026 Earnings Release (Projected)"]],"ITW^CS_EVENT_DATEJ_N(\"ER\",3)":[[46422]],"ITW^CS_EVENT_TIME_N(\"ER\",3)":[["Unspecified"]],"ITW^CS_EVENT_DESC_N(\"ER\",3)":[["Q4 2026 Earnings Release (Projected)"]],"SBUX^CS_EVENT_DATEJ_N(\"ER\",3)":[[46420]],"SBUX^CS_EVENT_TIME_N(\"ER\",3)":[["Unspecified"]],"SBUX^CS_EVENT_DESC_N(\"ER\",3)":[["Q1 2027 Earnings Release (Projected)"]],"GLW^CS_EVENT_DATEJ_N(\"ER\",3)":[[46421]],"GLW^CS_EVENT_TIME_N(\"ER\",3)":[["Unspecified"]],"GLW^CS_EVENT_DESC_N(\"ER\",3)":[["Q4 2026 Earnings Release (Projected)"]],"CLX^CS_EVENT_DATEJ_N(\"ER\",3)":[[46422]],"CLX^CS_EVENT_TIME_N(\"ER\",3)":[["Unspecified"]],"CLX^CS_EVENT_DESC_N(\"ER\",3)":[["Q2 2027 Earnings Release (Projected)"]],"DVN^CS_EVENT_DATEJ_N(\"ER\",3)":[[46434]],"DVN^CS_EVENT_TIME_N(\"ER\",3)":[["Unspecified"]],"DVN^CS_EVENT_DESC_N(\"ER\",3)":[["Q4 2026 Earnings Release (Projected)"]],"SWKS^CS_EVENT_DATEJ_N(\"ER\",3)":[[46427]],"SWKS^CS_EVENT_TIME_N(\"ER\",3)":[["Unspecified"]],"SWKS^CS_EVENT_DESC_N(\"ER\",3)":[["Q1 2027 Earnings Release (Projected)"]],"OKE^CS_EVENT_DATEJ_N(\"ER\",3)":[[46447]],"OKE^CS_EVENT_TIME_N(\"ER\",3)":[["Unspecified"]],"OKE^CS_EVENT_DESC_N(\"ER\",3)":[["Q4 2026 Earnings Release (Projected)"]],"BXP^CS_EVENT_DATEJ_N(\"ER\",3)":[["@NA"]],"BXP^CS_EVENT_TIME_N(\"ER\",3)":[["@NA"]],"BXP^CS_EVENT_DESC_N(\"ER\",3)":[["@NA"]],"SYY^CS_EVENT_DATEJ_N(\"ER\",3)":[[46420]],"SYY^CS_EVENT_TIME_N(\"ER\",3)":[["Unspecified"]],"SYY^CS_EVENT_DESC_N(\"ER\",3)":[["Q2 2027 Earnings Release (Projected)"]],"ETN^CS_EVENT_DATEJ_N(\"ER\",3)":[[46511]],"ETN^CS_EVENT_TIME_N(\"ER\",3)":[["Unspecified"]],"ETN^CS_EVENT_DESC_N(\"ER\",3)":[["Q1 2027 Earnings Release (Projected)"]],"PEG^CS_EVENT_DATEJ_N(\"ER\",3)":[[46443]],"PEG^CS_EVENT_TIME_N(\"ER\",3)":[["Unspecified"]],"PEG^CS_EVENT_DESC_N(\"ER\",3)":[["Q4 2026 Earnings Release (Projected)"]],"AMD^CS_EVENT_DATEJ_N(\"ER\",3)":[[46420]],"AMD^CS_EVENT_TIME_N(\"ER\",3)":[["Unspecified"]],"AMD^CS_EVENT_DESC_N(\"ER\",3)":[["Q4 2026 Earnings Release (Projected)"]],"AIZ^CS_EVENT_DATEJ_N(\"ER\",3)":[[46427]],"AIZ^CS_EVENT_TIME_N(\"ER\",3)":[["Unspecified"]],"AIZ^CS_EVENT_DESC_N(\"ER\",3)":[["Q4 2026 Earnings Release (Projected)"]],"INCY^CS_EVENT_DATEJ_N(\"ER\",3)":[[46427]],"INCY^CS_EVENT_TIME_N(\"ER\",3)":[["Unspecified"]],"INCY^CS_EVENT_DESC_N(\"ER\",3)":[["Q4 2026 Earnings Release (Projected)"]],"PSA^CS_EVENT_DATEJ_N(\"ER\",3)":[[46441]],"PSA^CS_EVENT_TIME_N(\"ER\",3)":[["Unspecified"]],"PSA^CS_EVENT_DESC_N(\"ER\",3)":[["Q4 2026 Earnings Release (Projected)"]],"EA^CS_EVENT_DATEJ_N(\"ER\",3)":[[46420]],"EA^CS_EVENT_TIME_N(\"ER\",3)":[["Unspecified"]],"EA^CS_EVENT_DESC_N(\"ER\",3)":[["Q3 2027 Earnings Release (Projected)"]],"PFE^CS_EVENT_DATEJ_N(\"ER\",3)":[[46511]],"PFE^CS_EVENT_TIME_N(\"ER\",3)":[["Unspecified"]],"PFE^CS_EVENT_DESC_N(\"ER\",3)":[["Q1 2027 Earnings Release (Projected)"]],"CMI^CS_EVENT_DATEJ_N(\"ER\",3)":[[46427]],"CMI^CS_EVENT_TIME_N(\"ER\",3)":[["Unspecified"]],"CMI^CS_EVENT_DESC_N(\"ER\",3)":[["Q4 2026 Earnings Release (Projected)"]],"ROK^CS_EVENT_DATEJ_N(\"ER\",3)":[[46415]],"ROK^CS_EVENT_TIME_N(\"ER\",3)":[["Unspecified"]],"ROK^CS_EVENT_DESC_N(\"ER\",3)":[["Q1 2027 Earnings Release (Projected)"]],"EOG^CS_EVENT_DATEJ_N(\"ER\",3)":[[46443]],"EOG^CS_EVENT_TIME_N(\"ER\",3)":[["Unspecified"]],"EOG^CS_EVENT_DESC_N(\"ER\",3)":[["Q4 2026 Earnings Release (Projected)"]],"ZBH^CS_EVENT_DATEJ_N(\"ER\",3)":[[46429]],"ZBH^CS_EVENT_TIME_N(\"ER\",3)":[["Unspecified"]],"ZBH^CS_EVENT_DESC_N(\"ER\",3)":[["Q4 2026 Earnings Release (Projected)"]],"LDOS^CS_EVENT_DATEJ_N(\"ER\",3)":[[46434]],"LDOS^CS_EVENT_TIME_N(\"ER\",3)":[["Unspecified"]],"LDOS^CS_EVENT_DESC_N(\"ER\",3)":[["Q4 2026 Earnings Release (Projected)"]],"KKR^CS_EVENT_DATEJ_N(\"ER\",3)":[[46427]],"KKR^CS_EVENT_TIME_N(\"ER\",3)":[["Unspecified"]],"KKR^CS_EVENT_DESC_N(\"ER\",3)":[["Q4 2026 Earnings Release (Projected)"]],"VRSK^CS_EVENT_DATEJ_N(\"ER\",3)":[[46441]],"VRSK^CS_EVENT_TIME_N(\"ER\",3)":[["Unspecified"]],"VRSK^CS_EVENT_DESC_N(\"ER\",3)":[["Q4 2026 Earnings Release (Projected)"]],"TAP^CS_EVENT_DATEJ_N(\"ER\",3)":[[46442]],"TAP^CS_EVENT_TIME_N(\"ER\",3)":[["Unspecified"]],"TAP^CS_EVENT_DESC_N(\"ER\",3)":[["Q4 2026 Earnings Release (Projected)"]],"SMCI^CS_EVENT_DATEJ_N(\"ER\",3)":[[46420]],"SMCI^CS_EVENT_TIME_N(\"ER\",3)":[["Unspecified"]],"SMCI^CS_EVENT_DESC_N(\"ER\",3)":[["Q2 2027 Earnings Release (Projected)"]],"BR^CS_EVENT_DATEJ_N(\"ER\",3)":[[46422]],"BR^CS_EVENT_TIME_N(\"ER\",3)":[["Unspecified"]],"BR^CS_EVENT_DESC_N(\"ER\",3)":[["Q2 2027 Earnings Release (Projected)"]],"MPC^CS_EVENT_DATEJ_N(\"ER\",3)":[[46511]],"MPC^CS_EVENT_TIME_N(\"ER\",3)":[["Unspecified"]],"MPC^CS_EVENT_DESC_N(\"ER\",3)":[["Q1 2027 Earnings Release (Projected)"]],"PYPL^CS_EVENT_DATEJ_N(\"ER\",3)":[[46427]],"PYPL^CS_EVENT_TIME_N(\"ER\",3)":[["Unspecified"]],"PYPL^CS_EVENT_DESC_N(\"ER\",3)":[["Q4 2026 Earnings Release (Projected)"]],"INVH^CS_EVENT_DATEJ_N(\"ER\",3)":[[46434]],"INVH^CS_EVENT_TIME_N(\"ER\",3)":[["Unspecified"]],"INVH^CS_EVENT_DESC_N(\"ER\",3)":[["Q4 2026 Earnings Release (Projected)"]],"APTV^CS_EVENT_DATEJ_N(\"ER\",3)":[[46428]],"APTV^CS_EVENT_TIME_N(\"ER\",3)":[["Unspecified"]],"APTV^CS_EVENT_DESC_N(\"ER\",3)":[["Q4 2026 Earnings Release (Projected)"]],"CTVA^CS_EVENT_DATEJ_N(\"ER\",3)":[[46512]],"CTVA^CS_EVENT_TIME_N(\"ER\",3)":[["Unspecified"]],"CTVA^CS_EVENT_DESC_N(\"ER\",3)":[["Q1 2027 Earnings Release (Projected)"]],"DD^CS_EVENT_DATEJ_N(\"ER\",3)":[[46427]],"DD^CS_EVENT_TIME_N(\"ER\",3)":[["Unspecified"]],"DD^CS_EVENT_DESC_N(\"ER\",3)":[["Q4 2026 Earnings Release (Projected)"]],"AMCR^CS_EVENT_DATEJ_N(\"ER\",3)":[[46427]],"AMCR^CS_EVENT_TIME_N(\"ER\",3)":[["Unspecified"]],"AMCR^CS_EVENT_DESC_N(\"ER\",3)":[["Q2 2027 Earnings Release (Projected)"]],"EXE^CS_EVENT_DATEJ_N(\"ER\",3)":[[46449]],"EXE^CS_EVENT_TIME_N(\"ER\",3)":[["Unspecified"]],"EXE^CS_EVENT_DESC_N(\"ER\",3)":[["Q4 2026 Earnings Release (Projected)"]],"MAR^CS_EVENT_DATEJ_N(\"ER\",3)":[[46434]],"MAR^CS_EVENT_TIME_N(\"ER\",3)":[["Unspecified"]],"MAR^CS_EVENT_DESC_N(\"ER\",3)":[["Q4 2026 Earnings Release (Projected)"]],"VMC^CS_EVENT_DATEJ_N(\"ER\",3)":[[46436]],"VMC^CS_EVENT_TIME_N(\"ER\",3)":[["Unspecified"]],"VMC^CS_EVENT_DESC_N(\"ER\",3)":[["Q4 2026 Earnings Release (Projected)"]],"TECH^CS_EVENT_DATEJ_N(\"ER\",3)":[[46420]],"TECH^CS_EVENT_TIME_N(\"ER\",3)":[["Unspecified"]],"TECH^CS_EVENT_DESC_N(\"ER\",3)":[["Q2 2027 Earnings Release (Projected)"]],"QCOM^CS_EVENT_DATEJ_N(\"ER\",3)":[[46421]],"QCOM^CS_EVENT_TIME_N(\"ER\",3)":[["Unspecified"]],"QCOM^CS_EVENT_DESC_N(\"ER\",3)":[["Q1 2027 Earnings Release (Projected)"]],"ES^CS_EVENT_DATEJ_N(\"ER\",3)":[[46435]],"ES^CS_EVENT_TIME_N(\"ER\",3)":[["Unspecified"]],"ES^CS_EVENT_DESC_N(\"ER\",3)":[["Q4 2026 Earnings Release (Projected)"]],"FICO^CS_EVENT_DATEJ_N(\"ER\",3)":[[46415]],"FICO^CS_EVENT_TIME_N(\"ER\",3)":[["Unspecified"]],"FICO^CS_EVENT_DESC_N(\"ER\",3)":[["Q1 2027 Earnings Release (Projected)"]],"BIIB^CS_EVENT_DATEJ_N(\"ER\",3)":[[46435]],"BIIB^CS_EVENT_TIME_N(\"ER\",3)":[["Unspecified"]],"BIIB^CS_EVENT_DESC_N(\"ER\",3)":[["Q4 2026 Earnings Release (Projected)"]],"O^CS_EVENT_DATEJ_N(\"ER\",3)":[[46441]],"O^CS_EVENT_TIME_N(\"ER\",3)":[["Unspecified"]],"O^CS_EVENT_DESC_N(\"ER\",3)":[["Q4 2026 Earnings Release (Projected)"]],"TRMB^CS_EVENT_DATEJ_N(\"ER\",3)":[[46428]],"TRMB^CS_EVENT_TIME_N(\"ER\",3)":[["Unspecified"]],"TRMB^CS_EVENT_DESC_N(\"ER\",3)":[["Q4 2026 Earnings Release (Projected)"]],"ALB^CS_EVENT_DATEJ_N(\"ER\",3)":[[46435]],"ALB^CS_EVENT_TIME_N(\"ER\",3)":[["Unspecified"]],"ALB^CS_EVENT_DESC_N(\"ER\",3)":[["Q4 2026 Earnings Release (Projected)"]],"YUM^CS_EVENT_DATEJ_N(\"ER\",3)":[[46428]],"YUM^CS_EVENT_TIME_N(\"ER\",3)":[["Unspecified"]],"YUM^CS_EVENT_DESC_N(\"ER\",3)":[["Q4 2026 Earnings Release (Projected)"]],"TT^CS_EVENT_DATEJ_N(\"ER\",3)":[[46512]],"TT^CS_EVENT_TIME_N(\"ER\",3)":[["Unspecified"]],"TT^CS_EVENT_DESC_N(\"ER\",3)":[["Q1 2027 Earnings Release (Projected)"]],"HST^CS_EVENT_DATEJ_N(\"ER\",3)":[[46442]],"HST^CS_EVENT_TIME_N(\"ER\",3)":[["Unspecified"]],"HST^CS_EVENT_DESC_N(\"ER\",3)":[["Q4 2026 Earnings Release (Projected)"]],"CTSH^CS_EVENT_DATEJ_N(\"ER\",3)":[[46428]],"CTSH^CS_EVENT_TIME_N(\"ER\",3)":[["Unspecified"]],"CTSH^CS_EVENT_DESC_N(\"ER\",3)":[["Q4 2026 Earnings Release (Projected)"]],"AEP^CS_EVENT_DATEJ_N(\"ER\",3)":[[46443]],"AEP^CS_EVENT_TIME_N(\"ER\",3)":[["Unspecified"]],"AEP^CS_EVENT_DESC_N(\"ER\",3)":[["Q4 2026 Earnings Release (Projected)"]],"SYK^CS_EVENT_DATEJ_N(\"ER\",3)":[[46420]],"SYK^CS_EVENT_TIME_N(\"ER\",3)":[["Unspecified"]],"SYK^CS_EVENT_DESC_N(\"ER\",3)":[["Q4 2026 Earnings Release (Projected)"]],"GL^CS_EVENT_DATEJ_N(\"ER\",3)":[[46428]],"GL^CS_EVENT_TIME_N(\"ER\",3)":[["Unspecified"]],"GL^CS_EVENT_DESC_N(\"ER\",3)":[["Q4 2026 Earnings Release (Projected)"]],"EBAY^CS_EVENT_DATEJ_N(\"ER\",3)":[[46442]],"EBAY^CS_EVENT_TIME_N(\"ER\",3)":[["Unspecified"]],"EBAY^CS_EVENT_DESC_N(\"ER\",3)":[["Q4 2026 Earnings Release (Projected)"]],"EMR^CS_EVENT_DATEJ_N(\"ER\",3)":[[46428]],"EMR^CS_EVENT_TIME_N(\"ER\",3)":[["Unspecified"]],"EMR^CS_EVENT_DESC_N(\"ER\",3)":[["Q1 2027 Earnings Release (Projected)"]],"COR^CS_EVENT_DATEJ_N(\"ER\",3)":[[46421]],"COR^CS_EVENT_TIME_N(\"ER\",3)":[["Unspecified"]],"COR^CS_EVENT_DESC_N(\"ER\",3)":[["Q1 2027 Earnings Release (Projected)"]],"VTR^CS_EVENT_DATEJ_N(\"ER\",3)":[[46435]],"VTR^CS_EVENT_TIME_N(\"ER\",3)":[["Unspecified"]],"VTR^CS_EVENT_DESC_N(\"ER\",3)":[["Q4 2026 Earnings Release (Projected)"]],"IDXX^CS_EVENT_DATEJ_N(\"ER\",3)":[[46512]],"IDXX^CS_EVENT_TIME_N(\"ER\",3)":[["Unspecified"]],"IDXX^CS_EVENT_DESC_N(\"ER\",3)":[["Q1 2027 Earnings Release (Projected)"]],"TPL^CS_EVENT_DATEJ_N(\"ER\",3)":[[46442]],"TPL^CS_EVENT_TIME_N(\"ER\",3)":[["Unspecified"]],"TPL^CS_EVENT_DESC_N(\"ER\",3)":[["Q4 2026 Earnings Release (Projected)"]],"APA^CS_EVENT_DATEJ_N(\"ER\",3)":[[46512]],"APA^CS_EVENT_TIME_N(\"ER\",3)":[["Unspecified"]],"APA^CS_EVENT_DESC_N(\"ER\",3)":[["Q1 2027 Earnings Release (Projected)"]],"RSG^CS_EVENT_DATEJ_N(\"ER\",3)":[[46441]],"RSG^CS_EVENT_TIME_N(\"ER\",3)":[["Unspecified"]],"RSG^CS_EVENT_DESC_N(\"ER\",3)":[["Q4 2026 Earnings Release (Projected)"]],"MET^CS_EVENT_DATEJ_N(\"ER\",3)":[[46421]],"MET^CS_EVENT_TIME_N(\"ER\",3)":[["Unspecified"]],"MET^CS_EVENT_DESC_N(\"ER\",3)":[["Q4 2026 Earnings Release (Projected)"]],"CVS^CS_EVENT_DATEJ_N(\"ER\",3)":[[46435]],"CVS^CS_EVENT_TIME_N(\"ER\",3)":[["Unspecified"]],"CVS^CS_EVENT_DESC_N(\"ER\",3)":[["Q4 2026 Earnings Release (Projected)"]],"VRTX^CS_EVENT_DATEJ_N(\"ER\",3)":[[46427]],"VRTX^CS_EVENT_TIME_N(\"ER\",3)":[["Unspecified"]],"VRTX^CS_EVENT_DESC_N(\"ER\",3)":[["Q4 2026 Earnings Release (Projected)"]],"TECH^CS_EVENT_DATEJ_N(\"ER\",2)":[[46329]],"TECH^CS_EVENT_TIME_N(\"ER\",2)":[["Unspecified"]],"APO^CS_EVENT_DATEJ_N(\"ER\",2)":[[46330]],"APO^CS_EVENT_TIME_N(\"ER\",2)":[["Unspecified"]],"PCAR^CS_EVENT_DATEJ_N(\"ER\",3)":[[46504]],"PCAR^CS_EVENT_TIME_N(\"ER\",3)":[["Unspecified"]],"PCAR^CS_EVENT_DESC_N(\"ER\",3)":[["Q1 2027 Earnings Release (Projected)"]],"SPGI^CS_EVENT_DATEJ_N(\"ER\",3)":[[46427]],"SPGI^CS_EVENT_TIME_N(\"ER\",3)":[["Unspecified"]],"SPGI^CS_EVENT_DESC_N(\"ER\",3)":[["Q4 2026 Earnings Release (Projected)"]],"SHW^CS_EVENT_DATEJ_N(\"ER\",3)":[[46415]],"SHW^CS_EVENT_TIME_N(\"ER\",3)":[["Unspecified"]],"SHW^CS_EVENT_DESC_N(\"ER\",3)":[["Q4 2026 Earnings Release (Projected)"]],"ECL^CS_EVENT_DATEJ_N(\"ER\",3)":[[46434]],"ECL^CS_EVENT_TIME_N(\"ER\",3)":[["Unspecified"]],"ECL^CS_EVENT_DESC_N(\"ER\",3)":[["Q4 2026 Earnings Release (Projected)"]],"EIX^CS_EVENT_DATEJ_N(\"ER\",3)":[[46443]],"EIX^CS_EVENT_TIME_N(\"ER\",3)":[["Unspecified"]],"EIX^CS_EVENT_DESC_N(\"ER\",3)":[["Q4 2026 Earnings Release (Projected)"]],"UPS^CS_EVENT_DATEJ_N(\"ER\",3)":[[46504]],"UPS^CS_EVENT_TIME_N(\"ER\",3)":[["Unspecified"]],"UPS^CS_EVENT_DESC_N(\"ER\",3)":[["Q1 2027 Earnings Release (Projected)"]],"ACGL^CS_EVENT_DATEJ_N(\"ER\",3)":[[46433]],"ACGL^CS_EVENT_TIME_N(\"ER\",3)":[["Unspecified"]],"ACGL^CS_EVENT_DESC_N(\"ER\",3)":[["Q4 2026 Earnings Release (Projected)"]],"KMB^CS_EVENT_DATEJ_N(\"ER\",3)":[[46414]],"KMB^CS_EVENT_TIME_N(\"ER\",3)":[["Unspecified"]],"KMB^CS_EVENT_DESC_N(\"ER\",3)":[["Q4 2026 Earnings Release (Projected)"]],"PEP^CS_EVENT_DATEJ_N(\"ER\",3)":[[46429]],"PEP^CS_EVENT_TIME_N(\"ER\",3)":[["Unspecified"]],"PEP^CS_EVENT_DESC_N(\"ER\",3)":[["Q4 2026 Earnings Release (Projected)"]],"HUBB^CS_EVENT_DATEJ_N(\"ER\",3)":[[46420]],"HUBB^CS_EVENT_TIME_N(\"ER\",3)":[["Unspecified"]],"HUBB^CS_EVENT_DESC_N(\"ER\",3)":[["Q4 2026 Earnings Release (Projected)"]],"ADM^CS_EVENT_DATEJ_N(\"ER\",3)":[[46413]],"ADM^CS_EVENT_TIME_N(\"ER\",3)":[["Unspecified"]],"ADM^CS_EVENT_DESC_N(\"ER\",3)":[["Q4 2026 Earnings Release (Projected)"]],"BKNG^CS_EVENT_DATEJ_N(\"ER\",3)":[[46443]],"BKNG^CS_EVENT_TIME_N(\"ER\",3)":[["Unspecified"]],"BKNG^CS_EVENT_DESC_N(\"ER\",3)":[["Q4 2026 Earnings Release (Projected)"]],"MSCI^CS_EVENT_DATEJ_N(\"ER\",3)":[[46413]],"MSCI^CS_EVENT_TIME_N(\"ER\",3)":[["6:45 AM"]],"MSCI^CS_EVENT_DESC_N(\"ER\",3)":[["Q4 2026 Earnings Release"]],"GOOGL^CS_EVENT_DATEJ_N(\"ER\",3)":[[46420]],"GOOGL^CS_EVENT_TIME_N(\"ER\",3)":[["Unspecified"]],"GOOGL^CS_EVENT_DESC_N(\"ER\",3)":[["Q4 2026 Earnings Release (Projected)"]],"GM^CS_EVENT_DATEJ_N(\"ER\",3)":[[46420]],"GM^CS_EVENT_TIME_N(\"ER\",3)":[["Unspecified"]],"GM^CS_EVENT_DESC_N(\"ER\",3)":[["Q4 2026 Earnings Release (Projected)"]],"NEE^CS_EVENT_DATEJ_N(\"ER\",3)":[[46413]],"NEE^CS_EVENT_TIME_N(\"ER\",3)":[["Unspecified"]],"NEE^CS_EVENT_DESC_N(\"ER\",3)":[["Q4 2026 Earnings Release (Projected)"]],"NXPI^CS_EVENT_DATEJ_N(\"ER\",3)":[[46419]],"NXPI^CS_EVENT_TIME_N(\"ER\",3)":[["Unspecified"]],"NXPI^CS_EVENT_DESC_N(\"ER\",3)":[["Q4 2026 Earnings Release (Projected)"]],"MDLZ^CS_EVENT_DATEJ_N(\"ER\",3)":[[46415]],"MDLZ^CS_EVENT_TIME_N(\"ER\",3)":[["Unspecified"]],"MDLZ^CS_EVENT_DESC_N(\"ER\",3)":[["Q4 2026 Earnings Release (Projected)"]],"TSLA^CS_EVENT_DATEJ_N(\"ER\",3)":[[46421]],"TSLA^CS_EVENT_TIME_N(\"ER\",3)":[["Unspecified"]],"TSLA^CS_EVENT_DESC_N(\"ER\",3)":[["Q4 2026 Earnings Release (Projected)"]],"GOOG^CS_EVENT_DATEJ_N(\"ER\",3)":[[46420]],"GOOG^CS_EVENT_TIME_N(\"ER\",3)":[["Unspecified"]],"GOOG^CS_EVENT_DESC_N(\"ER\",3)":[["Q4 2026 Earnings Release (Projected)"]],"HLT^CS_EVENT_DATEJ_N(\"ER\",3)":[[46435]],"HLT^CS_EVENT_TIME_N(\"ER\",3)":[["Unspecified"]],"HLT^CS_EVENT_DESC_N(\"ER\",3)":[["Q4 2026 Earnings Release (Projected)"]],"IVZ^CS_EVENT_DATEJ_N(\"ER\",3)":[[46413]],"IVZ^CS_EVENT_TIME_N(\"ER\",3)":[["Unspecified"]],"IVZ^CS_EVENT_DESC_N(\"ER\",3)":[["Q4 2026 Earnings Release (Projected)"]],"EXR^CS_EVENT_DATEJ_N(\"ER\",3)":[[46442]],"EXR^CS_EVENT_TIME_N(\"ER\",3)":[["Unspecified"]],"EXR^CS_EVENT_DESC_N(\"ER\",3)":[["Q4 2026 Earnings Release (Projected)"]],"TMUS^CS_EVENT_DATEJ_N(\"ER\",3)":[[46421]],"TMUS^CS_EVENT_TIME_N(\"ER\",3)":[["Unspecified"]],"TMUS^CS_EVENT_DESC_N(\"ER\",3)":[["Q4 2026 Earnings Release (Projected)"]],"UDR^CS_EVENT_DATEJ_N(\"ER\",3)":[[46427]],"UDR^CS_EVENT_TIME_N(\"ER\",3)":[["Unspecified"]],"UDR^CS_EVENT_DESC_N(\"ER\",3)":[["Q4 2026 Earnings Release (Projected)"]],"V^CS_EVENT_DATEJ_N(\"ER\",3)":[[46415]],"V^CS_EVENT_TIME_N(\"ER\",3)":[["Unspecified"]],"V^CS_EVENT_DESC_N(\"ER\",3)":[["Q1 2027 Earnings Release (Projected)"]],"PNR^CS_EVENT_DATEJ_N(\"ER\",3)":[[46420]],"PNR^CS_EVENT_TIME_N(\"ER\",3)":[["Unspecified"]],"PNR^CS_EVENT_DESC_N(\"ER\",3)":[["Q4 2026 Earnings Release (Projected)"]],"CNC^CS_EVENT_TIME_N(\"ER\",3)":[["Unspecified"]],"WM^CS_EVENT_TIME_N(\"ER\",3)":[["Unspecified"]],"CI^CS_EVENT_TIME_N(\"ER\",2)":[["Unspecified"]],"CI^CS_EVENT_DESC_N(\"ER\",2)":[["Q3 2026 Earnings Release (Projected)"]],"ADBE^CS_EVENT_DESC_N(\"ER\",2)":[["Q3 2026 Earnings Release (Projected)"]],"KR^CS_EVENT_DESC_N(\"ER\",2)":[["Q2 2026 Earnings Release (Projected)"]],"BK^CS_EVENT_DATEJ_N(\"ER\",3)":[[46310]],"BK^CS_EVENT_TIME_N(\"ER\",3)":[["6:30 AM"]],"BK^CS_EVENT_DESC_N(\"ER\",3)":[["Q3 2026 Earnings Release"]],"TRV^CS_EVENT_DATEJ_N(\"ER\",3)":[[46498]],"TRV^CS_EVENT_TIME_N(\"ER\",3)":[["Unspecified"]],"TRV^CS_EVENT_DESC_N(\"ER\",3)":[["Q1 2027 Earnings Release (Projected)"]],"BX^CS_EVENT_DATEJ_N(\"ER\",3)":[[46415]],"BX^CS_EVENT_TIME_N(\"ER\",3)":[["Unspecified"]],"BX^CS_EVENT_DESC_N(\"ER\",3)":[["Q4 2026 Earnings Release (Projected)"]],"CFG^CS_EVENT_DATEJ_N(\"ER\",3)":[[46407]],"CFG^CS_EVENT_TIME_N(\"ER\",3)":[["6:20 AM"]],"CFG^CS_EVENT_DESC_N(\"ER\",3)":[["Q4 2026 Earnings Release"]],"FITB^CS_EVENT_DATEJ_N(\"ER\",3)":[[46406]],"FITB^CS_EVENT_TIME_N(\"ER\",3)":[["6:30 AM"]],"FITB^CS_EVENT_DESC_N(\"ER\",3)":[["Q4 2026 Earnings Release"]],"TFC^CS_EVENT_DATEJ_N(\"ER\",3)":[[46311]],"TFC^CS_EVENT_TIME_N(\"ER\",3)":[["Before Market"]],"TFC^CS_EVENT_DESC_N(\"ER\",3)":[["Q3 2026 Earnings Release"]],"STT^CS_EVENT_DATEJ_N(\"ER\",3)":[[46402]],"STT^CS_EVENT_TIME_N(\"ER\",3)":[["Unspecified"]],"STT^CS_EVENT_DESC_N(\"ER\",3)":[["Q4 2026 Earnings Release (Projected)"]],"RF^CS_EVENT_DATEJ_N(\"ER\",3)":[[46402]],"RF^CS_EVENT_TIME_N(\"ER\",3)":[["Unspecified"]],"RF^CS_EVENT_DESC_N(\"ER\",3)":[["Q4 2026 Earnings Release (Projected)"]],"STLD^CS_EVENT_DATEJ_N(\"ER\",3)":[[46414]],"STLD^CS_EVENT_TIME_N(\"ER\",3)":[["Unspecified"]],"STLD^CS_EVENT_DESC_N(\"ER\",3)":[["Q4 2026 Earnings Release (Projected)"]],"SCHW^CS_EVENT_DATEJ_N(\"ER\",3)":[[46406]],"SCHW^CS_EVENT_TIME_N(\"ER\",3)":[["Unspecified"]],"SCHW^CS_EVENT_DESC_N(\"ER\",3)":[["Q4 2026 Earnings Release (Projected)"]],"JBHT^CS_EVENT_DATEJ_N(\"ER\",3)":[[46408]],"JBHT^CS_EVENT_TIME_N(\"ER\",3)":[["Unspecified"]],"JBHT^CS_EVENT_DESC_N(\"ER\",3)":[["Q4 2026 Earnings Release (Projected)"]],"RTX^CS_EVENT_DATEJ_N(\"ER\",3)":[[46413]],"RTX^CS_EVENT_TIME_N(\"ER\",3)":[["Unspecified"]],"RTX^CS_EVENT_DESC_N(\"ER\",3)":[["Q4 2026 Earnings Release (Projected)"]],"LMT^CS_EVENT_DATEJ_N(\"ER\",3)":[[46413]],"LMT^CS_EVENT_TIME_N(\"ER\",3)":[["Unspecified"]],"LMT^CS_EVENT_DESC_N(\"ER\",3)":[["Q4 2026 Earnings Release (Projected)"]],"DHR^CS_EVENT_DATEJ_N(\"ER\",3)":[[46504]],"DHR^CS_EVENT_TIME_N(\"ER\",3)":[["Unspecified"]],"DHR^CS_EVENT_DESC_N(\"ER\",3)":[["Q1 2027 Earnings Release (Projected)"]],"UNH^CS_EVENT_DATEJ_N(\"ER\",3)":[[46407]],"UNH^CS_EVENT_TIME_N(\"ER\",3)":[["Unspecified"]],"UNH^CS_EVENT_DESC_N(\"ER\",3)":[["Q4 2026 Earnings Release (Projected)"]],"HAL^CS_EVENT_DATEJ_N(\"ER\",3)":[[46413]],"HAL^CS_EVENT_TIME_N(\"ER\",3)":[["Unspecified"]],"HAL^CS_EVENT_DESC_N(\"ER\",3)":[["Q4 2026 Earnings Release (Projected)"]],"WRB^CS_EVENT_DATEJ_N(\"ER\",3)":[[46415]],"WRB^CS_EVENT_TIME_N(\"ER\",3)":[["Unspecified"]],"WRB^CS_EVENT_DESC_N(\"ER\",3)":[["Q4 2026 Earnings Release (Projected)"]],"COF^CS_EVENT_DATEJ_N(\"ER\",3)":[[46413]],"COF^CS_EVENT_TIME_N(\"ER\",3)":[["Unspecified"]],"COF^CS_EVENT_DESC_N(\"ER\",3)":[["Q4 2026 Earnings Release (Projected)"]],"TSCO^CS_EVENT_DATEJ_N(\"ER\",3)":[[46422]],"TSCO^CS_EVENT_TIME_N(\"ER\",3)":[["Unspecified"]],"TSCO^CS_EVENT_DESC_N(\"ER\",3)":[["Q4 2026 Earnings Release (Projected)"]],"GE^CS_EVENT_DATEJ_N(\"ER\",3)":[[46413]],"GE^CS_EVENT_TIME_N(\"ER\",3)":[["Unspecified"]],"GE^CS_EVENT_DESC_N(\"ER\",3)":[["Q4 2026 Earnings Release (Projected)"]],"GPC^CS_EVENT_DATEJ_N(\"ER\",3)":[[46436]],"GPC^CS_EVENT_TIME_N(\"ER\",3)":[["Unspecified"]],"GPC^CS_EVENT_DESC_N(\"ER\",3)":[["Q4 2026 Earnings Release (Projected)"]],"NOC^CS_EVENT_DATEJ_N(\"ER\",3)":[[46415]],"NOC^CS_EVENT_TIME_N(\"ER\",3)":[["Unspecified"]],"NOC^CS_EVENT_DESC_N(\"ER\",3)":[["Q4 2026 Earnings Release (Projected)"]],"DGX^CS_EVENT_DATEJ_N(\"ER\",3)":[[46422]],"DGX^CS_EVENT_TIME_N(\"ER\",3)":[["Unspecified"]],"DGX^CS_EVENT_DESC_N(\"ER\",3)":[["Q4 2026 Earnings Release (Projected)"]],"DHI^CS_EVENT_DATEJ_N(\"ER\",3)":[[46413]],"DHI^CS_EVENT_TIME_N(\"ER\",3)":[["Unspecified"]],"DHI^CS_EVENT_DESC_N(\"ER\",3)":[["Q1 2027 Earnings Release (Projected)"]],"OMC^CS_EVENT_DATEJ_N(\"ER\",3)":[[46427]],"OMC^CS_EVENT_TIME_N(\"ER\",3)":[["Unspecified"]],"OMC^CS_EVENT_DESC_N(\"ER\",3)":[["Q4 2026 Earnings Release (Projected)"]],"ISRG^CS_EVENT_DATEJ_N(\"ER\",3)":[[46413]],"ISRG^CS_EVENT_TIME_N(\"ER\",3)":[["Unspecified"]],"ISRG^CS_EVENT_DESC_N(\"ER\",3)":[["Q4 2026 Earnings Release (Projected)"]],"NTRS^CS_EVENT_DATEJ_N(\"ER\",3)":[[46408]],"NTRS^CS_EVENT_TIME_N(\"ER\",3)":[["Before Market"]],"NTRS^CS_EVENT_DESC_N(\"ER\",3)":[["Q4 2026 Earnings Release"]],"UAL^CS_EVENT_DATEJ_N(\"ER\",3)":[[46497]],"UAL^CS_EVENT_TIME_N(\"ER\",3)":[["Unspecified"]],"UAL^CS_EVENT_DESC_N(\"ER\",3)":[["Q1 2027 Earnings Release (Projected)"]],"IBKR^CS_EVENT_DATEJ_N(\"ER\",3)":[[46406]],"IBKR^CS_EVENT_TIME_N(\"ER\",3)":[["Unspecified"]],"IBKR^CS_EVENT_DESC_N(\"ER\",3)":[["Q4 2026 Earnings Release (Projected)"]],"CB^CS_EVENT_DATEJ_N(\"ER\",3)":[[46504]],"CB^CS_EVENT_TIME_N(\"ER\",3)":[["Unspecified"]],"CB^CS_EVENT_DESC_N(\"ER\",3)":[["Q1 2027 Earnings Release (Projected)"]],"SYF^CS_EVENT_DATEJ_N(\"ER\",3)":[[46409]],"SYF^CS_EVENT_TIME_N(\"ER\",3)":[["Unspecified"]],"SYF^CS_EVENT_DESC_N(\"ER\",3)":[["Q4 2026 Earnings Release (Projected)"]],"BSX^CS_EVENT_DATEJ_N(\"ER\",3)":[[46421]],"BSX^CS_EVENT_TIME_N(\"ER\",3)":[["Unspecified"]],"BSX^CS_EVENT_DESC_N(\"ER\",3)":[["Q4 2026 Earnings Release (Projected)"]],"CCI^CS_EVENT_DATEJ_N(\"ER\",3)":[[46414]],"CCI^CS_EVENT_TIME_N(\"ER\",3)":[["Unspecified"]],"CCI^CS_EVENT_DESC_N(\"ER\",3)":[["Q4 2026 Earnings Release (Projected)"]],"EFX^CS_EVENT_DATEJ_N(\"ER\",3)":[[46428]],"EFX^CS_EVENT_TIME_N(\"ER\",3)":[["Unspecified"]],"EFX^CS_EVENT_DESC_N(\"ER\",3)":[["Q4 2026 Earnings Release (Projected)"]],"RJF^CS_EVENT_DATEJ_N(\"ER\",3)":[[46414]],"RJF^CS_EVENT_TIME_N(\"ER\",3)":[["Unspecified"]],"RJF^CS_EVENT_DESC_N(\"ER\",3)":[["Q1 2027 Earnings Release (Projected)"]],"IBM^CS_EVENT_DATEJ_N(\"ER\",3)":[[46414]],"IBM^CS_EVENT_TIME_N(\"ER\",3)":[["Unspecified"]],"IBM^CS_EVENT_DESC_N(\"ER\",3)":[["Q4 2026 Earnings Release (Projected)"]],"BA^CS_EVENT_DATEJ_N(\"ER\",3)":[[46414]],"BA^CS_EVENT_TIME_N(\"ER\",3)":[["Unspecified"]],"BA^CS_EVENT_DESC_N(\"ER\",3)":[["Q4 2026 Earnings Release (Projected)"]],"MAS^CS_EVENT_DATEJ_N(\"ER\",3)":[[46427]],"MAS^CS_EVENT_TIME_N(\"ER\",3)":[["Unspecified"]],"MAS^CS_EVENT_DESC_N(\"ER\",3)":[["Q4 2026 Earnings Release (Projected)"]],"WAB^CS_EVENT_DATEJ_N(\"ER\",3)":[[46435]],"WAB^CS_EVENT_TIME_N(\"ER\",3)":[["Unspecified"]],"WAB^CS_EVENT_DESC_N(\"ER\",3)":[["Q4 2026 Earnings Release (Projected)"]],"CSX^CS_EVENT_DATEJ_N(\"ER\",3)":[[46414]],"CSX^CS_EVENT_TIME_N(\"ER\",3)":[["Unspecified"]],"CSX^CS_EVENT_DESC_N(\"ER\",3)":[["Q4 2026 Earnings Release (Projected)"]],"LUV^CS_EVENT_DATEJ_N(\"ER\",3)":[[46415]],"LUV^CS_EVENT_TIME_N(\"ER\",3)":[["Unspecified"]],"LUV^CS_EVENT_DESC_N(\"ER\",3)":[["Q4 2026 Earnings Release (Projected)"]],"PKG^CS_EVENT_DATEJ_N(\"ER\",3)":[[46414]],"PKG^CS_EVENT_TIME_N(\"ER\",3)":[["Unspecified"]],"PKG^CS_EVENT_DESC_N(\"ER\",3)":[["Q4 2026 Earnings Release (Projected)"]],"KMI^CS_EVENT_DATEJ_N(\"ER\",3)":[[46498]],"KMI^CS_EVENT_TIME_N(\"ER\",3)":[["Unspecified"]],"KMI^CS_EVENT_DESC_N(\"ER\",3)":[["Q1 2027 Earnings Release (Projected)"]],"NDAQ^CS_EVENT_DATEJ_N(\"ER\",3)":[[46421]],"NDAQ^CS_EVENT_TIME_N(\"ER\",3)":[["Unspecified"]],"NDAQ^CS_EVENT_DESC_N(\"ER\",3)":[["Q4 2026 Earnings Release (Projected)"]],"ELV^CS_EVENT_DATEJ_N(\"ER\",3)":[[46414]],"ELV^CS_EVENT_TIME_N(\"ER\",3)":[["Unspecified"]],"ELV^CS_EVENT_DESC_N(\"ER\",3)":[["Q4 2026 Earnings Release (Projected)"]],"CME^CS_EVENT_DATEJ_N(\"ER\",3)":[[46428]],"CME^CS_EVENT_TIME_N(\"ER\",3)":[["Unspecified"]],"CME^CS_EVENT_DESC_N(\"ER\",3)":[["Q4 2026 Earnings Release (Projected)"]],"T^CS_EVENT_DATEJ_N(\"ER\",3)":[[46414]],"T^CS_EVENT_TIME_N(\"ER\",3)":[["Unspecified"]],"T^CS_EVENT_DESC_N(\"ER\",3)":[["Q4 2026 Earnings Release (Projected)"]],"PM^CS_EVENT_DATEJ_N(\"ER\",3)":[[46429]],"PM^CS_EVENT_TIME_N(\"ER\",3)":[["Unspecified"]],"PM^CS_EVENT_DESC_N(\"ER\",3)":[["Q4 2026 Earnings Release (Projected)"]],"GEV^CS_EVENT_DATEJ_N(\"ER\",3)":[[46505]],"GEV^CS_EVENT_TIME_N(\"ER\",3)":[["Unspecified"]],"GEV^CS_EVENT_DESC_N(\"ER\",3)":[["Q1 2027 Earnings Release (Projected)"]],"PHM^CS_EVENT_DATEJ_N(\"ER\",3)":[[46420]],"PHM^CS_EVENT_TIME_N(\"ER\",3)":[["Unspecified"]],"PHM^CS_EVENT_DESC_N(\"ER\",3)":[["Q4 2026 Earnings Release (Projected)"]],"CPT^CS_EVENT_DATEJ_N(\"ER\",3)":[[46422]],"CPT^CS_EVENT_TIME_N(\"ER\",3)":[["Unspecified"]],"CPT^CS_EVENT_DESC_N(\"ER\",3)":[["Q4 2026 Earnings Release (Projected)"]],"WST^CS_EVENT_DATEJ_N(\"ER\",3)":[[46436]],"WST^CS_EVENT_TIME_N(\"ER\",3)":[["Unspecified"]],"WST^CS_EVENT_DESC_N(\"ER\",3)":[["Q4 2026 Earnings Release (Projected)"]],"RMD^CS_EVENT_DATEJ_N(\"ER\",3)":[[46415]],"RMD^CS_EVENT_TIME_N(\"ER\",3)":[["Unspecified"]],"RMD^CS_EVENT_DESC_N(\"ER\",3)":[["Q2 2027 Earnings Release (Projected)"]],"HON^CS_EVENT_DATEJ_N(\"ER\",3)":[[46506]],"HON^CS_EVENT_TIME_N(\"ER\",3)":[["Unspecified"]],"HON^CS_EVENT_DESC_N(\"ER\",3)":[["Q1 2027 Earnings Release (Projected)"]],"PCG^CS_EVENT_DATEJ_N(\"ER\",3)":[[46443]],"PCG^CS_EVENT_TIME_N(\"ER\",3)":[["Unspecified"]],"PCG^CS_EVENT_DESC_N(\"ER\",3)":[["Q4 2026 Earnings Release (Projected)"]],"AOS^CS_EVENT_DATEJ_N(\"ER\",3)":[[46420]],"AOS^CS_EVENT_TIME_N(\"ER\",3)":[["Unspecified"]],"AOS^CS_EVENT_DESC_N(\"ER\",3)":[["Q4 2026 Earnings Release (Projected)"]],"NEM^CS_EVENT_DATEJ_N(\"ER\",3)":[[46443]],"NEM^CS_EVENT_TIME_N(\"ER\",3)":[["Unspecified"]],"NEM^CS_EVENT_DESC_N(\"ER\",3)":[["Q4 2026 Earnings Release (Projected)"]],"KIM^CS_EVENT_DATEJ_N(\"ER\",3)":[[46429]],"KIM^CS_EVENT_TIME_N(\"ER\",3)":[["Unspecified"]],"KIM^CS_EVENT_DESC_N(\"ER\",3)":[["Q4 2026 Earnings Release (Projected)"]],"HSY^CS_EVENT_DATEJ_N(\"ER\",3)":[[46422]],"HSY^CS_EVENT_TIME_N(\"ER\",3)":[["Unspecified"]],"HSY^CS_EVENT_DESC_N(\"ER\",3)":[["Q4 2026 Earnings Release (Projected)"]],"VRSN^CS_EVENT_DATEJ_N(\"ER\",3)":[[46429]],"VRSN^CS_EVENT_TIME_N(\"ER\",3)":[["Unspecified"]],"VRSN^CS_EVENT_DESC_N(\"ER\",3)":[["Q4 2026 Earnings Release (Projected)"]],"CINF^CS_EVENT_DATEJ_N(\"ER\",3)":[[46433]],"CINF^CS_EVENT_TIME_N(\"ER\",3)":[["Unspecified"]],"CINF^CS_EVENT_DESC_N(\"ER\",3)":[["Q4 2026 Earnings Release (Projected)"]],"AJG^CS_EVENT_DATEJ_N(\"ER\",3)":[[46415]],"AJG^CS_EVENT_TIME_N(\"ER\",3)":[["Unspecified"]],"AJG^CS_EVENT_DESC_N(\"ER\",3)":[["Q4 2026 Earnings Release (Projected)"]],"WTW^CS_EVENT_DATEJ_N(\"ER\",3)":[[46427]],"WTW^CS_EVENT_TIME_N(\"ER\",3)":[["Unspecified"]],"WTW^CS_EVENT_DESC_N(\"ER\",3)":[["Q4 2026 Earnings Release (Projected)"]],"GILD^CS_EVENT_DATEJ_N(\"ER\",3)":[[46506]],"GILD^CS_EVENT_TIME_N(\"ER\",3)":[["Unspecified"]],"GILD^CS_EVENT_DESC_N(\"ER\",3)":[["Q1 2027 Earnings Release (Projected)"]],"ERIE^CS_EVENT_DATEJ_N(\"ER\",3)":[[46447]],"ERIE^CS_EVENT_TIME_N(\"ER\",3)":[["Unspecified"]],"ERIE^CS_EVENT_DESC_N(\"ER\",3)":[["Q4 2026 Earnings Release (Projected)"]],"DOV^CS_EVENT_DATEJ_N(\"ER\",3)":[[46422]],"DOV^CS_EVENT_TIME_N(\"ER\",3)":[["Unspecified"]],"DOV^CS_EVENT_DESC_N(\"ER\",3)":[["Q4 2026 Earnings Release (Projected)"]],"DTE^CS_EVENT_DATEJ_N(\"ER\",3)":[[46430]],"DTE^CS_EVENT_TIME_N(\"ER\",3)":[["Unspecified"]],"DTE^CS_EVENT_DESC_N(\"ER\",3)":[["Q4 2026 Earnings Release (Projected)"]],"HAS^CS_EVENT_DATEJ_N(\"ER\",3)":[[46434]],"HAS^CS_EVENT_TIME_N(\"ER\",3)":[["Unspecified"]],"HAS^CS_EVENT_DESC_N(\"ER\",3)":[["Q4 2026 Earnings Release (Projected)"]],"AMZN^CS_EVENT_DATEJ_N(\"ER\",3)":[[46422]],"AMZN^CS_EVENT_TIME_N(\"ER\",3)":[["Unspecified"]],"AMZN^CS_EVENT_DESC_N(\"ER\",3)":[["Q4 2026 Earnings Release (Projected)"]],"HIG^CS_EVENT_DATEJ_N(\"ER\",3)":[[46422]],"HIG^CS_EVENT_TIME_N(\"ER\",3)":[["Unspecified"]],"HIG^CS_EVENT_DESC_N(\"ER\",3)":[["Q4 2026 Earnings Release (Projected)"]],"HBAN^CS_EVENT_DATEJ_N(\"ER\",3)":[[46415]],"HBAN^CS_EVENT_TIME_N(\"ER\",3)":[["Unspecified"]],"HBAN^CS_EVENT_DESC_N(\"ER\",3)":[["Q4 2026 Earnings Release (Projected)"]],"EME^CS_EVENT_DATEJ_N(\"ER\",3)":[[46443]],"EME^CS_EVENT_TIME_N(\"ER\",3)":[["Unspecified"]],"EME^CS_EVENT_DESC_N(\"ER\",3)":[["Q4 2026 Earnings Release (Projected)"]],"KLAC^CS_EVENT_DATEJ_N(\"ER\",3)":[[46422]],"KLAC^CS_EVENT_TIME_N(\"ER\",3)":[["Unspecified"]],"KLAC^CS_EVENT_DESC_N(\"ER\",3)":[["Q2 2027 Earnings Release (Projected)"]],"TROW^CS_EVENT_DATEJ_N(\"ER\",3)":[[46415]],"TROW^CS_EVENT_TIME_N(\"ER\",3)":[["Unspecified"]],"TROW^CS_EVENT_DESC_N(\"ER\",3)":[["Q4 2026 Earnings Release (Projected)"]],"AXP^CS_EVENT_DATEJ_N(\"ER\",3)":[[46409]],"AXP^CS_EVENT_TIME_N(\"ER\",3)":[["Unspecified"]],"AXP^CS_EVENT_DESC_N(\"ER\",3)":[["Q4 2026 Earnings Release (Projected)"]],"CNP^CS_EVENT_DATEJ_N(\"ER\",3)":[[46443]],"CNP^CS_EVENT_TIME_N(\"ER\",3)":[["Unspecified"]],"CNP^CS_EVENT_DESC_N(\"ER\",3)":[["Q4 2026 Earnings Release (Projected)"]],"WDC^CS_EVENT_DATEJ_N(\"ER\",3)":[[46421]],"WDC^CS_EVENT_TIME_N(\"ER\",3)":[["Unspecified"]],"WDC^CS_EVENT_DESC_N(\"ER\",3)":[["Q2 2027 Earnings Release (Projected)"]],"PFG^CS_EVENT_DATEJ_N(\"ER\",3)":[[46428]],"PFG^CS_EVENT_TIME_N(\"ER\",3)":[["Unspecified"]],"PFG^CS_EVENT_DESC_N(\"ER\",3)":[["Q4 2026 Earnings Release (Projected)"]],"INTC^CS_EVENT_DATEJ_N(\"ER\",3)":[[46415]],"INTC^CS_EVENT_TIME_N(\"ER\",3)":[["Unspecified"]],"INTC^CS_EVENT_DESC_N(\"ER\",3)":[["Q4 2026 Earnings Release (Projected)"]],"FE^CS_EVENT_DATEJ_N(\"ER\",3)":[[46429]],"FE^CS_EVENT_TIME_N(\"ER\",3)":[["Unspecified"]],"FE^CS_EVENT_DESC_N(\"ER\",3)":[["Q4 2026 Earnings Release (Projected)"]],"CAT^CS_EVENT_DATEJ_N(\"ER\",3)":[[46422]],"CAT^CS_EVENT_TIME_N(\"ER\",3)":[["Unspecified"]],"CAT^CS_EVENT_DESC_N(\"ER\",3)":[["Q4 2026 Earnings Release (Projected)"]],"MCD^CS_EVENT_DATEJ_N(\"ER\",3)":[[46415]],"MCD^CS_EVENT_TIME_N(\"ER\",3)":[["Unspecified"]],"MCD^CS_EVENT_DESC_N(\"ER\",3)":[["Q4 2026 Earnings Release (Projected)"]],"UNP^CS_EVENT_DATEJ_N(\"ER\",3)":[[46499]],"UNP^CS_EVENT_TIME_N(\"ER\",3)":[["Unspecified"]],"UNP^CS_EVENT_DESC_N(\"ER\",3)":[["Q1 2027 Earnings Release (Projected)"]],"KR^CS_EVENT_DATEJ_N(\"ER\",2)":[[46269]],"KR^CS_EVENT_TIME_N(\"ER\",2)":[["Unspecified"]],"VLO^CS_EVENT_TIME_N(\"ER\",2)":[["Unspecified"]],"VLO^CS_EVENT_DESC_N(\"ER\",2)":[["Q3 2026 Earnings Release (Projected)"]],"PH^CS_EVENT_TIME_N(\"ER\",2)":[["Unspecified"]],"PH^CS_EVENT_DESC_N(\"ER\",2)":[["Q1 2027 Earnings Release (Projected)"]],"ES^CS_EVENT_TIME_N(\"ER\",2)":[["Unspecified"]],"ES^CS_EVENT_DESC_N(\"ER\",2)":[["Q3 2026 Earnings Release (Projected)"]],"FICO^CS_EVENT_TIME_N(\"ER\",2)":[["Unspecified"]],"FICO^CS_EVENT_DESC_N(\"ER\",2)":[["Q4 2026 Earnings Release (Projected)"]],"AVGO^CS_EVENT_DATEJ_N(\"ER\",2)":[[46268]],"CPB^CS_EVENT_DATEJ_N(\"ER\",2)":[[46261]],"BF.B^CS_EVENT_DATEJ_N(\"ER\",2)":[[46267]],"ADBE^CS_EVENT_DATEJ_N(\"ER\",2)":[[46275]],"VRSK^CS_EVENT_DATEJ_N(\"ER\",2)":[[46330]],"VRSK^CS_EVENT_TIME_N(\"ER\",2)":[["Unspecified"]],"TAP^CS_EVENT_DATEJ_N(\"ER\",2)":[[46330]],"TAP^CS_EVENT_TIME_N(\"ER\",2)":[["Unspecified"]],"BIIB^CS_EVENT_DESC_N(\"ER\",2)":[["Q3 2026 Earnings Release (Projected)"]],"O^CS_EVENT_DESC_N(\"ER\",2)":[["Q3 2026 Earnings Release (Projected)"]],"TRMB^CS_EVENT_DESC_N(\"ER\",2)":[["Q3 2026 Earnings Release (Projected)"]],"ALB^CS_EVENT_DESC_N(\"ER\",2)":[["Q3 2026 Earnings Release (Projected)"]],"YUM^CS_EVENT_DESC_N(\"ER\",2)":[["Q3 2026 Earnings Release (Projected)"]],"TT^CS_EVENT_DESC_N(\"ER\",2)":[["Q3 2026 Earnings Release (Projected)"]],"QCOM^CS_EVENT_DATEJ_N(\"ER\",2)":[[46337]],"ES^CS_EVENT_DATEJ_N(\"ER\",2)":[[46335]],"FICO^CS_EVENT_DATEJ_N(\"ER\",2)":[[46337]],"BIIB^CS_EVENT_DATEJ_N(\"ER\",2)":[[46324]],"RCL^CS_EVENT_DESC_N(\"ER\",2)":[["Q3 2026 Earnings Release (Projected)"]],"BDX^CS_EVENT_DESC_N(\"ER\",2)":[["Q4 2026 Earnings Release (Projected)"]],"BALL^CS_EVENT_DESC_N(\"ER\",2)":[["Q3 2026 Earnings Release (Projected)"]],"APO^CS_EVENT_DESC_N(\"ER\",2)":[["Q3 2026 Earnings Release (Projected)"]],"D^CS_EVENT_DESC_N(\"ER\",2)":[["Q3 2026 Earnings Release (Projected)"]],"TECH^CS_EVENT_DESC_N(\"ER\",2)":[["Q1 2027 Earnings Release (Projected)"]],"QCOM^CS_EVENT_DESC_N(\"ER\",2)":[["Q4 2026 Earnings Release (Projected)"]],"QCOM^CS_EVENT_TIME_N(\"ER\",2)":[["Unspecified"]],"BDX^CS_EVENT_TIME_N(\"ER\",2)":[["Unspecified"]],"BALL^CS_EVENT_TIME_N(\"ER\",2)":[["Unspecified"]],"ADBE^CS_EVENT_TIME_N(\"ER\",2)":[["Unspecified"]],"PEG^CS_EVENT_TIME_N(\"ER\",2)":[["Unspecified"]],"PEG^CS_EVENT_DESC_N(\"ER\",2)":[["Q3 2026 Earnings Release (Projected)"]],"AMD^CS_EVENT_TIME_N(\"ER\",2)":[["Unspecified"]],"AMD^CS_EVENT_DESC_N(\"ER\",2)":[["Q3 2026 Earnings Release (Projected)"]],"AIZ^CS_EVENT_TIME_N(\"ER\",2)":[["Unspecified"]],"AIZ^CS_EVENT_DESC_N(\"ER\",2)":[["Q3 2026 Earnings Release (Projected)"]],"INCY^CS_EVENT_TIME_N(\"ER\",2)":[["Unspecified"]],"INCY^CS_EVENT_DESC_N(\"ER\",2)":[["Q3 2026 Earnings Release (Projected)"]],"PSA^CS_EVENT_TIME_N(\"ER\",2)":[["Unspecified"]],"PSA^CS_EVENT_DESC_N(\"ER\",2)":[["Q3 2026 Earnings Release (Projected)"]],"EA^CS_EVENT_TIME_N(\"ER\",2)":[["Unspecified"]],"EA^CS_EVENT_DESC_N(\"ER\",2)":[["Q2 2027 Earnings Release (Projected)"]],"PFE^CS_EVENT_TIME_N(\"ER\",2)":[["Unspecified"]],"PFE^CS_EVENT_DESC_N(\"ER\",2)":[["Q3 2026 Earnings Release (Projected)"]],"CMI^CS_EVENT_TIME_N(\"ER\",2)":[["Unspecified"]],"CMI^CS_EVENT_DESC_N(\"ER\",2)":[["Q3 2026 Earnings Release (Projected)"]],"ROK^CS_EVENT_TIME_N(\"ER\",2)":[["Unspecified"]],"ROK^CS_EVENT_DESC_N(\"ER\",2)":[["Q4 2026 Earnings Release (Projected)"]],"EOG^CS_EVENT_TIME_N(\"ER\",2)":[["Unspecified"]],"EOG^CS_EVENT_DESC_N(\"ER\",2)":[["Q3 2026 Earnings Release (Projected)"]],"ORCL^CS_EVENT_DATEJ_N(\"ER\",2)":[[46279]],"ORCL^CS_EVENT_TIME_N(\"ER\",2)":[["Unspecified"]],"ORCL^CS_EVENT_DESC_N(\"ER\",2)":[["Q1 2027 Earnings Release (Projected)"]],"ACN^CS_EVENT_DATEJ_N(\"ER\",2)":[[46289]],"ACN^CS_EVENT_TIME_N(\"ER\",2)":[["Unspecified"]],"ACN^CS_EVENT_DESC_N(\"ER\",2)":[["Q4 2026 Earnings Release (Projected)"]],"JBL^CS_EVENT_DATEJ_N(\"ER\",2)":[[46289]],"JBL^CS_EVENT_TIME_N(\"ER\",2)":[["Unspecified"]],"JBL^CS_EVENT_DESC_N(\"ER\",2)":[["Q4 2026 Earnings Release (Projected)"]],"DRI^CS_EVENT_DATEJ_N(\"ER\",2)":[[46282]],"DRI^CS_EVENT_TIME_N(\"ER\",2)":[["Unspecified"]],"DRI^CS_EVENT_DESC_N(\"ER\",2)":[["Q1 2027 Earnings Release (Projected)"]],"FDS^CS_EVENT_DATEJ_N(\"ER\",2)":[[46282]],"FDS^CS_EVENT_TIME_N(\"ER\",2)":[["Unspecified"]],"FDS^CS_EVENT_DESC_N(\"ER\",2)":[["Q4 2026 Earnings Release (Projected)"]],"LEN^CS_EVENT_DATEJ_N(\"ER\",2)":[[46282]],"LEN^CS_EVENT_TIME_N(\"ER\",2)":[["Unspecified"]],"LEN^CS_EVENT_DESC_N(\"ER\",2)":[["Q3 2026 Earnings Release (Projected)"]],"FDX^CS_EVENT_DATEJ_N(\"ER\",2)":[[46323]],"FDX^CS_EVENT_TIME_N(\"ER\",2)":[["Unspecified"]],"FDX^CS_EVENT_DESC_N(\"ER\",2)":[["Q1 2027 Earnings Release"]],"MKC^CS_EVENT_DATEJ_N(\"ER\",2)":[[46301]],"MKC^CS_EVENT_TIME_N(\"ER\",2)":[["Unspecified"]],"MKC^CS_EVENT_DESC_N(\"ER\",2)":[["Q3 2026 Earnings Release (Projected)"]],"NKE^CS_EVENT_DATEJ_N(\"ER\",2)":[[46289]],"NKE^CS_EVENT_TIME_N(\"ER\",2)":[["Unspecified"]],"NKE^CS_EVENT_DESC_N(\"ER\",2)":[["Q1 2027 Earnings Release (Projected)"]],"CCL^CS_EVENT_DATEJ_N(\"ER\",2)":[[46282]],"CCL^CS_EVENT_TIME_N(\"ER\",2)":[["Unspecified"]],"CCL^CS_EVENT_DESC_N(\"ER\",2)":[["Q3 2026 Earnings Release (Projected)"]],"GIS^CS_EVENT_DATEJ_N(\"ER\",2)":[[46288]],"GIS^CS_EVENT_TIME_N(\"ER\",2)":[["Unspecified"]],"GIS^CS_EVENT_DESC_N(\"ER\",2)":[["Q1 2027 Earnings Release (Projected)"]],"MU^CS_EVENT_DATEJ_N(\"ER\",2)":[[46294]],"MU^CS_EVENT_TIME_N(\"ER\",2)":[["Unspecified"]],"MU^CS_EVENT_DESC_N(\"ER\",2)":[["Q4 2026 Earnings Release (Projected)"]],"PAYX^CS_EVENT_DATEJ_N(\"ER\",2)":[[46295]],"PAYX^CS_EVENT_TIME_N(\"ER\",2)":[["Unspecified"]],"PAYX^CS_EVENT_DESC_N(\"ER\",2)":[["Q1 2027 Earnings Release (Projected)"]],"CTAS^CS_EVENT_DATEJ_N(\"ER\",2)":[[46295]],"CTAS^CS_EVENT_TIME_N(\"ER\",2)":[["Unspecified"]],"CTAS^CS_EVENT_DESC_N(\"ER\",2)":[["Q1 2027 Earnings Release (Projected)"]],"AON^CS_EVENT_DATEJ_N(\"ER\",2)":[[46318]],"AON^CS_EVENT_TIME_N(\"ER\",2)":[["Unspecified"]],"AON^CS_EVENT_DESC_N(\"ER\",2)":[["Q3 2026 Earnings Release (Projected)"]],"IQV^CS_EVENT_DATEJ_N(\"ER\",2)":[[46330]],"IQV^CS_EVENT_TIME_N(\"ER\",2)":[["Unspecified"]],"IQV^CS_EVENT_DESC_N(\"ER\",2)":[["Q3 2026 Earnings Release (Projected)"]],"IT^CS_EVENT_DATEJ_N(\"ER\",2)":[[46329]],"IT^CS_EVENT_TIME_N(\"ER\",2)":[["Unspecified"]],"IT^CS_EVENT_DESC_N(\"ER\",2)":[["Q3 2026 Earnings Release (Projected)"]],"PEG^CS_EVENT_DATEJ_N(\"ER\",2)":[[46329]],"AMD^CS_EVENT_DATEJ_N(\"ER\",2)":[[46329]],"AIZ^CS_EVENT_DATEJ_N(\"ER\",2)":[[46329]],"INCY^CS_EVENT_DATEJ_N(\"ER\",2)":[[46329]],"PSA^CS_EVENT_DATEJ_N(\"ER\",2)":[[46328]],"EA^CS_EVENT_DATEJ_N(\"ER\",2)":[[46329]],"PFE^CS_EVENT_DATEJ_N(\"ER\",2)":[[46329]],"CMI^CS_EVENT_DATEJ_N(\"ER\",2)":[[46324]],"ROK^CS_EVENT_DATEJ_N(\"ER\",2)":[[46330]],"EOG^CS_EVENT_DATEJ_N(\"ER\",2)":[[46324]],"ZBH^CS_EVENT_DATEJ_N(\"ER\",2)":[[46330]],"LDOS^CS_EVENT_DATEJ_N(\"ER\",2)":[[46329]],"KKR^CS_EVENT_DATEJ_N(\"ER\",2)":[[46329]],"D^CS_EVENT_TIME_N(\"ER\",2)":[["Unspecified"]],"BIIB^CS_EVENT_TIME_N(\"ER\",2)":[["Unspecified"]],"AVGO^CS_EVENT_TIME_N(\"ER\",2)":[["Unspecified"]],"AVGO^CS_EVENT_DESC_N(\"ER\",2)":[["Q3 2026 Earnings Release (Projected)"]],"CPB^CS_EVENT_TIME_N(\"ER\",2)":[["Unspecified"]],"CPB^CS_EVENT_DESC_N(\"ER\",2)":[["Q4 2026 Earnings Release (Projected)"]],"BF.B^CS_EVENT_TIME_N(\"ER\",2)":[["Unspecified"]],"BF.B^CS_EVENT_DESC_N(\"ER\",2)":[["Q1 2027 Earnings Release (Projected)"]],"SMCI^CS_EVENT_DATEJ_N(\"ER\",2)":[[46329]],"SMCI^CS_EVENT_TIME_N(\"ER\",2)":[["Unspecified"]],"SMCI^CS_EVENT_DESC_N(\"ER\",2)":[["Q1 2027 Earnings Release (Projected)"]],"BR^CS_EVENT_DATEJ_N(\"ER\",2)":[[46330]],"BR^CS_EVENT_TIME_N(\"ER\",2)":[["Unspecified"]],"BR^CS_EVENT_DESC_N(\"ER\",2)":[["Q1 2027 Earnings Release (Projected)"]],"MPC^CS_EVENT_DATEJ_N(\"ER\",2)":[[46420]],"MPC^CS_EVENT_TIME_N(\"ER\",2)":[["Unspecified"]],"MPC^CS_EVENT_DESC_N(\"ER\",2)":[["Q4 2026 Earnings Release (Projected)"]],"PYPL^CS_EVENT_DATEJ_N(\"ER\",2)":[[46322]],"PYPL^CS_EVENT_TIME_N(\"ER\",2)":[["Before Market"]],"PYPL^CS_EVENT_DESC_N(\"ER\",2)":[["Q3 2026 Earnings Release"]],"INVH^CS_EVENT_DATEJ_N(\"ER\",2)":[[46323]],"INVH^CS_EVENT_TIME_N(\"ER\",2)":[["Unspecified"]],"INVH^CS_EVENT_DESC_N(\"ER\",2)":[["Q3 2026 Earnings Release (Projected)"]],"APTV^CS_EVENT_DATEJ_N(\"ER\",2)":[[46324]],"APTV^CS_EVENT_TIME_N(\"ER\",2)":[["Unspecified"]],"APTV^CS_EVENT_DESC_N(\"ER\",2)":[["Q3 2026 Earnings Release (Projected)"]],"CTVA^CS_EVENT_DATEJ_N(\"ER\",2)":[[46337]],"CTVA^CS_EVENT_TIME_N(\"ER\",2)":[["Unspecified"]],"CTVA^CS_EVENT_DESC_N(\"ER\",2)":[["Q3 2026 Earnings Release (Projected)"]],"DD^CS_EVENT_DATEJ_N(\"ER\",2)":[[46336]],"DD^CS_EVENT_TIME_N(\"ER\",2)":[["Unspecified"]],"DD^CS_EVENT_DESC_N(\"ER\",2)":[["Q3 2026 Earnings Release (Projected)"]],"AMCR^CS_EVENT_DATEJ_N(\"ER\",2)":[[46329]],"AMCR^CS_EVENT_TIME_N(\"ER\",2)":[["Unspecified"]],"AMCR^CS_EVENT_DESC_N(\"ER\",2)":[["Q1 2027 Earnings Release (Projected)"]],"EXE^CS_EVENT_DATEJ_N(\"ER\",2)":[[46329]],"EXE^CS_EVENT_TIME_N(\"ER\",2)":[["Unspecified"]],"EXE^CS_EVENT_DESC_N(\"ER\",2)":[["Q3 2026 Earnings Release (Projected)"]],"MAR^CS_EVENT_DATEJ_N(\"ER\",2)":[[46324]],"MAR^CS_EVENT_TIME_N(\"ER\",2)":[["Unspecified"]],"MAR^CS_EVENT_DESC_N(\"ER\",2)":[["Q3 2026 Earnings Release (Projected)"]],"VMC^CS_EVENT_DATEJ_N(\"ER\",2)":[[46324]],"VMC^CS_EVENT_TIME_N(\"ER\",2)":[["Unspecified"]],"VMC^CS_EVENT_DESC_N(\"ER\",2)":[["Q3 2026 Earnings Release (Projected)"]],"BDX^CS_EVENT_DATEJ_N(\"ER\",2)":[[46331]],"BALL^CS_EVENT_DATEJ_N(\"ER\",2)":[[46324]],"CI^CS_EVENT_DATEJ_N(\"ER\",2)":[[46324]],"ZBH^CS_EVENT_DESC_N(\"ER\",2)":[["Q3 2026 Earnings Release (Projected)"]],"LDOS^CS_EVENT_DESC_N(\"ER\",2)":[["Q3 2026 Earnings Release (Projected)"]],"KKR^CS_EVENT_DESC_N(\"ER\",2)":[["Q3 2026 Earnings Release (Projected)"]],"VRSK^CS_EVENT_DESC_N(\"ER\",2)":[["Q3 2026 Earnings Release (Projected)"]],"TAP^CS_EVENT_DESC_N(\"ER\",2)":[["Q3 2026 Earnings Release (Projected)"]],"ZBH^CS_EVENT_TIME_N(\"ER\",2)":[["Unspecified"]],"LDOS^CS_EVENT_TIME_N(\"ER\",2)":[["Unspecified"]],"KKR^CS_EVENT_TIME_N(\"ER\",2)":[["Unspecified"]],"D^CS_EVENT_DATEJ_N(\"ER\",2)":[[46325]],"VLO^CS_EVENT_DATEJ_N(\"ER\",2)":[[46317]],"PH^CS_EVENT_DATEJ_N(\"ER\",2)":[[46324]],"O^CS_EVENT_DATEJ_N(\"ER\",2)":[[46335]],"O^CS_EVENT_TIME_N(\"ER\",2)":[["Unspecified"]],"TRMB^CS_EVENT_DATEJ_N(\"ER\",2)":[[46330]],"TRMB^CS_EVENT_TIME_N(\"ER\",2)":[["Unspecified"]],"ALB^CS_EVENT_DATEJ_N(\"ER\",2)":[[46330]],"ALB^CS_EVENT_TIME_N(\"ER\",2)":[["Unspecified"]],"YUM^CS_EVENT_DATEJ_N(\"ER\",2)":[[46330]],"YUM^CS_EVENT_TIME_N(\"ER\",2)":[["Unspecified"]],"TT^CS_EVENT_DATEJ_N(\"ER\",2)":[[46330]],"TT^CS_EVENT_TIME_N(\"ER\",2)":[["Unspecified"]],"OMC^CS_EVENT_DATEJ_N(\"E\",1)":[["@NA"]],"OMC^CS_EVENT_TIME_N(\"E\",1)":[["@NA"]],"CFG^CS_EVENT_DATEJ_N(\"E\",1)":[[46219]],"CFG^CS_EVENT_TIME_N(\"E\",1)":[["9:00 AM"]],"UAL^CS_EVENT_TIME_N(\"E\",1)":[["@NA"]],"UAL^CS_EVENT_DESC_N(\"E\",1)":[["@NA"]],"HST^CS_EVENT_DATEJ_N(\"ER\",2)":[[46330]],"HST^CS_EVENT_TIME_N(\"ER\",2)":[["Unspecified"]],"HST^CS_EVENT_DESC_N(\"ER\",2)":[["Q3 2026 Earnings Release (Projected)"]],"CTSH^CS_EVENT_DATEJ_N(\"ER\",2)":[[46330]],"CTSH^CS_EVENT_TIME_N(\"ER\",2)":[["Unspecified"]],"CTSH^CS_EVENT_DESC_N(\"ER\",2)":[["Q3 2026 Earnings Release (Projected)"]],"AEP^CS_EVENT_DATEJ_N(\"ER\",2)":[[46317]],"AEP^CS_EVENT_TIME_N(\"ER\",2)":[["Unspecified"]],"AEP^CS_EVENT_DESC_N(\"ER\",2)":[["Q3 2026 Earnings Release (Projected)"]],"SYK^CS_EVENT_DATEJ_N(\"ER\",2)":[[46324]],"SYK^CS_EVENT_TIME_N(\"ER\",2)":[["Unspecified"]],"SYK^CS_EVENT_DESC_N(\"ER\",2)":[["Q3 2026 Earnings Release (Projected)"]],"GL^CS_EVENT_DATEJ_N(\"ER\",2)":[[46323]],"GL^CS_EVENT_TIME_N(\"ER\",2)":[["Unspecified"]],"GL^CS_EVENT_DESC_N(\"ER\",2)":[["Q3 2026 Earnings Release (Projected)"]],"EBAY^CS_EVENT_DATEJ_N(\"ER\",2)":[[46330]],"EBAY^CS_EVENT_TIME_N(\"ER\",2)":[["Unspecified"]],"EBAY^CS_EVENT_DESC_N(\"ER\",2)":[["Q3 2026 Earnings Release (Projected)"]],"EMR^CS_EVENT_DATEJ_N(\"ER\",2)":[[46336]],"EMR^CS_EVENT_TIME_N(\"ER\",2)":[["Unspecified"]],"EMR^CS_EVENT_DESC_N(\"ER\",2)":[["Q4 2026 Earnings Release (Projected)"]],"COR^CS_EVENT_DATEJ_N(\"ER\",2)":[[46337]],"COR^CS_EVENT_TIME_N(\"ER\",2)":[["Unspecified"]],"COR^CS_EVENT_DESC_N(\"ER\",2)":[["Q4 2026 Earnings Release (Projected)"]],"VTR^CS_EVENT_DATEJ_N(\"ER\",2)":[[46324]],"VTR^CS_EVENT_TIME_N(\"ER\",2)":[["Unspecified"]],"VTR^CS_EVENT_DESC_N(\"ER\",2)":[["Q3 2026 Earnings Release (Projected)"]],"IDXX^CS_EVENT_DATEJ_N(\"ER\",2)":[[46329]],"IDXX^CS_EVENT_TIME_N(\"ER\",2)":[["Unspecified"]],"IDXX^CS_EVENT_DESC_N(\"ER\",2)":[["Q3 2026 Earnings Release (Projected)"]],"TPL^CS_EVENT_DATEJ_N(\"ER\",2)":[[46330]],"TPL^CS_EVENT_TIME_N(\"ER\",2)":[["Unspecified"]],"TPL^CS_EVENT_DESC_N(\"ER\",2)":[["Q3 2026 Earnings Release (Projected)"]],"APA^CS_EVENT_DATEJ_N(\"ER\",2)":[[46330]],"APA^CS_EVENT_TIME_N(\"ER\",2)":[["Unspecified"]],"APA^CS_EVENT_DESC_N(\"ER\",2)":[["Q3 2026 Earnings Release (Projected)"]],"RSG^CS_EVENT_DATEJ_N(\"ER\",2)":[[46317]],"RSG^CS_EVENT_TIME_N(\"ER\",2)":[["Unspecified"]],"RSG^CS_EVENT_DESC_N(\"ER\",2)":[["Q3 2026 Earnings Release (Projected)"]],"MET^CS_EVENT_DATEJ_N(\"ER\",2)":[[46330]],"MET^CS_EVENT_TIME_N(\"ER\",2)":[["Unspecified"]],"MET^CS_EVENT_DESC_N(\"ER\",2)":[["Q3 2026 Earnings Release (Projected)"]],"CVS^CS_EVENT_DATEJ_N(\"ER\",2)":[[46330]],"CVS^CS_EVENT_TIME_N(\"ER\",2)":[["Unspecified"]],"CVS^CS_EVENT_DESC_N(\"ER\",2)":[["Q3 2026 Earnings Release (Projected)"]],"VRTX^CS_EVENT_DATEJ_N(\"ER\",2)":[[46335]],"VRTX^CS_EVENT_TIME_N(\"ER\",2)":[["Unspecified"]],"VRTX^CS_EVENT_DESC_N(\"ER\",2)":[["Q3 2026 Earnings Release (Projected)"]],"EXC^CS_EVENT_DATEJ_N(\"ER\",2)":[[46330]],"EXC^CS_EVENT_TIME_N(\"ER\",2)":[["Unspecified"]],"EXC^CS_EVENT_DESC_N(\"ER\",2)":[["Q3 2026 Earnings Release (Projected)"]],"GNRC^CS_EVENT_DATEJ_N(\"ER\",2)":[[46330]],"GNRC^CS_EVENT_TIME_N(\"ER\",2)":[["Unspecified"]],"GNRC^CS_EVENT_DESC_N(\"ER\",2)":[["Q3 2026 Earnings Release (Projected)"]],"CPAY^CS_EVENT_DATEJ_N(\"ER\",2)":[[46337]],"CPAY^CS_EVENT_TIME_N(\"ER\",2)":[["Unspecified"]],"CPAY^CS_EVENT_DESC_N(\"ER\",2)":[["Q3 2026 Earnings Release (Projected)"]],"CDW^CS_EVENT_DATEJ_N(\"ER\",2)":[[46330]],"CDW^CS_EVENT_TIME_N(\"ER\",2)":[["Unspecified"]],"CDW^CS_EVENT_DESC_N(\"ER\",2)":[["Q3 2026 Earnings Release (Projected)"]],"AWK^CS_EVENT_DATEJ_N(\"ER\",2)":[[46323]],"AWK^CS_EVENT_TIME_N(\"ER\",2)":[["Unspecified"]],"AWK^CS_EVENT_DESC_N(\"ER\",2)":[["Q3 2026 Earnings Release"]],"IR^CS_EVENT_DATEJ_N(\"ER\",2)":[[46330]],"IR^CS_EVENT_TIME_N(\"ER\",2)":[["Unspecified"]],"IR^CS_EVENT_DESC_N(\"ER\",2)":[["Q3 2026 Earnings Release (Projected)"]],"FIS^CS_EVENT_DATEJ_N(\"ER\",2)":[[46336]],"FIS^CS_EVENT_TIME_N(\"ER\",2)":[["Unspecified"]],"FIS^CS_EVENT_DESC_N(\"ER\",2)":[["Q3 2026 Earnings Release (Projected)"]],"NCLH^CS_EVENT_DATEJ_N(\"ER\",2)":[[46448]],"NCLH^CS_EVENT_TIME_N(\"ER\",2)":[["Unspecified"]],"NCLH^CS_EVENT_DESC_N(\"ER\",2)":[["Q4 2026 Earnings Release (Projected)"]],"CF^CS_EVENT_DATEJ_N(\"ER\",2)":[[46330]],"CF^CS_EVENT_TIME_N(\"ER\",2)":[["4:30 PM"]],"CF^CS_EVENT_DESC_N(\"ER\",2)":[["Q3 2026 Earnings Release"]],"MOS^CS_EVENT_DATEJ_N(\"ER\",2)":[[46336]],"MOS^CS_EVENT_TIME_N(\"ER\",2)":[["Unspecified"]],"MOS^CS_EVENT_DESC_N(\"ER\",2)":[["Q3 2026 Earnings Release (Projected)"]],"KHC^CS_EVENT_DATEJ_N(\"ER\",2)":[[46330]],"KHC^CS_EVENT_TIME_N(\"ER\",2)":[["Unspecified"]],"KHC^CS_EVENT_DESC_N(\"ER\",2)":[["Q3 2026 Earnings Release (Projected)"]],"UBER^CS_EVENT_DATEJ_N(\"ER\",2)":[[46324]],"UBER^CS_EVENT_TIME_N(\"ER\",2)":[["Unspecified"]],"UBER^CS_EVENT_DESC_N(\"ER\",2)":[["Q3 2026 Earnings Release (Projected)"]],"PSKY^CS_EVENT_DATEJ_N(\"ER\",2)":[["@NA"]],"PSKY^CS_EVENT_TIME_N(\"ER\",2)":[["@NA"]],"PSKY^CS_EVENT_DESC_N(\"ER\",2)":[["@NA"]],"GEHC^CS_EVENT_DATEJ_N(\"ER\",2)":[[46330]],"GEHC^CS_EVENT_TIME_N(\"ER\",2)":[["Unspecified"]],"GEHC^CS_EVENT_DESC_N(\"ER\",2)":[["Q3 2026 Earnings Release (Projected)"]],"GEN^CS_EVENT_DATEJ_N(\"ER\",2)":[[46336]],"GEN^CS_EVENT_TIME_N(\"ER\",2)":[["Unspecified"]],"GEN^CS_EVENT_DESC_N(\"ER\",2)":[["Q2 2027 Earnings Release (Projected)"]],"TPR^CS_EVENT_DATEJ_N(\"ER\",2)":[[46331]],"TPR^CS_EVENT_TIME_N(\"ER\",2)":[["Unspecified"]],"TPR^CS_EVENT_DESC_N(\"ER\",2)":[["Q1 2027 Earnings Release (Projected)"]],"MCK^CS_EVENT_DATEJ_N(\"ER\",2)":[[46329]],"MCK^CS_EVENT_TIME_N(\"ER\",2)":[["Unspecified"]],"MCK^CS_EVENT_DESC_N(\"ER\",2)":[["Q2 2027 Earnings Release (Projected)"]],"AKAM^CS_EVENT_DATEJ_N(\"ER\",2)":[[46336]],"AKAM^CS_EVENT_TIME_N(\"ER\",2)":[["Unspecified"]],"AKAM^CS_EVENT_DESC_N(\"ER\",2)":[["Q3 2026 Earnings Release (Projected)"]],"GWW^CS_EVENT_DATEJ_N(\"ER\",2)":[[46330]],"GWW^CS_EVENT_TIME_N(\"ER\",2)":[["8:00 AM"]],"GWW^CS_EVENT_DESC_N(\"ER\",2)":[["Q3 2026 Earnings Release"]],"CRL^CS_EVENT_DATEJ_N(\"ER\",2)":[[46337]],"CRL^CS_EVENT_TIME_N(\"ER\",2)":[["Unspecified"]],"CRL^CS_EVENT_DESC_N(\"ER\",2)":[["Q3 2026 Earnings Release (Projected)"]],"SATS^CS_EVENT_DATEJ_N(\"ER\",2)":[[46337]],"SATS^CS_EVENT_TIME_N(\"ER\",2)":[["Unspecified"]],"SATS^CS_EVENT_DESC_N(\"ER\",2)":[["Q3 2026 Earnings Release (Projected)"]],"CEG^CS_EVENT_DATEJ_N(\"ER\",2)":[[46443]],"CEG^CS_EVENT_TIME_N(\"ER\",2)":[["Unspecified"]],"CEG^CS_EVENT_DESC_N(\"ER\",2)":[["Q4 2026 Earnings Release (Projected)"]],"NWS^CS_EVENT_DATEJ_N(\"ER\",2)":[[46331]],"NWS^CS_EVENT_TIME_N(\"ER\",2)":[["Unspecified"]],"NWS^CS_EVENT_DESC_N(\"ER\",2)":[["Q1 2027 Earnings Release (Projected)"]],"NWSA^CS_EVENT_DATEJ_N(\"ER\",2)":[[46331]],"NWSA^CS_EVENT_TIME_N(\"ER\",2)":[["Unspecified"]],"NWSA^CS_EVENT_DESC_N(\"ER\",2)":[["Q1 2027 Earnings Release (Projected)"]],"COIN^CS_EVENT_DATEJ_N(\"ER\",2)":[[46324]],"COIN^CS_EVENT_TIME_N(\"ER\",2)":[["Unspecified"]],"COIN^CS_EVENT_DESC_N(\"ER\",2)":[["Q3 2026 Earnings Release (Projected)"]],"TKO^CS_EVENT_DATEJ_N(\"ER\",2)":[[46337]],"TKO^CS_EVENT_TIME_N(\"ER\",2)":[["Unspecified"]],"TKO^CS_EVENT_DESC_N(\"ER\",2)":[["Q3 2026 Earnings Release (Projected)"]],"WBD^CS_EVENT_DATEJ_N(\"ER\",2)":[[46437]],"WBD^CS_EVENT_TIME_N(\"ER\",2)":[["Unspecified"]],"WBD^CS_EVENT_DESC_N(\"ER\",2)":[["Q4 2026 Earnings Release (Projected)"]],"SOLV^CS_EVENT_DATEJ_N(\"ER\",2)":[[46331]],"SOLV^CS_EVENT_TIME_N(\"ER\",2)":[["Unspecified"]],"SOLV^CS_EVENT_DESC_N(\"ER\",2)":[["Q3 2026 Earnings Release (Projected)"]],"TSN^CS_EVENT_DATEJ_N(\"ER\",2)":[[46342]],"TSN^CS_EVENT_TIME_N(\"ER\",2)":[["Unspecified"]],"TSN^CS_EVENT_DESC_N(\"ER\",2)":[["Q4 2026 Earnings Release (Projected)"]],"MCHP^CS_EVENT_DATEJ_N(\"ER\",2)":[[46324]],"MCHP^CS_EVENT_TIME_N(\"ER\",2)":[["Unspecified"]],"MCHP^CS_EVENT_DESC_N(\"ER\",2)":[["Q2 2027 Earnings Release (Projected)"]],"SPG^CS_EVENT_DATEJ_N(\"ER\",2)":[[46328]],"SPG^CS_EVENT_TIME_N(\"ER\",2)":[["Unspecified"]],"SPG^CS_EVENT_DESC_N(\"ER\",2)":[["Q3 2026 Earnings Release (Projected)"]],"IFF^CS_EVENT_DATEJ_N(\"ER\",2)":[[46335]],"IFF^CS_EVENT_TIME_N(\"ER\",2)":[["Unspecified"]],"IFF^CS_EVENT_DESC_N(\"ER\",2)":[["Q3 2026 Earnings Release (Projected)"]],"VTRS^CS_EVENT_DATEJ_N(\"ER\",2)":[[46335]],"VTRS^CS_EVENT_TIME_N(\"ER\",2)":[["Unspecified"]],"VTRS^CS_EVENT_DESC_N(\"ER\",2)":[["Q3 2026 Earnings Release (Projected)"]],"PLTR^CS_EVENT_DATEJ_N(\"ER\",2)":[[46335]],"PLTR^CS_EVENT_TIME_N(\"ER\",2)":[["Unspecified"]],"PLTR^CS_EVENT_DESC_N(\"ER\",2)":[["Q3 2026 Earnings Release (Projected)"]],"HSIC^CS_EVENT_DATEJ_N(\"ER\",2)":[[46329]],"HSIC^CS_EVENT_TIME_N(\"ER\",2)":[["Unspecified"]],"HSIC^CS_EVENT_DESC_N(\"ER\",2)":[["Q3 2026 Earnings Release (Projected)"]],"JKHY^CS_EVENT_DATEJ_N(\"ER\",2)":[[46336]],"JKHY^CS_EVENT_TIME_N(\"ER\",2)":[["Unspecified"]],"JKHY^CS_EVENT_DESC_N(\"ER\",2)":[["Q1 2027 Earnings Release (Projected)"]],"AXON^CS_EVENT_DATEJ_N(\"ER\",2)":[[46336]],"AXON^CS_EVENT_TIME_N(\"ER\",2)":[["Unspecified"]],"AXON^CS_EVENT_DESC_N(\"ER\",2)":[["Q3 2026 Earnings Release (Projected)"]],"WAT^CS_EVENT_DATEJ_N(\"ER\",2)":[[46329]],"WAT^CS_EVENT_TIME_N(\"ER\",2)":[["Unspecified"]],"WAT^CS_EVENT_DESC_N(\"ER\",2)":[["Q3 2026 Earnings Release (Projected)"]],"ZBRA^CS_EVENT_DATEJ_N(\"ER\",2)":[[46329]],"ZBRA^CS_EVENT_TIME_N(\"ER\",2)":[["6:30 AM"]],"ZBRA^CS_EVENT_DESC_N(\"ER\",2)":[["Q3 2026 Earnings Release"]],"EXPD^CS_EVENT_DATEJ_N(\"ER\",2)":[[46329]],"EXPD^CS_EVENT_TIME_N(\"ER\",2)":[["Unspecified"]],"EXPD^CS_EVENT_DESC_N(\"ER\",2)":[["Q3 2026 Earnings Release"]],"OXY^CS_EVENT_DATEJ_N(\"ER\",2)":[[46336]],"OXY^CS_EVENT_TIME_N(\"ER\",2)":[["Unspecified"]],"OXY^CS_EVENT_DESC_N(\"ER\",2)":[["Q3 2026 Earnings Release (Projected)"]],"WYNN^CS_EVENT_DATEJ_N(\"ER\",2)":[[46331]],"WYNN^CS_EVENT_TIME_N(\"ER\",2)":[["Unspecified"]],"WYNN^CS_EVENT_DESC_N(\"ER\",2)":[["Q3 2026 Earnings Release (Projected)"]],"J^CS_EVENT_DATEJ_N(\"ER\",2)":[[46350]],"J^CS_EVENT_TIME_N(\"ER\",2)":[["Unspecified"]],"J^CS_EVENT_DESC_N(\"ER\",2)":[["Q4 2026 Earnings Release (Projected)"]],"TDG^CS_EVENT_DATEJ_N(\"ER\",2)":[[46344]],"TDG^CS_EVENT_TIME_N(\"ER\",2)":[["Unspecified"]],"TDG^CS_EVENT_DESC_N(\"ER\",2)":[["Q4 2026 Earnings Release (Projected)"]],"DUK^CS_EVENT_DATEJ_N(\"ER\",2)":[[46324]],"DUK^CS_EVENT_TIME_N(\"ER\",2)":[["Unspecified"]],"DUK^CS_EVENT_DESC_N(\"ER\",2)":[["Q3 2026 Earnings Release (Projected)"]],"LITE^CS_EVENT_DATEJ_N(\"ER\",2)":[[46336]],"LITE^CS_EVENT_TIME_N(\"ER\",2)":[["Unspecified"]],"LITE^CS_EVENT_DESC_N(\"ER\",2)":[["Q1 2027 Earnings Release (Projected)"]],"FOX^CS_EVENT_DATEJ_N(\"ER\",2)":[[46324]],"FOX^CS_EVENT_TIME_N(\"ER\",2)":[["Unspecified"]],"FOX^CS_EVENT_DESC_N(\"ER\",2)":[["Q1 2027 Earnings Release (Projected)"]],"FOXA^CS_EVENT_DATEJ_N(\"ER\",2)":[[46324]],"FOXA^CS_EVENT_TIME_N(\"ER\",2)":[["Unspecified"]],"FOXA^CS_EVENT_DESC_N(\"ER\",2)":[["Q1 2027 Earnings Release (Projected)"]],"COHR^CS_EVENT_DATEJ_N(\"ER\",2)":[[46337]],"COHR^CS_EVENT_TIME_N(\"ER\",2)":[["Unspecified"]],"COHR^CS_EVENT_DESC_N(\"ER\",2)":[["Q1 2027 Earnings Release (Projected)"]],"ATO^CS_EVENT_DATEJ_N(\"ER\",2)":[[46337]],"ATO^CS_EVENT_TIME_N(\"ER\",2)":[["Unspecified"]],"ATO^CS_EVENT_DESC_N(\"ER\",2)":[["Q4 2026 Earnings Release (Projected)"]],"NI^CS_EVENT_DATEJ_N(\"ER\",2)":[[46330]],"NI^CS_EVENT_TIME_N(\"ER\",2)":[["Unspecified"]],"NI^CS_EVENT_DESC_N(\"ER\",2)":[["Q3 2026 Earnings Release (Projected)"]],"DIS^CS_EVENT_DATEJ_N(\"ER\",2)":[[46338]],"DIS^CS_EVENT_TIME_N(\"ER\",2)":[["Unspecified"]],"DIS^CS_EVENT_DESC_N(\"ER\",2)":[["Q4 2026 Earnings Release (Projected)"]],"TTD^CS_EVENT_DATEJ_N(\"ER\",2)":[[46331]],"TTD^CS_EVENT_TIME_N(\"ER\",2)":[["Unspecified"]],"TTD^CS_EVENT_DESC_N(\"ER\",2)":[["Q3 2026 Earnings Release (Projected)"]],"VST^CS_EVENT_DATEJ_N(\"ER\",2)":[[46331]],"VST^CS_EVENT_TIME_N(\"ER\",2)":[["Unspecified"]],"VST^CS_EVENT_DESC_N(\"ER\",2)":[["Q3 2026 Earnings Release (Projected)"]],"CRH^CS_EVENT_DATEJ_N(\"ER\",2)":[[46331]],"CRH^CS_EVENT_TIME_N(\"ER\",2)":[["Unspecified"]],"CRH^CS_EVENT_DESC_N(\"ER\",2)":[["Q3 2026 Earnings Release (Projected)"]],"ABNB^CS_EVENT_DATEJ_N(\"ER\",2)":[[46330]],"ABNB^CS_EVENT_TIME_N(\"ER\",2)":[["Unspecified"]],"ABNB^CS_EVENT_DESC_N(\"ER\",2)":[["Q3 2026 Earnings Release (Projected)"]],"APP^CS_EVENT_DATEJ_N(\"ER\",2)":[[46337]],"APP^CS_EVENT_TIME_N(\"ER\",2)":[["Unspecified"]],"APP^CS_EVENT_DESC_N(\"ER\",2)":[["Q3 2026 Earnings Release (Projected)"]],"HOOD^CS_EVENT_DATEJ_N(\"ER\",2)":[[46330]],"HOOD^CS_EVENT_TIME_N(\"ER\",2)":[["Unspecified"]],"HOOD^CS_EVENT_DESC_N(\"ER\",2)":[["Q3 2026 Earnings Release (Projected)"]],"KVUE^CS_EVENT_DATEJ_N(\"ER\",2)":[[46337]],"KVUE^CS_EVENT_TIME_N(\"ER\",2)":[["Unspecified"]],"KVUE^CS_EVENT_DESC_N(\"ER\",2)":[["Q3 2026 Earnings Release (Projected)"]],"TTWO^CS_EVENT_DATEJ_N(\"ER\",2)":[[46337]],"TTWO^CS_EVENT_TIME_N(\"ER\",2)":[["Unspecified"]],"TTWO^CS_EVENT_DESC_N(\"ER\",2)":[["Q2 2027 Earnings Release (Projected)"]],"ROST^CS_EVENT_DATEJ_N(\"ER\",2)":[[46338]],"ROST^CS_EVENT_TIME_N(\"ER\",2)":[["Unspecified"]],"ROST^CS_EVENT_DESC_N(\"ER\",2)":[["Q3 2026 Earnings Release (Projected)"]],"WMT^CS_EVENT_DATEJ_N(\"ER\",2)":[[46345]],"WMT^CS_EVENT_TIME_N(\"ER\",2)":[["8:00 AM"]],"WMT^CS_EVENT_DESC_N(\"ER\",2)":[["Q3 2027 Earnings Release"]],"AMAT^CS_EVENT_DATEJ_N(\"ER\",2)":[[46338]],"AMAT^CS_EVENT_TIME_N(\"ER\",2)":[["4:01 PM"]],"AMAT^CS_EVENT_DESC_N(\"ER\",2)":[["Q4 2026 Earnings Release"]],"HD^CS_EVENT_DATEJ_N(\"ER\",2)":[[46343]],"HD^CS_EVENT_TIME_N(\"ER\",2)":[["6:00 AM"]],"HD^CS_EVENT_DESC_N(\"ER\",2)":[["Q3 2026 Earnings Release"]],"KEYS^CS_EVENT_DATEJ_N(\"ER\",2)":[[46349]],"KEYS^CS_EVENT_TIME_N(\"ER\",2)":[["Unspecified"]],"KEYS^CS_EVENT_DESC_N(\"ER\",2)":[["Q4 2026 Earnings Release (Projected)"]],"TJX^CS_EVENT_DATEJ_N(\"ER\",2)":[[46344]],"TJX^CS_EVENT_TIME_N(\"ER\",2)":[["Unspecified"]],"TJX^CS_EVENT_DESC_N(\"ER\",2)":[["Q3 2027 Earnings Release"]],"NVDA^CS_EVENT_DATEJ_N(\"ER\",2)":[[46351]],"NVDA^CS_EVENT_TIME_N(\"ER\",2)":[["Unspecified"]],"NVDA^CS_EVENT_DESC_N(\"ER\",2)":[["Q3 2027 Earnings Release (Projected)"]],"TGT^CS_EVENT_DATEJ_N(\"ER\",2)":[[46344]],"TGT^CS_EVENT_TIME_N(\"ER\",2)":[["Unspecified"]],"TGT^CS_EVENT_DESC_N(\"ER\",2)":[["Q3 2026 Earnings Release (Projected)"]],"MDT^CS_EVENT_DATEJ_N(\"ER\",2)":[[46259]],"MDT^CS_EVENT_TIME_N(\"ER\",2)":[["Unspecified"]],"MDT^CS_EVENT_DESC_N(\"ER\",2)":[["Q1 2027 Earnings Release (Projected)"]],"SNPS^CS_EVENT_DATEJ_N(\"ER\",2)":[[46435]],"SNPS^CS_EVENT_TIME_N(\"ER\",2)":[["Unspecified"]],"SNPS^CS_EVENT_DESC_N(\"ER\",2)":[["Q1 2027 Earnings Release (Projected)"]],"CSCO^CS_EVENT_DATEJ_N(\"ER\",2)":[[46435]],"CSCO^CS_EVENT_TIME_N(\"ER\",2)":[["Unspecified"]],"CSCO^CS_EVENT_DESC_N(\"ER\",2)":[["Q2 2027 Earnings Release (Projected)"]],"CPRT^CS_EVENT_DATEJ_N(\"ER\",2)":[[46344]],"CPRT^CS_EVENT_TIME_N(\"ER\",2)":[["Unspecified"]],"CPRT^CS_EVENT_DESC_N(\"ER\",2)":[["Q1 2027 Earnings Release (Projected)"]],"STE^CS_EVENT_DATEJ_N(\"ER\",2)":[[46428]],"STE^CS_EVENT_TIME_N(\"ER\",2)":[["Unspecified"]],"STE^CS_EVENT_DESC_N(\"ER\",2)":[["Q3 2027 Earnings Release (Projected)"]],"ADSK^CS_EVENT_DATEJ_N(\"ER\",2)":[[46260]],"ADSK^CS_EVENT_TIME_N(\"ER\",2)":[["Unspecified"]],"ADSK^CS_EVENT_DESC_N(\"ER\",2)":[["Q2 2027 Earnings Release (Projected)"]],"DLTR^CS_EVENT_DATEJ_N(\"ER\",2)":[[46254]],"DLTR^CS_EVENT_TIME_N(\"ER\",2)":[["Unspecified"]],"DLTR^CS_EVENT_DESC_N(\"ER\",2)":[["Q2 2026 Earnings Release (Projected)"]],"DECK^CS_EVENT_DATEJ_N(\"ER\",2)":[[46317]],"DECK^CS_EVENT_TIME_N(\"ER\",2)":[["Unspecified"]],"DECK^CS_EVENT_DESC_N(\"ER\",2)":[["Q2 2027 Earnings Release (Projected)"]],"DE^CS_EVENT_DATEJ_N(\"ER\",2)":[[46351]],"DE^CS_EVENT_TIME_N(\"ER\",2)":[["Unspecified"]],"DE^CS_EVENT_DESC_N(\"ER\",2)":[["Q4 2026 Earnings Release"]],"RL^CS_EVENT_DATEJ_N(\"ER\",2)":[[46331]],"RL^CS_EVENT_TIME_N(\"ER\",2)":[["Unspecified"]],"RL^CS_EVENT_DESC_N(\"ER\",2)":[["Q2 2027 Earnings Release (Projected)"]],"INTU^CS_EVENT_DATEJ_N(\"ER\",2)":[[46357]],"INTU^CS_EVENT_TIME_N(\"ER\",2)":[["Unspecified"]],"INTU^CS_EVENT_DESC_N(\"ER\",2)":[["Q1 2027 Earnings Release (Projected)"]],"ULTA^CS_EVENT_DATEJ_N(\"ER\",2)":[[46254]],"ULTA^CS_EVENT_TIME_N(\"ER\",2)":[["Unspecified"]],"ULTA^CS_EVENT_DESC_N(\"ER\",2)":[["Q2 2026 Earnings Release (Projected)"]],"DG^CS_EVENT_DATEJ_N(\"ER\",2)":[[46261]],"DG^CS_EVENT_TIME_N(\"ER\",2)":[["Unspecified"]],"DG^CS_EVENT_DESC_N(\"ER\",2)":[["Q2 2026 Earnings Release (Projected)"]],"WDAY^CS_EVENT_DATEJ_N(\"ER\",2)":[[46357]],"WDAY^CS_EVENT_TIME_N(\"ER\",2)":[["Unspecified"]],"WDAY^CS_EVENT_DESC_N(\"ER\",2)":[["Q3 2027 Earnings Release (Projected)"]],"NDSN^CS_EVENT_DATEJ_N(\"ER\",2)":[[46372]],"NDSN^CS_EVENT_TIME_N(\"ER\",2)":[["Unspecified"]],"NDSN^CS_EVENT_DESC_N(\"ER\",2)":[["Q4 2026 Earnings Release (Projected)"]],"AZO^CS_EVENT_DATEJ_N(\"ER\",2)":[[46364]],"AZO^CS_EVENT_TIME_N(\"ER\",2)":[["Unspecified"]],"AZO^CS_EVENT_DESC_N(\"ER\",2)":[["Q1 2027 Earnings Release (Projected)"]],"A^CS_EVENT_DATEJ_N(\"ER\",2)":[[46356]],"A^CS_EVENT_TIME_N(\"ER\",2)":[["Unspecified"]],"A^CS_EVENT_DESC_N(\"ER\",2)":[["Q4 2026 Earnings Release (Projected)"]],"PANW^CS_EVENT_DATEJ_N(\"ER\",2)":[[46258]],"PANW^CS_EVENT_TIME_N(\"ER\",2)":[["Unspecified"]],"PANW^CS_EVENT_DESC_N(\"ER\",2)":[["Q4 2026 Earnings Release (Projected)"]],"ADI^CS_EVENT_DATEJ_N(\"ER\",2)":[[46357]],"ADI^CS_EVENT_TIME_N(\"ER\",2)":[["Unspecified"]],"ADI^CS_EVENT_DESC_N(\"ER\",2)":[["Q4 2026 Earnings Release (Projected)"]],"WSM^CS_EVENT_DATEJ_N(\"ER\",2)":[[46338]],"WSM^CS_EVENT_TIME_N(\"ER\",2)":[["Unspecified"]],"WSM^CS_EVENT_DESC_N(\"ER\",2)":[["Q3 2026 Earnings Release (Projected)"]],"BBY^CS_EVENT_DATEJ_N(\"ER\",2)":[[46350]],"BBY^CS_EVENT_TIME_N(\"ER\",2)":[["Unspecified"]],"BBY^CS_EVENT_DESC_N(\"ER\",2)":[["Q3 2027 Earnings Release (Projected)"]],"LOW^CS_EVENT_DATEJ_N(\"ER\",2)":[[46344]],"LOW^CS_EVENT_TIME_N(\"ER\",2)":[["6:00 AM"]],"LOW^CS_EVENT_DESC_N(\"ER\",2)":[["Q3 2026 Earnings Release"]],"COST^CS_EVENT_DATEJ_N(\"ER\",2)":[[46289]],"COST^CS_EVENT_TIME_N(\"ER\",2)":[["Unspecified"]],"COST^CS_EVENT_DESC_N(\"ER\",2)":[["Q4 2026 Earnings Release (Projected)"]],"HRL^CS_EVENT_DATEJ_N(\"ER\",2)":[[46261]],"HRL^CS_EVENT_TIME_N(\"ER\",2)":[["Unspecified"]],"HRL^CS_EVENT_DESC_N(\"ER\",2)":[["Q3 2026 Earnings Release (Projected)"]],"LULU^CS_EVENT_DATEJ_N(\"ER\",2)":[[46261]],"LULU^CS_EVENT_TIME_N(\"ER\",2)":[["Unspecified"]],"LULU^CS_EVENT_DESC_N(\"ER\",2)":[["Q2 2026 Earnings Release (Projected)"]],"NTAP^CS_EVENT_DATEJ_N(\"ER\",2)":[[46267]],"NTAP^CS_EVENT_TIME_N(\"ER\",2)":[["4:01 PM"]],"NTAP^CS_EVENT_DESC_N(\"ER\",2)":[["Q1 2027 Earnings Release"]],"DELL^CS_EVENT_DATEJ_N(\"ER\",2)":[[46268]],"DELL^CS_EVENT_TIME_N(\"ER\",2)":[["4:05 PM"]],"DELL^CS_EVENT_DESC_N(\"ER\",2)":[["Q2 2027 Earnings Release"]],"CRWD^CS_EVENT_DATEJ_N(\"ER\",2)":[[46267]],"CRWD^CS_EVENT_TIME_N(\"ER\",2)":[["Unspecified"]],"CRWD^CS_EVENT_DESC_N(\"ER\",2)":[["Q2 2027 Earnings Release (Projected)"]],"COO^CS_EVENT_DATEJ_N(\"ER\",2)":[[46267]],"COO^CS_EVENT_TIME_N(\"ER\",2)":[["Unspecified"]],"COO^CS_EVENT_DESC_N(\"ER\",2)":[["Q3 2026 Earnings Release (Projected)"]],"HPE^CS_EVENT_DATEJ_N(\"ER\",2)":[[46266]],"HPE^CS_EVENT_TIME_N(\"ER\",2)":[["Unspecified"]],"HPE^CS_EVENT_DESC_N(\"ER\",2)":[["Q3 2026 Earnings Release (Projected)"]],"CRM^CS_EVENT_DATEJ_N(\"ER\",2)":[[46358]],"CRM^CS_EVENT_TIME_N(\"ER\",2)":[["Unspecified"]],"CRM^CS_EVENT_DESC_N(\"ER\",2)":[["Q3 2027 Earnings Release (Projected)"]],"HPQ^CS_EVENT_DATEJ_N(\"ER\",2)":[[46357]],"HPQ^CS_EVENT_TIME_N(\"ER\",2)":[["Unspecified"]],"HPQ^CS_EVENT_DESC_N(\"ER\",2)":[["Q4 2026 Earnings Release (Projected)"]],"SJM^CS_EVENT_DATEJ_N(\"ER\",2)":[[46267]],"SJM^CS_EVENT_TIME_N(\"ER\",2)":[["Unspecified"]],"SJM^CS_EVENT_DESC_N(\"ER\",2)":[["Q1 2027 Earnings Release (Projected)"]],"CIEN^CS_EVENT_DATEJ_N(\"ER\",2)":[[46268]],"CIEN^CS_EVENT_TIME_N(\"ER\",2)":[["Unspecified"]],"CIEN^CS_EVENT_DESC_N(\"ER\",2)":[["Q3 2026 Earnings Release (Projected)"]],"PANW^CS_EVENT_TIME_N(\"E\",1)":[["4:30 PM"]],"ADI^CS_EVENT_TIME_N(\"E\",1)":[["@NA"]],"GNRC^CS_EVENT_DATEJ_N(\"E\",1)":[["@NA"]],"CPAY^CS_EVENT_DATEJ_N(\"E\",1)":[["@NA"]],"CDW^CS_EVENT_DATEJ_N(\"E\",1)":[["@NA"]],"CFG^CS_EVENT_DESC_N(\"E\",1)":[["Q2 2026 Earnings Call"]],"FITB^CS_EVENT_DESC_N(\"E\",1)":[["Q2 2026 Earnings Call"]],"A^CS_EVENT_TIME_N(\"E\",1)":[["@NA"]],"A^CS_EVENT_DESC_N(\"E\",1)":[["@NA"]],"CPAY^CS_EVENT_TIME_N(\"E\",1)":[["@NA"]],"CPAY^CS_EVENT_DESC_N(\"E\",1)":[["@NA"]],"CDW^CS_EVENT_TIME_N(\"E\",1)":[["@NA"]],"CDW^CS_EVENT_DESC_N(\"E\",1)":[["@NA"]],"HOLX^CS_EVENT_DATEJ_N(\"ER\",2)":[[46237]],"HOLX^CS_EVENT_TIME_N(\"ER\",2)":[["Unspecified"]],"HOLX^CS_EVENT_DESC_N(\"ER\",2)":[["Q3 2026 Earnings Release (Projected)"]],"IRM^CS_EVENT_DATEJ_N(\"ER\",2)":[[46324]],"IRM^CS_EVENT_TIME_N(\"ER\",2)":[["Unspecified"]],"IRM^CS_EVENT_DESC_N(\"ER\",2)":[["Q3 2026 Earnings Release (Projected)"]],"COP^CS_EVENT_DATEJ_N(\"ER\",2)":[[46324]],"COP^CS_EVENT_TIME_N(\"ER\",2)":[["Unspecified"]],"COP^CS_EVENT_DESC_N(\"ER\",2)":[["Q3 2026 Earnings Release (Projected)"]],"DVA^CS_EVENT_DATEJ_N(\"ER\",2)":[[46318]],"DVA^CS_EVENT_TIME_N(\"ER\",2)":[["Unspecified"]],"DVA^CS_EVENT_DESC_N(\"ER\",2)":[["Q3 2026 Earnings Release (Projected)"]],"MPWR^CS_EVENT_DATEJ_N(\"ER\",2)":[[46330]],"MPWR^CS_EVENT_TIME_N(\"ER\",2)":[["Unspecified"]],"MPWR^CS_EVENT_DESC_N(\"ER\",2)":[["Q3 2026 Earnings Release (Projected)"]],"MO^CS_EVENT_DATEJ_N(\"ER\",2)":[[46324]],"MO^CS_EVENT_TIME_N(\"ER\",2)":[["7:00 AM"]],"MO^CS_EVENT_DESC_N(\"ER\",2)":[["Q3 2026 Earnings Release"]],"PNW^CS_EVENT_DATEJ_N(\"ER\",2)":[[46325]],"PNW^CS_EVENT_TIME_N(\"ER\",2)":[["Unspecified"]],"PNW^CS_EVENT_DESC_N(\"ER\",2)":[["Q3 2026 Earnings Release (Projected)"]],"NRG^CS_EVENT_DATEJ_N(\"ER\",2)":[[46331]],"NRG^CS_EVENT_TIME_N(\"ER\",2)":[["Unspecified"]],"NRG^CS_EVENT_DESC_N(\"ER\",2)":[["Q3 2026 Earnings Release (Projected)"]],"GDDY^CS_EVENT_DATEJ_N(\"ER\",2)":[[46324]],"GDDY^CS_EVENT_TIME_N(\"ER\",2)":[["Unspecified"]],"GDDY^CS_EVENT_DESC_N(\"ER\",2)":[["Q3 2026 Earnings Release (Projected)"]],"MRK^CS_EVENT_DATEJ_N(\"ER\",2)":[[46324]],"MRK^CS_EVENT_TIME_N(\"ER\",2)":[["6:30 AM"]],"MRK^CS_EVENT_DESC_N(\"ER\",2)":[["Q3 2026 Earnings Release"]],"LYV^CS_EVENT_DATEJ_N(\"ER\",2)":[[46324]],"LYV^CS_EVENT_TIME_N(\"ER\",2)":[["Unspecified"]],"LYV^CS_EVENT_DESC_N(\"ER\",2)":[["Q3 2026 Earnings Release (Projected)"]],"BLDR^CS_EVENT_DATEJ_N(\"ER\",2)":[[46324]],"BLDR^CS_EVENT_TIME_N(\"ER\",2)":[["Unspecified"]],"BLDR^CS_EVENT_DESC_N(\"ER\",2)":[["Q3 2026 Earnings Release (Projected)"]],"FTNT^CS_EVENT_DATEJ_N(\"ER\",2)":[[46324]],"FTNT^CS_EVENT_TIME_N(\"ER\",2)":[["Unspecified"]],"FTNT^CS_EVENT_DESC_N(\"ER\",2)":[["Q3 2026 Earnings Release (Projected)"]],"EPAM^CS_EVENT_DATEJ_N(\"ER\",2)":[[46324]],"EPAM^CS_EVENT_TIME_N(\"ER\",2)":[["Unspecified"]],"EPAM^CS_EVENT_DESC_N(\"ER\",2)":[["Q3 2026 Earnings Release (Projected)"]],"PODD^CS_EVENT_DATEJ_N(\"ER\",2)":[[46324]],"PODD^CS_EVENT_TIME_N(\"ER\",2)":[["Unspecified"]],"PODD^CS_EVENT_DESC_N(\"ER\",2)":[["Q3 2026 Earnings Release (Projected)"]],"ZTS^CS_EVENT_DATEJ_N(\"ER\",2)":[[46337]],"ZTS^CS_EVENT_TIME_N(\"ER\",2)":[["Unspecified"]],"ZTS^CS_EVENT_DESC_N(\"ER\",2)":[["Q3 2026 Earnings Release (Projected)"]],"ICE^CS_EVENT_DATEJ_N(\"ER\",2)":[[46324]],"ICE^CS_EVENT_TIME_N(\"ER\",2)":[["Unspecified"]],"ICE^CS_EVENT_DESC_N(\"ER\",2)":[["Q3 2026 Earnings Release (Projected)"]],"CVNA^CS_EVENT_DATEJ_N(\"ER\",2)":[[46324]],"CVNA^CS_EVENT_TIME_N(\"ER\",2)":[["Unspecified"]],"CVNA^CS_EVENT_DESC_N(\"ER\",2)":[["Q3 2026 Earnings Release (Projected)"]],"MSI^CS_EVENT_DATEJ_N(\"ER\",2)":[[46324]],"MSI^CS_EVENT_TIME_N(\"ER\",2)":[["Unspecified"]],"MSI^CS_EVENT_DESC_N(\"ER\",2)":[["Q3 2026 Earnings Release (Projected)"]],"HII^CS_EVENT_DATEJ_N(\"ER\",2)":[[46324]],"HII^CS_EVENT_TIME_N(\"ER\",2)":[["Unspecified"]],"HII^CS_EVENT_DESC_N(\"ER\",2)":[["Q3 2026 Earnings Release (Projected)"]],"EXPE^CS_EVENT_DATEJ_N(\"ER\",2)":[[46324]],"EXPE^CS_EVENT_TIME_N(\"ER\",2)":[["Unspecified"]],"EXPE^CS_EVENT_DESC_N(\"ER\",2)":[["Q3 2026 Earnings Release (Projected)"]],"XYZ^CS_EVENT_DATEJ_N(\"ER\",2)":[[46331]],"XYZ^CS_EVENT_TIME_N(\"ER\",2)":[["Unspecified"]],"XYZ^CS_EVENT_DESC_N(\"ER\",2)":[["Q3 2026 Earnings Release (Projected)"]],"HWM^CS_EVENT_DATEJ_N(\"ER\",2)":[[46324]],"HWM^CS_EVENT_TIME_N(\"ER\",2)":[["Unspecified"]],"HWM^CS_EVENT_DESC_N(\"ER\",2)":[["Q3 2026 Earnings Release (Projected)"]],"SW^CS_EVENT_DATEJ_N(\"ER\",2)":[[46330]],"SW^CS_EVENT_TIME_N(\"ER\",2)":[["Unspecified"]],"SW^CS_EVENT_DESC_N(\"ER\",2)":[["Q3 2026 Earnings Release (Projected)"]],"MRNA^CS_EVENT_DATEJ_N(\"ER\",2)":[[46324]],"MRNA^CS_EVENT_TIME_N(\"ER\",2)":[["Unspecified"]],"MRNA^CS_EVENT_DESC_N(\"ER\",2)":[["Q3 2026 Earnings Release (Projected)"]],"LIN^CS_EVENT_DATEJ_N(\"ER\",2)":[[46317]],"LIN^CS_EVENT_TIME_N(\"ER\",2)":[["Unspecified"]],"LIN^CS_EVENT_DESC_N(\"ER\",2)":[["Q3 2026 Earnings Release (Projected)"]],"DDOG^CS_EVENT_DATEJ_N(\"ER\",2)":[[46331]],"DDOG^CS_EVENT_TIME_N(\"ER\",2)":[["Unspecified"]],"DDOG^CS_EVENT_DESC_N(\"ER\",2)":[["Q3 2026 Earnings Release (Projected)"]],"DASH^CS_EVENT_DATEJ_N(\"ER\",2)":[[46330]],"DASH^CS_EVENT_TIME_N(\"ER\",2)":[["Unspecified"]],"DASH^CS_EVENT_DESC_N(\"ER\",2)":[["Q3 2026 Earnings Release (Projected)"]],"SNDK^CS_EVENT_DATEJ_N(\"ER\",2)":[[46331]],"SNDK^CS_EVENT_TIME_N(\"ER\",2)":[["Unspecified"]],"SNDK^CS_EVENT_DESC_N(\"ER\",2)":[["Q1 2027 Earnings Release (Projected)"]],"EVRG^CS_EVENT_DATEJ_N(\"ER\",2)":[[46331]],"EVRG^CS_EVENT_TIME_N(\"ER\",2)":[["Unspecified"]],"EVRG^CS_EVENT_DESC_N(\"ER\",2)":[["Q3 2026 Earnings Release (Projected)"]],"FRT^CS_EVENT_DATEJ_N(\"ER\",2)":[[46324]],"FRT^CS_EVENT_TIME_N(\"ER\",2)":[["Unspecified"]],"FRT^CS_EVENT_DESC_N(\"ER\",2)":[["Q3 2026 Earnings Release (Projected)"]],"CL^CS_EVENT_DATEJ_N(\"ER\",2)":[[46318]],"CL^CS_EVENT_TIME_N(\"ER\",2)":[["Unspecified"]],"CL^CS_EVENT_DESC_N(\"ER\",2)":[["Q3 2026 Earnings Release (Projected)"]],"EL^CS_EVENT_DATEJ_N(\"ER\",2)":[[46328]],"EL^CS_EVENT_TIME_N(\"ER\",2)":[["Before Market"]],"EL^CS_EVENT_DESC_N(\"ER\",2)":[["Q1 2027 Earnings Release"]],"CHD^CS_EVENT_DATEJ_N(\"ER\",2)":[[46325]],"CHD^CS_EVENT_TIME_N(\"ER\",2)":[["Unspecified"]],"CHD^CS_EVENT_DESC_N(\"ER\",2)":[["Q3 2026 Earnings Release (Projected)"]],"CBOE^CS_EVENT_DATEJ_N(\"ER\",2)":[[46325]],"CBOE^CS_EVENT_TIME_N(\"ER\",2)":[["Unspecified"]],"CBOE^CS_EVENT_DESC_N(\"ER\",2)":[["Q3 2026 Earnings Release (Projected)"]],"JCI^CS_EVENT_DATEJ_N(\"ER\",2)":[[46337]],"JCI^CS_EVENT_TIME_N(\"ER\",2)":[["Unspecified"]],"JCI^CS_EVENT_DESC_N(\"ER\",2)":[["Q4 2026 Earnings Release (Projected)"]],"WEC^CS_EVENT_DATEJ_N(\"ER\",2)":[[46329]],"WEC^CS_EVENT_TIME_N(\"ER\",2)":[["Unspecified"]],"WEC^CS_EVENT_DESC_N(\"ER\",2)":[["Q3 2026 Earnings Release (Projected)"]],"BEN^CS_EVENT_DATEJ_N(\"ER\",2)":[[46329]],"BEN^CS_EVENT_TIME_N(\"ER\",2)":[["Unspecified"]],"BEN^CS_EVENT_DESC_N(\"ER\",2)":[["Q4 2026 Earnings Release (Projected)"]],"WMB^CS_EVENT_DATEJ_N(\"ER\",2)":[[46328]],"WMB^CS_EVENT_TIME_N(\"ER\",2)":[["Unspecified"]],"WMB^CS_EVENT_DESC_N(\"ER\",2)":[["Q3 2026 Earnings Release (Projected)"]],"SBAC^CS_EVENT_DATEJ_N(\"ER\",2)":[[46328]],"SBAC^CS_EVENT_TIME_N(\"ER\",2)":[["Unspecified"]],"SBAC^CS_EVENT_DESC_N(\"ER\",2)":[["Q3 2026 Earnings Release (Projected)"]],"WELL^CS_EVENT_DATEJ_N(\"ER\",2)":[[46328]],"WELL^CS_EVENT_TIME_N(\"ER\",2)":[["Unspecified"]],"WELL^CS_EVENT_DESC_N(\"ER\",2)":[["Q3 2026 Earnings Release (Projected)"]],"L^CS_EVENT_DATEJ_N(\"ER\",2)":[[46328]],"L^CS_EVENT_TIME_N(\"ER\",2)":[["Unspecified"]],"L^CS_EVENT_DESC_N(\"ER\",2)":[["Q3 2026 Earnings Release (Projected)"]],"ON^CS_EVENT_DATEJ_N(\"ER\",2)":[[46426]],"ON^CS_EVENT_TIME_N(\"ER\",2)":[["Unspecified"]],"ON^CS_EVENT_DESC_N(\"ER\",2)":[["Q4 2026 Earnings Release (Projected)"]],"GPN^CS_EVENT_DATEJ_N(\"ER\",2)":[[46329]],"GPN^CS_EVENT_TIME_N(\"ER\",2)":[["Unspecified"]],"GPN^CS_EVENT_DESC_N(\"ER\",2)":[["Q3 2026 Earnings Release (Projected)"]],"FFIV^CS_EVENT_DATEJ_N(\"ER\",2)":[[46328]],"FFIV^CS_EVENT_TIME_N(\"ER\",2)":[["Unspecified"]],"FFIV^CS_EVENT_DESC_N(\"ER\",2)":[["Q4 2026 Earnings Release (Projected)"]],"RVTY^CS_EVENT_DATEJ_N(\"ER\",2)":[[46328]],"RVTY^CS_EVENT_TIME_N(\"ER\",2)":[["Unspecified"]],"RVTY^CS_EVENT_DESC_N(\"ER\",2)":[["Q3 2026 Earnings Release (Projected)"]],"BRK.B^CS_EVENT_DATEJ_N(\"ER\",2)":[[46328]],"BRK.B^CS_EVENT_TIME_N(\"ER\",2)":[["Unspecified"]],"BRK.B^CS_EVENT_DESC_N(\"ER\",2)":[["Q3 2026 Earnings Release (Projected)"]],"ANET^CS_EVENT_DATEJ_N(\"ER\",2)":[[46328]],"ANET^CS_EVENT_TIME_N(\"ER\",2)":[["Unspecified"]],"ANET^CS_EVENT_DESC_N(\"ER\",2)":[["Q3 2026 Earnings Release (Projected)"]],"FANG^CS_EVENT_DATEJ_N(\"ER\",2)":[[46335]],"FANG^CS_EVENT_TIME_N(\"ER\",2)":[["Unspecified"]],"FANG^CS_EVENT_DESC_N(\"ER\",2)":[["Q3 2026 Earnings Release (Projected)"]],"PRU^CS_EVENT_DATEJ_N(\"ER\",2)":[[46330]],"PRU^CS_EVENT_TIME_N(\"ER\",2)":[["Unspecified"]],"PRU^CS_EVENT_DESC_N(\"ER\",2)":[["Q3 2026 Earnings Release (Projected)"]],"AME^CS_EVENT_DATEJ_N(\"ER\",2)":[[46329]],"AME^CS_EVENT_TIME_N(\"ER\",2)":[["Unspecified"]],"AME^CS_EVENT_DESC_N(\"ER\",2)":[["Q3 2026 Earnings Release (Projected)"]],"MLM^CS_EVENT_DATEJ_N(\"ER\",2)":[[46330]],"MLM^CS_EVENT_TIME_N(\"ER\",2)":[["Unspecified"]],"MLM^CS_EVENT_DESC_N(\"ER\",2)":[["Q3 2026 Earnings Release (Projected)"]],"ITW^CS_EVENT_DATEJ_N(\"ER\",2)":[[46322]],"ITW^CS_EVENT_TIME_N(\"ER\",2)":[["Unspecified"]],"ITW^CS_EVENT_DESC_N(\"ER\",2)":[["Q3 2026 Earnings Release (Projected)"]],"SBUX^CS_EVENT_DATEJ_N(\"ER\",2)":[[46324]],"SBUX^CS_EVENT_TIME_N(\"ER\",2)":[["Unspecified"]],"SBUX^CS_EVENT_DESC_N(\"ER\",2)":[["Q4 2026 Earnings Release (Projected)"]],"GLW^CS_EVENT_DATEJ_N(\"ER\",2)":[[46329]],"GLW^CS_EVENT_TIME_N(\"ER\",2)":[["Unspecified"]],"GLW^CS_EVENT_DESC_N(\"ER\",2)":[["Q3 2026 Earnings Release (Projected)"]],"CLX^CS_EVENT_DATEJ_N(\"ER\",2)":[[46330]],"CLX^CS_EVENT_TIME_N(\"ER\",2)":[["Unspecified"]],"CLX^CS_EVENT_DESC_N(\"ER\",2)":[["Q1 2027 Earnings Release (Projected)"]],"DVN^CS_EVENT_DATEJ_N(\"ER\",2)":[[46336]],"DVN^CS_EVENT_TIME_N(\"ER\",2)":[["Unspecified"]],"DVN^CS_EVENT_DESC_N(\"ER\",2)":[["Q3 2026 Earnings Release (Projected)"]],"SWKS^CS_EVENT_DATEJ_N(\"ER\",2)":[[46324]],"SWKS^CS_EVENT_TIME_N(\"ER\",2)":[["Unspecified"]],"SWKS^CS_EVENT_DESC_N(\"ER\",2)":[["Q4 2026 Earnings Release (Projected)"]],"OKE^CS_EVENT_DATEJ_N(\"ER\",2)":[[46329]],"OKE^CS_EVENT_TIME_N(\"ER\",2)":[["Unspecified"]],"OKE^CS_EVENT_DESC_N(\"ER\",2)":[["Q3 2026 Earnings Release (Projected)"]],"BXP^CS_EVENT_DATEJ_N(\"ER\",2)":[[46329]],"BXP^CS_EVENT_TIME_N(\"ER\",2)":[["Unspecified"]],"BXP^CS_EVENT_DESC_N(\"ER\",2)":[["Q3 2026 Earnings Release (Projected)"]],"SYY^CS_EVENT_DATEJ_N(\"ER\",2)":[[46329]],"SYY^CS_EVENT_TIME_N(\"ER\",2)":[["Unspecified"]],"SYY^CS_EVENT_DESC_N(\"ER\",2)":[["Q1 2027 Earnings Release (Projected)"]],"ETN^CS_EVENT_DATEJ_N(\"ER\",2)":[[46329]],"ETN^CS_EVENT_TIME_N(\"ER\",2)":[["Unspecified"]],"ETN^CS_EVENT_DESC_N(\"ER\",2)":[["Q3 2026 Earnings Release (Projected)"]],"AAPL^CS_EVENT_DATEJ_N(\"ER\",2)":[[46324]],"AAPL^CS_EVENT_TIME_N(\"ER\",2)":[["Unspecified"]],"AAPL^CS_EVENT_DESC_N(\"ER\",2)":[["Q4 2026 Earnings Release (Projected)"]],"WY^CS_EVENT_DATEJ_N(\"ER\",2)":[[46317]],"WY^CS_EVENT_TIME_N(\"ER\",2)":[["Unspecified"]],"WY^CS_EVENT_DESC_N(\"ER\",2)":[["Q3 2026 Earnings Release (Projected)"]],"PWR^CS_EVENT_DATEJ_N(\"ER\",2)":[[46324]],"PWR^CS_EVENT_TIME_N(\"ER\",2)":[["Unspecified"]],"PWR^CS_EVENT_DESC_N(\"ER\",2)":[["Q3 2026 Earnings Release (Projected)"]],"CTRA^CS_EVENT_DATEJ_N(\"ER\",2)":[[46239]],"CTRA^CS_EVENT_TIME_N(\"ER\",2)":[["Unspecified"]],"CTRA^CS_EVENT_DESC_N(\"ER\",2)":[["Q2 2026 Earnings Release (Projected)"]],"GNRC^CS_EVENT_TIME_N(\"E\",1)":[["@NA"]],"ISRG^CS_EVENT_DATEJ_N(\"E\",1)":[["@NA"]],"NTRS^CS_EVENT_DATEJ_N(\"E\",1)":[[46225]],"UAL^CS_EVENT_DATEJ_N(\"E\",1)":[["@NA"]],"FITB^CS_EVENT_DATEJ_N(\"E\",1)":[[46220]],"TFC^CS_EVENT_DATEJ_N(\"E\",1)":[[46220]],"STT^CS_EVENT_DATEJ_N(\"E\",1)":[["@NA"]],"RF^CS_EVENT_DATEJ_N(\"E\",1)":[[46220]],"PANW^CS_EVENT_DESC_N(\"E\",1)":[["Q3 2026 Earnings Call"]],"ADI^CS_EVENT_DESC_N(\"E\",1)":[["@NA"]],"WSM^CS_EVENT_DESC_N(\"E\",1)":[["@NA"]],"BBY^CS_EVENT_DESC_N(\"E\",1)":[["@NA"]],"LOW^CS_EVENT_DESC_N(\"E\",1)":[["Q2 2026 Earnings Call"]],"OMC^CS_EVENT_DESC_N(\"E\",1)":[["@NA"]],"ISRG^CS_EVENT_DESC_N(\"E\",1)":[["@NA"]],"NTRS^CS_EVENT_DESC_N(\"E\",1)":[["Q2 2026 Earnings Call"]],"Q^CS_EVENT_DATEJ_N(\"ER\",2)":[[46525]],"Q^CS_EVENT_TIME_N(\"ER\",2)":[["Unspecified"]],"Q^CS_EVENT_DESC_N(\"ER\",2)":[["Q1 2027 Earnings Release (Projected)"]],"CAG^CS_EVENT_DATEJ_N(\"ER\",2)":[[46296]],"CAG^CS_EVENT_TIME_N(\"ER\",2)":[["Unspecified"]],"CAG^CS_EVENT_DESC_N(\"ER\",2)":[["Q1 2027 Earnings Release (Projected)"]],"STZ^CS_EVENT_DATEJ_N(\"ER\",2)":[[46296]],"STZ^CS_EVENT_TIME_N(\"ER\",2)":[["Unspecified"]],"STZ^CS_EVENT_DESC_N(\"ER\",2)":[["Q2 2027 Earnings Release (Projected)"]],"DAL^CS_EVENT_DATEJ_N(\"ER\",2)":[[46303]],"DAL^CS_EVENT_TIME_N(\"ER\",2)":[["Unspecified"]],"DAL^CS_EVENT_DESC_N(\"ER\",2)":[["Q3 2026 Earnings Release (Projected)"]],"PGR^CS_EVENT_DATEJ_N(\"ER\",2)":[[46303]],"PGR^CS_EVENT_TIME_N(\"ER\",2)":[["Unspecified"]],"PGR^CS_EVENT_DESC_N(\"ER\",2)":[["Q3 2026 Earnings Release (Projected)"]],"FAST^CS_EVENT_DATEJ_N(\"ER\",2)":[[46309]],"FAST^CS_EVENT_TIME_N(\"ER\",2)":[["7:00 AM"]],"FAST^CS_EVENT_DESC_N(\"ER\",2)":[["Q3 2026 Earnings Release"]],"GS^CS_EVENT_DATEJ_N(\"ER\",2)":[[46308]],"GS^CS_EVENT_TIME_N(\"ER\",2)":[["7:30 AM"]],"GS^CS_EVENT_DESC_N(\"ER\",2)":[["Q3 2026 Earnings Release"]],"JPM^CS_EVENT_DATEJ_N(\"ER\",2)":[[46308]],"JPM^CS_EVENT_TIME_N(\"ER\",2)":[["6:45 AM"]],"JPM^CS_EVENT_DESC_N(\"ER\",2)":[["Q3 2026 Earnings Release"]],"WFC^CS_EVENT_DATEJ_N(\"ER\",2)":[[46308]],"WFC^CS_EVENT_TIME_N(\"ER\",2)":[["7:00 AM"]],"WFC^CS_EVENT_DESC_N(\"ER\",2)":[["Q3 2026 Earnings Release"]],"JNJ^CS_EVENT_DATEJ_N(\"ER\",2)":[[46315]],"JNJ^CS_EVENT_TIME_N(\"ER\",2)":[["Unspecified"]],"JNJ^CS_EVENT_DESC_N(\"ER\",2)":[["Q3 2026 Earnings Release (Projected)"]],"BLK^CS_EVENT_DATEJ_N(\"ER\",2)":[[46304]],"BLK^CS_EVENT_TIME_N(\"ER\",2)":[["Unspecified"]],"BLK^CS_EVENT_DESC_N(\"ER\",2)":[["Q3 2026 Earnings Release (Projected)"]],"C^CS_EVENT_DATEJ_N(\"ER\",2)":[[46308]],"C^CS_EVENT_TIME_N(\"ER\",2)":[["8:00 AM"]],"C^CS_EVENT_DESC_N(\"ER\",2)":[["Q3 2026 Earnings Release"]],"BAC^CS_EVENT_DATEJ_N(\"ER\",2)":[[46309]],"BAC^CS_EVENT_TIME_N(\"ER\",2)":[["6:45 AM"]],"BAC^CS_EVENT_DESC_N(\"ER\",2)":[["Q3 2026 Earnings Release"]],"MS^CS_EVENT_DATEJ_N(\"ER\",2)":[[46309]],"MS^CS_EVENT_TIME_N(\"ER\",2)":[["7:30 AM"]],"MS^CS_EVENT_DESC_N(\"ER\",2)":[["Q3 2026 Earnings Release"]],"MTB^CS_EVENT_DATEJ_N(\"ER\",2)":[[46311]],"MTB^CS_EVENT_TIME_N(\"ER\",2)":[["Before Market"]],"MTB^CS_EVENT_DESC_N(\"ER\",2)":[["Q3 2026 Earnings Release"]],"PNC^CS_EVENT_DATEJ_N(\"ER\",2)":[[46310]],"PNC^CS_EVENT_TIME_N(\"ER\",2)":[["Before Market"]],"PNC^CS_EVENT_DESC_N(\"ER\",2)":[["Q3 2026 Earnings Release"]],"KEY^CS_EVENT_DATEJ_N(\"ER\",2)":[[46315]],"KEY^CS_EVENT_TIME_N(\"ER\",2)":[["6:30 AM"]],"KEY^CS_EVENT_DESC_N(\"ER\",2)":[["Q3 2026 Earnings Release"]],"FCX^CS_EVENT_DATEJ_N(\"ER\",2)":[[46310]],"FCX^CS_EVENT_TIME_N(\"ER\",2)":[["Unspecified"]],"FCX^CS_EVENT_DESC_N(\"ER\",2)":[["Q3 2026 Earnings Release (Projected)"]],"USB^CS_EVENT_DATEJ_N(\"ER\",2)":[[46310]],"USB^CS_EVENT_TIME_N(\"ER\",2)":[["6:45 AM"]],"USB^CS_EVENT_DESC_N(\"ER\",2)":[["Q3 2026 Earnings Release"]],"POOL^CS_EVENT_DATEJ_N(\"ER\",2)":[[46310]],"POOL^CS_EVENT_TIME_N(\"ER\",2)":[["Unspecified"]],"POOL^CS_EVENT_DESC_N(\"ER\",2)":[["Q3 2026 Earnings Release (Projected)"]],"SNA^CS_EVENT_DATEJ_N(\"ER\",2)":[[46310]],"SNA^CS_EVENT_TIME_N(\"ER\",2)":[["Unspecified"]],"SNA^CS_EVENT_DESC_N(\"ER\",2)":[["Q3 2026 Earnings Release (Projected)"]],"MRSH^CS_EVENT_DATEJ_N(\"ER\",2)":[[46310]],"MRSH^CS_EVENT_TIME_N(\"ER\",2)":[["Unspecified"]],"MRSH^CS_EVENT_DESC_N(\"ER\",2)":[["Q3 2026 Earnings Release (Projected)"]],"NFLX^CS_EVENT_DATEJ_N(\"ER\",2)":[[46315]],"NFLX^CS_EVENT_TIME_N(\"ER\",2)":[["Unspecified"]],"NFLX^CS_EVENT_DESC_N(\"ER\",2)":[["Q3 2026 Earnings Release (Projected)"]],"PLD^CS_EVENT_DATEJ_N(\"ER\",2)":[[46316]],"PLD^CS_EVENT_TIME_N(\"ER\",2)":[["Unspecified"]],"PLD^CS_EVENT_DESC_N(\"ER\",2)":[["Q3 2026 Earnings Release (Projected)"]],"ABT^CS_EVENT_DATEJ_N(\"ER\",2)":[[46316]],"ABT^CS_EVENT_TIME_N(\"ER\",2)":[["Unspecified"]],"ABT^CS_EVENT_DESC_N(\"ER\",2)":[["Q3 2026 Earnings Release (Projected)"]],"PPG^CS_EVENT_DATEJ_N(\"ER\",2)":[[46316]],"PPG^CS_EVENT_TIME_N(\"ER\",2)":[["Unspecified"]],"PPG^CS_EVENT_DESC_N(\"ER\",2)":[["Q3 2026 Earnings Release (Projected)"]],"BK^CS_EVENT_DATEJ_N(\"ER\",2)":[[46218]],"BK^CS_EVENT_TIME_N(\"ER\",2)":[["6:30 AM"]],"BK^CS_EVENT_DESC_N(\"ER\",2)":[["Q2 2026 Earnings Release"]],"TRV^CS_EVENT_DATEJ_N(\"ER\",2)":[[46316]],"TRV^CS_EVENT_TIME_N(\"ER\",2)":[["Unspecified"]],"TRV^CS_EVENT_DESC_N(\"ER\",2)":[["Q3 2026 Earnings Release (Projected)"]],"BX^CS_EVENT_DATEJ_N(\"ER\",2)":[[46310]],"BX^CS_EVENT_TIME_N(\"ER\",2)":[["Unspecified"]],"BX^CS_EVENT_DESC_N(\"ER\",2)":[["Q3 2026 Earnings Release (Projected)"]],"CFG^CS_EVENT_DATEJ_N(\"ER\",2)":[[46311]],"CFG^CS_EVENT_TIME_N(\"ER\",2)":[["6:20 AM"]],"CFG^CS_EVENT_DESC_N(\"ER\",2)":[["Q3 2026 Earnings Release"]],"FITB^CS_EVENT_DATEJ_N(\"ER\",2)":[[46314]],"FITB^CS_EVENT_TIME_N(\"ER\",2)":[["6:30 AM"]],"FITB^CS_EVENT_DESC_N(\"ER\",2)":[["Q3 2026 Earnings Release"]],"TFC^CS_EVENT_DATEJ_N(\"ER\",2)":[[46220]],"TFC^CS_EVENT_TIME_N(\"ER\",2)":[["Before Market"]],"TFC^CS_EVENT_DESC_N(\"ER\",2)":[["Q2 2026 Earnings Release"]],"STT^CS_EVENT_DATEJ_N(\"ER\",2)":[[46315]],"STT^CS_EVENT_TIME_N(\"ER\",2)":[["Unspecified"]],"STT^CS_EVENT_DESC_N(\"ER\",2)":[["Q3 2026 Earnings Release (Projected)"]],"RF^CS_EVENT_DATEJ_N(\"ER\",2)":[[46311]],"RF^CS_EVENT_TIME_N(\"ER\",2)":[["6:00 AM"]],"RF^CS_EVENT_DESC_N(\"ER\",2)":[["Q3 2026 Earnings Release"]],"STLD^CS_EVENT_DATEJ_N(\"ER\",2)":[[46316]],"STLD^CS_EVENT_TIME_N(\"ER\",2)":[["Unspecified"]],"STLD^CS_EVENT_DESC_N(\"ER\",2)":[["Q3 2026 Earnings Release (Projected)"]],"SCHW^CS_EVENT_DATEJ_N(\"ER\",2)":[[46310]],"SCHW^CS_EVENT_TIME_N(\"ER\",2)":[["Unspecified"]],"SCHW^CS_EVENT_DESC_N(\"ER\",2)":[["Q3 2026 Earnings Release (Projected)"]],"JBHT^CS_EVENT_DATEJ_N(\"ER\",2)":[[46315]],"JBHT^CS_EVENT_TIME_N(\"ER\",2)":[["Unspecified"]],"JBHT^CS_EVENT_DESC_N(\"ER\",2)":[["Q3 2026 Earnings Release (Projected)"]],"RTX^CS_EVENT_DATEJ_N(\"ER\",2)":[[46322]],"RTX^CS_EVENT_TIME_N(\"ER\",2)":[["Unspecified"]],"RTX^CS_EVENT_DESC_N(\"ER\",2)":[["Q3 2026 Earnings Release (Projected)"]],"LMT^CS_EVENT_DATEJ_N(\"ER\",2)":[[46322]],"LMT^CS_EVENT_TIME_N(\"ER\",2)":[["Unspecified"]],"LMT^CS_EVENT_DESC_N(\"ER\",2)":[["Q3 2026 Earnings Release (Projected)"]],"DHR^CS_EVENT_DATEJ_N(\"ER\",2)":[[46322]],"DHR^CS_EVENT_TIME_N(\"ER\",2)":[["Unspecified"]],"DHR^CS_EVENT_DESC_N(\"ER\",2)":[["Q3 2026 Earnings Release (Projected)"]],"UNH^CS_EVENT_DATEJ_N(\"ER\",2)":[[46304]],"UNH^CS_EVENT_TIME_N(\"ER\",2)":[["Unspecified"]],"UNH^CS_EVENT_DESC_N(\"ER\",2)":[["Q3 2026 Earnings Release (Projected)"]],"HAL^CS_EVENT_DATEJ_N(\"ER\",2)":[[46322]],"HAL^CS_EVENT_TIME_N(\"ER\",2)":[["Unspecified"]],"HAL^CS_EVENT_DESC_N(\"ER\",2)":[["Q3 2026 Earnings Release (Projected)"]],"WRB^CS_EVENT_DATEJ_N(\"ER\",2)":[[46321]],"WRB^CS_EVENT_TIME_N(\"ER\",2)":[["Unspecified"]],"WRB^CS_EVENT_DESC_N(\"ER\",2)":[["Q3 2026 Earnings Release (Projected)"]],"COF^CS_EVENT_DATEJ_N(\"ER\",2)":[[46317]],"COF^CS_EVENT_TIME_N(\"ER\",2)":[["Unspecified"]],"COF^CS_EVENT_DESC_N(\"ER\",2)":[["Q3 2026 Earnings Release (Projected)"]],"TSCO^CS_EVENT_DATEJ_N(\"ER\",2)":[[46317]],"TSCO^CS_EVENT_TIME_N(\"ER\",2)":[["Unspecified"]],"TSCO^CS_EVENT_DESC_N(\"ER\",2)":[["Q3 2026 Earnings Release (Projected)"]],"GE^CS_EVENT_DATEJ_N(\"ER\",2)":[[46315]],"GE^CS_EVENT_TIME_N(\"ER\",2)":[["Unspecified"]],"GE^CS_EVENT_DESC_N(\"ER\",2)":[["Q3 2026 Earnings Release"]],"GPC^CS_EVENT_DATEJ_N(\"ER\",2)":[[46310]],"GPC^CS_EVENT_TIME_N(\"ER\",2)":[["Unspecified"]],"GPC^CS_EVENT_DESC_N(\"ER\",2)":[["Q3 2026 Earnings Release (Projected)"]],"NOC^CS_EVENT_DATEJ_N(\"ER\",2)":[[46317]],"NOC^CS_EVENT_TIME_N(\"ER\",2)":[["Unspecified"]],"NOC^CS_EVENT_DESC_N(\"ER\",2)":[["Q3 2026 Earnings Release (Projected)"]],"DGX^CS_EVENT_DATEJ_N(\"ER\",2)":[[46322]],"DGX^CS_EVENT_TIME_N(\"ER\",2)":[["Unspecified"]],"DGX^CS_EVENT_DESC_N(\"ER\",2)":[["Q3 2026 Earnings Release (Projected)"]],"DHI^CS_EVENT_DATEJ_N(\"ER\",2)":[[46324]],"DHI^CS_EVENT_TIME_N(\"ER\",2)":[["Before Market"]],"DHI^CS_EVENT_DESC_N(\"ER\",2)":[["Q4 2026 Earnings Release"]],"OMC^CS_EVENT_DATEJ_N(\"ER\",2)":[[46315]],"OMC^CS_EVENT_TIME_N(\"ER\",2)":[["Unspecified"]],"OMC^CS_EVENT_DESC_N(\"ER\",2)":[["Q3 2026 Earnings Release (Projected)"]],"ISRG^CS_EVENT_DATEJ_N(\"ER\",2)":[[46315]],"ISRG^CS_EVENT_TIME_N(\"ER\",2)":[["Unspecified"]],"ISRG^CS_EVENT_DESC_N(\"ER\",2)":[["Q3 2026 Earnings Release (Projected)"]],"NTRS^CS_EVENT_DATEJ_N(\"ER\",2)":[[46316]],"NTRS^CS_EVENT_TIME_N(\"ER\",2)":[["Before Market"]],"NTRS^CS_EVENT_DESC_N(\"ER\",2)":[["Q3 2026 Earnings Release"]],"UAL^CS_EVENT_DATEJ_N(\"ER\",2)":[[46315]],"UAL^CS_EVENT_TIME_N(\"ER\",2)":[["Unspecified"]],"UAL^CS_EVENT_DESC_N(\"ER\",2)":[["Q3 2026 Earnings Release (Projected)"]],"IBKR^CS_EVENT_DATEJ_N(\"ER\",2)":[[46315]],"IBKR^CS_EVENT_TIME_N(\"ER\",2)":[["Unspecified"]],"IBKR^CS_EVENT_DESC_N(\"ER\",2)":[["Q3 2026 Earnings Release (Projected)"]],"CB^CS_EVENT_DATEJ_N(\"ER\",2)":[[46322]],"CB^CS_EVENT_TIME_N(\"ER\",2)":[["Unspecified"]],"CB^CS_EVENT_DESC_N(\"ER\",2)":[["Q3 2026 Earnings Release (Projected)"]],"SYF^CS_EVENT_DATEJ_N(\"ER\",2)":[[46316]],"SYF^CS_EVENT_TIME_N(\"ER\",2)":[["Unspecified"]],"SYF^CS_EVENT_DESC_N(\"ER\",2)":[["Q3 2026 Earnings Release (Projected)"]],"BSX^CS_EVENT_DATEJ_N(\"ER\",2)":[[46323]],"BSX^CS_EVENT_TIME_N(\"ER\",2)":[["Unspecified"]],"BSX^CS_EVENT_DESC_N(\"ER\",2)":[["Q3 2026 Earnings Release (Projected)"]],"CCI^CS_EVENT_DATEJ_N(\"ER\",2)":[[46316]],"CCI^CS_EVENT_TIME_N(\"ER\",2)":[["Unspecified"]],"CCI^CS_EVENT_DESC_N(\"ER\",2)":[["Q3 2026 Earnings Release (Projected)"]],"EFX^CS_EVENT_DATEJ_N(\"ER\",2)":[[46316]],"EFX^CS_EVENT_TIME_N(\"ER\",2)":[["Unspecified"]],"EFX^CS_EVENT_DESC_N(\"ER\",2)":[["Q3 2026 Earnings Release (Projected)"]],"RJF^CS_EVENT_DATEJ_N(\"ER\",2)":[[46323]],"RJF^CS_EVENT_TIME_N(\"ER\",2)":[["4:15 PM"]],"RJF^CS_EVENT_DESC_N(\"ER\",2)":[["Q4 2026 Earnings Release"]],"IBM^CS_EVENT_DATEJ_N(\"ER\",2)":[[46316]],"IBM^CS_EVENT_TIME_N(\"ER\",2)":[["4:08 PM"]],"IBM^CS_EVENT_DESC_N(\"ER\",2)":[["Q3 2026 Earnings Release"]],"BA^CS_EVENT_DATEJ_N(\"ER\",2)":[[46323]],"BA^CS_EVENT_TIME_N(\"ER\",2)":[["Unspecified"]],"BA^CS_EVENT_DESC_N(\"ER\",2)":[["Q3 2026 Earnings Release (Projected)"]],"MAS^CS_EVENT_DATEJ_N(\"ER\",2)":[[46323]],"MAS^CS_EVENT_TIME_N(\"ER\",2)":[["Unspecified"]],"MAS^CS_EVENT_DESC_N(\"ER\",2)":[["Q3 2026 Earnings Release (Projected)"]],"WAB^CS_EVENT_DATEJ_N(\"ER\",2)":[[46323]],"WAB^CS_EVENT_TIME_N(\"ER\",2)":[["Unspecified"]],"WAB^CS_EVENT_DESC_N(\"ER\",2)":[["Q3 2026 Earnings Release (Projected)"]],"CSX^CS_EVENT_DATEJ_N(\"ER\",2)":[[46310]],"CSX^CS_EVENT_TIME_N(\"ER\",2)":[["Unspecified"]],"CSX^CS_EVENT_DESC_N(\"ER\",2)":[["Q3 2026 Earnings Release (Projected)"]],"LUV^CS_EVENT_DATEJ_N(\"ER\",2)":[[46316]],"LUV^CS_EVENT_TIME_N(\"ER\",2)":[["Unspecified"]],"LUV^CS_EVENT_DESC_N(\"ER\",2)":[["Q3 2026 Earnings Release"]],"PKG^CS_EVENT_DATEJ_N(\"ER\",2)":[[46321]],"PKG^CS_EVENT_TIME_N(\"ER\",2)":[["Unspecified"]],"PKG^CS_EVENT_DESC_N(\"ER\",2)":[["Q3 2026 Earnings Release (Projected)"]],"KMI^CS_EVENT_DATEJ_N(\"ER\",2)":[[46407]],"KMI^CS_EVENT_TIME_N(\"ER\",2)":[["Unspecified"]],"KMI^CS_EVENT_DESC_N(\"ER\",2)":[["Q4 2026 Earnings Release (Projected)"]],"NDAQ^CS_EVENT_DATEJ_N(\"ER\",2)":[[46316]],"NDAQ^CS_EVENT_TIME_N(\"ER\",2)":[["Unspecified"]],"NDAQ^CS_EVENT_DESC_N(\"ER\",2)":[["Q3 2026 Earnings Release (Projected)"]],"ELV^CS_EVENT_DATEJ_N(\"ER\",2)":[[46316]],"ELV^CS_EVENT_TIME_N(\"ER\",2)":[["Unspecified"]],"ELV^CS_EVENT_DESC_N(\"ER\",2)":[["Q3 2026 Earnings Release (Projected)"]],"CME^CS_EVENT_DATEJ_N(\"ER\",2)":[[46323]],"CME^CS_EVENT_TIME_N(\"ER\",2)":[["Unspecified"]],"CME^CS_EVENT_DESC_N(\"ER\",2)":[["Q3 2026 Earnings Release (Projected)"]],"T^CS_EVENT_DATEJ_N(\"ER\",2)":[[46323]],"T^CS_EVENT_TIME_N(\"ER\",2)":[["Unspecified"]],"T^CS_EVENT_DESC_N(\"ER\",2)":[["Q3 2026 Earnings Release (Projected)"]],"PM^CS_EVENT_DATEJ_N(\"ER\",2)":[[46315]],"PM^CS_EVENT_TIME_N(\"ER\",2)":[["Before Market"]],"PM^CS_EVENT_DESC_N(\"ER\",2)":[["Q3 2026 Earnings Release"]],"GEV^CS_EVENT_DATEJ_N(\"ER\",2)":[[46323]],"GEV^CS_EVENT_TIME_N(\"ER\",2)":[["Unspecified"]],"GEV^CS_EVENT_DESC_N(\"ER\",2)":[["Q3 2026 Earnings Release (Projected)"]],"PHM^CS_EVENT_DATEJ_N(\"ER\",2)":[[46322]],"PHM^CS_EVENT_TIME_N(\"ER\",2)":[["Unspecified"]],"PHM^CS_EVENT_DESC_N(\"ER\",2)":[["Q3 2026 Earnings Release (Projected)"]],"CPT^CS_EVENT_DATEJ_N(\"ER\",2)":[[46317]],"CPT^CS_EVENT_TIME_N(\"ER\",2)":[["Unspecified"]],"CPT^CS_EVENT_DESC_N(\"ER\",2)":[["Q3 2026 Earnings Release (Projected)"]],"WST^CS_EVENT_DATEJ_N(\"ER\",2)":[[46317]],"WST^CS_EVENT_TIME_N(\"ER\",2)":[["Unspecified"]],"WST^CS_EVENT_DESC_N(\"ER\",2)":[["Q3 2026 Earnings Release (Projected)"]],"RMD^CS_EVENT_DATEJ_N(\"ER\",2)":[[46317]],"RMD^CS_EVENT_TIME_N(\"ER\",2)":[["Unspecified"]],"RMD^CS_EVENT_DESC_N(\"ER\",2)":[["Q1 2027 Earnings Release (Projected)"]],"HON^CS_EVENT_DATEJ_N(\"ER\",2)":[[46317]],"HON^CS_EVENT_TIME_N(\"ER\",2)":[["Unspecified"]],"HON^CS_EVENT_DESC_N(\"ER\",2)":[["Q3 2026 Earnings Release (Projected)"]],"PCG^CS_EVENT_DATEJ_N(\"ER\",2)":[[46317]],"PCG^CS_EVENT_TIME_N(\"ER\",2)":[["Unspecified"]],"PCG^CS_EVENT_DESC_N(\"ER\",2)":[["Q3 2026 Earnings Release (Projected)"]],"AOS^CS_EVENT_DATEJ_N(\"ER\",2)":[[46317]],"AOS^CS_EVENT_TIME_N(\"ER\",2)":[["Unspecified"]],"AOS^CS_EVENT_DESC_N(\"ER\",2)":[["Q3 2026 Earnings Release (Projected)"]],"NEM^CS_EVENT_DATEJ_N(\"ER\",2)":[[46317]],"NEM^CS_EVENT_TIME_N(\"ER\",2)":[["Unspecified"]],"NEM^CS_EVENT_DESC_N(\"ER\",2)":[["Q3 2026 Earnings Release (Projected)"]],"KIM^CS_EVENT_DATEJ_N(\"ER\",2)":[[46324]],"KIM^CS_EVENT_TIME_N(\"ER\",2)":[["Unspecified"]],"KIM^CS_EVENT_DESC_N(\"ER\",2)":[["Q3 2026 Earnings Release (Projected)"]],"HSY^CS_EVENT_DATEJ_N(\"ER\",2)":[[46317]],"HSY^CS_EVENT_TIME_N(\"ER\",2)":[["Unspecified"]],"HSY^CS_EVENT_DESC_N(\"ER\",2)":[["Q3 2026 Earnings Release (Projected)"]],"VRSN^CS_EVENT_DATEJ_N(\"ER\",2)":[[46317]],"VRSN^CS_EVENT_TIME_N(\"ER\",2)":[["Unspecified"]],"VRSN^CS_EVENT_DESC_N(\"ER\",2)":[["Q3 2026 Earnings Release (Projected)"]],"CINF^CS_EVENT_DATEJ_N(\"ER\",2)":[[46317]],"CINF^CS_EVENT_TIME_N(\"ER\",2)":[["Unspecified"]],"CINF^CS_EVENT_DESC_N(\"ER\",2)":[["Q3 2026 Earnings Release (Projected)"]],"AJG^CS_EVENT_DATEJ_N(\"ER\",2)":[[46317]],"AJG^CS_EVENT_TIME_N(\"ER\",2)":[["Unspecified"]],"AJG^CS_EVENT_DESC_N(\"ER\",2)":[["Q3 2026 Earnings Release (Projected)"]],"WTW^CS_EVENT_DATEJ_N(\"ER\",2)":[[46317]],"WTW^CS_EVENT_TIME_N(\"ER\",2)":[["Unspecified"]],"WTW^CS_EVENT_DESC_N(\"ER\",2)":[["Q3 2026 Earnings Release (Projected)"]],"GILD^CS_EVENT_DATEJ_N(\"ER\",2)":[[46422]],"GILD^CS_EVENT_TIME_N(\"ER\",2)":[["Unspecified"]],"GILD^CS_EVENT_DESC_N(\"ER\",2)":[["Q4 2026 Earnings Release (Projected)"]],"ERIE^CS_EVENT_DATEJ_N(\"ER\",2)":[[46317]],"ERIE^CS_EVENT_TIME_N(\"ER\",2)":[["Unspecified"]],"ERIE^CS_EVENT_DESC_N(\"ER\",2)":[["Q3 2026 Earnings Release (Projected)"]],"DOV^CS_EVENT_DATEJ_N(\"ER\",2)":[[46317]],"DOV^CS_EVENT_TIME_N(\"ER\",2)":[["Unspecified"]],"DOV^CS_EVENT_DESC_N(\"ER\",2)":[["Q3 2026 Earnings Release (Projected)"]],"DTE^CS_EVENT_DATEJ_N(\"ER\",2)":[[46317]],"DTE^CS_EVENT_TIME_N(\"ER\",2)":[["Unspecified"]],"DTE^CS_EVENT_DESC_N(\"ER\",2)":[["Q3 2026 Earnings Release (Projected)"]],"HAS^CS_EVENT_DATEJ_N(\"ER\",2)":[[46317]],"HAS^CS_EVENT_TIME_N(\"ER\",2)":[["Unspecified"]],"HAS^CS_EVENT_DESC_N(\"ER\",2)":[["Q3 2026 Earnings Release (Projected)"]],"AMZN^CS_EVENT_DATEJ_N(\"ER\",2)":[[46317]],"AMZN^CS_EVENT_TIME_N(\"ER\",2)":[["Unspecified"]],"AMZN^CS_EVENT_DESC_N(\"ER\",2)":[["Q3 2026 Earnings Release (Projected)"]],"HIG^CS_EVENT_DATEJ_N(\"ER\",2)":[[46317]],"HIG^CS_EVENT_TIME_N(\"ER\",2)":[["Unspecified"]],"HIG^CS_EVENT_DESC_N(\"ER\",2)":[["Q3 2026 Earnings Release (Projected)"]],"HBAN^CS_EVENT_DATEJ_N(\"ER\",2)":[[46317]],"HBAN^CS_EVENT_TIME_N(\"ER\",2)":[["Before Market"]],"HBAN^CS_EVENT_DESC_N(\"ER\",2)":[["Q3 2026 Earnings Release"]],"EME^CS_EVENT_DATEJ_N(\"ER\",2)":[[46317]],"EME^CS_EVENT_TIME_N(\"ER\",2)":[["Unspecified"]],"EME^CS_EVENT_DESC_N(\"ER\",2)":[["Q3 2026 Earnings Release (Projected)"]],"KLAC^CS_EVENT_DATEJ_N(\"ER\",2)":[[46323]],"KLAC^CS_EVENT_TIME_N(\"ER\",2)":[["Unspecified"]],"KLAC^CS_EVENT_DESC_N(\"ER\",2)":[["Q1 2027 Earnings Release (Projected)"]],"TROW^CS_EVENT_DATEJ_N(\"ER\",2)":[[46317]],"TROW^CS_EVENT_TIME_N(\"ER\",2)":[["Unspecified"]],"TROW^CS_EVENT_DESC_N(\"ER\",2)":[["Q3 2026 Earnings Release (Projected)"]],"AXP^CS_EVENT_DATEJ_N(\"ER\",2)":[[46318]],"AXP^CS_EVENT_TIME_N(\"ER\",2)":[["7:00 AM"]],"AXP^CS_EVENT_DESC_N(\"ER\",2)":[["Q3 2026 Earnings Release"]],"CNP^CS_EVENT_DATEJ_N(\"ER\",2)":[[46330]],"CNP^CS_EVENT_TIME_N(\"ER\",2)":[["Unspecified"]],"CNP^CS_EVENT_DESC_N(\"ER\",2)":[["Q3 2026 Earnings Release (Projected)"]],"WDC^CS_EVENT_DATEJ_N(\"ER\",2)":[[46317]],"WDC^CS_EVENT_TIME_N(\"ER\",2)":[["Unspecified"]],"WDC^CS_EVENT_DESC_N(\"ER\",2)":[["Q1 2027 Earnings Release (Projected)"]],"PFG^CS_EVENT_DATEJ_N(\"ER\",2)":[[46317]],"PFG^CS_EVENT_TIME_N(\"ER\",2)":[["Unspecified"]],"PFG^CS_EVENT_DESC_N(\"ER\",2)":[["Q3 2026 Earnings Release (Projected)"]],"INTC^CS_EVENT_DATEJ_N(\"ER\",2)":[[46317]],"INTC^CS_EVENT_TIME_N(\"ER\",2)":[["Unspecified"]],"INTC^CS_EVENT_DESC_N(\"ER\",2)":[["Q3 2026 Earnings Release (Projected)"]],"FE^CS_EVENT_DATEJ_N(\"ER\",2)":[[46317]],"FE^CS_EVENT_TIME_N(\"ER\",2)":[["Unspecified"]],"FE^CS_EVENT_DESC_N(\"ER\",2)":[["Q3 2026 Earnings Release (Projected)"]],"CAT^CS_EVENT_DATEJ_N(\"ER\",2)":[[46330]],"CAT^CS_EVENT_TIME_N(\"ER\",2)":[["Unspecified"]],"CAT^CS_EVENT_DESC_N(\"ER\",2)":[["Q3 2026 Earnings Release (Projected)"]],"MCD^CS_EVENT_DATEJ_N(\"ER\",2)":[[46317]],"MCD^CS_EVENT_TIME_N(\"ER\",2)":[["Unspecified"]],"MCD^CS_EVENT_DESC_N(\"ER\",2)":[["Q3 2026 Earnings Release (Projected)"]],"UNP^CS_EVENT_DATEJ_N(\"ER\",2)":[[46317]],"UNP^CS_EVENT_TIME_N(\"ER\",2)":[["Unspecified"]],"UNP^CS_EVENT_DESC_N(\"ER\",2)":[["Q3 2026 Earnings Release (Projected)"]],"XEL^CS_EVENT_DATEJ_N(\"ER\",2)":[[46317]],"XEL^CS_EVENT_TIME_N(\"ER\",2)":[["Unspecified"]],"XEL^CS_EVENT_DESC_N(\"ER\",2)":[["Q3 2026 Earnings Release (Projected)"]],"CMS^CS_EVENT_DATEJ_N(\"ER\",2)":[[46317]],"CMS^CS_EVENT_TIME_N(\"ER\",2)":[["Unspecified"]],"CMS^CS_EVENT_DESC_N(\"ER\",2)":[["Q3 2026 Earnings Release (Projected)"]],"MA^CS_EVENT_DATEJ_N(\"ER\",2)":[[46317]],"MA^CS_EVENT_TIME_N(\"ER\",2)":[["Unspecified"]],"MA^CS_EVENT_DESC_N(\"ER\",2)":[["Q3 2026 Earnings Release (Projected)"]],"DXCM^CS_EVENT_DATEJ_N(\"ER\",2)":[[46317]],"DXCM^CS_EVENT_TIME_N(\"ER\",2)":[["Unspecified"]],"DXCM^CS_EVENT_DESC_N(\"ER\",2)":[["Q3 2026 Earnings Release (Projected)"]],"ALLE^CS_EVENT_DATEJ_N(\"ER\",2)":[[46317]],"ALLE^CS_EVENT_TIME_N(\"ER\",2)":[["Unspecified"]],"ALLE^CS_EVENT_DESC_N(\"ER\",2)":[["Q3 2026 Earnings Release (Projected)"]],"DLR^CS_EVENT_DATEJ_N(\"ER\",2)":[[46317]],"DLR^CS_EVENT_TIME_N(\"ER\",2)":[["Unspecified"]],"DLR^CS_EVENT_DESC_N(\"ER\",2)":[["Q3 2026 Earnings Release (Projected)"]],"KDP^CS_EVENT_DATEJ_N(\"ER\",2)":[[46317]],"KDP^CS_EVENT_TIME_N(\"ER\",2)":[["Unspecified"]],"KDP^CS_EVENT_DESC_N(\"ER\",2)":[["Q3 2026 Earnings Release (Projected)"]],"BKR^CS_EVENT_DATEJ_N(\"ER\",2)":[[46323]],"BKR^CS_EVENT_TIME_N(\"ER\",2)":[["Unspecified"]],"BKR^CS_EVENT_DESC_N(\"ER\",2)":[["Q3 2026 Earnings Release (Projected)"]],"CMCSA^CS_EVENT_DATEJ_N(\"ER\",2)":[[46324]],"CMCSA^CS_EVENT_TIME_N(\"ER\",2)":[["Unspecified"]],"CMCSA^CS_EVENT_DESC_N(\"ER\",2)":[["Q3 2026 Earnings Release (Projected)"]],"CBRE^CS_EVENT_DATEJ_N(\"ER\",2)":[[46317]],"CBRE^CS_EVENT_TIME_N(\"ER\",2)":[["Unspecified"]],"CBRE^CS_EVENT_DESC_N(\"ER\",2)":[["Q3 2026 Earnings Release (Projected)"]],"DOC^CS_EVENT_DATEJ_N(\"ER\",2)":[[46317]],"DOC^CS_EVENT_TIME_N(\"ER\",2)":[["Unspecified"]],"DOC^CS_EVENT_DESC_N(\"ER\",2)":[["Q3 2026 Earnings Release (Projected)"]],"AMP^CS_EVENT_DATEJ_N(\"ER\",2)":[[46322]],"AMP^CS_EVENT_TIME_N(\"ER\",2)":[["Unspecified"]],"AMP^CS_EVENT_DESC_N(\"ER\",2)":[["Q3 2026 Earnings Release (Projected)"]],"FSLR^CS_EVENT_DATEJ_N(\"ER\",2)":[[46324]],"FSLR^CS_EVENT_TIME_N(\"ER\",2)":[["Unspecified"]],"FSLR^CS_EVENT_DESC_N(\"ER\",2)":[["Q3 2026 Earnings Release (Projected)"]],"FTV^CS_EVENT_DATEJ_N(\"ER\",2)":[[46323]],"FTV^CS_EVENT_TIME_N(\"ER\",2)":[["Unspecified"]],"FTV^CS_EVENT_DESC_N(\"ER\",2)":[["Q3 2026 Earnings Release (Projected)"]],"DOW^CS_EVENT_DATEJ_N(\"ER\",2)":[[46317]],"DOW^CS_EVENT_TIME_N(\"ER\",2)":[["6:00 AM"]],"DOW^CS_EVENT_DESC_N(\"ER\",2)":[["Q3 2026 Earnings Release"]],"CARR^CS_EVENT_DATEJ_N(\"ER\",2)":[[46317]],"CARR^CS_EVENT_TIME_N(\"ER\",2)":[["Unspecified"]],"CARR^CS_EVENT_DESC_N(\"ER\",2)":[["Q3 2026 Earnings Release (Projected)"]],"CVX^CS_EVENT_DATEJ_N(\"ER\",2)":[[46318]],"CVX^CS_EVENT_TIME_N(\"ER\",2)":[["Unspecified"]],"CVX^CS_EVENT_DESC_N(\"ER\",2)":[["Q3 2026 Earnings Release (Projected)"]],"PG^CS_EVENT_DATEJ_N(\"ER\",2)":[[46316]],"PG^CS_EVENT_TIME_N(\"ER\",2)":[["Unspecified"]],"PG^CS_EVENT_DESC_N(\"ER\",2)":[["Q1 2027 Earnings Release (Projected)"]],"NSC^CS_EVENT_DATEJ_N(\"ER\",2)":[[46323]],"NSC^CS_EVENT_TIME_N(\"ER\",2)":[["Unspecified"]],"NSC^CS_EVENT_DESC_N(\"ER\",2)":[["Q3 2026 Earnings Release (Projected)"]],"XOM^CS_EVENT_DATEJ_N(\"ER\",2)":[[46318]],"XOM^CS_EVENT_TIME_N(\"ER\",2)":[["Unspecified"]],"XOM^CS_EVENT_DESC_N(\"ER\",2)":[["Q3 2026 Earnings Release (Projected)"]],"SLB^CS_EVENT_DATEJ_N(\"ER\",2)":[[46311]],"SLB^CS_EVENT_TIME_N(\"ER\",2)":[["Unspecified"]],"SLB^CS_EVENT_DESC_N(\"ER\",2)":[["Q3 2026 Earnings Release (Projected)"]],"HCA^CS_EVENT_DATEJ_N(\"ER\",2)":[[46318]],"HCA^CS_EVENT_TIME_N(\"ER\",2)":[["Unspecified"]],"HCA^CS_EVENT_DESC_N(\"ER\",2)":[["Q3 2026 Earnings Release (Projected)"]],"CHTR^CS_EVENT_DATEJ_N(\"ER\",2)":[[46325]],"CHTR^CS_EVENT_TIME_N(\"ER\",2)":[["Unspecified"]],"CHTR^CS_EVENT_DESC_N(\"ER\",2)":[["Q3 2026 Earnings Release (Projected)"]],"LYB^CS_EVENT_DATEJ_N(\"ER\",2)":[[46318]],"LYB^CS_EVENT_TIME_N(\"ER\",2)":[["Unspecified"]],"LYB^CS_EVENT_DESC_N(\"ER\",2)":[["Q3 2026 Earnings Release (Projected)"]],"ARES^CS_EVENT_DATEJ_N(\"ER\",2)":[[46317]],"ARES^CS_EVENT_TIME_N(\"ER\",2)":[["Unspecified"]],"ARES^CS_EVENT_DESC_N(\"ER\",2)":[["Q3 2026 Earnings Release (Projected)"]],"UHS^CS_EVENT_DATEJ_N(\"ER\",2)":[[46323]],"UHS^CS_EVENT_TIME_N(\"ER\",2)":[["Unspecified"]],"UHS^CS_EVENT_DESC_N(\"ER\",2)":[["Q3 2026 Earnings Release (Projected)"]],"ARE^CS_EVENT_DATEJ_N(\"ER\",2)":[[46321]],"ARE^CS_EVENT_TIME_N(\"ER\",2)":[["Unspecified"]],"ARE^CS_EVENT_DESC_N(\"ER\",2)":[["Q3 2026 Earnings Release (Projected)"]],"VZ^CS_EVENT_DATEJ_N(\"ER\",2)":[[46315]],"VZ^CS_EVENT_TIME_N(\"ER\",2)":[["Before Market"]],"VZ^CS_EVENT_DESC_N(\"ER\",2)":[["Q3 2026 Earnings Release"]],"BRO^CS_EVENT_DATEJ_N(\"ER\",2)":[[46328]],"BRO^CS_EVENT_TIME_N(\"ER\",2)":[["Unspecified"]],"BRO^CS_EVENT_DESC_N(\"ER\",2)":[["Q3 2026 Earnings Release (Projected)"]],"CDNS^CS_EVENT_DATEJ_N(\"ER\",2)":[[46321]],"CDNS^CS_EVENT_TIME_N(\"ER\",2)":[["Unspecified"]],"CDNS^CS_EVENT_DESC_N(\"ER\",2)":[["Q3 2026 Earnings Release (Projected)"]],"NUE^CS_EVENT_DATEJ_N(\"ER\",2)":[[46321]],"NUE^CS_EVENT_TIME_N(\"ER\",2)":[["Unspecified"]],"NUE^CS_EVENT_DESC_N(\"ER\",2)":[["Q3 2026 Earnings Release (Projected)"]],"LII^CS_EVENT_DATEJ_N(\"ER\",2)":[[46317]],"LII^CS_EVENT_TIME_N(\"ER\",2)":[["Unspecified"]],"LII^CS_EVENT_DESC_N(\"ER\",2)":[["Q3 2026 Earnings Release (Projected)"]],"DPZ^CS_EVENT_DATEJ_N(\"ER\",2)":[[46303]],"DPZ^CS_EVENT_TIME_N(\"ER\",2)":[["Unspecified"]],"DPZ^CS_EVENT_DESC_N(\"ER\",2)":[["Q3 2026 Earnings Release (Projected)"]],"MSFT^CS_EVENT_DATEJ_N(\"ER\",2)":[[46322]],"MSFT^CS_EVENT_TIME_N(\"ER\",2)":[["Unspecified"]],"MSFT^CS_EVENT_DESC_N(\"ER\",2)":[["Q1 2027 Earnings Release (Projected)"]],"MCO^CS_EVENT_DATEJ_N(\"ER\",2)":[[46322]],"MCO^CS_EVENT_TIME_N(\"ER\",2)":[["Unspecified"]],"MCO^CS_EVENT_DESC_N(\"ER\",2)":[["Q3 2026 Earnings Release (Projected)"]],"KO^CS_EVENT_DATEJ_N(\"ER\",2)":[[46322]],"KO^CS_EVENT_TIME_N(\"ER\",2)":[["Unspecified"]],"KO^CS_EVENT_DESC_N(\"ER\",2)":[["Q3 2026 Earnings Release (Projected)"]],"FISV^CS_EVENT_DATEJ_N(\"ER\",2)":[[46322]],"FISV^CS_EVENT_TIME_N(\"ER\",2)":[["Unspecified"]],"FISV^CS_EVENT_DESC_N(\"ER\",2)":[["Q3 2026 Earnings Release (Projected)"]],"AMT^CS_EVENT_DATEJ_N(\"ER\",2)":[[46317]],"AMT^CS_EVENT_TIME_N(\"ER\",2)":[["Unspecified"]],"AMT^CS_EVENT_DESC_N(\"ER\",2)":[["Q3 2026 Earnings Release (Projected)"]],"NVR^CS_EVENT_DATEJ_N(\"ER\",2)":[[46322]],"NVR^CS_EVENT_TIME_N(\"ER\",2)":[["Unspecified"]],"NVR^CS_EVENT_DESC_N(\"ER\",2)":[["Q3 2026 Earnings Release (Projected)"]],"ROP^CS_EVENT_DATEJ_N(\"ER\",2)":[[46323]],"ROP^CS_EVENT_TIME_N(\"ER\",2)":[["Unspecified"]],"ROP^CS_EVENT_DESC_N(\"ER\",2)":[["Q3 2026 Earnings Release (Projected)"]],"TER^CS_EVENT_DATEJ_N(\"ER\",2)":[[46322]],"TER^CS_EVENT_TIME_N(\"ER\",2)":[["Unspecified"]],"TER^CS_EVENT_DESC_N(\"ER\",2)":[["Q3 2026 Earnings Release (Projected)"]],"MMM^CS_EVENT_DATEJ_N(\"ER\",2)":[[46322]],"MMM^CS_EVENT_TIME_N(\"ER\",2)":[["Unspecified"]],"MMM^CS_EVENT_DESC_N(\"ER\",2)":[["Q3 2026 Earnings Release (Projected)"]],"IEX^CS_EVENT_DATEJ_N(\"ER\",2)":[[46322]],"IEX^CS_EVENT_TIME_N(\"ER\",2)":[["Unspecified"]],"IEX^CS_EVENT_DESC_N(\"ER\",2)":[["Q3 2026 Earnings Release (Projected)"]],"CSGP^CS_EVENT_DATEJ_N(\"ER\",2)":[[46322]],"CSGP^CS_EVENT_TIME_N(\"ER\",2)":[["Unspecified"]],"CSGP^CS_EVENT_DESC_N(\"ER\",2)":[["Q3 2026 Earnings Release (Projected)"]],"TXN^CS_EVENT_DATEJ_N(\"ER\",2)":[[46322]],"TXN^CS_EVENT_TIME_N(\"ER\",2)":[["Unspecified"]],"TXN^CS_EVENT_DESC_N(\"ER\",2)":[["Q3 2026 Earnings Release (Projected)"]],"ESS^CS_EVENT_DATEJ_N(\"ER\",2)":[[46323]],"ESS^CS_EVENT_TIME_N(\"ER\",2)":[["Unspecified"]],"ESS^CS_EVENT_DESC_N(\"ER\",2)":[["Q3 2026 Earnings Release (Projected)"]],"CNC^CS_EVENT_DATEJ_N(\"ER\",2)":[[46322]],"CNC^CS_EVENT_TIME_N(\"ER\",2)":[["6:00 AM"]],"CNC^CS_EVENT_DESC_N(\"ER\",2)":[["Q3 2026 Earnings Release"]],"WM^CS_EVENT_DATEJ_N(\"ER\",2)":[[46322]],"WM^CS_EVENT_TIME_N(\"ER\",2)":[["Unspecified"]],"WM^CS_EVENT_DESC_N(\"ER\",2)":[["Q3 2026 Earnings Release (Projected)"]],"EQR^CS_EVENT_DATEJ_N(\"ER\",2)":[[46329]],"EQR^CS_EVENT_TIME_N(\"ER\",2)":[["Unspecified"]],"EQR^CS_EVENT_DESC_N(\"ER\",2)":[["Q3 2026 Earnings Release (Projected)"]],"PCAR^CS_EVENT_DATEJ_N(\"ER\",2)":[[46322]],"PCAR^CS_EVENT_TIME_N(\"ER\",2)":[["Unspecified"]],"PCAR^CS_EVENT_DESC_N(\"ER\",2)":[["Q3 2026 Earnings Release (Projected)"]],"SPGI^CS_EVENT_DATEJ_N(\"ER\",2)":[[46317]],"SPGI^CS_EVENT_TIME_N(\"ER\",2)":[["Unspecified"]],"SPGI^CS_EVENT_DESC_N(\"ER\",2)":[["Q3 2026 Earnings Release (Projected)"]],"SHW^CS_EVENT_DATEJ_N(\"ER\",2)":[[46322]],"SHW^CS_EVENT_TIME_N(\"ER\",2)":[["Unspecified"]],"SHW^CS_EVENT_DESC_N(\"ER\",2)":[["Q3 2026 Earnings Release (Projected)"]],"ECL^CS_EVENT_DATEJ_N(\"ER\",2)":[[46329]],"ECL^CS_EVENT_TIME_N(\"ER\",2)":[["Unspecified"]],"ECL^CS_EVENT_DESC_N(\"ER\",2)":[["Q3 2026 Earnings Release (Projected)"]],"EIX^CS_EVENT_DATEJ_N(\"ER\",2)":[[46329]],"EIX^CS_EVENT_TIME_N(\"ER\",2)":[["Unspecified"]],"EIX^CS_EVENT_DESC_N(\"ER\",2)":[["Q3 2026 Earnings Release (Projected)"]],"UPS^CS_EVENT_DATEJ_N(\"ER\",2)":[[46420]],"UPS^CS_EVENT_TIME_N(\"ER\",2)":[["Unspecified"]],"UPS^CS_EVENT_DESC_N(\"ER\",2)":[["Q4 2026 Earnings Release (Projected)"]],"ACGL^CS_EVENT_DATEJ_N(\"ER\",2)":[[46328]],"ACGL^CS_EVENT_TIME_N(\"ER\",2)":[["Unspecified"]],"ACGL^CS_EVENT_DESC_N(\"ER\",2)":[["Q3 2026 Earnings Release (Projected)"]],"KMB^CS_EVENT_DATEJ_N(\"ER\",2)":[[46322]],"KMB^CS_EVENT_TIME_N(\"ER\",2)":[["Unspecified"]],"KMB^CS_EVENT_DESC_N(\"ER\",2)":[["Q3 2026 Earnings Release (Projected)"]],"PEP^CS_EVENT_DATEJ_N(\"ER\",2)":[[46308]],"PEP^CS_EVENT_TIME_N(\"ER\",2)":[["Unspecified"]],"PEP^CS_EVENT_DESC_N(\"ER\",2)":[["Q3 2026 Earnings Release (Projected)"]],"HUBB^CS_EVENT_DATEJ_N(\"ER\",2)":[[46329]],"HUBB^CS_EVENT_TIME_N(\"ER\",2)":[["Unspecified"]],"HUBB^CS_EVENT_DESC_N(\"ER\",2)":[["Q3 2026 Earnings Release (Projected)"]],"ADM^CS_EVENT_DATEJ_N(\"ER\",2)":[[46322]],"ADM^CS_EVENT_TIME_N(\"ER\",2)":[["Unspecified"]],"ADM^CS_EVENT_DESC_N(\"ER\",2)":[["Q3 2026 Earnings Release (Projected)"]],"BKNG^CS_EVENT_DATEJ_N(\"ER\",2)":[[46330]],"BKNG^CS_EVENT_TIME_N(\"ER\",2)":[["Unspecified"]],"BKNG^CS_EVENT_DESC_N(\"ER\",2)":[["Q3 2026 Earnings Release (Projected)"]],"MSCI^CS_EVENT_DATEJ_N(\"ER\",2)":[[46315]],"MSCI^CS_EVENT_TIME_N(\"ER\",2)":[["6:45 AM"]],"MSCI^CS_EVENT_DESC_N(\"ER\",2)":[["Q3 2026 Earnings Release"]],"GOOGL^CS_EVENT_DATEJ_N(\"ER\",2)":[[46322]],"GOOGL^CS_EVENT_TIME_N(\"ER\",2)":[["Unspecified"]],"GOOGL^CS_EVENT_DESC_N(\"ER\",2)":[["Q3 2026 Earnings Release (Projected)"]],"GM^CS_EVENT_DATEJ_N(\"ER\",2)":[[46315]],"GM^CS_EVENT_TIME_N(\"ER\",2)":[["Unspecified"]],"GM^CS_EVENT_DESC_N(\"ER\",2)":[["Q3 2026 Earnings Release"]],"NEE^CS_EVENT_DATEJ_N(\"ER\",2)":[[46317]],"NEE^CS_EVENT_TIME_N(\"ER\",2)":[["Unspecified"]],"NEE^CS_EVENT_DESC_N(\"ER\",2)":[["Q3 2026 Earnings Release (Projected)"]],"NXPI^CS_EVENT_DATEJ_N(\"ER\",2)":[[46322]],"NXPI^CS_EVENT_TIME_N(\"ER\",2)":[["4:10 PM"]],"NXPI^CS_EVENT_DESC_N(\"ER\",2)":[["Q3 2026 Earnings Release"]],"MDLZ^CS_EVENT_DATEJ_N(\"ER\",2)":[[46329]],"MDLZ^CS_EVENT_TIME_N(\"ER\",2)":[["Unspecified"]],"MDLZ^CS_EVENT_DESC_N(\"ER\",2)":[["Q3 2026 Earnings Release (Projected)"]],"TSLA^CS_EVENT_DATEJ_N(\"ER\",2)":[[46323]],"TSLA^CS_EVENT_TIME_N(\"ER\",2)":[["Unspecified"]],"TSLA^CS_EVENT_DESC_N(\"ER\",2)":[["Q3 2026 Earnings Release (Projected)"]],"GOOG^CS_EVENT_DATEJ_N(\"ER\",2)":[[46322]],"GOOG^CS_EVENT_TIME_N(\"ER\",2)":[["Unspecified"]],"GOOG^CS_EVENT_DESC_N(\"ER\",2)":[["Q3 2026 Earnings Release (Projected)"]],"HLT^CS_EVENT_DATEJ_N(\"ER\",2)":[[46323]],"HLT^CS_EVENT_TIME_N(\"ER\",2)":[["Unspecified"]],"HLT^CS_EVENT_DESC_N(\"ER\",2)":[["Q3 2026 Earnings Release (Projected)"]],"IVZ^CS_EVENT_DATEJ_N(\"ER\",2)":[[46322]],"IVZ^CS_EVENT_TIME_N(\"ER\",2)":[["Unspecified"]],"IVZ^CS_EVENT_DESC_N(\"ER\",2)":[["Q3 2026 Earnings Release (Projected)"]],"EXR^CS_EVENT_DATEJ_N(\"ER\",2)":[[46329]],"EXR^CS_EVENT_TIME_N(\"ER\",2)":[["Unspecified"]],"EXR^CS_EVENT_DESC_N(\"ER\",2)":[["Q3 2026 Earnings Release (Projected)"]],"TMUS^CS_EVENT_DATEJ_N(\"ER\",2)":[[46317]],"TMUS^CS_EVENT_TIME_N(\"ER\",2)":[["Unspecified"]],"TMUS^CS_EVENT_DESC_N(\"ER\",2)":[["Q3 2026 Earnings Release (Projected)"]],"UDR^CS_EVENT_DATEJ_N(\"ER\",2)":[[46323]],"UDR^CS_EVENT_TIME_N(\"ER\",2)":[["Unspecified"]],"UDR^CS_EVENT_DESC_N(\"ER\",2)":[["Q3 2026 Earnings Release (Projected)"]],"V^CS_EVENT_DATEJ_N(\"ER\",2)":[[46329]],"V^CS_EVENT_TIME_N(\"ER\",2)":[["Unspecified"]],"V^CS_EVENT_DESC_N(\"ER\",2)":[["Q4 2026 Earnings Release (Projected)"]],"PNR^CS_EVENT_DATEJ_N(\"ER\",2)":[[46322]],"PNR^CS_EVENT_TIME_N(\"ER\",2)":[["Unspecified"]],"PNR^CS_EVENT_DESC_N(\"ER\",2)":[["Q3 2026 Earnings Release (Projected)"]],"VLTO^CS_EVENT_DATEJ_N(\"ER\",2)":[[46323]],"VLTO^CS_EVENT_TIME_N(\"ER\",2)":[["Unspecified"]],"VLTO^CS_EVENT_DESC_N(\"ER\",2)":[["Q3 2026 Earnings Release (Projected)"]],"XYL^CS_EVENT_DATEJ_N(\"ER\",2)":[[46329]],"XYL^CS_EVENT_TIME_N(\"ER\",2)":[["Unspecified"]],"XYL^CS_EVENT_DESC_N(\"ER\",2)":[["Q3 2026 Earnings Release (Projected)"]],"MAA^CS_EVENT_DATEJ_N(\"ER\",2)":[[46323]],"MAA^CS_EVENT_TIME_N(\"ER\",2)":[["Unspecified"]],"MAA^CS_EVENT_DESC_N(\"ER\",2)":[["Q3 2026 Earnings Release (Projected)"]],"EQIX^CS_EVENT_DATEJ_N(\"ER\",2)":[[46330]],"EQIX^CS_EVENT_TIME_N(\"ER\",2)":[["Unspecified"]],"EQIX^CS_EVENT_DESC_N(\"ER\",2)":[["Q3 2026 Earnings Release (Projected)"]],"GRMN^CS_EVENT_DATEJ_N(\"ER\",2)":[[46330]],"GRMN^CS_EVENT_TIME_N(\"ER\",2)":[["Unspecified"]],"GRMN^CS_EVENT_DESC_N(\"ER\",2)":[["Q3 2026 Earnings Release (Projected)"]],"EW^CS_EVENT_DATEJ_N(\"ER\",2)":[[46414]],"EW^CS_EVENT_TIME_N(\"ER\",2)":[["Unspecified"]],"EW^CS_EVENT_DESC_N(\"ER\",2)":[["Q4 2026 Earnings Release (Projected)"]],"MGM^CS_EVENT_DATEJ_N(\"ER\",2)":[[46330]],"MGM^CS_EVENT_TIME_N(\"ER\",2)":[["Unspecified"]],"MGM^CS_EVENT_DESC_N(\"ER\",2)":[["Q3 2026 Earnings Release (Projected)"]],"APH^CS_EVENT_DATEJ_N(\"ER\",2)":[[46323]],"APH^CS_EVENT_TIME_N(\"ER\",2)":[["Before Market"]],"APH^CS_EVENT_DESC_N(\"ER\",2)":[["Q3 2026 Earnings Release"]],"ALL^CS_EVENT_DATEJ_N(\"ER\",2)":[[46330]],"ALL^CS_EVENT_TIME_N(\"ER\",2)":[["After Market"]],"ALL^CS_EVENT_DESC_N(\"ER\",2)":[["Q3 2026 Earnings Release"]],"SWK^CS_EVENT_DATEJ_N(\"ER\",2)":[[46317]],"SWK^CS_EVENT_TIME_N(\"ER\",2)":[["Unspecified"]],"SWK^CS_EVENT_DESC_N(\"ER\",2)":[["Q3 2026 Earnings Release (Projected)"]],"REGN^CS_EVENT_DATEJ_N(\"ER\",2)":[[46324]],"REGN^CS_EVENT_TIME_N(\"ER\",2)":[["Unspecified"]],"REGN^CS_EVENT_DESC_N(\"ER\",2)":[["Q3 2026 Earnings Release (Projected)"]],"ODFL^CS_EVENT_DATEJ_N(\"ER\",2)":[[46323]],"ODFL^CS_EVENT_TIME_N(\"ER\",2)":[["Unspecified"]],"ODFL^CS_EVENT_DESC_N(\"ER\",2)":[["Q3 2026 Earnings Release (Projected)"]],"ALGN^CS_EVENT_DATEJ_N(\"ER\",2)":[[46323]],"ALGN^CS_EVENT_TIME_N(\"ER\",2)":[["Unspecified"]],"ALGN^CS_EVENT_DESC_N(\"ER\",2)":[["Q3 2026 Earnings Release"]],"GD^CS_EVENT_DATEJ_N(\"ER\",2)":[[46323]],"GD^CS_EVENT_TIME_N(\"ER\",2)":[["Unspecified"]],"GD^CS_EVENT_DESC_N(\"ER\",2)":[["Q3 2026 Earnings Release (Projected)"]],"ETR^CS_EVENT_DATEJ_N(\"ER\",2)":[[46330]],"ETR^CS_EVENT_TIME_N(\"ER\",2)":[["Unspecified"]],"ETR^CS_EVENT_DESC_N(\"ER\",2)":[["Q3 2026 Earnings Release (Projected)"]],"EG^CS_EVENT_DATEJ_N(\"ER\",2)":[[46323]],"EG^CS_EVENT_TIME_N(\"ER\",2)":[["Unspecified"]],"EG^CS_EVENT_DESC_N(\"ER\",2)":[["Q3 2026 Earnings Release (Projected)"]],"FIX^CS_EVENT_DATEJ_N(\"ER\",2)":[[46317]],"FIX^CS_EVENT_TIME_N(\"ER\",2)":[["Unspecified"]],"FIX^CS_EVENT_DESC_N(\"ER\",2)":[["Q3 2026 Earnings Release (Projected)"]],"ROL^CS_EVENT_DATEJ_N(\"ER\",2)":[[46323]],"ROL^CS_EVENT_TIME_N(\"ER\",2)":[["Unspecified"]],"ROL^CS_EVENT_DESC_N(\"ER\",2)":[["Q3 2026 Earnings Release (Projected)"]],"ADP^CS_EVENT_DATEJ_N(\"ER\",2)":[[46323]],"ADP^CS_EVENT_TIME_N(\"ER\",2)":[["Unspecified"]],"ADP^CS_EVENT_DESC_N(\"ER\",2)":[["Q1 2027 Earnings Release (Projected)"]],"TDY^CS_EVENT_DATEJ_N(\"ER\",2)":[[46323]],"TDY^CS_EVENT_TIME_N(\"ER\",2)":[["Unspecified"]],"TDY^CS_EVENT_DESC_N(\"ER\",2)":[["Q3 2026 Earnings Release (Projected)"]],"URI^CS_EVENT_DATEJ_N(\"ER\",2)":[[46323]],"URI^CS_EVENT_TIME_N(\"ER\",2)":[["Unspecified"]],"URI^CS_EVENT_DESC_N(\"ER\",2)":[["Q3 2026 Earnings Release (Projected)"]],"AMGN^CS_EVENT_DATEJ_N(\"ER\",2)":[[46329]],"AMGN^CS_EVENT_TIME_N(\"ER\",2)":[["Unspecified"]],"AMGN^CS_EVENT_DESC_N(\"ER\",2)":[["Q3 2026 Earnings Release (Projected)"]],"AVY^CS_EVENT_DATEJ_N(\"ER\",2)":[[46323]],"AVY^CS_EVENT_TIME_N(\"ER\",2)":[["Unspecified"]],"AVY^CS_EVENT_DESC_N(\"ER\",2)":[["Q3 2026 Earnings Release (Projected)"]],"EQT^CS_EVENT_DATEJ_N(\"ER\",2)":[[46323]],"EQT^CS_EVENT_TIME_N(\"ER\",2)":[["Unspecified"]],"EQT^CS_EVENT_DESC_N(\"ER\",2)":[["Q3 2026 Earnings Release (Projected)"]],"ORLY^CS_EVENT_DATEJ_N(\"ER\",2)":[[46323]],"ORLY^CS_EVENT_TIME_N(\"ER\",2)":[["Unspecified"]],"ORLY^CS_EVENT_DESC_N(\"ER\",2)":[["Q3 2026 Earnings Release (Projected)"]],"TMO^CS_EVENT_DATEJ_N(\"ER\",2)":[[46323]],"TMO^CS_EVENT_TIME_N(\"ER\",2)":[["Unspecified"]],"TMO^CS_EVENT_DESC_N(\"ER\",2)":[["Q3 2026 Earnings Release (Projected)"]],"AVB^CS_EVENT_DATEJ_N(\"ER\",2)":[[46323]],"AVB^CS_EVENT_TIME_N(\"ER\",2)":[["Unspecified"]],"AVB^CS_EVENT_DESC_N(\"ER\",2)":[["Q3 2026 Earnings Release (Projected)"]],"LRCX^CS_EVENT_DATEJ_N(\"ER\",2)":[[46316]],"LRCX^CS_EVENT_TIME_N(\"ER\",2)":[["Unspecified"]],"LRCX^CS_EVENT_DESC_N(\"ER\",2)":[["Q1 2027 Earnings Release (Projected)"]],"TYL^CS_EVENT_DATEJ_N(\"ER\",2)":[[46323]],"TYL^CS_EVENT_TIME_N(\"ER\",2)":[["Unspecified"]],"TYL^CS_EVENT_DESC_N(\"ER\",2)":[["Q3 2026 Earnings Release (Projected)"]],"REG^CS_EVENT_DATEJ_N(\"ER\",2)":[[46324]],"REG^CS_EVENT_TIME_N(\"ER\",2)":[["Unspecified"]],"REG^CS_EVENT_DESC_N(\"ER\",2)":[["Q3 2026 Earnings Release (Projected)"]],"BG^CS_EVENT_DATEJ_N(\"ER\",2)":[[46317]],"BG^CS_EVENT_TIME_N(\"ER\",2)":[["Unspecified"]],"BG^CS_EVENT_DESC_N(\"ER\",2)":[["Q3 2026 Earnings Release (Projected)"]],"F^CS_EVENT_DATEJ_N(\"ER\",2)":[[46323]],"F^CS_EVENT_TIME_N(\"ER\",2)":[["Unspecified"]],"F^CS_EVENT_DESC_N(\"ER\",2)":[["Q3 2026 Earnings Release (Projected)"]],"AFL^CS_EVENT_DATEJ_N(\"ER\",2)":[[46330]],"AFL^CS_EVENT_TIME_N(\"ER\",2)":[["4:05 PM"]],"AFL^CS_EVENT_DESC_N(\"ER\",2)":[["Q3 2026 Earnings Release"]],"HUM^CS_EVENT_DATEJ_N(\"ER\",2)":[[46332]],"HUM^CS_EVENT_TIME_N(\"ER\",2)":[["6:00 AM"]],"HUM^CS_EVENT_DESC_N(\"ER\",2)":[["Q3 2026 Earnings Release"]],"CMG^CS_EVENT_DATEJ_N(\"ER\",2)":[[46323]],"CMG^CS_EVENT_TIME_N(\"ER\",2)":[["Unspecified"]],"CMG^CS_EVENT_DESC_N(\"ER\",2)":[["Q3 2026 Earnings Release (Projected)"]],"ABBV^CS_EVENT_DATEJ_N(\"ER\",2)":[[46318]],"ABBV^CS_EVENT_TIME_N(\"ER\",2)":[["Unspecified"]],"ABBV^CS_EVENT_DESC_N(\"ER\",2)":[["Q3 2026 Earnings Release (Projected)"]],"STX^CS_EVENT_DATEJ_N(\"ER\",2)":[[46323]],"STX^CS_EVENT_TIME_N(\"ER\",2)":[["Unspecified"]],"STX^CS_EVENT_DESC_N(\"ER\",2)":[["Q1 2027 Earnings Release (Projected)"]],"PTC^CS_EVENT_DATEJ_N(\"ER\",2)":[[46330]],"PTC^CS_EVENT_TIME_N(\"ER\",2)":[["Unspecified"]],"PTC^CS_EVENT_DESC_N(\"ER\",2)":[["Q4 2026 Earnings Release (Projected)"]],"CHRW^CS_EVENT_DATEJ_N(\"ER\",2)":[[46330]],"CHRW^CS_EVENT_TIME_N(\"ER\",2)":[["Unspecified"]],"CHRW^CS_EVENT_DESC_N(\"ER\",2)":[["Q3 2026 Earnings Release (Projected)"]],"LVS^CS_EVENT_DATEJ_N(\"ER\",2)":[[46316]],"LVS^CS_EVENT_TIME_N(\"ER\",2)":[["Unspecified"]],"LVS^CS_EVENT_DESC_N(\"ER\",2)":[["Q3 2026 Earnings Release (Projected)"]],"TEL^CS_EVENT_DATEJ_N(\"ER\",2)":[[46330]],"TEL^CS_EVENT_TIME_N(\"ER\",2)":[["Unspecified"]],"TEL^CS_EVENT_DESC_N(\"ER\",2)":[["Q4 2026 Earnings Release (Projected)"]],"META^CS_EVENT_DATEJ_N(\"ER\",2)":[[46323]],"META^CS_EVENT_TIME_N(\"ER\",2)":[["Unspecified"]],"META^CS_EVENT_DESC_N(\"ER\",2)":[["Q3 2026 Earnings Release (Projected)"]],"PSX^CS_EVENT_DATEJ_N(\"ER\",2)":[[46329]],"PSX^CS_EVENT_TIME_N(\"ER\",2)":[["Unspecified"]],"PSX^CS_EVENT_DESC_N(\"ER\",2)":[["Q3 2026 Earnings Release (Projected)"]],"NOW^CS_EVENT_DATEJ_N(\"ER\",2)":[[46323]],"NOW^CS_EVENT_TIME_N(\"ER\",2)":[["Unspecified"]],"NOW^CS_EVENT_DESC_N(\"ER\",2)":[["Q3 2026 Earnings Release (Projected)"]],"VICI^CS_EVENT_DATEJ_N(\"ER\",2)":[[46323]],"VICI^CS_EVENT_TIME_N(\"ER\",2)":[["Unspecified"]],"VICI^CS_EVENT_DESC_N(\"ER\",2)":[["Q3 2026 Earnings Release (Projected)"]],"VRT^CS_EVENT_DATEJ_N(\"ER\",2)":[[46323]],"VRT^CS_EVENT_TIME_N(\"ER\",2)":[["Unspecified"]],"VRT^CS_EVENT_DESC_N(\"ER\",2)":[["Q3 2026 Earnings Release (Projected)"]],"OTIS^CS_EVENT_DATEJ_N(\"ER\",2)":[[46323]],"OTIS^CS_EVENT_TIME_N(\"ER\",2)":[["Unspecified"]],"OTIS^CS_EVENT_DESC_N(\"ER\",2)":[["Q3 2026 Earnings Release (Projected)"]],"AES^CS_EVENT_DATEJ_N(\"ER\",2)":[[46324]],"AES^CS_EVENT_TIME_N(\"ER\",2)":[["Unspecified"]],"AES^CS_EVENT_DESC_N(\"ER\",2)":[["Q3 2026 Earnings Release (Projected)"]],"ED^CS_EVENT_DATEJ_N(\"ER\",2)":[[46324]],"ED^CS_EVENT_TIME_N(\"ER\",2)":[["Unspecified"]],"ED^CS_EVENT_DESC_N(\"ER\",2)":[["Q3 2026 Earnings Release (Projected)"]],"SO^CS_EVENT_DATEJ_N(\"ER\",2)":[[46324]],"SO^CS_EVENT_TIME_N(\"ER\",2)":[["Unspecified"]],"SO^CS_EVENT_DESC_N(\"ER\",2)":[["Q3 2026 Earnings Release (Projected)"]],"IP^CS_EVENT_DATEJ_N(\"ER\",2)":[[46323]],"IP^CS_EVENT_TIME_N(\"ER\",2)":[["7:00 AM"]],"IP^CS_EVENT_DESC_N(\"ER\",2)":[["Q3 2026 Earnings Release"]],"BAX^CS_EVENT_DATEJ_N(\"ER\",2)":[[46324]],"BAX^CS_EVENT_TIME_N(\"ER\",2)":[["Unspecified"]],"BAX^CS_EVENT_DESC_N(\"ER\",2)":[["Q3 2026 Earnings Release (Projected)"]],"MNST^CS_EVENT_DATEJ_N(\"ER\",2)":[[46324]],"MNST^CS_EVENT_TIME_N(\"ER\",2)":[["Unspecified"]],"MNST^CS_EVENT_DESC_N(\"ER\",2)":[["Q3 2026 Earnings Release (Projected)"]],"CAH^CS_EVENT_DATEJ_N(\"ER\",2)":[[46325]],"CAH^CS_EVENT_TIME_N(\"ER\",2)":[["Unspecified"]],"CAH^CS_EVENT_DESC_N(\"ER\",2)":[["Q1 2027 Earnings Release (Projected)"]],"LHX^CS_EVENT_DATEJ_N(\"ER\",2)":[[46317]],"LHX^CS_EVENT_TIME_N(\"ER\",2)":[["Unspecified"]],"LHX^CS_EVENT_DESC_N(\"ER\",2)":[["Q3 2026 Earnings Release (Projected)"]],"AIG^CS_EVENT_DATEJ_N(\"ER\",2)":[[46330]],"AIG^CS_EVENT_TIME_N(\"ER\",2)":[["Unspecified"]],"AIG^CS_EVENT_DESC_N(\"ER\",2)":[["Q3 2026 Earnings Release (Projected)"]],"LLY^CS_EVENT_DATEJ_N(\"ER\",2)":[[46324]],"LLY^CS_EVENT_TIME_N(\"ER\",2)":[["6:45 AM"]],"LLY^CS_EVENT_DESC_N(\"ER\",2)":[["Q3 2026 Earnings Release"]],"LH^CS_EVENT_DATEJ_N(\"ER\",2)":[[46317]],"LH^CS_EVENT_TIME_N(\"ER\",2)":[["Unspecified"]],"LH^CS_EVENT_DESC_N(\"ER\",2)":[["Q3 2026 Earnings Release (Projected)"]],"BMY^CS_EVENT_DATEJ_N(\"ER\",2)":[[46324]],"BMY^CS_EVENT_TIME_N(\"ER\",2)":[["6:59 AM"]],"BMY^CS_EVENT_DESC_N(\"ER\",2)":[["Q3 2026 Earnings Release"]],"LNT^CS_EVENT_DATEJ_N(\"ER\",2)":[[46324]],"LNT^CS_EVENT_TIME_N(\"ER\",2)":[["Unspecified"]],"LNT^CS_EVENT_DESC_N(\"ER\",2)":[["Q3 2026 Earnings Release (Projected)"]],"APD^CS_EVENT_DATEJ_N(\"ER\",2)":[[46331]],"APD^CS_EVENT_TIME_N(\"ER\",2)":[["Unspecified"]],"APD^CS_EVENT_DESC_N(\"ER\",2)":[["Q4 2026 Earnings Release (Projected)"]],"SRE^CS_EVENT_DATEJ_N(\"ER\",2)":[[46325]],"SRE^CS_EVENT_TIME_N(\"ER\",2)":[["Unspecified"]],"SRE^CS_EVENT_DESC_N(\"ER\",2)":[["Q3 2026 Earnings Release (Projected)"]],"PPL^CS_EVENT_DATEJ_N(\"ER\",2)":[[46324]],"PPL^CS_EVENT_TIME_N(\"ER\",2)":[["Unspecified"]],"PPL^CS_EVENT_DESC_N(\"ER\",2)":[["Q3 2026 Earnings Release (Projected)"]],"TXT^CS_EVENT_DATEJ_N(\"ER\",2)":[[46317]],"TXT^CS_EVENT_TIME_N(\"ER\",2)":[["Unspecified"]],"TXT^CS_EVENT_DESC_N(\"ER\",2)":[["Q3 2026 Earnings Release (Projected)"]],"AEE^CS_EVENT_DATEJ_N(\"ER\",2)":[[46337]],"AEE^CS_EVENT_TIME_N(\"ER\",2)":[["Unspecified"]],"AEE^CS_EVENT_DESC_N(\"ER\",2)":[["Q3 2026 Earnings Release (Projected)"]],"TRGP^CS_EVENT_DATEJ_N(\"ER\",2)":[[46443]],"TRGP^CS_EVENT_TIME_N(\"ER\",2)":[["Unspecified"]],"TRGP^CS_EVENT_DESC_N(\"ER\",2)":[["Q4 2026 Earnings Release (Projected)"]],"MTD^CS_EVENT_DATEJ_N(\"ER\",2)":[[46331]],"MTD^CS_EVENT_TIME_N(\"ER\",2)":[["Unspecified"]],"MTD^CS_EVENT_DESC_N(\"ER\",2)":[["Q3 2026 Earnings Release (Projected)"]],"TFC^CS_EVENT_TIME_N(\"E\",1)":[["8:00 AM"]],"TFC^CS_EVENT_DESC_N(\"E\",1)":[["Q2 2026 Earnings Call"]],"STT^CS_EVENT_TIME_N(\"E\",1)":[["@NA"]],"STT^CS_EVENT_DESC_N(\"E\",1)":[["@NA"]],"RF^CS_EVENT_TIME_N(\"E\",1)":[["10:00 AM"]],"RF^CS_EVENT_DESC_N(\"E\",1)":[["Q2 2026 Earnings Call"]],"FITB^CS_EVENT_TIME_N(\"E\",1)":[["9:00 AM"]],"ISRG^CS_EVENT_TIME_N(\"E\",1)":[["@NA"]],"NTRS^CS_EVENT_TIME_N(\"E\",1)":[["9:00 AM"]],"COST^CS_EVENT_DATEJ_N(\"E\",1)":[[46170]],"COST^CS_EVENT_TIME_N(\"E\",1)":[["5:00 PM"]],"COST^CS_EVENT_DESC_N(\"E\",1)":[["Q3 2026 Earnings Call"]],"HRL^CS_EVENT_DATEJ_N(\"E\",1)":[[46170]],"HRL^CS_EVENT_TIME_N(\"E\",1)":[["9:00 AM"]],"HRL^CS_EVENT_DESC_N(\"E\",1)":[["Q2 2026 Earnings Call"]],"LULU^CS_EVENT_DATEJ_N(\"E\",1)":[[46177]],"LULU^CS_EVENT_TIME_N(\"E\",1)":[["4:30 PM"]],"LULU^CS_EVENT_DESC_N(\"E\",1)":[["Q1 2026 Earnings Call"]],"NTAP^CS_EVENT_DATEJ_N(\"E\",1)":[[46170]],"NTAP^CS_EVENT_TIME_N(\"E\",1)":[["5:30 PM"]],"NTAP^CS_EVENT_DESC_N(\"E\",1)":[["Q4 2026 Earnings Call"]],"DELL^CS_EVENT_DATEJ_N(\"E\",1)":[[46170]],"DELL^CS_EVENT_TIME_N(\"E\",1)":[["4:30 PM"]],"DELL^CS_EVENT_DESC_N(\"E\",1)":[["Q1 2027 Earnings Call"]],"CRWD^CS_EVENT_DATEJ_N(\"E\",1)":[[46176]],"CRWD^CS_EVENT_TIME_N(\"E\",1)":[["5:00 PM"]],"CRWD^CS_EVENT_DESC_N(\"E\",1)":[["Q1 2027 Earnings Call"]],"COO^CS_EVENT_DATEJ_N(\"E\",1)":[[46177]],"COO^CS_EVENT_TIME_N(\"E\",1)":[["5:00 PM"]],"COO^CS_EVENT_DESC_N(\"E\",1)":[["Q2 2026 Earnings Call"]],"HPE^CS_EVENT_DATEJ_N(\"E\",1)":[[46174]],"HPE^CS_EVENT_TIME_N(\"E\",1)":[["5:00 PM"]],"HPE^CS_EVENT_DESC_N(\"E\",1)":[["Q2 2026 Earnings Call"]],"CRM^CS_EVENT_DATEJ_N(\"E\",1)":[["@NA"]],"CRM^CS_EVENT_TIME_N(\"E\",1)":[["@NA"]],"CRM^CS_EVENT_DESC_N(\"E\",1)":[["@NA"]],"HPQ^CS_EVENT_DATEJ_N(\"E\",1)":[["@NA"]],"HPQ^CS_EVENT_TIME_N(\"E\",1)":[["@NA"]],"HPQ^CS_EVENT_DESC_N(\"E\",1)":[["@NA"]],"SJM^CS_EVENT_DATEJ_N(\"E\",1)":[[46182]],"SJM^CS_EVENT_TIME_N(\"E\",1)":[["7:00 AM"]],"SJM^CS_EVENT_DESC_N(\"E\",1)":[["Q4 2026 Earnings Call - Pre-Recorded"]],"CIEN^CS_EVENT_DATEJ_N(\"E\",1)":[[46177]],"CIEN^CS_EVENT_TIME_N(\"E\",1)":[["8:30 AM"]],"CIEN^CS_EVENT_DESC_N(\"E\",1)":[["Q2 2026 Earnings Call"]],"AVGO^CS_EVENT_DATEJ_N(\"E\",1)":[[46176]],"AVGO^CS_EVENT_TIME_N(\"E\",1)":[["5:00 PM"]],"AVGO^CS_EVENT_DESC_N(\"E\",1)":[["Q2 2026 Earnings Call"]],"CPB^CS_EVENT_DATEJ_N(\"E\",1)":[[46181]],"CPB^CS_EVENT_TIME_N(\"E\",1)":[["7:15 AM"]],"CPB^CS_EVENT_DESC_N(\"E\",1)":[["Q3 2026 Earnings Call - Pre Recorded"]],"BF.B^CS_EVENT_DATEJ_N(\"E\",1)":[[46177]],"BF.B^CS_EVENT_TIME_N(\"E\",1)":[["10:00 AM"]],"BF.B^CS_EVENT_DESC_N(\"E\",1)":[["Q4 2026 Earnings Call"]],"ADBE^CS_EVENT_DATEJ_N(\"E\",1)":[["@NA"]],"ADBE^CS_EVENT_TIME_N(\"E\",1)":[["@NA"]],"ADBE^CS_EVENT_DESC_N(\"E\",1)":[["@NA"]],"KR^CS_EVENT_DATEJ_N(\"E\",1)":[[46191]],"KR^CS_EVENT_TIME_N(\"E\",1)":[["8:00 AM"]],"KR^CS_EVENT_DESC_N(\"E\",1)":[["Q1 2026 Earnings Call"]],"ORCL^CS_EVENT_DATEJ_N(\"E\",1)":[["@NA"]],"ORCL^CS_EVENT_TIME_N(\"E\",1)":[["@NA"]],"ORCL^CS_EVENT_DESC_N(\"E\",1)":[["@NA"]],"ACN^CS_EVENT_DATEJ_N(\"E\",1)":[[46191]],"ACN^CS_EVENT_TIME_N(\"E\",1)":[["8:00 AM"]],"ACN^CS_EVENT_DESC_N(\"E\",1)":[["Q3 2026 Earnings Call"]],"JBL^CS_EVENT_DATEJ_N(\"E\",1)":[["@NA"]],"JBL^CS_EVENT_TIME_N(\"E\",1)":[["@NA"]],"JBL^CS_EVENT_DESC_N(\"E\",1)":[["@NA"]],"DRI^CS_EVENT_DATEJ_N(\"E\",1)":[["@NA"]],"DRI^CS_EVENT_TIME_N(\"E\",1)":[["@NA"]],"DRI^CS_EVENT_DESC_N(\"E\",1)":[["@NA"]],"FDS^CS_EVENT_DATEJ_N(\"E\",1)":[["@NA"]],"FDS^CS_EVENT_TIME_N(\"E\",1)":[["@NA"]],"FDS^CS_EVENT_DESC_N(\"E\",1)":[["@NA"]],"LEN^CS_EVENT_DATEJ_N(\"E\",1)":[["@NA"]],"LEN^CS_EVENT_TIME_N(\"E\",1)":[["@NA"]],"LEN^CS_EVENT_DESC_N(\"E\",1)":[["@NA"]],"FDX^CS_EVENT_DATEJ_N(\"E\",1)":[[46196]],"FDX^CS_EVENT_TIME_N(\"E\",1)":[["5:00 PM"]],"FDX^CS_EVENT_DESC_N(\"E\",1)":[["Q4 2026 Earnings Call"]],"MKC^CS_EVENT_DATEJ_N(\"E\",1)":[["@NA"]],"MKC^CS_EVENT_TIME_N(\"E\",1)":[["@NA"]],"MKC^CS_EVENT_DESC_N(\"E\",1)":[["@NA"]],"NKE^CS_EVENT_DATEJ_N(\"E\",1)":[["@NA"]],"NKE^CS_EVENT_TIME_N(\"E\",1)":[["@NA"]],"NKE^CS_EVENT_DESC_N(\"E\",1)":[["@NA"]],"CCL^CS_EVENT_DATEJ_N(\"E\",1)":[["@NA"]],"CCL^CS_EVENT_TIME_N(\"E\",1)":[["@NA"]],"CCL^CS_EVENT_DESC_N(\"E\",1)":[["@NA"]],"GIS^CS_EVENT_DATEJ_N(\"E\",1)":[["@NA"]],"GIS^CS_EVENT_TIME_N(\"E\",1)":[["@NA"]],"GIS^CS_EVENT_DESC_N(\"E\",1)":[["@NA"]],"MU^CS_EVENT_DATEJ_N(\"E\",1)":[["@NA"]],"MU^CS_EVENT_TIME_N(\"E\",1)":[["@NA"]],"MU^CS_EVENT_DESC_N(\"E\",1)":[["@NA"]],"PAYX^CS_EVENT_DATEJ_N(\"E\",1)":[["@NA"]],"PAYX^CS_EVENT_TIME_N(\"E\",1)":[["@NA"]],"PAYX^CS_EVENT_DESC_N(\"E\",1)":[["@NA"]],"CTAS^CS_EVENT_DATEJ_N(\"E\",1)":[["@NA"]],"CTAS^CS_EVENT_TIME_N(\"E\",1)":[["@NA"]],"CTAS^CS_EVENT_DESC_N(\"E\",1)":[["@NA"]],"AON^CS_EVENT_DATEJ_N(\"E\",1)":[["@NA"]],"AON^CS_EVENT_TIME_N(\"E\",1)":[["@NA"]],"AON^CS_EVENT_DESC_N(\"E\",1)":[["@NA"]],"IQV^CS_EVENT_DATEJ_N(\"E\",1)":[["@NA"]],"IQV^CS_EVENT_TIME_N(\"E\",1)":[["@NA"]],"IQV^CS_EVENT_DESC_N(\"E\",1)":[["@NA"]],"IT^CS_EVENT_DATEJ_N(\"E\",1)":[["@NA"]],"IT^CS_EVENT_TIME_N(\"E\",1)":[["@NA"]],"IT^CS_EVENT_DESC_N(\"E\",1)":[["@NA"]],"RSG^CS_EVENT_DESC_N(\"E\",1)":[["@NA"]],"MET^CS_EVENT_DESC_N(\"E\",1)":[["@NA"]],"CVS^CS_EVENT_DESC_N(\"E\",1)":[["@NA"]],"VRTX^CS_EVENT_DESC_N(\"E\",1)":[["@NA"]],"EXC^CS_EVENT_DESC_N(\"E\",1)":[["@NA"]],"GNRC^CS_EVENT_DESC_N(\"E\",1)":[["@NA"]],"AWK^CS_EVENT_DATEJ_N(\"E\",1)":[[46233]],"AWK^CS_EVENT_TIME_N(\"E\",1)":[["9:00 AM"]],"AWK^CS_EVENT_DESC_N(\"E\",1)":[["Q2 2026 Earnings Call"]],"IR^CS_EVENT_DATEJ_N(\"E\",1)":[["@NA"]],"IR^CS_EVENT_TIME_N(\"E\",1)":[["@NA"]],"IR^CS_EVENT_DESC_N(\"E\",1)":[["@NA"]],"FIS^CS_EVENT_DATEJ_N(\"E\",1)":[["@NA"]],"FIS^CS_EVENT_TIME_N(\"E\",1)":[["@NA"]],"FIS^CS_EVENT_DESC_N(\"E\",1)":[["@NA"]],"NCLH^CS_EVENT_DATEJ_N(\"E\",1)":[["@NA"]],"NCLH^CS_EVENT_TIME_N(\"E\",1)":[["@NA"]],"NCLH^CS_EVENT_DESC_N(\"E\",1)":[["@NA"]],"CF^CS_EVENT_DATEJ_N(\"E\",1)":[[46240]],"CF^CS_EVENT_TIME_N(\"E\",1)":[["11:00 AM"]],"CF^CS_EVENT_DESC_N(\"E\",1)":[["Q2 2026 Earnings Call"]],"MOS^CS_EVENT_DATEJ_N(\"E\",1)":[["@NA"]],"MOS^CS_EVENT_TIME_N(\"E\",1)":[["@NA"]],"MOS^CS_EVENT_DESC_N(\"E\",1)":[["@NA"]],"KHC^CS_EVENT_DATEJ_N(\"E\",1)":[["@NA"]],"KHC^CS_EVENT_TIME_N(\"E\",1)":[["@NA"]],"KHC^CS_EVENT_DESC_N(\"E\",1)":[["@NA"]],"UBER^CS_EVENT_DATEJ_N(\"E\",1)":[["@NA"]],"UBER^CS_EVENT_TIME_N(\"E\",1)":[["@NA"]],"UBER^CS_EVENT_DESC_N(\"E\",1)":[["@NA"]],"PSKY^CS_EVENT_DATEJ_N(\"E\",1)":[["@NA"]],"PSKY^CS_EVENT_TIME_N(\"E\",1)":[["@NA"]],"PSKY^CS_EVENT_DESC_N(\"E\",1)":[["@NA"]],"GEHC^CS_EVENT_DATEJ_N(\"E\",1)":[["@NA"]],"GEHC^CS_EVENT_TIME_N(\"E\",1)":[["@NA"]],"GEHC^CS_EVENT_DESC_N(\"E\",1)":[["@NA"]],"GEN^CS_EVENT_DATEJ_N(\"E\",1)":[["@NA"]],"GEN^CS_EVENT_TIME_N(\"E\",1)":[["@NA"]],"GEN^CS_EVENT_DESC_N(\"E\",1)":[["@NA"]],"TPR^CS_EVENT_DATEJ_N(\"E\",1)":[["@NA"]],"TPR^CS_EVENT_TIME_N(\"E\",1)":[["@NA"]],"TPR^CS_EVENT_DESC_N(\"E\",1)":[["@NA"]],"MCK^CS_EVENT_DATEJ_N(\"E\",1)":[["@NA"]],"MCK^CS_EVENT_TIME_N(\"E\",1)":[["@NA"]],"MCK^CS_EVENT_DESC_N(\"E\",1)":[["@NA"]],"AKAM^CS_EVENT_DATEJ_N(\"E\",1)":[["@NA"]],"AKAM^CS_EVENT_TIME_N(\"E\",1)":[["@NA"]],"AKAM^CS_EVENT_DESC_N(\"E\",1)":[["@NA"]],"GWW^CS_EVENT_DATEJ_N(\"E\",1)":[[46238]],"GWW^CS_EVENT_TIME_N(\"E\",1)":[["11:00 AM"]],"GWW^CS_EVENT_DESC_N(\"E\",1)":[["Q2 2026 Earnings Call"]],"CRL^CS_EVENT_DATEJ_N(\"E\",1)":[["@NA"]],"CRL^CS_EVENT_TIME_N(\"E\",1)":[["@NA"]],"CRL^CS_EVENT_DESC_N(\"E\",1)":[["@NA"]],"SATS^CS_EVENT_DATEJ_N(\"E\",1)":[["@NA"]],"SATS^CS_EVENT_TIME_N(\"E\",1)":[["@NA"]],"SATS^CS_EVENT_DESC_N(\"E\",1)":[["@NA"]],"CEG^CS_EVENT_DATEJ_N(\"E\",1)":[["@NA"]],"CEG^CS_EVENT_TIME_N(\"E\",1)":[["@NA"]],"CEG^CS_EVENT_DESC_N(\"E\",1)":[["@NA"]],"NWS^CS_EVENT_DATEJ_N(\"E\",1)":[["@NA"]],"NWS^CS_EVENT_TIME_N(\"E\",1)":[["@NA"]],"NWS^CS_EVENT_DESC_N(\"E\",1)":[["@NA"]],"NWSA^CS_EVENT_DATEJ_N(\"E\",1)":[["@NA"]],"NWSA^CS_EVENT_TIME_N(\"E\",1)":[["@NA"]],"NWSA^CS_EVENT_DESC_N(\"E\",1)":[["@NA"]],"COIN^CS_EVENT_DATEJ_N(\"E\",1)":[["@NA"]],"COIN^CS_EVENT_TIME_N(\"E\",1)":[["@NA"]],"COIN^CS_EVENT_DESC_N(\"E\",1)":[["@NA"]],"TKO^CS_EVENT_DATEJ_N(\"E\",1)":[["@NA"]],"TKO^CS_EVENT_TIME_N(\"E\",1)":[["@NA"]],"TKO^CS_EVENT_DESC_N(\"E\",1)":[["@NA"]],"WBD^CS_EVENT_DATEJ_N(\"E\",1)":[["@NA"]],"WBD^CS_EVENT_TIME_N(\"E\",1)":[["@NA"]],"WBD^CS_EVENT_DESC_N(\"E\",1)":[["@NA"]],"SOLV^CS_EVENT_DATEJ_N(\"E\",1)":[["@NA"]],"SOLV^CS_EVENT_TIME_N(\"E\",1)":[["@NA"]],"SOLV^CS_EVENT_DESC_N(\"E\",1)":[["@NA"]],"TSN^CS_EVENT_DATEJ_N(\"E\",1)":[["@NA"]],"TSN^CS_EVENT_TIME_N(\"E\",1)":[["@NA"]],"TSN^CS_EVENT_DESC_N(\"E\",1)":[["@NA"]],"MCHP^CS_EVENT_DATEJ_N(\"E\",1)":[["@NA"]],"MCHP^CS_EVENT_TIME_N(\"E\",1)":[["@NA"]],"MCHP^CS_EVENT_DESC_N(\"E\",1)":[["@NA"]],"SPG^CS_EVENT_DATEJ_N(\"E\",1)":[["@NA"]],"SPG^CS_EVENT_TIME_N(\"E\",1)":[["@NA"]],"SPG^CS_EVENT_DESC_N(\"E\",1)":[["@NA"]],"IFF^CS_EVENT_DATEJ_N(\"E\",1)":[["@NA"]],"IFF^CS_EVENT_TIME_N(\"E\",1)":[["@NA"]],"IFF^CS_EVENT_DESC_N(\"E\",1)":[["@NA"]],"VTRS^CS_EVENT_DATEJ_N(\"E\",1)":[["@NA"]],"VTRS^CS_EVENT_TIME_N(\"E\",1)":[["@NA"]],"VTRS^CS_EVENT_DESC_N(\"E\",1)":[["@NA"]],"PLTR^CS_EVENT_DATEJ_N(\"E\",1)":[["@NA"]],"PLTR^CS_EVENT_TIME_N(\"E\",1)":[["@NA"]],"PLTR^CS_EVENT_DESC_N(\"E\",1)":[["@NA"]],"HSIC^CS_EVENT_DATEJ_N(\"E\",1)":[["@NA"]],"HSIC^CS_EVENT_TIME_N(\"E\",1)":[["@NA"]],"HSIC^CS_EVENT_DESC_N(\"E\",1)":[["@NA"]],"JKHY^CS_EVENT_DATEJ_N(\"E\",1)":[["@NA"]],"JKHY^CS_EVENT_TIME_N(\"E\",1)":[["@NA"]],"JKHY^CS_EVENT_DESC_N(\"E\",1)":[["@NA"]],"AXON^CS_EVENT_DATEJ_N(\"E\",1)":[["@NA"]],"AXON^CS_EVENT_TIME_N(\"E\",1)":[["@NA"]],"AXON^CS_EVENT_DESC_N(\"E\",1)":[["@NA"]],"WAT^CS_EVENT_DATEJ_N(\"E\",1)":[["@NA"]],"WAT^CS_EVENT_TIME_N(\"E\",1)":[["@NA"]],"WAT^CS_EVENT_DESC_N(\"E\",1)":[["@NA"]],"ZBRA^CS_EVENT_DATEJ_N(\"E\",1)":[["@NA"]],"ZBRA^CS_EVENT_TIME_N(\"E\",1)":[["@NA"]],"ZBRA^CS_EVENT_DESC_N(\"E\",1)":[["@NA"]],"EXPD^CS_EVENT_DATEJ_N(\"E\",1)":[["@NA"]],"EXPD^CS_EVENT_TIME_N(\"E\",1)":[["@NA"]],"EXPD^CS_EVENT_DESC_N(\"E\",1)":[["@NA"]],"OXY^CS_EVENT_DATEJ_N(\"E\",1)":[["@NA"]],"OXY^CS_EVENT_TIME_N(\"E\",1)":[["@NA"]],"OXY^CS_EVENT_DESC_N(\"E\",1)":[["@NA"]],"WYNN^CS_EVENT_DATEJ_N(\"E\",1)":[["@NA"]],"WYNN^CS_EVENT_TIME_N(\"E\",1)":[["@NA"]],"WYNN^CS_EVENT_DESC_N(\"E\",1)":[["@NA"]],"J^CS_EVENT_DATEJ_N(\"E\",1)":[["@NA"]],"J^CS_EVENT_TIME_N(\"E\",1)":[["@NA"]],"J^CS_EVENT_DESC_N(\"E\",1)":[["@NA"]],"TDG^CS_EVENT_DATEJ_N(\"E\",1)":[["@NA"]],"TDG^CS_EVENT_TIME_N(\"E\",1)":[["@NA"]],"TDG^CS_EVENT_DESC_N(\"E\",1)":[["@NA"]],"DUK^CS_EVENT_DATEJ_N(\"E\",1)":[["@NA"]],"DUK^CS_EVENT_TIME_N(\"E\",1)":[["@NA"]],"DUK^CS_EVENT_DESC_N(\"E\",1)":[["@NA"]],"LITE^CS_EVENT_DATEJ_N(\"E\",1)":[["@NA"]],"LITE^CS_EVENT_TIME_N(\"E\",1)":[["@NA"]],"LITE^CS_EVENT_DESC_N(\"E\",1)":[["@NA"]],"FOX^CS_EVENT_DATEJ_N(\"E\",1)":[["@NA"]],"FOX^CS_EVENT_TIME_N(\"E\",1)":[["@NA"]],"FOX^CS_EVENT_DESC_N(\"E\",1)":[["@NA"]],"FOXA^CS_EVENT_DATEJ_N(\"E\",1)":[["@NA"]],"FOXA^CS_EVENT_TIME_N(\"E\",1)":[["@NA"]],"FOXA^CS_EVENT_DESC_N(\"E\",1)":[["@NA"]],"COHR^CS_EVENT_DATEJ_N(\"E\",1)":[["@NA"]],"COHR^CS_EVENT_TIME_N(\"E\",1)":[["@NA"]],"COHR^CS_EVENT_DESC_N(\"E\",1)":[["@NA"]],"ATO^CS_EVENT_DATEJ_N(\"E\",1)":[["@NA"]],"ATO^CS_EVENT_TIME_N(\"E\",1)":[["@NA"]],"ATO^CS_EVENT_DESC_N(\"E\",1)":[["@NA"]],"NI^CS_EVENT_DATEJ_N(\"E\",1)":[["@NA"]],"NI^CS_EVENT_TIME_N(\"E\",1)":[["@NA"]],"NI^CS_EVENT_DESC_N(\"E\",1)":[["@NA"]],"DIS^CS_EVENT_DATEJ_N(\"E\",1)":[["@NA"]],"DIS^CS_EVENT_TIME_N(\"E\",1)":[["@NA"]],"DIS^CS_EVENT_DESC_N(\"E\",1)":[["@NA"]],"TTD^CS_EVENT_DATEJ_N(\"E\",1)":[["@NA"]],"TTD^CS_EVENT_TIME_N(\"E\",1)":[["@NA"]],"TTD^CS_EVENT_DESC_N(\"E\",1)":[["@NA"]],"VST^CS_EVENT_DATEJ_N(\"E\",1)":[["@NA"]],"VST^CS_EVENT_TIME_N(\"E\",1)":[["@NA"]],"VST^CS_EVENT_DESC_N(\"E\",1)":[["@NA"]],"CRH^CS_EVENT_DATEJ_N(\"E\",1)":[["@NA"]],"CRH^CS_EVENT_TIME_N(\"E\",1)":[["@NA"]],"CRH^CS_EVENT_DESC_N(\"E\",1)":[["@NA"]],"ABNB^CS_EVENT_DATEJ_N(\"E\",1)":[["@NA"]],"ABNB^CS_EVENT_TIME_N(\"E\",1)":[["@NA"]],"ABNB^CS_EVENT_DESC_N(\"E\",1)":[["@NA"]],"APP^CS_EVENT_DATEJ_N(\"E\",1)":[["@NA"]],"APP^CS_EVENT_TIME_N(\"E\",1)":[["@NA"]],"APP^CS_EVENT_DESC_N(\"E\",1)":[["@NA"]],"HOOD^CS_EVENT_DATEJ_N(\"E\",1)":[["@NA"]],"HOOD^CS_EVENT_TIME_N(\"E\",1)":[["@NA"]],"HOOD^CS_EVENT_DESC_N(\"E\",1)":[["@NA"]],"KVUE^CS_EVENT_DATEJ_N(\"E\",1)":[["@NA"]],"KVUE^CS_EVENT_TIME_N(\"E\",1)":[["@NA"]],"KVUE^CS_EVENT_DESC_N(\"E\",1)":[["@NA"]],"TTWO^CS_EVENT_DATEJ_N(\"E\",1)":[["@NA"]],"TTWO^CS_EVENT_TIME_N(\"E\",1)":[["@NA"]],"TTWO^CS_EVENT_DESC_N(\"E\",1)":[["@NA"]],"ROST^CS_EVENT_DATEJ_N(\"E\",1)":[["@NA"]],"ROST^CS_EVENT_TIME_N(\"E\",1)":[["@NA"]],"ROST^CS_EVENT_DESC_N(\"E\",1)":[["@NA"]],"WMT^CS_EVENT_DATEJ_N(\"E\",1)":[["@NA"]],"WMT^CS_EVENT_TIME_N(\"E\",1)":[["@NA"]],"WMT^CS_EVENT_DESC_N(\"E\",1)":[["@NA"]],"AMAT^CS_EVENT_DATEJ_N(\"E\",1)":[["@NA"]],"AMAT^CS_EVENT_TIME_N(\"E\",1)":[["@NA"]],"AMAT^CS_EVENT_DESC_N(\"E\",1)":[["@NA"]],"HD^CS_EVENT_DATEJ_N(\"E\",1)":[[46252]],"HD^CS_EVENT_TIME_N(\"E\",1)":[["9:00 AM"]],"HD^CS_EVENT_DESC_N(\"E\",1)":[["Q2 2026 Earnings Call"]],"KEYS^CS_EVENT_DATEJ_N(\"E\",1)":[["@NA"]],"KEYS^CS_EVENT_TIME_N(\"E\",1)":[["@NA"]],"KEYS^CS_EVENT_DESC_N(\"E\",1)":[["@NA"]],"TJX^CS_EVENT_DATEJ_N(\"E\",1)":[["@NA"]],"TJX^CS_EVENT_TIME_N(\"E\",1)":[["@NA"]],"TJX^CS_EVENT_DESC_N(\"E\",1)":[["@NA"]],"NVDA^CS_EVENT_DATEJ_N(\"E\",1)":[["@NA"]],"NVDA^CS_EVENT_TIME_N(\"E\",1)":[["@NA"]],"NVDA^CS_EVENT_DESC_N(\"E\",1)":[["@NA"]],"TGT^CS_EVENT_DATEJ_N(\"E\",1)":[["@NA"]],"TGT^CS_EVENT_TIME_N(\"E\",1)":[["@NA"]],"TGT^CS_EVENT_DESC_N(\"E\",1)":[["@NA"]],"MDT^CS_EVENT_DATEJ_N(\"E\",1)":[[46176]],"MDT^CS_EVENT_TIME_N(\"E\",1)":[["7:45 AM"]],"MDT^CS_EVENT_DESC_N(\"E\",1)":[["Q4 2026 Earnings Call"]],"SNPS^CS_EVENT_DATEJ_N(\"E\",1)":[["@NA"]],"SNPS^CS_EVENT_TIME_N(\"E\",1)":[["@NA"]],"SNPS^CS_EVENT_DESC_N(\"E\",1)":[["@NA"]],"CSCO^CS_EVENT_DATEJ_N(\"E\",1)":[["@NA"]],"CSCO^CS_EVENT_TIME_N(\"E\",1)":[["@NA"]],"CSCO^CS_EVENT_DESC_N(\"E\",1)":[["@NA"]],"CPRT^CS_EVENT_DATEJ_N(\"E\",1)":[["@NA"]],"CPRT^CS_EVENT_TIME_N(\"E\",1)":[["@NA"]],"CPRT^CS_EVENT_DESC_N(\"E\",1)":[["@NA"]],"STE^CS_EVENT_DATEJ_N(\"E\",1)":[["@NA"]],"STE^CS_EVENT_TIME_N(\"E\",1)":[["@NA"]],"STE^CS_EVENT_DESC_N(\"E\",1)":[["@NA"]],"ADSK^CS_EVENT_DATEJ_N(\"E\",1)":[[46170]],"ADSK^CS_EVENT_TIME_N(\"E\",1)":[["5:00 PM"]],"ADSK^CS_EVENT_DESC_N(\"E\",1)":[["Q1 2027 Earnings Call"]],"DLTR^CS_EVENT_DATEJ_N(\"E\",1)":[[46170]],"DLTR^CS_EVENT_TIME_N(\"E\",1)":[["8:00 AM"]],"DLTR^CS_EVENT_DESC_N(\"E\",1)":[["Q1 2026 Earnings Call"]],"DECK^CS_EVENT_DATEJ_N(\"E\",1)":[["@NA"]],"DECK^CS_EVENT_TIME_N(\"E\",1)":[["@NA"]],"DECK^CS_EVENT_DESC_N(\"E\",1)":[["@NA"]],"DE^CS_EVENT_DATEJ_N(\"E\",1)":[[46254]],"DE^CS_EVENT_TIME_N(\"E\",1)":[["Unspecified"]],"DE^CS_EVENT_DESC_N(\"E\",1)":[["Q3 2026 Earnings Call"]],"RL^CS_EVENT_DATEJ_N(\"E\",1)":[["@NA"]],"RL^CS_EVENT_TIME_N(\"E\",1)":[["@NA"]],"RL^CS_EVENT_DESC_N(\"E\",1)":[["@NA"]],"INTU^CS_EVENT_DATEJ_N(\"E\",1)":[["@NA"]],"INTU^CS_EVENT_TIME_N(\"E\",1)":[["@NA"]],"INTU^CS_EVENT_DESC_N(\"E\",1)":[["@NA"]],"ULTA^CS_EVENT_DATEJ_N(\"E\",1)":[[46175]],"ULTA^CS_EVENT_TIME_N(\"E\",1)":[["4:30 PM"]],"ULTA^CS_EVENT_DESC_N(\"E\",1)":[["Q1 2026 Earnings Call"]],"DG^CS_EVENT_DATEJ_N(\"E\",1)":[[46175]],"DG^CS_EVENT_TIME_N(\"E\",1)":[["9:00 AM"]],"DG^CS_EVENT_DESC_N(\"E\",1)":[["Q1 2026 Earnings Call"]],"WDAY^CS_EVENT_DATEJ_N(\"E\",1)":[["@NA"]],"WDAY^CS_EVENT_TIME_N(\"E\",1)":[["@NA"]],"WDAY^CS_EVENT_DESC_N(\"E\",1)":[["@NA"]],"NDSN^CS_EVENT_DATEJ_N(\"E\",1)":[["@NA"]],"NDSN^CS_EVENT_TIME_N(\"E\",1)":[["@NA"]],"NDSN^CS_EVENT_DESC_N(\"E\",1)":[["@NA"]],"AZO^CS_EVENT_DATEJ_N(\"E\",1)":[["@NA"]],"AZO^CS_EVENT_TIME_N(\"E\",1)":[["@NA"]],"AZO^CS_EVENT_DESC_N(\"E\",1)":[["@NA"]],"RSG^CS_EVENT_DATEJ_N(\"E\",1)":[["@NA"]],"RSG^CS_EVENT_TIME_N(\"E\",1)":[["@NA"]],"MET^CS_EVENT_DATEJ_N(\"E\",1)":[["@NA"]],"MET^CS_EVENT_TIME_N(\"E\",1)":[["@NA"]],"CVS^CS_EVENT_DATEJ_N(\"E\",1)":[["@NA"]],"CVS^CS_EVENT_TIME_N(\"E\",1)":[["@NA"]],"VRTX^CS_EVENT_DATEJ_N(\"E\",1)":[["@NA"]],"VRTX^CS_EVENT_TIME_N(\"E\",1)":[["@NA"]],"EXC^CS_EVENT_DATEJ_N(\"E\",1)":[["@NA"]],"EXC^CS_EVENT_TIME_N(\"E\",1)":[["@NA"]],"EQR^CS_EVENT_TIME_N(\"ER\",1)":[["Unspecified"]],"PCAR^CS_EVENT_TIME_N(\"ER\",1)":[["Unspecified"]],"Q^CS_EVENT_DATEJ_N(\"E\",1)":[["@NA"]],"Q^CS_EVENT_TIME_N(\"E\",1)":[["@NA"]],"Q^CS_EVENT_DESC_N(\"E\",1)":[["@NA"]],"CAG^CS_EVENT_DATEJ_N(\"E\",1)":[["@NA"]],"CAG^CS_EVENT_TIME_N(\"E\",1)":[["@NA"]],"CAG^CS_EVENT_DESC_N(\"E\",1)":[["@NA"]],"STZ^CS_EVENT_DATEJ_N(\"E\",1)":[["@NA"]],"STZ^CS_EVENT_TIME_N(\"E\",1)":[["@NA"]],"STZ^CS_EVENT_DESC_N(\"E\",1)":[["@NA"]],"DAL^CS_EVENT_DATEJ_N(\"E\",1)":[["@NA"]],"DAL^CS_EVENT_TIME_N(\"E\",1)":[["@NA"]],"DAL^CS_EVENT_DESC_N(\"E\",1)":[["@NA"]],"PGR^CS_EVENT_DATEJ_N(\"E\",1)":[["@NA"]],"PGR^CS_EVENT_TIME_N(\"E\",1)":[["@NA"]],"PGR^CS_EVENT_DESC_N(\"E\",1)":[["@NA"]],"FAST^CS_EVENT_DATEJ_N(\"E\",1)":[["@NA"]],"FAST^CS_EVENT_TIME_N(\"E\",1)":[["@NA"]],"FAST^CS_EVENT_DESC_N(\"E\",1)":[["@NA"]],"GS^CS_EVENT_DATEJ_N(\"E\",1)":[[46217]],"GS^CS_EVENT_TIME_N(\"E\",1)":[["9:30 AM"]],"GS^CS_EVENT_DESC_N(\"E\",1)":[["Q2 2026 Earnings Call"]],"JPM^CS_EVENT_DATEJ_N(\"E\",1)":[[46217]],"JPM^CS_EVENT_TIME_N(\"E\",1)":[["8:30 AM"]],"JPM^CS_EVENT_DESC_N(\"E\",1)":[["Q2 2026 Earnings Call"]],"WFC^CS_EVENT_DATEJ_N(\"E\",1)":[[46217]],"WFC^CS_EVENT_TIME_N(\"E\",1)":[["10:00 AM"]],"WFC^CS_EVENT_DESC_N(\"E\",1)":[["Q2 2026 Earnings Call"]],"JNJ^CS_EVENT_DATEJ_N(\"E\",1)":[["@NA"]],"JNJ^CS_EVENT_TIME_N(\"E\",1)":[["@NA"]],"JNJ^CS_EVENT_DESC_N(\"E\",1)":[["@NA"]],"BLK^CS_EVENT_DATEJ_N(\"E\",1)":[["@NA"]],"BLK^CS_EVENT_TIME_N(\"E\",1)":[["@NA"]],"BLK^CS_EVENT_DESC_N(\"E\",1)":[["@NA"]],"C^CS_EVENT_DATEJ_N(\"E\",1)":[[46217]],"C^CS_EVENT_TIME_N(\"E\",1)":[["11:00 AM"]],"C^CS_EVENT_DESC_N(\"E\",1)":[["Q2 2026 Earnings Call"]],"BAC^CS_EVENT_DATEJ_N(\"E\",1)":[[46217]],"BAC^CS_EVENT_TIME_N(\"E\",1)":[["8:30 AM"]],"BAC^CS_EVENT_DESC_N(\"E\",1)":[["Q2 2026 Earnings Call"]],"MS^CS_EVENT_DATEJ_N(\"E\",1)":[[46218]],"MS^CS_EVENT_TIME_N(\"E\",1)":[["8:30 AM"]],"MS^CS_EVENT_DESC_N(\"E\",1)":[["Q2 2026 Earnings Call"]],"MTB^CS_EVENT_DATEJ_N(\"E\",1)":[[46218]],"MTB^CS_EVENT_TIME_N(\"E\",1)":[["8:00 AM"]],"MTB^CS_EVENT_DESC_N(\"E\",1)":[["Q2 2026 Earnings Call"]],"PNC^CS_EVENT_DATEJ_N(\"E\",1)":[[46218]],"PNC^CS_EVENT_TIME_N(\"E\",1)":[["10:00 AM"]],"PNC^CS_EVENT_DESC_N(\"E\",1)":[["Q2 2026 Earnings Call"]],"KEY^CS_EVENT_DATEJ_N(\"E\",1)":[[46224]],"KEY^CS_EVENT_TIME_N(\"E\",1)":[["9:00 AM"]],"KEY^CS_EVENT_DESC_N(\"E\",1)":[["Q2 2026 Earnings Call"]],"FCX^CS_EVENT_DATEJ_N(\"E\",1)":[["@NA"]],"FCX^CS_EVENT_TIME_N(\"E\",1)":[["@NA"]],"FCX^CS_EVENT_DESC_N(\"E\",1)":[["@NA"]],"USB^CS_EVENT_DATEJ_N(\"E\",1)":[[46219]],"USB^CS_EVENT_TIME_N(\"E\",1)":[["8:00 AM"]],"USB^CS_EVENT_DESC_N(\"E\",1)":[["Q2 2026 Earnings Call"]],"POOL^CS_EVENT_DATEJ_N(\"E\",1)":[["@NA"]],"POOL^CS_EVENT_TIME_N(\"E\",1)":[["@NA"]],"POOL^CS_EVENT_DESC_N(\"E\",1)":[["@NA"]],"SNA^CS_EVENT_DATEJ_N(\"E\",1)":[["@NA"]],"SNA^CS_EVENT_TIME_N(\"E\",1)":[["@NA"]],"SNA^CS_EVENT_DESC_N(\"E\",1)":[["@NA"]],"MRSH^CS_EVENT_DATEJ_N(\"E\",1)":[["@NA"]],"MRSH^CS_EVENT_TIME_N(\"E\",1)":[["@NA"]],"MRSH^CS_EVENT_DESC_N(\"E\",1)":[["@NA"]],"NFLX^CS_EVENT_DATEJ_N(\"E\",1)":[["@NA"]],"NFLX^CS_EVENT_TIME_N(\"E\",1)":[["@NA"]],"NFLX^CS_EVENT_DESC_N(\"E\",1)":[["@NA"]],"PLD^CS_EVENT_DATEJ_N(\"E\",1)":[["@NA"]],"PLD^CS_EVENT_TIME_N(\"E\",1)":[["@NA"]],"PLD^CS_EVENT_DESC_N(\"E\",1)":[["@NA"]],"ABT^CS_EVENT_DATEJ_N(\"E\",1)":[["@NA"]],"ABT^CS_EVENT_TIME_N(\"E\",1)":[["@NA"]],"ABT^CS_EVENT_DESC_N(\"E\",1)":[["@NA"]],"PPG^CS_EVENT_DATEJ_N(\"E\",1)":[["@NA"]],"PPG^CS_EVENT_TIME_N(\"E\",1)":[["@NA"]],"PPG^CS_EVENT_DESC_N(\"E\",1)":[["@NA"]],"BK^CS_EVENT_DATEJ_N(\"E\",1)":[[46128]],"BK^CS_EVENT_TIME_N(\"E\",1)":[["11:00 AM"]],"BK^CS_EVENT_DESC_N(\"E\",1)":[["Q1 2026 Earnings Call"]],"TRV^CS_EVENT_DATEJ_N(\"E\",1)":[["@NA"]],"TRV^CS_EVENT_TIME_N(\"E\",1)":[["@NA"]],"TRV^CS_EVENT_DESC_N(\"E\",1)":[["@NA"]],"BX^CS_EVENT_DATEJ_N(\"E\",1)":[["@NA"]],"BX^CS_EVENT_TIME_N(\"E\",1)":[["@NA"]],"BX^CS_EVENT_DESC_N(\"E\",1)":[["@NA"]],"STLD^CS_EVENT_DATEJ_N(\"E\",1)":[["@NA"]],"STLD^CS_EVENT_TIME_N(\"E\",1)":[["@NA"]],"STLD^CS_EVENT_DESC_N(\"E\",1)":[["@NA"]],"SCHW^CS_EVENT_DATEJ_N(\"E\",1)":[["@NA"]],"SCHW^CS_EVENT_TIME_N(\"E\",1)":[["@NA"]],"SCHW^CS_EVENT_DESC_N(\"E\",1)":[["@NA"]],"JBHT^CS_EVENT_DATEJ_N(\"E\",1)":[["@NA"]],"JBHT^CS_EVENT_TIME_N(\"E\",1)":[["@NA"]],"JBHT^CS_EVENT_DESC_N(\"E\",1)":[["@NA"]],"RTX^CS_EVENT_DATEJ_N(\"E\",1)":[["@NA"]],"RTX^CS_EVENT_TIME_N(\"E\",1)":[["@NA"]],"RTX^CS_EVENT_DESC_N(\"E\",1)":[["@NA"]],"LMT^CS_EVENT_DATEJ_N(\"E\",1)":[["@NA"]],"LMT^CS_EVENT_TIME_N(\"E\",1)":[["@NA"]],"LMT^CS_EVENT_DESC_N(\"E\",1)":[["@NA"]],"DHR^CS_EVENT_DATEJ_N(\"E\",1)":[["@NA"]],"DHR^CS_EVENT_TIME_N(\"E\",1)":[["@NA"]],"DHR^CS_EVENT_DESC_N(\"E\",1)":[["@NA"]],"UNH^CS_EVENT_DATEJ_N(\"E\",1)":[["@NA"]],"UNH^CS_EVENT_TIME_N(\"E\",1)":[["@NA"]],"UNH^CS_EVENT_DESC_N(\"E\",1)":[["@NA"]],"HAL^CS_EVENT_DATEJ_N(\"E\",1)":[["@NA"]],"HAL^CS_EVENT_TIME_N(\"E\",1)":[["@NA"]],"HAL^CS_EVENT_DESC_N(\"E\",1)":[["@NA"]],"WRB^CS_EVENT_DATEJ_N(\"E\",1)":[["@NA"]],"WRB^CS_EVENT_TIME_N(\"E\",1)":[["@NA"]],"WRB^CS_EVENT_DESC_N(\"E\",1)":[["@NA"]],"COF^CS_EVENT_DATEJ_N(\"E\",1)":[["@NA"]],"COF^CS_EVENT_TIME_N(\"E\",1)":[["@NA"]],"COF^CS_EVENT_DESC_N(\"E\",1)":[["@NA"]],"TSCO^CS_EVENT_DATEJ_N(\"E\",1)":[["@NA"]],"TSCO^CS_EVENT_TIME_N(\"E\",1)":[["@NA"]],"TSCO^CS_EVENT_DESC_N(\"E\",1)":[["@NA"]],"GE^CS_EVENT_DATEJ_N(\"E\",1)":[[46219]],"GE^CS_EVENT_TIME_N(\"E\",1)":[["7:30 AM"]],"GE^CS_EVENT_DESC_N(\"E\",1)":[["Q2 2026 Earnings Call"]],"GPC^CS_EVENT_DATEJ_N(\"E\",1)":[["@NA"]],"GPC^CS_EVENT_TIME_N(\"E\",1)":[["@NA"]],"GPC^CS_EVENT_DESC_N(\"E\",1)":[["@NA"]],"NOC^CS_EVENT_DATEJ_N(\"E\",1)":[["@NA"]],"NOC^CS_EVENT_TIME_N(\"E\",1)":[["@NA"]],"NOC^CS_EVENT_DESC_N(\"E\",1)":[["@NA"]],"DGX^CS_EVENT_DATEJ_N(\"E\",1)":[["@NA"]],"DGX^CS_EVENT_TIME_N(\"E\",1)":[["@NA"]],"DGX^CS_EVENT_DESC_N(\"E\",1)":[["@NA"]],"DHI^CS_EVENT_DATEJ_N(\"E\",1)":[[46224]],"DHI^CS_EVENT_TIME_N(\"E\",1)":[["8:30 AM"]],"DHI^CS_EVENT_DESC_N(\"E\",1)":[["Q3 2026 Earnings Call"]],"SPGI^CS_EVENT_TIME_N(\"ER\",1)":[["Unspecified"]],"SPGI^CS_EVENT_DESC_N(\"ER\",1)":[["Q2 2026 Earnings Release (Projected)"]],"SHW^CS_EVENT_TIME_N(\"ER\",1)":[["Unspecified"]],"SHW^CS_EVENT_DESC_N(\"ER\",1)":[["Q2 2026 Earnings Release (Projected)"]],"PKG^CS_EVENT_DATEJ_N(\"ER\",1)":[[46230]],"KMI^CS_EVENT_DATEJ_N(\"ER\",1)":[[46225]],"NDAQ^CS_EVENT_DATEJ_N(\"ER\",1)":[[46225]],"ELV^CS_EVENT_DATEJ_N(\"ER\",1)":[[46225]],"CME^CS_EVENT_DATEJ_N(\"ER\",1)":[[46232]],"GPC^CS_EVENT_TIME_N(\"ER\",1)":[["Unspecified"]],"GPC^CS_EVENT_DESC_N(\"ER\",1)":[["Q2 2026 Earnings Release (Projected)"]],"NOC^CS_EVENT_TIME_N(\"ER\",1)":[["Unspecified"]],"NOC^CS_EVENT_DESC_N(\"ER\",1)":[["Q2 2026 Earnings Release (Projected)"]],"DGX^CS_EVENT_TIME_N(\"ER\",1)":[["Unspecified"]],"DGX^CS_EVENT_DESC_N(\"ER\",1)":[["Q2 2026 Earnings Release (Projected)"]],"DHI^CS_EVENT_TIME_N(\"ER\",1)":[["Before Market"]],"DHI^CS_EVENT_DESC_N(\"ER\",1)":[["Q3 2026 Earnings Release"]],"OMC^CS_EVENT_TIME_N(\"ER\",1)":[["Unspecified"]],"OMC^CS_EVENT_DESC_N(\"ER\",1)":[["Q2 2026 Earnings Release (Projected)"]],"ISRG^CS_EVENT_TIME_N(\"ER\",1)":[["Unspecified"]],"ISRG^CS_EVENT_DESC_N(\"ER\",1)":[["Q2 2026 Earnings Release (Projected)"]],"NTRS^CS_EVENT_TIME_N(\"ER\",1)":[["Before Market"]],"NTRS^CS_EVENT_DESC_N(\"ER\",1)":[["Q2 2026 Earnings Release"]],"WSM^CS_EVENT_DATEJ_N(\"E\",1)":[["@NA"]],"WSM^CS_EVENT_TIME_N(\"E\",1)":[["@NA"]],"BBY^CS_EVENT_DATEJ_N(\"E\",1)":[["@NA"]],"BBY^CS_EVENT_TIME_N(\"E\",1)":[["@NA"]],"LOW^CS_EVENT_DATEJ_N(\"E\",1)":[[46253]],"LOW^CS_EVENT_TIME_N(\"E\",1)":[["Unspecified"]],"EQR^CS_EVENT_DATEJ_N(\"ER\",1)":[[46231]],"PCAR^CS_EVENT_DATEJ_N(\"ER\",1)":[[46231]],"SPGI^CS_EVENT_DATEJ_N(\"ER\",1)":[[46238]],"SHW^CS_EVENT_DATEJ_N(\"ER\",1)":[[46231]],"PKG^CS_EVENT_TIME_N(\"ER\",1)":[["Unspecified"]],"SYF^CS_EVENT_DATEJ_N(\"ER\",1)":[[46224]],"SYF^CS_EVENT_TIME_N(\"ER\",1)":[["Unspecified"]],"BSX^CS_EVENT_DATEJ_N(\"ER\",1)":[[46232]],"BSX^CS_EVENT_TIME_N(\"ER\",1)":[["Unspecified"]],"TXN^CS_EVENT_DATEJ_N(\"ER\",1)":[[46231]],"TXN^CS_EVENT_TIME_N(\"ER\",1)":[["Unspecified"]],"ESS^CS_EVENT_DATEJ_N(\"ER\",1)":[[46226]],"ESS^CS_EVENT_TIME_N(\"ER\",1)":[["Unspecified"]],"CNC^CS_EVENT_DATEJ_N(\"ER\",1)":[[46231]],"CNC^CS_EVENT_TIME_N(\"ER\",1)":[["6:00 AM"]],"WM^CS_EVENT_DATEJ_N(\"ER\",1)":[[46231]],"WM^CS_EVENT_TIME_N(\"ER\",1)":[["Unspecified"]],"GPC^CS_EVENT_DATEJ_N(\"ER\",1)":[[46231]],"NOC^CS_EVENT_DATEJ_N(\"ER\",1)":[[46226]],"DGX^CS_EVENT_DATEJ_N(\"ER\",1)":[[46231]],"DHI^CS_EVENT_DATEJ_N(\"ER\",1)":[[46224]],"OMC^CS_EVENT_DATEJ_N(\"ER\",1)":[[46224]],"ISRG^CS_EVENT_DATEJ_N(\"ER\",1)":[[46219]],"NTRS^CS_EVENT_DATEJ_N(\"ER\",1)":[[46225]],"UAL^CS_EVENT_DATEJ_N(\"ER\",1)":[[46225]],"IBKR^CS_EVENT_DATEJ_N(\"ER\",1)":[[46224]],"CB^CS_EVENT_DATEJ_N(\"ER\",1)":[[46231]],"UAL^CS_EVENT_DESC_N(\"ER\",1)":[["Q2 2026 Earnings Release (Projected)"]],"IBKR^CS_EVENT_DESC_N(\"ER\",1)":[["Q2 2026 Earnings Release (Projected)"]],"CB^CS_EVENT_DESC_N(\"ER\",1)":[["Q2 2026 Earnings Release (Projected)"]],"SYF^CS_EVENT_DESC_N(\"ER\",1)":[["Q2 2026 Earnings Release (Projected)"]],"BSX^CS_EVENT_DESC_N(\"ER\",1)":[["Q2 2026 Earnings Release"]],"BA^CS_EVENT_DESC_N(\"ER\",1)":[["Q2 2026 Earnings Release (Projected)"]],"MAS^CS_EVENT_DESC_N(\"ER\",1)":[["Q2 2026 Earnings Release (Projected)"]],"WAB^CS_EVENT_DESC_N(\"ER\",1)":[["Q2 2026 Earnings Release (Projected)"]],"CSX^CS_EVENT_DESC_N(\"ER\",1)":[["Q2 2026 Earnings Release (Projected)"]],"LUV^CS_EVENT_DESC_N(\"ER\",1)":[["Q2 2026 Earnings Release"]],"PKG^CS_EVENT_DESC_N(\"ER\",1)":[["Q2 2026 Earnings Release (Projected)"]],"A^CS_EVENT_DATEJ_N(\"E\",1)":[["@NA"]],"PANW^CS_EVENT_DATEJ_N(\"E\",1)":[[46175]],"ADI^CS_EVENT_DATEJ_N(\"E\",1)":[["@NA"]],"TXN^CS_EVENT_DESC_N(\"ER\",1)":[["Q2 2026 Earnings Release (Projected)"]],"ESS^CS_EVENT_DESC_N(\"ER\",1)":[["Q2 2026 Earnings Release (Projected)"]],"CNC^CS_EVENT_DESC_N(\"ER\",1)":[["Q2 2026 Earnings Release"]],"WM^CS_EVENT_DESC_N(\"ER\",1)":[["Q2 2026 Earnings Release (Projected)"]],"EQR^CS_EVENT_DESC_N(\"ER\",1)":[["Q2 2026 Earnings Release (Projected)"]],"PCAR^CS_EVENT_DESC_N(\"ER\",1)":[["Q2 2026 Earnings Release (Projected)"]],"KMI^CS_EVENT_TIME_N(\"ER\",1)":[["Unspecified"]],"KMI^CS_EVENT_DESC_N(\"ER\",1)":[["Q2 2026 Earnings Release (Projected)"]],"NDAQ^CS_EVENT_TIME_N(\"ER\",1)":[["Unspecified"]],"NDAQ^CS_EVENT_DESC_N(\"ER\",1)":[["Q2 2026 Earnings Release (Projected)"]],"ELV^CS_EVENT_TIME_N(\"ER\",1)":[["Unspecified"]],"ELV^CS_EVENT_DESC_N(\"ER\",1)":[["Q2 2026 Earnings Release (Projected)"]],"CME^CS_EVENT_TIME_N(\"ER\",1)":[["Unspecified"]],"CME^CS_EVENT_DESC_N(\"ER\",1)":[["Q2 2026 Earnings Release (Projected)"]],"BA^CS_EVENT_DATEJ_N(\"ER\",1)":[[46232]],"BA^CS_EVENT_TIME_N(\"ER\",1)":[["Unspecified"]],"MAS^CS_EVENT_DATEJ_N(\"ER\",1)":[[46226]],"MAS^CS_EVENT_TIME_N(\"ER\",1)":[["Unspecified"]],"WAB^CS_EVENT_DATEJ_N(\"ER\",1)":[[46226]],"WAB^CS_EVENT_TIME_N(\"ER\",1)":[["Unspecified"]],"CSX^CS_EVENT_DATEJ_N(\"ER\",1)":[[46225]],"CSX^CS_EVENT_TIME_N(\"ER\",1)":[["Unspecified"]],"LUV^CS_EVENT_DATEJ_N(\"ER\",1)":[[46225]],"LUV^CS_EVENT_TIME_N(\"ER\",1)":[["Unspecified"]],"UAL^CS_EVENT_TIME_N(\"ER\",1)":[["Unspecified"]],"IBKR^CS_EVENT_TIME_N(\"ER\",1)":[["Unspecified"]],"CB^CS_EVENT_TIME_N(\"ER\",1)":[["Unspecified"]],"IBKR^CS_EVENT_DATEJ_N(\"E\",1)":[["@NA"]],"IBKR^CS_EVENT_TIME_N(\"E\",1)":[["@NA"]],"IBKR^CS_EVENT_DESC_N(\"E\",1)":[["@NA"]],"CB^CS_EVENT_DATEJ_N(\"E\",1)":[["@NA"]],"CB^CS_EVENT_TIME_N(\"E\",1)":[["@NA"]],"CB^CS_EVENT_DESC_N(\"E\",1)":[["@NA"]],"SYF^CS_EVENT_DATEJ_N(\"E\",1)":[["@NA"]],"SYF^CS_EVENT_TIME_N(\"E\",1)":[["@NA"]],"SYF^CS_EVENT_DESC_N(\"E\",1)":[["@NA"]],"BSX^CS_EVENT_DATEJ_N(\"E\",1)":[[46232]],"BSX^CS_EVENT_TIME_N(\"E\",1)":[["8:00 AM"]],"BSX^CS_EVENT_DESC_N(\"E\",1)":[["Q2 2026 Earnings Call"]],"CCI^CS_EVENT_DATEJ_N(\"E\",1)":[["@NA"]],"CCI^CS_EVENT_TIME_N(\"E\",1)":[["@NA"]],"CCI^CS_EVENT_DESC_N(\"E\",1)":[["@NA"]],"EFX^CS_EVENT_DATEJ_N(\"E\",1)":[["@NA"]],"EFX^CS_EVENT_TIME_N(\"E\",1)":[["@NA"]],"EFX^CS_EVENT_DESC_N(\"E\",1)":[["@NA"]],"RJF^CS_EVENT_DATEJ_N(\"E\",1)":[[46225]],"RJF^CS_EVENT_TIME_N(\"E\",1)":[["5:00 PM"]],"RJF^CS_EVENT_DESC_N(\"E\",1)":[["Q3 2026 Earnings Call"]],"IBM^CS_EVENT_DATEJ_N(\"E\",1)":[["@NA"]],"IBM^CS_EVENT_TIME_N(\"E\",1)":[["@NA"]],"IBM^CS_EVENT_DESC_N(\"E\",1)":[["@NA"]],"BA^CS_EVENT_DATEJ_N(\"E\",1)":[["@NA"]],"BA^CS_EVENT_TIME_N(\"E\",1)":[["@NA"]],"BA^CS_EVENT_DESC_N(\"E\",1)":[["@NA"]],"MAS^CS_EVENT_DATEJ_N(\"E\",1)":[["@NA"]],"MAS^CS_EVENT_TIME_N(\"E\",1)":[["@NA"]],"MAS^CS_EVENT_DESC_N(\"E\",1)":[["@NA"]],"WAB^CS_EVENT_DATEJ_N(\"E\",1)":[["@NA"]],"WAB^CS_EVENT_TIME_N(\"E\",1)":[["@NA"]],"WAB^CS_EVENT_DESC_N(\"E\",1)":[["@NA"]],"CSX^CS_EVENT_DATEJ_N(\"E\",1)":[["@NA"]],"CSX^CS_EVENT_TIME_N(\"E\",1)":[["@NA"]],"CSX^CS_EVENT_DESC_N(\"E\",1)":[["@NA"]],"LUV^CS_EVENT_DATEJ_N(\"E\",1)":[[46226]],"LUV^CS_EVENT_TIME_N(\"E\",1)":[["10:00 AM"]],"LUV^CS_EVENT_DESC_N(\"E\",1)":[["Q2 2026 Earnings Call"]],"PKG^CS_EVENT_DATEJ_N(\"E\",1)":[["@NA"]],"PKG^CS_EVENT_TIME_N(\"E\",1)":[["@NA"]],"PKG^CS_EVENT_DESC_N(\"E\",1)":[["@NA"]],"KMI^CS_EVENT_DATEJ_N(\"E\",1)":[["@NA"]],"KMI^CS_EVENT_TIME_N(\"E\",1)":[["@NA"]],"KMI^CS_EVENT_DESC_N(\"E\",1)":[["@NA"]],"NDAQ^CS_EVENT_DATEJ_N(\"E\",1)":[["@NA"]],"NDAQ^CS_EVENT_TIME_N(\"E\",1)":[["@NA"]],"NDAQ^CS_EVENT_DESC_N(\"E\",1)":[["@NA"]],"ELV^CS_EVENT_DATEJ_N(\"E\",1)":[["@NA"]],"ELV^CS_EVENT_TIME_N(\"E\",1)":[["@NA"]],"ELV^CS_EVENT_DESC_N(\"E\",1)":[["@NA"]],"CME^CS_EVENT_DATEJ_N(\"E\",1)":[["@NA"]],"CME^CS_EVENT_TIME_N(\"E\",1)":[["@NA"]],"CME^CS_EVENT_DESC_N(\"E\",1)":[["@NA"]],"T^CS_EVENT_DATEJ_N(\"E\",1)":[["@NA"]],"T^CS_EVENT_TIME_N(\"E\",1)":[["@NA"]],"T^CS_EVENT_DESC_N(\"E\",1)":[["@NA"]],"PM^CS_EVENT_DATEJ_N(\"E\",1)":[[46225]],"PM^CS_EVENT_TIME_N(\"E\",1)":[["9:00 AM"]],"PM^CS_EVENT_DESC_N(\"E\",1)":[["Q2 2026 Earnings Call"]],"GEV^CS_EVENT_DATEJ_N(\"E\",1)":[[46225]],"GEV^CS_EVENT_TIME_N(\"E\",1)":[["7:30 AM"]],"GEV^CS_EVENT_DESC_N(\"E\",1)":[["Q2 2026 Earnings Call"]],"PHM^CS_EVENT_DATEJ_N(\"E\",1)":[[46225]],"PHM^CS_EVENT_TIME_N(\"E\",1)":[["8:30 AM"]],"PHM^CS_EVENT_DESC_N(\"E\",1)":[["Q2 2026 Earnings Call"]],"CPT^CS_EVENT_DATEJ_N(\"E\",1)":[["@NA"]],"CPT^CS_EVENT_TIME_N(\"E\",1)":[["@NA"]],"CPT^CS_EVENT_DESC_N(\"E\",1)":[["@NA"]],"WST^CS_EVENT_DATEJ_N(\"E\",1)":[["@NA"]],"WST^CS_EVENT_TIME_N(\"E\",1)":[["@NA"]],"WST^CS_EVENT_DESC_N(\"E\",1)":[["@NA"]],"RMD^CS_EVENT_DATEJ_N(\"E\",1)":[["@NA"]],"RMD^CS_EVENT_TIME_N(\"E\",1)":[["@NA"]],"RMD^CS_EVENT_DESC_N(\"E\",1)":[["@NA"]],"HON^CS_EVENT_DATEJ_N(\"E\",1)":[["@NA"]],"HON^CS_EVENT_TIME_N(\"E\",1)":[["@NA"]],"HON^CS_EVENT_DESC_N(\"E\",1)":[["@NA"]],"PCG^CS_EVENT_DATEJ_N(\"E\",1)":[["@NA"]],"PCG^CS_EVENT_TIME_N(\"E\",1)":[["@NA"]],"PCG^CS_EVENT_DESC_N(\"E\",1)":[["@NA"]],"AOS^CS_EVENT_DATEJ_N(\"E\",1)":[["@NA"]],"AOS^CS_EVENT_TIME_N(\"E\",1)":[["@NA"]],"AOS^CS_EVENT_DESC_N(\"E\",1)":[["@NA"]],"NEM^CS_EVENT_DATEJ_N(\"E\",1)":[["@NA"]],"NEM^CS_EVENT_TIME_N(\"E\",1)":[["@NA"]],"NEM^CS_EVENT_DESC_N(\"E\",1)":[["@NA"]],"KIM^CS_EVENT_DATEJ_N(\"E\",1)":[["@NA"]],"KIM^CS_EVENT_TIME_N(\"E\",1)":[["@NA"]],"KIM^CS_EVENT_DESC_N(\"E\",1)":[["@NA"]],"HSY^CS_EVENT_DATEJ_N(\"E\",1)":[["@NA"]],"HSY^CS_EVENT_TIME_N(\"E\",1)":[["@NA"]],"HSY^CS_EVENT_DESC_N(\"E\",1)":[["@NA"]],"VRSN^CS_EVENT_DATEJ_N(\"E\",1)":[["@NA"]],"VRSN^CS_EVENT_TIME_N(\"E\",1)":[["@NA"]],"VRSN^CS_EVENT_DESC_N(\"E\",1)":[["@NA"]],"CINF^CS_EVENT_DATEJ_N(\"E\",1)":[["@NA"]],"CINF^CS_EVENT_TIME_N(\"E\",1)":[["@NA"]],"CINF^CS_EVENT_DESC_N(\"E\",1)":[["@NA"]],"AJG^CS_EVENT_DATEJ_N(\"E\",1)":[["@NA"]],"AJG^CS_EVENT_TIME_N(\"E\",1)":[["@NA"]],"AJG^CS_EVENT_DESC_N(\"E\",1)":[["@NA"]],"WTW^CS_EVENT_DATEJ_N(\"E\",1)":[["@NA"]],"WTW^CS_EVENT_TIME_N(\"E\",1)":[["@NA"]],"WTW^CS_EVENT_DESC_N(\"E\",1)":[["@NA"]],"GILD^CS_EVENT_DATEJ_N(\"E\",1)":[["@NA"]],"GILD^CS_EVENT_TIME_N(\"E\",1)":[["@NA"]],"GILD^CS_EVENT_DESC_N(\"E\",1)":[["@NA"]],"ERIE^CS_EVENT_DATEJ_N(\"E\",1)":[["@NA"]],"ERIE^CS_EVENT_TIME_N(\"E\",1)":[["@NA"]],"ERIE^CS_EVENT_DESC_N(\"E\",1)":[["@NA"]],"DOV^CS_EVENT_DATEJ_N(\"E\",1)":[["@NA"]],"DOV^CS_EVENT_TIME_N(\"E\",1)":[["@NA"]],"DOV^CS_EVENT_DESC_N(\"E\",1)":[["@NA"]],"DTE^CS_EVENT_DATEJ_N(\"E\",1)":[["@NA"]],"DTE^CS_EVENT_TIME_N(\"E\",1)":[["@NA"]],"DTE^CS_EVENT_DESC_N(\"E\",1)":[["@NA"]],"HAS^CS_EVENT_DATEJ_N(\"E\",1)":[["@NA"]],"HAS^CS_EVENT_TIME_N(\"E\",1)":[["@NA"]],"HAS^CS_EVENT_DESC_N(\"E\",1)":[["@NA"]],"AMZN^CS_EVENT_DATEJ_N(\"E\",1)":[["@NA"]],"AMZN^CS_EVENT_TIME_N(\"E\",1)":[["@NA"]],"AMZN^CS_EVENT_DESC_N(\"E\",1)":[["@NA"]],"HIG^CS_EVENT_DATEJ_N(\"E\",1)":[["@NA"]],"HIG^CS_EVENT_TIME_N(\"E\",1)":[["@NA"]],"HIG^CS_EVENT_DESC_N(\"E\",1)":[["@NA"]],"HBAN^CS_EVENT_DATEJ_N(\"E\",1)":[[46226]],"HBAN^CS_EVENT_TIME_N(\"E\",1)":[["9:00 AM"]],"HBAN^CS_EVENT_DESC_N(\"E\",1)":[["Q2 2026 Earnings Call"]],"EME^CS_EVENT_DATEJ_N(\"E\",1)":[["@NA"]],"EME^CS_EVENT_TIME_N(\"E\",1)":[["@NA"]],"EME^CS_EVENT_DESC_N(\"E\",1)":[["@NA"]],"KLAC^CS_EVENT_DATEJ_N(\"E\",1)":[["@NA"]],"KLAC^CS_EVENT_TIME_N(\"E\",1)":[["@NA"]],"KLAC^CS_EVENT_DESC_N(\"E\",1)":[["@NA"]],"TROW^CS_EVENT_DATEJ_N(\"E\",1)":[["@NA"]],"TROW^CS_EVENT_TIME_N(\"E\",1)":[["@NA"]],"TROW^CS_EVENT_DESC_N(\"E\",1)":[["@NA"]],"AXP^CS_EVENT_DATEJ_N(\"E\",1)":[[46227]],"AXP^CS_EVENT_TIME_N(\"E\",1)":[["8:30 AM"]],"AXP^CS_EVENT_DESC_N(\"E\",1)":[["Q2 2026 Earnings Call"]],"CNP^CS_EVENT_DATEJ_N(\"E\",1)":[["@NA"]],"CNP^CS_EVENT_TIME_N(\"E\",1)":[["@NA"]],"CNP^CS_EVENT_DESC_N(\"E\",1)":[["@NA"]],"WDC^CS_EVENT_DATEJ_N(\"E\",1)":[["@NA"]],"WDC^CS_EVENT_TIME_N(\"E\",1)":[["@NA"]],"WDC^CS_EVENT_DESC_N(\"E\",1)":[["@NA"]],"PFG^CS_EVENT_DATEJ_N(\"E\",1)":[["@NA"]],"PFG^CS_EVENT_TIME_N(\"E\",1)":[["@NA"]],"PFG^CS_EVENT_DESC_N(\"E\",1)":[["@NA"]],"INTC^CS_EVENT_DATEJ_N(\"E\",1)":[["@NA"]],"INTC^CS_EVENT_TIME_N(\"E\",1)":[["@NA"]],"INTC^CS_EVENT_DESC_N(\"E\",1)":[["@NA"]],"FE^CS_EVENT_DATEJ_N(\"E\",1)":[["@NA"]],"FE^CS_EVENT_TIME_N(\"E\",1)":[["@NA"]],"FE^CS_EVENT_DESC_N(\"E\",1)":[["@NA"]],"CAT^CS_EVENT_DATEJ_N(\"E\",1)":[["@NA"]],"CAT^CS_EVENT_TIME_N(\"E\",1)":[["@NA"]],"CAT^CS_EVENT_DESC_N(\"E\",1)":[["@NA"]],"MCD^CS_EVENT_DATEJ_N(\"E\",1)":[["@NA"]],"MCD^CS_EVENT_TIME_N(\"E\",1)":[["@NA"]],"MCD^CS_EVENT_DESC_N(\"E\",1)":[["@NA"]],"UNP^CS_EVENT_DATEJ_N(\"E\",1)":[["@NA"]],"UNP^CS_EVENT_TIME_N(\"E\",1)":[["@NA"]],"UNP^CS_EVENT_DESC_N(\"E\",1)":[["@NA"]],"XEL^CS_EVENT_DATEJ_N(\"E\",1)":[["@NA"]],"XEL^CS_EVENT_TIME_N(\"E\",1)":[["@NA"]],"XEL^CS_EVENT_DESC_N(\"E\",1)":[["@NA"]],"CMS^CS_EVENT_DATEJ_N(\"E\",1)":[["@NA"]],"CMS^CS_EVENT_TIME_N(\"E\",1)":[["@NA"]],"CMS^CS_EVENT_DESC_N(\"E\",1)":[["@NA"]],"MA^CS_EVENT_DATEJ_N(\"E\",1)":[["@NA"]],"MA^CS_EVENT_TIME_N(\"E\",1)":[["@NA"]],"MA^CS_EVENT_DESC_N(\"E\",1)":[["@NA"]],"DXCM^CS_EVENT_DATEJ_N(\"E\",1)":[["@NA"]],"DXCM^CS_EVENT_TIME_N(\"E\",1)":[["@NA"]],"DXCM^CS_EVENT_DESC_N(\"E\",1)":[["@NA"]],"ALLE^CS_EVENT_DATEJ_N(\"E\",1)":[["@NA"]],"ALLE^CS_EVENT_TIME_N(\"E\",1)":[["@NA"]],"ALLE^CS_EVENT_DESC_N(\"E\",1)":[["@NA"]],"DLR^CS_EVENT_DATEJ_N(\"E\",1)":[["@NA"]],"DLR^CS_EVENT_TIME_N(\"E\",1)":[["@NA"]],"DLR^CS_EVENT_DESC_N(\"E\",1)":[["@NA"]],"KDP^CS_EVENT_DATEJ_N(\"E\",1)":[["@NA"]],"KDP^CS_EVENT_TIME_N(\"E\",1)":[["@NA"]],"KDP^CS_EVENT_DESC_N(\"E\",1)":[["@NA"]],"BKR^CS_EVENT_DATEJ_N(\"E\",1)":[["@NA"]],"BKR^CS_EVENT_TIME_N(\"E\",1)":[["@NA"]],"BKR^CS_EVENT_DESC_N(\"E\",1)":[["@NA"]],"CMCSA^CS_EVENT_DATEJ_N(\"E\",1)":[["@NA"]],"CMCSA^CS_EVENT_TIME_N(\"E\",1)":[["@NA"]],"CMCSA^CS_EVENT_DESC_N(\"E\",1)":[["@NA"]],"CBRE^CS_EVENT_DATEJ_N(\"E\",1)":[["@NA"]],"CBRE^CS_EVENT_TIME_N(\"E\",1)":[["@NA"]],"CBRE^CS_EVENT_DESC_N(\"E\",1)":[["@NA"]],"DOC^CS_EVENT_DATEJ_N(\"E\",1)":[["@NA"]],"DOC^CS_EVENT_TIME_N(\"E\",1)":[["@NA"]],"DOC^CS_EVENT_DESC_N(\"E\",1)":[["@NA"]],"AMP^CS_EVENT_DATEJ_N(\"E\",1)":[["@NA"]],"AMP^CS_EVENT_TIME_N(\"E\",1)":[["@NA"]],"AMP^CS_EVENT_DESC_N(\"E\",1)":[["@NA"]],"FSLR^CS_EVENT_DATEJ_N(\"E\",1)":[["@NA"]],"FSLR^CS_EVENT_TIME_N(\"E\",1)":[["@NA"]],"FSLR^CS_EVENT_DESC_N(\"E\",1)":[["@NA"]],"FTV^CS_EVENT_DATEJ_N(\"E\",1)":[["@NA"]],"FTV^CS_EVENT_TIME_N(\"E\",1)":[["@NA"]],"FTV^CS_EVENT_DESC_N(\"E\",1)":[["@NA"]],"DOW^CS_EVENT_DATEJ_N(\"E\",1)":[[46226]],"DOW^CS_EVENT_TIME_N(\"E\",1)":[["8:00 AM"]],"DOW^CS_EVENT_DESC_N(\"E\",1)":[["Q2 2026 Earnings Call"]],"CARR^CS_EVENT_DATEJ_N(\"E\",1)":[["@NA"]],"CARR^CS_EVENT_TIME_N(\"E\",1)":[["@NA"]],"CARR^CS_EVENT_DESC_N(\"E\",1)":[["@NA"]],"CVX^CS_EVENT_DATEJ_N(\"E\",1)":[["@NA"]],"CVX^CS_EVENT_TIME_N(\"E\",1)":[["@NA"]],"CVX^CS_EVENT_DESC_N(\"E\",1)":[["@NA"]],"PG^CS_EVENT_DATEJ_N(\"E\",1)":[["@NA"]],"PG^CS_EVENT_TIME_N(\"E\",1)":[["@NA"]],"PG^CS_EVENT_DESC_N(\"E\",1)":[["@NA"]],"NSC^CS_EVENT_DATEJ_N(\"E\",1)":[["@NA"]],"NSC^CS_EVENT_TIME_N(\"E\",1)":[["@NA"]],"NSC^CS_EVENT_DESC_N(\"E\",1)":[["@NA"]],"XOM^CS_EVENT_DATEJ_N(\"E\",1)":[["@NA"]],"XOM^CS_EVENT_TIME_N(\"E\",1)":[["@NA"]],"XOM^CS_EVENT_DESC_N(\"E\",1)":[["@NA"]],"SLB^CS_EVENT_DATEJ_N(\"E\",1)":[[46227]],"SLB^CS_EVENT_TIME_N(\"E\",1)":[["9:30 AM"]],"SLB^CS_EVENT_DESC_N(\"E\",1)":[["Q2 2026 Earnings Call"]],"HCA^CS_EVENT_DATEJ_N(\"E\",1)":[["@NA"]],"HCA^CS_EVENT_TIME_N(\"E\",1)":[["@NA"]],"HCA^CS_EVENT_DESC_N(\"E\",1)":[["@NA"]],"CHTR^CS_EVENT_DATEJ_N(\"E\",1)":[["@NA"]],"CHTR^CS_EVENT_TIME_N(\"E\",1)":[["@NA"]],"CHTR^CS_EVENT_DESC_N(\"E\",1)":[["@NA"]],"LYB^CS_EVENT_DATEJ_N(\"E\",1)":[["@NA"]],"LYB^CS_EVENT_TIME_N(\"E\",1)":[["@NA"]],"LYB^CS_EVENT_DESC_N(\"E\",1)":[["@NA"]],"ARES^CS_EVENT_DATEJ_N(\"E\",1)":[["@NA"]],"ARES^CS_EVENT_TIME_N(\"E\",1)":[["@NA"]],"ARES^CS_EVENT_DESC_N(\"E\",1)":[["@NA"]],"UHS^CS_EVENT_DATEJ_N(\"E\",1)":[["@NA"]],"UHS^CS_EVENT_TIME_N(\"E\",1)":[["@NA"]],"UHS^CS_EVENT_DESC_N(\"E\",1)":[["@NA"]],"ARE^CS_EVENT_DATEJ_N(\"E\",1)":[["@NA"]],"ARE^CS_EVENT_TIME_N(\"E\",1)":[["@NA"]],"ARE^CS_EVENT_DESC_N(\"E\",1)":[["@NA"]],"VZ^CS_EVENT_DATEJ_N(\"E\",1)":[[46224]],"VZ^CS_EVENT_TIME_N(\"E\",1)":[["8:30 AM"]],"VZ^CS_EVENT_DESC_N(\"E\",1)":[["Q2 2026 Earnings Call"]],"BRO^CS_EVENT_DATEJ_N(\"E\",1)":[["@NA"]],"BRO^CS_EVENT_TIME_N(\"E\",1)":[["@NA"]],"BRO^CS_EVENT_DESC_N(\"E\",1)":[["@NA"]],"CDNS^CS_EVENT_DATEJ_N(\"E\",1)":[["@NA"]],"CDNS^CS_EVENT_TIME_N(\"E\",1)":[["@NA"]],"CDNS^CS_EVENT_DESC_N(\"E\",1)":[["@NA"]],"NUE^CS_EVENT_DATEJ_N(\"E\",1)":[["@NA"]],"NUE^CS_EVENT_TIME_N(\"E\",1)":[["@NA"]],"NUE^CS_EVENT_DESC_N(\"E\",1)":[["@NA"]],"LII^CS_EVENT_DATEJ_N(\"E\",1)":[["@NA"]],"LII^CS_EVENT_TIME_N(\"E\",1)":[["@NA"]],"LII^CS_EVENT_DESC_N(\"E\",1)":[["@NA"]],"DPZ^CS_EVENT_DATEJ_N(\"E\",1)":[["@NA"]],"DPZ^CS_EVENT_TIME_N(\"E\",1)":[["@NA"]],"DPZ^CS_EVENT_DESC_N(\"E\",1)":[["@NA"]],"MSFT^CS_EVENT_DATEJ_N(\"E\",1)":[["@NA"]],"MSFT^CS_EVENT_TIME_N(\"E\",1)":[["@NA"]],"MSFT^CS_EVENT_DESC_N(\"E\",1)":[["@NA"]],"MCO^CS_EVENT_DATEJ_N(\"E\",1)":[["@NA"]],"MCO^CS_EVENT_TIME_N(\"E\",1)":[["@NA"]],"MCO^CS_EVENT_DESC_N(\"E\",1)":[["@NA"]],"KO^CS_EVENT_DATEJ_N(\"E\",1)":[["@NA"]],"KO^CS_EVENT_TIME_N(\"E\",1)":[["@NA"]],"KO^CS_EVENT_DESC_N(\"E\",1)":[["@NA"]],"FISV^CS_EVENT_DATEJ_N(\"E\",1)":[["@NA"]],"FISV^CS_EVENT_TIME_N(\"E\",1)":[["@NA"]],"FISV^CS_EVENT_DESC_N(\"E\",1)":[["@NA"]],"AMT^CS_EVENT_DATEJ_N(\"E\",1)":[["@NA"]],"AMT^CS_EVENT_TIME_N(\"E\",1)":[["@NA"]],"AMT^CS_EVENT_DESC_N(\"E\",1)":[["@NA"]],"NVR^CS_EVENT_DATEJ_N(\"E\",1)":[["@NA"]],"NVR^CS_EVENT_TIME_N(\"E\",1)":[["@NA"]],"NVR^CS_EVENT_DESC_N(\"E\",1)":[["@NA"]],"ROP^CS_EVENT_DATEJ_N(\"E\",1)":[["@NA"]],"ROP^CS_EVENT_TIME_N(\"E\",1)":[["@NA"]],"ROP^CS_EVENT_DESC_N(\"E\",1)":[["@NA"]],"TER^CS_EVENT_DATEJ_N(\"E\",1)":[["@NA"]],"TER^CS_EVENT_TIME_N(\"E\",1)":[["@NA"]],"TER^CS_EVENT_DESC_N(\"E\",1)":[["@NA"]],"MMM^CS_EVENT_DATEJ_N(\"E\",1)":[["@NA"]],"MMM^CS_EVENT_TIME_N(\"E\",1)":[["@NA"]],"MMM^CS_EVENT_DESC_N(\"E\",1)":[["@NA"]],"IEX^CS_EVENT_DATEJ_N(\"E\",1)":[["@NA"]],"IEX^CS_EVENT_TIME_N(\"E\",1)":[["@NA"]],"IEX^CS_EVENT_DESC_N(\"E\",1)":[["@NA"]],"CSGP^CS_EVENT_DATEJ_N(\"E\",1)":[["@NA"]],"CSGP^CS_EVENT_TIME_N(\"E\",1)":[["@NA"]],"CSGP^CS_EVENT_DESC_N(\"E\",1)":[["@NA"]],"TXN^CS_EVENT_DATEJ_N(\"E\",1)":[["@NA"]],"TXN^CS_EVENT_TIME_N(\"E\",1)":[["@NA"]],"TXN^CS_EVENT_DESC_N(\"E\",1)":[["@NA"]],"ESS^CS_EVENT_DATEJ_N(\"E\",1)":[["@NA"]],"ESS^CS_EVENT_TIME_N(\"E\",1)":[["@NA"]],"ESS^CS_EVENT_DESC_N(\"E\",1)":[["@NA"]],"CNC^CS_EVENT_DATEJ_N(\"E\",1)":[[46231]],"CNC^CS_EVENT_TIME_N(\"E\",1)":[["8:30 AM"]],"CNC^CS_EVENT_DESC_N(\"E\",1)":[["Q2 2026 Earnings Call"]],"WM^CS_EVENT_DATEJ_N(\"E\",1)":[["@NA"]],"WM^CS_EVENT_TIME_N(\"E\",1)":[["@NA"]],"WM^CS_EVENT_DESC_N(\"E\",1)":[["@NA"]],"EQR^CS_EVENT_DATEJ_N(\"E\",1)":[["@NA"]],"EQR^CS_EVENT_TIME_N(\"E\",1)":[["@NA"]],"EQR^CS_EVENT_DESC_N(\"E\",1)":[["@NA"]],"PCAR^CS_EVENT_DATEJ_N(\"E\",1)":[["@NA"]],"PCAR^CS_EVENT_TIME_N(\"E\",1)":[["@NA"]],"PCAR^CS_EVENT_DESC_N(\"E\",1)":[["@NA"]],"SPGI^CS_EVENT_DATEJ_N(\"E\",1)":[["@NA"]],"SPGI^CS_EVENT_TIME_N(\"E\",1)":[["@NA"]],"SPGI^CS_EVENT_DESC_N(\"E\",1)":[["@NA"]],"SHW^CS_EVENT_DATEJ_N(\"E\",1)":[["@NA"]],"SHW^CS_EVENT_TIME_N(\"E\",1)":[["@NA"]],"SHW^CS_EVENT_DESC_N(\"E\",1)":[["@NA"]],"ECL^CS_EVENT_DATEJ_N(\"E\",1)":[["@NA"]],"ECL^CS_EVENT_TIME_N(\"E\",1)":[["@NA"]],"ECL^CS_EVENT_DESC_N(\"E\",1)":[["@NA"]],"EIX^CS_EVENT_DATEJ_N(\"E\",1)":[["@NA"]],"EIX^CS_EVENT_TIME_N(\"E\",1)":[["@NA"]],"EIX^CS_EVENT_DESC_N(\"E\",1)":[["@NA"]],"UPS^CS_EVENT_DATEJ_N(\"E\",1)":[["@NA"]],"UPS^CS_EVENT_TIME_N(\"E\",1)":[["@NA"]],"UPS^CS_EVENT_DESC_N(\"E\",1)":[["@NA"]],"ACGL^CS_EVENT_DATEJ_N(\"E\",1)":[["@NA"]],"ACGL^CS_EVENT_TIME_N(\"E\",1)":[["@NA"]],"ACGL^CS_EVENT_DESC_N(\"E\",1)":[["@NA"]],"KMB^CS_EVENT_DATEJ_N(\"E\",1)":[["@NA"]],"KMB^CS_EVENT_TIME_N(\"E\",1)":[["@NA"]],"KMB^CS_EVENT_DESC_N(\"E\",1)":[["@NA"]],"PEP^CS_EVENT_DATEJ_N(\"E\",1)":[["@NA"]],"PEP^CS_EVENT_TIME_N(\"E\",1)":[["@NA"]],"PEP^CS_EVENT_DESC_N(\"E\",1)":[["@NA"]],"HUBB^CS_EVENT_DATEJ_N(\"E\",1)":[["@NA"]],"HUBB^CS_EVENT_TIME_N(\"E\",1)":[["@NA"]],"HUBB^CS_EVENT_DESC_N(\"E\",1)":[["@NA"]],"ADM^CS_EVENT_DATEJ_N(\"E\",1)":[["@NA"]],"ADM^CS_EVENT_TIME_N(\"E\",1)":[["@NA"]],"ADM^CS_EVENT_DESC_N(\"E\",1)":[["@NA"]],"BKNG^CS_EVENT_DATEJ_N(\"E\",1)":[["@NA"]],"BKNG^CS_EVENT_TIME_N(\"E\",1)":[["@NA"]],"BKNG^CS_EVENT_DESC_N(\"E\",1)":[["@NA"]],"MSCI^CS_EVENT_DATEJ_N(\"E\",1)":[[46224]],"MSCI^CS_EVENT_TIME_N(\"E\",1)":[["11:00 AM"]],"MSCI^CS_EVENT_DESC_N(\"E\",1)":[["Q2 2026 Earnings Call"]],"GOOGL^CS_EVENT_DATEJ_N(\"E\",1)":[["@NA"]],"GOOGL^CS_EVENT_TIME_N(\"E\",1)":[["@NA"]],"GOOGL^CS_EVENT_DESC_N(\"E\",1)":[["@NA"]],"GM^CS_EVENT_DATEJ_N(\"E\",1)":[["@NA"]],"GM^CS_EVENT_TIME_N(\"E\",1)":[["@NA"]],"GM^CS_EVENT_DESC_N(\"E\",1)":[["@NA"]],"NEE^CS_EVENT_DATEJ_N(\"E\",1)":[["@NA"]],"NEE^CS_EVENT_TIME_N(\"E\",1)":[["@NA"]],"NEE^CS_EVENT_DESC_N(\"E\",1)":[["@NA"]],"NXPI^CS_EVENT_DATEJ_N(\"E\",1)":[[46231]],"NXPI^CS_EVENT_TIME_N(\"E\",1)":[["4:30 PM"]],"NXPI^CS_EVENT_DESC_N(\"E\",1)":[["Q2 2026 Earnings Call"]],"MDLZ^CS_EVENT_DATEJ_N(\"E\",1)":[["@NA"]],"MDLZ^CS_EVENT_TIME_N(\"E\",1)":[["@NA"]],"MDLZ^CS_EVENT_DESC_N(\"E\",1)":[["@NA"]],"TSLA^CS_EVENT_DATEJ_N(\"E\",1)":[["@NA"]],"TSLA^CS_EVENT_TIME_N(\"E\",1)":[["@NA"]],"TSLA^CS_EVENT_DESC_N(\"E\",1)":[["@NA"]],"GOOG^CS_EVENT_DATEJ_N(\"E\",1)":[["@NA"]],"GOOG^CS_EVENT_TIME_N(\"E\",1)":[["@NA"]],"GOOG^CS_EVENT_DESC_N(\"E\",1)":[["@NA"]],"HLT^CS_EVENT_DATEJ_N(\"E\",1)":[["@NA"]],"HLT^CS_EVENT_TIME_N(\"E\",1)":[["@NA"]],"HLT^CS_EVENT_DESC_N(\"E\",1)":[["@NA"]],"IVZ^CS_EVENT_DATEJ_N(\"E\",1)":[["@NA"]],"IVZ^CS_EVENT_TIME_N(\"E\",1)":[["@NA"]],"IVZ^CS_EVENT_DESC_N(\"E\",1)":[["@NA"]],"EXR^CS_EVENT_DATEJ_N(\"E\",1)":[["@NA"]],"EXR^CS_EVENT_TIME_N(\"E\",1)":[["@NA"]],"EXR^CS_EVENT_DESC_N(\"E\",1)":[["@NA"]],"TMUS^CS_EVENT_DATEJ_N(\"E\",1)":[["@NA"]],"TMUS^CS_EVENT_TIME_N(\"E\",1)":[["@NA"]],"TMUS^CS_EVENT_DESC_N(\"E\",1)":[["@NA"]],"UDR^CS_EVENT_DATEJ_N(\"E\",1)":[["@NA"]],"UDR^CS_EVENT_TIME_N(\"E\",1)":[["@NA"]],"UDR^CS_EVENT_DESC_N(\"E\",1)":[["@NA"]],"V^CS_EVENT_DATEJ_N(\"E\",1)":[["@NA"]],"V^CS_EVENT_TIME_N(\"E\",1)":[["@NA"]],"V^CS_EVENT_DESC_N(\"E\",1)":[["@NA"]],"PNR^CS_EVENT_DATEJ_N(\"E\",1)":[["@NA"]],"PNR^CS_EVENT_TIME_N(\"E\",1)":[["@NA"]],"PNR^CS_EVENT_DESC_N(\"E\",1)":[["@NA"]],"VLTO^CS_EVENT_DATEJ_N(\"E\",1)":[["@NA"]],"VLTO^CS_EVENT_TIME_N(\"E\",1)":[["@NA"]],"VLTO^CS_EVENT_DESC_N(\"E\",1)":[["@NA"]],"XYL^CS_EVENT_DATEJ_N(\"E\",1)":[["@NA"]],"XYL^CS_EVENT_TIME_N(\"E\",1)":[["@NA"]],"XYL^CS_EVENT_DESC_N(\"E\",1)":[["@NA"]],"MAA^CS_EVENT_DATEJ_N(\"E\",1)":[["@NA"]],"MAA^CS_EVENT_TIME_N(\"E\",1)":[["@NA"]],"MAA^CS_EVENT_DESC_N(\"E\",1)":[["@NA"]],"EQIX^CS_EVENT_DATEJ_N(\"E\",1)":[["@NA"]],"EQIX^CS_EVENT_TIME_N(\"E\",1)":[["@NA"]],"EQIX^CS_EVENT_DESC_N(\"E\",1)":[["@NA"]],"GRMN^CS_EVENT_DATEJ_N(\"E\",1)":[["@NA"]],"GRMN^CS_EVENT_TIME_N(\"E\",1)":[["@NA"]],"GRMN^CS_EVENT_DESC_N(\"E\",1)":[["@NA"]],"EW^CS_EVENT_DATEJ_N(\"E\",1)":[["@NA"]],"EW^CS_EVENT_TIME_N(\"E\",1)":[["@NA"]],"EW^CS_EVENT_DESC_N(\"E\",1)":[["@NA"]],"MGM^CS_EVENT_DATEJ_N(\"E\",1)":[["@NA"]],"MGM^CS_EVENT_TIME_N(\"E\",1)":[["@NA"]],"MGM^CS_EVENT_DESC_N(\"E\",1)":[["@NA"]],"APH^CS_EVENT_DATEJ_N(\"E\",1)":[["@NA"]],"APH^CS_EVENT_TIME_N(\"E\",1)":[["@NA"]],"APH^CS_EVENT_DESC_N(\"E\",1)":[["@NA"]],"ALL^CS_EVENT_DATEJ_N(\"E\",1)":[[46240]],"ALL^CS_EVENT_TIME_N(\"E\",1)":[["9:00 AM"]],"ALL^CS_EVENT_DESC_N(\"E\",1)":[["Q2 2026 Earnings Call"]],"SWK^CS_EVENT_DATEJ_N(\"E\",1)":[["@NA"]],"SWK^CS_EVENT_TIME_N(\"E\",1)":[["@NA"]],"SWK^CS_EVENT_DESC_N(\"E\",1)":[["@NA"]],"REGN^CS_EVENT_DATEJ_N(\"E\",1)":[["@NA"]],"REGN^CS_EVENT_TIME_N(\"E\",1)":[["@NA"]],"REGN^CS_EVENT_DESC_N(\"E\",1)":[["@NA"]],"ODFL^CS_EVENT_DATEJ_N(\"E\",1)":[["@NA"]],"ODFL^CS_EVENT_TIME_N(\"E\",1)":[["@NA"]],"ODFL^CS_EVENT_DESC_N(\"E\",1)":[["@NA"]],"ALGN^CS_EVENT_DATEJ_N(\"E\",1)":[["@NA"]],"ALGN^CS_EVENT_TIME_N(\"E\",1)":[["@NA"]],"ALGN^CS_EVENT_DESC_N(\"E\",1)":[["@NA"]],"GD^CS_EVENT_DATEJ_N(\"E\",1)":[["@NA"]],"GD^CS_EVENT_TIME_N(\"E\",1)":[["@NA"]],"GD^CS_EVENT_DESC_N(\"E\",1)":[["@NA"]],"ETR^CS_EVENT_DATEJ_N(\"E\",1)":[["@NA"]],"ETR^CS_EVENT_TIME_N(\"E\",1)":[["@NA"]],"ETR^CS_EVENT_DESC_N(\"E\",1)":[["@NA"]],"EG^CS_EVENT_DATEJ_N(\"E\",1)":[["@NA"]],"EG^CS_EVENT_TIME_N(\"E\",1)":[["@NA"]],"EG^CS_EVENT_DESC_N(\"E\",1)":[["@NA"]],"FIX^CS_EVENT_DATEJ_N(\"E\",1)":[["@NA"]],"FIX^CS_EVENT_TIME_N(\"E\",1)":[["@NA"]],"FIX^CS_EVENT_DESC_N(\"E\",1)":[["@NA"]],"ROL^CS_EVENT_DATEJ_N(\"E\",1)":[["@NA"]],"ROL^CS_EVENT_TIME_N(\"E\",1)":[["@NA"]],"ROL^CS_EVENT_DESC_N(\"E\",1)":[["@NA"]],"ADP^CS_EVENT_DATEJ_N(\"E\",1)":[["@NA"]],"ADP^CS_EVENT_TIME_N(\"E\",1)":[["@NA"]],"ADP^CS_EVENT_DESC_N(\"E\",1)":[["@NA"]],"TDY^CS_EVENT_DATEJ_N(\"E\",1)":[["@NA"]],"TDY^CS_EVENT_TIME_N(\"E\",1)":[["@NA"]],"TDY^CS_EVENT_DESC_N(\"E\",1)":[["@NA"]],"URI^CS_EVENT_DATEJ_N(\"E\",1)":[["@NA"]],"URI^CS_EVENT_TIME_N(\"E\",1)":[["@NA"]],"URI^CS_EVENT_DESC_N(\"E\",1)":[["@NA"]],"AMGN^CS_EVENT_DATEJ_N(\"E\",1)":[["@NA"]],"AMGN^CS_EVENT_TIME_N(\"E\",1)":[["@NA"]],"AMGN^CS_EVENT_DESC_N(\"E\",1)":[["@NA"]],"AVY^CS_EVENT_DATEJ_N(\"E\",1)":[["@NA"]],"AVY^CS_EVENT_TIME_N(\"E\",1)":[["@NA"]],"AVY^CS_EVENT_DESC_N(\"E\",1)":[["@NA"]],"EQT^CS_EVENT_DATEJ_N(\"E\",1)":[["@NA"]],"EQT^CS_EVENT_TIME_N(\"E\",1)":[["@NA"]],"EQT^CS_EVENT_DESC_N(\"E\",1)":[["@NA"]],"ORLY^CS_EVENT_DATEJ_N(\"E\",1)":[["@NA"]],"ORLY^CS_EVENT_TIME_N(\"E\",1)":[["@NA"]],"ORLY^CS_EVENT_DESC_N(\"E\",1)":[["@NA"]],"TMO^CS_EVENT_DATEJ_N(\"E\",1)":[["@NA"]],"TMO^CS_EVENT_TIME_N(\"E\",1)":[["@NA"]],"TMO^CS_EVENT_DESC_N(\"E\",1)":[["@NA"]],"AVB^CS_EVENT_DATEJ_N(\"E\",1)":[["@NA"]],"AVB^CS_EVENT_TIME_N(\"E\",1)":[["@NA"]],"AVB^CS_EVENT_DESC_N(\"E\",1)":[["@NA"]],"LRCX^CS_EVENT_DATEJ_N(\"E\",1)":[["@NA"]],"LRCX^CS_EVENT_TIME_N(\"E\",1)":[["@NA"]],"LRCX^CS_EVENT_DESC_N(\"E\",1)":[["@NA"]],"TYL^CS_EVENT_DATEJ_N(\"E\",1)":[["@NA"]],"TYL^CS_EVENT_TIME_N(\"E\",1)":[["@NA"]],"TYL^CS_EVENT_DESC_N(\"E\",1)":[["@NA"]],"REG^CS_EVENT_DATEJ_N(\"E\",1)":[[46233]],"REG^CS_EVENT_TIME_N(\"E\",1)":[["11:00 AM"]],"REG^CS_EVENT_DESC_N(\"E\",1)":[["Q2 2026 Earnings Call"]],"BG^CS_EVENT_DATEJ_N(\"E\",1)":[["@NA"]],"BG^CS_EVENT_TIME_N(\"E\",1)":[["@NA"]],"BG^CS_EVENT_DESC_N(\"E\",1)":[["@NA"]],"F^CS_EVENT_DATEJ_N(\"E\",1)":[["@NA"]],"F^CS_EVENT_TIME_N(\"E\",1)":[["@NA"]],"F^CS_EVENT_DESC_N(\"E\",1)":[["@NA"]],"AFL^CS_EVENT_DATEJ_N(\"E\",1)":[[46241]],"AFL^CS_EVENT_TIME_N(\"E\",1)":[["8:00 AM"]],"AFL^CS_EVENT_DESC_N(\"E\",1)":[["Q2 2026 Earnings Call"]],"HUM^CS_EVENT_DATEJ_N(\"E\",1)":[[46232]],"HUM^CS_EVENT_TIME_N(\"E\",1)":[["8:00 AM"]],"HUM^CS_EVENT_DESC_N(\"E\",1)":[["Q2 2026 Earnings Call"]],"CMG^CS_EVENT_DATEJ_N(\"E\",1)":[["@NA"]],"CMG^CS_EVENT_TIME_N(\"E\",1)":[["@NA"]],"CMG^CS_EVENT_DESC_N(\"E\",1)":[["@NA"]],"ABBV^CS_EVENT_DATEJ_N(\"E\",1)":[["@NA"]],"ABBV^CS_EVENT_TIME_N(\"E\",1)":[["@NA"]],"ABBV^CS_EVENT_DESC_N(\"E\",1)":[["@NA"]],"STX^CS_EVENT_DATEJ_N(\"E\",1)":[["@NA"]],"STX^CS_EVENT_TIME_N(\"E\",1)":[["@NA"]],"STX^CS_EVENT_DESC_N(\"E\",1)":[["@NA"]],"PTC^CS_EVENT_DATEJ_N(\"E\",1)":[["@NA"]],"PTC^CS_EVENT_TIME_N(\"E\",1)":[["@NA"]],"PTC^CS_EVENT_DESC_N(\"E\",1)":[["@NA"]],"CHRW^CS_EVENT_DATEJ_N(\"E\",1)":[["@NA"]],"CHRW^CS_EVENT_TIME_N(\"E\",1)":[["@NA"]],"CHRW^CS_EVENT_DESC_N(\"E\",1)":[["@NA"]],"LVS^CS_EVENT_DATEJ_N(\"E\",1)":[["@NA"]],"LVS^CS_EVENT_TIME_N(\"E\",1)":[["@NA"]],"LVS^CS_EVENT_DESC_N(\"E\",1)":[["@NA"]],"TEL^CS_EVENT_DATEJ_N(\"E\",1)":[["@NA"]],"TEL^CS_EVENT_TIME_N(\"E\",1)":[["@NA"]],"TEL^CS_EVENT_DESC_N(\"E\",1)":[["@NA"]],"META^CS_EVENT_DATEJ_N(\"E\",1)":[["@NA"]],"META^CS_EVENT_TIME_N(\"E\",1)":[["@NA"]],"META^CS_EVENT_DESC_N(\"E\",1)":[["@NA"]],"PSX^CS_EVENT_DATEJ_N(\"E\",1)":[["@NA"]],"PSX^CS_EVENT_TIME_N(\"E\",1)":[["@NA"]],"PSX^CS_EVENT_DESC_N(\"E\",1)":[["@NA"]],"NOW^CS_EVENT_DATEJ_N(\"E\",1)":[["@NA"]],"NOW^CS_EVENT_TIME_N(\"E\",1)":[["@NA"]],"NOW^CS_EVENT_DESC_N(\"E\",1)":[["@NA"]],"VICI^CS_EVENT_DATEJ_N(\"E\",1)":[["@NA"]],"VICI^CS_EVENT_TIME_N(\"E\",1)":[["@NA"]],"VICI^CS_EVENT_DESC_N(\"E\",1)":[["@NA"]],"VRT^CS_EVENT_DATEJ_N(\"E\",1)":[["@NA"]],"VRT^CS_EVENT_TIME_N(\"E\",1)":[["@NA"]],"VRT^CS_EVENT_DESC_N(\"E\",1)":[["@NA"]],"OTIS^CS_EVENT_DATEJ_N(\"E\",1)":[["@NA"]],"OTIS^CS_EVENT_TIME_N(\"E\",1)":[["@NA"]],"OTIS^CS_EVENT_DESC_N(\"E\",1)":[["@NA"]],"AES^CS_EVENT_DATEJ_N(\"E\",1)":[["@NA"]],"AES^CS_EVENT_TIME_N(\"E\",1)":[["@NA"]],"AES^CS_EVENT_DESC_N(\"E\",1)":[["@NA"]],"ED^CS_EVENT_DATEJ_N(\"E\",1)":[["@NA"]],"ED^CS_EVENT_TIME_N(\"E\",1)":[["@NA"]],"ED^CS_EVENT_DESC_N(\"E\",1)":[["@NA"]],"SO^CS_EVENT_DATEJ_N(\"E\",1)":[["@NA"]],"SO^CS_EVENT_TIME_N(\"E\",1)":[["@NA"]],"SO^CS_EVENT_DESC_N(\"E\",1)":[["@NA"]],"IP^CS_EVENT_DATEJ_N(\"E\",1)":[["@NA"]],"IP^CS_EVENT_TIME_N(\"E\",1)":[["@NA"]],"IP^CS_EVENT_DESC_N(\"E\",1)":[["@NA"]],"BAX^CS_EVENT_DATEJ_N(\"E\",1)":[["@NA"]],"BAX^CS_EVENT_TIME_N(\"E\",1)":[["@NA"]],"BAX^CS_EVENT_DESC_N(\"E\",1)":[["@NA"]],"MNST^CS_EVENT_DATEJ_N(\"E\",1)":[["@NA"]],"MNST^CS_EVENT_TIME_N(\"E\",1)":[["@NA"]],"MNST^CS_EVENT_DESC_N(\"E\",1)":[["@NA"]],"CAH^CS_EVENT_DATEJ_N(\"E\",1)":[["@NA"]],"CAH^CS_EVENT_TIME_N(\"E\",1)":[["@NA"]],"CAH^CS_EVENT_DESC_N(\"E\",1)":[["@NA"]],"LHX^CS_EVENT_DATEJ_N(\"E\",1)":[["@NA"]],"LHX^CS_EVENT_TIME_N(\"E\",1)":[["@NA"]],"LHX^CS_EVENT_DESC_N(\"E\",1)":[["@NA"]],"AIG^CS_EVENT_DATEJ_N(\"E\",1)":[["@NA"]],"AIG^CS_EVENT_TIME_N(\"E\",1)":[["@NA"]],"AIG^CS_EVENT_DESC_N(\"E\",1)":[["@NA"]],"LLY^CS_EVENT_DATEJ_N(\"E\",1)":[[46239]],"LLY^CS_EVENT_TIME_N(\"E\",1)":[["10:00 AM"]],"LLY^CS_EVENT_DESC_N(\"E\",1)":[["Q2 2026 Earnings Call"]],"LH^CS_EVENT_DATEJ_N(\"E\",1)":[["@NA"]],"LH^CS_EVENT_TIME_N(\"E\",1)":[["@NA"]],"LH^CS_EVENT_DESC_N(\"E\",1)":[["@NA"]],"BMY^CS_EVENT_DATEJ_N(\"E\",1)":[[46233]],"BMY^CS_EVENT_TIME_N(\"E\",1)":[["8:00 AM"]],"BMY^CS_EVENT_DESC_N(\"E\",1)":[["Q2 2026 Earnings Call"]],"LNT^CS_EVENT_DATEJ_N(\"E\",1)":[["@NA"]],"LNT^CS_EVENT_TIME_N(\"E\",1)":[["@NA"]],"LNT^CS_EVENT_DESC_N(\"E\",1)":[["@NA"]],"APD^CS_EVENT_DATEJ_N(\"E\",1)":[["@NA"]],"APD^CS_EVENT_TIME_N(\"E\",1)":[["@NA"]],"APD^CS_EVENT_DESC_N(\"E\",1)":[["@NA"]],"SRE^CS_EVENT_DATEJ_N(\"E\",1)":[["@NA"]],"SRE^CS_EVENT_TIME_N(\"E\",1)":[["@NA"]],"SRE^CS_EVENT_DESC_N(\"E\",1)":[["@NA"]],"PPL^CS_EVENT_DATEJ_N(\"E\",1)":[["@NA"]],"PPL^CS_EVENT_TIME_N(\"E\",1)":[["@NA"]],"PPL^CS_EVENT_DESC_N(\"E\",1)":[["@NA"]],"TXT^CS_EVENT_DATEJ_N(\"E\",1)":[["@NA"]],"TXT^CS_EVENT_TIME_N(\"E\",1)":[["@NA"]],"TXT^CS_EVENT_DESC_N(\"E\",1)":[["@NA"]],"AEE^CS_EVENT_DATEJ_N(\"E\",1)":[["@NA"]],"AEE^CS_EVENT_TIME_N(\"E\",1)":[["@NA"]],"AEE^CS_EVENT_DESC_N(\"E\",1)":[["@NA"]],"TRGP^CS_EVENT_DATEJ_N(\"E\",1)":[["@NA"]],"TRGP^CS_EVENT_TIME_N(\"E\",1)":[["@NA"]],"TRGP^CS_EVENT_DESC_N(\"E\",1)":[["@NA"]],"MTD^CS_EVENT_DATEJ_N(\"E\",1)":[["@NA"]],"MTD^CS_EVENT_TIME_N(\"E\",1)":[["@NA"]],"MTD^CS_EVENT_DESC_N(\"E\",1)":[["@NA"]],"APO^CS_EVENT_DATEJ_N(\"E\",1)":[["@NA"]],"APO^CS_EVENT_TIME_N(\"E\",1)":[["@NA"]],"APO^CS_EVENT_DESC_N(\"E\",1)":[["@NA"]],"D^CS_EVENT_DATEJ_N(\"E\",1)":[["@NA"]],"D^CS_EVENT_TIME_N(\"E\",1)":[["@NA"]],"D^CS_EVENT_DESC_N(\"E\",1)":[["@NA"]],"VLO^CS_EVENT_DATEJ_N(\"E\",1)":[["@NA"]],"VLO^CS_EVENT_TIME_N(\"E\",1)":[["@NA"]],"VLO^CS_EVENT_DESC_N(\"E\",1)":[["@NA"]],"PH^CS_EVENT_DATEJ_N(\"E\",1)":[["@NA"]],"PH^CS_EVENT_TIME_N(\"E\",1)":[["@NA"]],"PH^CS_EVENT_DESC_N(\"E\",1)":[["@NA"]],"AAPL^CS_EVENT_DATEJ_N(\"E\",1)":[["@NA"]],"AAPL^CS_EVENT_TIME_N(\"E\",1)":[["@NA"]],"AAPL^CS_EVENT_DESC_N(\"E\",1)":[["@NA"]],"WY^CS_EVENT_DATEJ_N(\"E\",1)":[["@NA"]],"WY^CS_EVENT_TIME_N(\"E\",1)":[["@NA"]],"WY^CS_EVENT_DESC_N(\"E\",1)":[["@NA"]],"PWR^CS_EVENT_DATEJ_N(\"E\",1)":[["@NA"]],"PWR^CS_EVENT_TIME_N(\"E\",1)":[["@NA"]],"PWR^CS_EVENT_DESC_N(\"E\",1)":[["@NA"]],"CTRA^CS_EVENT_DATEJ_N(\"E\",1)":[["@NA"]],"CTRA^CS_EVENT_TIME_N(\"E\",1)":[["@NA"]],"CTRA^CS_EVENT_DESC_N(\"E\",1)":[["@NA"]],"RCL^CS_EVENT_DATEJ_N(\"E\",1)":[["@NA"]],"RCL^CS_EVENT_TIME_N(\"E\",1)":[["@NA"]],"RCL^CS_EVENT_DESC_N(\"E\",1)":[["@NA"]],"BDX^CS_EVENT_DATEJ_N(\"E\",1)":[["@NA"]],"BDX^CS_EVENT_TIME_N(\"E\",1)":[["@NA"]],"BDX^CS_EVENT_DESC_N(\"E\",1)":[["@NA"]],"BALL^CS_EVENT_DATEJ_N(\"E\",1)":[["@NA"]],"BALL^CS_EVENT_TIME_N(\"E\",1)":[["@NA"]],"BALL^CS_EVENT_DESC_N(\"E\",1)":[["@NA"]],"CI^CS_EVENT_DATEJ_N(\"E\",1)":[[46233]],"CI^CS_EVENT_TIME_N(\"E\",1)":[["8:30 AM"]],"CI^CS_EVENT_DESC_N(\"E\",1)":[["Q2 2026 Earnings Call"]],"HOLX^CS_EVENT_DATEJ_N(\"E\",1)":[["@NA"]],"HOLX^CS_EVENT_TIME_N(\"E\",1)":[["@NA"]],"HOLX^CS_EVENT_DESC_N(\"E\",1)":[["@NA"]],"IRM^CS_EVENT_DATEJ_N(\"E\",1)":[["@NA"]],"IRM^CS_EVENT_TIME_N(\"E\",1)":[["@NA"]],"IRM^CS_EVENT_DESC_N(\"E\",1)":[["@NA"]],"COP^CS_EVENT_DATEJ_N(\"E\",1)":[["@NA"]],"COP^CS_EVENT_TIME_N(\"E\",1)":[["@NA"]],"COP^CS_EVENT_DESC_N(\"E\",1)":[["@NA"]],"DVA^CS_EVENT_DATEJ_N(\"E\",1)":[["@NA"]],"DVA^CS_EVENT_TIME_N(\"E\",1)":[["@NA"]],"DVA^CS_EVENT_DESC_N(\"E\",1)":[["@NA"]],"MPWR^CS_EVENT_DATEJ_N(\"E\",1)":[["@NA"]],"MPWR^CS_EVENT_TIME_N(\"E\",1)":[["@NA"]],"MPWR^CS_EVENT_DESC_N(\"E\",1)":[["@NA"]],"MO^CS_EVENT_DATEJ_N(\"E\",1)":[[46233]],"MO^CS_EVENT_TIME_N(\"E\",1)":[["9:00 AM"]],"MO^CS_EVENT_DESC_N(\"E\",1)":[["Q2 2026 Earnings Call"]],"PNW^CS_EVENT_DATEJ_N(\"E\",1)":[["@NA"]],"PNW^CS_EVENT_TIME_N(\"E\",1)":[["@NA"]],"PNW^CS_EVENT_DESC_N(\"E\",1)":[["@NA"]],"NRG^CS_EVENT_DATEJ_N(\"E\",1)":[["@NA"]],"NRG^CS_EVENT_TIME_N(\"E\",1)":[["@NA"]],"NRG^CS_EVENT_DESC_N(\"E\",1)":[["@NA"]],"GDDY^CS_EVENT_DATEJ_N(\"E\",1)":[["@NA"]],"GDDY^CS_EVENT_TIME_N(\"E\",1)":[["@NA"]],"GDDY^CS_EVENT_DESC_N(\"E\",1)":[["@NA"]],"MRK^CS_EVENT_DATEJ_N(\"E\",1)":[[46238]],"MRK^CS_EVENT_TIME_N(\"E\",1)":[["9:00 AM"]],"MRK^CS_EVENT_DESC_N(\"E\",1)":[["Q2 2026 Earnings Call"]],"LYV^CS_EVENT_DATEJ_N(\"E\",1)":[["@NA"]],"LYV^CS_EVENT_TIME_N(\"E\",1)":[["@NA"]],"LYV^CS_EVENT_DESC_N(\"E\",1)":[["@NA"]],"BLDR^CS_EVENT_DATEJ_N(\"E\",1)":[["@NA"]],"BLDR^CS_EVENT_TIME_N(\"E\",1)":[["@NA"]],"BLDR^CS_EVENT_DESC_N(\"E\",1)":[["@NA"]],"FTNT^CS_EVENT_DATEJ_N(\"E\",1)":[["@NA"]],"FTNT^CS_EVENT_TIME_N(\"E\",1)":[["@NA"]],"FTNT^CS_EVENT_DESC_N(\"E\",1)":[["@NA"]],"EPAM^CS_EVENT_DATEJ_N(\"E\",1)":[["@NA"]],"EPAM^CS_EVENT_TIME_N(\"E\",1)":[["@NA"]],"EPAM^CS_EVENT_DESC_N(\"E\",1)":[["@NA"]],"PODD^CS_EVENT_DATEJ_N(\"E\",1)":[["@NA"]],"PODD^CS_EVENT_TIME_N(\"E\",1)":[["@NA"]],"PODD^CS_EVENT_DESC_N(\"E\",1)":[["@NA"]],"ZTS^CS_EVENT_DATEJ_N(\"E\",1)":[["@NA"]],"ZTS^CS_EVENT_TIME_N(\"E\",1)":[["@NA"]],"ZTS^CS_EVENT_DESC_N(\"E\",1)":[["@NA"]],"ICE^CS_EVENT_DATEJ_N(\"E\",1)":[["@NA"]],"ICE^CS_EVENT_TIME_N(\"E\",1)":[["@NA"]],"ICE^CS_EVENT_DESC_N(\"E\",1)":[["@NA"]],"CVNA^CS_EVENT_DATEJ_N(\"E\",1)":[["@NA"]],"CVNA^CS_EVENT_TIME_N(\"E\",1)":[["@NA"]],"CVNA^CS_EVENT_DESC_N(\"E\",1)":[["@NA"]],"MSI^CS_EVENT_DATEJ_N(\"E\",1)":[["@NA"]],"MSI^CS_EVENT_TIME_N(\"E\",1)":[["@NA"]],"MSI^CS_EVENT_DESC_N(\"E\",1)":[["@NA"]],"HII^CS_EVENT_DATEJ_N(\"E\",1)":[["@NA"]],"HII^CS_EVENT_TIME_N(\"E\",1)":[["@NA"]],"HII^CS_EVENT_DESC_N(\"E\",1)":[["@NA"]],"EXPE^CS_EVENT_DATEJ_N(\"E\",1)":[["@NA"]],"EXPE^CS_EVENT_TIME_N(\"E\",1)":[["@NA"]],"EXPE^CS_EVENT_DESC_N(\"E\",1)":[["@NA"]],"XYZ^CS_EVENT_DATEJ_N(\"E\",1)":[["@NA"]],"XYZ^CS_EVENT_TIME_N(\"E\",1)":[["@NA"]],"XYZ^CS_EVENT_DESC_N(\"E\",1)":[["@NA"]],"HWM^CS_EVENT_DATEJ_N(\"E\",1)":[["@NA"]],"HWM^CS_EVENT_TIME_N(\"E\",1)":[["@NA"]],"HWM^CS_EVENT_DESC_N(\"E\",1)":[["@NA"]],"SW^CS_EVENT_DATEJ_N(\"E\",1)":[["@NA"]],"SW^CS_EVENT_TIME_N(\"E\",1)":[["@NA"]],"SW^CS_EVENT_DESC_N(\"E\",1)":[["@NA"]],"MRNA^CS_EVENT_DATEJ_N(\"E\",1)":[["@NA"]],"MRNA^CS_EVENT_TIME_N(\"E\",1)":[["@NA"]],"MRNA^CS_EVENT_DESC_N(\"E\",1)":[["@NA"]],"LIN^CS_EVENT_DATEJ_N(\"E\",1)":[["@NA"]],"LIN^CS_EVENT_TIME_N(\"E\",1)":[["@NA"]],"LIN^CS_EVENT_DESC_N(\"E\",1)":[["@NA"]],"DDOG^CS_EVENT_DATEJ_N(\"E\",1)":[["@NA"]],"DDOG^CS_EVENT_TIME_N(\"E\",1)":[["@NA"]],"DDOG^CS_EVENT_DESC_N(\"E\",1)":[["@NA"]],"DASH^CS_EVENT_DATEJ_N(\"E\",1)":[["@NA"]],"DASH^CS_EVENT_TIME_N(\"E\",1)":[["@NA"]],"DASH^CS_EVENT_DESC_N(\"E\",1)":[["@NA"]],"SNDK^CS_EVENT_DATEJ_N(\"E\",1)":[["@NA"]],"SNDK^CS_EVENT_TIME_N(\"E\",1)":[["@NA"]],"SNDK^CS_EVENT_DESC_N(\"E\",1)":[["@NA"]],"EVRG^CS_EVENT_DATEJ_N(\"E\",1)":[["@NA"]],"EVRG^CS_EVENT_TIME_N(\"E\",1)":[["@NA"]],"EVRG^CS_EVENT_DESC_N(\"E\",1)":[["@NA"]],"FRT^CS_EVENT_DATEJ_N(\"E\",1)":[["@NA"]],"FRT^CS_EVENT_TIME_N(\"E\",1)":[["@NA"]],"FRT^CS_EVENT_DESC_N(\"E\",1)":[["@NA"]],"CL^CS_EVENT_DATEJ_N(\"E\",1)":[["@NA"]],"CL^CS_EVENT_TIME_N(\"E\",1)":[["@NA"]],"CL^CS_EVENT_DESC_N(\"E\",1)":[["@NA"]],"EL^CS_EVENT_DATEJ_N(\"E\",1)":[[46253]],"EL^CS_EVENT_TIME_N(\"E\",1)":[["8:30 AM"]],"EL^CS_EVENT_DESC_N(\"E\",1)":[["Q4 2026 Earnings Call"]],"CHD^CS_EVENT_DATEJ_N(\"E\",1)":[["@NA"]],"CHD^CS_EVENT_TIME_N(\"E\",1)":[["@NA"]],"CHD^CS_EVENT_DESC_N(\"E\",1)":[["@NA"]],"CBOE^CS_EVENT_DATEJ_N(\"E\",1)":[["@NA"]],"CBOE^CS_EVENT_TIME_N(\"E\",1)":[["@NA"]],"CBOE^CS_EVENT_DESC_N(\"E\",1)":[["@NA"]],"JCI^CS_EVENT_DATEJ_N(\"E\",1)":[["@NA"]],"JCI^CS_EVENT_TIME_N(\"E\",1)":[["@NA"]],"JCI^CS_EVENT_DESC_N(\"E\",1)":[["@NA"]],"WEC^CS_EVENT_DATEJ_N(\"E\",1)":[["@NA"]],"WEC^CS_EVENT_TIME_N(\"E\",1)":[["@NA"]],"WEC^CS_EVENT_DESC_N(\"E\",1)":[["@NA"]],"BEN^CS_EVENT_DATEJ_N(\"E\",1)":[["@NA"]],"BEN^CS_EVENT_TIME_N(\"E\",1)":[["@NA"]],"BEN^CS_EVENT_DESC_N(\"E\",1)":[["@NA"]],"WMB^CS_EVENT_DATEJ_N(\"E\",1)":[["@NA"]],"WMB^CS_EVENT_TIME_N(\"E\",1)":[["@NA"]],"WMB^CS_EVENT_DESC_N(\"E\",1)":[["@NA"]],"SBAC^CS_EVENT_DATEJ_N(\"E\",1)":[["@NA"]],"SBAC^CS_EVENT_TIME_N(\"E\",1)":[["@NA"]],"SBAC^CS_EVENT_DESC_N(\"E\",1)":[["@NA"]],"WELL^CS_EVENT_DATEJ_N(\"E\",1)":[["@NA"]],"WELL^CS_EVENT_TIME_N(\"E\",1)":[["@NA"]],"WELL^CS_EVENT_DESC_N(\"E\",1)":[["@NA"]],"L^CS_EVENT_DATEJ_N(\"E\",1)":[["@NA"]],"L^CS_EVENT_TIME_N(\"E\",1)":[["@NA"]],"L^CS_EVENT_DESC_N(\"E\",1)":[["@NA"]],"ON^CS_EVENT_DATEJ_N(\"E\",1)":[["@NA"]],"ON^CS_EVENT_TIME_N(\"E\",1)":[["@NA"]],"ON^CS_EVENT_DESC_N(\"E\",1)":[["@NA"]],"GPN^CS_EVENT_DATEJ_N(\"E\",1)":[["@NA"]],"GPN^CS_EVENT_TIME_N(\"E\",1)":[["@NA"]],"GPN^CS_EVENT_DESC_N(\"E\",1)":[["@NA"]],"FFIV^CS_EVENT_DATEJ_N(\"E\",1)":[["@NA"]],"FFIV^CS_EVENT_TIME_N(\"E\",1)":[["@NA"]],"FFIV^CS_EVENT_DESC_N(\"E\",1)":[["@NA"]],"RVTY^CS_EVENT_DATEJ_N(\"E\",1)":[["@NA"]],"RVTY^CS_EVENT_TIME_N(\"E\",1)":[["@NA"]],"RVTY^CS_EVENT_DESC_N(\"E\",1)":[["@NA"]],"BRK.B^CS_EVENT_DATEJ_N(\"E\",1)":[["@NA"]],"BRK.B^CS_EVENT_TIME_N(\"E\",1)":[["@NA"]],"BRK.B^CS_EVENT_DESC_N(\"E\",1)":[["@NA"]],"ANET^CS_EVENT_DATEJ_N(\"E\",1)":[["@NA"]],"ANET^CS_EVENT_TIME_N(\"E\",1)":[["@NA"]],"ANET^CS_EVENT_DESC_N(\"E\",1)":[["@NA"]],"FANG^CS_EVENT_DATEJ_N(\"E\",1)":[["@NA"]],"FANG^CS_EVENT_TIME_N(\"E\",1)":[["@NA"]],"FANG^CS_EVENT_DESC_N(\"E\",1)":[["@NA"]],"PRU^CS_EVENT_DATEJ_N(\"E\",1)":[["@NA"]],"PRU^CS_EVENT_TIME_N(\"E\",1)":[["@NA"]],"PRU^CS_EVENT_DESC_N(\"E\",1)":[["@NA"]],"AME^CS_EVENT_DATEJ_N(\"E\",1)":[["@NA"]],"AME^CS_EVENT_TIME_N(\"E\",1)":[["@NA"]],"AME^CS_EVENT_DESC_N(\"E\",1)":[["@NA"]],"MLM^CS_EVENT_DATEJ_N(\"E\",1)":[["@NA"]],"MLM^CS_EVENT_TIME_N(\"E\",1)":[["@NA"]],"MLM^CS_EVENT_DESC_N(\"E\",1)":[["@NA"]],"ITW^CS_EVENT_DATEJ_N(\"E\",1)":[["@NA"]],"ITW^CS_EVENT_TIME_N(\"E\",1)":[["@NA"]],"ITW^CS_EVENT_DESC_N(\"E\",1)":[["@NA"]],"SBUX^CS_EVENT_DATEJ_N(\"E\",1)":[["@NA"]],"SBUX^CS_EVENT_TIME_N(\"E\",1)":[["@NA"]],"SBUX^CS_EVENT_DESC_N(\"E\",1)":[["@NA"]],"GLW^CS_EVENT_DATEJ_N(\"E\",1)":[["@NA"]],"GLW^CS_EVENT_TIME_N(\"E\",1)":[["@NA"]],"GLW^CS_EVENT_DESC_N(\"E\",1)":[["@NA"]],"CLX^CS_EVENT_DATEJ_N(\"E\",1)":[["@NA"]],"CLX^CS_EVENT_TIME_N(\"E\",1)":[["@NA"]],"CLX^CS_EVENT_DESC_N(\"E\",1)":[["@NA"]],"DVN^CS_EVENT_DATEJ_N(\"E\",1)":[["@NA"]],"DVN^CS_EVENT_TIME_N(\"E\",1)":[["@NA"]],"DVN^CS_EVENT_DESC_N(\"E\",1)":[["@NA"]],"SWKS^CS_EVENT_DATEJ_N(\"E\",1)":[["@NA"]],"SWKS^CS_EVENT_TIME_N(\"E\",1)":[["@NA"]],"SWKS^CS_EVENT_DESC_N(\"E\",1)":[["@NA"]],"OKE^CS_EVENT_DATEJ_N(\"E\",1)":[["@NA"]],"OKE^CS_EVENT_TIME_N(\"E\",1)":[["@NA"]],"OKE^CS_EVENT_DESC_N(\"E\",1)":[["@NA"]],"BXP^CS_EVENT_DATEJ_N(\"E\",1)":[["@NA"]],"BXP^CS_EVENT_TIME_N(\"E\",1)":[["@NA"]],"BXP^CS_EVENT_DESC_N(\"E\",1)":[["@NA"]],"SYY^CS_EVENT_DATEJ_N(\"E\",1)":[["@NA"]],"SYY^CS_EVENT_TIME_N(\"E\",1)":[["@NA"]],"SYY^CS_EVENT_DESC_N(\"E\",1)":[["@NA"]],"ETN^CS_EVENT_DATEJ_N(\"E\",1)":[["@NA"]],"ETN^CS_EVENT_TIME_N(\"E\",1)":[["@NA"]],"ETN^CS_EVENT_DESC_N(\"E\",1)":[["@NA"]],"PEG^CS_EVENT_DATEJ_N(\"E\",1)":[["@NA"]],"PEG^CS_EVENT_TIME_N(\"E\",1)":[["@NA"]],"PEG^CS_EVENT_DESC_N(\"E\",1)":[["@NA"]],"AMD^CS_EVENT_DATEJ_N(\"E\",1)":[["@NA"]],"AMD^CS_EVENT_TIME_N(\"E\",1)":[["@NA"]],"AMD^CS_EVENT_DESC_N(\"E\",1)":[["@NA"]],"AIZ^CS_EVENT_DATEJ_N(\"E\",1)":[["@NA"]],"AIZ^CS_EVENT_TIME_N(\"E\",1)":[["@NA"]],"AIZ^CS_EVENT_DESC_N(\"E\",1)":[["@NA"]],"INCY^CS_EVENT_DATEJ_N(\"E\",1)":[["@NA"]],"INCY^CS_EVENT_TIME_N(\"E\",1)":[["@NA"]],"INCY^CS_EVENT_DESC_N(\"E\",1)":[["@NA"]],"PSA^CS_EVENT_DATEJ_N(\"E\",1)":[["@NA"]],"PSA^CS_EVENT_TIME_N(\"E\",1)":[["@NA"]],"PSA^CS_EVENT_DESC_N(\"E\",1)":[["@NA"]],"EA^CS_EVENT_DATEJ_N(\"E\",1)":[["@NA"]],"EA^CS_EVENT_TIME_N(\"E\",1)":[["@NA"]],"EA^CS_EVENT_DESC_N(\"E\",1)":[["@NA"]],"PFE^CS_EVENT_DATEJ_N(\"E\",1)":[["@NA"]],"PFE^CS_EVENT_TIME_N(\"E\",1)":[["@NA"]],"PFE^CS_EVENT_DESC_N(\"E\",1)":[["@NA"]],"CMI^CS_EVENT_DATEJ_N(\"E\",1)":[["@NA"]],"CMI^CS_EVENT_TIME_N(\"E\",1)":[["@NA"]],"CMI^CS_EVENT_DESC_N(\"E\",1)":[["@NA"]],"ROK^CS_EVENT_DATEJ_N(\"E\",1)":[["@NA"]],"ROK^CS_EVENT_TIME_N(\"E\",1)":[["@NA"]],"ROK^CS_EVENT_DESC_N(\"E\",1)":[["@NA"]],"EOG^CS_EVENT_DATEJ_N(\"E\",1)":[["@NA"]],"EOG^CS_EVENT_TIME_N(\"E\",1)":[["@NA"]],"EOG^CS_EVENT_DESC_N(\"E\",1)":[["@NA"]],"ZBH^CS_EVENT_DATEJ_N(\"E\",1)":[["@NA"]],"ZBH^CS_EVENT_TIME_N(\"E\",1)":[["@NA"]],"ZBH^CS_EVENT_DESC_N(\"E\",1)":[["@NA"]],"LDOS^CS_EVENT_DATEJ_N(\"E\",1)":[["@NA"]],"LDOS^CS_EVENT_TIME_N(\"E\",1)":[["@NA"]],"LDOS^CS_EVENT_DESC_N(\"E\",1)":[["@NA"]],"KKR^CS_EVENT_DATEJ_N(\"E\",1)":[["@NA"]],"KKR^CS_EVENT_TIME_N(\"E\",1)":[["@NA"]],"KKR^CS_EVENT_DESC_N(\"E\",1)":[["@NA"]],"VRSK^CS_EVENT_DATEJ_N(\"E\",1)":[["@NA"]],"VRSK^CS_EVENT_TIME_N(\"E\",1)":[["@NA"]],"VRSK^CS_EVENT_DESC_N(\"E\",1)":[["@NA"]],"TAP^CS_EVENT_DATEJ_N(\"E\",1)":[["@NA"]],"TAP^CS_EVENT_TIME_N(\"E\",1)":[["@NA"]],"TAP^CS_EVENT_DESC_N(\"E\",1)":[["@NA"]],"SMCI^CS_EVENT_DATEJ_N(\"E\",1)":[["@NA"]],"SMCI^CS_EVENT_TIME_N(\"E\",1)":[["@NA"]],"SMCI^CS_EVENT_DESC_N(\"E\",1)":[["@NA"]],"BR^CS_EVENT_DATEJ_N(\"E\",1)":[["@NA"]],"BR^CS_EVENT_TIME_N(\"E\",1)":[["@NA"]],"BR^CS_EVENT_DESC_N(\"E\",1)":[["@NA"]],"MPC^CS_EVENT_DATEJ_N(\"E\",1)":[["@NA"]],"MPC^CS_EVENT_TIME_N(\"E\",1)":[["@NA"]],"MPC^CS_EVENT_DESC_N(\"E\",1)":[["@NA"]],"PYPL^CS_EVENT_DATEJ_N(\"E\",1)":[[46231]],"PYPL^CS_EVENT_TIME_N(\"E\",1)":[["8:00 AM"]],"PYPL^CS_EVENT_DESC_N(\"E\",1)":[["Q2 2026 Earnings Call"]],"INVH^CS_EVENT_DATEJ_N(\"E\",1)":[["@NA"]],"INVH^CS_EVENT_TIME_N(\"E\",1)":[["@NA"]],"INVH^CS_EVENT_DESC_N(\"E\",1)":[["@NA"]],"APTV^CS_EVENT_DATEJ_N(\"E\",1)":[["@NA"]],"APTV^CS_EVENT_TIME_N(\"E\",1)":[["@NA"]],"APTV^CS_EVENT_DESC_N(\"E\",1)":[["@NA"]],"CTVA^CS_EVENT_DATEJ_N(\"E\",1)":[[46234]],"CTVA^CS_EVENT_TIME_N(\"E\",1)":[["9:00 AM"]],"CTVA^CS_EVENT_DESC_N(\"E\",1)":[["Q2 2026 Earnings Call"]],"DD^CS_EVENT_DATEJ_N(\"E\",1)":[["@NA"]],"DD^CS_EVENT_TIME_N(\"E\",1)":[["@NA"]],"DD^CS_EVENT_DESC_N(\"E\",1)":[["@NA"]],"AMCR^CS_EVENT_DATEJ_N(\"E\",1)":[["@NA"]],"AMCR^CS_EVENT_TIME_N(\"E\",1)":[["@NA"]],"AMCR^CS_EVENT_DESC_N(\"E\",1)":[["@NA"]],"EXE^CS_EVENT_DATEJ_N(\"E\",1)":[["@NA"]],"EXE^CS_EVENT_TIME_N(\"E\",1)":[["@NA"]],"EXE^CS_EVENT_DESC_N(\"E\",1)":[["@NA"]],"MAR^CS_EVENT_DATEJ_N(\"E\",1)":[["@NA"]],"MAR^CS_EVENT_TIME_N(\"E\",1)":[["@NA"]],"MAR^CS_EVENT_DESC_N(\"E\",1)":[["@NA"]],"VMC^CS_EVENT_DATEJ_N(\"E\",1)":[["@NA"]],"VMC^CS_EVENT_TIME_N(\"E\",1)":[["@NA"]],"VMC^CS_EVENT_DESC_N(\"E\",1)":[["@NA"]],"TECH^CS_EVENT_DATEJ_N(\"E\",1)":[["@NA"]],"TECH^CS_EVENT_TIME_N(\"E\",1)":[["@NA"]],"TECH^CS_EVENT_DESC_N(\"E\",1)":[["@NA"]],"QCOM^CS_EVENT_DATEJ_N(\"E\",1)":[["@NA"]],"QCOM^CS_EVENT_TIME_N(\"E\",1)":[["@NA"]],"QCOM^CS_EVENT_DESC_N(\"E\",1)":[["@NA"]],"ES^CS_EVENT_DATEJ_N(\"E\",1)":[["@NA"]],"ES^CS_EVENT_TIME_N(\"E\",1)":[["@NA"]],"ES^CS_EVENT_DESC_N(\"E\",1)":[["@NA"]],"FICO^CS_EVENT_DATEJ_N(\"E\",1)":[["@NA"]],"FICO^CS_EVENT_TIME_N(\"E\",1)":[["@NA"]],"FICO^CS_EVENT_DESC_N(\"E\",1)":[["@NA"]],"BIIB^CS_EVENT_DATEJ_N(\"E\",1)":[["@NA"]],"BIIB^CS_EVENT_TIME_N(\"E\",1)":[["@NA"]],"BIIB^CS_EVENT_DESC_N(\"E\",1)":[["@NA"]],"O^CS_EVENT_DATEJ_N(\"E\",1)":[["@NA"]],"O^CS_EVENT_TIME_N(\"E\",1)":[["@NA"]],"O^CS_EVENT_DESC_N(\"E\",1)":[["@NA"]],"TRMB^CS_EVENT_DATEJ_N(\"E\",1)":[["@NA"]],"TRMB^CS_EVENT_TIME_N(\"E\",1)":[["@NA"]],"TRMB^CS_EVENT_DESC_N(\"E\",1)":[["@NA"]],"ALB^CS_EVENT_DATEJ_N(\"E\",1)":[["@NA"]],"ALB^CS_EVENT_TIME_N(\"E\",1)":[["@NA"]],"ALB^CS_EVENT_DESC_N(\"E\",1)":[["@NA"]],"YUM^CS_EVENT_DATEJ_N(\"E\",1)":[["@NA"]],"YUM^CS_EVENT_TIME_N(\"E\",1)":[["@NA"]],"YUM^CS_EVENT_DESC_N(\"E\",1)":[["@NA"]],"TT^CS_EVENT_DATEJ_N(\"E\",1)":[["@NA"]],"TT^CS_EVENT_TIME_N(\"E\",1)":[["@NA"]],"TT^CS_EVENT_DESC_N(\"E\",1)":[["@NA"]],"HST^CS_EVENT_DATEJ_N(\"E\",1)":[["@NA"]],"HST^CS_EVENT_TIME_N(\"E\",1)":[["@NA"]],"HST^CS_EVENT_DESC_N(\"E\",1)":[["@NA"]],"CTSH^CS_EVENT_DATEJ_N(\"E\",1)":[["@NA"]],"CTSH^CS_EVENT_TIME_N(\"E\",1)":[["@NA"]],"CTSH^CS_EVENT_DESC_N(\"E\",1)":[["@NA"]],"AEP^CS_EVENT_DATEJ_N(\"E\",1)":[["@NA"]],"AEP^CS_EVENT_TIME_N(\"E\",1)":[["@NA"]],"AEP^CS_EVENT_DESC_N(\"E\",1)":[["@NA"]],"SYK^CS_EVENT_DATEJ_N(\"E\",1)":[["@NA"]],"SYK^CS_EVENT_TIME_N(\"E\",1)":[["@NA"]],"SYK^CS_EVENT_DESC_N(\"E\",1)":[["@NA"]],"GL^CS_EVENT_DATEJ_N(\"E\",1)":[["@NA"]],"GL^CS_EVENT_TIME_N(\"E\",1)":[["@NA"]],"GL^CS_EVENT_DESC_N(\"E\",1)":[["@NA"]],"EBAY^CS_EVENT_DATEJ_N(\"E\",1)":[["@NA"]],"EBAY^CS_EVENT_TIME_N(\"E\",1)":[["@NA"]],"EBAY^CS_EVENT_DESC_N(\"E\",1)":[["@NA"]],"EMR^CS_EVENT_DATEJ_N(\"E\",1)":[["@NA"]],"EMR^CS_EVENT_TIME_N(\"E\",1)":[["@NA"]],"EMR^CS_EVENT_DESC_N(\"E\",1)":[["@NA"]],"COR^CS_EVENT_DATEJ_N(\"E\",1)":[["@NA"]],"COR^CS_EVENT_TIME_N(\"E\",1)":[["@NA"]],"COR^CS_EVENT_DESC_N(\"E\",1)":[["@NA"]],"VTR^CS_EVENT_DATEJ_N(\"E\",1)":[["@NA"]],"VTR^CS_EVENT_TIME_N(\"E\",1)":[["@NA"]],"VTR^CS_EVENT_DESC_N(\"E\",1)":[["@NA"]],"IDXX^CS_EVENT_DATEJ_N(\"E\",1)":[["@NA"]],"IDXX^CS_EVENT_TIME_N(\"E\",1)":[["@NA"]],"IDXX^CS_EVENT_DESC_N(\"E\",1)":[["@NA"]],"TPL^CS_EVENT_DATEJ_N(\"E\",1)":[["@NA"]],"TPL^CS_EVENT_TIME_N(\"E\",1)":[["@NA"]],"TPL^CS_EVENT_DESC_N(\"E\",1)":[["@NA"]],"APA^CS_EVENT_DATEJ_N(\"E\",1)":[["@NA"]],"APA^CS_EVENT_TIME_N(\"E\",1)":[["@NA"]],"APA^CS_EVENT_DESC_N(\"E\",1)":[["@NA"]],"ECL^CS_EVENT_DATEJ_N(\"ER\",1)":[[46238]],"ECL^CS_EVENT_TIME_N(\"ER\",1)":[["Unspecified"]],"ECL^CS_EVENT_DESC_N(\"ER\",1)":[["Q2 2026 Earnings Release (Projected)"]],"EIX^CS_EVENT_DATEJ_N(\"ER\",1)":[[46226]],"EIX^CS_EVENT_TIME_N(\"ER\",1)":[["Unspecified"]],"EIX^CS_EVENT_DESC_N(\"ER\",1)":[["Q2 2026 Earnings Release (Projected)"]],"UPS^CS_EVENT_DATEJ_N(\"ER\",1)":[[46231]],"UPS^CS_EVENT_TIME_N(\"ER\",1)":[["Unspecified"]],"UPS^CS_EVENT_DESC_N(\"ER\",1)":[["Q2 2026 Earnings Release (Projected)"]],"ACGL^CS_EVENT_DATEJ_N(\"ER\",1)":[[46232]],"ACGL^CS_EVENT_TIME_N(\"ER\",1)":[["Unspecified"]],"ACGL^CS_EVENT_DESC_N(\"ER\",1)":[["Q2 2026 Earnings Release (Projected)"]],"KMB^CS_EVENT_DATEJ_N(\"ER\",1)":[[46231]],"KMB^CS_EVENT_TIME_N(\"ER\",1)":[["Unspecified"]],"KMB^CS_EVENT_DESC_N(\"ER\",1)":[["Q2 2026 Earnings Release (Projected)"]],"PEP^CS_EVENT_DATEJ_N(\"ER\",1)":[[46217]],"PEP^CS_EVENT_TIME_N(\"ER\",1)":[["Unspecified"]],"PEP^CS_EVENT_DESC_N(\"ER\",1)":[["Q2 2026 Earnings Release (Projected)"]],"HUBB^CS_EVENT_DATEJ_N(\"ER\",1)":[[46231]],"HUBB^CS_EVENT_TIME_N(\"ER\",1)":[["Unspecified"]],"HUBB^CS_EVENT_DESC_N(\"ER\",1)":[["Q2 2026 Earnings Release (Projected)"]],"ADM^CS_EVENT_DATEJ_N(\"ER\",1)":[[46231]],"ADM^CS_EVENT_TIME_N(\"ER\",1)":[["Unspecified"]],"ADM^CS_EVENT_DESC_N(\"ER\",1)":[["Q2 2026 Earnings Release (Projected)"]],"BKNG^CS_EVENT_DATEJ_N(\"ER\",1)":[[46239]],"BKNG^CS_EVENT_TIME_N(\"ER\",1)":[["Unspecified"]],"BKNG^CS_EVENT_DESC_N(\"ER\",1)":[["Q2 2026 Earnings Release (Projected)"]],"MSCI^CS_EVENT_DATEJ_N(\"ER\",1)":[[46224]],"MSCI^CS_EVENT_TIME_N(\"ER\",1)":[["6:45 AM"]],"MSCI^CS_EVENT_DESC_N(\"ER\",1)":[["Q2 2026 Earnings Release"]],"GOOGL^CS_EVENT_DATEJ_N(\"ER\",1)":[[46231]],"GOOGL^CS_EVENT_TIME_N(\"ER\",1)":[["Unspecified"]],"GOOGL^CS_EVENT_DESC_N(\"ER\",1)":[["Q2 2026 Earnings Release (Projected)"]],"GM^CS_EVENT_DATEJ_N(\"ER\",1)":[[46224]],"GM^CS_EVENT_TIME_N(\"ER\",1)":[["Unspecified"]],"GM^CS_EVENT_DESC_N(\"ER\",1)":[["Q2 2026 Earnings Release"]],"NEE^CS_EVENT_DATEJ_N(\"ER\",1)":[[46232]],"NEE^CS_EVENT_TIME_N(\"ER\",1)":[["Unspecified"]],"NEE^CS_EVENT_DESC_N(\"ER\",1)":[["Q2 2026 Earnings Release (Projected)"]],"NXPI^CS_EVENT_DATEJ_N(\"ER\",1)":[[46231]],"NXPI^CS_EVENT_TIME_N(\"ER\",1)":[["4:10 PM"]],"NXPI^CS_EVENT_DESC_N(\"ER\",1)":[["Q2 2026 Earnings Release"]],"MDLZ^CS_EVENT_DATEJ_N(\"ER\",1)":[[46231]],"MDLZ^CS_EVENT_TIME_N(\"ER\",1)":[["Unspecified"]],"MDLZ^CS_EVENT_DESC_N(\"ER\",1)":[["Q2 2026 Earnings Release (Projected)"]],"TSLA^CS_EVENT_DATEJ_N(\"ER\",1)":[[46232]],"TSLA^CS_EVENT_TIME_N(\"ER\",1)":[["Unspecified"]],"TSLA^CS_EVENT_DESC_N(\"ER\",1)":[["Q2 2026 Earnings Release (Projected)"]],"GOOG^CS_EVENT_DATEJ_N(\"ER\",1)":[[46231]],"GOOG^CS_EVENT_TIME_N(\"ER\",1)":[["Unspecified"]],"GOOG^CS_EVENT_DESC_N(\"ER\",1)":[["Q2 2026 Earnings Release (Projected)"]],"HLT^CS_EVENT_DATEJ_N(\"ER\",1)":[[46232]],"HLT^CS_EVENT_TIME_N(\"ER\",1)":[["Unspecified"]],"HLT^CS_EVENT_DESC_N(\"ER\",1)":[["Q2 2026 Earnings Release (Projected)"]],"IVZ^CS_EVENT_DATEJ_N(\"ER\",1)":[[46231]],"IVZ^CS_EVENT_TIME_N(\"ER\",1)":[["Unspecified"]],"IVZ^CS_EVENT_DESC_N(\"ER\",1)":[["Q2 2026 Earnings Release (Projected)"]],"EXR^CS_EVENT_DATEJ_N(\"ER\",1)":[[46238]],"EXR^CS_EVENT_TIME_N(\"ER\",1)":[["Unspecified"]],"EXR^CS_EVENT_DESC_N(\"ER\",1)":[["Q2 2026 Earnings Release (Projected)"]],"TMUS^CS_EVENT_DATEJ_N(\"ER\",1)":[[46226]],"TMUS^CS_EVENT_TIME_N(\"ER\",1)":[["Unspecified"]],"TMUS^CS_EVENT_DESC_N(\"ER\",1)":[["Q2 2026 Earnings Release (Projected)"]],"UDR^CS_EVENT_DATEJ_N(\"ER\",1)":[[46232]],"UDR^CS_EVENT_TIME_N(\"ER\",1)":[["Unspecified"]],"UDR^CS_EVENT_DESC_N(\"ER\",1)":[["Q2 2026 Earnings Release (Projected)"]],"V^CS_EVENT_DATEJ_N(\"ER\",1)":[[46231]],"V^CS_EVENT_TIME_N(\"ER\",1)":[["Unspecified"]],"V^CS_EVENT_DESC_N(\"ER\",1)":[["Q3 2026 Earnings Release (Projected)"]],"PNR^CS_EVENT_DATEJ_N(\"ER\",1)":[[46231]],"PNR^CS_EVENT_TIME_N(\"ER\",1)":[["Unspecified"]],"PNR^CS_EVENT_DESC_N(\"ER\",1)":[["Q2 2026 Earnings Release (Projected)"]],"VLTO^CS_EVENT_DATEJ_N(\"ER\",1)":[[46226]],"VLTO^CS_EVENT_TIME_N(\"ER\",1)":[["Unspecified"]],"VLTO^CS_EVENT_DESC_N(\"ER\",1)":[["Q2 2026 Earnings Release (Projected)"]],"XYL^CS_EVENT_DATEJ_N(\"ER\",1)":[[46238]],"XYL^CS_EVENT_TIME_N(\"ER\",1)":[["Unspecified"]],"XYL^CS_EVENT_DESC_N(\"ER\",1)":[["Q2 2026 Earnings Release (Projected)"]],"MAA^CS_EVENT_DATEJ_N(\"ER\",1)":[[46232]],"MAA^CS_EVENT_TIME_N(\"ER\",1)":[["Unspecified"]],"MAA^CS_EVENT_DESC_N(\"ER\",1)":[["Q2 2026 Earnings Release (Projected)"]],"EQIX^CS_EVENT_DATEJ_N(\"ER\",1)":[[46232]],"EQIX^CS_EVENT_TIME_N(\"ER\",1)":[["Unspecified"]],"EQIX^CS_EVENT_DESC_N(\"ER\",1)":[["Q2 2026 Earnings Release (Projected)"]],"GRMN^CS_EVENT_DATEJ_N(\"ER\",1)":[[46239]],"GRMN^CS_EVENT_TIME_N(\"ER\",1)":[["Unspecified"]],"GRMN^CS_EVENT_DESC_N(\"ER\",1)":[["Q2 2026 Earnings Release (Projected)"]],"EW^CS_EVENT_DATEJ_N(\"ER\",1)":[[46226]],"EW^CS_EVENT_TIME_N(\"ER\",1)":[["Unspecified"]],"EW^CS_EVENT_DESC_N(\"ER\",1)":[["Q2 2026 Earnings Release (Projected)"]],"MGM^CS_EVENT_DATEJ_N(\"ER\",1)":[[46239]],"MGM^CS_EVENT_TIME_N(\"ER\",1)":[["Unspecified"]],"MGM^CS_EVENT_DESC_N(\"ER\",1)":[["Q2 2026 Earnings Release (Projected)"]],"APH^CS_EVENT_DATEJ_N(\"ER\",1)":[[46232]],"APH^CS_EVENT_TIME_N(\"ER\",1)":[["Before Market"]],"APH^CS_EVENT_DESC_N(\"ER\",1)":[["Q2 2026 Earnings Release"]],"ALL^CS_EVENT_DATEJ_N(\"ER\",1)":[[46239]],"ALL^CS_EVENT_TIME_N(\"ER\",1)":[["After Market"]],"ALL^CS_EVENT_DESC_N(\"ER\",1)":[["Q2 2026 Earnings Release"]],"SWK^CS_EVENT_DATEJ_N(\"ER\",1)":[[46238]],"SWK^CS_EVENT_TIME_N(\"ER\",1)":[["Unspecified"]],"SWK^CS_EVENT_DESC_N(\"ER\",1)":[["Q2 2026 Earnings Release (Projected)"]],"REGN^CS_EVENT_DATEJ_N(\"ER\",1)":[[46233]],"REGN^CS_EVENT_TIME_N(\"ER\",1)":[["Unspecified"]],"REGN^CS_EVENT_DESC_N(\"ER\",1)":[["Q2 2026 Earnings Release (Projected)"]],"ODFL^CS_EVENT_DATEJ_N(\"ER\",1)":[[46232]],"ODFL^CS_EVENT_TIME_N(\"ER\",1)":[["Unspecified"]],"ODFL^CS_EVENT_DESC_N(\"ER\",1)":[["Q2 2026 Earnings Release (Projected)"]],"ALGN^CS_EVENT_DATEJ_N(\"ER\",1)":[[46232]],"ALGN^CS_EVENT_TIME_N(\"ER\",1)":[["Unspecified"]],"ALGN^CS_EVENT_DESC_N(\"ER\",1)":[["Q2 2026 Earnings Release"]],"GD^CS_EVENT_DATEJ_N(\"ER\",1)":[[46232]],"GD^CS_EVENT_TIME_N(\"ER\",1)":[["Unspecified"]],"GD^CS_EVENT_DESC_N(\"ER\",1)":[["Q2 2026 Earnings Release (Projected)"]],"ETR^CS_EVENT_DATEJ_N(\"ER\",1)":[[46239]],"ETR^CS_EVENT_TIME_N(\"ER\",1)":[["Unspecified"]],"ETR^CS_EVENT_DESC_N(\"ER\",1)":[["Q2 2026 Earnings Release (Projected)"]],"EG^CS_EVENT_DATEJ_N(\"ER\",1)":[[46232]],"EG^CS_EVENT_TIME_N(\"ER\",1)":[["Unspecified"]],"EG^CS_EVENT_DESC_N(\"ER\",1)":[["Q2 2026 Earnings Release (Projected)"]],"FIX^CS_EVENT_DATEJ_N(\"ER\",1)":[[46232]],"FIX^CS_EVENT_TIME_N(\"ER\",1)":[["Unspecified"]],"FIX^CS_EVENT_DESC_N(\"ER\",1)":[["Q2 2026 Earnings Release (Projected)"]],"ROL^CS_EVENT_DATEJ_N(\"ER\",1)":[[46232]],"ROL^CS_EVENT_TIME_N(\"ER\",1)":[["Unspecified"]],"ROL^CS_EVENT_DESC_N(\"ER\",1)":[["Q2 2026 Earnings Release (Projected)"]],"ADP^CS_EVENT_DATEJ_N(\"ER\",1)":[[46239]],"ADP^CS_EVENT_TIME_N(\"ER\",1)":[["Unspecified"]],"ADP^CS_EVENT_DESC_N(\"ER\",1)":[["Q4 2026 Earnings Release (Projected)"]],"TDY^CS_EVENT_DATEJ_N(\"ER\",1)":[[46232]],"TDY^CS_EVENT_TIME_N(\"ER\",1)":[["Unspecified"]],"TDY^CS_EVENT_DESC_N(\"ER\",1)":[["Q2 2026 Earnings Release (Projected)"]],"URI^CS_EVENT_DATEJ_N(\"ER\",1)":[[46232]],"URI^CS_EVENT_TIME_N(\"ER\",1)":[["Unspecified"]],"URI^CS_EVENT_DESC_N(\"ER\",1)":[["Q2 2026 Earnings Release (Projected)"]],"AMGN^CS_EVENT_DATEJ_N(\"ER\",1)":[[46233]],"AMGN^CS_EVENT_TIME_N(\"ER\",1)":[["Unspecified"]],"AMGN^CS_EVENT_DESC_N(\"ER\",1)":[["Q2 2026 Earnings Release (Projected)"]],"AVY^CS_EVENT_DATEJ_N(\"ER\",1)":[[46231]],"AVY^CS_EVENT_TIME_N(\"ER\",1)":[["Unspecified"]],"AVY^CS_EVENT_DESC_N(\"ER\",1)":[["Q2 2026 Earnings Release (Projected)"]],"EQT^CS_EVENT_DATEJ_N(\"ER\",1)":[[46231]],"EQT^CS_EVENT_TIME_N(\"ER\",1)":[["Unspecified"]],"EQT^CS_EVENT_DESC_N(\"ER\",1)":[["Q2 2026 Earnings Release (Projected)"]],"ORLY^CS_EVENT_DATEJ_N(\"ER\",1)":[[46232]],"ORLY^CS_EVENT_TIME_N(\"ER\",1)":[["Unspecified"]],"ORLY^CS_EVENT_DESC_N(\"ER\",1)":[["Q2 2026 Earnings Release (Projected)"]],"TMO^CS_EVENT_DATEJ_N(\"ER\",1)":[[46232]],"TMO^CS_EVENT_TIME_N(\"ER\",1)":[["Unspecified"]],"TMO^CS_EVENT_DESC_N(\"ER\",1)":[["Q2 2026 Earnings Release (Projected)"]],"AVB^CS_EVENT_DATEJ_N(\"ER\",1)":[[46239]],"AVB^CS_EVENT_TIME_N(\"ER\",1)":[["Unspecified"]],"AVB^CS_EVENT_DESC_N(\"ER\",1)":[["Q2 2026 Earnings Release (Projected)"]],"LRCX^CS_EVENT_DATEJ_N(\"ER\",1)":[[46239]],"LRCX^CS_EVENT_TIME_N(\"ER\",1)":[["Unspecified"]],"LRCX^CS_EVENT_DESC_N(\"ER\",1)":[["Q4 2026 Earnings Release (Projected)"]],"TYL^CS_EVENT_DATEJ_N(\"ER\",1)":[[46232]],"TYL^CS_EVENT_TIME_N(\"ER\",1)":[["Unspecified"]],"TYL^CS_EVENT_DESC_N(\"ER\",1)":[["Q2 2026 Earnings Release (Projected)"]],"REG^CS_EVENT_DATEJ_N(\"ER\",1)":[[46232]],"REG^CS_EVENT_TIME_N(\"ER\",1)":[["Unspecified"]],"REG^CS_EVENT_DESC_N(\"ER\",1)":[["Q2 2026 Earnings Release"]],"BG^CS_EVENT_DATEJ_N(\"ER\",1)":[[46239]],"BG^CS_EVENT_TIME_N(\"ER\",1)":[["Unspecified"]],"BG^CS_EVENT_DESC_N(\"ER\",1)":[["Q2 2026 Earnings Release (Projected)"]],"F^CS_EVENT_DATEJ_N(\"ER\",1)":[[46232]],"F^CS_EVENT_TIME_N(\"ER\",1)":[["Unspecified"]],"F^CS_EVENT_DESC_N(\"ER\",1)":[["Q2 2026 Earnings Release (Projected)"]],"AFL^CS_EVENT_DATEJ_N(\"ER\",1)":[[46240]],"AFL^CS_EVENT_TIME_N(\"ER\",1)":[["4:05 PM"]],"AFL^CS_EVENT_DESC_N(\"ER\",1)":[["Q2 2026 Earnings Release"]],"HUM^CS_EVENT_DATEJ_N(\"ER\",1)":[[46232]],"HUM^CS_EVENT_TIME_N(\"ER\",1)":[["6:00 AM"]],"HUM^CS_EVENT_DESC_N(\"ER\",1)":[["Q2 2026 Earnings Release"]],"CMG^CS_EVENT_DATEJ_N(\"ER\",1)":[[46232]],"CMG^CS_EVENT_TIME_N(\"ER\",1)":[["Unspecified"]],"CMG^CS_EVENT_DESC_N(\"ER\",1)":[["Q2 2026 Earnings Release (Projected)"]],"ABBV^CS_EVENT_DATEJ_N(\"ER\",1)":[[46227]],"ABBV^CS_EVENT_TIME_N(\"ER\",1)":[["Unspecified"]],"ABBV^CS_EVENT_DESC_N(\"ER\",1)":[["Q2 2026 Earnings Release (Projected)"]],"STX^CS_EVENT_DATEJ_N(\"ER\",1)":[[46219]],"STX^CS_EVENT_TIME_N(\"ER\",1)":[["Unspecified"]],"STX^CS_EVENT_DESC_N(\"ER\",1)":[["Q4 2026 Earnings Release (Projected)"]],"PTC^CS_EVENT_DATEJ_N(\"ER\",1)":[[46232]],"PTC^CS_EVENT_TIME_N(\"ER\",1)":[["Unspecified"]],"PTC^CS_EVENT_DESC_N(\"ER\",1)":[["Q3 2026 Earnings Release (Projected)"]],"CHRW^CS_EVENT_DATEJ_N(\"ER\",1)":[[46239]],"CHRW^CS_EVENT_TIME_N(\"ER\",1)":[["Unspecified"]],"CHRW^CS_EVENT_DESC_N(\"ER\",1)":[["Q2 2026 Earnings Release (Projected)"]],"LVS^CS_EVENT_DATEJ_N(\"ER\",1)":[[46225]],"LVS^CS_EVENT_TIME_N(\"ER\",1)":[["Unspecified"]],"LVS^CS_EVENT_DESC_N(\"ER\",1)":[["Q2 2026 Earnings Release (Projected)"]],"TEL^CS_EVENT_DATEJ_N(\"ER\",1)":[[46232]],"TEL^CS_EVENT_TIME_N(\"ER\",1)":[["Unspecified"]],"TEL^CS_EVENT_DESC_N(\"ER\",1)":[["Q3 2026 Earnings Release (Projected)"]],"META^CS_EVENT_DATEJ_N(\"ER\",1)":[[46232]],"META^CS_EVENT_TIME_N(\"ER\",1)":[["Unspecified"]],"META^CS_EVENT_DESC_N(\"ER\",1)":[["Q2 2026 Earnings Release (Projected)"]],"PSX^CS_EVENT_DATEJ_N(\"ER\",1)":[[46227]],"PSX^CS_EVENT_TIME_N(\"ER\",1)":[["Unspecified"]],"PSX^CS_EVENT_DESC_N(\"ER\",1)":[["Q2 2026 Earnings Release (Projected)"]],"NOW^CS_EVENT_DATEJ_N(\"ER\",1)":[[46232]],"NOW^CS_EVENT_TIME_N(\"ER\",1)":[["Unspecified"]],"NOW^CS_EVENT_DESC_N(\"ER\",1)":[["Q2 2026 Earnings Release (Projected)"]],"VICI^CS_EVENT_DATEJ_N(\"ER\",1)":[[46232]],"VICI^CS_EVENT_TIME_N(\"ER\",1)":[["Unspecified"]],"VICI^CS_EVENT_DESC_N(\"ER\",1)":[["Q2 2026 Earnings Release (Projected)"]],"VRT^CS_EVENT_DATEJ_N(\"ER\",1)":[[46239]],"VRT^CS_EVENT_TIME_N(\"ER\",1)":[["Unspecified"]],"VRT^CS_EVENT_DESC_N(\"ER\",1)":[["Q2 2026 Earnings Release (Projected)"]],"OTIS^CS_EVENT_DATEJ_N(\"ER\",1)":[[46232]],"OTIS^CS_EVENT_TIME_N(\"ER\",1)":[["Unspecified"]],"OTIS^CS_EVENT_DESC_N(\"ER\",1)":[["Q2 2026 Earnings Release (Projected)"]],"AES^CS_EVENT_DATEJ_N(\"ER\",1)":[[46233]],"AES^CS_EVENT_TIME_N(\"ER\",1)":[["Unspecified"]],"AES^CS_EVENT_DESC_N(\"ER\",1)":[["Q2 2026 Earnings Release (Projected)"]],"ED^CS_EVENT_DATEJ_N(\"ER\",1)":[[46233]],"ED^CS_EVENT_TIME_N(\"ER\",1)":[["Unspecified"]],"ED^CS_EVENT_DESC_N(\"ER\",1)":[["Q2 2026 Earnings Release (Projected)"]],"SO^CS_EVENT_DATEJ_N(\"ER\",1)":[[46233]],"SO^CS_EVENT_TIME_N(\"ER\",1)":[["Unspecified"]],"SO^CS_EVENT_DESC_N(\"ER\",1)":[["Q2 2026 Earnings Release (Projected)"]],"IP^CS_EVENT_DATEJ_N(\"ER\",1)":[[46233]],"IP^CS_EVENT_TIME_N(\"ER\",1)":[["7:00 AM"]],"IP^CS_EVENT_DESC_N(\"ER\",1)":[["Q2 2026 Earnings Release"]],"BAX^CS_EVENT_DATEJ_N(\"ER\",1)":[[46226]],"BAX^CS_EVENT_TIME_N(\"ER\",1)":[["Unspecified"]],"BAX^CS_EVENT_DESC_N(\"ER\",1)":[["Q2 2026 Earnings Release (Projected)"]],"MNST^CS_EVENT_DATEJ_N(\"ER\",1)":[[46233]],"MNST^CS_EVENT_TIME_N(\"ER\",1)":[["Unspecified"]],"MNST^CS_EVENT_DESC_N(\"ER\",1)":[["Q2 2026 Earnings Release (Projected)"]],"CAH^CS_EVENT_DATEJ_N(\"ER\",1)":[[46252]],"CAH^CS_EVENT_TIME_N(\"ER\",1)":[["Unspecified"]],"CAH^CS_EVENT_DESC_N(\"ER\",1)":[["Q4 2026 Earnings Release (Projected)"]],"LHX^CS_EVENT_DATEJ_N(\"ER\",1)":[[46226]],"LHX^CS_EVENT_TIME_N(\"ER\",1)":[["Unspecified"]],"LHX^CS_EVENT_DESC_N(\"ER\",1)":[["Q2 2026 Earnings Release (Projected)"]],"AIG^CS_EVENT_DATEJ_N(\"ER\",1)":[[46239]],"AIG^CS_EVENT_TIME_N(\"ER\",1)":[["Unspecified"]],"AIG^CS_EVENT_DESC_N(\"ER\",1)":[["Q2 2026 Earnings Release (Projected)"]],"LLY^CS_EVENT_DATEJ_N(\"ER\",1)":[[46239]],"LLY^CS_EVENT_TIME_N(\"ER\",1)":[["6:45 AM"]],"LLY^CS_EVENT_DESC_N(\"ER\",1)":[["Q2 2026 Earnings Release"]],"LH^CS_EVENT_DATEJ_N(\"ER\",1)":[[46233]],"LH^CS_EVENT_TIME_N(\"ER\",1)":[["Unspecified"]],"LH^CS_EVENT_DESC_N(\"ER\",1)":[["Q2 2026 Earnings Release (Projected)"]],"BMY^CS_EVENT_DATEJ_N(\"ER\",1)":[[46233]],"BMY^CS_EVENT_TIME_N(\"ER\",1)":[["6:59 AM"]],"BMY^CS_EVENT_DESC_N(\"ER\",1)":[["Q2 2026 Earnings Release"]],"LNT^CS_EVENT_DATEJ_N(\"ER\",1)":[[46233]],"LNT^CS_EVENT_TIME_N(\"ER\",1)":[["Unspecified"]],"LNT^CS_EVENT_DESC_N(\"ER\",1)":[["Q2 2026 Earnings Release (Projected)"]],"APD^CS_EVENT_DATEJ_N(\"ER\",1)":[[46233]],"APD^CS_EVENT_TIME_N(\"ER\",1)":[["Unspecified"]],"APD^CS_EVENT_DESC_N(\"ER\",1)":[["Q3 2026 Earnings Release (Projected)"]],"SRE^CS_EVENT_DATEJ_N(\"ER\",1)":[[46233]],"SRE^CS_EVENT_TIME_N(\"ER\",1)":[["Unspecified"]],"SRE^CS_EVENT_DESC_N(\"ER\",1)":[["Q2 2026 Earnings Release (Projected)"]],"PPL^CS_EVENT_DATEJ_N(\"ER\",1)":[[46233]],"PPL^CS_EVENT_TIME_N(\"ER\",1)":[["Unspecified"]],"PPL^CS_EVENT_DESC_N(\"ER\",1)":[["Q2 2026 Earnings Release (Projected)"]],"TXT^CS_EVENT_DATEJ_N(\"ER\",1)":[[46226]],"TXT^CS_EVENT_TIME_N(\"ER\",1)":[["Unspecified"]],"TXT^CS_EVENT_DESC_N(\"ER\",1)":[["Q2 2026 Earnings Release (Projected)"]],"AEE^CS_EVENT_DATEJ_N(\"ER\",1)":[[46233]],"AEE^CS_EVENT_TIME_N(\"ER\",1)":[["Unspecified"]],"AEE^CS_EVENT_DESC_N(\"ER\",1)":[["Q2 2026 Earnings Release (Projected)"]],"TRGP^CS_EVENT_DATEJ_N(\"ER\",1)":[[46233]],"TRGP^CS_EVENT_TIME_N(\"ER\",1)":[["Unspecified"]],"TRGP^CS_EVENT_DESC_N(\"ER\",1)":[["Q2 2026 Earnings Release (Projected)"]],"MTD^CS_EVENT_DATEJ_N(\"ER\",1)":[[46226]],"MTD^CS_EVENT_TIME_N(\"ER\",1)":[["Unspecified"]],"MTD^CS_EVENT_DESC_N(\"ER\",1)":[["Q2 2026 Earnings Release (Projected)"]],"APO^CS_EVENT_DATEJ_N(\"ER\",1)":[[46233]],"APO^CS_EVENT_TIME_N(\"ER\",1)":[["Unspecified"]],"APO^CS_EVENT_DESC_N(\"ER\",1)":[["Q2 2026 Earnings Release (Projected)"]],"D^CS_EVENT_DATEJ_N(\"ER\",1)":[[46234]],"D^CS_EVENT_TIME_N(\"ER\",1)":[["Unspecified"]],"D^CS_EVENT_DESC_N(\"ER\",1)":[["Q2 2026 Earnings Release (Projected)"]],"VLO^CS_EVENT_DATEJ_N(\"ER\",1)":[[46226]],"VLO^CS_EVENT_TIME_N(\"ER\",1)":[["Unspecified"]],"VLO^CS_EVENT_DESC_N(\"ER\",1)":[["Q2 2026 Earnings Release (Projected)"]],"PH^CS_EVENT_DATEJ_N(\"ER\",1)":[[46240]],"PH^CS_EVENT_TIME_N(\"ER\",1)":[["Unspecified"]],"PH^CS_EVENT_DESC_N(\"ER\",1)":[["Q4 2026 Earnings Release (Projected)"]],"AAPL^CS_EVENT_DATEJ_N(\"ER\",1)":[[46233]],"AAPL^CS_EVENT_TIME_N(\"ER\",1)":[["Unspecified"]],"AAPL^CS_EVENT_DESC_N(\"ER\",1)":[["Q3 2026 Earnings Release (Projected)"]],"WY^CS_EVENT_DATEJ_N(\"ER\",1)":[[46226]],"WY^CS_EVENT_TIME_N(\"ER\",1)":[["Unspecified"]],"WY^CS_EVENT_DESC_N(\"ER\",1)":[["Q2 2026 Earnings Release (Projected)"]],"PWR^CS_EVENT_DATEJ_N(\"ER\",1)":[[46233]],"PWR^CS_EVENT_TIME_N(\"ER\",1)":[["Unspecified"]],"PWR^CS_EVENT_DESC_N(\"ER\",1)":[["Q2 2026 Earnings Release (Projected)"]],"CTRA^CS_EVENT_DATEJ_N(\"ER\",1)":[[46142]],"CTRA^CS_EVENT_TIME_N(\"ER\",1)":[["Unspecified"]],"CTRA^CS_EVENT_DESC_N(\"ER\",1)":[["Q1 2026 Earnings Release (Projected)"]],"RCL^CS_EVENT_DATEJ_N(\"ER\",1)":[[46226]],"RCL^CS_EVENT_TIME_N(\"ER\",1)":[["Unspecified"]],"RCL^CS_EVENT_DESC_N(\"ER\",1)":[["Q2 2026 Earnings Release (Projected)"]],"BDX^CS_EVENT_DATEJ_N(\"ER\",1)":[[46233]],"BDX^CS_EVENT_TIME_N(\"ER\",1)":[["Unspecified"]],"BDX^CS_EVENT_DESC_N(\"ER\",1)":[["Q3 2026 Earnings Release (Projected)"]],"BALL^CS_EVENT_DATEJ_N(\"ER\",1)":[[46233]],"BALL^CS_EVENT_TIME_N(\"ER\",1)":[["Unspecified"]],"BALL^CS_EVENT_DESC_N(\"ER\",1)":[["Q2 2026 Earnings Release (Projected)"]],"CI^CS_EVENT_DATEJ_N(\"ER\",1)":[[46233]],"CI^CS_EVENT_TIME_N(\"ER\",1)":[["Before Market"]],"CI^CS_EVENT_DESC_N(\"ER\",1)":[["Q2 2026 Earnings Release"]],"HOLX^CS_EVENT_DATEJ_N(\"ER\",1)":[[46142]],"HOLX^CS_EVENT_TIME_N(\"ER\",1)":[["Unspecified"]],"HOLX^CS_EVENT_DESC_N(\"ER\",1)":[["Q2 2026 Earnings Release (Projected)"]],"IRM^CS_EVENT_DATEJ_N(\"ER\",1)":[[46233]],"IRM^CS_EVENT_TIME_N(\"ER\",1)":[["Unspecified"]],"IRM^CS_EVENT_DESC_N(\"ER\",1)":[["Q2 2026 Earnings Release (Projected)"]],"COP^CS_EVENT_DATEJ_N(\"ER\",1)":[[46233]],"COP^CS_EVENT_TIME_N(\"ER\",1)":[["Unspecified"]],"COP^CS_EVENT_DESC_N(\"ER\",1)":[["Q2 2026 Earnings Release (Projected)"]],"DVA^CS_EVENT_DATEJ_N(\"ER\",1)":[[46239]],"DVA^CS_EVENT_TIME_N(\"ER\",1)":[["Unspecified"]],"DVA^CS_EVENT_DESC_N(\"ER\",1)":[["Q2 2026 Earnings Release (Projected)"]],"MPWR^CS_EVENT_DATEJ_N(\"ER\",1)":[[46237]],"MPWR^CS_EVENT_TIME_N(\"ER\",1)":[["Unspecified"]],"MPWR^CS_EVENT_DESC_N(\"ER\",1)":[["Q2 2026 Earnings Release (Projected)"]],"MO^CS_EVENT_DATEJ_N(\"ER\",1)":[[46233]],"MO^CS_EVENT_TIME_N(\"ER\",1)":[["7:00 AM"]],"MO^CS_EVENT_DESC_N(\"ER\",1)":[["Q2 2026 Earnings Release"]],"PNW^CS_EVENT_DATEJ_N(\"ER\",1)":[[46233]],"PNW^CS_EVENT_TIME_N(\"ER\",1)":[["Unspecified"]],"PNW^CS_EVENT_DESC_N(\"ER\",1)":[["Q2 2026 Earnings Release (Projected)"]],"NRG^CS_EVENT_DATEJ_N(\"ER\",1)":[[46246]],"NRG^CS_EVENT_TIME_N(\"ER\",1)":[["Unspecified"]],"NRG^CS_EVENT_DESC_N(\"ER\",1)":[["Q2 2026 Earnings Release (Projected)"]],"GDDY^CS_EVENT_DATEJ_N(\"ER\",1)":[[46239]],"GDDY^CS_EVENT_TIME_N(\"ER\",1)":[["Unspecified"]],"GDDY^CS_EVENT_DESC_N(\"ER\",1)":[["Q2 2026 Earnings Release (Projected)"]],"MRK^CS_EVENT_DATEJ_N(\"ER\",1)":[[46238]],"MRK^CS_EVENT_TIME_N(\"ER\",1)":[["6:30 AM"]],"MRK^CS_EVENT_DESC_N(\"ER\",1)":[["Q2 2026 Earnings Release"]],"LYV^CS_EVENT_DATEJ_N(\"ER\",1)":[[46238]],"LYV^CS_EVENT_TIME_N(\"ER\",1)":[["Unspecified"]],"LYV^CS_EVENT_DESC_N(\"ER\",1)":[["Q2 2026 Earnings Release (Projected)"]],"BLDR^CS_EVENT_DATEJ_N(\"ER\",1)":[[46233]],"BLDR^CS_EVENT_TIME_N(\"ER\",1)":[["Unspecified"]],"BLDR^CS_EVENT_DESC_N(\"ER\",1)":[["Q2 2026 Earnings Release (Projected)"]],"FTNT^CS_EVENT_DATEJ_N(\"ER\",1)":[[46233]],"FTNT^CS_EVENT_TIME_N(\"ER\",1)":[["Unspecified"]],"FTNT^CS_EVENT_DESC_N(\"ER\",1)":[["Q2 2026 Earnings Release (Projected)"]],"EPAM^CS_EVENT_DATEJ_N(\"ER\",1)":[[46233]],"EPAM^CS_EVENT_TIME_N(\"ER\",1)":[["Unspecified"]],"EPAM^CS_EVENT_DESC_N(\"ER\",1)":[["Q2 2026 Earnings Release (Projected)"]],"PODD^CS_EVENT_DATEJ_N(\"ER\",1)":[[46240]],"PODD^CS_EVENT_TIME_N(\"ER\",1)":[["Unspecified"]],"PODD^CS_EVENT_DESC_N(\"ER\",1)":[["Q2 2026 Earnings Release (Projected)"]],"ZTS^CS_EVENT_DATEJ_N(\"ER\",1)":[[46245]],"ZTS^CS_EVENT_TIME_N(\"ER\",1)":[["Unspecified"]],"ZTS^CS_EVENT_DESC_N(\"ER\",1)":[["Q2 2026 Earnings Release (Projected)"]],"ICE^CS_EVENT_DATEJ_N(\"ER\",1)":[[46233]],"ICE^CS_EVENT_TIME_N(\"ER\",1)":[["Unspecified"]],"ICE^CS_EVENT_DESC_N(\"ER\",1)":[["Q2 2026 Earnings Release (Projected)"]],"CVNA^CS_EVENT_DATEJ_N(\"ER\",1)":[[46233]],"CVNA^CS_EVENT_TIME_N(\"ER\",1)":[["Unspecified"]],"CVNA^CS_EVENT_DESC_N(\"ER\",1)":[["Q2 2026 Earnings Release (Projected)"]],"MSI^CS_EVENT_DATEJ_N(\"ER\",1)":[[46233]],"MSI^CS_EVENT_TIME_N(\"ER\",1)":[["Unspecified"]],"MSI^CS_EVENT_DESC_N(\"ER\",1)":[["Q2 2026 Earnings Release (Projected)"]],"HII^CS_EVENT_DATEJ_N(\"ER\",1)":[[46233]],"HII^CS_EVENT_TIME_N(\"ER\",1)":[["Unspecified"]],"HII^CS_EVENT_DESC_N(\"ER\",1)":[["Q2 2026 Earnings Release (Projected)"]],"EXPE^CS_EVENT_DATEJ_N(\"ER\",1)":[[46233]],"EXPE^CS_EVENT_TIME_N(\"ER\",1)":[["Unspecified"]],"EXPE^CS_EVENT_DESC_N(\"ER\",1)":[["Q2 2026 Earnings Release (Projected)"]],"XYZ^CS_EVENT_DATEJ_N(\"ER\",1)":[[46233]],"XYZ^CS_EVENT_TIME_N(\"ER\",1)":[["Unspecified"]],"XYZ^CS_EVENT_DESC_N(\"ER\",1)":[["Q2 2026 Earnings Release (Projected)"]],"HWM^CS_EVENT_DATEJ_N(\"ER\",1)":[[46233]],"HWM^CS_EVENT_TIME_N(\"ER\",1)":[["Unspecified"]],"HWM^CS_EVENT_DESC_N(\"ER\",1)":[["Q2 2026 Earnings Release (Projected)"]],"SW^CS_EVENT_DATEJ_N(\"ER\",1)":[[46239]],"SW^CS_EVENT_TIME_N(\"ER\",1)":[["Unspecified"]],"SW^CS_EVENT_DESC_N(\"ER\",1)":[["Q2 2026 Earnings Release (Projected)"]],"MRNA^CS_EVENT_DATEJ_N(\"ER\",1)":[[46233]],"MRNA^CS_EVENT_TIME_N(\"ER\",1)":[["Unspecified"]],"MRNA^CS_EVENT_DESC_N(\"ER\",1)":[["Q2 2026 Earnings Release (Projected)"]],"LIN^CS_EVENT_DATEJ_N(\"ER\",1)":[[46226]],"LIN^CS_EVENT_TIME_N(\"ER\",1)":[["Unspecified"]],"LIN^CS_EVENT_DESC_N(\"ER\",1)":[["Q2 2026 Earnings Release (Projected)"]],"DDOG^CS_EVENT_DATEJ_N(\"ER\",1)":[[46240]],"DDOG^CS_EVENT_TIME_N(\"ER\",1)":[["Unspecified"]],"DDOG^CS_EVENT_DESC_N(\"ER\",1)":[["Q2 2026 Earnings Release (Projected)"]],"DASH^CS_EVENT_DATEJ_N(\"ER\",1)":[[46233]],"DASH^CS_EVENT_TIME_N(\"ER\",1)":[["Unspecified"]],"DASH^CS_EVENT_DESC_N(\"ER\",1)":[["Q2 2026 Earnings Release (Projected)"]],"SNDK^CS_EVENT_DATEJ_N(\"ER\",1)":[[46247]],"SNDK^CS_EVENT_TIME_N(\"ER\",1)":[["Unspecified"]],"SNDK^CS_EVENT_DESC_N(\"ER\",1)":[["Q4 2026 Earnings Release (Projected)"]],"EVRG^CS_EVENT_DATEJ_N(\"ER\",1)":[[46233]],"EVRG^CS_EVENT_TIME_N(\"ER\",1)":[["Unspecified"]],"EVRG^CS_EVENT_DESC_N(\"ER\",1)":[["Q2 2026 Earnings Release (Projected)"]],"FRT^CS_EVENT_DATEJ_N(\"ER\",1)":[[46239]],"FRT^CS_EVENT_TIME_N(\"ER\",1)":[["Unspecified"]],"FRT^CS_EVENT_DESC_N(\"ER\",1)":[["Q2 2026 Earnings Release (Projected)"]],"CL^CS_EVENT_DATEJ_N(\"ER\",1)":[[46234]],"CL^CS_EVENT_TIME_N(\"ER\",1)":[["6:55 AM"]],"CL^CS_EVENT_DESC_N(\"ER\",1)":[["Q2 2026 Earnings Release"]],"EL^CS_EVENT_DATEJ_N(\"ER\",1)":[[46253]],"EL^CS_EVENT_TIME_N(\"ER\",1)":[["Before Market"]],"EL^CS_EVENT_DESC_N(\"ER\",1)":[["Q4 2026 Earnings Release"]],"CHD^CS_EVENT_DATEJ_N(\"ER\",1)":[[46227]],"CHD^CS_EVENT_TIME_N(\"ER\",1)":[["Unspecified"]],"CHD^CS_EVENT_DESC_N(\"ER\",1)":[["Q2 2026 Earnings Release (Projected)"]],"CBOE^CS_EVENT_DATEJ_N(\"ER\",1)":[[46234]],"CBOE^CS_EVENT_TIME_N(\"ER\",1)":[["Unspecified"]],"CBOE^CS_EVENT_DESC_N(\"ER\",1)":[["Q2 2026 Earnings Release (Projected)"]],"JCI^CS_EVENT_DATEJ_N(\"ER\",1)":[[46239]],"JCI^CS_EVENT_TIME_N(\"ER\",1)":[["Unspecified"]],"JCI^CS_EVENT_DESC_N(\"ER\",1)":[["Q3 2026 Earnings Release (Projected)"]],"WEC^CS_EVENT_DATEJ_N(\"ER\",1)":[[46232]],"WEC^CS_EVENT_TIME_N(\"ER\",1)":[["7:00 AM"]],"WEC^CS_EVENT_DESC_N(\"ER\",1)":[["Q2 2026 Earnings Release"]],"BEN^CS_EVENT_DATEJ_N(\"ER\",1)":[[46227]],"BEN^CS_EVENT_TIME_N(\"ER\",1)":[["Unspecified"]],"BEN^CS_EVENT_DESC_N(\"ER\",1)":[["Q3 2026 Earnings Release (Projected)"]],"WMB^CS_EVENT_DATEJ_N(\"ER\",1)":[[46244]],"WMB^CS_EVENT_TIME_N(\"ER\",1)":[["Unspecified"]],"WMB^CS_EVENT_DESC_N(\"ER\",1)":[["Q2 2026 Earnings Release (Projected)"]],"SBAC^CS_EVENT_DATEJ_N(\"ER\",1)":[[46237]],"SBAC^CS_EVENT_TIME_N(\"ER\",1)":[["Unspecified"]],"SBAC^CS_EVENT_DESC_N(\"ER\",1)":[["Q2 2026 Earnings Release (Projected)"]],"WELL^CS_EVENT_DATEJ_N(\"ER\",1)":[[46237]],"WELL^CS_EVENT_TIME_N(\"ER\",1)":[["Unspecified"]],"WELL^CS_EVENT_DESC_N(\"ER\",1)":[["Q2 2026 Earnings Release (Projected)"]],"L^CS_EVENT_DATEJ_N(\"ER\",1)":[[46237]],"L^CS_EVENT_TIME_N(\"ER\",1)":[["Unspecified"]],"L^CS_EVENT_DESC_N(\"ER\",1)":[["Q2 2026 Earnings Release (Projected)"]],"ON^CS_EVENT_DATEJ_N(\"ER\",1)":[[46237]],"ON^CS_EVENT_TIME_N(\"ER\",1)":[["Unspecified"]],"ON^CS_EVENT_DESC_N(\"ER\",1)":[["Q2 2026 Earnings Release (Projected)"]],"GPN^CS_EVENT_DATEJ_N(\"ER\",1)":[[46237]],"GPN^CS_EVENT_TIME_N(\"ER\",1)":[["Unspecified"]],"GPN^CS_EVENT_DESC_N(\"ER\",1)":[["Q2 2026 Earnings Release (Projected)"]],"FFIV^CS_EVENT_DATEJ_N(\"ER\",1)":[[46237]],"FFIV^CS_EVENT_TIME_N(\"ER\",1)":[["Unspecified"]],"FFIV^CS_EVENT_DESC_N(\"ER\",1)":[["Q3 2026 Earnings Release (Projected)"]],"RVTY^CS_EVENT_DATEJ_N(\"ER\",1)":[[46237]],"RVTY^CS_EVENT_TIME_N(\"ER\",1)":[["Unspecified"]],"RVTY^CS_EVENT_DESC_N(\"ER\",1)":[["Q2 2026 Earnings Release (Projected)"]],"BRK.B^CS_EVENT_DATEJ_N(\"ER\",1)":[[46237]],"BRK.B^CS_EVENT_TIME_N(\"ER\",1)":[["Unspecified"]],"BRK.B^CS_EVENT_DESC_N(\"ER\",1)":[["Q2 2026 Earnings Release (Projected)"]],"ANET^CS_EVENT_DATEJ_N(\"ER\",1)":[[46237]],"ANET^CS_EVENT_TIME_N(\"ER\",1)":[["Unspecified"]],"ANET^CS_EVENT_DESC_N(\"ER\",1)":[["Q2 2026 Earnings Release (Projected)"]],"FANG^CS_EVENT_DATEJ_N(\"ER\",1)":[[46237]],"FANG^CS_EVENT_TIME_N(\"ER\",1)":[["Unspecified"]],"FANG^CS_EVENT_DESC_N(\"ER\",1)":[["Q2 2026 Earnings Release (Projected)"]],"PRU^CS_EVENT_DATEJ_N(\"ER\",1)":[[46238]],"PRU^CS_EVENT_TIME_N(\"ER\",1)":[["Unspecified"]],"PRU^CS_EVENT_DESC_N(\"ER\",1)":[["Q2 2026 Earnings Release (Projected)"]],"AME^CS_EVENT_DATEJ_N(\"ER\",1)":[[46238]],"AME^CS_EVENT_TIME_N(\"ER\",1)":[["Unspecified"]],"AME^CS_EVENT_DESC_N(\"ER\",1)":[["Q2 2026 Earnings Release (Projected)"]],"MLM^CS_EVENT_DATEJ_N(\"ER\",1)":[[46226]],"MLM^CS_EVENT_TIME_N(\"ER\",1)":[["Unspecified"]],"MLM^CS_EVENT_DESC_N(\"ER\",1)":[["Q2 2026 Earnings Release (Projected)"]],"ITW^CS_EVENT_DATEJ_N(\"ER\",1)":[[46238]],"ITW^CS_EVENT_TIME_N(\"ER\",1)":[["Unspecified"]],"ITW^CS_EVENT_DESC_N(\"ER\",1)":[["Q2 2026 Earnings Release (Projected)"]],"SBUX^CS_EVENT_DATEJ_N(\"ER\",1)":[[46238]],"SBUX^CS_EVENT_TIME_N(\"ER\",1)":[["Unspecified"]],"SBUX^CS_EVENT_DESC_N(\"ER\",1)":[["Q3 2026 Earnings Release (Projected)"]],"GLW^CS_EVENT_DATEJ_N(\"ER\",1)":[[46238]],"GLW^CS_EVENT_TIME_N(\"ER\",1)":[["Unspecified"]],"GLW^CS_EVENT_DESC_N(\"ER\",1)":[["Q2 2026 Earnings Release (Projected)"]],"CLX^CS_EVENT_DATEJ_N(\"ER\",1)":[[46239]],"CLX^CS_EVENT_TIME_N(\"ER\",1)":[["Unspecified"]],"CLX^CS_EVENT_DESC_N(\"ER\",1)":[["Q4 2026 Earnings Release (Projected)"]],"DVN^CS_EVENT_DATEJ_N(\"ER\",1)":[[46238]],"DVN^CS_EVENT_TIME_N(\"ER\",1)":[["Unspecified"]],"DVN^CS_EVENT_DESC_N(\"ER\",1)":[["Q2 2026 Earnings Release (Projected)"]],"SWKS^CS_EVENT_DATEJ_N(\"ER\",1)":[[46239]],"SWKS^CS_EVENT_TIME_N(\"ER\",1)":[["Unspecified"]],"SWKS^CS_EVENT_DESC_N(\"ER\",1)":[["Q3 2026 Earnings Release (Projected)"]],"OKE^CS_EVENT_DATEJ_N(\"ER\",1)":[[46244]],"OKE^CS_EVENT_TIME_N(\"ER\",1)":[["Unspecified"]],"OKE^CS_EVENT_DESC_N(\"ER\",1)":[["Q2 2026 Earnings Release (Projected)"]],"BXP^CS_EVENT_DATEJ_N(\"ER\",1)":[[46238]],"BXP^CS_EVENT_TIME_N(\"ER\",1)":[["Unspecified"]],"BXP^CS_EVENT_DESC_N(\"ER\",1)":[["Q2 2026 Earnings Release (Projected)"]],"SYY^CS_EVENT_DATEJ_N(\"ER\",1)":[[46238]],"SYY^CS_EVENT_TIME_N(\"ER\",1)":[["Unspecified"]],"SYY^CS_EVENT_DESC_N(\"ER\",1)":[["Q4 2026 Earnings Release (Projected)"]],"ETN^CS_EVENT_DATEJ_N(\"ER\",1)":[[46238]],"ETN^CS_EVENT_TIME_N(\"ER\",1)":[["Unspecified"]],"ETN^CS_EVENT_DESC_N(\"ER\",1)":[["Q2 2026 Earnings Release (Projected)"]],"PEG^CS_EVENT_DATEJ_N(\"ER\",1)":[[46238]],"PEG^CS_EVENT_TIME_N(\"ER\",1)":[["Unspecified"]],"PEG^CS_EVENT_DESC_N(\"ER\",1)":[["Q2 2026 Earnings Release (Projected)"]],"AMD^CS_EVENT_DATEJ_N(\"ER\",1)":[[46238]],"AMD^CS_EVENT_TIME_N(\"ER\",1)":[["Unspecified"]],"AMD^CS_EVENT_DESC_N(\"ER\",1)":[["Q2 2026 Earnings Release (Projected)"]],"AIZ^CS_EVENT_DATEJ_N(\"ER\",1)":[[46238]],"AIZ^CS_EVENT_TIME_N(\"ER\",1)":[["Unspecified"]],"AIZ^CS_EVENT_DESC_N(\"ER\",1)":[["Q2 2026 Earnings Release (Projected)"]],"INCY^CS_EVENT_DATEJ_N(\"ER\",1)":[[46238]],"INCY^CS_EVENT_TIME_N(\"ER\",1)":[["Unspecified"]],"INCY^CS_EVENT_DESC_N(\"ER\",1)":[["Q2 2026 Earnings Release (Projected)"]],"PSA^CS_EVENT_DATEJ_N(\"ER\",1)":[[46238]],"PSA^CS_EVENT_TIME_N(\"ER\",1)":[["Unspecified"]],"PSA^CS_EVENT_DESC_N(\"ER\",1)":[["Q2 2026 Earnings Release (Projected)"]],"EA^CS_EVENT_DATEJ_N(\"ER\",1)":[[46238]],"EA^CS_EVENT_TIME_N(\"ER\",1)":[["Unspecified"]],"EA^CS_EVENT_DESC_N(\"ER\",1)":[["Q1 2027 Earnings Release (Projected)"]],"PFE^CS_EVENT_DATEJ_N(\"ER\",1)":[[46238]],"PFE^CS_EVENT_TIME_N(\"ER\",1)":[["Unspecified"]],"PFE^CS_EVENT_DESC_N(\"ER\",1)":[["Q2 2026 Earnings Release (Projected)"]],"CMI^CS_EVENT_DATEJ_N(\"ER\",1)":[[46238]],"CMI^CS_EVENT_TIME_N(\"ER\",1)":[["Unspecified"]],"CMI^CS_EVENT_DESC_N(\"ER\",1)":[["Q2 2026 Earnings Release (Projected)"]],"ROK^CS_EVENT_DATEJ_N(\"ER\",1)":[[46238]],"ROK^CS_EVENT_TIME_N(\"ER\",1)":[["Unspecified"]],"ROK^CS_EVENT_DESC_N(\"ER\",1)":[["Q3 2026 Earnings Release (Projected)"]],"EOG^CS_EVENT_DATEJ_N(\"ER\",1)":[[46233]],"EOG^CS_EVENT_TIME_N(\"ER\",1)":[["Unspecified"]],"EOG^CS_EVENT_DESC_N(\"ER\",1)":[["Q2 2026 Earnings Release (Projected)"]],"ZBH^CS_EVENT_DATEJ_N(\"ER\",1)":[[46238]],"ZBH^CS_EVENT_TIME_N(\"ER\",1)":[["Unspecified"]],"ZBH^CS_EVENT_DESC_N(\"ER\",1)":[["Q2 2026 Earnings Release (Projected)"]],"LDOS^CS_EVENT_DATEJ_N(\"ER\",1)":[[46238]],"LDOS^CS_EVENT_TIME_N(\"ER\",1)":[["Unspecified"]],"LDOS^CS_EVENT_DESC_N(\"ER\",1)":[["Q2 2026 Earnings Release (Projected)"]],"KKR^CS_EVENT_DATEJ_N(\"ER\",1)":[[46238]],"KKR^CS_EVENT_TIME_N(\"ER\",1)":[["Unspecified"]],"KKR^CS_EVENT_DESC_N(\"ER\",1)":[["Q2 2026 Earnings Release (Projected)"]],"VRSK^CS_EVENT_DATEJ_N(\"ER\",1)":[[46239]],"VRSK^CS_EVENT_TIME_N(\"ER\",1)":[["Unspecified"]],"VRSK^CS_EVENT_DESC_N(\"ER\",1)":[["Q2 2026 Earnings Release (Projected)"]],"TAP^CS_EVENT_DATEJ_N(\"ER\",1)":[[46238]],"TAP^CS_EVENT_TIME_N(\"ER\",1)":[["Unspecified"]],"TAP^CS_EVENT_DESC_N(\"ER\",1)":[["Q2 2026 Earnings Release (Projected)"]],"SMCI^CS_EVENT_DATEJ_N(\"ER\",1)":[[46245]],"SMCI^CS_EVENT_TIME_N(\"ER\",1)":[["Unspecified"]],"SMCI^CS_EVENT_DESC_N(\"ER\",1)":[["Q4 2026 Earnings Release (Projected)"]],"BR^CS_EVENT_DATEJ_N(\"ER\",1)":[[46245]],"BR^CS_EVENT_TIME_N(\"ER\",1)":[["Unspecified"]],"BR^CS_EVENT_DESC_N(\"ER\",1)":[["Q4 2026 Earnings Release (Projected)"]],"MPC^CS_EVENT_DATEJ_N(\"ER\",1)":[[46329]],"MPC^CS_EVENT_TIME_N(\"ER\",1)":[["Unspecified"]],"MPC^CS_EVENT_DESC_N(\"ER\",1)":[["Q3 2026 Earnings Release (Projected)"]],"PYPL^CS_EVENT_DATEJ_N(\"ER\",1)":[[46231]],"PYPL^CS_EVENT_TIME_N(\"ER\",1)":[["Before Market"]],"PYPL^CS_EVENT_DESC_N(\"ER\",1)":[["Q2 2026 Earnings Release"]],"INVH^CS_EVENT_DATEJ_N(\"ER\",1)":[[46232]],"INVH^CS_EVENT_TIME_N(\"ER\",1)":[["Unspecified"]],"INVH^CS_EVENT_DESC_N(\"ER\",1)":[["Q2 2026 Earnings Release (Projected)"]],"APTV^CS_EVENT_DATEJ_N(\"ER\",1)":[[46233]],"APTV^CS_EVENT_TIME_N(\"ER\",1)":[["Unspecified"]],"APTV^CS_EVENT_DESC_N(\"ER\",1)":[["Q2 2026 Earnings Release (Projected)"]],"CTVA^CS_EVENT_DATEJ_N(\"ER\",1)":[[46233]],"CTVA^CS_EVENT_TIME_N(\"ER\",1)":[["After Market"]],"CTVA^CS_EVENT_DESC_N(\"ER\",1)":[["Q2 2026 Earnings Release"]],"DD^CS_EVENT_DATEJ_N(\"ER\",1)":[[46238]],"DD^CS_EVENT_TIME_N(\"ER\",1)":[["Unspecified"]],"DD^CS_EVENT_DESC_N(\"ER\",1)":[["Q2 2026 Earnings Release (Projected)"]],"AMCR^CS_EVENT_DATEJ_N(\"ER\",1)":[[46253]],"AMCR^CS_EVENT_TIME_N(\"ER\",1)":[["Unspecified"]],"AMCR^CS_EVENT_DESC_N(\"ER\",1)":[["Q4 2026 Earnings Release (Projected)"]],"EXE^CS_EVENT_DATEJ_N(\"ER\",1)":[[46238]],"EXE^CS_EVENT_TIME_N(\"ER\",1)":[["Unspecified"]],"EXE^CS_EVENT_DESC_N(\"ER\",1)":[["Q2 2026 Earnings Release (Projected)"]],"MAR^CS_EVENT_DATEJ_N(\"ER\",1)":[[46238]],"MAR^CS_EVENT_TIME_N(\"ER\",1)":[["Unspecified"]],"MAR^CS_EVENT_DESC_N(\"ER\",1)":[["Q2 2026 Earnings Release (Projected)"]],"VMC^CS_EVENT_DATEJ_N(\"ER\",1)":[[46233]],"VMC^CS_EVENT_TIME_N(\"ER\",1)":[["Unspecified"]],"VMC^CS_EVENT_DESC_N(\"ER\",1)":[["Q2 2026 Earnings Release (Projected)"]],"TECH^CS_EVENT_DATEJ_N(\"ER\",1)":[[46245]],"TECH^CS_EVENT_TIME_N(\"ER\",1)":[["Unspecified"]],"TECH^CS_EVENT_DESC_N(\"ER\",1)":[["Q4 2026 Earnings Release (Projected)"]],"QCOM^CS_EVENT_DATEJ_N(\"ER\",1)":[[46239]],"QCOM^CS_EVENT_TIME_N(\"ER\",1)":[["Unspecified"]],"QCOM^CS_EVENT_DESC_N(\"ER\",1)":[["Q3 2026 Earnings Release (Projected)"]],"ES^CS_EVENT_DATEJ_N(\"ER\",1)":[[46239]],"ES^CS_EVENT_TIME_N(\"ER\",1)":[["Unspecified"]],"ES^CS_EVENT_DESC_N(\"ER\",1)":[["Q2 2026 Earnings Release (Projected)"]],"FICO^CS_EVENT_DATEJ_N(\"ER\",1)":[[46239]],"FICO^CS_EVENT_TIME_N(\"ER\",1)":[["Unspecified"]],"FICO^CS_EVENT_DESC_N(\"ER\",1)":[["Q3 2026 Earnings Release (Projected)"]],"BIIB^CS_EVENT_DATEJ_N(\"ER\",1)":[[46219]],"BIIB^CS_EVENT_TIME_N(\"ER\",1)":[["Unspecified"]],"BIIB^CS_EVENT_DESC_N(\"ER\",1)":[["Q2 2026 Earnings Release (Projected)"]],"O^CS_EVENT_DATEJ_N(\"ER\",1)":[[46239]],"O^CS_EVENT_TIME_N(\"ER\",1)":[["Unspecified"]],"O^CS_EVENT_DESC_N(\"ER\",1)":[["Q2 2026 Earnings Release (Projected)"]],"TRMB^CS_EVENT_DATEJ_N(\"ER\",1)":[[46233]],"TRMB^CS_EVENT_TIME_N(\"ER\",1)":[["Unspecified"]],"TRMB^CS_EVENT_DESC_N(\"ER\",1)":[["Q2 2026 Earnings Release (Projected)"]],"ALB^CS_EVENT_DATEJ_N(\"ER\",1)":[[46239]],"ALB^CS_EVENT_TIME_N(\"ER\",1)":[["Unspecified"]],"ALB^CS_EVENT_DESC_N(\"ER\",1)":[["Q2 2026 Earnings Release (Projected)"]],"YUM^CS_EVENT_DATEJ_N(\"ER\",1)":[[46239]],"YUM^CS_EVENT_TIME_N(\"ER\",1)":[["Unspecified"]],"YUM^CS_EVENT_DESC_N(\"ER\",1)":[["Q2 2026 Earnings Release (Projected)"]],"TT^CS_EVENT_DATEJ_N(\"ER\",1)":[[46239]],"TT^CS_EVENT_TIME_N(\"ER\",1)":[["Unspecified"]],"TT^CS_EVENT_DESC_N(\"ER\",1)":[["Q2 2026 Earnings Release (Projected)"]],"HST^CS_EVENT_DATEJ_N(\"ER\",1)":[[46239]],"HST^CS_EVENT_TIME_N(\"ER\",1)":[["Unspecified"]],"HST^CS_EVENT_DESC_N(\"ER\",1)":[["Q2 2026 Earnings Release (Projected)"]],"CTSH^CS_EVENT_DATEJ_N(\"ER\",1)":[[46239]],"CTSH^CS_EVENT_TIME_N(\"ER\",1)":[["Unspecified"]],"CTSH^CS_EVENT_DESC_N(\"ER\",1)":[["Q2 2026 Earnings Release (Projected)"]],"AEP^CS_EVENT_DATEJ_N(\"ER\",1)":[[46226]],"AEP^CS_EVENT_TIME_N(\"ER\",1)":[["Unspecified"]],"AEP^CS_EVENT_DESC_N(\"ER\",1)":[["Q2 2026 Earnings Release (Projected)"]],"SYK^CS_EVENT_DATEJ_N(\"ER\",1)":[[46233]],"SYK^CS_EVENT_TIME_N(\"ER\",1)":[["Unspecified"]],"SYK^CS_EVENT_DESC_N(\"ER\",1)":[["Q2 2026 Earnings Release (Projected)"]],"GL^CS_EVENT_DATEJ_N(\"ER\",1)":[[46232]],"GL^CS_EVENT_TIME_N(\"ER\",1)":[["Unspecified"]],"GL^CS_EVENT_DESC_N(\"ER\",1)":[["Q2 2026 Earnings Release (Projected)"]],"EBAY^CS_EVENT_DATEJ_N(\"ER\",1)":[[46239]],"EBAY^CS_EVENT_TIME_N(\"ER\",1)":[["Unspecified"]],"EBAY^CS_EVENT_DESC_N(\"ER\",1)":[["Q2 2026 Earnings Release (Projected)"]],"EMR^CS_EVENT_DATEJ_N(\"ER\",1)":[[46245]],"EMR^CS_EVENT_TIME_N(\"ER\",1)":[["Unspecified"]],"EMR^CS_EVENT_DESC_N(\"ER\",1)":[["Q3 2026 Earnings Release (Projected)"]],"COR^CS_EVENT_DATEJ_N(\"ER\",1)":[[46239]],"COR^CS_EVENT_TIME_N(\"ER\",1)":[["Unspecified"]],"COR^CS_EVENT_DESC_N(\"ER\",1)":[["Q3 2026 Earnings Release (Projected)"]],"VTR^CS_EVENT_DATEJ_N(\"ER\",1)":[[46233]],"VTR^CS_EVENT_TIME_N(\"ER\",1)":[["Unspecified"]],"VTR^CS_EVENT_DESC_N(\"ER\",1)":[["Q2 2026 Earnings Release (Projected)"]],"IDXX^CS_EVENT_DATEJ_N(\"ER\",1)":[[46238]],"IDXX^CS_EVENT_TIME_N(\"ER\",1)":[["Unspecified"]],"IDXX^CS_EVENT_DESC_N(\"ER\",1)":[["Q2 2026 Earnings Release (Projected)"]],"TPL^CS_EVENT_DATEJ_N(\"ER\",1)":[[46239]],"TPL^CS_EVENT_TIME_N(\"ER\",1)":[["Unspecified"]],"TPL^CS_EVENT_DESC_N(\"ER\",1)":[["Q2 2026 Earnings Release (Projected)"]],"APA^CS_EVENT_DATEJ_N(\"ER\",1)":[[46239]],"APA^CS_EVENT_TIME_N(\"ER\",1)":[["Unspecified"]],"APA^CS_EVENT_DESC_N(\"ER\",1)":[["Q2 2026 Earnings Release (Projected)"]],"RSG^CS_EVENT_DATEJ_N(\"ER\",1)":[[46239]],"RSG^CS_EVENT_TIME_N(\"ER\",1)":[["Unspecified"]],"RSG^CS_EVENT_DESC_N(\"ER\",1)":[["Q2 2026 Earnings Release (Projected)"]],"MET^CS_EVENT_DATEJ_N(\"ER\",1)":[[46239]],"MET^CS_EVENT_TIME_N(\"ER\",1)":[["Unspecified"]],"MET^CS_EVENT_DESC_N(\"ER\",1)":[["Q2 2026 Earnings Release (Projected)"]],"CVS^CS_EVENT_DATEJ_N(\"ER\",1)":[[46239]],"CVS^CS_EVENT_TIME_N(\"ER\",1)":[["Unspecified"]],"CVS^CS_EVENT_DESC_N(\"ER\",1)":[["Q2 2026 Earnings Release (Projected)"]],"VRTX^CS_EVENT_DATEJ_N(\"ER\",1)":[[46233]],"VRTX^CS_EVENT_TIME_N(\"ER\",1)":[["Unspecified"]],"VRTX^CS_EVENT_DESC_N(\"ER\",1)":[["Q2 2026 Earnings Release (Projected)"]],"EXC^CS_EVENT_DATEJ_N(\"ER\",1)":[[46239]],"EXC^CS_EVENT_TIME_N(\"ER\",1)":[["Unspecified"]],"EXC^CS_EVENT_DESC_N(\"ER\",1)":[["Q2 2026 Earnings Release (Projected)"]],"GNRC^CS_EVENT_DATEJ_N(\"ER\",1)":[[46239]],"GNRC^CS_EVENT_TIME_N(\"ER\",1)":[["Unspecified"]],"GNRC^CS_EVENT_DESC_N(\"ER\",1)":[["Q2 2026 Earnings Release (Projected)"]],"CPAY^CS_EVENT_DATEJ_N(\"ER\",1)":[[46246]],"CPAY^CS_EVENT_TIME_N(\"ER\",1)":[["Unspecified"]],"CPAY^CS_EVENT_DESC_N(\"ER\",1)":[["Q2 2026 Earnings Release (Projected)"]],"CDW^CS_EVENT_DATEJ_N(\"ER\",1)":[[46239]],"CDW^CS_EVENT_TIME_N(\"ER\",1)":[["Unspecified"]],"CDW^CS_EVENT_DESC_N(\"ER\",1)":[["Q2 2026 Earnings Release (Projected)"]],"AWK^CS_EVENT_DATEJ_N(\"ER\",1)":[[46232]],"AWK^CS_EVENT_TIME_N(\"ER\",1)":[["Unspecified"]],"AWK^CS_EVENT_DESC_N(\"ER\",1)":[["Q2 2026 Earnings Release"]],"IR^CS_EVENT_DATEJ_N(\"ER\",1)":[[46239]],"IR^CS_EVENT_TIME_N(\"ER\",1)":[["Unspecified"]],"IR^CS_EVENT_DESC_N(\"ER\",1)":[["Q2 2026 Earnings Release (Projected)"]],"FIS^CS_EVENT_DATEJ_N(\"ER\",1)":[[46239]],"FIS^CS_EVENT_TIME_N(\"ER\",1)":[["Unspecified"]],"FIS^CS_EVENT_DESC_N(\"ER\",1)":[["Q2 2026 Earnings Release (Projected)"]],"NCLH^CS_EVENT_DATEJ_N(\"ER\",1)":[[46330]],"NCLH^CS_EVENT_TIME_N(\"ER\",1)":[["Unspecified"]],"NCLH^CS_EVENT_DESC_N(\"ER\",1)":[["Q3 2026 Earnings Release (Projected)"]],"CF^CS_EVENT_DATEJ_N(\"ER\",1)":[[46239]],"CF^CS_EVENT_TIME_N(\"ER\",1)":[["4:30 PM"]],"CF^CS_EVENT_DESC_N(\"ER\",1)":[["Q2 2026 Earnings Release"]],"MOS^CS_EVENT_DATEJ_N(\"ER\",1)":[[46237]],"MOS^CS_EVENT_TIME_N(\"ER\",1)":[["Unspecified"]],"MOS^CS_EVENT_DESC_N(\"ER\",1)":[["Q2 2026 Earnings Release (Projected)"]],"KHC^CS_EVENT_DATEJ_N(\"ER\",1)":[[46239]],"KHC^CS_EVENT_TIME_N(\"ER\",1)":[["Unspecified"]],"KHC^CS_EVENT_DESC_N(\"ER\",1)":[["Q2 2026 Earnings Release (Projected)"]],"UBER^CS_EVENT_DATEJ_N(\"ER\",1)":[[46238]],"UBER^CS_EVENT_TIME_N(\"ER\",1)":[["Unspecified"]],"UBER^CS_EVENT_DESC_N(\"ER\",1)":[["Q2 2026 Earnings Release (Projected)"]],"PSKY^CS_EVENT_DATEJ_N(\"ER\",1)":[[46233]],"PSKY^CS_EVENT_TIME_N(\"ER\",1)":[["Unspecified"]],"PSKY^CS_EVENT_DESC_N(\"ER\",1)":[["Q2 2026 Earnings Release (Projected)"]],"GEHC^CS_EVENT_DATEJ_N(\"ER\",1)":[[46239]],"GEHC^CS_EVENT_TIME_N(\"ER\",1)":[["Unspecified"]],"GEHC^CS_EVENT_DESC_N(\"ER\",1)":[["Q2 2026 Earnings Release (Projected)"]],"GEN^CS_EVENT_DATEJ_N(\"ER\",1)":[[46233]],"GEN^CS_EVENT_TIME_N(\"ER\",1)":[["Unspecified"]],"GEN^CS_EVENT_DESC_N(\"ER\",1)":[["Q1 2027 Earnings Release (Projected)"]],"TPR^CS_EVENT_DATEJ_N(\"ER\",1)":[[46247]],"TPR^CS_EVENT_TIME_N(\"ER\",1)":[["Unspecified"]],"TPR^CS_EVENT_DESC_N(\"ER\",1)":[["Q4 2026 Earnings Release (Projected)"]],"MCK^CS_EVENT_DATEJ_N(\"ER\",1)":[[46239]],"MCK^CS_EVENT_TIME_N(\"ER\",1)":[["Unspecified"]],"MCK^CS_EVENT_DESC_N(\"ER\",1)":[["Q1 2027 Earnings Release (Projected)"]],"AKAM^CS_EVENT_DATEJ_N(\"ER\",1)":[[46245]],"AKAM^CS_EVENT_TIME_N(\"ER\",1)":[["Unspecified"]],"AKAM^CS_EVENT_DESC_N(\"ER\",1)":[["Q2 2026 Earnings Release (Projected)"]],"GWW^CS_EVENT_DATEJ_N(\"ER\",1)":[[46238]],"GWW^CS_EVENT_TIME_N(\"ER\",1)":[["8:00 AM"]],"GWW^CS_EVENT_DESC_N(\"ER\",1)":[["Q2 2026 Earnings Release"]],"CRL^CS_EVENT_DATEJ_N(\"ER\",1)":[[46246]],"CRL^CS_EVENT_TIME_N(\"ER\",1)":[["Unspecified"]],"CRL^CS_EVENT_DESC_N(\"ER\",1)":[["Q2 2026 Earnings Release (Projected)"]],"SATS^CS_EVENT_DATEJ_N(\"ER\",1)":[[46233]],"SATS^CS_EVENT_TIME_N(\"ER\",1)":[["Unspecified"]],"SATS^CS_EVENT_DESC_N(\"ER\",1)":[["Q2 2026 Earnings Release (Projected)"]],"CEG^CS_EVENT_DATEJ_N(\"ER\",1)":[[46233]],"CEG^CS_EVENT_TIME_N(\"ER\",1)":[["Unspecified"]],"CEG^CS_EVENT_DESC_N(\"ER\",1)":[["Q2 2026 Earnings Release (Projected)"]],"NWS^CS_EVENT_DATEJ_N(\"ER\",1)":[[46240]],"NWS^CS_EVENT_TIME_N(\"ER\",1)":[["Unspecified"]],"NWS^CS_EVENT_DESC_N(\"ER\",1)":[["Q4 2026 Earnings Release (Projected)"]],"NWSA^CS_EVENT_DATEJ_N(\"ER\",1)":[[46240]],"NWSA^CS_EVENT_TIME_N(\"ER\",1)":[["Unspecified"]],"NWSA^CS_EVENT_DESC_N(\"ER\",1)":[["Q4 2026 Earnings Release (Projected)"]],"COIN^CS_EVENT_DATEJ_N(\"ER\",1)":[[46233]],"COIN^CS_EVENT_TIME_N(\"ER\",1)":[["Unspecified"]],"COIN^CS_EVENT_DESC_N(\"ER\",1)":[["Q2 2026 Earnings Release (Projected)"]],"TKO^CS_EVENT_DATEJ_N(\"ER\",1)":[[46240]],"TKO^CS_EVENT_TIME_N(\"ER\",1)":[["Unspecified"]],"TKO^CS_EVENT_DESC_N(\"ER\",1)":[["Q2 2026 Earnings Release (Projected)"]],"WBD^CS_EVENT_DATEJ_N(\"ER\",1)":[[46233]],"WBD^CS_EVENT_TIME_N(\"ER\",1)":[["Unspecified"]],"WBD^CS_EVENT_DESC_N(\"ER\",1)":[["Q2 2026 Earnings Release (Projected)"]],"SOLV^CS_EVENT_DATEJ_N(\"ER\",1)":[[46240]],"SOLV^CS_EVENT_TIME_N(\"ER\",1)":[["Unspecified"]],"SOLV^CS_EVENT_DESC_N(\"ER\",1)":[["Q2 2026 Earnings Release (Projected)"]],"TSN^CS_EVENT_DATEJ_N(\"ER\",1)":[[46244]],"TSN^CS_EVENT_TIME_N(\"ER\",1)":[["Unspecified"]],"TSN^CS_EVENT_DESC_N(\"ER\",1)":[["Q3 2026 Earnings Release (Projected)"]],"MCHP^CS_EVENT_DATEJ_N(\"ER\",1)":[[46238]],"MCHP^CS_EVENT_TIME_N(\"ER\",1)":[["Unspecified"]],"MCHP^CS_EVENT_DESC_N(\"ER\",1)":[["Q1 2027 Earnings Release (Projected)"]],"SPG^CS_EVENT_DATEJ_N(\"ER\",1)":[[46237]],"SPG^CS_EVENT_TIME_N(\"ER\",1)":[["Unspecified"]],"SPG^CS_EVENT_DESC_N(\"ER\",1)":[["Q2 2026 Earnings Release (Projected)"]],"IFF^CS_EVENT_DATEJ_N(\"ER\",1)":[[46244]],"IFF^CS_EVENT_TIME_N(\"ER\",1)":[["Unspecified"]],"IFF^CS_EVENT_DESC_N(\"ER\",1)":[["Q2 2026 Earnings Release (Projected)"]],"VTRS^CS_EVENT_DATEJ_N(\"ER\",1)":[[46244]],"VTRS^CS_EVENT_TIME_N(\"ER\",1)":[["Unspecified"]],"VTRS^CS_EVENT_DESC_N(\"ER\",1)":[["Q2 2026 Earnings Release (Projected)"]],"PLTR^CS_EVENT_DATEJ_N(\"ER\",1)":[[46244]],"PLTR^CS_EVENT_TIME_N(\"ER\",1)":[["Unspecified"]],"PLTR^CS_EVENT_DESC_N(\"ER\",1)":[["Q2 2026 Earnings Release (Projected)"]],"HSIC^CS_EVENT_DATEJ_N(\"ER\",1)":[[46245]],"HSIC^CS_EVENT_TIME_N(\"ER\",1)":[["Unspecified"]],"HSIC^CS_EVENT_DESC_N(\"ER\",1)":[["Q2 2026 Earnings Release (Projected)"]],"JKHY^CS_EVENT_DATEJ_N(\"ER\",1)":[[46259]],"JKHY^CS_EVENT_TIME_N(\"ER\",1)":[["Unspecified"]],"JKHY^CS_EVENT_DESC_N(\"ER\",1)":[["Q4 2026 Earnings Release (Projected)"]],"AXON^CS_EVENT_DATEJ_N(\"ER\",1)":[[46245]],"AXON^CS_EVENT_TIME_N(\"ER\",1)":[["Unspecified"]],"AXON^CS_EVENT_DESC_N(\"ER\",1)":[["Q2 2026 Earnings Release (Projected)"]],"WAT^CS_EVENT_DATEJ_N(\"ER\",1)":[[46238]],"WAT^CS_EVENT_TIME_N(\"ER\",1)":[["Unspecified"]],"WAT^CS_EVENT_DESC_N(\"ER\",1)":[["Q2 2026 Earnings Release (Projected)"]],"ZBRA^CS_EVENT_DATEJ_N(\"ER\",1)":[[46238]],"ZBRA^CS_EVENT_TIME_N(\"ER\",1)":[["6:30 AM"]],"ZBRA^CS_EVENT_DESC_N(\"ER\",1)":[["Q2 2026 Earnings Release"]],"EXPD^CS_EVENT_DATEJ_N(\"ER\",1)":[[46238]],"EXPD^CS_EVENT_TIME_N(\"ER\",1)":[["Unspecified"]],"EXPD^CS_EVENT_DESC_N(\"ER\",1)":[["Q2 2026 Earnings Release"]],"OXY^CS_EVENT_DATEJ_N(\"ER\",1)":[[46238]],"OXY^CS_EVENT_TIME_N(\"ER\",1)":[["Unspecified"]],"OXY^CS_EVENT_DESC_N(\"ER\",1)":[["Q2 2026 Earnings Release (Projected)"]],"WYNN^CS_EVENT_DATEJ_N(\"ER\",1)":[[46245]],"WYNN^CS_EVENT_TIME_N(\"ER\",1)":[["Unspecified"]],"WYNN^CS_EVENT_DESC_N(\"ER\",1)":[["Q2 2026 Earnings Release (Projected)"]],"J^CS_EVENT_DATEJ_N(\"ER\",1)":[[46245]],"J^CS_EVENT_TIME_N(\"ER\",1)":[["Unspecified"]],"J^CS_EVENT_DESC_N(\"ER\",1)":[["Q3 2026 Earnings Release (Projected)"]],"TDG^CS_EVENT_DATEJ_N(\"ER\",1)":[[46245]],"TDG^CS_EVENT_TIME_N(\"ER\",1)":[["Unspecified"]],"TDG^CS_EVENT_DESC_N(\"ER\",1)":[["Q3 2026 Earnings Release (Projected)"]],"DUK^CS_EVENT_DATEJ_N(\"ER\",1)":[[46245]],"DUK^CS_EVENT_TIME_N(\"ER\",1)":[["Unspecified"]],"DUK^CS_EVENT_DESC_N(\"ER\",1)":[["Q2 2026 Earnings Release (Projected)"]],"LITE^CS_EVENT_DATEJ_N(\"ER\",1)":[[46252]],"LITE^CS_EVENT_TIME_N(\"ER\",1)":[["Unspecified"]],"LITE^CS_EVENT_DESC_N(\"ER\",1)":[["Q4 2026 Earnings Release (Projected)"]],"FOX^CS_EVENT_DATEJ_N(\"ER\",1)":[[46245]],"FOX^CS_EVENT_TIME_N(\"ER\",1)":[["Unspecified"]],"FOX^CS_EVENT_DESC_N(\"ER\",1)":[["Q4 2026 Earnings Release (Projected)"]],"FOXA^CS_EVENT_DATEJ_N(\"ER\",1)":[[46245]],"FOXA^CS_EVENT_TIME_N(\"ER\",1)":[["Unspecified"]],"FOXA^CS_EVENT_DESC_N(\"ER\",1)":[["Q4 2026 Earnings Release (Projected)"]],"COHR^CS_EVENT_DATEJ_N(\"ER\",1)":[[46247]],"COHR^CS_EVENT_TIME_N(\"ER\",1)":[["Unspecified"]],"COHR^CS_EVENT_DESC_N(\"ER\",1)":[["Q4 2026 Earnings Release (Projected)"]],"ATO^CS_EVENT_DATEJ_N(\"ER\",1)":[[46246]],"ATO^CS_EVENT_TIME_N(\"ER\",1)":[["Unspecified"]],"ATO^CS_EVENT_DESC_N(\"ER\",1)":[["Q3 2026 Earnings Release (Projected)"]],"NI^CS_EVENT_DATEJ_N(\"ER\",1)":[[46239]],"NI^CS_EVENT_TIME_N(\"ER\",1)":[["Unspecified"]],"NI^CS_EVENT_DESC_N(\"ER\",1)":[["Q2 2026 Earnings Release (Projected)"]],"DIS^CS_EVENT_DATEJ_N(\"ER\",1)":[[46246]],"DIS^CS_EVENT_TIME_N(\"ER\",1)":[["Unspecified"]],"DIS^CS_EVENT_DESC_N(\"ER\",1)":[["Q3 2026 Earnings Release (Projected)"]],"TTD^CS_EVENT_DATEJ_N(\"ER\",1)":[[46240]],"TTD^CS_EVENT_TIME_N(\"ER\",1)":[["Unspecified"]],"TTD^CS_EVENT_DESC_N(\"ER\",1)":[["Q2 2026 Earnings Release (Projected)"]],"VST^CS_EVENT_DATEJ_N(\"ER\",1)":[[46240]],"VST^CS_EVENT_TIME_N(\"ER\",1)":[["Unspecified"]],"VST^CS_EVENT_DESC_N(\"ER\",1)":[["Q2 2026 Earnings Release (Projected)"]],"CRH^CS_EVENT_DATEJ_N(\"ER\",1)":[[46254]],"CRH^CS_EVENT_TIME_N(\"ER\",1)":[["Unspecified"]],"CRH^CS_EVENT_DESC_N(\"ER\",1)":[["Q2 2026 Earnings Release (Projected)"]],"ABNB^CS_EVENT_DATEJ_N(\"ER\",1)":[[46246]],"ABNB^CS_EVENT_TIME_N(\"ER\",1)":[["Unspecified"]],"ABNB^CS_EVENT_DESC_N(\"ER\",1)":[["Q2 2026 Earnings Release (Projected)"]],"APP^CS_EVENT_DATEJ_N(\"ER\",1)":[[46246]],"APP^CS_EVENT_TIME_N(\"ER\",1)":[["Unspecified"]],"APP^CS_EVENT_DESC_N(\"ER\",1)":[["Q2 2026 Earnings Release (Projected)"]],"HOOD^CS_EVENT_DATEJ_N(\"ER\",1)":[[46239]],"HOOD^CS_EVENT_TIME_N(\"ER\",1)":[["Unspecified"]],"HOOD^CS_EVENT_DESC_N(\"ER\",1)":[["Q2 2026 Earnings Release (Projected)"]],"KVUE^CS_EVENT_DATEJ_N(\"ER\",1)":[[46246]],"KVUE^CS_EVENT_TIME_N(\"ER\",1)":[["Unspecified"]],"KVUE^CS_EVENT_DESC_N(\"ER\",1)":[["Q2 2026 Earnings Release (Projected)"]],"TTWO^CS_EVENT_DATEJ_N(\"ER\",1)":[[46240]],"TTWO^CS_EVENT_TIME_N(\"ER\",1)":[["Unspecified"]],"TTWO^CS_EVENT_DESC_N(\"ER\",1)":[["Q1 2027 Earnings Release (Projected)"]],"ROST^CS_EVENT_DATEJ_N(\"ER\",1)":[[46247]],"ROST^CS_EVENT_TIME_N(\"ER\",1)":[["Unspecified"]],"ROST^CS_EVENT_DESC_N(\"ER\",1)":[["Q2 2026 Earnings Release (Projected)"]],"WMT^CS_EVENT_DATEJ_N(\"ER\",1)":[[46254]],"WMT^CS_EVENT_TIME_N(\"ER\",1)":[["8:00 AM"]],"WMT^CS_EVENT_DESC_N(\"ER\",1)":[["Q2 2027 Earnings Release"]],"AMAT^CS_EVENT_DATEJ_N(\"ER\",1)":[[46247]],"AMAT^CS_EVENT_TIME_N(\"ER\",1)":[["4:01 PM"]],"AMAT^CS_EVENT_DESC_N(\"ER\",1)":[["Q3 2026 Earnings Release"]],"HD^CS_EVENT_DATEJ_N(\"ER\",1)":[[46252]],"HD^CS_EVENT_TIME_N(\"ER\",1)":[["6:00 AM"]],"HD^CS_EVENT_DESC_N(\"ER\",1)":[["Q2 2026 Earnings Release"]],"KEYS^CS_EVENT_DATEJ_N(\"ER\",1)":[[46253]],"KEYS^CS_EVENT_TIME_N(\"ER\",1)":[["Unspecified"]],"KEYS^CS_EVENT_DESC_N(\"ER\",1)":[["Q3 2026 Earnings Release (Projected)"]],"TJX^CS_EVENT_DATEJ_N(\"ER\",1)":[[46253]],"TJX^CS_EVENT_TIME_N(\"ER\",1)":[["Unspecified"]],"TJX^CS_EVENT_DESC_N(\"ER\",1)":[["Q2 2027 Earnings Release"]],"NVDA^CS_EVENT_DATEJ_N(\"ER\",1)":[[46260]],"NVDA^CS_EVENT_TIME_N(\"ER\",1)":[["Unspecified"]],"NVDA^CS_EVENT_DESC_N(\"ER\",1)":[["Q2 2027 Earnings Release (Projected)"]],"TGT^CS_EVENT_DATEJ_N(\"ER\",1)":[[46253]],"TGT^CS_EVENT_TIME_N(\"ER\",1)":[["Unspecified"]],"TGT^CS_EVENT_DESC_N(\"ER\",1)":[["Q2 2026 Earnings Release (Projected)"]],"MDT^CS_EVENT_DATEJ_N(\"ER\",1)":[[46176]],"MDT^CS_EVENT_TIME_N(\"ER\",1)":[["6:45 AM"]],"MDT^CS_EVENT_DESC_N(\"ER\",1)":[["Q4 2026 Earnings Release"]],"SNPS^CS_EVENT_DATEJ_N(\"ER\",1)":[[46358]],"SNPS^CS_EVENT_TIME_N(\"ER\",1)":[["Unspecified"]],"SNPS^CS_EVENT_DESC_N(\"ER\",1)":[["Q4 2026 Earnings Release (Projected)"]],"CSCO^CS_EVENT_DATEJ_N(\"ER\",1)":[[46253]],"CSCO^CS_EVENT_TIME_N(\"ER\",1)":[["Unspecified"]],"CSCO^CS_EVENT_DESC_N(\"ER\",1)":[["Q4 2026 Earnings Release (Projected)"]],"CPRT^CS_EVENT_DATEJ_N(\"ER\",1)":[[46274]],"CPRT^CS_EVENT_TIME_N(\"ER\",1)":[["Unspecified"]],"CPRT^CS_EVENT_DESC_N(\"ER\",1)":[["Q4 2026 Earnings Release (Projected)"]],"STE^CS_EVENT_DATEJ_N(\"ER\",1)":[[46244]],"STE^CS_EVENT_TIME_N(\"ER\",1)":[["Unspecified"]],"STE^CS_EVENT_DESC_N(\"ER\",1)":[["Q1 2027 Earnings Release (Projected)"]],"ADSK^CS_EVENT_DATEJ_N(\"ER\",1)":[[46170]],"ADSK^CS_EVENT_TIME_N(\"ER\",1)":[["4:01 PM"]],"ADSK^CS_EVENT_DESC_N(\"ER\",1)":[["Q1 2027 Earnings Release"]],"DLTR^CS_EVENT_DATEJ_N(\"ER\",1)":[[46170]],"DLTR^CS_EVENT_TIME_N(\"ER\",1)":[["6:30 AM"]],"DLTR^CS_EVENT_DESC_N(\"ER\",1)":[["Q1 2026 Earnings Release"]],"DECK^CS_EVENT_DATEJ_N(\"ER\",1)":[[46226]],"DECK^CS_EVENT_TIME_N(\"ER\",1)":[["Unspecified"]],"DECK^CS_EVENT_DESC_N(\"ER\",1)":[["Q1 2027 Earnings Release (Projected)"]],"DE^CS_EVENT_DATEJ_N(\"ER\",1)":[[46254]],"DE^CS_EVENT_TIME_N(\"ER\",1)":[["Unspecified"]],"DE^CS_EVENT_DESC_N(\"ER\",1)":[["Q3 2026 Earnings Release"]],"RL^CS_EVENT_DATEJ_N(\"ER\",1)":[[46240]],"RL^CS_EVENT_TIME_N(\"ER\",1)":[["Unspecified"]],"RL^CS_EVENT_DESC_N(\"ER\",1)":[["Q1 2027 Earnings Release (Projected)"]],"INTU^CS_EVENT_DATEJ_N(\"ER\",1)":[[46254]],"INTU^CS_EVENT_TIME_N(\"ER\",1)":[["Unspecified"]],"INTU^CS_EVENT_DESC_N(\"ER\",1)":[["Q4 2026 Earnings Release (Projected)"]],"ULTA^CS_EVENT_DATEJ_N(\"ER\",1)":[[46175]],"ULTA^CS_EVENT_TIME_N(\"ER\",1)":[["After Market"]],"ULTA^CS_EVENT_DESC_N(\"ER\",1)":[["Q1 2026 Earnings Release"]],"DG^CS_EVENT_DATEJ_N(\"ER\",1)":[[46175]],"DG^CS_EVENT_TIME_N(\"ER\",1)":[["6:50 AM"]],"DG^CS_EVENT_DESC_N(\"ER\",1)":[["Q1 2026 Earnings Release"]],"WDAY^CS_EVENT_DATEJ_N(\"ER\",1)":[[46254]],"WDAY^CS_EVENT_TIME_N(\"ER\",1)":[["Unspecified"]],"WDAY^CS_EVENT_DESC_N(\"ER\",1)":[["Q2 2027 Earnings Release (Projected)"]],"NDSN^CS_EVENT_DATEJ_N(\"ER\",1)":[[46258]],"NDSN^CS_EVENT_TIME_N(\"ER\",1)":[["Unspecified"]],"NDSN^CS_EVENT_DESC_N(\"ER\",1)":[["Q3 2026 Earnings Release (Projected)"]],"AZO^CS_EVENT_DATEJ_N(\"ER\",1)":[[46294]],"AZO^CS_EVENT_TIME_N(\"ER\",1)":[["Unspecified"]],"AZO^CS_EVENT_DESC_N(\"ER\",1)":[["Q4 2026 Earnings Release (Projected)"]],"A^CS_EVENT_DATEJ_N(\"ER\",1)":[[46252]],"A^CS_EVENT_TIME_N(\"ER\",1)":[["Unspecified"]],"A^CS_EVENT_DESC_N(\"ER\",1)":[["Q3 2026 Earnings Release (Projected)"]],"PANW^CS_EVENT_DATEJ_N(\"ER\",1)":[[46175]],"PANW^CS_EVENT_TIME_N(\"ER\",1)":[["After Market"]],"PANW^CS_EVENT_DESC_N(\"ER\",1)":[["Q3 2026 Earnings Release"]],"ADI^CS_EVENT_DATEJ_N(\"ER\",1)":[[46260]],"ADI^CS_EVENT_TIME_N(\"ER\",1)":[["Unspecified"]],"ADI^CS_EVENT_DESC_N(\"ER\",1)":[["Q3 2026 Earnings Release (Projected)"]],"WSM^CS_EVENT_DATEJ_N(\"ER\",1)":[[46260]],"WSM^CS_EVENT_TIME_N(\"ER\",1)":[["Unspecified"]],"WSM^CS_EVENT_DESC_N(\"ER\",1)":[["Q2 2026 Earnings Release (Projected)"]],"BBY^CS_EVENT_DATEJ_N(\"ER\",1)":[[46266]],"BBY^CS_EVENT_TIME_N(\"ER\",1)":[["Unspecified"]],"BBY^CS_EVENT_DESC_N(\"ER\",1)":[["Q2 2027 Earnings Release (Projected)"]],"LOW^CS_EVENT_DATEJ_N(\"ER\",1)":[[46253]],"LOW^CS_EVENT_TIME_N(\"ER\",1)":[["6:00 AM"]],"LOW^CS_EVENT_DESC_N(\"ER\",1)":[["Q2 2026 Earnings Release"]],"COST^CS_EVENT_DATEJ_N(\"ER\",1)":[[46170]],"COST^CS_EVENT_TIME_N(\"ER\",1)":[["4:15 PM"]],"COST^CS_EVENT_DESC_N(\"ER\",1)":[["Q3 2026 Earnings Release"]],"HRL^CS_EVENT_DATEJ_N(\"ER\",1)":[[46170]],"HRL^CS_EVENT_TIME_N(\"ER\",1)":[["6:30 AM"]],"HRL^CS_EVENT_DESC_N(\"ER\",1)":[["Q2 2026 Earnings Release"]],"LULU^CS_EVENT_DATEJ_N(\"ER\",1)":[[46177]],"LULU^CS_EVENT_TIME_N(\"ER\",1)":[["4:05 PM"]],"LULU^CS_EVENT_DESC_N(\"ER\",1)":[["Q1 2026 Earnings Release"]],"NTAP^CS_EVENT_DATEJ_N(\"ER\",1)":[[46170]],"NTAP^CS_EVENT_TIME_N(\"ER\",1)":[["4:01 PM"]],"NTAP^CS_EVENT_DESC_N(\"ER\",1)":[["Q4 2026 Earnings Release"]],"DELL^CS_EVENT_DATEJ_N(\"ER\",1)":[[46170]],"DELL^CS_EVENT_TIME_N(\"ER\",1)":[["After Market"]],"DELL^CS_EVENT_DESC_N(\"ER\",1)":[["Q1 2027 Earnings Release"]],"CRWD^CS_EVENT_DATEJ_N(\"ER\",1)":[[46176]],"CRWD^CS_EVENT_TIME_N(\"ER\",1)":[["After Market"]],"CRWD^CS_EVENT_DESC_N(\"ER\",1)":[["Q1 2027 Earnings Release"]],"COO^CS_EVENT_DATEJ_N(\"ER\",1)":[[46177]],"COO^CS_EVENT_TIME_N(\"ER\",1)":[["4:15 PM"]],"COO^CS_EVENT_DESC_N(\"ER\",1)":[["Q2 2026 Earnings Release"]],"HPE^CS_EVENT_DATEJ_N(\"ER\",1)":[[46174]],"HPE^CS_EVENT_TIME_N(\"ER\",1)":[["4:05 PM"]],"HPE^CS_EVENT_DESC_N(\"ER\",1)":[["Q2 2026 Earnings Release"]],"CRM^CS_EVENT_DATEJ_N(\"ER\",1)":[[46260]],"CRM^CS_EVENT_TIME_N(\"ER\",1)":[["Unspecified"]],"CRM^CS_EVENT_DESC_N(\"ER\",1)":[["Q2 2027 Earnings Release (Projected)"]],"HPQ^CS_EVENT_DATEJ_N(\"ER\",1)":[[46266]],"HPQ^CS_EVENT_TIME_N(\"ER\",1)":[["Unspecified"]],"HPQ^CS_EVENT_DESC_N(\"ER\",1)":[["Q3 2026 Earnings Release (Projected)"]],"SJM^CS_EVENT_DATEJ_N(\"ER\",1)":[[46182]],"SJM^CS_EVENT_TIME_N(\"ER\",1)":[["7:00 AM"]],"SJM^CS_EVENT_DESC_N(\"ER\",1)":[["Q4 2026 Earnings Release"]],"CIEN^CS_EVENT_DATEJ_N(\"ER\",1)":[[46177]],"CIEN^CS_EVENT_TIME_N(\"ER\",1)":[["7:00 AM"]],"CIEN^CS_EVENT_DESC_N(\"ER\",1)":[["Q2 2026 Earnings Release"]],"AVGO^CS_EVENT_DATEJ_N(\"ER\",1)":[[46176]],"AVGO^CS_EVENT_TIME_N(\"ER\",1)":[["4:15 PM"]],"AVGO^CS_EVENT_DESC_N(\"ER\",1)":[["Q2 2026 Earnings Release"]],"CPB^CS_EVENT_DATEJ_N(\"ER\",1)":[[46181]],"CPB^CS_EVENT_TIME_N(\"ER\",1)":[["7:15 AM"]],"CPB^CS_EVENT_DESC_N(\"ER\",1)":[["Q3 2026 Earnings Release"]],"BF.B^CS_EVENT_DATEJ_N(\"ER\",1)":[[46177]],"BF.B^CS_EVENT_TIME_N(\"ER\",1)":[["8:00 AM"]],"BF.B^CS_EVENT_DESC_N(\"ER\",1)":[["Q4 2026 Earnings Release"]],"ADBE^CS_EVENT_DATEJ_N(\"ER\",1)":[[46184]],"ADBE^CS_EVENT_TIME_N(\"ER\",1)":[["Unspecified"]],"ADBE^CS_EVENT_DESC_N(\"ER\",1)":[["Q2 2026 Earnings Release (Projected)"]],"KR^CS_EVENT_DATEJ_N(\"ER\",1)":[[46191]],"KR^CS_EVENT_TIME_N(\"ER\",1)":[["Before Market"]],"KR^CS_EVENT_DESC_N(\"ER\",1)":[["Q1 2026 Earnings Release"]],"ORCL^CS_EVENT_DATEJ_N(\"ER\",1)":[[46189]],"ORCL^CS_EVENT_TIME_N(\"ER\",1)":[["Unspecified"]],"ORCL^CS_EVENT_DESC_N(\"ER\",1)":[["Q4 2026 Earnings Release (Projected)"]],"ACN^CS_EVENT_DATEJ_N(\"ER\",1)":[[46191]],"ACN^CS_EVENT_TIME_N(\"ER\",1)":[["Before Market"]],"ACN^CS_EVENT_DESC_N(\"ER\",1)":[["Q3 2026 Earnings Release"]],"JBL^CS_EVENT_DATEJ_N(\"ER\",1)":[[46191]],"JBL^CS_EVENT_TIME_N(\"ER\",1)":[["Unspecified"]],"JBL^CS_EVENT_DESC_N(\"ER\",1)":[["Q3 2026 Earnings Release (Projected)"]],"DRI^CS_EVENT_DATEJ_N(\"ER\",1)":[[46191]],"DRI^CS_EVENT_TIME_N(\"ER\",1)":[["Unspecified"]],"DRI^CS_EVENT_DESC_N(\"ER\",1)":[["Q4 2026 Earnings Release (Projected)"]],"FDS^CS_EVENT_DATEJ_N(\"ER\",1)":[[46192]],"FDS^CS_EVENT_TIME_N(\"ER\",1)":[["Unspecified"]],"FDS^CS_EVENT_DESC_N(\"ER\",1)":[["Q3 2026 Earnings Release (Projected)"]],"LEN^CS_EVENT_DATEJ_N(\"ER\",1)":[[46195]],"LEN^CS_EVENT_TIME_N(\"ER\",1)":[["Unspecified"]],"LEN^CS_EVENT_DESC_N(\"ER\",1)":[["Q2 2026 Earnings Release (Projected)"]],"FDX^CS_EVENT_DATEJ_N(\"ER\",1)":[[46196]],"FDX^CS_EVENT_TIME_N(\"ER\",1)":[["Unspecified"]],"FDX^CS_EVENT_DESC_N(\"ER\",1)":[["Q4 2026 Earnings Release"]],"MKC^CS_EVENT_DATEJ_N(\"ER\",1)":[[46198]],"MKC^CS_EVENT_TIME_N(\"ER\",1)":[["Unspecified"]],"MKC^CS_EVENT_DESC_N(\"ER\",1)":[["Q2 2026 Earnings Release (Projected)"]],"NKE^CS_EVENT_DATEJ_N(\"ER\",1)":[[46198]],"NKE^CS_EVENT_TIME_N(\"ER\",1)":[["Unspecified"]],"NKE^CS_EVENT_DESC_N(\"ER\",1)":[["Q4 2026 Earnings Release (Projected)"]],"CCL^CS_EVENT_DATEJ_N(\"ER\",1)":[[46203]],"CCL^CS_EVENT_TIME_N(\"ER\",1)":[["Unspecified"]],"CCL^CS_EVENT_DESC_N(\"ER\",1)":[["Q2 2026 Earnings Release (Projected)"]],"GIS^CS_EVENT_DATEJ_N(\"ER\",1)":[[46204]],"GIS^CS_EVENT_TIME_N(\"ER\",1)":[["Unspecified"]],"GIS^CS_EVENT_DESC_N(\"ER\",1)":[["Q4 2026 Earnings Release (Projected)"]],"MU^CS_EVENT_DATEJ_N(\"ER\",1)":[[46204]],"MU^CS_EVENT_TIME_N(\"ER\",1)":[["Unspecified"]],"MU^CS_EVENT_DESC_N(\"ER\",1)":[["Q3 2026 Earnings Release (Projected)"]],"PAYX^CS_EVENT_DATEJ_N(\"ER\",1)":[[46204]],"PAYX^CS_EVENT_TIME_N(\"ER\",1)":[["Unspecified"]],"PAYX^CS_EVENT_DESC_N(\"ER\",1)":[["Q4 2026 Earnings Release (Projected)"]],"CTAS^CS_EVENT_DATEJ_N(\"ER\",1)":[[46212]],"CTAS^CS_EVENT_TIME_N(\"ER\",1)":[["Unspecified"]],"CTAS^CS_EVENT_DESC_N(\"ER\",1)":[["Q4 2026 Earnings Release (Projected)"]],"AON^CS_EVENT_DATEJ_N(\"ER\",1)":[[46227]],"AON^CS_EVENT_TIME_N(\"ER\",1)":[["Unspecified"]],"AON^CS_EVENT_DESC_N(\"ER\",1)":[["Q2 2026 Earnings Release (Projected)"]],"IQV^CS_EVENT_DATEJ_N(\"ER\",1)":[[46231]],"IQV^CS_EVENT_TIME_N(\"ER\",1)":[["Unspecified"]],"IQV^CS_EVENT_DESC_N(\"ER\",1)":[["Q2 2026 Earnings Release (Projected)"]],"IT^CS_EVENT_DATEJ_N(\"ER\",1)":[[46238]],"IT^CS_EVENT_TIME_N(\"ER\",1)":[["Unspecified"]],"IT^CS_EVENT_DESC_N(\"ER\",1)":[["Q2 2026 Earnings Release (Projected)"]],"T^CS_EVENT_DATEJ_N(\"ER\",1)":[[46232]],"T^CS_EVENT_TIME_N(\"ER\",1)":[["Unspecified"]],"T^CS_EVENT_DESC_N(\"ER\",1)":[["Q2 2026 Earnings Release (Projected)"]],"PM^CS_EVENT_DATEJ_N(\"ER\",1)":[[46225]],"PM^CS_EVENT_TIME_N(\"ER\",1)":[["Before Market"]],"PM^CS_EVENT_DESC_N(\"ER\",1)":[["Q2 2026 Earnings Release"]],"GEV^CS_EVENT_DATEJ_N(\"ER\",1)":[[46225]],"GEV^CS_EVENT_TIME_N(\"ER\",1)":[["Before Market"]],"GEV^CS_EVENT_DESC_N(\"ER\",1)":[["Q2 2026 Earnings Release"]],"PHM^CS_EVENT_DATEJ_N(\"ER\",1)":[[46225]],"PHM^CS_EVENT_TIME_N(\"ER\",1)":[["Before Market"]],"PHM^CS_EVENT_DESC_N(\"ER\",1)":[["Q2 2026 Earnings Release"]],"CPT^CS_EVENT_DATEJ_N(\"ER\",1)":[[46233]],"CPT^CS_EVENT_TIME_N(\"ER\",1)":[["Unspecified"]],"CPT^CS_EVENT_DESC_N(\"ER\",1)":[["Q2 2026 Earnings Release (Projected)"]],"WST^CS_EVENT_DATEJ_N(\"ER\",1)":[[46226]],"WST^CS_EVENT_TIME_N(\"ER\",1)":[["Unspecified"]],"WST^CS_EVENT_DESC_N(\"ER\",1)":[["Q2 2026 Earnings Release (Projected)"]],"RMD^CS_EVENT_DATEJ_N(\"ER\",1)":[[46233]],"RMD^CS_EVENT_TIME_N(\"ER\",1)":[["Unspecified"]],"RMD^CS_EVENT_DESC_N(\"ER\",1)":[["Q4 2026 Earnings Release (Projected)"]],"HON^CS_EVENT_DATEJ_N(\"ER\",1)":[[46226]],"HON^CS_EVENT_TIME_N(\"ER\",1)":[["Unspecified"]],"HON^CS_EVENT_DESC_N(\"ER\",1)":[["Q2 2026 Earnings Release (Projected)"]],"PCG^CS_EVENT_DATEJ_N(\"ER\",1)":[[46226]],"PCG^CS_EVENT_TIME_N(\"ER\",1)":[["Unspecified"]],"PCG^CS_EVENT_DESC_N(\"ER\",1)":[["Q2 2026 Earnings Release (Projected)"]],"AOS^CS_EVENT_DATEJ_N(\"ER\",1)":[[46226]],"AOS^CS_EVENT_TIME_N(\"ER\",1)":[["Unspecified"]],"AOS^CS_EVENT_DESC_N(\"ER\",1)":[["Q2 2026 Earnings Release (Projected)"]],"NEM^CS_EVENT_DATEJ_N(\"ER\",1)":[[46232]],"NEM^CS_EVENT_TIME_N(\"ER\",1)":[["Unspecified"]],"NEM^CS_EVENT_DESC_N(\"ER\",1)":[["Q2 2026 Earnings Release (Projected)"]],"KIM^CS_EVENT_DATEJ_N(\"ER\",1)":[[46226]],"KIM^CS_EVENT_TIME_N(\"ER\",1)":[["Unspecified"]],"KIM^CS_EVENT_DESC_N(\"ER\",1)":[["Q2 2026 Earnings Release (Projected)"]],"HSY^CS_EVENT_DATEJ_N(\"ER\",1)":[[46226]],"HSY^CS_EVENT_TIME_N(\"ER\",1)":[["Unspecified"]],"HSY^CS_EVENT_DESC_N(\"ER\",1)":[["Q2 2026 Earnings Release (Projected)"]],"VRSN^CS_EVENT_DATEJ_N(\"ER\",1)":[[46226]],"VRSN^CS_EVENT_TIME_N(\"ER\",1)":[["Unspecified"]],"VRSN^CS_EVENT_DESC_N(\"ER\",1)":[["Q2 2026 Earnings Release (Projected)"]],"CINF^CS_EVENT_DATEJ_N(\"ER\",1)":[[46232]],"CINF^CS_EVENT_TIME_N(\"ER\",1)":[["Unspecified"]],"CINF^CS_EVENT_DESC_N(\"ER\",1)":[["Q2 2026 Earnings Release (Projected)"]],"AJG^CS_EVENT_DATEJ_N(\"ER\",1)":[[46226]],"AJG^CS_EVENT_TIME_N(\"ER\",1)":[["Unspecified"]],"AJG^CS_EVENT_DESC_N(\"ER\",1)":[["Q2 2026 Earnings Release (Projected)"]],"WTW^CS_EVENT_DATEJ_N(\"ER\",1)":[[46226]],"WTW^CS_EVENT_TIME_N(\"ER\",1)":[["Unspecified"]],"WTW^CS_EVENT_DESC_N(\"ER\",1)":[["Q2 2026 Earnings Release (Projected)"]],"GILD^CS_EVENT_DATEJ_N(\"ER\",1)":[[46317]],"GILD^CS_EVENT_TIME_N(\"ER\",1)":[["Unspecified"]],"GILD^CS_EVENT_DESC_N(\"ER\",1)":[["Q3 2026 Earnings Release (Projected)"]],"ERIE^CS_EVENT_DATEJ_N(\"ER\",1)":[[46226]],"ERIE^CS_EVENT_TIME_N(\"ER\",1)":[["Unspecified"]],"ERIE^CS_EVENT_DESC_N(\"ER\",1)":[["Q2 2026 Earnings Release (Projected)"]],"DOV^CS_EVENT_DATEJ_N(\"ER\",1)":[[46226]],"DOV^CS_EVENT_TIME_N(\"ER\",1)":[["Unspecified"]],"DOV^CS_EVENT_DESC_N(\"ER\",1)":[["Q2 2026 Earnings Release (Projected)"]],"DTE^CS_EVENT_DATEJ_N(\"ER\",1)":[[46226]],"DTE^CS_EVENT_TIME_N(\"ER\",1)":[["Unspecified"]],"DTE^CS_EVENT_DESC_N(\"ER\",1)":[["Q2 2026 Earnings Release (Projected)"]],"HAS^CS_EVENT_DATEJ_N(\"ER\",1)":[[46232]],"HAS^CS_EVENT_TIME_N(\"ER\",1)":[["Unspecified"]],"HAS^CS_EVENT_DESC_N(\"ER\",1)":[["Q2 2026 Earnings Release (Projected)"]],"AMZN^CS_EVENT_DATEJ_N(\"ER\",1)":[[46233]],"AMZN^CS_EVENT_TIME_N(\"ER\",1)":[["Unspecified"]],"AMZN^CS_EVENT_DESC_N(\"ER\",1)":[["Q2 2026 Earnings Release (Projected)"]],"HIG^CS_EVENT_DATEJ_N(\"ER\",1)":[[46226]],"HIG^CS_EVENT_TIME_N(\"ER\",1)":[["Unspecified"]],"HIG^CS_EVENT_DESC_N(\"ER\",1)":[["Q2 2026 Earnings Release (Projected)"]],"HBAN^CS_EVENT_DATEJ_N(\"ER\",1)":[[46226]],"HBAN^CS_EVENT_TIME_N(\"ER\",1)":[["Before Market"]],"HBAN^CS_EVENT_DESC_N(\"ER\",1)":[["Q2 2026 Earnings Release"]],"EME^CS_EVENT_DATEJ_N(\"ER\",1)":[[46226]],"EME^CS_EVENT_TIME_N(\"ER\",1)":[["Unspecified"]],"EME^CS_EVENT_DESC_N(\"ER\",1)":[["Q2 2026 Earnings Release (Projected)"]],"KLAC^CS_EVENT_DATEJ_N(\"ER\",1)":[[46226]],"KLAC^CS_EVENT_TIME_N(\"ER\",1)":[["Unspecified"]],"KLAC^CS_EVENT_DESC_N(\"ER\",1)":[["Q4 2026 Earnings Release (Projected)"]],"TROW^CS_EVENT_DATEJ_N(\"ER\",1)":[[46226]],"TROW^CS_EVENT_TIME_N(\"ER\",1)":[["Unspecified"]],"TROW^CS_EVENT_DESC_N(\"ER\",1)":[["Q2 2026 Earnings Release (Projected)"]],"AXP^CS_EVENT_DATEJ_N(\"ER\",1)":[[46227]],"AXP^CS_EVENT_TIME_N(\"ER\",1)":[["7:00 AM"]],"AXP^CS_EVENT_DESC_N(\"ER\",1)":[["Q2 2026 Earnings Release"]],"CNP^CS_EVENT_DATEJ_N(\"ER\",1)":[[46238]],"CNP^CS_EVENT_TIME_N(\"ER\",1)":[["Unspecified"]],"CNP^CS_EVENT_DESC_N(\"ER\",1)":[["Q2 2026 Earnings Release (Projected)"]],"WDC^CS_EVENT_DATEJ_N(\"ER\",1)":[[46239]],"WDC^CS_EVENT_TIME_N(\"ER\",1)":[["Unspecified"]],"WDC^CS_EVENT_DESC_N(\"ER\",1)":[["Q4 2026 Earnings Release (Projected)"]],"PFG^CS_EVENT_DATEJ_N(\"ER\",1)":[[46226]],"PFG^CS_EVENT_TIME_N(\"ER\",1)":[["Unspecified"]],"PFG^CS_EVENT_DESC_N(\"ER\",1)":[["Q2 2026 Earnings Release (Projected)"]],"INTC^CS_EVENT_DATEJ_N(\"ER\",1)":[[46226]],"INTC^CS_EVENT_TIME_N(\"ER\",1)":[["Unspecified"]],"INTC^CS_EVENT_DESC_N(\"ER\",1)":[["Q2 2026 Earnings Release (Projected)"]],"FE^CS_EVENT_DATEJ_N(\"ER\",1)":[[46238]],"FE^CS_EVENT_TIME_N(\"ER\",1)":[["Unspecified"]],"FE^CS_EVENT_DESC_N(\"ER\",1)":[["Q2 2026 Earnings Release (Projected)"]],"CAT^CS_EVENT_DATEJ_N(\"ER\",1)":[[46238]],"CAT^CS_EVENT_TIME_N(\"ER\",1)":[["Unspecified"]],"CAT^CS_EVENT_DESC_N(\"ER\",1)":[["Q2 2026 Earnings Release (Projected)"]],"MCD^CS_EVENT_DATEJ_N(\"ER\",1)":[[46232]],"MCD^CS_EVENT_TIME_N(\"ER\",1)":[["Unspecified"]],"MCD^CS_EVENT_DESC_N(\"ER\",1)":[["Q2 2026 Earnings Release (Projected)"]],"UNP^CS_EVENT_DATEJ_N(\"ER\",1)":[[46226]],"UNP^CS_EVENT_TIME_N(\"ER\",1)":[["Unspecified"]],"UNP^CS_EVENT_DESC_N(\"ER\",1)":[["Q2 2026 Earnings Release (Projected)"]],"XEL^CS_EVENT_DATEJ_N(\"ER\",1)":[[46226]],"XEL^CS_EVENT_TIME_N(\"ER\",1)":[["Unspecified"]],"XEL^CS_EVENT_DESC_N(\"ER\",1)":[["Q2 2026 Earnings Release (Projected)"]],"CMS^CS_EVENT_DATEJ_N(\"ER\",1)":[[46226]],"CMS^CS_EVENT_TIME_N(\"ER\",1)":[["Unspecified"]],"CMS^CS_EVENT_DESC_N(\"ER\",1)":[["Q2 2026 Earnings Release (Projected)"]],"MA^CS_EVENT_DATEJ_N(\"ER\",1)":[[46226]],"MA^CS_EVENT_TIME_N(\"ER\",1)":[["Unspecified"]],"MA^CS_EVENT_DESC_N(\"ER\",1)":[["Q2 2026 Earnings Release (Projected)"]],"DXCM^CS_EVENT_DATEJ_N(\"ER\",1)":[[46226]],"DXCM^CS_EVENT_TIME_N(\"ER\",1)":[["Unspecified"]],"DXCM^CS_EVENT_DESC_N(\"ER\",1)":[["Q2 2026 Earnings Release (Projected)"]],"ALLE^CS_EVENT_DATEJ_N(\"ER\",1)":[[46226]],"ALLE^CS_EVENT_TIME_N(\"ER\",1)":[["Unspecified"]],"ALLE^CS_EVENT_DESC_N(\"ER\",1)":[["Q2 2026 Earnings Release (Projected)"]],"DLR^CS_EVENT_DATEJ_N(\"ER\",1)":[[46226]],"DLR^CS_EVENT_TIME_N(\"ER\",1)":[["Unspecified"]],"DLR^CS_EVENT_DESC_N(\"ER\",1)":[["Q2 2026 Earnings Release (Projected)"]],"KDP^CS_EVENT_DATEJ_N(\"ER\",1)":[[46226]],"KDP^CS_EVENT_TIME_N(\"ER\",1)":[["Unspecified"]],"KDP^CS_EVENT_DESC_N(\"ER\",1)":[["Q2 2026 Earnings Release (Projected)"]],"BKR^CS_EVENT_DATEJ_N(\"ER\",1)":[[46225]],"BKR^CS_EVENT_TIME_N(\"ER\",1)":[["Unspecified"]],"BKR^CS_EVENT_DESC_N(\"ER\",1)":[["Q2 2026 Earnings Release (Projected)"]],"CMCSA^CS_EVENT_DATEJ_N(\"ER\",1)":[[46226]],"CMCSA^CS_EVENT_TIME_N(\"ER\",1)":[["Unspecified"]],"CMCSA^CS_EVENT_DESC_N(\"ER\",1)":[["Q2 2026 Earnings Release (Projected)"]],"CBRE^CS_EVENT_DATEJ_N(\"ER\",1)":[[46226]],"CBRE^CS_EVENT_TIME_N(\"ER\",1)":[["Unspecified"]],"CBRE^CS_EVENT_DESC_N(\"ER\",1)":[["Q2 2026 Earnings Release (Projected)"]],"DOC^CS_EVENT_DATEJ_N(\"ER\",1)":[[46226]],"DOC^CS_EVENT_TIME_N(\"ER\",1)":[["Unspecified"]],"DOC^CS_EVENT_DESC_N(\"ER\",1)":[["Q2 2026 Earnings Release (Projected)"]],"AMP^CS_EVENT_DATEJ_N(\"ER\",1)":[[46232]],"AMP^CS_EVENT_TIME_N(\"ER\",1)":[["Unspecified"]],"AMP^CS_EVENT_DESC_N(\"ER\",1)":[["Q2 2026 Earnings Release (Projected)"]],"FSLR^CS_EVENT_DATEJ_N(\"ER\",1)":[[46226]],"FSLR^CS_EVENT_TIME_N(\"ER\",1)":[["Unspecified"]],"FSLR^CS_EVENT_DESC_N(\"ER\",1)":[["Q2 2026 Earnings Release (Projected)"]],"FTV^CS_EVENT_DATEJ_N(\"ER\",1)":[[46226]],"FTV^CS_EVENT_TIME_N(\"ER\",1)":[["Unspecified"]],"FTV^CS_EVENT_DESC_N(\"ER\",1)":[["Q2 2026 Earnings Release (Projected)"]],"DOW^CS_EVENT_DATEJ_N(\"ER\",1)":[[46226]],"DOW^CS_EVENT_TIME_N(\"ER\",1)":[["6:00 AM"]],"DOW^CS_EVENT_DESC_N(\"ER\",1)":[["Q2 2026 Earnings Release"]],"CARR^CS_EVENT_DATEJ_N(\"ER\",1)":[[46226]],"CARR^CS_EVENT_TIME_N(\"ER\",1)":[["Unspecified"]],"CARR^CS_EVENT_DESC_N(\"ER\",1)":[["Q2 2026 Earnings Release (Projected)"]],"CVX^CS_EVENT_DATEJ_N(\"ER\",1)":[[46227]],"CVX^CS_EVENT_TIME_N(\"ER\",1)":[["Unspecified"]],"CVX^CS_EVENT_DESC_N(\"ER\",1)":[["Q2 2026 Earnings Release (Projected)"]],"PG^CS_EVENT_DATEJ_N(\"ER\",1)":[[46238]],"PG^CS_EVENT_TIME_N(\"ER\",1)":[["Unspecified"]],"PG^CS_EVENT_DESC_N(\"ER\",1)":[["Q4 2026 Earnings Release (Projected)"]],"NSC^CS_EVENT_DATEJ_N(\"ER\",1)":[[46232]],"NSC^CS_EVENT_TIME_N(\"ER\",1)":[["Unspecified"]],"NSC^CS_EVENT_DESC_N(\"ER\",1)":[["Q2 2026 Earnings Release (Projected)"]],"XOM^CS_EVENT_DATEJ_N(\"ER\",1)":[[46227]],"XOM^CS_EVENT_TIME_N(\"ER\",1)":[["Unspecified"]],"XOM^CS_EVENT_DESC_N(\"ER\",1)":[["Q2 2026 Earnings Release (Projected)"]],"SLB^CS_EVENT_DATEJ_N(\"ER\",1)":[[46227]],"SLB^CS_EVENT_TIME_N(\"ER\",1)":[["7:00 AM"]],"SLB^CS_EVENT_DESC_N(\"ER\",1)":[["Q2 2026 Earnings Release"]],"HCA^CS_EVENT_DATEJ_N(\"ER\",1)":[[46226]],"HCA^CS_EVENT_TIME_N(\"ER\",1)":[["Unspecified"]],"HCA^CS_EVENT_DESC_N(\"ER\",1)":[["Q2 2026 Earnings Release (Projected)"]],"CHTR^CS_EVENT_DATEJ_N(\"ER\",1)":[[46227]],"CHTR^CS_EVENT_TIME_N(\"ER\",1)":[["Unspecified"]],"CHTR^CS_EVENT_DESC_N(\"ER\",1)":[["Q2 2026 Earnings Release (Projected)"]],"LYB^CS_EVENT_DATEJ_N(\"ER\",1)":[[46234]],"LYB^CS_EVENT_TIME_N(\"ER\",1)":[["Unspecified"]],"LYB^CS_EVENT_DESC_N(\"ER\",1)":[["Q2 2026 Earnings Release (Projected)"]],"ARES^CS_EVENT_DATEJ_N(\"ER\",1)":[[46234]],"ARES^CS_EVENT_TIME_N(\"ER\",1)":[["Unspecified"]],"ARES^CS_EVENT_DESC_N(\"ER\",1)":[["Q2 2026 Earnings Release (Projected)"]],"UHS^CS_EVENT_DATEJ_N(\"ER\",1)":[[46230]],"UHS^CS_EVENT_TIME_N(\"ER\",1)":[["Unspecified"]],"UHS^CS_EVENT_DESC_N(\"ER\",1)":[["Q2 2026 Earnings Release (Projected)"]],"ARE^CS_EVENT_DATEJ_N(\"ER\",1)":[[46230]],"ARE^CS_EVENT_TIME_N(\"ER\",1)":[["Unspecified"]],"ARE^CS_EVENT_DESC_N(\"ER\",1)":[["Q2 2026 Earnings Release (Projected)"]],"VZ^CS_EVENT_DATEJ_N(\"ER\",1)":[[46224]],"VZ^CS_EVENT_TIME_N(\"ER\",1)":[["Before Market"]],"VZ^CS_EVENT_DESC_N(\"ER\",1)":[["Q2 2026 Earnings Release"]],"BRO^CS_EVENT_DATEJ_N(\"ER\",1)":[[46230]],"BRO^CS_EVENT_TIME_N(\"ER\",1)":[["Unspecified"]],"BRO^CS_EVENT_DESC_N(\"ER\",1)":[["Q2 2026 Earnings Release (Projected)"]],"CDNS^CS_EVENT_DATEJ_N(\"ER\",1)":[[46230]],"CDNS^CS_EVENT_TIME_N(\"ER\",1)":[["Unspecified"]],"CDNS^CS_EVENT_DESC_N(\"ER\",1)":[["Q2 2026 Earnings Release (Projected)"]],"NUE^CS_EVENT_DATEJ_N(\"ER\",1)":[[46230]],"NUE^CS_EVENT_TIME_N(\"ER\",1)":[["Unspecified"]],"NUE^CS_EVENT_DESC_N(\"ER\",1)":[["Q2 2026 Earnings Release (Projected)"]],"LII^CS_EVENT_DATEJ_N(\"ER\",1)":[[46226]],"LII^CS_EVENT_TIME_N(\"ER\",1)":[["Unspecified"]],"LII^CS_EVENT_DESC_N(\"ER\",1)":[["Q2 2026 Earnings Release (Projected)"]],"DPZ^CS_EVENT_DATEJ_N(\"ER\",1)":[[46219]],"DPZ^CS_EVENT_TIME_N(\"ER\",1)":[["Unspecified"]],"DPZ^CS_EVENT_DESC_N(\"ER\",1)":[["Q2 2026 Earnings Release (Projected)"]],"MSFT^CS_EVENT_DATEJ_N(\"ER\",1)":[[46231]],"MSFT^CS_EVENT_TIME_N(\"ER\",1)":[["Unspecified"]],"MSFT^CS_EVENT_DESC_N(\"ER\",1)":[["Q4 2026 Earnings Release (Projected)"]],"MCO^CS_EVENT_DATEJ_N(\"ER\",1)":[[46231]],"MCO^CS_EVENT_TIME_N(\"ER\",1)":[["Unspecified"]],"MCO^CS_EVENT_DESC_N(\"ER\",1)":[["Q2 2026 Earnings Release (Projected)"]],"KO^CS_EVENT_DATEJ_N(\"ER\",1)":[[46231]],"KO^CS_EVENT_TIME_N(\"ER\",1)":[["Unspecified"]],"KO^CS_EVENT_DESC_N(\"ER\",1)":[["Q2 2026 Earnings Release (Projected)"]],"FISV^CS_EVENT_DATEJ_N(\"ER\",1)":[[46232]],"FISV^CS_EVENT_TIME_N(\"ER\",1)":[["Unspecified"]],"FISV^CS_EVENT_DESC_N(\"ER\",1)":[["Q2 2026 Earnings Release (Projected)"]],"AMT^CS_EVENT_DATEJ_N(\"ER\",1)":[[46226]],"AMT^CS_EVENT_TIME_N(\"ER\",1)":[["Unspecified"]],"AMT^CS_EVENT_DESC_N(\"ER\",1)":[["Q2 2026 Earnings Release (Projected)"]],"NVR^CS_EVENT_DATEJ_N(\"ER\",1)":[[46231]],"NVR^CS_EVENT_TIME_N(\"ER\",1)":[["Unspecified"]],"NVR^CS_EVENT_DESC_N(\"ER\",1)":[["Q2 2026 Earnings Release (Projected)"]],"ROP^CS_EVENT_DATEJ_N(\"ER\",1)":[[46220]],"ROP^CS_EVENT_TIME_N(\"ER\",1)":[["Unspecified"]],"ROP^CS_EVENT_DESC_N(\"ER\",1)":[["Q2 2026 Earnings Release (Projected)"]],"TER^CS_EVENT_DATEJ_N(\"ER\",1)":[[46231]],"TER^CS_EVENT_TIME_N(\"ER\",1)":[["Unspecified"]],"TER^CS_EVENT_DESC_N(\"ER\",1)":[["Q2 2026 Earnings Release (Projected)"]],"MMM^CS_EVENT_DATEJ_N(\"ER\",1)":[[46231]],"MMM^CS_EVENT_TIME_N(\"ER\",1)":[["Unspecified"]],"MMM^CS_EVENT_DESC_N(\"ER\",1)":[["Q2 2026 Earnings Release (Projected)"]],"IEX^CS_EVENT_DATEJ_N(\"ER\",1)":[[46231]],"IEX^CS_EVENT_TIME_N(\"ER\",1)":[["Unspecified"]],"IEX^CS_EVENT_DESC_N(\"ER\",1)":[["Q2 2026 Earnings Release (Projected)"]],"CSGP^CS_EVENT_DATEJ_N(\"ER\",1)":[[46231]],"CSGP^CS_EVENT_TIME_N(\"ER\",1)":[["Unspecified"]],"CSGP^CS_EVENT_DESC_N(\"ER\",1)":[["Q2 2026 Earnings Release (Projected)"]],"CCI^CS_EVENT_DATEJ_N(\"ER\",1)":[[46225]],"CCI^CS_EVENT_TIME_N(\"ER\",1)":[["Unspecified"]],"CCI^CS_EVENT_DESC_N(\"ER\",1)":[["Q2 2026 Earnings Release (Projected)"]],"EFX^CS_EVENT_DATEJ_N(\"ER\",1)":[[46225]],"EFX^CS_EVENT_TIME_N(\"ER\",1)":[["Unspecified"]],"EFX^CS_EVENT_DESC_N(\"ER\",1)":[["Q2 2026 Earnings Release (Projected)"]],"RJF^CS_EVENT_DATEJ_N(\"ER\",1)":[[46225]],"RJF^CS_EVENT_TIME_N(\"ER\",1)":[["4:15 PM"]],"RJF^CS_EVENT_DESC_N(\"ER\",1)":[["Q3 2026 Earnings Release"]],"IBM^CS_EVENT_DATEJ_N(\"ER\",1)":[[46225]],"IBM^CS_EVENT_TIME_N(\"ER\",1)":[["4:08 PM"]],"IBM^CS_EVENT_DESC_N(\"ER\",1)":[["Q2 2026 Earnings Release"]],"Q^CS_EVENT_DATEJ_N(\"ER\",1)":[[46450]],"Q^CS_EVENT_TIME_N(\"ER\",1)":[["Unspecified"]],"Q^CS_EVENT_DESC_N(\"ER\",1)":[["Q4 2026 Earnings Release (Projected)"]],"CAG^CS_EVENT_DATEJ_N(\"ER\",1)":[[46212]],"CAG^CS_EVENT_TIME_N(\"ER\",1)":[["Unspecified"]],"CAG^CS_EVENT_DESC_N(\"ER\",1)":[["Q4 2026 Earnings Release (Projected)"]],"STZ^CS_EVENT_DATEJ_N(\"ER\",1)":[[46211]],"STZ^CS_EVENT_TIME_N(\"ER\",1)":[["Unspecified"]],"STZ^CS_EVENT_DESC_N(\"ER\",1)":[["Q1 2027 Earnings Release (Projected)"]],"DAL^CS_EVENT_DATEJ_N(\"ER\",1)":[[46212]],"DAL^CS_EVENT_TIME_N(\"ER\",1)":[["Unspecified"]],"DAL^CS_EVENT_DESC_N(\"ER\",1)":[["Q2 2026 Earnings Release (Projected)"]],"PGR^CS_EVENT_DATEJ_N(\"ER\",1)":[[46212]],"PGR^CS_EVENT_TIME_N(\"ER\",1)":[["Unspecified"]],"PGR^CS_EVENT_DESC_N(\"ER\",1)":[["Q2 2026 Earnings Release (Projected)"]],"FAST^CS_EVENT_DATEJ_N(\"ER\",1)":[[46216]],"FAST^CS_EVENT_TIME_N(\"ER\",1)":[["7:00 AM"]],"FAST^CS_EVENT_DESC_N(\"ER\",1)":[["Q2 2026 Earnings Release"]],"GS^CS_EVENT_DATEJ_N(\"ER\",1)":[[46217]],"GS^CS_EVENT_TIME_N(\"ER\",1)":[["7:30 AM"]],"GS^CS_EVENT_DESC_N(\"ER\",1)":[["Q2 2026 Earnings Release"]],"JPM^CS_EVENT_DATEJ_N(\"ER\",1)":[[46217]],"JPM^CS_EVENT_TIME_N(\"ER\",1)":[["6:45 AM"]],"JPM^CS_EVENT_DESC_N(\"ER\",1)":[["Q2 2026 Earnings Release"]],"WFC^CS_EVENT_DATEJ_N(\"ER\",1)":[[46217]],"WFC^CS_EVENT_TIME_N(\"ER\",1)":[["7:00 AM"]],"WFC^CS_EVENT_DESC_N(\"ER\",1)":[["Q2 2026 Earnings Release"]],"JNJ^CS_EVENT_DATEJ_N(\"ER\",1)":[[46225]],"JNJ^CS_EVENT_TIME_N(\"ER\",1)":[["Unspecified"]],"JNJ^CS_EVENT_DESC_N(\"ER\",1)":[["Q2 2026 Earnings Release (Projected)"]],"BLK^CS_EVENT_DATEJ_N(\"ER\",1)":[[46224]],"BLK^CS_EVENT_TIME_N(\"ER\",1)":[["Unspecified"]],"BLK^CS_EVENT_DESC_N(\"ER\",1)":[["Q2 2026 Earnings Release (Projected)"]],"C^CS_EVENT_DATEJ_N(\"ER\",1)":[[46217]],"C^CS_EVENT_TIME_N(\"ER\",1)":[["8:00 AM"]],"C^CS_EVENT_DESC_N(\"ER\",1)":[["Q2 2026 Earnings Release"]],"BAC^CS_EVENT_DATEJ_N(\"ER\",1)":[[46217]],"BAC^CS_EVENT_TIME_N(\"ER\",1)":[["6:45 AM"]],"BAC^CS_EVENT_DESC_N(\"ER\",1)":[["Q2 2026 Earnings Release"]],"MS^CS_EVENT_DATEJ_N(\"ER\",1)":[[46218]],"MS^CS_EVENT_TIME_N(\"ER\",1)":[["7:30 AM"]],"MS^CS_EVENT_DESC_N(\"ER\",1)":[["Q2 2026 Earnings Release"]],"MTB^CS_EVENT_DATEJ_N(\"ER\",1)":[[46218]],"MTB^CS_EVENT_TIME_N(\"ER\",1)":[["Before Market"]],"MTB^CS_EVENT_DESC_N(\"ER\",1)":[["Q2 2026 Earnings Release"]],"PNC^CS_EVENT_DATEJ_N(\"ER\",1)":[[46218]],"PNC^CS_EVENT_TIME_N(\"ER\",1)":[["Before Market"]],"PNC^CS_EVENT_DESC_N(\"ER\",1)":[["Q2 2026 Earnings Release"]],"KEY^CS_EVENT_DATEJ_N(\"ER\",1)":[[46224]],"KEY^CS_EVENT_TIME_N(\"ER\",1)":[["6:30 AM"]],"KEY^CS_EVENT_DESC_N(\"ER\",1)":[["Q2 2026 Earnings Release"]],"FCX^CS_EVENT_DATEJ_N(\"ER\",1)":[[46219]],"FCX^CS_EVENT_TIME_N(\"ER\",1)":[["Unspecified"]],"FCX^CS_EVENT_DESC_N(\"ER\",1)":[["Q2 2026 Earnings Release (Projected)"]],"USB^CS_EVENT_DATEJ_N(\"ER\",1)":[[46219]],"USB^CS_EVENT_TIME_N(\"ER\",1)":[["6:45 AM"]],"USB^CS_EVENT_DESC_N(\"ER\",1)":[["Q2 2026 Earnings Release"]],"POOL^CS_EVENT_DATEJ_N(\"ER\",1)":[[46219]],"POOL^CS_EVENT_TIME_N(\"ER\",1)":[["Unspecified"]],"POOL^CS_EVENT_DESC_N(\"ER\",1)":[["Q2 2026 Earnings Release (Projected)"]],"SNA^CS_EVENT_DATEJ_N(\"ER\",1)":[[46219]],"SNA^CS_EVENT_TIME_N(\"ER\",1)":[["Unspecified"]],"SNA^CS_EVENT_DESC_N(\"ER\",1)":[["Q2 2026 Earnings Release (Projected)"]],"MRSH^CS_EVENT_DATEJ_N(\"ER\",1)":[[46219]],"MRSH^CS_EVENT_TIME_N(\"ER\",1)":[["Unspecified"]],"MRSH^CS_EVENT_DESC_N(\"ER\",1)":[["Q2 2026 Earnings Release (Projected)"]],"NFLX^CS_EVENT_DATEJ_N(\"ER\",1)":[[46219]],"NFLX^CS_EVENT_TIME_N(\"ER\",1)":[["Unspecified"]],"NFLX^CS_EVENT_DESC_N(\"ER\",1)":[["Q2 2026 Earnings Release (Projected)"]],"PLD^CS_EVENT_DATEJ_N(\"ER\",1)":[[46223]],"PLD^CS_EVENT_TIME_N(\"ER\",1)":[["Unspecified"]],"PLD^CS_EVENT_DESC_N(\"ER\",1)":[["Q2 2026 Earnings Release (Projected)"]],"ABT^CS_EVENT_DATEJ_N(\"ER\",1)":[[46219]],"ABT^CS_EVENT_TIME_N(\"ER\",1)":[["Unspecified"]],"ABT^CS_EVENT_DESC_N(\"ER\",1)":[["Q2 2026 Earnings Release (Projected)"]],"PPG^CS_EVENT_DATEJ_N(\"ER\",1)":[[46219]],"PPG^CS_EVENT_TIME_N(\"ER\",1)":[["Unspecified"]],"PPG^CS_EVENT_DESC_N(\"ER\",1)":[["Q2 2026 Earnings Release (Projected)"]],"BK^CS_EVENT_DATEJ_N(\"ER\",1)":[[46128]],"BK^CS_EVENT_TIME_N(\"ER\",1)":[["6:30 AM"]],"BK^CS_EVENT_DESC_N(\"ER\",1)":[["Q1 2026 Earnings Release"]],"TRV^CS_EVENT_DATEJ_N(\"ER\",1)":[[46219]],"TRV^CS_EVENT_TIME_N(\"ER\",1)":[["Unspecified"]],"TRV^CS_EVENT_DESC_N(\"ER\",1)":[["Q2 2026 Earnings Release (Projected)"]],"BX^CS_EVENT_DATEJ_N(\"ER\",1)":[[46219]],"BX^CS_EVENT_TIME_N(\"ER\",1)":[["Unspecified"]],"BX^CS_EVENT_DESC_N(\"ER\",1)":[["Q2 2026 Earnings Release (Projected)"]],"CFG^CS_EVENT_DATEJ_N(\"ER\",1)":[[46219]],"CFG^CS_EVENT_TIME_N(\"ER\",1)":[["6:20 AM"]],"CFG^CS_EVENT_DESC_N(\"ER\",1)":[["Q2 2026 Earnings Release"]],"FITB^CS_EVENT_DATEJ_N(\"ER\",1)":[[46220]],"FITB^CS_EVENT_TIME_N(\"ER\",1)":[["6:30 AM"]],"FITB^CS_EVENT_DESC_N(\"ER\",1)":[["Q2 2026 Earnings Release"]],"TFC^CS_EVENT_DATEJ_N(\"ER\",1)":[[46219]],"TFC^CS_EVENT_TIME_N(\"ER\",1)":[["Before Market"]],"TFC^CS_EVENT_DESC_N(\"ER\",1)":[["Q2 2027 Earnings Release"]],"STT^CS_EVENT_DATEJ_N(\"ER\",1)":[[46213]],"STT^CS_EVENT_TIME_N(\"ER\",1)":[["Unspecified"]],"STT^CS_EVENT_DESC_N(\"ER\",1)":[["Q2 2026 Earnings Release (Projected)"]],"RF^CS_EVENT_DATEJ_N(\"ER\",1)":[[46220]],"RF^CS_EVENT_TIME_N(\"ER\",1)":[["6:00 AM"]],"RF^CS_EVENT_DESC_N(\"ER\",1)":[["Q2 2026 Earnings Release"]],"STLD^CS_EVENT_DATEJ_N(\"ER\",1)":[[46225]],"STLD^CS_EVENT_TIME_N(\"ER\",1)":[["Unspecified"]],"STLD^CS_EVENT_DESC_N(\"ER\",1)":[["Q2 2026 Earnings Release (Projected)"]],"SCHW^CS_EVENT_DATEJ_N(\"ER\",1)":[[46224]],"SCHW^CS_EVENT_TIME_N(\"ER\",1)":[["Unspecified"]],"SCHW^CS_EVENT_DESC_N(\"ER\",1)":[["Q2 2026 Earnings Release (Projected)"]],"JBHT^CS_EVENT_DATEJ_N(\"ER\",1)":[[46224]],"JBHT^CS_EVENT_TIME_N(\"ER\",1)":[["Unspecified"]],"JBHT^CS_EVENT_DESC_N(\"ER\",1)":[["Q2 2026 Earnings Release (Projected)"]],"RTX^CS_EVENT_DATEJ_N(\"ER\",1)":[[46231]],"RTX^CS_EVENT_TIME_N(\"ER\",1)":[["Unspecified"]],"RTX^CS_EVENT_DESC_N(\"ER\",1)":[["Q2 2026 Earnings Release (Projected)"]],"LMT^CS_EVENT_DATEJ_N(\"ER\",1)":[[46231]],"LMT^CS_EVENT_TIME_N(\"ER\",1)":[["Unspecified"]],"LMT^CS_EVENT_DESC_N(\"ER\",1)":[["Q2 2026 Earnings Release (Projected)"]],"DHR^CS_EVENT_DATEJ_N(\"ER\",1)":[[46231]],"DHR^CS_EVENT_TIME_N(\"ER\",1)":[["Unspecified"]],"DHR^CS_EVENT_DESC_N(\"ER\",1)":[["Q2 2026 Earnings Release (Projected)"]],"UNH^CS_EVENT_DATEJ_N(\"ER\",1)":[[46213]],"UNH^CS_EVENT_TIME_N(\"ER\",1)":[["Unspecified"]],"UNH^CS_EVENT_DESC_N(\"ER\",1)":[["Q2 2026 Earnings Release (Projected)"]],"HAL^CS_EVENT_DATEJ_N(\"ER\",1)":[[46219]],"HAL^CS_EVENT_TIME_N(\"ER\",1)":[["Unspecified"]],"HAL^CS_EVENT_DESC_N(\"ER\",1)":[["Q2 2026 Earnings Release (Projected)"]],"WRB^CS_EVENT_DATEJ_N(\"ER\",1)":[[46219]],"WRB^CS_EVENT_TIME_N(\"ER\",1)":[["Unspecified"]],"WRB^CS_EVENT_DESC_N(\"ER\",1)":[["Q2 2026 Earnings Release (Projected)"]],"COF^CS_EVENT_DATEJ_N(\"ER\",1)":[[46231]],"COF^CS_EVENT_TIME_N(\"ER\",1)":[["Unspecified"]],"COF^CS_EVENT_DESC_N(\"ER\",1)":[["Q2 2026 Earnings Release (Projected)"]],"TSCO^CS_EVENT_DATEJ_N(\"ER\",1)":[[46226]],"TSCO^CS_EVENT_TIME_N(\"ER\",1)":[["Unspecified"]],"TSCO^CS_EVENT_DESC_N(\"ER\",1)":[["Q2 2026 Earnings Release (Projected)"]],"GE^CS_EVENT_DATEJ_N(\"ER\",1)":[[46219]],"GE^CS_EVENT_TIME_N(\"ER\",1)":[["Before Market"]],"GE^CS_EVENT_DESC_N(\"ER\",1)":[["Q2 2026 Earnings Release"]],"Q^FG_COMPANY_NAME":[["Qnity Electronics, Inc."]],"CAG^FG_COMPANY_NAME":[["Conagra Brands, Inc."]],"STZ^FG_COMPANY_NAME":[["Constellation Brands, Inc. Class A"]],"DAL^FG_COMPANY_NAME":[["Delta Air Lines, Inc."]],"PGR^FG_COMPANY_NAME":[["Progressive Corporation"]],"FAST^FG_COMPANY_NAME":[["Fastenal Company"]],"GS^FG_COMPANY_NAME":[["Goldman Sachs Group, Inc."]],"JPM^FG_COMPANY_NAME":[["JPMorgan Chase & Co."]],"WFC^FG_COMPANY_NAME":[["Wells Fargo & Company"]],"JNJ^FG_COMPANY_NAME":[["Johnson & Johnson"]],"BLK^FG_COMPANY_NAME":[["BlackRock, Inc."]],"C^FG_COMPANY_NAME":[["Citigroup Inc."]],"BAC^FG_COMPANY_NAME":[["Bank of America Corp"]],"MS^FG_COMPANY_NAME":[["Morgan Stanley"]],"MTB^FG_COMPANY_NAME":[["M&T Bank Corporation"]],"PNC^FG_COMPANY_NAME":[["PNC Financial Services Group, Inc."]],"KEY^FG_COMPANY_NAME":[["KeyCorp"]],"FCX^FG_COMPANY_NAME":[["Freeport-McMoRan, Inc."]],"USB^FG_COMPANY_NAME":[["U.S. Bancorp"]],"POOL^FG_COMPANY_NAME":[["Pool Corporation"]],"SNA^FG_COMPANY_NAME":[["Snap-on Incorporated"]],"MRSH^FG_COMPANY_NAME":[["Marsh & McLennan Companies, Inc."]],"NFLX^FG_COMPANY_NAME":[["Netflix, Inc."]],"PLD^FG_COMPANY_NAME":[["Prologis, Inc."]],"ABT^FG_COMPANY_NAME":[["Abbott Laboratories"]],"PPG^FG_COMPANY_NAME":[["PPG Industries, Inc."]],"BK^FG_COMPANY_NAME":[["Bank of New York Mellon Corp"]],"TRV^FG_COMPANY_NAME":[["Travelers Companies, Inc."]],"BX^FG_COMPANY_NAME":[["Blackstone Inc."]],"CFG^FG_COMPANY_NAME":[["Citizens Financial Group, Inc."]],"FITB^FG_COMPANY_NAME":[["Fifth Third Bancorp"]],"TFC^FG_COMPANY_NAME":[["Truist Financial Corporation"]],"STT^FG_COMPANY_NAME":[["State Street Corporation"]],"RF^FG_COMPANY_NAME":[["Regions Financial Corporation"]],"STLD^FG_COMPANY_NAME":[["Steel Dynamics, Inc."]],"SCHW^FG_COMPANY_NAME":[["Charles Schwab Corp"]],"JBHT^FG_COMPANY_NAME":[["J.B. Hunt Transport Services, Inc."]],"RTX^FG_COMPANY_NAME":[["RTX Corporation"]],"LMT^FG_COMPANY_NAME":[["Lockheed Martin Corporation"]],"DHR^FG_COMPANY_NAME":[["Danaher Corporation"]],"UNH^FG_COMPANY_NAME":[["UnitedHealth Group Incorporated"]],"HAL^FG_COMPANY_NAME":[["Halliburton Company"]],"WRB^FG_COMPANY_NAME":[["W. R. Berkley Corporation"]],"COF^FG_COMPANY_NAME":[["Capital One Financial Corp"]],"TSCO^FG_COMPANY_NAME":[["Tractor Supply Company"]],"GE^FG_COMPANY_NAME":[["GE Aerospace"]],"GPC^FG_COMPANY_NAME":[["Genuine Parts Company"]],"NOC^FG_COMPANY_NAME":[["Northrop Grumman Corp."]],"DGX^FG_COMPANY_NAME":[["Quest Diagnostics Incorporated"]],"DHI^FG_COMPANY_NAME":[["D.R. Horton, Inc."]],"OMC^FG_COMPANY_NAME":[["Omnicom Group Inc"]],"ISRG^FG_COMPANY_NAME":[["Intuitive Surgical, Inc."]],"NTRS^FG_COMPANY_NAME":[["Northern Trust Corporation"]],"UAL^FG_COMPANY_NAME":[["United Airlines Holdings, Inc."]],"IBKR^FG_COMPANY_NAME":[["Interactive Brokers Group, Inc. Class A"]],"CB^FG_COMPANY_NAME":[["Chubb Limited"]],"SYF^FG_COMPANY_NAME":[["Synchrony Financial"]],"BSX^FG_COMPANY_NAME":[["Boston Scientific Corporation"]],"CCI^FG_COMPANY_NAME":[["Crown Castle Inc."]],"EFX^FG_COMPANY_NAME":[["Equifax Inc."]],"RJF^FG_COMPANY_NAME":[["Raymond James Financial, Inc."]],"IBM^FG_COMPANY_NAME":[["International Business Machines Corporation"]],"BA^FG_COMPANY_NAME":[["Boeing Company"]],"MAS^FG_COMPANY_NAME":[["Masco Corporation"]],"WAB^FG_COMPANY_NAME":[["Westinghouse Air Brake Technologies Corporation"]],"CSX^FG_COMPANY_NAME":[["CSX Corporation"]],"LUV^FG_COMPANY_NAME":[["Southwest Airlines Co."]],"PKG^FG_COMPANY_NAME":[["Packaging Corporation of America"]],"KMI^FG_COMPANY_NAME":[["Kinder Morgan Inc Class P"]],"NDAQ^FG_COMPANY_NAME":[["Nasdaq, Inc."]],"ELV^FG_COMPANY_NAME":[["Elevance Health, Inc."]],"CME^FG_COMPANY_NAME":[["CME Group Inc. Class A"]],"T^FG_COMPANY_NAME":[["AT&T Inc"]],"PM^FG_COMPANY_NAME":[["Philip Morris International Inc."]],"GEV^FG_COMPANY_NAME":[["GE Vernova Inc."]],"PHM^FG_COMPANY_NAME":[["PulteGroup, Inc."]],"CPT^FG_COMPANY_NAME":[["Camden Property Trust"]],"WST^FG_COMPANY_NAME":[["West Pharmaceutical Services, Inc."]],"RMD^FG_COMPANY_NAME":[["ResMed Inc."]],"HON^FG_COMPANY_NAME":[["Honeywell International Inc."]],"PCG^FG_COMPANY_NAME":[["PG&E Corporation"]],"AOS^FG_COMPANY_NAME":[["A. O. Smith Corporation"]],"NEM^FG_COMPANY_NAME":[["Newmont Corporation"]],"KIM^FG_COMPANY_NAME":[["Kimco Realty Corporation"]],"HSY^FG_COMPANY_NAME":[["Hershey Company"]],"VRSN^FG_COMPANY_NAME":[["VeriSign, Inc."]],"CINF^FG_COMPANY_NAME":[["Cincinnati Financial Corporation"]],"AJG^FG_COMPANY_NAME":[["Arthur J. Gallagher & Co."]],"WTW^FG_COMPANY_NAME":[["Willis Towers Watson Public Limited Company"]],"GILD^FG_COMPANY_NAME":[["Gilead Sciences, Inc."]],"ERIE^FG_COMPANY_NAME":[["Erie Indemnity Company Class A"]],"DOV^FG_COMPANY_NAME":[["Dover Corporation"]],"DTE^FG_COMPANY_NAME":[["DTE Energy Company"]],"HAS^FG_COMPANY_NAME":[["Hasbro, Inc."]],"AMZN^FG_COMPANY_NAME":[["Amazon.com, Inc."]],"HIG^FG_COMPANY_NAME":[["Hartford Insurance Group, Inc."]],"HBAN^FG_COMPANY_NAME":[["Huntington Bancshares Incorporated"]],"EME^FG_COMPANY_NAME":[["EMCOR Group, Inc."]],"KLAC^FG_COMPANY_NAME":[["KLA Corporation"]],"TROW^FG_COMPANY_NAME":[["T. Rowe Price Group, Inc."]],"AXP^FG_COMPANY_NAME":[["American Express Company"]],"CNP^FG_COMPANY_NAME":[["CenterPoint Energy, Inc."]],"WDC^FG_COMPANY_NAME":[["Western Digital Corporation"]],"PFG^FG_COMPANY_NAME":[["Principal Financial Group, Inc."]],"INTC^FG_COMPANY_NAME":[["Intel Corporation"]],"FE^FG_COMPANY_NAME":[["FirstEnergy Corp."]],"CAT^FG_COMPANY_NAME":[["Caterpillar Inc."]],"MCD^FG_COMPANY_NAME":[["McDonald's Corporation"]],"UNP^FG_COMPANY_NAME":[["Union Pacific Corporation"]],"XEL^FG_COMPANY_NAME":[["Xcel Energy Inc."]],"CMS^FG_COMPANY_NAME":[["CMS Energy Corporation"]],"MA^FG_COMPANY_NAME":[["Mastercard Incorporated Class A"]],"DXCM^FG_COMPANY_NAME":[["DexCom, Inc."]],"ALLE^FG_COMPANY_NAME":[["Allegion Public Limited Company"]],"DLR^FG_COMPANY_NAME":[["Digital Realty Trust, Inc."]],"KDP^FG_COMPANY_NAME":[["Keurig Dr Pepper Inc."]],"BKR^FG_COMPANY_NAME":[["Baker Hughes Company Class A"]],"CMCSA^FG_COMPANY_NAME":[["Comcast Corporation Class A"]],"CBRE^FG_COMPANY_NAME":[["CBRE Group, Inc. Class A"]],"DOC^FG_COMPANY_NAME":[["Healthpeak Properties, Inc."]],"AMP^FG_COMPANY_NAME":[["Ameriprise Financial, Inc."]],"FSLR^FG_COMPANY_NAME":[["First Solar, Inc."]],"FTV^FG_COMPANY_NAME":[["Fortive Corp."]],"DOW^FG_COMPANY_NAME":[["Dow, Inc."]],"CARR^FG_COMPANY_NAME":[["Carrier Global Corp."]],"CVX^FG_COMPANY_NAME":[["Chevron Corporation"]],"PG^FG_COMPANY_NAME":[["Procter & Gamble Company"]],"NSC^FG_COMPANY_NAME":[["Norfolk Southern Corporation"]],"XOM^FG_COMPANY_NAME":[["Exxon Mobil Corporation"]],"SLB^FG_COMPANY_NAME":[["SLB Limited"]],"HCA^FG_COMPANY_NAME":[["HCA Healthcare Inc"]],"CHTR^FG_COMPANY_NAME":[["Charter Communications, Inc. Class A"]],"LYB^FG_COMPANY_NAME":[["LyondellBasell Industries NV"]],"ARES^FG_COMPANY_NAME":[["Ares Management Corporation"]],"UHS^FG_COMPANY_NAME":[["Universal Health Services, Inc. Class B"]],"ARE^FG_COMPANY_NAME":[["Alexandria Real Estate Equities, Inc."]],"VZ^FG_COMPANY_NAME":[["Verizon Communications Inc."]],"BRO^FG_COMPANY_NAME":[["Brown & Brown, Inc."]],"CDNS^FG_COMPANY_NAME":[["Cadence Design Systems, Inc."]],"NUE^FG_COMPANY_NAME":[["Nucor Corporation"]],"LII^FG_COMPANY_NAME":[["Lennox International Inc."]],"DPZ^FG_COMPANY_NAME":[["Domino's Pizza, Inc."]],"MSFT^FG_COMPANY_NAME":[["Microsoft Corporation"]],"MCO^FG_COMPANY_NAME":[["Moody's Corporation"]],"KO^FG_COMPANY_NAME":[["Coca-Cola Company"]],"FISV^FG_COMPANY_NAME":[["Fiserv, Inc."]],"AMT^FG_COMPANY_NAME":[["American Tower Corporation"]],"NVR^FG_COMPANY_NAME":[["NVR, Inc."]],"ROP^FG_COMPANY_NAME":[["Roper Technologies, Inc."]],"TER^FG_COMPANY_NAME":[["Teradyne, Inc."]],"MMM^FG_COMPANY_NAME":[["3M Company"]],"IEX^FG_COMPANY_NAME":[["IDEX Corporation"]],"CSGP^FG_COMPANY_NAME":[["CoStar Group, Inc."]],"TXN^FG_COMPANY_NAME":[["Texas Instruments Incorporated"]],"ESS^FG_COMPANY_NAME":[["Essex Property Trust, Inc."]],"CNC^FG_COMPANY_NAME":[["Centene Corporation"]],"WM^FG_COMPANY_NAME":[["Waste Management, Inc."]],"EQR^FG_COMPANY_NAME":[["Equity Residential"]],"PCAR^FG_COMPANY_NAME":[["PACCAR Inc"]],"SPGI^FG_COMPANY_NAME":[["S&P Global, Inc."]],"SHW^FG_COMPANY_NAME":[["Sherwin-Williams Company"]],"ECL^FG_COMPANY_NAME":[["Ecolab Inc."]],"EIX^FG_COMPANY_NAME":[["Edison International"]],"UPS^FG_COMPANY_NAME":[["United Parcel Service, Inc. Class B"]],"ACGL^FG_COMPANY_NAME":[["Arch Capital Group Ltd."]],"KMB^FG_COMPANY_NAME":[["Kimberly-Clark Corporation"]],"PEP^FG_COMPANY_NAME":[["PepsiCo, Inc."]],"HUBB^FG_COMPANY_NAME":[["Hubbell Incorporated"]],"ADM^FG_COMPANY_NAME":[["Archer-Daniels-Midland Company"]],"BKNG^FG_COMPANY_NAME":[["Booking Holdings Inc."]],"MSCI^FG_COMPANY_NAME":[["MSCI Inc. Class A"]],"GOOGL^FG_COMPANY_NAME":[["Alphabet Inc. Class A"]],"GM^FG_COMPANY_NAME":[["General Motors Company"]],"NEE^FG_COMPANY_NAME":[["NextEra Energy, Inc."]],"NXPI^FG_COMPANY_NAME":[["NXP Semiconductors NV"]],"MDLZ^FG_COMPANY_NAME":[["Mondelez International, Inc. Class A"]],"TSLA^FG_COMPANY_NAME":[["Tesla, Inc."]],"GOOG^FG_COMPANY_NAME":[["Alphabet Inc. Class C"]],"HLT^FG_COMPANY_NAME":[["Hilton Worldwide Holdings Inc."]],"IVZ^FG_COMPANY_NAME":[["Invesco Ltd."]],"EXR^FG_COMPANY_NAME":[["Extra Space Storage Inc."]],"TMUS^FG_COMPANY_NAME":[["T-Mobile US, Inc."]],"UDR^FG_COMPANY_NAME":[["UDR, Inc."]],"V^FG_COMPANY_NAME":[["Visa Inc. Class A"]],"PNR^FG_COMPANY_NAME":[["Pentair plc"]],"VLTO^FG_COMPANY_NAME":[["Veralto Corporation"]],"XYL^FG_COMPANY_NAME":[["Xylem Inc."]],"MAA^FG_COMPANY_NAME":[["Mid-America Apartment Communities, Inc."]],"EQIX^FG_COMPANY_NAME":[["Equinix, Inc."]],"GRMN^FG_COMPANY_NAME":[["Garmin Ltd."]],"EW^FG_COMPANY_NAME":[["Edwards Lifesciences Corporation"]],"MGM^FG_COMPANY_NAME":[["MGM Resorts International"]],"APH^FG_COMPANY_NAME":[["Amphenol Corporation Class A"]],"ALL^FG_COMPANY_NAME":[["Allstate Corporation"]],"SWK^FG_COMPANY_NAME":[["Stanley Black & Decker, Inc."]],"REGN^FG_COMPANY_NAME":[["Regeneron Pharmaceuticals, Inc."]],"ODFL^FG_COMPANY_NAME":[["Old Dominion Freight Line, Inc."]],"ALGN^FG_COMPANY_NAME":[["Align Technology, Inc."]],"GD^FG_COMPANY_NAME":[["General Dynamics Corporation"]],"ETR^FG_COMPANY_NAME":[["Entergy Corporation"]],"EG^FG_COMPANY_NAME":[["Everest Group, Ltd."]],"FIX^FG_COMPANY_NAME":[["Comfort Systems USA, Inc."]],"ROL^FG_COMPANY_NAME":[["Rollins, Inc."]],"ADP^FG_COMPANY_NAME":[["Automatic Data Processing, Inc."]],"TDY^FG_COMPANY_NAME":[["Teledyne Technologies Incorporated"]],"URI^FG_COMPANY_NAME":[["United Rentals, Inc."]],"AMGN^FG_COMPANY_NAME":[["Amgen Inc."]],"AVY^FG_COMPANY_NAME":[["Avery Dennison Corporation"]],"EQT^FG_COMPANY_NAME":[["EQT Corporation"]],"ORLY^FG_COMPANY_NAME":[["O'Reilly Automotive, Inc."]],"TMO^FG_COMPANY_NAME":[["Thermo Fisher Scientific Inc."]],"AVB^FG_COMPANY_NAME":[["AvalonBay Communities, Inc."]],"LRCX^FG_COMPANY_NAME":[["Lam Research Corporation"]],"TYL^FG_COMPANY_NAME":[["Tyler Technologies, Inc."]],"REG^FG_COMPANY_NAME":[["Regency Centers Corporation"]],"BG^FG_COMPANY_NAME":[["Bunge Global SA"]],"F^FG_COMPANY_NAME":[["Ford Motor Company"]],"AFL^FG_COMPANY_NAME":[["Aflac Incorporated"]],"HUM^FG_COMPANY_NAME":[["Humana Inc."]],"CMG^FG_COMPANY_NAME":[["Chipotle Mexican Grill, Inc."]],"ABBV^FG_COMPANY_NAME":[["AbbVie, Inc."]],"STX^FG_COMPANY_NAME":[["Seagate Technology Holdings PLC"]],"PTC^FG_COMPANY_NAME":[["PTC Inc."]],"CHRW^FG_COMPANY_NAME":[["C.H. Robinson Worldwide, Inc."]],"LVS^FG_COMPANY_NAME":[["Las Vegas Sands Corp."]],"TEL^FG_COMPANY_NAME":[["TE Connectivity plc"]],"META^FG_COMPANY_NAME":[["Meta Platforms Inc Class A"]],"PSX^FG_COMPANY_NAME":[["Phillips 66"]],"NOW^FG_COMPANY_NAME":[["ServiceNow, Inc."]],"VICI^FG_COMPANY_NAME":[["VICI Properties Inc"]],"VRT^FG_COMPANY_NAME":[["Vertiv Holdings Co. Class A"]],"OTIS^FG_COMPANY_NAME":[["Otis Worldwide Corporation"]],"AES^FG_COMPANY_NAME":[["AES Corporation"]],"ED^FG_COMPANY_NAME":[["Consolidated Edison, Inc."]],"SO^FG_COMPANY_NAME":[["Southern Company"]],"IP^FG_COMPANY_NAME":[["International Paper Company"]],"BAX^FG_COMPANY_NAME":[["Baxter International Inc."]],"MNST^FG_COMPANY_NAME":[["Monster Beverage Corporation"]],"CAH^FG_COMPANY_NAME":[["Cardinal Health, Inc."]],"LHX^FG_COMPANY_NAME":[["L3Harris Technologies Inc"]],"AIG^FG_COMPANY_NAME":[["American International Group, Inc."]],"LLY^FG_COMPANY_NAME":[["Eli Lilly and Company"]],"LH^FG_COMPANY_NAME":[["Labcorp Holdings Inc."]],"BMY^FG_COMPANY_NAME":[["Bristol-Myers Squibb Company"]],"LNT^FG_COMPANY_NAME":[["Alliant Energy Corporation"]],"APD^FG_COMPANY_NAME":[["Air Products and Chemicals, Inc."]],"SRE^FG_COMPANY_NAME":[["Sempra"]],"PPL^FG_COMPANY_NAME":[["PPL Corporation"]],"TXT^FG_COMPANY_NAME":[["Textron Inc."]],"AEE^FG_COMPANY_NAME":[["Ameren Corporation"]],"TRGP^FG_COMPANY_NAME":[["Targa Resources Corp."]],"MTD^FG_COMPANY_NAME":[["Mettler-Toledo International Inc."]],"APO^FG_COMPANY_NAME":[["Apollo Global Management Inc"]],"D^FG_COMPANY_NAME":[["Dominion Energy Inc"]],"VLO^FG_COMPANY_NAME":[["Valero Energy Corporation"]],"PH^FG_COMPANY_NAME":[["Parker-Hannifin Corporation"]],"AAPL^FG_COMPANY_NAME":[["Apple Inc."]],"WY^FG_COMPANY_NAME":[["Weyerhaeuser Company"]],"PWR^FG_COMPANY_NAME":[["Quanta Services, Inc."]],"CTRA^FG_COMPANY_NAME":[["Coterra Energy Inc."]],"RCL^FG_COMPANY_NAME":[["Royal Caribbean Group"]],"BDX^FG_COMPANY_NAME":[["Becton, Dickinson and Company"]],"BALL^FG_COMPANY_NAME":[["Ball Corporation"]],"CI^FG_COMPANY_NAME":[["Cigna Group"]],"HOLX^FG_COMPANY_NAME":[["Hologic, Inc."]],"IRM^FG_COMPANY_NAME":[["Iron Mountain, Inc."]],"COP^FG_COMPANY_NAME":[["ConocoPhillips"]],"DVA^FG_COMPANY_NAME":[["DaVita Inc."]],"MPWR^FG_COMPANY_NAME":[["Monolithic Power Systems, Inc."]],"MO^FG_COMPANY_NAME":[["Altria Group, Inc."]],"PNW^FG_COMPANY_NAME":[["Pinnacle West Capital Corp"]],"NRG^FG_COMPANY_NAME":[["NRG Energy, Inc."]],"GDDY^FG_COMPANY_NAME":[["GoDaddy, Inc. Class A"]],"MRK^FG_COMPANY_NAME":[["Merck & Co., Inc."]],"LYV^FG_COMPANY_NAME":[["Live Nation Entertainment, Inc."]],"BLDR^FG_COMPANY_NAME":[["Builders FirstSource, Inc."]],"FTNT^FG_COMPANY_NAME":[["Fortinet, Inc."]],"EPAM^FG_COMPANY_NAME":[["EPAM Systems, Inc."]],"PODD^FG_COMPANY_NAME":[["Insulet Corporation"]],"ZTS^FG_COMPANY_NAME":[["Zoetis, Inc. Class A"]],"ICE^FG_COMPANY_NAME":[["Intercontinental Exchange, Inc."]],"CVNA^FG_COMPANY_NAME":[["Carvana Co. Class A"]],"MSI^FG_COMPANY_NAME":[["Motorola Solutions, Inc."]],"HII^FG_COMPANY_NAME":[["Huntington Ingalls Industries, Inc."]],"EXPE^FG_COMPANY_NAME":[["Expedia Group, Inc."]],"XYZ^FG_COMPANY_NAME":[["Block, Inc. Class A"]],"HWM^FG_COMPANY_NAME":[["Howmet Aerospace Inc."]],"SW^FG_COMPANY_NAME":[["Smurfit Westrock PLC"]],"MRNA^FG_COMPANY_NAME":[["Moderna, Inc."]],"LIN^FG_COMPANY_NAME":[["Linde plc"]],"DDOG^FG_COMPANY_NAME":[["Datadog, Inc. Class A"]],"DASH^FG_COMPANY_NAME":[["DoorDash, Inc. Class A"]],"SNDK^FG_COMPANY_NAME":[["Sandisk Corporation"]],"EVRG^FG_COMPANY_NAME":[["Evergy, Inc."]],"FRT^FG_COMPANY_NAME":[["Federal Realty Investment Trust"]],"CL^FG_COMPANY_NAME":[["Colgate-Palmolive Company"]],"EL^FG_COMPANY_NAME":[["Estee Lauder Companies Inc. Class A"]],"CHD^FG_COMPANY_NAME":[["Church & Dwight Co., Inc."]],"CBOE^FG_COMPANY_NAME":[["Cboe Global Markets Inc"]],"JCI^FG_COMPANY_NAME":[["Johnson Controls International plc"]],"WEC^FG_COMPANY_NAME":[["WEC Energy Group Inc"]],"BEN^FG_COMPANY_NAME":[["Franklin Resources, Inc."]],"WMB^FG_COMPANY_NAME":[["Williams Companies, Inc."]],"SBAC^FG_COMPANY_NAME":[["SBA Communications Corp. Class A"]],"WELL^FG_COMPANY_NAME":[["Welltower Inc."]],"L^FG_COMPANY_NAME":[["Loews Corporation"]],"ON^FG_COMPANY_NAME":[["ON Semiconductor Corporation"]],"GPN^FG_COMPANY_NAME":[["Global Payments Inc."]],"FFIV^FG_COMPANY_NAME":[["F5, Inc."]],"RVTY^FG_COMPANY_NAME":[["Revvity, Inc."]],"BRK.B^FG_COMPANY_NAME":[["Berkshire Hathaway Inc. Class B"]],"ANET^FG_COMPANY_NAME":[["Arista Networks Inc"]],"FANG^FG_COMPANY_NAME":[["Diamondback Energy, Inc."]],"PRU^FG_COMPANY_NAME":[["Prudential Financial, Inc."]],"AME^FG_COMPANY_NAME":[["AMETEK, Inc."]],"MLM^FG_COMPANY_NAME":[["Martin Marietta Materials, Inc."]],"ITW^FG_COMPANY_NAME":[["Illinois Tool Works Inc."]],"SBUX^FG_COMPANY_NAME":[["Starbucks Corporation"]],"GLW^FG_COMPANY_NAME":[["Corning Inc"]],"CLX^FG_COMPANY_NAME":[["Clorox Company"]],"DVN^FG_COMPANY_NAME":[["Devon Energy Corporation"]],"SWKS^FG_COMPANY_NAME":[["Skyworks Solutions, Inc."]],"OKE^FG_COMPANY_NAME":[["ONEOK, Inc."]],"BXP^FG_COMPANY_NAME":[["BXP Inc"]],"SYY^FG_COMPANY_NAME":[["Sysco Corporation"]],"ETN^FG_COMPANY_NAME":[["Eaton Corp. Plc"]],"PEG^FG_COMPANY_NAME":[["Public Service Enterprise Group Inc"]],"AMD^FG_COMPANY_NAME":[["Advanced Micro Devices, Inc."]],"AIZ^FG_COMPANY_NAME":[["Assurant, Inc."]],"INCY^FG_COMPANY_NAME":[["Incyte Corporation"]],"PSA^FG_COMPANY_NAME":[["Public Storage"]],"EA^FG_COMPANY_NAME":[["Electronic Arts Inc."]],"PFE^FG_COMPANY_NAME":[["Pfizer Inc."]],"CMI^FG_COMPANY_NAME":[["Cummins Inc."]],"ROK^FG_COMPANY_NAME":[["Rockwell Automation, Inc."]],"EOG^FG_COMPANY_NAME":[["EOG Resources, Inc."]],"ZBH^FG_COMPANY_NAME":[["Zimmer Biomet Holdings, Inc."]],"LDOS^FG_COMPANY_NAME":[["Leidos Holdings, Inc."]],"KKR^FG_COMPANY_NAME":[["KKR & Co Inc"]],"VRSK^FG_COMPANY_NAME":[["Verisk Analytics, Inc."]],"TAP^FG_COMPANY_NAME":[["Molson Coors Beverage Company Class B"]],"SMCI^FG_COMPANY_NAME":[["Super Micro Computer, Inc."]],"BR^FG_COMPANY_NAME":[["Broadridge Financial Solutions, Inc."]],"MPC^FG_COMPANY_NAME":[["Marathon Petroleum Corporation"]],"PYPL^FG_COMPANY_NAME":[["PayPal Holdings, Inc."]],"INVH^FG_COMPANY_NAME":[["Invitation Homes, Inc."]],"APTV^FG_COMPANY_NAME":[["Aptiv PLC"]],"CTVA^FG_COMPANY_NAME":[["Corteva Inc"]],"DD^FG_COMPANY_NAME":[["DuPont de Nemours, Inc."]],"AMCR^FG_COMPANY_NAME":[["Amcor PLC"]],"EXE^FG_COMPANY_NAME":[["Expand Energy Corporation"]],"MAR^FG_COMPANY_NAME":[["Marriott International, Inc. Class A"]],"VMC^FG_COMPANY_NAME":[["Vulcan Materials Company"]],"TECH^FG_COMPANY_NAME":[["Bio-Techne Corporation"]],"QCOM^FG_COMPANY_NAME":[["QUALCOMM Incorporated"]],"ES^FG_COMPANY_NAME":[["Eversource Energy"]],"FICO^FG_COMPANY_NAME":[["Fair Isaac Corporation"]],"BIIB^FG_COMPANY_NAME":[["Biogen Inc."]],"O^FG_COMPANY_NAME":[["Realty Income Corporation"]],"TRMB^FG_COMPANY_NAME":[["Trimble Inc."]],"ALB^FG_COMPANY_NAME":[["Albemarle Corporation"]],"YUM^FG_COMPANY_NAME":[["Yum! Brands, Inc."]],"TT^FG_COMPANY_NAME":[["Trane Technologies plc"]],"HST^FG_COMPANY_NAME":[["Host Hotels & Resorts, Inc."]],"CTSH^FG_COMPANY_NAME":[["Cognizant Technology Solutions Corporation Class A"]],"AEP^FG_COMPANY_NAME":[["American Electric Power Company, Inc."]],"SYK^FG_COMPANY_NAME":[["Stryker Corporation"]],"GL^FG_COMPANY_NAME":[["Globe Life Inc."]],"EBAY^FG_COMPANY_NAME":[["eBay Inc."]],"EMR^FG_COMPANY_NAME":[["Emerson Electric Co."]],"COR^FG_COMPANY_NAME":[["Cencora, Inc."]],"VTR^FG_COMPANY_NAME":[["Ventas, Inc."]],"IDXX^FG_COMPANY_NAME":[["IDEXX Laboratories, Inc."]],"TPL^FG_COMPANY_NAME":[["Texas Pacific Land Corporation"]],"APA^FG_COMPANY_NAME":[["APA Corporation"]],"RSG^FG_COMPANY_NAME":[["Republic Services, Inc."]],"MET^FG_COMPANY_NAME":[["MetLife, Inc."]],"CVS^FG_COMPANY_NAME":[["CVS Health Corporation"]],"VRTX^FG_COMPANY_NAME":[["Vertex Pharmaceuticals Incorporated"]],"EXC^FG_COMPANY_NAME":[["Exelon Corporation"]],"GNRC^FG_COMPANY_NAME":[["Generac Holdings Inc."]],"CPAY^FG_COMPANY_NAME":[["Corpay, Inc."]],"CDW^FG_COMPANY_NAME":[["CDW Corporation"]],"AWK^FG_COMPANY_NAME":[["American Water Works Company, Inc."]],"IR^FG_COMPANY_NAME":[["Ingersoll Rand Inc."]],"FIS^FG_COMPANY_NAME":[["Fidelity National Information Services, Inc."]],"NCLH^FG_COMPANY_NAME":[["Norwegian Cruise Line Holdings Ltd."]],"CF^FG_COMPANY_NAME":[["CF Industries Holdings, Inc."]],"MOS^FG_COMPANY_NAME":[["Mosaic Company"]],"KHC^FG_COMPANY_NAME":[["Kraft Heinz Company"]],"UBER^FG_COMPANY_NAME":[["Uber Technologies, Inc."]],"PSKY^FG_COMPANY_NAME":[["Paramount Skydance Corporation Class B"]],"GEHC^FG_COMPANY_NAME":[["GE Healthcare Technologies Inc."]],"GEN^FG_COMPANY_NAME":[["Gen Digital Inc."]],"TPR^FG_COMPANY_NAME":[["Tapestry, Inc."]],"MCK^FG_COMPANY_NAME":[["McKesson Corporation"]],"AKAM^FG_COMPANY_NAME":[["Akamai Technologies, Inc."]],"GWW^FG_COMPANY_NAME":[["W.W. Grainger, Inc."]],"CRL^FG_COMPANY_NAME":[["Charles River Laboratories International, Inc."]],"SATS^FG_COMPANY_NAME":[["EchoStar Corporation Class A"]],"CEG^FG_COMPANY_NAME":[["Constellation Energy Corporation"]],"NWS^FG_COMPANY_NAME":[["News Corporation Class B"]],"NWSA^FG_COMPANY_NAME":[["News Corporation Class A"]],"COIN^FG_COMPANY_NAME":[["Coinbase Global, Inc. Class A"]],"TKO^FG_COMPANY_NAME":[["TKO Group Holdings, Inc. Class A"]],"WBD^FG_COMPANY_NAME":[["Warner Bros. Discovery, Inc. Series A"]],"SOLV^FG_COMPANY_NAME":[["Solventum Corporation"]],"TSN^FG_COMPANY_NAME":[["Tyson Foods, Inc. Class A"]],"MCHP^FG_COMPANY_NAME":[["Microchip Technology Incorporated"]],"SPG^FG_COMPANY_NAME":[["Simon Property Group, Inc."]],"IFF^FG_COMPANY_NAME":[["International Flavors & Fragrances Inc."]],"VTRS^FG_COMPANY_NAME":[["Viatris, Inc."]],"PLTR^FG_COMPANY_NAME":[["Palantir Technologies Inc. Class A"]],"HSIC^FG_COMPANY_NAME":[["Henry Schein, Inc."]],"JKHY^FG_COMPANY_NAME":[["Jack Henry & Associates, Inc."]],"AXON^FG_COMPANY_NAME":[["Axon Enterprise Inc"]],"WAT^FG_COMPANY_NAME":[["Waters Corporation"]],"ZBRA^FG_COMPANY_NAME":[["Zebra Technologies Corporation Class A"]],"EXPD^FG_COMPANY_NAME":[["Expeditors International of Washington, Inc."]],"OXY^FG_COMPANY_NAME":[["Occidental Petroleum Corporation"]],"WYNN^FG_COMPANY_NAME":[["Wynn Resorts, Limited"]],"J^FG_COMPANY_NAME":[["Jacobs Solutions Inc."]],"TDG^FG_COMPANY_NAME":[["TransDigm Group Incorporated"]],"DUK^FG_COMPANY_NAME":[["Duke Energy Corporation"]],"LITE^FG_COMPANY_NAME":[["Lumentum Holdings, Inc."]],"FOX^FG_COMPANY_NAME":[["Fox Corporation Class B"]],"FOXA^FG_COMPANY_NAME":[["Fox Corporation Class A"]],"COHR^FG_COMPANY_NAME":[["Coherent Corp."]],"ATO^FG_COMPANY_NAME":[["Atmos Energy Corporation"]],"NI^FG_COMPANY_NAME":[["NiSource Inc"]],"DIS^FG_COMPANY_NAME":[["Walt Disney Company"]],"TTD^FG_COMPANY_NAME":[["Trade Desk, Inc. Class A"]],"VST^FG_COMPANY_NAME":[["Vistra Corp."]],"CRH^FG_COMPANY_NAME":[["CRH public limited company"]],"ABNB^FG_COMPANY_NAME":[["Airbnb, Inc. Class A"]],"APP^FG_COMPANY_NAME":[["AppLovin Corp. Class A"]],"HOOD^FG_COMPANY_NAME":[["Robinhood Markets, Inc. Class A"]],"KVUE^FG_COMPANY_NAME":[["Kenvue, Inc."]],"TTWO^FG_COMPANY_NAME":[["Take-Two Interactive Software, Inc."]],"ROST^FG_COMPANY_NAME":[["Ross Stores, Inc."]],"WMT^FG_COMPANY_NAME":[["Walmart Inc."]],"AMAT^FG_COMPANY_NAME":[["Applied Materials, Inc."]],"HD^FG_COMPANY_NAME":[["Home Depot, Inc."]],"KEYS^FG_COMPANY_NAME":[["Keysight Technologies Inc"]],"TJX^FG_COMPANY_NAME":[["TJX Companies Inc"]],"NVDA^FG_COMPANY_NAME":[["NVIDIA Corporation"]],"TGT^FG_COMPANY_NAME":[["Target Corporation"]],"MDT^FG_COMPANY_NAME":[["Medtronic Plc"]],"SNPS^FG_COMPANY_NAME":[["Synopsys, Inc."]],"CSCO^FG_COMPANY_NAME":[["Cisco Systems, Inc."]],"CPRT^FG_COMPANY_NAME":[["Copart, Inc."]],"STE^FG_COMPANY_NAME":[["STERIS plc"]],"ADSK^FG_COMPANY_NAME":[["Autodesk, Inc."]],"DLTR^FG_COMPANY_NAME":[["Dollar Tree, Inc."]],"DECK^FG_COMPANY_NAME":[["Deckers Outdoor Corporation"]],"DE^FG_COMPANY_NAME":[["Deere & Company"]],"RL^FG_COMPANY_NAME":[["Ralph Lauren Corporation Class A"]],"INTU^FG_COMPANY_NAME":[["Intuit Inc."]],"ULTA^FG_COMPANY_NAME":[["Ulta Beauty Inc."]],"DG^FG_COMPANY_NAME":[["Dollar General Corporation"]],"WDAY^FG_COMPANY_NAME":[["Workday, Inc. Class A"]],"NDSN^FG_COMPANY_NAME":[["Nordson Corporation"]],"AZO^FG_COMPANY_NAME":[["AutoZone, Inc."]],"A^FG_COMPANY_NAME":[["Agilent Technologies, Inc."]],"PANW^FG_COMPANY_NAME":[["Palo Alto Networks, Inc."]],"ADI^FG_COMPANY_NAME":[["Analog Devices, Inc."]],"WSM^FG_COMPANY_NAME":[["Williams-Sonoma, Inc."]],"BBY^FG_COMPANY_NAME":[["Best Buy Co., Inc."]],"LOW^FG_COMPANY_NAME":[["Lowe's Companies, Inc."]],"COST^FG_COMPANY_NAME":[["Costco Wholesale Corporation"]],"HRL^FG_COMPANY_NAME":[["Hormel Foods Corporation"]],"LULU^FG_COMPANY_NAME":[["lululemon athletica inc."]],"NTAP^FG_COMPANY_NAME":[["NetApp, Inc."]],"DELL^FG_COMPANY_NAME":[["Dell Technologies, Inc. Class C"]],"CRWD^FG_COMPANY_NAME":[["CrowdStrike Holdings, Inc. Class A"]],"COO^FG_COMPANY_NAME":[["Cooper Companies, Inc."]],"HPE^FG_COMPANY_NAME":[["Hewlett Packard Enterprise Co."]],"CRM^FG_COMPANY_NAME":[["Salesforce, Inc."]],"HPQ^FG_COMPANY_NAME":[["HP Inc."]],"SJM^FG_COMPANY_NAME":[["J.M. Smucker Company"]],"CIEN^FG_COMPANY_NAME":[["Ciena Corporation"]],"AVGO^FG_COMPANY_NAME":[["Broadcom Inc."]],"CPB^FG_COMPANY_NAME":[["Campbell's Company"]],"BF.B^FG_COMPANY_NAME":[["Brown-Forman Corporation Class B"]],"ADBE^FG_COMPANY_NAME":[["Adobe Inc."]],"KR^FG_COMPANY_NAME":[["Kroger Co."]],"ORCL^FG_COMPANY_NAME":[["Oracle Corporation"]],"ACN^FG_COMPANY_NAME":[["Accenture Plc Class A"]],"JBL^FG_COMPANY_NAME":[["Jabil Inc."]],"DRI^FG_COMPANY_NAME":[["Darden Restaurants, Inc."]],"FDS^FG_COMPANY_NAME":[["FactSet Research Systems Inc."]],"LEN^FG_COMPANY_NAME":[["Lennar Corporation Class A"]],"FDX^FG_COMPANY_NAME":[["FedEx Corporation"]],"MKC^FG_COMPANY_NAME":[["McCormick & Company, Incorporated"]],"NKE^FG_COMPANY_NAME":[["NIKE, Inc. Class B"]],"CCL^FG_COMPANY_NAME":[["Carnival Corporation Ltd."]],"GIS^FG_COMPANY_NAME":[["General Mills, Inc."]],"MU^FG_COMPANY_NAME":[["Micron Technology, Inc."]],"PAYX^FG_COMPANY_NAME":[["Paychex, Inc."]],"CTAS^FG_COMPANY_NAME":[["Cintas Corporation"]],"AON^FG_COMPANY_NAME":[["Aon Plc Class A"]],"IQV^FG_COMPANY_NAME":[["IQVIA Holdings Inc"]],"IT^FG_COMPANY_NAME":[["Gartner, Inc."]],"NOTICKER^SUBARRAY(SORT(TRANSPOSE(SECTPERF[2].VALUE),2),0,10)":[[0.04416311],[0.04235041],[0.032762647],[0.032351255],[0.021266341],[0.019407272],[0.018511534],[0.014975667],[0.00017011166],[-0.0008691549]],"NOTICKER^SUBARRAY(SORT_INDIRECT(TRANSPOSE(SECTPERF[1].VALUE),TRANSPOSE(SECTPERF[2].VALUE),2),0,10)":[["Communication Services"],["Information Technology"],["Consumer Discretionary"],["Industrials"],["Financials"],["Health Care"],["Materials"],["Real Estate"],["Consumer Staples"],["Utilities"]],"CASY^FG_COMPANY_NAME":[["Casey's General Stores, Inc."]],"VEEV^FG_COMPANY_NAME":[["Veeva Systems Inc Class A"]],"BNY^FG_COMPANY_NAME":[["Bank of New York Mellon Corp"]],"VEEV^CS_EVENT_TIME_N(\"ER\",4)":[["Unspecified"]],"CASY^CS_EVENT_TIME_N(\"ER\",4)":[["Unspecified"]],"VEEV^CS_EVENT_DATEJ_N(\"ER\",4)":[[46449]],"VEEV^CS_EVENT_DESC_N(\"ER\",4)":[["Q4 2027 Earnings Release (Projected)"]],"CASY^CS_EVENT_DESC_N(\"ER\",4)":[["Q3 2027 Earnings Release (Projected)"]],"CASY^CS_EVENT_DATEJ_N(\"ER\",4)":[[46455]],"BNY^CS_EVENT_DATEJ_N(\"ER\",4)":[[46499]],"BNY^CS_EVENT_DESC_N(\"ER\",4)":[["Q1 2027 Earnings Release (Projected)"]],"BNY^CS_EVENT_TIME_N(\"ER\",4)":[["Unspecified"]],"BNY^CS_EVENT_TIME_N(\"ER\",3)":[["Unspecified"]],"CASY^CS_EVENT_TIME_N(\"ER\",3)":[["Unspecified"]],"VEEV^CS_EVENT_TIME_N(\"ER\",3)":[["Unspecified"]],"BNY^CS_EVENT_DESC_N(\"ER\",3)":[["Q4 2026 Earnings Release (Projected)"]],"VEEV^CS_EVENT_DATEJ_N(\"ER\",3)":[[46352]],"CASY^CS_EVENT_DESC_N(\"ER\",3)":[["Q2 2027 Earnings Release (Projected)"]],"VEEV^CS_EVENT_DESC_N(\"ER\",3)":[["Q3 2027 Earnings Release (Projected)"]],"CASY^CS_EVENT_DATEJ_N(\"ER\",3)":[[46370]],"BNY^CS_EVENT_DATEJ_N(\"ER\",3)":[[46407]],"CASY^CS_EVENT_DESC_N(\"ER\",2)":[["Q1 2027 Earnings Release (Projected)"]],"BNY^CS_EVENT_DATEJ_N(\"ER\",2)":[[46310]],"VEEV^CS_EVENT_TIME_N(\"ER\",2)":[["Unspecified"]],"VEEV^CS_EVENT_DATEJ_N(\"ER\",2)":[[46267]],"CASY^CS_EVENT_DATEJ_N(\"ER\",2)":[[46274]],"BNY^CS_EVENT_DESC_N(\"ER\",2)":[["Q3 2026 Earnings Release"]],"BNY^CS_EVENT_TIME_N(\"ER\",2)":[["6:30 AM"]],"CASY^CS_EVENT_TIME_N(\"ER\",2)":[["Unspecified"]],"VEEV^CS_EVENT_DESC_N(\"ER\",2)":[["Q2 2027 Earnings Release (Projected)"]],"CASY^CS_EVENT_DESC_N(\"E\",1)":[["Q4 2026 Earnings Call"]],"CASY^CS_EVENT_DATEJ_N(\"E\",1)":[[46183]],"BNY^CS_EVENT_DATEJ_N(\"E\",1)":[[46218]],"CASY^CS_EVENT_TIME_N(\"E\",1)":[["8:30 AM"]],"VEEV^CS_EVENT_TIME_N(\"E\",1)":[["5:00 PM"]],"VEEV^CS_EVENT_DATEJ_N(\"E\",1)":[[46176]],"BNY^CS_EVENT_DESC_N(\"E\",1)":[["Q2 2026 Earnings Call"]],"VEEV^CS_EVENT_DESC_N(\"E\",1)":[["Q1 2027 Earnings Call"]],"BNY^CS_EVENT_TIME_N(\"E\",1)":[["11:00 AM"]],"CASY^CS_EVENT_TIME_N(\"ER\",1)":[["4:30 PM"]],"VEEV^CS_EVENT_DESC_N(\"ER\",1)":[["Q1 2027 Earnings Release"]],"CASY^CS_EVENT_DATEJ_N(\"ER\",1)":[[46182]],"BNY^CS_EVENT_DATEJ_N(\"ER\",1)":[[46218]],"BNY^CS_EVENT_DESC_N(\"ER\",1)":[["Q2 2026 Earnings Release"]],"VEEV^CS_EVENT_DATEJ_N(\"ER\",1)":[[46176]],"VEEV^CS_EVENT_TIME_N(\"ER\",1)":[["4:05 PM"]],"BNY^CS_EVENT_TIME_N(\"ER\",1)":[["6:30 AM"]],"CASY^CS_EVENT_DESC_N(\"ER\",1)":[["Q4 2026 Earnings Release"]]}]]></FdsFormulaCache>
</file>

<file path=customXml/itemProps1.xml><?xml version="1.0" encoding="utf-8"?>
<ds:datastoreItem xmlns:ds="http://schemas.openxmlformats.org/officeDocument/2006/customXml" ds:itemID="{4B53B15B-48AB-472E-86DA-DE41E73DD2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c79459-79c0-4307-8cea-9b6e41b29d0a"/>
    <ds:schemaRef ds:uri="323bc80c-eed5-4a14-8d7c-2ad4a90073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11D456-390C-485E-921E-B803243777E3}">
  <ds:schemaRefs>
    <ds:schemaRef ds:uri="http://schemas.microsoft.com/sharepoint/v3/contenttype/forms"/>
  </ds:schemaRefs>
</ds:datastoreItem>
</file>

<file path=customXml/itemProps3.xml><?xml version="1.0" encoding="utf-8"?>
<ds:datastoreItem xmlns:ds="http://schemas.openxmlformats.org/officeDocument/2006/customXml" ds:itemID="{032A1EDE-0BC4-4933-B807-0022CDC0BEC7}">
  <ds:schemaRefs>
    <ds:schemaRef ds:uri="http://schemas.microsoft.com/office/2006/metadata/properties"/>
    <ds:schemaRef ds:uri="http://schemas.microsoft.com/office/infopath/2007/PartnerControls"/>
    <ds:schemaRef ds:uri="323bc80c-eed5-4a14-8d7c-2ad4a90073dd"/>
    <ds:schemaRef ds:uri="f7c79459-79c0-4307-8cea-9b6e41b29d0a"/>
  </ds:schemaRefs>
</ds:datastoreItem>
</file>

<file path=customXml/itemProps4.xml><?xml version="1.0" encoding="utf-8"?>
<ds:datastoreItem xmlns:ds="http://schemas.openxmlformats.org/officeDocument/2006/customXml" ds:itemID="{6A5BDFC6-E8F7-7440-9549-209E679AED9A}">
  <ds:schemaRefs>
    <ds:schemaRef ds:uri="urn:fdsformulacache"/>
  </ds:schemaRefs>
</ds:datastoreItem>
</file>

<file path=docMetadata/LabelInfo.xml><?xml version="1.0" encoding="utf-8"?>
<clbl:labelList xmlns:clbl="http://schemas.microsoft.com/office/2020/mipLabelMetadata">
  <clbl:label id="{ce06a806-128a-42b3-9b50-2719b8746adb}" enabled="1" method="Standard" siteId="{ff9b87e3-c548-4b3d-8782-7cf47b86c057}" contentBits="0" removed="0"/>
</clbl:labelLis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Cover_Page</vt:lpstr>
      <vt:lpstr>Index Snapshot</vt:lpstr>
      <vt:lpstr>Index - Earnings Calendar</vt:lpstr>
      <vt:lpstr>'Index - Earnings Calendar'!Identifier</vt:lpstr>
      <vt:lpstr>'Index Snapshot'!Identifier</vt:lpstr>
      <vt:lpstr>'Index Snapshot'!IDXSNAPSHOT_RWIdentifier</vt:lpstr>
      <vt:lpstr>Cover_Page!Print_Area</vt:lpstr>
      <vt:lpstr>'Index - Earnings Calendar'!Print_Area</vt:lpstr>
      <vt:lpstr>'Index Snapshot'!Print_Area</vt:lpstr>
    </vt:vector>
  </TitlesOfParts>
  <Manager/>
  <Company>FactSet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Bethany Evitts</cp:lastModifiedBy>
  <dcterms:created xsi:type="dcterms:W3CDTF">1998-11-16T14:42:28Z</dcterms:created>
  <dcterms:modified xsi:type="dcterms:W3CDTF">2026-05-28T11:51:14Z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MenuDocLevelBtnStates">
    <vt:lpwstr>&lt;btnStates&gt;&lt;btn tag="1001" state="UP"/&gt;&lt;/btnStates&gt;_x000d_
</vt:lpwstr>
  </property>
  <property fmtid="{D5CDD505-2E9C-101B-9397-08002B2CF9AE}" pid="3" name="FactSetAutoResize">
    <vt:i4>1</vt:i4>
  </property>
  <property fmtid="{D5CDD505-2E9C-101B-9397-08002B2CF9AE}" pid="4" name="=fdsSearchOrder">
    <vt:i4>0</vt:i4>
  </property>
  <property fmtid="{D5CDD505-2E9C-101B-9397-08002B2CF9AE}" pid="5" name="ContentTypeId">
    <vt:lpwstr>0x010100E944FC5F6311C24388A86964DCE30E55</vt:lpwstr>
  </property>
  <property fmtid="{D5CDD505-2E9C-101B-9397-08002B2CF9AE}" pid="6" name="Office Products">
    <vt:lpwstr/>
  </property>
  <property fmtid="{D5CDD505-2E9C-101B-9397-08002B2CF9AE}" pid="7" name="MediaServiceImageTags">
    <vt:lpwstr/>
  </property>
  <property fmtid="{D5CDD505-2E9C-101B-9397-08002B2CF9AE}" pid="8" name="OI Project">
    <vt:lpwstr/>
  </property>
  <property fmtid="{D5CDD505-2E9C-101B-9397-08002B2CF9AE}" pid="9" name="Cloud Refresh File ID">
    <vt:lpwstr>3f6363e9-349b-4308-9f85-1b830aabcbe6</vt:lpwstr>
  </property>
</Properties>
</file>