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;(#,##0);&quot;-&quot;"/>
    <numFmt numFmtId="166" formatCode="0.0&quot;x&quot;"/>
    <numFmt numFmtId="167" formatCode="0.0"/>
    <numFmt numFmtId="168" formatCode="&quot;$&quot;#,##0.00"/>
    <numFmt numFmtId="169" formatCode="0.0;(0.0)"/>
    <numFmt numFmtId="170" formatCode="&quot;$&quot;#,##0.00;(&quot;$&quot;#,##0.00)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1B2A4A"/>
      <sz val="9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1B2A4A"/>
      <sz val="9"/>
    </font>
    <font>
      <name val="Arial"/>
      <color rgb="000000FF"/>
      <sz val="9"/>
    </font>
    <font>
      <name val="Arial"/>
      <color rgb="00008000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FFFFFF"/>
      <sz val="9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ADCFC"/>
      </patternFill>
    </fill>
    <fill>
      <patternFill patternType="solid">
        <fgColor rgb="00FFFF00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A07D10"/>
      </patternFill>
    </fill>
    <fill>
      <patternFill patternType="solid">
        <fgColor rgb="000000FF"/>
      </patternFill>
    </fill>
    <fill>
      <patternFill patternType="solid">
        <fgColor rgb="00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/>
    </xf>
    <xf numFmtId="3" fontId="0" fillId="6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0" fontId="0" fillId="3" borderId="0" pivotButton="0" quotePrefix="0" xfId="0"/>
    <xf numFmtId="165" fontId="7" fillId="0" borderId="0" applyAlignment="1" pivotButton="0" quotePrefix="0" xfId="0">
      <alignment horizontal="center" vertical="center"/>
    </xf>
    <xf numFmtId="3" fontId="0" fillId="4" borderId="0" applyAlignment="1" pivotButton="0" quotePrefix="0" xfId="0">
      <alignment horizontal="center" vertical="center"/>
    </xf>
    <xf numFmtId="166" fontId="0" fillId="4" borderId="0" applyAlignment="1" pivotButton="0" quotePrefix="0" xfId="0">
      <alignment horizontal="center" vertical="center"/>
    </xf>
    <xf numFmtId="167" fontId="0" fillId="4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5" fontId="0" fillId="6" borderId="0" applyAlignment="1" pivotButton="0" quotePrefix="0" xfId="0">
      <alignment horizontal="center" vertical="center"/>
    </xf>
    <xf numFmtId="166" fontId="0" fillId="6" borderId="0" applyAlignment="1" pivotButton="0" quotePrefix="0" xfId="0">
      <alignment horizontal="center" vertical="center"/>
    </xf>
    <xf numFmtId="167" fontId="0" fillId="6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9" fontId="0" fillId="4" borderId="0" applyAlignment="1" pivotButton="0" quotePrefix="0" xfId="0">
      <alignment horizontal="center" vertical="center"/>
    </xf>
    <xf numFmtId="168" fontId="0" fillId="4" borderId="0" applyAlignment="1" pivotButton="0" quotePrefix="0" xfId="0">
      <alignment horizontal="center" vertical="center"/>
    </xf>
    <xf numFmtId="170" fontId="0" fillId="4" borderId="0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67" fontId="8" fillId="5" borderId="0" applyAlignment="1" pivotButton="0" quotePrefix="0" xfId="0">
      <alignment horizontal="center" vertical="center"/>
    </xf>
    <xf numFmtId="168" fontId="0" fillId="6" borderId="0" applyAlignment="1" pivotButton="0" quotePrefix="0" xfId="0">
      <alignment horizontal="center" vertical="center"/>
    </xf>
    <xf numFmtId="169" fontId="0" fillId="6" borderId="0" applyAlignment="1" pivotButton="0" quotePrefix="0" xfId="0">
      <alignment horizontal="center" vertical="center"/>
    </xf>
    <xf numFmtId="170" fontId="0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7" borderId="0" pivotButton="0" quotePrefix="0" xfId="0"/>
    <xf numFmtId="0" fontId="11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11" fillId="9" borderId="0" pivotButton="0" quotePrefix="0" xfId="0"/>
    <xf numFmtId="0" fontId="11" fillId="10" borderId="0" pivotButton="0" quotePrefix="0" xfId="0"/>
    <xf numFmtId="0" fontId="12" fillId="4" borderId="0" pivotButton="0" quotePrefix="0" xfId="0"/>
    <xf numFmtId="0" fontId="12" fillId="6" borderId="0" pivotButton="0" quotePrefix="0" xfId="0"/>
    <xf numFmtId="0" fontId="11" fillId="8" borderId="0" pivotButton="0" quotePrefix="0" xfId="0"/>
    <xf numFmtId="0" fontId="1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4" customWidth="1" min="5" max="5"/>
    <col width="18" customWidth="1" min="6" max="6"/>
    <col width="20" customWidth="1" min="7" max="7"/>
    <col width="18" customWidth="1" min="8" max="8"/>
    <col width="13" customWidth="1" min="9" max="9"/>
    <col width="10" customWidth="1" min="10" max="10"/>
    <col width="9" customWidth="1" min="11" max="11"/>
    <col width="10" customWidth="1" min="12" max="12"/>
    <col width="11" customWidth="1" min="13" max="13"/>
    <col width="8" customWidth="1" min="14" max="14"/>
  </cols>
  <sheetData>
    <row r="1" ht="36" customHeight="1">
      <c r="A1" s="1" t="inlineStr">
        <is>
          <t>BUS 331 — TECHNOLOGY SECTOR COMPARABLE COMPANY ANALYSIS</t>
        </is>
      </c>
    </row>
    <row r="2" ht="18" customHeight="1">
      <c r="A2" s="2" t="inlineStr">
        <is>
          <t>AAPL  (Apple Inc.)  •  MSFT  (Microsoft Corp.)  •  GOOGL  (Alphabet Inc.)  •  META  (Meta Platforms Inc.)  •  NVDA  (NVIDIA Corp.)</t>
        </is>
      </c>
    </row>
    <row r="3" ht="15" customHeight="1">
      <c r="A3" s="3" t="inlineStr">
        <is>
          <t>As of FY2024 / LTM  |  All figures in USD Millions except per-share amounts, ratios, and multiples</t>
        </is>
      </c>
    </row>
    <row r="4" ht="6" customHeight="1"/>
    <row r="5" ht="22" customHeight="1">
      <c r="A5" s="4" t="inlineStr">
        <is>
          <t xml:space="preserve">  SECTION 1 — OPERATING STATISTICS &amp; FINANCIAL METRICS</t>
        </is>
      </c>
    </row>
    <row r="6" ht="30" customHeight="1">
      <c r="A6" s="5" t="inlineStr">
        <is>
          <t>Company</t>
        </is>
      </c>
      <c r="B6" s="5" t="inlineStr">
        <is>
          <t>Revenue
($M)</t>
        </is>
      </c>
      <c r="C6" s="5" t="inlineStr">
        <is>
          <t>Revenue
Growth (YoY)</t>
        </is>
      </c>
      <c r="D6" s="5" t="inlineStr">
        <is>
          <t>Gross Profit
($M)</t>
        </is>
      </c>
      <c r="E6" s="5" t="inlineStr">
        <is>
          <t>Gross
Margin</t>
        </is>
      </c>
      <c r="F6" s="5" t="inlineStr">
        <is>
          <t>EBITDA
($M)</t>
        </is>
      </c>
      <c r="G6" s="5" t="inlineStr">
        <is>
          <t>EBITDA
Margin</t>
        </is>
      </c>
      <c r="H6" s="5" t="inlineStr">
        <is>
          <t>Net Income
($M)</t>
        </is>
      </c>
    </row>
    <row r="7" ht="18" customHeight="1">
      <c r="A7" s="6" t="inlineStr">
        <is>
          <t>AAPL  —  Apple Inc.</t>
        </is>
      </c>
      <c r="B7" s="7" t="n">
        <v>391035</v>
      </c>
      <c r="C7" s="8" t="n">
        <v>0.02</v>
      </c>
      <c r="D7" s="7" t="n">
        <v>180683</v>
      </c>
      <c r="E7" s="9" t="n"/>
      <c r="F7" s="7" t="n">
        <v>137352</v>
      </c>
      <c r="G7" s="9" t="n"/>
      <c r="H7" s="7" t="n">
        <v>93736</v>
      </c>
    </row>
    <row r="8" ht="18" customHeight="1">
      <c r="A8" s="10" t="inlineStr">
        <is>
          <t>MSFT  —  Microsoft Corp.</t>
        </is>
      </c>
      <c r="B8" s="11" t="n">
        <v>245122</v>
      </c>
      <c r="C8" s="12" t="n">
        <v>0.158</v>
      </c>
      <c r="D8" s="11" t="n">
        <v>167413</v>
      </c>
      <c r="E8" s="9" t="n"/>
      <c r="F8" s="11" t="n">
        <v>130519</v>
      </c>
      <c r="G8" s="9" t="n"/>
      <c r="H8" s="11" t="n">
        <v>88136</v>
      </c>
      <c r="I8" s="13" t="n"/>
      <c r="J8" s="13" t="n"/>
      <c r="K8" s="13" t="n"/>
      <c r="L8" s="13" t="n"/>
      <c r="M8" s="13" t="n"/>
      <c r="N8" s="13" t="n"/>
    </row>
    <row r="9" ht="18" customHeight="1">
      <c r="A9" s="6" t="inlineStr">
        <is>
          <t>GOOGL  —  Alphabet Inc.</t>
        </is>
      </c>
      <c r="B9" s="7" t="n">
        <v>350018</v>
      </c>
      <c r="C9" s="8" t="n">
        <v>0.08599999999999999</v>
      </c>
      <c r="D9" s="7" t="n">
        <v>194875</v>
      </c>
      <c r="E9" s="9" t="n"/>
      <c r="F9" s="7" t="n">
        <v>113748</v>
      </c>
      <c r="G9" s="9" t="n"/>
      <c r="H9" s="7" t="n">
        <v>94300</v>
      </c>
    </row>
    <row r="10" ht="18" customHeight="1">
      <c r="A10" s="10" t="inlineStr">
        <is>
          <t>META  —  Meta Platforms Inc.</t>
        </is>
      </c>
      <c r="B10" s="11" t="n">
        <v>164501</v>
      </c>
      <c r="C10" s="12" t="n">
        <v>0.221</v>
      </c>
      <c r="D10" s="11" t="n">
        <v>131700</v>
      </c>
      <c r="E10" s="9" t="n"/>
      <c r="F10" s="11" t="n">
        <v>76738</v>
      </c>
      <c r="G10" s="9" t="n"/>
      <c r="H10" s="11" t="n">
        <v>62358</v>
      </c>
      <c r="I10" s="13" t="n"/>
      <c r="J10" s="13" t="n"/>
      <c r="K10" s="13" t="n"/>
      <c r="L10" s="13" t="n"/>
      <c r="M10" s="13" t="n"/>
      <c r="N10" s="13" t="n"/>
    </row>
    <row r="11" ht="18" customHeight="1">
      <c r="A11" s="6" t="inlineStr">
        <is>
          <t>NVDA  —  NVIDIA Corp.</t>
        </is>
      </c>
      <c r="B11" s="7" t="n">
        <v>130497</v>
      </c>
      <c r="C11" s="8" t="n">
        <v>1.228</v>
      </c>
      <c r="D11" s="7" t="n">
        <v>100119</v>
      </c>
      <c r="E11" s="9" t="n"/>
      <c r="F11" s="7" t="n">
        <v>97440</v>
      </c>
      <c r="G11" s="9" t="n"/>
      <c r="H11" s="7" t="n">
        <v>72880</v>
      </c>
    </row>
    <row r="12" ht="6" customHeight="1"/>
    <row r="13" ht="15" customHeight="1">
      <c r="A13" s="14" t="inlineStr">
        <is>
          <t>Median</t>
        </is>
      </c>
      <c r="B13" s="15" t="n"/>
      <c r="C13" s="16" t="n"/>
      <c r="D13" s="15" t="n"/>
      <c r="E13" s="16" t="n"/>
      <c r="F13" s="15" t="n"/>
      <c r="G13" s="16" t="n"/>
      <c r="H13" s="15" t="n"/>
    </row>
    <row r="14" ht="15" customHeight="1">
      <c r="A14" s="14" t="inlineStr">
        <is>
          <t>75th Percentile</t>
        </is>
      </c>
      <c r="B14" s="15" t="n"/>
      <c r="C14" s="16" t="n"/>
      <c r="D14" s="15" t="n"/>
      <c r="E14" s="16" t="n"/>
      <c r="F14" s="15" t="n"/>
      <c r="G14" s="16" t="n"/>
      <c r="H14" s="15" t="n"/>
    </row>
    <row r="15" ht="15" customHeight="1">
      <c r="A15" s="14" t="inlineStr">
        <is>
          <t>25th Percentile</t>
        </is>
      </c>
      <c r="B15" s="15" t="n"/>
      <c r="C15" s="16" t="n"/>
      <c r="D15" s="15" t="n"/>
      <c r="E15" s="16" t="n"/>
      <c r="F15" s="15" t="n"/>
      <c r="G15" s="16" t="n"/>
      <c r="H15" s="15" t="n"/>
    </row>
    <row r="16" ht="15" customHeight="1">
      <c r="A16" s="14" t="inlineStr">
        <is>
          <t>Maximum</t>
        </is>
      </c>
      <c r="B16" s="15" t="n"/>
      <c r="C16" s="16" t="n"/>
      <c r="D16" s="15" t="n"/>
      <c r="E16" s="16" t="n"/>
      <c r="F16" s="15" t="n"/>
      <c r="G16" s="16" t="n"/>
      <c r="H16" s="15" t="n"/>
    </row>
    <row r="17" ht="15" customHeight="1">
      <c r="A17" s="14" t="inlineStr">
        <is>
          <t>Minimum</t>
        </is>
      </c>
      <c r="B17" s="15" t="n"/>
      <c r="C17" s="16" t="n"/>
      <c r="D17" s="15" t="n"/>
      <c r="E17" s="16" t="n"/>
      <c r="F17" s="15" t="n"/>
      <c r="G17" s="16" t="n"/>
      <c r="H17" s="15" t="n"/>
    </row>
    <row r="18" ht="10" customHeight="1"/>
    <row r="19" ht="22" customHeight="1">
      <c r="A19" s="4" t="inlineStr">
        <is>
          <t xml:space="preserve">  SECTION 2 — VALUATION MULTIPLES</t>
        </is>
      </c>
    </row>
    <row r="20" ht="30" customHeight="1">
      <c r="A20" s="5" t="inlineStr">
        <is>
          <t>Company</t>
        </is>
      </c>
      <c r="B20" s="17" t="n"/>
      <c r="C20" s="17" t="n"/>
      <c r="D20" s="17" t="n"/>
      <c r="E20" s="17" t="n"/>
      <c r="F20" s="17" t="n"/>
      <c r="G20" s="17" t="n"/>
      <c r="H20" s="17" t="n"/>
      <c r="I20" s="5" t="inlineStr">
        <is>
          <t>Market Cap
($M)</t>
        </is>
      </c>
      <c r="J20" s="5" t="inlineStr">
        <is>
          <t>Net Debt
($M)</t>
        </is>
      </c>
      <c r="K20" s="5" t="inlineStr">
        <is>
          <t>Enterprise
Value ($M)</t>
        </is>
      </c>
      <c r="L20" s="5" t="inlineStr">
        <is>
          <t>EV / Revenue</t>
        </is>
      </c>
      <c r="M20" s="5" t="inlineStr">
        <is>
          <t>EV / EBITDA</t>
        </is>
      </c>
      <c r="N20" s="5" t="inlineStr">
        <is>
          <t>P/E
Ratio</t>
        </is>
      </c>
    </row>
    <row r="21" ht="18" customHeight="1">
      <c r="A21" s="6" t="inlineStr">
        <is>
          <t>AAPL  —  Apple Inc.</t>
        </is>
      </c>
      <c r="I21" s="7" t="n">
        <v>3450000</v>
      </c>
      <c r="J21" s="18" t="n">
        <v>-56955</v>
      </c>
      <c r="K21" s="19" t="n"/>
      <c r="L21" s="20" t="n"/>
      <c r="M21" s="20" t="n"/>
      <c r="N21" s="21" t="n"/>
    </row>
    <row r="22" ht="18" customHeight="1">
      <c r="A22" s="10" t="inlineStr">
        <is>
          <t>MSFT  —  Microsoft Corp.</t>
        </is>
      </c>
      <c r="I22" s="11" t="n">
        <v>3100000</v>
      </c>
      <c r="J22" s="22" t="n">
        <v>-26569</v>
      </c>
      <c r="K22" s="19" t="n"/>
      <c r="L22" s="20" t="n"/>
      <c r="M22" s="20" t="n"/>
      <c r="N22" s="21" t="n"/>
    </row>
    <row r="23" ht="18" customHeight="1">
      <c r="A23" s="6" t="inlineStr">
        <is>
          <t>GOOGL  —  Alphabet Inc.</t>
        </is>
      </c>
      <c r="I23" s="7" t="n">
        <v>2020000</v>
      </c>
      <c r="J23" s="18" t="n">
        <v>-83700</v>
      </c>
      <c r="K23" s="19" t="n"/>
      <c r="L23" s="20" t="n"/>
      <c r="M23" s="20" t="n"/>
      <c r="N23" s="21" t="n"/>
    </row>
    <row r="24" ht="18" customHeight="1">
      <c r="A24" s="10" t="inlineStr">
        <is>
          <t>META  —  Meta Platforms Inc.</t>
        </is>
      </c>
      <c r="I24" s="11" t="n">
        <v>1410000</v>
      </c>
      <c r="J24" s="22" t="n">
        <v>-58100</v>
      </c>
      <c r="K24" s="19" t="n"/>
      <c r="L24" s="20" t="n"/>
      <c r="M24" s="20" t="n"/>
      <c r="N24" s="21" t="n"/>
    </row>
    <row r="25" ht="18" customHeight="1">
      <c r="A25" s="6" t="inlineStr">
        <is>
          <t>NVDA  —  NVIDIA Corp.</t>
        </is>
      </c>
      <c r="I25" s="7" t="n">
        <v>3300000</v>
      </c>
      <c r="J25" s="18" t="n">
        <v>-8900</v>
      </c>
      <c r="K25" s="19" t="n"/>
      <c r="L25" s="20" t="n"/>
      <c r="M25" s="20" t="n"/>
      <c r="N25" s="21" t="n"/>
    </row>
    <row r="26" ht="6" customHeight="1"/>
    <row r="27" ht="15" customHeight="1">
      <c r="A27" s="14" t="inlineStr">
        <is>
          <t>Median</t>
        </is>
      </c>
      <c r="I27" s="15" t="n"/>
      <c r="J27" s="23" t="n"/>
      <c r="K27" s="15" t="n"/>
      <c r="L27" s="24" t="n"/>
      <c r="M27" s="24" t="n"/>
      <c r="N27" s="25" t="n"/>
    </row>
    <row r="28" ht="15" customHeight="1">
      <c r="A28" s="14" t="inlineStr">
        <is>
          <t>75th Percentile</t>
        </is>
      </c>
      <c r="I28" s="15" t="n"/>
      <c r="J28" s="23" t="n"/>
      <c r="K28" s="15" t="n"/>
      <c r="L28" s="24" t="n"/>
      <c r="M28" s="24" t="n"/>
      <c r="N28" s="25" t="n"/>
    </row>
    <row r="29" ht="15" customHeight="1">
      <c r="A29" s="14" t="inlineStr">
        <is>
          <t>25th Percentile</t>
        </is>
      </c>
      <c r="I29" s="15" t="n"/>
      <c r="J29" s="23" t="n"/>
      <c r="K29" s="15" t="n"/>
      <c r="L29" s="24" t="n"/>
      <c r="M29" s="24" t="n"/>
      <c r="N29" s="25" t="n"/>
    </row>
    <row r="30" ht="15" customHeight="1">
      <c r="A30" s="14" t="inlineStr">
        <is>
          <t>Maximum</t>
        </is>
      </c>
      <c r="I30" s="15" t="n"/>
      <c r="J30" s="23" t="n"/>
      <c r="K30" s="15" t="n"/>
      <c r="L30" s="24" t="n"/>
      <c r="M30" s="24" t="n"/>
      <c r="N30" s="25" t="n"/>
    </row>
    <row r="31" ht="15" customHeight="1">
      <c r="A31" s="14" t="inlineStr">
        <is>
          <t>Minimum</t>
        </is>
      </c>
      <c r="I31" s="15" t="n"/>
      <c r="J31" s="23" t="n"/>
      <c r="K31" s="15" t="n"/>
      <c r="L31" s="24" t="n"/>
      <c r="M31" s="24" t="n"/>
      <c r="N31" s="25" t="n"/>
    </row>
    <row r="32" ht="10" customHeight="1"/>
    <row r="33" ht="22" customHeight="1">
      <c r="A33" s="4" t="inlineStr">
        <is>
          <t xml:space="preserve">  SECTION 3 — FORWARD P/E ANALYSIS  (Consensus FY+1 Estimates)</t>
        </is>
      </c>
    </row>
    <row r="34" ht="30" customHeight="1">
      <c r="A34" s="5" t="inlineStr">
        <is>
          <t>Company</t>
        </is>
      </c>
      <c r="B34" s="5" t="inlineStr">
        <is>
          <t>Current
Price ($)</t>
        </is>
      </c>
      <c r="C34" s="5" t="inlineStr">
        <is>
          <t>Fwd EPS
Estimate ($)</t>
        </is>
      </c>
      <c r="D34" s="5" t="inlineStr">
        <is>
          <t>Forward
P/E</t>
        </is>
      </c>
      <c r="E34" s="5" t="inlineStr">
        <is>
          <t>LTM P/E
(Sec. 2)</t>
        </is>
      </c>
      <c r="F34" s="5" t="inlineStr">
        <is>
          <t>P/E Premium /
(Discount)</t>
        </is>
      </c>
      <c r="G34" s="5" t="inlineStr">
        <is>
          <t>Implied Price @
Median Fwd P/E</t>
        </is>
      </c>
      <c r="H34" s="5" t="inlineStr">
        <is>
          <t>Over/(Under)
Valued ($)</t>
        </is>
      </c>
      <c r="I34" s="17" t="n"/>
      <c r="J34" s="17" t="n"/>
      <c r="K34" s="17" t="n"/>
      <c r="L34" s="17" t="n"/>
      <c r="M34" s="17" t="n"/>
      <c r="N34" s="17" t="n"/>
    </row>
    <row r="35" ht="18" customHeight="1">
      <c r="A35" s="6" t="inlineStr">
        <is>
          <t>AAPL  —  Apple Inc.</t>
        </is>
      </c>
      <c r="B35" s="26" t="n">
        <v>227</v>
      </c>
      <c r="C35" s="26" t="n">
        <v>6.73</v>
      </c>
      <c r="D35" s="21" t="n"/>
      <c r="E35" s="27">
        <f>N21</f>
        <v/>
      </c>
      <c r="F35" s="28" t="n"/>
      <c r="G35" s="29" t="n"/>
      <c r="H35" s="30" t="n"/>
    </row>
    <row r="36" ht="18" customHeight="1">
      <c r="A36" s="10" t="inlineStr">
        <is>
          <t>MSFT  —  Microsoft Corp.</t>
        </is>
      </c>
      <c r="B36" s="31" t="n">
        <v>416</v>
      </c>
      <c r="C36" s="31" t="n">
        <v>13.2</v>
      </c>
      <c r="D36" s="21" t="n"/>
      <c r="E36" s="32">
        <f>N22</f>
        <v/>
      </c>
      <c r="F36" s="28" t="n"/>
      <c r="G36" s="29" t="n"/>
      <c r="H36" s="30" t="n"/>
    </row>
    <row r="37" ht="18" customHeight="1">
      <c r="A37" s="6" t="inlineStr">
        <is>
          <t>GOOGL  —  Alphabet Inc.</t>
        </is>
      </c>
      <c r="B37" s="26" t="n">
        <v>166</v>
      </c>
      <c r="C37" s="26" t="n">
        <v>8.960000000000001</v>
      </c>
      <c r="D37" s="21" t="n"/>
      <c r="E37" s="27">
        <f>N23</f>
        <v/>
      </c>
      <c r="F37" s="28" t="n"/>
      <c r="G37" s="29" t="n"/>
      <c r="H37" s="30" t="n"/>
    </row>
    <row r="38" ht="18" customHeight="1">
      <c r="A38" s="10" t="inlineStr">
        <is>
          <t>META  —  Meta Platforms Inc.</t>
        </is>
      </c>
      <c r="B38" s="31" t="n">
        <v>555</v>
      </c>
      <c r="C38" s="31" t="n">
        <v>26.15</v>
      </c>
      <c r="D38" s="21" t="n"/>
      <c r="E38" s="32">
        <f>N24</f>
        <v/>
      </c>
      <c r="F38" s="28" t="n"/>
      <c r="G38" s="29" t="n"/>
      <c r="H38" s="30" t="n"/>
    </row>
    <row r="39" ht="18" customHeight="1">
      <c r="A39" s="6" t="inlineStr">
        <is>
          <t>NVDA  —  NVIDIA Corp.</t>
        </is>
      </c>
      <c r="B39" s="26" t="n">
        <v>1350</v>
      </c>
      <c r="C39" s="26" t="n">
        <v>39.5</v>
      </c>
      <c r="D39" s="21" t="n"/>
      <c r="E39" s="27">
        <f>N25</f>
        <v/>
      </c>
      <c r="F39" s="28" t="n"/>
      <c r="G39" s="29" t="n"/>
      <c r="H39" s="30" t="n"/>
    </row>
    <row r="40" ht="6" customHeight="1"/>
    <row r="41" ht="15" customHeight="1">
      <c r="A41" s="14" t="inlineStr">
        <is>
          <t>Median</t>
        </is>
      </c>
      <c r="B41" s="33" t="n"/>
      <c r="C41" s="33" t="n"/>
      <c r="D41" s="25" t="n"/>
      <c r="E41" s="25" t="n"/>
      <c r="F41" s="34" t="n"/>
      <c r="G41" s="33" t="n"/>
      <c r="H41" s="35" t="n"/>
    </row>
    <row r="42" ht="15" customHeight="1">
      <c r="A42" s="14" t="inlineStr">
        <is>
          <t>75th Percentile</t>
        </is>
      </c>
      <c r="B42" s="33" t="n"/>
      <c r="C42" s="33" t="n"/>
      <c r="D42" s="25" t="n"/>
      <c r="E42" s="25" t="n"/>
      <c r="F42" s="34" t="n"/>
      <c r="G42" s="33" t="n"/>
      <c r="H42" s="35" t="n"/>
    </row>
    <row r="43" ht="15" customHeight="1">
      <c r="A43" s="14" t="inlineStr">
        <is>
          <t>25th Percentile</t>
        </is>
      </c>
      <c r="B43" s="33" t="n"/>
      <c r="C43" s="33" t="n"/>
      <c r="D43" s="25" t="n"/>
      <c r="E43" s="25" t="n"/>
      <c r="F43" s="34" t="n"/>
      <c r="G43" s="33" t="n"/>
      <c r="H43" s="35" t="n"/>
    </row>
    <row r="44" ht="15" customHeight="1">
      <c r="A44" s="14" t="inlineStr">
        <is>
          <t>Maximum</t>
        </is>
      </c>
      <c r="B44" s="33" t="n"/>
      <c r="C44" s="33" t="n"/>
      <c r="D44" s="25" t="n"/>
      <c r="E44" s="25" t="n"/>
      <c r="F44" s="34" t="n"/>
      <c r="G44" s="33" t="n"/>
      <c r="H44" s="35" t="n"/>
    </row>
    <row r="45" ht="15" customHeight="1">
      <c r="A45" s="14" t="inlineStr">
        <is>
          <t>Minimum</t>
        </is>
      </c>
      <c r="B45" s="33" t="n"/>
      <c r="C45" s="33" t="n"/>
      <c r="D45" s="25" t="n"/>
      <c r="E45" s="25" t="n"/>
      <c r="F45" s="34" t="n"/>
      <c r="G45" s="33" t="n"/>
      <c r="H45" s="35" t="n"/>
    </row>
    <row r="46" ht="30" customHeight="1">
      <c r="A46" s="36" t="inlineStr">
        <is>
          <t>INTERPRETATION GUIDE:  Forward P/E &lt; LTM P/E → market expects earnings to grow faster (larger denominator). Negative P/E Premium = stock is trading at a discount to its own history. Implied Price &gt; Current Price → may be undervalued vs. peer median Fwd P/E. Green cells = live cross-reference from Section 2.</t>
        </is>
      </c>
    </row>
    <row r="47" ht="10" customHeight="1"/>
    <row r="48" ht="22" customHeight="1">
      <c r="A48" s="4" t="inlineStr">
        <is>
          <t xml:space="preserve">  SECTION 4 — INVESTMENT INTERPRETATION &amp; ANALYSIS QUESTIONS</t>
        </is>
      </c>
    </row>
    <row r="49" ht="30" customHeight="1">
      <c r="A49" s="37" t="inlineStr">
        <is>
          <t>Q1</t>
        </is>
      </c>
      <c r="B49" s="38" t="inlineStr">
        <is>
          <t>Which company trades at the HIGHEST EV/EBITDA multiple? What might justify this premium valuation?</t>
        </is>
      </c>
    </row>
    <row r="50" ht="18" customHeight="1">
      <c r="A50" s="39" t="n"/>
      <c r="B50" s="40" t="n"/>
    </row>
    <row r="51" ht="18" customHeight="1">
      <c r="A51" s="39" t="n"/>
      <c r="B51" s="40" t="n"/>
    </row>
    <row r="52" ht="18" customHeight="1">
      <c r="A52" s="39" t="n"/>
      <c r="B52" s="40" t="n"/>
    </row>
    <row r="53" ht="30" customHeight="1">
      <c r="A53" s="37" t="inlineStr">
        <is>
          <t>Q2</t>
        </is>
      </c>
      <c r="B53" s="38" t="inlineStr">
        <is>
          <t>Using the MEDIAN EV/EBITDA multiple from Section 2, calculate an implied Enterprise Value for AAPL. Is AAPL overvalued or undervalued relative to peers? Show your work.</t>
        </is>
      </c>
    </row>
    <row r="54" ht="18" customHeight="1">
      <c r="A54" s="39" t="n"/>
      <c r="B54" s="40" t="n"/>
    </row>
    <row r="55" ht="18" customHeight="1">
      <c r="A55" s="39" t="n"/>
      <c r="B55" s="40" t="n"/>
    </row>
    <row r="56" ht="18" customHeight="1">
      <c r="A56" s="39" t="n"/>
      <c r="B56" s="40" t="n"/>
    </row>
    <row r="57" ht="30" customHeight="1">
      <c r="A57" s="37" t="inlineStr">
        <is>
          <t>Q3</t>
        </is>
      </c>
      <c r="B57" s="38" t="inlineStr">
        <is>
          <t>Compare AAPL's Forward P/E with its LTM P/E. What does a lower Forward P/E tell you about market expectations for earnings growth? How does this differ from NVDA?</t>
        </is>
      </c>
    </row>
    <row r="58" ht="18" customHeight="1">
      <c r="A58" s="39" t="n"/>
      <c r="B58" s="40" t="n"/>
    </row>
    <row r="59" ht="18" customHeight="1">
      <c r="A59" s="39" t="n"/>
      <c r="B59" s="40" t="n"/>
    </row>
    <row r="60" ht="18" customHeight="1">
      <c r="A60" s="39" t="n"/>
      <c r="B60" s="40" t="n"/>
    </row>
    <row r="61" ht="30" customHeight="1">
      <c r="A61" s="37" t="inlineStr">
        <is>
          <t>Q4</t>
        </is>
      </c>
      <c r="B61" s="38" t="inlineStr">
        <is>
          <t>NVDA has a dramatically higher revenue growth rate than its peers. How does this growth premium appear to be priced in to its Fwd P/E? What does this imply about the relationship between growth and valuation?</t>
        </is>
      </c>
    </row>
    <row r="62" ht="18" customHeight="1">
      <c r="A62" s="39" t="n"/>
      <c r="B62" s="40" t="n"/>
    </row>
    <row r="63" ht="18" customHeight="1">
      <c r="A63" s="39" t="n"/>
      <c r="B63" s="40" t="n"/>
    </row>
    <row r="64" ht="18" customHeight="1">
      <c r="A64" s="39" t="n"/>
      <c r="B64" s="40" t="n"/>
    </row>
    <row r="65" ht="30" customHeight="1">
      <c r="A65" s="37" t="inlineStr">
        <is>
          <t>Q5</t>
        </is>
      </c>
      <c r="B65" s="38" t="inlineStr">
        <is>
          <t>If you were a portfolio manager selecting ONE of these five stocks today, which would you choose based solely on this comps analysis? Justify your answer using at least two metrics from any section.</t>
        </is>
      </c>
    </row>
    <row r="66" ht="18" customHeight="1">
      <c r="A66" s="39" t="n"/>
      <c r="B66" s="40" t="n"/>
    </row>
    <row r="67" ht="18" customHeight="1">
      <c r="A67" s="39" t="n"/>
      <c r="B67" s="40" t="n"/>
    </row>
    <row r="68" ht="18" customHeight="1">
      <c r="A68" s="39" t="n"/>
      <c r="B68" s="40" t="n"/>
    </row>
    <row r="71" ht="22" customHeight="1">
      <c r="A71" s="4" t="inlineStr">
        <is>
          <t xml:space="preserve">  COLOR KEY</t>
        </is>
      </c>
    </row>
    <row r="72" ht="16" customHeight="1">
      <c r="A72" s="41" t="inlineStr">
        <is>
          <t xml:space="preserve">  ██</t>
        </is>
      </c>
      <c r="B72" s="42" t="inlineStr">
        <is>
          <t>Section Header — Navigation</t>
        </is>
      </c>
    </row>
    <row r="73" ht="16" customHeight="1">
      <c r="A73" s="43" t="inlineStr">
        <is>
          <t xml:space="preserve">  ██</t>
        </is>
      </c>
      <c r="B73" s="42" t="inlineStr">
        <is>
          <t>Given Data (Blue text) — Hardcoded Input</t>
        </is>
      </c>
    </row>
    <row r="74" ht="16" customHeight="1">
      <c r="A74" s="44" t="inlineStr">
        <is>
          <t xml:space="preserve">  ██</t>
        </is>
      </c>
      <c r="B74" s="42" t="inlineStr">
        <is>
          <t>Live Formula Link (Green text) — Cross-section Reference</t>
        </is>
      </c>
    </row>
    <row r="75" ht="16" customHeight="1">
      <c r="A75" s="45" t="inlineStr">
        <is>
          <t xml:space="preserve">  ██</t>
        </is>
      </c>
      <c r="B75" s="42" t="inlineStr">
        <is>
          <t>Your Calculation — Enter Excel Formula Here</t>
        </is>
      </c>
    </row>
    <row r="76" ht="16" customHeight="1">
      <c r="A76" s="46" t="inlineStr">
        <is>
          <t xml:space="preserve">  ██</t>
        </is>
      </c>
      <c r="B76" s="42" t="inlineStr">
        <is>
          <t>Statistics Row — Auto-calculated (Median, Percentiles)</t>
        </is>
      </c>
    </row>
    <row r="77" ht="16" customHeight="1">
      <c r="A77" s="47" t="inlineStr">
        <is>
          <t xml:space="preserve">  ██</t>
        </is>
      </c>
      <c r="B77" s="42" t="inlineStr">
        <is>
          <t>Analysis Question</t>
        </is>
      </c>
    </row>
    <row r="78" ht="16" customHeight="1">
      <c r="A78" s="48" t="inlineStr">
        <is>
          <t xml:space="preserve">  ██</t>
        </is>
      </c>
      <c r="B78" s="42" t="inlineStr">
        <is>
          <t>Written Answer Area</t>
        </is>
      </c>
    </row>
  </sheetData>
  <mergeCells count="29">
    <mergeCell ref="A48:N48"/>
    <mergeCell ref="B49:N49"/>
    <mergeCell ref="B65:N65"/>
    <mergeCell ref="B68:N68"/>
    <mergeCell ref="B64:N64"/>
    <mergeCell ref="B55:N55"/>
    <mergeCell ref="B51:N51"/>
    <mergeCell ref="A1:N1"/>
    <mergeCell ref="B63:N63"/>
    <mergeCell ref="B50:N50"/>
    <mergeCell ref="B62:N62"/>
    <mergeCell ref="A46:H46"/>
    <mergeCell ref="B54:N54"/>
    <mergeCell ref="B59:N59"/>
    <mergeCell ref="B66:N66"/>
    <mergeCell ref="A3:N3"/>
    <mergeCell ref="A2:N2"/>
    <mergeCell ref="B56:N56"/>
    <mergeCell ref="B58:N58"/>
    <mergeCell ref="A71:E71"/>
    <mergeCell ref="B52:N52"/>
    <mergeCell ref="A33:N33"/>
    <mergeCell ref="A5:N5"/>
    <mergeCell ref="B60:N60"/>
    <mergeCell ref="B67:N67"/>
    <mergeCell ref="B61:N61"/>
    <mergeCell ref="B57:N57"/>
    <mergeCell ref="B53:N53"/>
    <mergeCell ref="A19:N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2026-06-07T00:37:25Z</dcterms:created>
  <dcterms:modified xmlns:dcterms="http://purl.org/dc/terms/" xmlns:xsi="http://www.w3.org/2001/XMLSchema-instance" xsi:type="dcterms:W3CDTF">2026-06-07T00:37:25Z</dcterms:modified>
</cp:coreProperties>
</file>