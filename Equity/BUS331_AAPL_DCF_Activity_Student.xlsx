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  <sheet xmlns:r="http://schemas.openxmlformats.org/officeDocument/2006/relationships" name="WACC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&quot;$&quot;#,##0.00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B2A4A"/>
      <sz val="8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0000FF"/>
      <sz val="9"/>
    </font>
    <font>
      <name val="Arial"/>
      <b val="1"/>
      <color rgb="001B2A4A"/>
      <sz val="10"/>
    </font>
    <font>
      <name val="Arial"/>
      <b val="1"/>
      <color rgb="00000000"/>
      <sz val="9"/>
    </font>
    <font>
      <name val="Arial"/>
      <color rgb="00595959"/>
      <sz val="8"/>
    </font>
    <font>
      <name val="Arial"/>
      <i val="1"/>
      <color rgb="00000000"/>
      <sz val="8"/>
    </font>
    <font>
      <name val="Arial"/>
      <b val="1"/>
      <color rgb="001B2A4A"/>
      <sz val="9"/>
    </font>
    <font>
      <name val="Arial"/>
      <color rgb="00008000"/>
      <sz val="9"/>
    </font>
    <font>
      <name val="Arial"/>
      <b val="1"/>
      <color rgb="001B2A4A"/>
      <sz val="11"/>
    </font>
    <font>
      <name val="Arial"/>
      <b val="1"/>
      <sz val="11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color rgb="00595959"/>
      <sz val="9"/>
    </font>
    <font>
      <name val="Arial"/>
      <sz val="9"/>
    </font>
    <font>
      <name val="Arial"/>
      <color rgb="00FFFFFF"/>
      <sz val="9"/>
    </font>
    <font>
      <name val="Arial"/>
      <b val="1"/>
      <color rgb="00FFFFFF"/>
      <sz val="12"/>
    </font>
    <font>
      <name val="Arial"/>
      <i val="1"/>
      <color rgb="00595959"/>
      <sz val="8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ADCFC"/>
      </patternFill>
    </fill>
    <fill>
      <patternFill patternType="solid">
        <fgColor rgb="00A07D10"/>
      </patternFill>
    </fill>
    <fill>
      <patternFill patternType="solid">
        <fgColor rgb="00F7F9FC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FFFDE7"/>
      </patternFill>
    </fill>
    <fill>
      <patternFill patternType="solid">
        <fgColor rgb="000000FF"/>
      </patternFill>
    </fill>
    <fill>
      <patternFill patternType="solid">
        <fgColor rgb="00008000"/>
      </patternFill>
    </fill>
  </fills>
  <borders count="3">
    <border>
      <left/>
      <right/>
      <top/>
      <bottom/>
      <diagonal/>
    </border>
    <border>
      <left style="medium">
        <color rgb="00C9A227"/>
      </left>
      <right style="medium">
        <color rgb="00C9A227"/>
      </right>
      <top style="medium">
        <color rgb="00C9A227"/>
      </top>
      <bottom style="medium">
        <color rgb="00C9A227"/>
      </bottom>
    </border>
    <border>
      <left style="medium">
        <color rgb="00C9A227"/>
      </left>
      <top style="medium">
        <color rgb="00C9A227"/>
      </top>
      <bottom style="medium">
        <color rgb="00C9A227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164" fontId="6" fillId="5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center" vertical="center"/>
    </xf>
    <xf numFmtId="9" fontId="6" fillId="5" borderId="0" applyAlignment="1" pivotButton="0" quotePrefix="0" xfId="0">
      <alignment horizontal="center" vertical="center"/>
    </xf>
    <xf numFmtId="9" fontId="6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4" fontId="7" fillId="0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9" fillId="0" borderId="0" pivotButton="0" quotePrefix="0" xfId="0"/>
    <xf numFmtId="3" fontId="6" fillId="0" borderId="0" applyAlignment="1" pivotButton="0" quotePrefix="0" xfId="0">
      <alignment horizontal="center" vertical="center"/>
    </xf>
    <xf numFmtId="3" fontId="5" fillId="7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9" fillId="5" borderId="0" applyAlignment="1" pivotButton="0" quotePrefix="0" xfId="0">
      <alignment horizontal="left" vertical="center" wrapText="1"/>
    </xf>
    <xf numFmtId="3" fontId="5" fillId="0" borderId="0" applyAlignment="1" pivotButton="0" quotePrefix="0" xfId="0">
      <alignment horizontal="center" vertical="center"/>
    </xf>
    <xf numFmtId="3" fontId="0" fillId="7" borderId="1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66" fontId="14" fillId="7" borderId="1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4" fontId="0" fillId="7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 wrapText="1"/>
    </xf>
    <xf numFmtId="164" fontId="16" fillId="2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19" fillId="2" borderId="0" pivotButton="0" quotePrefix="0" xfId="0"/>
    <xf numFmtId="0" fontId="19" fillId="10" borderId="0" pivotButton="0" quotePrefix="0" xfId="0"/>
    <xf numFmtId="0" fontId="19" fillId="11" borderId="0" pivotButton="0" quotePrefix="0" xfId="0"/>
    <xf numFmtId="0" fontId="5" fillId="7" borderId="0" pivotButton="0" quotePrefix="0" xfId="0"/>
    <xf numFmtId="0" fontId="5" fillId="9" borderId="0" pivotButton="0" quotePrefix="0" xfId="0"/>
    <xf numFmtId="0" fontId="5" fillId="8" borderId="0" pivotButton="0" quotePrefix="0" xfId="0"/>
    <xf numFmtId="0" fontId="5" fillId="6" borderId="0" pivotButton="0" quotePrefix="0" xfId="0"/>
    <xf numFmtId="0" fontId="20" fillId="2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1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22" customWidth="1" min="9" max="9"/>
  </cols>
  <sheetData>
    <row r="1" ht="36" customHeight="1">
      <c r="A1" s="1" t="inlineStr">
        <is>
          <t>BUS 331  —  AAPL DCF VALUATION ACTIVITY</t>
        </is>
      </c>
    </row>
    <row r="2" ht="16" customHeight="1">
      <c r="A2" s="2" t="inlineStr">
        <is>
          <t>Apple Inc. (AAPL)  |  Ch. 14–16 Bridge: Discounting Future Cash Flows  |  FY2024 Base Year  |  USD Millions</t>
        </is>
      </c>
    </row>
    <row r="3" ht="28" customHeight="1">
      <c r="A3" s="3" t="inlineStr">
        <is>
          <t>CONCEPT BRIDGE:  A stock's intrinsic value = PV of all future free cash flows, discounted at WACC (the required return).  This is identical to bond pricing — substitute 'coupon' with 'FCF' and 'YTM' with 'WACC'.</t>
        </is>
      </c>
    </row>
    <row r="4" ht="6" customHeight="1"/>
    <row r="5" ht="20" customHeight="1">
      <c r="A5" s="4" t="inlineStr">
        <is>
          <t xml:space="preserve">  SECTION A — WACC COMPONENTS  (Given — See WACC Sheet for Detail)</t>
        </is>
      </c>
    </row>
    <row r="6" ht="15" customHeight="1">
      <c r="A6" s="5" t="inlineStr">
        <is>
          <t>Risk-Free Rate (10-yr Treasury)</t>
        </is>
      </c>
      <c r="B6" s="6" t="n">
        <v>0.043</v>
      </c>
    </row>
    <row r="7" ht="15" customHeight="1">
      <c r="A7" s="7" t="inlineStr">
        <is>
          <t>Equity Risk Premium</t>
        </is>
      </c>
      <c r="B7" s="8" t="n">
        <v>0.055</v>
      </c>
    </row>
    <row r="8" ht="15" customHeight="1">
      <c r="A8" s="5" t="inlineStr">
        <is>
          <t>AAPL Beta (5-yr monthly)</t>
        </is>
      </c>
      <c r="B8" s="9" t="n">
        <v>1.24</v>
      </c>
    </row>
    <row r="9" ht="15" customHeight="1">
      <c r="A9" s="7" t="inlineStr">
        <is>
          <t>Cost of Equity  [Ke = Rf + β × ERP]</t>
        </is>
      </c>
      <c r="B9" s="8" t="n">
        <v>0.111</v>
      </c>
    </row>
    <row r="10" ht="15" customHeight="1">
      <c r="A10" s="5" t="inlineStr">
        <is>
          <t>Pre-tax Cost of Debt</t>
        </is>
      </c>
      <c r="B10" s="6" t="n">
        <v>0.038</v>
      </c>
    </row>
    <row r="11" ht="15" customHeight="1">
      <c r="A11" s="7" t="inlineStr">
        <is>
          <t>Tax Rate</t>
        </is>
      </c>
      <c r="B11" s="8" t="n">
        <v>0.241</v>
      </c>
    </row>
    <row r="12" ht="15" customHeight="1">
      <c r="A12" s="5" t="inlineStr">
        <is>
          <t>After-tax Cost of Debt  [Kd×(1-t)]</t>
        </is>
      </c>
      <c r="B12" s="6" t="n">
        <v>0.029</v>
      </c>
    </row>
    <row r="13" ht="15" customHeight="1">
      <c r="A13" s="7" t="inlineStr">
        <is>
          <t>Equity Weight (E/V)</t>
        </is>
      </c>
      <c r="B13" s="10" t="n">
        <v>0.9399999999999999</v>
      </c>
    </row>
    <row r="14" ht="15" customHeight="1">
      <c r="A14" s="5" t="inlineStr">
        <is>
          <t>Debt Weight (D/V)</t>
        </is>
      </c>
      <c r="B14" s="11" t="n">
        <v>0.06</v>
      </c>
    </row>
    <row r="15" ht="18" customHeight="1">
      <c r="A15" s="12" t="inlineStr">
        <is>
          <t>▶  WACC  [Ke×We + Kd×Wd]  —  Use this to discount FCFs</t>
        </is>
      </c>
      <c r="B15" s="13" t="n">
        <v>0.093</v>
      </c>
    </row>
    <row r="16" ht="8" customHeight="1"/>
    <row r="17" ht="20" customHeight="1">
      <c r="A17" s="4" t="inlineStr">
        <is>
          <t xml:space="preserve">  SECTION B — REVENUE &amp; MARGIN ASSUMPTIONS  (Given — Blue cells)</t>
        </is>
      </c>
    </row>
    <row r="18" ht="32" customHeight="1">
      <c r="A18" s="14" t="inlineStr">
        <is>
          <t>Assumption / Driver</t>
        </is>
      </c>
      <c r="B18" s="14" t="inlineStr">
        <is>
          <t>FY2024
(Actual)</t>
        </is>
      </c>
      <c r="C18" s="14" t="inlineStr">
        <is>
          <t>FY2025
Proj.</t>
        </is>
      </c>
      <c r="D18" s="14" t="inlineStr">
        <is>
          <t>FY2026
Proj.</t>
        </is>
      </c>
      <c r="E18" s="14" t="inlineStr">
        <is>
          <t>FY2027
Proj.</t>
        </is>
      </c>
      <c r="F18" s="14" t="inlineStr">
        <is>
          <t>FY2028
Proj.</t>
        </is>
      </c>
      <c r="G18" s="14" t="inlineStr">
        <is>
          <t>FY2029
Proj.</t>
        </is>
      </c>
      <c r="H18" s="14" t="inlineStr">
        <is>
          <t>Notes / Formula Bridge</t>
        </is>
      </c>
    </row>
    <row r="19" ht="16" customHeight="1">
      <c r="A19" s="5" t="inlineStr">
        <is>
          <t>Revenue Growth Rate (YoY %)</t>
        </is>
      </c>
      <c r="B19" s="15" t="n"/>
      <c r="C19" s="6" t="n">
        <v>0.06</v>
      </c>
      <c r="D19" s="6" t="n">
        <v>0.07000000000000001</v>
      </c>
      <c r="E19" s="6" t="n">
        <v>0.08</v>
      </c>
      <c r="F19" s="6" t="n">
        <v>0.07000000000000001</v>
      </c>
      <c r="G19" s="6" t="n">
        <v>0.06</v>
      </c>
      <c r="H19" s="16" t="inlineStr">
        <is>
          <t>Consensus analyst estimates; moderates from 6→8→6% arc</t>
        </is>
      </c>
    </row>
    <row r="20" ht="16" customHeight="1">
      <c r="A20" s="5" t="inlineStr">
        <is>
          <t>Revenue ($M)</t>
        </is>
      </c>
      <c r="B20" s="17" t="n">
        <v>391035</v>
      </c>
      <c r="C20" s="18" t="n"/>
      <c r="D20" s="18" t="n"/>
      <c r="E20" s="18" t="n"/>
      <c r="F20" s="18" t="n"/>
      <c r="G20" s="18" t="n"/>
      <c r="H20" s="23" t="inlineStr">
        <is>
          <t>Rev(t-1) x (1+g)  — same as bond PV structure</t>
        </is>
      </c>
    </row>
    <row r="21" ht="16" customHeight="1">
      <c r="A21" s="5" t="inlineStr">
        <is>
          <t>EBITDA Margin (%)</t>
        </is>
      </c>
      <c r="B21" s="19" t="inlineStr">
        <is>
          <t>35.1%</t>
        </is>
      </c>
      <c r="C21" s="6" t="n">
        <v>0.351</v>
      </c>
      <c r="D21" s="6" t="n">
        <v>0.355</v>
      </c>
      <c r="E21" s="6" t="n">
        <v>0.36</v>
      </c>
      <c r="F21" s="6" t="n">
        <v>0.365</v>
      </c>
      <c r="G21" s="6" t="n">
        <v>0.37</v>
      </c>
      <c r="H21" s="16" t="inlineStr">
        <is>
          <t>Gradual expansion; scale benefits</t>
        </is>
      </c>
    </row>
    <row r="22" ht="16" customHeight="1">
      <c r="A22" s="5" t="inlineStr">
        <is>
          <t>D&amp;A as % of Revenue</t>
        </is>
      </c>
      <c r="B22" s="19" t="inlineStr">
        <is>
          <t>2.9%</t>
        </is>
      </c>
      <c r="C22" s="6" t="n">
        <v>0.029</v>
      </c>
      <c r="D22" s="6" t="n">
        <v>0.028</v>
      </c>
      <c r="E22" s="6" t="n">
        <v>0.027</v>
      </c>
      <c r="F22" s="6" t="n">
        <v>0.026</v>
      </c>
      <c r="G22" s="6" t="n">
        <v>0.025</v>
      </c>
    </row>
    <row r="23" ht="16" customHeight="1">
      <c r="A23" s="5" t="inlineStr">
        <is>
          <t>CapEx as % of Revenue</t>
        </is>
      </c>
      <c r="B23" s="19" t="inlineStr">
        <is>
          <t>2.8%</t>
        </is>
      </c>
      <c r="C23" s="6" t="n">
        <v>0.028</v>
      </c>
      <c r="D23" s="6" t="n">
        <v>0.027</v>
      </c>
      <c r="E23" s="6" t="n">
        <v>0.027</v>
      </c>
      <c r="F23" s="6" t="n">
        <v>0.026</v>
      </c>
      <c r="G23" s="6" t="n">
        <v>0.025</v>
      </c>
    </row>
    <row r="24" ht="16" customHeight="1">
      <c r="A24" s="5" t="inlineStr">
        <is>
          <t>Δ Working Capital as % of Revenue</t>
        </is>
      </c>
      <c r="B24" s="19" t="inlineStr">
        <is>
          <t>0.5%</t>
        </is>
      </c>
      <c r="C24" s="6" t="n">
        <v>0.005</v>
      </c>
      <c r="D24" s="6" t="n">
        <v>0.005</v>
      </c>
      <c r="E24" s="6" t="n">
        <v>0.004</v>
      </c>
      <c r="F24" s="6" t="n">
        <v>0.004</v>
      </c>
      <c r="G24" s="6" t="n">
        <v>0.004</v>
      </c>
      <c r="H24" s="16" t="inlineStr">
        <is>
          <t>Cash absorbed by working capital growth</t>
        </is>
      </c>
    </row>
    <row r="25" ht="16" customHeight="1">
      <c r="A25" s="5" t="inlineStr">
        <is>
          <t>Effective Tax Rate</t>
        </is>
      </c>
      <c r="B25" s="6" t="n">
        <v>0.241</v>
      </c>
      <c r="C25" s="20" t="inlineStr">
        <is>
          <t>→</t>
        </is>
      </c>
      <c r="D25" s="20" t="inlineStr">
        <is>
          <t>→</t>
        </is>
      </c>
      <c r="E25" s="20" t="inlineStr">
        <is>
          <t>→</t>
        </is>
      </c>
      <c r="F25" s="20" t="inlineStr">
        <is>
          <t>→</t>
        </is>
      </c>
      <c r="G25" s="20" t="inlineStr">
        <is>
          <t>→</t>
        </is>
      </c>
      <c r="H25" s="16" t="inlineStr">
        <is>
          <t>Held constant; FY2024 effective rate</t>
        </is>
      </c>
    </row>
    <row r="26" ht="8" customHeight="1"/>
    <row r="27" ht="20" customHeight="1">
      <c r="A27" s="4" t="inlineStr">
        <is>
          <t xml:space="preserve">  SECTION C — FREE CASH FLOW BUILD  (Yellow cells = YOUR formulas)</t>
        </is>
      </c>
    </row>
    <row r="28" ht="32" customHeight="1">
      <c r="A28" s="14" t="inlineStr">
        <is>
          <t>Line Item</t>
        </is>
      </c>
      <c r="C28" s="14" t="inlineStr">
        <is>
          <t>FY2025
Proj.</t>
        </is>
      </c>
      <c r="D28" s="14" t="inlineStr">
        <is>
          <t>FY2026
Proj.</t>
        </is>
      </c>
      <c r="E28" s="14" t="inlineStr">
        <is>
          <t>FY2027
Proj.</t>
        </is>
      </c>
      <c r="F28" s="14" t="inlineStr">
        <is>
          <t>FY2028
Proj.</t>
        </is>
      </c>
      <c r="G28" s="14" t="inlineStr">
        <is>
          <t>FY2029
Proj.</t>
        </is>
      </c>
      <c r="H28" s="14" t="inlineStr">
        <is>
          <t>Formula / Concept</t>
        </is>
      </c>
    </row>
    <row r="29" ht="22" customHeight="1">
      <c r="A29" s="21" t="inlineStr">
        <is>
          <t>BOND BRIDGE:  Like a bond coupon, FCF = cash the firm pays back to investors each year. EBITDA = earnings before depreciation (non-cash), interest, and tax.  Then subtract CapEx (reinvestment) and ΔWC (cash tied up in operations).</t>
        </is>
      </c>
    </row>
    <row r="30" ht="16" customHeight="1">
      <c r="A30" s="5" t="inlineStr">
        <is>
          <t xml:space="preserve">    Revenue ($M)</t>
        </is>
      </c>
      <c r="C30" s="22">
        <f>C20</f>
        <v/>
      </c>
      <c r="D30" s="22">
        <f>D20</f>
        <v/>
      </c>
      <c r="E30" s="22">
        <f>E20</f>
        <v/>
      </c>
      <c r="F30" s="22">
        <f>F20</f>
        <v/>
      </c>
      <c r="G30" s="22">
        <f>G20</f>
        <v/>
      </c>
      <c r="H30" s="23" t="inlineStr">
        <is>
          <t>C20*(1+C19) ... link to row 20</t>
        </is>
      </c>
    </row>
    <row r="31" ht="16" customHeight="1">
      <c r="A31" s="5" t="n"/>
      <c r="H31" s="23" t="inlineStr">
        <is>
          <t>dummy</t>
        </is>
      </c>
    </row>
    <row r="32" ht="16" customHeight="1">
      <c r="A32" s="24" t="inlineStr">
        <is>
          <t>EBITDA ($M)</t>
        </is>
      </c>
      <c r="B32" s="25" t="n"/>
      <c r="C32" s="18" t="n"/>
      <c r="D32" s="18" t="n"/>
      <c r="E32" s="18" t="n"/>
      <c r="F32" s="18" t="n"/>
      <c r="G32" s="18" t="n"/>
      <c r="H32" s="26" t="inlineStr">
        <is>
          <t>Rev x EBITDA Margin</t>
        </is>
      </c>
    </row>
    <row r="33" ht="16" customHeight="1">
      <c r="A33" s="5" t="inlineStr">
        <is>
          <t xml:space="preserve">    (-) Taxes on EBIT*</t>
        </is>
      </c>
      <c r="C33" s="18" t="n"/>
      <c r="D33" s="18" t="n"/>
      <c r="E33" s="18" t="n"/>
      <c r="F33" s="18" t="n"/>
      <c r="G33" s="18" t="n"/>
      <c r="H33" s="23" t="inlineStr">
        <is>
          <t>EBIT x Tax Rate  [EBIT = EBITDA - D&amp;A]</t>
        </is>
      </c>
    </row>
    <row r="34" ht="16" customHeight="1">
      <c r="A34" s="24" t="inlineStr">
        <is>
          <t>NOPAT  (Net Op. Profit After Tax)</t>
        </is>
      </c>
      <c r="B34" s="25" t="n"/>
      <c r="C34" s="18" t="n"/>
      <c r="D34" s="18" t="n"/>
      <c r="E34" s="18" t="n"/>
      <c r="F34" s="18" t="n"/>
      <c r="G34" s="18" t="n"/>
      <c r="H34" s="26" t="inlineStr">
        <is>
          <t>EBIT x (1-t)</t>
        </is>
      </c>
    </row>
    <row r="35" ht="16" customHeight="1">
      <c r="A35" s="5" t="inlineStr">
        <is>
          <t xml:space="preserve">    (+) D&amp;A  (non-cash add-back)</t>
        </is>
      </c>
      <c r="C35" s="27">
        <f>C30*C22</f>
        <v/>
      </c>
      <c r="D35" s="27">
        <f>D30*D22</f>
        <v/>
      </c>
      <c r="E35" s="27">
        <f>E30*E22</f>
        <v/>
      </c>
      <c r="F35" s="27">
        <f>F30*F22</f>
        <v/>
      </c>
      <c r="G35" s="27">
        <f>G30*G22</f>
        <v/>
      </c>
      <c r="H35" s="23" t="inlineStr">
        <is>
          <t>Rev x D&amp;A%</t>
        </is>
      </c>
    </row>
    <row r="36" ht="16" customHeight="1">
      <c r="A36" s="5" t="inlineStr">
        <is>
          <t xml:space="preserve">    (-) CapEx</t>
        </is>
      </c>
      <c r="C36" s="27">
        <f>C30*C23</f>
        <v/>
      </c>
      <c r="D36" s="27">
        <f>D30*D23</f>
        <v/>
      </c>
      <c r="E36" s="27">
        <f>E30*E23</f>
        <v/>
      </c>
      <c r="F36" s="27">
        <f>F30*F23</f>
        <v/>
      </c>
      <c r="G36" s="27">
        <f>G30*G23</f>
        <v/>
      </c>
      <c r="H36" s="23" t="inlineStr">
        <is>
          <t>Rev x CapEx%</t>
        </is>
      </c>
    </row>
    <row r="37" ht="16" customHeight="1">
      <c r="A37" s="5" t="inlineStr">
        <is>
          <t xml:space="preserve">    (-) Δ Working Capital</t>
        </is>
      </c>
      <c r="C37" s="27">
        <f>C30*C24</f>
        <v/>
      </c>
      <c r="D37" s="27">
        <f>D30*D24</f>
        <v/>
      </c>
      <c r="E37" s="27">
        <f>E30*E24</f>
        <v/>
      </c>
      <c r="F37" s="27">
        <f>F30*F24</f>
        <v/>
      </c>
      <c r="G37" s="27">
        <f>G30*G24</f>
        <v/>
      </c>
      <c r="H37" s="23" t="inlineStr">
        <is>
          <t>Rev x WC%</t>
        </is>
      </c>
    </row>
    <row r="38" ht="16" customHeight="1">
      <c r="A38" s="24" t="inlineStr">
        <is>
          <t>Free Cash Flow  (FCFF)</t>
        </is>
      </c>
      <c r="B38" s="25" t="n"/>
      <c r="C38" s="28" t="n"/>
      <c r="D38" s="28" t="n"/>
      <c r="E38" s="28" t="n"/>
      <c r="F38" s="28" t="n"/>
      <c r="G38" s="28" t="n"/>
      <c r="H38" s="26" t="inlineStr">
        <is>
          <t>NOPAT + D&amp;A - CapEx - DeltaWC</t>
        </is>
      </c>
    </row>
    <row r="39" ht="8" customHeight="1"/>
    <row r="40" ht="20" customHeight="1">
      <c r="A40" s="4" t="inlineStr">
        <is>
          <t xml:space="preserve">  SECTION D — DISCOUNTING CASH FLOWS  (Core bond concept applied to equities)</t>
        </is>
      </c>
    </row>
    <row r="41" ht="32" customHeight="1">
      <c r="A41" s="14" t="inlineStr">
        <is>
          <t>Calculation</t>
        </is>
      </c>
      <c r="C41" s="14" t="inlineStr">
        <is>
          <t>FY2025
Proj.</t>
        </is>
      </c>
      <c r="D41" s="14" t="inlineStr">
        <is>
          <t>FY2026
Proj.</t>
        </is>
      </c>
      <c r="E41" s="14" t="inlineStr">
        <is>
          <t>FY2027
Proj.</t>
        </is>
      </c>
      <c r="F41" s="14" t="inlineStr">
        <is>
          <t>FY2028
Proj.</t>
        </is>
      </c>
      <c r="G41" s="14" t="inlineStr">
        <is>
          <t>FY2029
Proj.</t>
        </is>
      </c>
      <c r="H41" s="14" t="inlineStr">
        <is>
          <t>Formula / Concept</t>
        </is>
      </c>
    </row>
    <row r="42" ht="22" customHeight="1">
      <c r="A42" s="21" t="inlineStr">
        <is>
          <t>BOND ANALOGY:  Bond Price = Σ [Coupon/(1+YTM)^t] + [Face/(1+YTM)^n]   DCF Equity Value = Σ [FCF/(1+WACC)^t] + [Terminal Value/(1+WACC)^n]   WACC plays the same role as YTM.</t>
        </is>
      </c>
    </row>
    <row r="43" ht="16" customHeight="1">
      <c r="A43" s="5" t="inlineStr">
        <is>
          <t>Year (t)</t>
        </is>
      </c>
      <c r="C43" s="19" t="n">
        <v>1</v>
      </c>
      <c r="D43" s="19" t="n">
        <v>2</v>
      </c>
      <c r="E43" s="19" t="n">
        <v>3</v>
      </c>
      <c r="F43" s="19" t="n">
        <v>4</v>
      </c>
      <c r="G43" s="19" t="n">
        <v>5</v>
      </c>
    </row>
    <row r="44" ht="16" customHeight="1">
      <c r="A44" s="5" t="inlineStr">
        <is>
          <t>WACC (from Section A)</t>
        </is>
      </c>
      <c r="C44" s="29">
        <f>$B$15</f>
        <v/>
      </c>
      <c r="D44" s="29">
        <f>$B$15</f>
        <v/>
      </c>
      <c r="E44" s="29">
        <f>$B$15</f>
        <v/>
      </c>
      <c r="F44" s="29">
        <f>$B$15</f>
        <v/>
      </c>
      <c r="G44" s="29">
        <f>$B$15</f>
        <v/>
      </c>
    </row>
    <row r="45" ht="16" customHeight="1">
      <c r="A45" s="5" t="inlineStr">
        <is>
          <t>Discount Factor  =  1 / (1 + WACC)^t</t>
        </is>
      </c>
      <c r="C45" s="30" t="n"/>
      <c r="D45" s="30" t="n"/>
      <c r="E45" s="30" t="n"/>
      <c r="F45" s="30" t="n"/>
      <c r="G45" s="30" t="n"/>
      <c r="H45" s="16" t="inlineStr">
        <is>
          <t>Same as bond PV factor: 1/(1+YTM)^t</t>
        </is>
      </c>
    </row>
    <row r="46" ht="16" customHeight="1">
      <c r="A46" s="5" t="inlineStr">
        <is>
          <t>Free Cash Flow ($M)  [from Section C]</t>
        </is>
      </c>
      <c r="C46" s="22">
        <f>C38</f>
        <v/>
      </c>
      <c r="D46" s="22">
        <f>D38</f>
        <v/>
      </c>
      <c r="E46" s="22">
        <f>E38</f>
        <v/>
      </c>
      <c r="F46" s="22">
        <f>F38</f>
        <v/>
      </c>
      <c r="G46" s="22">
        <f>G38</f>
        <v/>
      </c>
    </row>
    <row r="47" ht="16" customHeight="1">
      <c r="A47" s="5" t="inlineStr">
        <is>
          <t>PV of FCF  =  FCF × Discount Factor</t>
        </is>
      </c>
      <c r="C47" s="28" t="n"/>
      <c r="D47" s="28" t="n"/>
      <c r="E47" s="28" t="n"/>
      <c r="F47" s="28" t="n"/>
      <c r="G47" s="28" t="n"/>
      <c r="H47" s="23" t="inlineStr">
        <is>
          <t>FCF x [1/(1+WACC)^t]</t>
        </is>
      </c>
    </row>
    <row r="48" ht="8" customHeight="1"/>
    <row r="49" ht="20" customHeight="1">
      <c r="A49" s="4" t="inlineStr">
        <is>
          <t xml:space="preserve">  SECTION E — TERMINAL VALUE &amp; EQUITY VALUATION BRIDGE</t>
        </is>
      </c>
    </row>
    <row r="50" ht="22" customHeight="1">
      <c r="A50" s="21" t="inlineStr">
        <is>
          <t>TERMINAL VALUE CONCEPT:  Beyond FY2029, we assume FCF grows forever at a constant rate (g).  TV = FCF(final) × (1+g) / (WACC – g)   —   This is Gordon Growth Model applied to cash flows, identical to the dividend discount model formula from Ch. 18.</t>
        </is>
      </c>
    </row>
    <row r="51" ht="16" customHeight="1">
      <c r="A51" s="5" t="inlineStr">
        <is>
          <t>Terminal Growth Rate (g)</t>
        </is>
      </c>
      <c r="C51" s="6" t="n">
        <v>0.03</v>
      </c>
      <c r="H51" s="16" t="inlineStr">
        <is>
          <t>≈ Long-run nominal GDP growth; must be &lt; WACC</t>
        </is>
      </c>
    </row>
    <row r="52" ht="16" customHeight="1">
      <c r="A52" s="5" t="inlineStr">
        <is>
          <t>Terminal Value  =  FCF₂₀₂₉ × (1+g) / (WACC – g)</t>
        </is>
      </c>
      <c r="C52" s="28" t="n"/>
      <c r="H52" s="16" t="inlineStr">
        <is>
          <t>Gordon Growth: same formula as DDM with dividends replaced by FCF</t>
        </is>
      </c>
    </row>
    <row r="53" ht="16" customHeight="1">
      <c r="A53" s="5" t="inlineStr">
        <is>
          <t>PV of Terminal Value  =  TV / (1+WACC)^5</t>
        </is>
      </c>
      <c r="C53" s="28" t="n"/>
    </row>
    <row r="54" ht="16" customHeight="1">
      <c r="A54" s="5" t="inlineStr">
        <is>
          <t>Sum of PV(FCFs)  [Years 1–5]</t>
        </is>
      </c>
      <c r="C54" s="28" t="n"/>
    </row>
    <row r="55" ht="18" customHeight="1">
      <c r="A55" s="31" t="inlineStr">
        <is>
          <t>▶  Enterprise Value  =  ΣPV(FCF) + PV(TV)</t>
        </is>
      </c>
      <c r="C55" s="28" t="n"/>
    </row>
    <row r="56" ht="6" customHeight="1"/>
    <row r="57" ht="16" customHeight="1">
      <c r="A57" s="5" t="inlineStr">
        <is>
          <t>(–) Net Debt  [negative = net cash, so ADD]</t>
        </is>
      </c>
      <c r="C57" s="17" t="n">
        <v>-56955</v>
      </c>
      <c r="H57" s="16" t="inlineStr">
        <is>
          <t>FY2024; negative = AAPL holds net cash</t>
        </is>
      </c>
    </row>
    <row r="58" ht="16" customHeight="1">
      <c r="A58" s="5" t="inlineStr">
        <is>
          <t>Equity Value  =  EV – Net Debt</t>
        </is>
      </c>
      <c r="C58" s="28" t="n"/>
    </row>
    <row r="59" ht="16" customHeight="1">
      <c r="A59" s="5" t="inlineStr">
        <is>
          <t>Diluted Shares Outstanding (M)</t>
        </is>
      </c>
      <c r="C59" s="17" t="n">
        <v>15200</v>
      </c>
    </row>
    <row r="60" ht="20" customHeight="1">
      <c r="A60" s="32" t="inlineStr">
        <is>
          <t>▶  Implied Share Price  =  Equity Value / Shares</t>
        </is>
      </c>
      <c r="C60" s="33" t="n"/>
    </row>
    <row r="61" ht="16" customHeight="1">
      <c r="A61" s="5" t="inlineStr">
        <is>
          <t>Current Market Price</t>
        </is>
      </c>
      <c r="C61" s="34" t="n">
        <v>227</v>
      </c>
    </row>
    <row r="62" ht="16" customHeight="1">
      <c r="A62" s="5" t="inlineStr">
        <is>
          <t>Premium / (Discount) to Market</t>
        </is>
      </c>
      <c r="C62" s="35" t="n"/>
    </row>
    <row r="63" ht="10" customHeight="1"/>
    <row r="64" ht="20" customHeight="1">
      <c r="A64" s="4" t="inlineStr">
        <is>
          <t xml:space="preserve">  SECTION F — SENSITIVITY ANALYSIS:  Implied Share Price vs. WACC &amp; Terminal Growth Rate</t>
        </is>
      </c>
    </row>
    <row r="65" ht="22" customHeight="1">
      <c r="A65" s="21" t="inlineStr">
        <is>
          <t>This table shows how the implied price changes as WACC and terminal growth rate vary.  The shaded center cell matches your base-case result above.  DISCUSSION: Why does a HIGHER WACC produce a LOWER implied price?  (Same reason a higher YTM produces a lower bond price.)</t>
        </is>
      </c>
    </row>
    <row r="66" ht="14" customHeight="1">
      <c r="A66" s="36" t="inlineStr">
        <is>
          <t>WACC  ↓  /  Terminal g  →</t>
        </is>
      </c>
      <c r="B66" s="37" t="n">
        <v>0.02</v>
      </c>
      <c r="C66" s="37" t="n">
        <v>0.025</v>
      </c>
      <c r="D66" s="37" t="n">
        <v>0.03</v>
      </c>
      <c r="E66" s="37" t="n">
        <v>0.035</v>
      </c>
      <c r="F66" s="37" t="n">
        <v>0.04</v>
      </c>
    </row>
    <row r="67" ht="16" customHeight="1">
      <c r="A67" s="37" t="n">
        <v>0.083</v>
      </c>
      <c r="B67" s="38" t="inlineStr">
        <is>
          <t>—</t>
        </is>
      </c>
      <c r="C67" s="38" t="inlineStr">
        <is>
          <t>—</t>
        </is>
      </c>
      <c r="D67" s="38" t="inlineStr">
        <is>
          <t>—</t>
        </is>
      </c>
      <c r="E67" s="38" t="inlineStr">
        <is>
          <t>—</t>
        </is>
      </c>
      <c r="F67" s="38" t="inlineStr">
        <is>
          <t>—</t>
        </is>
      </c>
    </row>
    <row r="68" ht="16" customHeight="1">
      <c r="A68" s="37" t="n">
        <v>0.08799999999999999</v>
      </c>
      <c r="B68" s="38" t="inlineStr">
        <is>
          <t>—</t>
        </is>
      </c>
      <c r="C68" s="38" t="inlineStr">
        <is>
          <t>—</t>
        </is>
      </c>
      <c r="D68" s="38" t="inlineStr">
        <is>
          <t>—</t>
        </is>
      </c>
      <c r="E68" s="38" t="inlineStr">
        <is>
          <t>—</t>
        </is>
      </c>
      <c r="F68" s="38" t="inlineStr">
        <is>
          <t>—</t>
        </is>
      </c>
    </row>
    <row r="69" ht="16" customHeight="1">
      <c r="A69" s="37" t="n">
        <v>0.093</v>
      </c>
      <c r="B69" s="38" t="inlineStr">
        <is>
          <t>—</t>
        </is>
      </c>
      <c r="C69" s="38" t="inlineStr">
        <is>
          <t>—</t>
        </is>
      </c>
      <c r="D69" s="39" t="inlineStr">
        <is>
          <t>—</t>
        </is>
      </c>
      <c r="E69" s="38" t="inlineStr">
        <is>
          <t>—</t>
        </is>
      </c>
      <c r="F69" s="38" t="inlineStr">
        <is>
          <t>—</t>
        </is>
      </c>
    </row>
    <row r="70" ht="16" customHeight="1">
      <c r="A70" s="37" t="n">
        <v>0.098</v>
      </c>
      <c r="B70" s="38" t="inlineStr">
        <is>
          <t>—</t>
        </is>
      </c>
      <c r="C70" s="38" t="inlineStr">
        <is>
          <t>—</t>
        </is>
      </c>
      <c r="D70" s="38" t="inlineStr">
        <is>
          <t>—</t>
        </is>
      </c>
      <c r="E70" s="38" t="inlineStr">
        <is>
          <t>—</t>
        </is>
      </c>
      <c r="F70" s="38" t="inlineStr">
        <is>
          <t>—</t>
        </is>
      </c>
    </row>
    <row r="71" ht="16" customHeight="1">
      <c r="A71" s="37" t="n">
        <v>0.103</v>
      </c>
      <c r="B71" s="38" t="inlineStr">
        <is>
          <t>—</t>
        </is>
      </c>
      <c r="C71" s="38" t="inlineStr">
        <is>
          <t>—</t>
        </is>
      </c>
      <c r="D71" s="38" t="inlineStr">
        <is>
          <t>—</t>
        </is>
      </c>
      <c r="E71" s="38" t="inlineStr">
        <is>
          <t>—</t>
        </is>
      </c>
      <c r="F71" s="38" t="inlineStr">
        <is>
          <t>—</t>
        </is>
      </c>
    </row>
    <row r="72" ht="8" customHeight="1"/>
    <row r="73" ht="20" customHeight="1">
      <c r="A73" s="4" t="inlineStr">
        <is>
          <t xml:space="preserve">  SECTION G — DISCUSSION QUESTIONS</t>
        </is>
      </c>
    </row>
    <row r="74" ht="28" customHeight="1">
      <c r="A74" s="40" t="inlineStr">
        <is>
          <t>Q1</t>
        </is>
      </c>
      <c r="B74" s="41" t="inlineStr">
        <is>
          <t>WACC vs. YTM:  Explain in one sentence why a higher WACC produces a lower implied share price. Use the bond pricing analogy.</t>
        </is>
      </c>
    </row>
    <row r="75" ht="16" customHeight="1">
      <c r="A75" s="15" t="n"/>
      <c r="B75" s="42" t="n"/>
    </row>
    <row r="76" ht="16" customHeight="1">
      <c r="A76" s="15" t="n"/>
      <c r="B76" s="42" t="n"/>
    </row>
    <row r="77" ht="16" customHeight="1">
      <c r="A77" s="15" t="n"/>
      <c r="B77" s="42" t="n"/>
    </row>
    <row r="78" ht="28" customHeight="1">
      <c r="A78" s="40" t="inlineStr">
        <is>
          <t>Q2</t>
        </is>
      </c>
      <c r="B78" s="41" t="inlineStr">
        <is>
          <t>Terminal Value:  What % of your total EV comes from the terminal value? Is this surprising? What does it tell us about the importance of long-run assumptions?</t>
        </is>
      </c>
    </row>
    <row r="79" ht="16" customHeight="1">
      <c r="A79" s="15" t="n"/>
      <c r="B79" s="42" t="n"/>
    </row>
    <row r="80" ht="16" customHeight="1">
      <c r="A80" s="15" t="n"/>
      <c r="B80" s="42" t="n"/>
    </row>
    <row r="81" ht="16" customHeight="1">
      <c r="A81" s="15" t="n"/>
      <c r="B81" s="42" t="n"/>
    </row>
    <row r="82" ht="28" customHeight="1">
      <c r="A82" s="40" t="inlineStr">
        <is>
          <t>Q3</t>
        </is>
      </c>
      <c r="B82" s="41" t="inlineStr">
        <is>
          <t>Margin of Safety:  Compare your implied share price to AAPL's market price of $227. Is AAPL overvalued or undervalued on your model? What one assumption would you change to close the gap?</t>
        </is>
      </c>
    </row>
    <row r="83" ht="16" customHeight="1">
      <c r="A83" s="15" t="n"/>
      <c r="B83" s="42" t="n"/>
    </row>
    <row r="84" ht="16" customHeight="1">
      <c r="A84" s="15" t="n"/>
      <c r="B84" s="42" t="n"/>
    </row>
    <row r="85" ht="16" customHeight="1">
      <c r="A85" s="15" t="n"/>
      <c r="B85" s="42" t="n"/>
    </row>
    <row r="86" ht="28" customHeight="1">
      <c r="A86" s="40" t="inlineStr">
        <is>
          <t>Q4</t>
        </is>
      </c>
      <c r="B86" s="41" t="inlineStr">
        <is>
          <t>Sensitivity:  In your sensitivity table, how much does the implied price change when WACC moves from 9.3% to 10.3%? What does that tell you about the risk of your valuation?</t>
        </is>
      </c>
    </row>
    <row r="87" ht="16" customHeight="1">
      <c r="A87" s="15" t="n"/>
      <c r="B87" s="42" t="n"/>
    </row>
    <row r="88" ht="16" customHeight="1">
      <c r="A88" s="15" t="n"/>
      <c r="B88" s="42" t="n"/>
    </row>
    <row r="89" ht="16" customHeight="1">
      <c r="A89" s="15" t="n"/>
      <c r="B89" s="42" t="n"/>
    </row>
    <row r="92" ht="20" customHeight="1">
      <c r="A92" s="4" t="inlineStr">
        <is>
          <t xml:space="preserve">  COLOR KEY</t>
        </is>
      </c>
    </row>
    <row r="93" ht="15" customHeight="1">
      <c r="A93" s="43" t="inlineStr">
        <is>
          <t xml:space="preserve">  ██</t>
        </is>
      </c>
      <c r="B93" s="5" t="inlineStr">
        <is>
          <t>Section header</t>
        </is>
      </c>
    </row>
    <row r="94" ht="15" customHeight="1">
      <c r="A94" s="44" t="inlineStr">
        <is>
          <t xml:space="preserve">  ██</t>
        </is>
      </c>
      <c r="B94" s="5" t="inlineStr">
        <is>
          <t>Given data — blue text</t>
        </is>
      </c>
    </row>
    <row r="95" ht="15" customHeight="1">
      <c r="A95" s="45" t="inlineStr">
        <is>
          <t xml:space="preserve">  ██</t>
        </is>
      </c>
      <c r="B95" s="5" t="inlineStr">
        <is>
          <t>Cross-reference formula — green text</t>
        </is>
      </c>
    </row>
    <row r="96" ht="15" customHeight="1">
      <c r="A96" s="46" t="inlineStr">
        <is>
          <t xml:space="preserve">  ██</t>
        </is>
      </c>
      <c r="B96" s="5" t="inlineStr">
        <is>
          <t>Your formula — enter calculation here</t>
        </is>
      </c>
    </row>
    <row r="97" ht="15" customHeight="1">
      <c r="A97" s="47" t="inlineStr">
        <is>
          <t xml:space="preserve">  ██</t>
        </is>
      </c>
      <c r="B97" s="5" t="inlineStr">
        <is>
          <t>Final answer cell (gold border)</t>
        </is>
      </c>
    </row>
    <row r="98" ht="15" customHeight="1">
      <c r="A98" s="48" t="inlineStr">
        <is>
          <t xml:space="preserve">  ██</t>
        </is>
      </c>
      <c r="B98" s="5" t="inlineStr">
        <is>
          <t>Concept bridge — bond analogy</t>
        </is>
      </c>
    </row>
    <row r="99" ht="15" customHeight="1">
      <c r="A99" s="49" t="inlineStr">
        <is>
          <t xml:space="preserve">  ██</t>
        </is>
      </c>
      <c r="B99" s="5" t="inlineStr">
        <is>
          <t>Written answer area</t>
        </is>
      </c>
    </row>
  </sheetData>
  <mergeCells count="31">
    <mergeCell ref="B85:I85"/>
    <mergeCell ref="A5:J5"/>
    <mergeCell ref="A65:I65"/>
    <mergeCell ref="B75:I75"/>
    <mergeCell ref="A17:J17"/>
    <mergeCell ref="B81:I81"/>
    <mergeCell ref="A3:I3"/>
    <mergeCell ref="A2:I2"/>
    <mergeCell ref="B86:I86"/>
    <mergeCell ref="B77:I77"/>
    <mergeCell ref="A40:J40"/>
    <mergeCell ref="A92:D92"/>
    <mergeCell ref="A73:J73"/>
    <mergeCell ref="A64:J64"/>
    <mergeCell ref="A49:J49"/>
    <mergeCell ref="A50:H50"/>
    <mergeCell ref="B88:I88"/>
    <mergeCell ref="B82:I82"/>
    <mergeCell ref="B78:I78"/>
    <mergeCell ref="B87:I87"/>
    <mergeCell ref="A42:H42"/>
    <mergeCell ref="B84:I84"/>
    <mergeCell ref="B74:I74"/>
    <mergeCell ref="B83:I83"/>
    <mergeCell ref="A29:H29"/>
    <mergeCell ref="A27:J27"/>
    <mergeCell ref="A1:I1"/>
    <mergeCell ref="B89:I89"/>
    <mergeCell ref="B80:I80"/>
    <mergeCell ref="B76:I76"/>
    <mergeCell ref="B79:I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8" customWidth="1" min="3" max="3"/>
  </cols>
  <sheetData>
    <row r="1" ht="30" customHeight="1">
      <c r="A1" s="50" t="inlineStr">
        <is>
          <t>AAPL — WACC CALCULATION DETAIL  (Reference Sheet)</t>
        </is>
      </c>
    </row>
    <row r="2" ht="14" customHeight="1">
      <c r="A2" s="51" t="inlineStr">
        <is>
          <t>All figures as of FY2024. WACC = Ke×We + Kd×(1-t)×Wd</t>
        </is>
      </c>
    </row>
    <row r="4" ht="16" customHeight="1">
      <c r="A4" s="4" t="inlineStr">
        <is>
          <t>COST OF EQUITY  [CAPM]</t>
        </is>
      </c>
      <c r="B4" s="52" t="n"/>
      <c r="C4" s="52" t="n"/>
    </row>
    <row r="5" ht="16" customHeight="1">
      <c r="A5" s="53" t="inlineStr">
        <is>
          <t>Risk-Free Rate (Rf)</t>
        </is>
      </c>
      <c r="B5" s="6" t="n">
        <v>0.043</v>
      </c>
      <c r="C5" s="54" t="inlineStr">
        <is>
          <t>Source: US Treasury, FY2024 avg</t>
        </is>
      </c>
    </row>
    <row r="6" ht="16" customHeight="1">
      <c r="A6" s="53" t="inlineStr">
        <is>
          <t>Equity Risk Premium (ERP)</t>
        </is>
      </c>
      <c r="B6" s="6" t="n">
        <v>0.055</v>
      </c>
      <c r="C6" s="54" t="inlineStr">
        <is>
          <t>Source: Damodaran (2024 US ERP)</t>
        </is>
      </c>
    </row>
    <row r="7" ht="16" customHeight="1">
      <c r="A7" s="53" t="inlineStr">
        <is>
          <t>AAPL Beta (β) — 5yr monthly</t>
        </is>
      </c>
      <c r="B7" s="9" t="n">
        <v>1.24</v>
      </c>
      <c r="C7" s="54" t="inlineStr">
        <is>
          <t>Source: Bloomberg 5yr monthly regression</t>
        </is>
      </c>
    </row>
    <row r="8" ht="16" customHeight="1">
      <c r="A8" s="55" t="inlineStr">
        <is>
          <t>Cost of Equity  Ke = Rf + β×ERP</t>
        </is>
      </c>
      <c r="B8" s="56">
        <f>B5+B7*B6</f>
        <v/>
      </c>
      <c r="C8" s="54" t="inlineStr">
        <is>
          <t>Ke = Rf + Beta x ERP</t>
        </is>
      </c>
    </row>
    <row r="9" ht="16" customHeight="1">
      <c r="A9" s="53" t="inlineStr">
        <is>
          <t>Formula check</t>
        </is>
      </c>
    </row>
    <row r="10" ht="16" customHeight="1">
      <c r="A10" s="4" t="inlineStr">
        <is>
          <t>COST OF DEBT</t>
        </is>
      </c>
      <c r="B10" s="52" t="n"/>
      <c r="C10" s="52" t="n"/>
    </row>
    <row r="11" ht="16" customHeight="1">
      <c r="A11" s="53" t="inlineStr">
        <is>
          <t>Pre-tax Cost of Debt</t>
        </is>
      </c>
      <c r="B11" s="6" t="n">
        <v>0.038</v>
      </c>
      <c r="C11" s="54" t="inlineStr">
        <is>
          <t>Source: AAPL 10-K FY2024 weighted avg coupon</t>
        </is>
      </c>
    </row>
    <row r="12" ht="16" customHeight="1">
      <c r="A12" s="53" t="inlineStr">
        <is>
          <t>Effective Tax Rate</t>
        </is>
      </c>
      <c r="B12" s="6" t="n">
        <v>0.241</v>
      </c>
      <c r="C12" s="54" t="inlineStr">
        <is>
          <t>Source: AAPL FY2024 10-K effective rate</t>
        </is>
      </c>
    </row>
    <row r="13" ht="16" customHeight="1">
      <c r="A13" s="55" t="inlineStr">
        <is>
          <t>After-tax Cost of Debt  Kd×(1-t)</t>
        </is>
      </c>
      <c r="B13" s="56">
        <f>B11*(1-B12)</f>
        <v/>
      </c>
      <c r="C13" s="54" t="inlineStr">
        <is>
          <t>Kd x (1 - Tax Rate)</t>
        </is>
      </c>
    </row>
    <row r="14" ht="16" customHeight="1">
      <c r="A14" s="4" t="inlineStr">
        <is>
          <t>CAPITAL STRUCTURE WEIGHTS</t>
        </is>
      </c>
      <c r="B14" s="52" t="n"/>
      <c r="C14" s="52" t="n"/>
    </row>
    <row r="15" ht="16" customHeight="1">
      <c r="A15" s="53" t="inlineStr">
        <is>
          <t>Market Cap ($M)</t>
        </is>
      </c>
      <c r="B15" s="17" t="n">
        <v>3450000</v>
      </c>
      <c r="C15" s="54" t="inlineStr">
        <is>
          <t>Source: AAPL market cap as of FY2024 close</t>
        </is>
      </c>
    </row>
    <row r="16" ht="16" customHeight="1">
      <c r="A16" s="53" t="inlineStr">
        <is>
          <t>Total Debt ($M)</t>
        </is>
      </c>
      <c r="B16" s="17" t="n">
        <v>97280</v>
      </c>
      <c r="C16" s="54" t="inlineStr">
        <is>
          <t>Source: AAPL 10-K FY2024 total long-term debt</t>
        </is>
      </c>
    </row>
    <row r="17" ht="16" customHeight="1">
      <c r="A17" s="55" t="inlineStr">
        <is>
          <t>Total Capital (E+D)</t>
        </is>
      </c>
      <c r="B17" s="57">
        <f>B15+B16</f>
        <v/>
      </c>
      <c r="C17" s="54">
        <f>B15+B16</f>
        <v/>
      </c>
    </row>
    <row r="18" ht="16" customHeight="1">
      <c r="A18" s="55" t="inlineStr">
        <is>
          <t>Equity Weight (We = E/V)</t>
        </is>
      </c>
      <c r="B18" s="56">
        <f>B15/B17</f>
        <v/>
      </c>
      <c r="C18" s="54">
        <f>B15/B17</f>
        <v/>
      </c>
    </row>
    <row r="19" ht="16" customHeight="1">
      <c r="A19" s="55" t="inlineStr">
        <is>
          <t>Debt Weight (Wd = D/V)</t>
        </is>
      </c>
      <c r="B19" s="56">
        <f>B16/B17</f>
        <v/>
      </c>
      <c r="C19" s="54">
        <f>B16/B17</f>
        <v/>
      </c>
    </row>
    <row r="20" ht="16" customHeight="1">
      <c r="A20" s="4" t="inlineStr">
        <is>
          <t>WACC SUMMARY</t>
        </is>
      </c>
      <c r="B20" s="52" t="n"/>
      <c r="C20" s="52" t="n"/>
    </row>
    <row r="21" ht="16" customHeight="1">
      <c r="A21" s="55" t="inlineStr">
        <is>
          <t>WACC = Ke×We + Kd×(1-t)×Wd</t>
        </is>
      </c>
      <c r="B21" s="56">
        <f>B8*B18+B13*B19</f>
        <v/>
      </c>
      <c r="C21" s="54" t="inlineStr">
        <is>
          <t>Ke x We + Kd x (1-t) x Wd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2026-06-07T01:49:11Z</dcterms:created>
  <dcterms:modified xmlns:dcterms="http://purl.org/dc/terms/" xmlns:xsi="http://www.w3.org/2001/XMLSchema-instance" xsi:type="dcterms:W3CDTF">2026-06-07T01:49:36Z</dcterms:modified>
</cp:coreProperties>
</file>